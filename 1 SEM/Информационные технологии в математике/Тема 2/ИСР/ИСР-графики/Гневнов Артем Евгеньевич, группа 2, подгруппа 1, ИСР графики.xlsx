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rtyom\OneDrive\Рабочий стол\учеба\РГПУ\ИТ в математике\Тема 2\ИСР\"/>
    </mc:Choice>
  </mc:AlternateContent>
  <xr:revisionPtr revIDLastSave="0" documentId="13_ncr:1_{67FF81CA-EA1A-4726-BAD8-E24C972526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Задание 2.0" sheetId="1" r:id="rId1"/>
    <sheet name="Задание 2.1" sheetId="2" r:id="rId2"/>
    <sheet name="Задание 2.2(1)" sheetId="3" r:id="rId3"/>
    <sheet name="Задание 2.2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4" l="1"/>
  <c r="C32" i="4"/>
  <c r="D32" i="4"/>
  <c r="E32" i="4"/>
  <c r="F32" i="4"/>
  <c r="G32" i="4"/>
  <c r="H32" i="4"/>
  <c r="I32" i="4"/>
  <c r="J32" i="4"/>
  <c r="K32" i="4"/>
  <c r="L32" i="4"/>
  <c r="B33" i="4"/>
  <c r="C33" i="4"/>
  <c r="D33" i="4"/>
  <c r="E33" i="4"/>
  <c r="F33" i="4"/>
  <c r="G33" i="4"/>
  <c r="H33" i="4"/>
  <c r="I33" i="4"/>
  <c r="J33" i="4"/>
  <c r="K33" i="4"/>
  <c r="L33" i="4"/>
  <c r="B34" i="4"/>
  <c r="C34" i="4"/>
  <c r="D34" i="4"/>
  <c r="E34" i="4"/>
  <c r="F34" i="4"/>
  <c r="G34" i="4"/>
  <c r="H34" i="4"/>
  <c r="I34" i="4"/>
  <c r="J34" i="4"/>
  <c r="K34" i="4"/>
  <c r="L34" i="4"/>
  <c r="B35" i="4"/>
  <c r="C35" i="4"/>
  <c r="D35" i="4"/>
  <c r="E35" i="4"/>
  <c r="F35" i="4"/>
  <c r="G35" i="4"/>
  <c r="H35" i="4"/>
  <c r="I35" i="4"/>
  <c r="J35" i="4"/>
  <c r="K35" i="4"/>
  <c r="L35" i="4"/>
  <c r="B36" i="4"/>
  <c r="C36" i="4"/>
  <c r="D36" i="4"/>
  <c r="E36" i="4"/>
  <c r="F36" i="4"/>
  <c r="G36" i="4"/>
  <c r="H36" i="4"/>
  <c r="I36" i="4"/>
  <c r="J36" i="4"/>
  <c r="K36" i="4"/>
  <c r="L36" i="4"/>
  <c r="B37" i="4"/>
  <c r="C37" i="4"/>
  <c r="D37" i="4"/>
  <c r="E37" i="4"/>
  <c r="F37" i="4"/>
  <c r="G37" i="4"/>
  <c r="H37" i="4"/>
  <c r="I37" i="4"/>
  <c r="J37" i="4"/>
  <c r="K37" i="4"/>
  <c r="L37" i="4"/>
  <c r="B38" i="4"/>
  <c r="C38" i="4"/>
  <c r="D38" i="4"/>
  <c r="E38" i="4"/>
  <c r="F38" i="4"/>
  <c r="G38" i="4"/>
  <c r="H38" i="4"/>
  <c r="I38" i="4"/>
  <c r="J38" i="4"/>
  <c r="K38" i="4"/>
  <c r="L38" i="4"/>
  <c r="B39" i="4"/>
  <c r="C39" i="4"/>
  <c r="D39" i="4"/>
  <c r="E39" i="4"/>
  <c r="F39" i="4"/>
  <c r="G39" i="4"/>
  <c r="H39" i="4"/>
  <c r="I39" i="4"/>
  <c r="J39" i="4"/>
  <c r="K39" i="4"/>
  <c r="L39" i="4"/>
  <c r="B40" i="4"/>
  <c r="C40" i="4"/>
  <c r="D40" i="4"/>
  <c r="E40" i="4"/>
  <c r="F40" i="4"/>
  <c r="G40" i="4"/>
  <c r="H40" i="4"/>
  <c r="I40" i="4"/>
  <c r="J40" i="4"/>
  <c r="K40" i="4"/>
  <c r="L40" i="4"/>
  <c r="B41" i="4"/>
  <c r="C41" i="4"/>
  <c r="D41" i="4"/>
  <c r="E41" i="4"/>
  <c r="F41" i="4"/>
  <c r="G41" i="4"/>
  <c r="H41" i="4"/>
  <c r="I41" i="4"/>
  <c r="J41" i="4"/>
  <c r="K41" i="4"/>
  <c r="L41" i="4"/>
  <c r="C31" i="4"/>
  <c r="D31" i="4"/>
  <c r="E31" i="4"/>
  <c r="F31" i="4"/>
  <c r="G31" i="4"/>
  <c r="H31" i="4"/>
  <c r="I31" i="4"/>
  <c r="J31" i="4"/>
  <c r="K31" i="4"/>
  <c r="L31" i="4"/>
  <c r="B31" i="4"/>
  <c r="L12" i="4"/>
  <c r="K12" i="4"/>
  <c r="J12" i="4"/>
  <c r="I12" i="4"/>
  <c r="H12" i="4"/>
  <c r="G12" i="4"/>
  <c r="F12" i="4"/>
  <c r="E12" i="4"/>
  <c r="D12" i="4"/>
  <c r="C12" i="4"/>
  <c r="B12" i="4"/>
  <c r="L11" i="4"/>
  <c r="K11" i="4"/>
  <c r="J11" i="4"/>
  <c r="I11" i="4"/>
  <c r="H11" i="4"/>
  <c r="G11" i="4"/>
  <c r="F11" i="4"/>
  <c r="E11" i="4"/>
  <c r="D11" i="4"/>
  <c r="C11" i="4"/>
  <c r="B11" i="4"/>
  <c r="L10" i="4"/>
  <c r="K10" i="4"/>
  <c r="J10" i="4"/>
  <c r="I10" i="4"/>
  <c r="H10" i="4"/>
  <c r="G10" i="4"/>
  <c r="F10" i="4"/>
  <c r="E10" i="4"/>
  <c r="D10" i="4"/>
  <c r="C10" i="4"/>
  <c r="B10" i="4"/>
  <c r="L9" i="4"/>
  <c r="K9" i="4"/>
  <c r="J9" i="4"/>
  <c r="I9" i="4"/>
  <c r="H9" i="4"/>
  <c r="G9" i="4"/>
  <c r="F9" i="4"/>
  <c r="E9" i="4"/>
  <c r="D9" i="4"/>
  <c r="C9" i="4"/>
  <c r="B9" i="4"/>
  <c r="L8" i="4"/>
  <c r="K8" i="4"/>
  <c r="J8" i="4"/>
  <c r="I8" i="4"/>
  <c r="H8" i="4"/>
  <c r="G8" i="4"/>
  <c r="F8" i="4"/>
  <c r="E8" i="4"/>
  <c r="D8" i="4"/>
  <c r="C8" i="4"/>
  <c r="B8" i="4"/>
  <c r="L7" i="4"/>
  <c r="K7" i="4"/>
  <c r="J7" i="4"/>
  <c r="I7" i="4"/>
  <c r="H7" i="4"/>
  <c r="G7" i="4"/>
  <c r="F7" i="4"/>
  <c r="E7" i="4"/>
  <c r="D7" i="4"/>
  <c r="C7" i="4"/>
  <c r="B7" i="4"/>
  <c r="L6" i="4"/>
  <c r="K6" i="4"/>
  <c r="J6" i="4"/>
  <c r="I6" i="4"/>
  <c r="H6" i="4"/>
  <c r="G6" i="4"/>
  <c r="F6" i="4"/>
  <c r="E6" i="4"/>
  <c r="D6" i="4"/>
  <c r="C6" i="4"/>
  <c r="B6" i="4"/>
  <c r="L5" i="4"/>
  <c r="K5" i="4"/>
  <c r="J5" i="4"/>
  <c r="I5" i="4"/>
  <c r="H5" i="4"/>
  <c r="G5" i="4"/>
  <c r="F5" i="4"/>
  <c r="E5" i="4"/>
  <c r="D5" i="4"/>
  <c r="C5" i="4"/>
  <c r="B5" i="4"/>
  <c r="L4" i="4"/>
  <c r="K4" i="4"/>
  <c r="J4" i="4"/>
  <c r="I4" i="4"/>
  <c r="H4" i="4"/>
  <c r="G4" i="4"/>
  <c r="F4" i="4"/>
  <c r="E4" i="4"/>
  <c r="D4" i="4"/>
  <c r="C4" i="4"/>
  <c r="B4" i="4"/>
  <c r="L3" i="4"/>
  <c r="K3" i="4"/>
  <c r="J3" i="4"/>
  <c r="I3" i="4"/>
  <c r="H3" i="4"/>
  <c r="G3" i="4"/>
  <c r="F3" i="4"/>
  <c r="E3" i="4"/>
  <c r="D3" i="4"/>
  <c r="C3" i="4"/>
  <c r="B3" i="4"/>
  <c r="L2" i="4"/>
  <c r="K2" i="4"/>
  <c r="J2" i="4"/>
  <c r="I2" i="4"/>
  <c r="H2" i="4"/>
  <c r="G2" i="4"/>
  <c r="F2" i="4"/>
  <c r="E2" i="4"/>
  <c r="D2" i="4"/>
  <c r="C2" i="4"/>
  <c r="B2" i="4"/>
  <c r="L12" i="3"/>
  <c r="K12" i="3"/>
  <c r="J12" i="3"/>
  <c r="I12" i="3"/>
  <c r="H12" i="3"/>
  <c r="G12" i="3"/>
  <c r="F12" i="3"/>
  <c r="E12" i="3"/>
  <c r="D12" i="3"/>
  <c r="C12" i="3"/>
  <c r="B12" i="3"/>
  <c r="L11" i="3"/>
  <c r="K11" i="3"/>
  <c r="J11" i="3"/>
  <c r="I11" i="3"/>
  <c r="H11" i="3"/>
  <c r="G11" i="3"/>
  <c r="F11" i="3"/>
  <c r="E11" i="3"/>
  <c r="D11" i="3"/>
  <c r="C11" i="3"/>
  <c r="B11" i="3"/>
  <c r="L10" i="3"/>
  <c r="K10" i="3"/>
  <c r="J10" i="3"/>
  <c r="I10" i="3"/>
  <c r="H10" i="3"/>
  <c r="G10" i="3"/>
  <c r="F10" i="3"/>
  <c r="E10" i="3"/>
  <c r="D10" i="3"/>
  <c r="C10" i="3"/>
  <c r="B10" i="3"/>
  <c r="L9" i="3"/>
  <c r="K9" i="3"/>
  <c r="J9" i="3"/>
  <c r="I9" i="3"/>
  <c r="H9" i="3"/>
  <c r="G9" i="3"/>
  <c r="F9" i="3"/>
  <c r="E9" i="3"/>
  <c r="D9" i="3"/>
  <c r="C9" i="3"/>
  <c r="B9" i="3"/>
  <c r="L8" i="3"/>
  <c r="K8" i="3"/>
  <c r="J8" i="3"/>
  <c r="I8" i="3"/>
  <c r="H8" i="3"/>
  <c r="G8" i="3"/>
  <c r="F8" i="3"/>
  <c r="E8" i="3"/>
  <c r="D8" i="3"/>
  <c r="C8" i="3"/>
  <c r="B8" i="3"/>
  <c r="L7" i="3"/>
  <c r="K7" i="3"/>
  <c r="J7" i="3"/>
  <c r="I7" i="3"/>
  <c r="H7" i="3"/>
  <c r="G7" i="3"/>
  <c r="F7" i="3"/>
  <c r="E7" i="3"/>
  <c r="D7" i="3"/>
  <c r="C7" i="3"/>
  <c r="B7" i="3"/>
  <c r="L6" i="3"/>
  <c r="K6" i="3"/>
  <c r="J6" i="3"/>
  <c r="I6" i="3"/>
  <c r="H6" i="3"/>
  <c r="G6" i="3"/>
  <c r="F6" i="3"/>
  <c r="E6" i="3"/>
  <c r="D6" i="3"/>
  <c r="C6" i="3"/>
  <c r="B6" i="3"/>
  <c r="L5" i="3"/>
  <c r="K5" i="3"/>
  <c r="J5" i="3"/>
  <c r="I5" i="3"/>
  <c r="H5" i="3"/>
  <c r="G5" i="3"/>
  <c r="F5" i="3"/>
  <c r="E5" i="3"/>
  <c r="D5" i="3"/>
  <c r="C5" i="3"/>
  <c r="B5" i="3"/>
  <c r="L4" i="3"/>
  <c r="K4" i="3"/>
  <c r="J4" i="3"/>
  <c r="I4" i="3"/>
  <c r="H4" i="3"/>
  <c r="G4" i="3"/>
  <c r="F4" i="3"/>
  <c r="E4" i="3"/>
  <c r="D4" i="3"/>
  <c r="C4" i="3"/>
  <c r="B4" i="3"/>
  <c r="L3" i="3"/>
  <c r="K3" i="3"/>
  <c r="J3" i="3"/>
  <c r="I3" i="3"/>
  <c r="H3" i="3"/>
  <c r="G3" i="3"/>
  <c r="F3" i="3"/>
  <c r="E3" i="3"/>
  <c r="D3" i="3"/>
  <c r="C3" i="3"/>
  <c r="B3" i="3"/>
  <c r="L2" i="3"/>
  <c r="K2" i="3"/>
  <c r="J2" i="3"/>
  <c r="I2" i="3"/>
  <c r="H2" i="3"/>
  <c r="G2" i="3"/>
  <c r="F2" i="3"/>
  <c r="E2" i="3"/>
  <c r="D2" i="3"/>
  <c r="C2" i="3"/>
  <c r="B2" i="3"/>
  <c r="C57" i="2" l="1"/>
  <c r="D57" i="2"/>
  <c r="E57" i="2"/>
  <c r="F57" i="2"/>
  <c r="B57" i="2"/>
  <c r="B39" i="2"/>
  <c r="C39" i="2"/>
  <c r="D39" i="2"/>
  <c r="E39" i="2"/>
  <c r="F39" i="2"/>
  <c r="G39" i="2"/>
  <c r="H39" i="2"/>
  <c r="I39" i="2"/>
  <c r="J39" i="2"/>
  <c r="C21" i="2"/>
  <c r="D21" i="2"/>
  <c r="E21" i="2"/>
  <c r="F21" i="2"/>
  <c r="G21" i="2"/>
  <c r="H21" i="2"/>
  <c r="B21" i="2"/>
  <c r="C2" i="2"/>
  <c r="D2" i="2"/>
  <c r="E2" i="2"/>
  <c r="F2" i="2"/>
  <c r="G2" i="2"/>
  <c r="H2" i="2"/>
  <c r="B2" i="2"/>
</calcChain>
</file>

<file path=xl/sharedStrings.xml><?xml version="1.0" encoding="utf-8"?>
<sst xmlns="http://schemas.openxmlformats.org/spreadsheetml/2006/main" count="22" uniqueCount="12">
  <si>
    <t>Год рождения</t>
  </si>
  <si>
    <t>месяц рождения</t>
  </si>
  <si>
    <t>день рождения</t>
  </si>
  <si>
    <t>номер дома</t>
  </si>
  <si>
    <t xml:space="preserve">квартира </t>
  </si>
  <si>
    <t>Вариант</t>
  </si>
  <si>
    <t>a</t>
  </si>
  <si>
    <t>b</t>
  </si>
  <si>
    <t>x</t>
  </si>
  <si>
    <t>y</t>
  </si>
  <si>
    <t>порядковый номер</t>
  </si>
  <si>
    <t>При маленьких и отрицательных значениях константы "а" и больших положительных значениях константы "b" график расположен поперёк наблюдателя и принимает огромные значения по вертикали. При больших и положительных значениях константы "а" и больших и отрицательных значениях константы "b" график расположен вдоль наблюдателя и принимает малые значения по вертикали.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</si>
</sst>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y</a:t>
            </a:r>
            <a:r>
              <a:rPr lang="ru-RU" sz="1400" b="0" i="0" u="none" strike="noStrike" baseline="0">
                <a:effectLst/>
              </a:rPr>
              <a:t>= |</a:t>
            </a:r>
            <a:r>
              <a:rPr lang="en-US" sz="1400" b="0" i="0" u="none" strike="noStrike" baseline="0">
                <a:effectLst/>
              </a:rPr>
              <a:t>a/b</a:t>
            </a:r>
            <a:r>
              <a:rPr lang="ru-RU" sz="1400" b="0" i="0" u="none" strike="noStrike" baseline="0">
                <a:effectLst/>
              </a:rPr>
              <a:t> + |</a:t>
            </a:r>
            <a:r>
              <a:rPr lang="en-US" sz="1400" b="0" i="0" u="none" strike="noStrike" baseline="0">
                <a:effectLst/>
              </a:rPr>
              <a:t>x</a:t>
            </a:r>
            <a:r>
              <a:rPr lang="ru-RU" sz="1400" b="0" i="0" u="none" strike="noStrike" baseline="0">
                <a:effectLst/>
              </a:rPr>
              <a:t> ||,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2.1'!$A$2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2.1'!$B$1:$H$1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'Задание 2.1'!$B$2:$H$2</c:f>
              <c:numCache>
                <c:formatCode>General</c:formatCode>
                <c:ptCount val="7"/>
                <c:pt idx="0">
                  <c:v>1.2758620689655173</c:v>
                </c:pt>
                <c:pt idx="1">
                  <c:v>2.2758620689655173</c:v>
                </c:pt>
                <c:pt idx="2">
                  <c:v>3.2758620689655173</c:v>
                </c:pt>
                <c:pt idx="3">
                  <c:v>4.2758620689655178</c:v>
                </c:pt>
                <c:pt idx="4">
                  <c:v>5.2758620689655178</c:v>
                </c:pt>
                <c:pt idx="5">
                  <c:v>6.2758620689655178</c:v>
                </c:pt>
                <c:pt idx="6">
                  <c:v>7.2758620689655178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29-4DE3-AA55-B7E2FA0EC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293743"/>
        <c:axId val="941298735"/>
      </c:scatterChart>
      <c:valAx>
        <c:axId val="94129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x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94777668416447969"/>
              <c:y val="0.67550925925925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1298735"/>
        <c:crosses val="autoZero"/>
        <c:crossBetween val="midCat"/>
      </c:valAx>
      <c:valAx>
        <c:axId val="94129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y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11388888888888889"/>
              <c:y val="0.115073272090988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1293743"/>
        <c:crosses val="autoZero"/>
        <c:crossBetween val="midCat"/>
      </c:valAx>
      <c:spPr>
        <a:solidFill>
          <a:schemeClr val="accent5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y=a*x^2+b*x+c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2.1'!$A$21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2.1'!$B$20:$H$20</c:f>
              <c:numCache>
                <c:formatCode>General</c:formatCode>
                <c:ptCount val="7"/>
                <c:pt idx="0">
                  <c:v>-9</c:v>
                </c:pt>
                <c:pt idx="1">
                  <c:v>-4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9</c:v>
                </c:pt>
              </c:numCache>
            </c:numRef>
          </c:xVal>
          <c:yVal>
            <c:numRef>
              <c:f>'Задание 2.1'!$B$21:$H$21</c:f>
              <c:numCache>
                <c:formatCode>General</c:formatCode>
                <c:ptCount val="7"/>
                <c:pt idx="0">
                  <c:v>2297</c:v>
                </c:pt>
                <c:pt idx="1">
                  <c:v>442</c:v>
                </c:pt>
                <c:pt idx="2">
                  <c:v>25</c:v>
                </c:pt>
                <c:pt idx="3">
                  <c:v>2</c:v>
                </c:pt>
                <c:pt idx="4">
                  <c:v>37</c:v>
                </c:pt>
                <c:pt idx="5">
                  <c:v>490</c:v>
                </c:pt>
                <c:pt idx="6">
                  <c:v>2405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3D-431E-AA8B-A2DAB2C40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595183"/>
        <c:axId val="823596431"/>
      </c:scatterChart>
      <c:valAx>
        <c:axId val="82359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x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93995822397200346"/>
              <c:y val="0.66828703703703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3596431"/>
        <c:crosses val="autoZero"/>
        <c:crossBetween val="midCat"/>
      </c:valAx>
      <c:valAx>
        <c:axId val="82359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y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52500000000000002"/>
              <c:y val="0.133518153980752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3595183"/>
        <c:crosses val="autoZero"/>
        <c:crossBetween val="midCat"/>
      </c:valAx>
      <c:spPr>
        <a:solidFill>
          <a:schemeClr val="accent5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y</a:t>
            </a:r>
            <a:r>
              <a:rPr lang="ru-RU" sz="1400" b="0" i="0" u="none" strike="noStrike" baseline="0">
                <a:effectLst/>
              </a:rPr>
              <a:t>= |−5</a:t>
            </a:r>
            <a:r>
              <a:rPr lang="en-US" sz="1400" b="0" i="0" u="none" strike="noStrike" baseline="0">
                <a:effectLst/>
              </a:rPr>
              <a:t>x^2</a:t>
            </a:r>
            <a:r>
              <a:rPr lang="ru-RU" sz="1400" b="0" i="0" u="none" strike="noStrike" baseline="0">
                <a:effectLst/>
              </a:rPr>
              <a:t> +</a:t>
            </a:r>
            <a:r>
              <a:rPr lang="en-US" sz="1400" b="0" i="0" u="none" strike="noStrike" baseline="0">
                <a:effectLst/>
              </a:rPr>
              <a:t>bx</a:t>
            </a:r>
            <a:r>
              <a:rPr lang="ru-RU" sz="1400" b="0" i="0" u="none" strike="noStrike" baseline="0">
                <a:effectLst/>
              </a:rPr>
              <a:t> +</a:t>
            </a:r>
            <a:r>
              <a:rPr lang="en-US" sz="1400" b="0" i="0" u="none" strike="noStrike" baseline="0">
                <a:effectLst/>
              </a:rPr>
              <a:t>c</a:t>
            </a:r>
            <a:r>
              <a:rPr lang="ru-RU" sz="1400" b="0" i="0" u="none" strike="noStrike" baseline="0">
                <a:effectLst/>
              </a:rPr>
              <a:t> |,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2.1'!$A$39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2.1'!$B$38:$J$38</c:f>
              <c:numCache>
                <c:formatCode>General</c:formatCode>
                <c:ptCount val="9"/>
                <c:pt idx="0">
                  <c:v>-25</c:v>
                </c:pt>
                <c:pt idx="1">
                  <c:v>-9</c:v>
                </c:pt>
                <c:pt idx="2">
                  <c:v>-4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9</c:v>
                </c:pt>
                <c:pt idx="8">
                  <c:v>25</c:v>
                </c:pt>
              </c:numCache>
            </c:numRef>
          </c:xVal>
          <c:yVal>
            <c:numRef>
              <c:f>'Задание 2.1'!$B$39:$J$39</c:f>
              <c:numCache>
                <c:formatCode>General</c:formatCode>
                <c:ptCount val="9"/>
                <c:pt idx="0">
                  <c:v>2542.3333333333335</c:v>
                </c:pt>
                <c:pt idx="1">
                  <c:v>206.33333333333334</c:v>
                </c:pt>
                <c:pt idx="2">
                  <c:v>1.3333333333333321</c:v>
                </c:pt>
                <c:pt idx="3">
                  <c:v>1.6666666666666679</c:v>
                </c:pt>
                <c:pt idx="4">
                  <c:v>17.333333333333332</c:v>
                </c:pt>
                <c:pt idx="5">
                  <c:v>46.333333333333329</c:v>
                </c:pt>
                <c:pt idx="6">
                  <c:v>193.33333333333334</c:v>
                </c:pt>
                <c:pt idx="7">
                  <c:v>638.33333333333337</c:v>
                </c:pt>
                <c:pt idx="8">
                  <c:v>3742.3333333333335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31-4F37-99D3-C9EE74D3E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911247"/>
        <c:axId val="488909167"/>
      </c:scatterChart>
      <c:valAx>
        <c:axId val="48891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x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93718044619422547"/>
              <c:y val="0.7006944444444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909167"/>
        <c:crosses val="autoZero"/>
        <c:crossBetween val="midCat"/>
      </c:valAx>
      <c:valAx>
        <c:axId val="48890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y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51388888888888884"/>
              <c:y val="0.128390930300379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911247"/>
        <c:crosses val="autoZero"/>
        <c:crossBetween val="midCat"/>
      </c:valAx>
      <c:spPr>
        <a:solidFill>
          <a:schemeClr val="accent5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y=</a:t>
            </a:r>
            <a:r>
              <a:rPr lang="en-US" sz="1400" b="0" i="0" u="none" strike="noStrike" baseline="0">
                <a:effectLst/>
              </a:rPr>
              <a:t>log</a:t>
            </a:r>
            <a:r>
              <a:rPr lang="en-US" sz="900" b="0" i="0" u="none" strike="noStrike" baseline="0">
                <a:effectLst/>
              </a:rPr>
              <a:t>a</a:t>
            </a:r>
            <a:r>
              <a:rPr lang="en-US" sz="1400" b="0" i="0" u="none" strike="noStrike" baseline="0">
                <a:effectLst/>
              </a:rPr>
              <a:t>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2.1'!$A$57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'Задание 2.1'!$B$56:$F$56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'Задание 2.1'!$B$57:$F$57</c:f>
              <c:numCache>
                <c:formatCode>General</c:formatCode>
                <c:ptCount val="5"/>
                <c:pt idx="0">
                  <c:v>1.8693494977105369</c:v>
                </c:pt>
                <c:pt idx="1">
                  <c:v>1.8693494977105369</c:v>
                </c:pt>
                <c:pt idx="2">
                  <c:v>1.8693494977105369</c:v>
                </c:pt>
                <c:pt idx="3">
                  <c:v>1.8693494977105369</c:v>
                </c:pt>
                <c:pt idx="4">
                  <c:v>1.8693494977105369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61-428D-9EA5-0E91C9126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240735"/>
        <c:axId val="946234079"/>
      </c:scatterChart>
      <c:valAx>
        <c:axId val="946240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x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94611701662292214"/>
              <c:y val="0.670879629629629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6234079"/>
        <c:crosses val="autoZero"/>
        <c:crossBetween val="midCat"/>
      </c:valAx>
      <c:valAx>
        <c:axId val="94623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y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13055555555555556"/>
              <c:y val="0.115073272090988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6240735"/>
        <c:crosses val="autoZero"/>
        <c:crossBetween val="midCat"/>
      </c:valAx>
      <c:spPr>
        <a:solidFill>
          <a:schemeClr val="accent5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2.2(1)'!$A$2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2.2(1)'!$B$2:$L$2</c:f>
              <c:numCache>
                <c:formatCode>General</c:formatCode>
                <c:ptCount val="11"/>
                <c:pt idx="0">
                  <c:v>81.25</c:v>
                </c:pt>
                <c:pt idx="1">
                  <c:v>61</c:v>
                </c:pt>
                <c:pt idx="2">
                  <c:v>45.25</c:v>
                </c:pt>
                <c:pt idx="3">
                  <c:v>34</c:v>
                </c:pt>
                <c:pt idx="4">
                  <c:v>27.25</c:v>
                </c:pt>
                <c:pt idx="5">
                  <c:v>25</c:v>
                </c:pt>
                <c:pt idx="6">
                  <c:v>27.25</c:v>
                </c:pt>
                <c:pt idx="7">
                  <c:v>34</c:v>
                </c:pt>
                <c:pt idx="8">
                  <c:v>45.25</c:v>
                </c:pt>
                <c:pt idx="9">
                  <c:v>61</c:v>
                </c:pt>
                <c:pt idx="10">
                  <c:v>81.25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8-4963-A548-CC967F47FCF1}"/>
            </c:ext>
          </c:extLst>
        </c:ser>
        <c:ser>
          <c:idx val="1"/>
          <c:order val="1"/>
          <c:tx>
            <c:strRef>
              <c:f>'Задание 2.2(1)'!$A$3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2.2(1)'!$B$1:$L$1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2.2(1)'!$B$3:$L$3</c:f>
              <c:numCache>
                <c:formatCode>General</c:formatCode>
                <c:ptCount val="11"/>
                <c:pt idx="0">
                  <c:v>72.25</c:v>
                </c:pt>
                <c:pt idx="1">
                  <c:v>52</c:v>
                </c:pt>
                <c:pt idx="2">
                  <c:v>36.25</c:v>
                </c:pt>
                <c:pt idx="3">
                  <c:v>25</c:v>
                </c:pt>
                <c:pt idx="4">
                  <c:v>18.25</c:v>
                </c:pt>
                <c:pt idx="5">
                  <c:v>16</c:v>
                </c:pt>
                <c:pt idx="6">
                  <c:v>18.25</c:v>
                </c:pt>
                <c:pt idx="7">
                  <c:v>25</c:v>
                </c:pt>
                <c:pt idx="8">
                  <c:v>36.25</c:v>
                </c:pt>
                <c:pt idx="9">
                  <c:v>52</c:v>
                </c:pt>
                <c:pt idx="10">
                  <c:v>72.25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48-4963-A548-CC967F47FCF1}"/>
            </c:ext>
          </c:extLst>
        </c:ser>
        <c:ser>
          <c:idx val="2"/>
          <c:order val="2"/>
          <c:tx>
            <c:strRef>
              <c:f>'Задание 2.2(1)'!$A$4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2.2(1)'!$B$1:$L$1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2.2(1)'!$B$4:$L$4</c:f>
              <c:numCache>
                <c:formatCode>General</c:formatCode>
                <c:ptCount val="11"/>
                <c:pt idx="0">
                  <c:v>65.25</c:v>
                </c:pt>
                <c:pt idx="1">
                  <c:v>45</c:v>
                </c:pt>
                <c:pt idx="2">
                  <c:v>29.25</c:v>
                </c:pt>
                <c:pt idx="3">
                  <c:v>18</c:v>
                </c:pt>
                <c:pt idx="4">
                  <c:v>11.25</c:v>
                </c:pt>
                <c:pt idx="5">
                  <c:v>9</c:v>
                </c:pt>
                <c:pt idx="6">
                  <c:v>11.25</c:v>
                </c:pt>
                <c:pt idx="7">
                  <c:v>18</c:v>
                </c:pt>
                <c:pt idx="8">
                  <c:v>29.25</c:v>
                </c:pt>
                <c:pt idx="9">
                  <c:v>45</c:v>
                </c:pt>
                <c:pt idx="10">
                  <c:v>65.25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48-4963-A548-CC967F47FCF1}"/>
            </c:ext>
          </c:extLst>
        </c:ser>
        <c:ser>
          <c:idx val="3"/>
          <c:order val="3"/>
          <c:tx>
            <c:strRef>
              <c:f>'Задание 2.2(1)'!$A$5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2.2(1)'!$B$1:$L$1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2.2(1)'!$B$5:$L$5</c:f>
              <c:numCache>
                <c:formatCode>General</c:formatCode>
                <c:ptCount val="11"/>
                <c:pt idx="0">
                  <c:v>60.25</c:v>
                </c:pt>
                <c:pt idx="1">
                  <c:v>40</c:v>
                </c:pt>
                <c:pt idx="2">
                  <c:v>24.25</c:v>
                </c:pt>
                <c:pt idx="3">
                  <c:v>13</c:v>
                </c:pt>
                <c:pt idx="4">
                  <c:v>6.25</c:v>
                </c:pt>
                <c:pt idx="5">
                  <c:v>4</c:v>
                </c:pt>
                <c:pt idx="6">
                  <c:v>6.25</c:v>
                </c:pt>
                <c:pt idx="7">
                  <c:v>13</c:v>
                </c:pt>
                <c:pt idx="8">
                  <c:v>24.25</c:v>
                </c:pt>
                <c:pt idx="9">
                  <c:v>40</c:v>
                </c:pt>
                <c:pt idx="10">
                  <c:v>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48-4963-A548-CC967F47FCF1}"/>
            </c:ext>
          </c:extLst>
        </c:ser>
        <c:ser>
          <c:idx val="4"/>
          <c:order val="4"/>
          <c:tx>
            <c:strRef>
              <c:f>'Задание 2.2(1)'!$A$6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2.2(1)'!$B$1:$L$1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2.2(1)'!$B$6:$L$6</c:f>
              <c:numCache>
                <c:formatCode>General</c:formatCode>
                <c:ptCount val="11"/>
                <c:pt idx="0">
                  <c:v>57.25</c:v>
                </c:pt>
                <c:pt idx="1">
                  <c:v>37</c:v>
                </c:pt>
                <c:pt idx="2">
                  <c:v>21.25</c:v>
                </c:pt>
                <c:pt idx="3">
                  <c:v>10</c:v>
                </c:pt>
                <c:pt idx="4">
                  <c:v>3.25</c:v>
                </c:pt>
                <c:pt idx="5">
                  <c:v>1</c:v>
                </c:pt>
                <c:pt idx="6">
                  <c:v>3.25</c:v>
                </c:pt>
                <c:pt idx="7">
                  <c:v>10</c:v>
                </c:pt>
                <c:pt idx="8">
                  <c:v>21.25</c:v>
                </c:pt>
                <c:pt idx="9">
                  <c:v>37</c:v>
                </c:pt>
                <c:pt idx="10">
                  <c:v>57.25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48-4963-A548-CC967F47FCF1}"/>
            </c:ext>
          </c:extLst>
        </c:ser>
        <c:ser>
          <c:idx val="5"/>
          <c:order val="5"/>
          <c:tx>
            <c:strRef>
              <c:f>'Задание 2.2(1)'!$A$7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2.2(1)'!$B$1:$L$1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2.2(1)'!$B$7:$L$7</c:f>
              <c:numCache>
                <c:formatCode>General</c:formatCode>
                <c:ptCount val="11"/>
                <c:pt idx="0">
                  <c:v>56.25</c:v>
                </c:pt>
                <c:pt idx="1">
                  <c:v>36</c:v>
                </c:pt>
                <c:pt idx="2">
                  <c:v>20.25</c:v>
                </c:pt>
                <c:pt idx="3">
                  <c:v>9</c:v>
                </c:pt>
                <c:pt idx="4">
                  <c:v>2.25</c:v>
                </c:pt>
                <c:pt idx="5">
                  <c:v>0</c:v>
                </c:pt>
                <c:pt idx="6">
                  <c:v>2.25</c:v>
                </c:pt>
                <c:pt idx="7">
                  <c:v>9</c:v>
                </c:pt>
                <c:pt idx="8">
                  <c:v>20.25</c:v>
                </c:pt>
                <c:pt idx="9">
                  <c:v>36</c:v>
                </c:pt>
                <c:pt idx="10">
                  <c:v>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48-4963-A548-CC967F47FCF1}"/>
            </c:ext>
          </c:extLst>
        </c:ser>
        <c:ser>
          <c:idx val="6"/>
          <c:order val="6"/>
          <c:tx>
            <c:strRef>
              <c:f>'Задание 2.2(1)'!$A$8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2.2(1)'!$B$1:$L$1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2.2(1)'!$B$8:$L$8</c:f>
              <c:numCache>
                <c:formatCode>General</c:formatCode>
                <c:ptCount val="11"/>
                <c:pt idx="0">
                  <c:v>57.25</c:v>
                </c:pt>
                <c:pt idx="1">
                  <c:v>37</c:v>
                </c:pt>
                <c:pt idx="2">
                  <c:v>21.25</c:v>
                </c:pt>
                <c:pt idx="3">
                  <c:v>10</c:v>
                </c:pt>
                <c:pt idx="4">
                  <c:v>3.25</c:v>
                </c:pt>
                <c:pt idx="5">
                  <c:v>1</c:v>
                </c:pt>
                <c:pt idx="6">
                  <c:v>3.25</c:v>
                </c:pt>
                <c:pt idx="7">
                  <c:v>10</c:v>
                </c:pt>
                <c:pt idx="8">
                  <c:v>21.25</c:v>
                </c:pt>
                <c:pt idx="9">
                  <c:v>37</c:v>
                </c:pt>
                <c:pt idx="10">
                  <c:v>57.25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48-4963-A548-CC967F47FCF1}"/>
            </c:ext>
          </c:extLst>
        </c:ser>
        <c:ser>
          <c:idx val="7"/>
          <c:order val="7"/>
          <c:tx>
            <c:strRef>
              <c:f>'Задание 2.2(1)'!$A$9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2.2(1)'!$B$1:$L$1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2.2(1)'!$B$9:$L$9</c:f>
              <c:numCache>
                <c:formatCode>General</c:formatCode>
                <c:ptCount val="11"/>
                <c:pt idx="0">
                  <c:v>60.25</c:v>
                </c:pt>
                <c:pt idx="1">
                  <c:v>40</c:v>
                </c:pt>
                <c:pt idx="2">
                  <c:v>24.25</c:v>
                </c:pt>
                <c:pt idx="3">
                  <c:v>13</c:v>
                </c:pt>
                <c:pt idx="4">
                  <c:v>6.25</c:v>
                </c:pt>
                <c:pt idx="5">
                  <c:v>4</c:v>
                </c:pt>
                <c:pt idx="6">
                  <c:v>6.25</c:v>
                </c:pt>
                <c:pt idx="7">
                  <c:v>13</c:v>
                </c:pt>
                <c:pt idx="8">
                  <c:v>24.25</c:v>
                </c:pt>
                <c:pt idx="9">
                  <c:v>40</c:v>
                </c:pt>
                <c:pt idx="10">
                  <c:v>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48-4963-A548-CC967F47FCF1}"/>
            </c:ext>
          </c:extLst>
        </c:ser>
        <c:ser>
          <c:idx val="8"/>
          <c:order val="8"/>
          <c:tx>
            <c:strRef>
              <c:f>'Задание 2.2(1)'!$A$10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2.2(1)'!$B$1:$L$1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2.2(1)'!$B$10:$L$10</c:f>
              <c:numCache>
                <c:formatCode>General</c:formatCode>
                <c:ptCount val="11"/>
                <c:pt idx="0">
                  <c:v>65.25</c:v>
                </c:pt>
                <c:pt idx="1">
                  <c:v>45</c:v>
                </c:pt>
                <c:pt idx="2">
                  <c:v>29.25</c:v>
                </c:pt>
                <c:pt idx="3">
                  <c:v>18</c:v>
                </c:pt>
                <c:pt idx="4">
                  <c:v>11.25</c:v>
                </c:pt>
                <c:pt idx="5">
                  <c:v>9</c:v>
                </c:pt>
                <c:pt idx="6">
                  <c:v>11.25</c:v>
                </c:pt>
                <c:pt idx="7">
                  <c:v>18</c:v>
                </c:pt>
                <c:pt idx="8">
                  <c:v>29.25</c:v>
                </c:pt>
                <c:pt idx="9">
                  <c:v>45</c:v>
                </c:pt>
                <c:pt idx="10">
                  <c:v>65.25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48-4963-A548-CC967F47FCF1}"/>
            </c:ext>
          </c:extLst>
        </c:ser>
        <c:ser>
          <c:idx val="9"/>
          <c:order val="9"/>
          <c:tx>
            <c:strRef>
              <c:f>'Задание 2.2(1)'!$A$11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2.2(1)'!$B$1:$L$1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2.2(1)'!$B$11:$L$11</c:f>
              <c:numCache>
                <c:formatCode>General</c:formatCode>
                <c:ptCount val="11"/>
                <c:pt idx="0">
                  <c:v>72.25</c:v>
                </c:pt>
                <c:pt idx="1">
                  <c:v>52</c:v>
                </c:pt>
                <c:pt idx="2">
                  <c:v>36.25</c:v>
                </c:pt>
                <c:pt idx="3">
                  <c:v>25</c:v>
                </c:pt>
                <c:pt idx="4">
                  <c:v>18.25</c:v>
                </c:pt>
                <c:pt idx="5">
                  <c:v>16</c:v>
                </c:pt>
                <c:pt idx="6">
                  <c:v>18.25</c:v>
                </c:pt>
                <c:pt idx="7">
                  <c:v>25</c:v>
                </c:pt>
                <c:pt idx="8">
                  <c:v>36.25</c:v>
                </c:pt>
                <c:pt idx="9">
                  <c:v>52</c:v>
                </c:pt>
                <c:pt idx="10">
                  <c:v>72.25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48-4963-A548-CC967F47FCF1}"/>
            </c:ext>
          </c:extLst>
        </c:ser>
        <c:ser>
          <c:idx val="10"/>
          <c:order val="10"/>
          <c:tx>
            <c:strRef>
              <c:f>'Задание 2.2(1)'!$A$12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2.2(1)'!$B$1:$L$1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2.2(1)'!$B$12:$L$12</c:f>
              <c:numCache>
                <c:formatCode>General</c:formatCode>
                <c:ptCount val="11"/>
                <c:pt idx="0">
                  <c:v>81.25</c:v>
                </c:pt>
                <c:pt idx="1">
                  <c:v>61</c:v>
                </c:pt>
                <c:pt idx="2">
                  <c:v>45.25</c:v>
                </c:pt>
                <c:pt idx="3">
                  <c:v>34</c:v>
                </c:pt>
                <c:pt idx="4">
                  <c:v>27.25</c:v>
                </c:pt>
                <c:pt idx="5">
                  <c:v>25</c:v>
                </c:pt>
                <c:pt idx="6">
                  <c:v>27.25</c:v>
                </c:pt>
                <c:pt idx="7">
                  <c:v>34</c:v>
                </c:pt>
                <c:pt idx="8">
                  <c:v>45.25</c:v>
                </c:pt>
                <c:pt idx="9">
                  <c:v>61</c:v>
                </c:pt>
                <c:pt idx="10">
                  <c:v>81.25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48-4963-A548-CC967F47FCF1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823596847"/>
        <c:axId val="823597263"/>
        <c:axId val="1037122271"/>
      </c:surface3DChart>
      <c:catAx>
        <c:axId val="8235968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3597263"/>
        <c:crosses val="autoZero"/>
        <c:auto val="1"/>
        <c:lblAlgn val="ctr"/>
        <c:lblOffset val="100"/>
        <c:noMultiLvlLbl val="0"/>
      </c:catAx>
      <c:valAx>
        <c:axId val="82359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3596847"/>
        <c:crosses val="autoZero"/>
        <c:crossBetween val="midCat"/>
      </c:valAx>
      <c:serAx>
        <c:axId val="103712227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359726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2.2(2)'!$A$2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2.2(2)'!$B$1:$L$1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2.2(2)'!$B$2:$L$2</c:f>
              <c:numCache>
                <c:formatCode>General</c:formatCode>
                <c:ptCount val="11"/>
                <c:pt idx="0">
                  <c:v>35156.250039062499</c:v>
                </c:pt>
                <c:pt idx="1">
                  <c:v>22500.000039062499</c:v>
                </c:pt>
                <c:pt idx="2">
                  <c:v>12656.250039062499</c:v>
                </c:pt>
                <c:pt idx="3">
                  <c:v>5625.0000390625</c:v>
                </c:pt>
                <c:pt idx="4">
                  <c:v>1406.2500390625</c:v>
                </c:pt>
                <c:pt idx="5">
                  <c:v>3.9062500000000001E-5</c:v>
                </c:pt>
                <c:pt idx="6">
                  <c:v>1406.2500390625</c:v>
                </c:pt>
                <c:pt idx="7">
                  <c:v>5625.0000390625</c:v>
                </c:pt>
                <c:pt idx="8">
                  <c:v>12656.250039062499</c:v>
                </c:pt>
                <c:pt idx="9">
                  <c:v>22500.000039062499</c:v>
                </c:pt>
                <c:pt idx="10">
                  <c:v>35156.250039062499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1-408A-B2E0-E6496B101800}"/>
            </c:ext>
          </c:extLst>
        </c:ser>
        <c:ser>
          <c:idx val="1"/>
          <c:order val="1"/>
          <c:tx>
            <c:strRef>
              <c:f>'Задание 2.2(2)'!$A$3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2.2(2)'!$B$1:$L$1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2.2(2)'!$B$3:$L$3</c:f>
              <c:numCache>
                <c:formatCode>General</c:formatCode>
                <c:ptCount val="11"/>
                <c:pt idx="0">
                  <c:v>35156.250025000001</c:v>
                </c:pt>
                <c:pt idx="1">
                  <c:v>22500.000025000001</c:v>
                </c:pt>
                <c:pt idx="2">
                  <c:v>12656.250024999999</c:v>
                </c:pt>
                <c:pt idx="3">
                  <c:v>5625.0000250000003</c:v>
                </c:pt>
                <c:pt idx="4">
                  <c:v>1406.2500250000001</c:v>
                </c:pt>
                <c:pt idx="5">
                  <c:v>2.5000000000000001E-5</c:v>
                </c:pt>
                <c:pt idx="6">
                  <c:v>1406.2500250000001</c:v>
                </c:pt>
                <c:pt idx="7">
                  <c:v>5625.0000250000003</c:v>
                </c:pt>
                <c:pt idx="8">
                  <c:v>12656.250024999999</c:v>
                </c:pt>
                <c:pt idx="9">
                  <c:v>22500.000025000001</c:v>
                </c:pt>
                <c:pt idx="10">
                  <c:v>35156.250025000001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81-408A-B2E0-E6496B101800}"/>
            </c:ext>
          </c:extLst>
        </c:ser>
        <c:ser>
          <c:idx val="2"/>
          <c:order val="2"/>
          <c:tx>
            <c:strRef>
              <c:f>'Задание 2.2(2)'!$A$4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2.2(2)'!$B$1:$L$1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2.2(2)'!$B$4:$L$4</c:f>
              <c:numCache>
                <c:formatCode>General</c:formatCode>
                <c:ptCount val="11"/>
                <c:pt idx="0">
                  <c:v>35156.250014062498</c:v>
                </c:pt>
                <c:pt idx="1">
                  <c:v>22500.000014062502</c:v>
                </c:pt>
                <c:pt idx="2">
                  <c:v>12656.2500140625</c:v>
                </c:pt>
                <c:pt idx="3">
                  <c:v>5625.0000140624998</c:v>
                </c:pt>
                <c:pt idx="4">
                  <c:v>1406.2500140625</c:v>
                </c:pt>
                <c:pt idx="5">
                  <c:v>1.40625E-5</c:v>
                </c:pt>
                <c:pt idx="6">
                  <c:v>1406.2500140625</c:v>
                </c:pt>
                <c:pt idx="7">
                  <c:v>5625.0000140624998</c:v>
                </c:pt>
                <c:pt idx="8">
                  <c:v>12656.2500140625</c:v>
                </c:pt>
                <c:pt idx="9">
                  <c:v>22500.000014062502</c:v>
                </c:pt>
                <c:pt idx="10">
                  <c:v>35156.250014062498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81-408A-B2E0-E6496B101800}"/>
            </c:ext>
          </c:extLst>
        </c:ser>
        <c:ser>
          <c:idx val="3"/>
          <c:order val="3"/>
          <c:tx>
            <c:strRef>
              <c:f>'Задание 2.2(2)'!$A$5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2.2(2)'!$B$1:$L$1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2.2(2)'!$B$5:$L$5</c:f>
              <c:numCache>
                <c:formatCode>General</c:formatCode>
                <c:ptCount val="11"/>
                <c:pt idx="0">
                  <c:v>35156.250006249997</c:v>
                </c:pt>
                <c:pt idx="1">
                  <c:v>22500.00000625</c:v>
                </c:pt>
                <c:pt idx="2">
                  <c:v>12656.25000625</c:v>
                </c:pt>
                <c:pt idx="3">
                  <c:v>5625.0000062500003</c:v>
                </c:pt>
                <c:pt idx="4">
                  <c:v>1406.2500062500001</c:v>
                </c:pt>
                <c:pt idx="5">
                  <c:v>6.2500000000000003E-6</c:v>
                </c:pt>
                <c:pt idx="6">
                  <c:v>1406.2500062500001</c:v>
                </c:pt>
                <c:pt idx="7">
                  <c:v>5625.0000062500003</c:v>
                </c:pt>
                <c:pt idx="8">
                  <c:v>12656.25000625</c:v>
                </c:pt>
                <c:pt idx="9">
                  <c:v>22500.00000625</c:v>
                </c:pt>
                <c:pt idx="10">
                  <c:v>35156.250006249997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81-408A-B2E0-E6496B101800}"/>
            </c:ext>
          </c:extLst>
        </c:ser>
        <c:ser>
          <c:idx val="4"/>
          <c:order val="4"/>
          <c:tx>
            <c:strRef>
              <c:f>'Задание 2.2(2)'!$A$6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2.2(2)'!$B$1:$L$1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2.2(2)'!$B$6:$L$6</c:f>
              <c:numCache>
                <c:formatCode>General</c:formatCode>
                <c:ptCount val="11"/>
                <c:pt idx="0">
                  <c:v>35156.250001562497</c:v>
                </c:pt>
                <c:pt idx="1">
                  <c:v>22500.000001562501</c:v>
                </c:pt>
                <c:pt idx="2">
                  <c:v>12656.250001562499</c:v>
                </c:pt>
                <c:pt idx="3">
                  <c:v>5625.0000015625001</c:v>
                </c:pt>
                <c:pt idx="4">
                  <c:v>1406.2500015625001</c:v>
                </c:pt>
                <c:pt idx="5">
                  <c:v>1.5625000000000001E-6</c:v>
                </c:pt>
                <c:pt idx="6">
                  <c:v>1406.2500015625001</c:v>
                </c:pt>
                <c:pt idx="7">
                  <c:v>5625.0000015625001</c:v>
                </c:pt>
                <c:pt idx="8">
                  <c:v>12656.250001562499</c:v>
                </c:pt>
                <c:pt idx="9">
                  <c:v>22500.000001562501</c:v>
                </c:pt>
                <c:pt idx="10">
                  <c:v>35156.250001562497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81-408A-B2E0-E6496B101800}"/>
            </c:ext>
          </c:extLst>
        </c:ser>
        <c:ser>
          <c:idx val="5"/>
          <c:order val="5"/>
          <c:tx>
            <c:strRef>
              <c:f>'Задание 2.2(2)'!$A$7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2.2(2)'!$B$1:$L$1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2.2(2)'!$B$7:$L$7</c:f>
              <c:numCache>
                <c:formatCode>General</c:formatCode>
                <c:ptCount val="11"/>
                <c:pt idx="0">
                  <c:v>35156.25</c:v>
                </c:pt>
                <c:pt idx="1">
                  <c:v>22500</c:v>
                </c:pt>
                <c:pt idx="2">
                  <c:v>12656.25</c:v>
                </c:pt>
                <c:pt idx="3">
                  <c:v>5625</c:v>
                </c:pt>
                <c:pt idx="4">
                  <c:v>1406.25</c:v>
                </c:pt>
                <c:pt idx="5">
                  <c:v>0</c:v>
                </c:pt>
                <c:pt idx="6">
                  <c:v>1406.25</c:v>
                </c:pt>
                <c:pt idx="7">
                  <c:v>5625</c:v>
                </c:pt>
                <c:pt idx="8">
                  <c:v>12656.25</c:v>
                </c:pt>
                <c:pt idx="9">
                  <c:v>22500</c:v>
                </c:pt>
                <c:pt idx="10">
                  <c:v>35156.25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81-408A-B2E0-E6496B101800}"/>
            </c:ext>
          </c:extLst>
        </c:ser>
        <c:ser>
          <c:idx val="6"/>
          <c:order val="6"/>
          <c:tx>
            <c:strRef>
              <c:f>'Задание 2.2(2)'!$A$8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2.2(2)'!$B$1:$L$1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2.2(2)'!$B$8:$L$8</c:f>
              <c:numCache>
                <c:formatCode>General</c:formatCode>
                <c:ptCount val="11"/>
                <c:pt idx="0">
                  <c:v>35156.250001562497</c:v>
                </c:pt>
                <c:pt idx="1">
                  <c:v>22500.000001562501</c:v>
                </c:pt>
                <c:pt idx="2">
                  <c:v>12656.250001562499</c:v>
                </c:pt>
                <c:pt idx="3">
                  <c:v>5625.0000015625001</c:v>
                </c:pt>
                <c:pt idx="4">
                  <c:v>1406.2500015625001</c:v>
                </c:pt>
                <c:pt idx="5">
                  <c:v>1.5625000000000001E-6</c:v>
                </c:pt>
                <c:pt idx="6">
                  <c:v>1406.2500015625001</c:v>
                </c:pt>
                <c:pt idx="7">
                  <c:v>5625.0000015625001</c:v>
                </c:pt>
                <c:pt idx="8">
                  <c:v>12656.250001562499</c:v>
                </c:pt>
                <c:pt idx="9">
                  <c:v>22500.000001562501</c:v>
                </c:pt>
                <c:pt idx="10">
                  <c:v>35156.250001562497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81-408A-B2E0-E6496B101800}"/>
            </c:ext>
          </c:extLst>
        </c:ser>
        <c:ser>
          <c:idx val="7"/>
          <c:order val="7"/>
          <c:tx>
            <c:strRef>
              <c:f>'Задание 2.2(2)'!$A$9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2.2(2)'!$B$1:$L$1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2.2(2)'!$B$9:$L$9</c:f>
              <c:numCache>
                <c:formatCode>General</c:formatCode>
                <c:ptCount val="11"/>
                <c:pt idx="0">
                  <c:v>35156.250006249997</c:v>
                </c:pt>
                <c:pt idx="1">
                  <c:v>22500.00000625</c:v>
                </c:pt>
                <c:pt idx="2">
                  <c:v>12656.25000625</c:v>
                </c:pt>
                <c:pt idx="3">
                  <c:v>5625.0000062500003</c:v>
                </c:pt>
                <c:pt idx="4">
                  <c:v>1406.2500062500001</c:v>
                </c:pt>
                <c:pt idx="5">
                  <c:v>6.2500000000000003E-6</c:v>
                </c:pt>
                <c:pt idx="6">
                  <c:v>1406.2500062500001</c:v>
                </c:pt>
                <c:pt idx="7">
                  <c:v>5625.0000062500003</c:v>
                </c:pt>
                <c:pt idx="8">
                  <c:v>12656.25000625</c:v>
                </c:pt>
                <c:pt idx="9">
                  <c:v>22500.00000625</c:v>
                </c:pt>
                <c:pt idx="10">
                  <c:v>35156.250006249997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81-408A-B2E0-E6496B101800}"/>
            </c:ext>
          </c:extLst>
        </c:ser>
        <c:ser>
          <c:idx val="8"/>
          <c:order val="8"/>
          <c:tx>
            <c:strRef>
              <c:f>'Задание 2.2(2)'!$A$10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2.2(2)'!$B$1:$L$1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2.2(2)'!$B$10:$L$10</c:f>
              <c:numCache>
                <c:formatCode>General</c:formatCode>
                <c:ptCount val="11"/>
                <c:pt idx="0">
                  <c:v>35156.250014062498</c:v>
                </c:pt>
                <c:pt idx="1">
                  <c:v>22500.000014062502</c:v>
                </c:pt>
                <c:pt idx="2">
                  <c:v>12656.2500140625</c:v>
                </c:pt>
                <c:pt idx="3">
                  <c:v>5625.0000140624998</c:v>
                </c:pt>
                <c:pt idx="4">
                  <c:v>1406.2500140625</c:v>
                </c:pt>
                <c:pt idx="5">
                  <c:v>1.40625E-5</c:v>
                </c:pt>
                <c:pt idx="6">
                  <c:v>1406.2500140625</c:v>
                </c:pt>
                <c:pt idx="7">
                  <c:v>5625.0000140624998</c:v>
                </c:pt>
                <c:pt idx="8">
                  <c:v>12656.2500140625</c:v>
                </c:pt>
                <c:pt idx="9">
                  <c:v>22500.000014062502</c:v>
                </c:pt>
                <c:pt idx="10">
                  <c:v>35156.250014062498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81-408A-B2E0-E6496B101800}"/>
            </c:ext>
          </c:extLst>
        </c:ser>
        <c:ser>
          <c:idx val="9"/>
          <c:order val="9"/>
          <c:tx>
            <c:strRef>
              <c:f>'Задание 2.2(2)'!$A$11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2.2(2)'!$B$1:$L$1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2.2(2)'!$B$11:$L$11</c:f>
              <c:numCache>
                <c:formatCode>General</c:formatCode>
                <c:ptCount val="11"/>
                <c:pt idx="0">
                  <c:v>35156.250025000001</c:v>
                </c:pt>
                <c:pt idx="1">
                  <c:v>22500.000025000001</c:v>
                </c:pt>
                <c:pt idx="2">
                  <c:v>12656.250024999999</c:v>
                </c:pt>
                <c:pt idx="3">
                  <c:v>5625.0000250000003</c:v>
                </c:pt>
                <c:pt idx="4">
                  <c:v>1406.2500250000001</c:v>
                </c:pt>
                <c:pt idx="5">
                  <c:v>2.5000000000000001E-5</c:v>
                </c:pt>
                <c:pt idx="6">
                  <c:v>1406.2500250000001</c:v>
                </c:pt>
                <c:pt idx="7">
                  <c:v>5625.0000250000003</c:v>
                </c:pt>
                <c:pt idx="8">
                  <c:v>12656.250024999999</c:v>
                </c:pt>
                <c:pt idx="9">
                  <c:v>22500.000025000001</c:v>
                </c:pt>
                <c:pt idx="10">
                  <c:v>35156.250025000001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281-408A-B2E0-E6496B101800}"/>
            </c:ext>
          </c:extLst>
        </c:ser>
        <c:ser>
          <c:idx val="10"/>
          <c:order val="10"/>
          <c:tx>
            <c:strRef>
              <c:f>'Задание 2.2(2)'!$A$12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2.2(2)'!$B$1:$L$1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2.2(2)'!$B$12:$L$12</c:f>
              <c:numCache>
                <c:formatCode>General</c:formatCode>
                <c:ptCount val="11"/>
                <c:pt idx="0">
                  <c:v>35156.250039062499</c:v>
                </c:pt>
                <c:pt idx="1">
                  <c:v>22500.000039062499</c:v>
                </c:pt>
                <c:pt idx="2">
                  <c:v>12656.250039062499</c:v>
                </c:pt>
                <c:pt idx="3">
                  <c:v>5625.0000390625</c:v>
                </c:pt>
                <c:pt idx="4">
                  <c:v>1406.2500390625</c:v>
                </c:pt>
                <c:pt idx="5">
                  <c:v>3.9062500000000001E-5</c:v>
                </c:pt>
                <c:pt idx="6">
                  <c:v>1406.2500390625</c:v>
                </c:pt>
                <c:pt idx="7">
                  <c:v>5625.0000390625</c:v>
                </c:pt>
                <c:pt idx="8">
                  <c:v>12656.250039062499</c:v>
                </c:pt>
                <c:pt idx="9">
                  <c:v>22500.000039062499</c:v>
                </c:pt>
                <c:pt idx="10">
                  <c:v>35156.250039062499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81-408A-B2E0-E6496B101800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819500879"/>
        <c:axId val="819501295"/>
        <c:axId val="1037132943"/>
      </c:surface3DChart>
      <c:catAx>
        <c:axId val="819500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501295"/>
        <c:crosses val="autoZero"/>
        <c:auto val="1"/>
        <c:lblAlgn val="ctr"/>
        <c:lblOffset val="100"/>
        <c:noMultiLvlLbl val="0"/>
      </c:catAx>
      <c:valAx>
        <c:axId val="81950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500879"/>
        <c:crosses val="autoZero"/>
        <c:crossBetween val="midCat"/>
      </c:valAx>
      <c:serAx>
        <c:axId val="10371329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50129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2.2(2)'!$A$31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2.2(2)'!$B$30:$L$30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2.2(2)'!$B$31:$L$31</c:f>
              <c:numCache>
                <c:formatCode>General</c:formatCode>
                <c:ptCount val="11"/>
                <c:pt idx="0">
                  <c:v>2.5743272569444446E-4</c:v>
                </c:pt>
                <c:pt idx="1">
                  <c:v>2.2579210069444442E-4</c:v>
                </c:pt>
                <c:pt idx="2">
                  <c:v>2.0118272569444442E-4</c:v>
                </c:pt>
                <c:pt idx="3">
                  <c:v>1.8360460069444443E-4</c:v>
                </c:pt>
                <c:pt idx="4">
                  <c:v>1.7305772569444443E-4</c:v>
                </c:pt>
                <c:pt idx="5">
                  <c:v>1.6954210069444444E-4</c:v>
                </c:pt>
                <c:pt idx="6">
                  <c:v>1.7305772569444443E-4</c:v>
                </c:pt>
                <c:pt idx="7">
                  <c:v>1.8360460069444443E-4</c:v>
                </c:pt>
                <c:pt idx="8">
                  <c:v>2.0118272569444442E-4</c:v>
                </c:pt>
                <c:pt idx="9">
                  <c:v>2.2579210069444442E-4</c:v>
                </c:pt>
                <c:pt idx="10">
                  <c:v>2.5743272569444446E-4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35-4647-9C6C-C0546636DD3B}"/>
            </c:ext>
          </c:extLst>
        </c:ser>
        <c:ser>
          <c:idx val="1"/>
          <c:order val="1"/>
          <c:tx>
            <c:strRef>
              <c:f>'Задание 2.2(2)'!$A$32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2.2(2)'!$B$30:$L$30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2.2(2)'!$B$32:$L$32</c:f>
              <c:numCache>
                <c:formatCode>General</c:formatCode>
                <c:ptCount val="11"/>
                <c:pt idx="0">
                  <c:v>1.9639756944444444E-4</c:v>
                </c:pt>
                <c:pt idx="1">
                  <c:v>1.6475694444444442E-4</c:v>
                </c:pt>
                <c:pt idx="2">
                  <c:v>1.4014756944444442E-4</c:v>
                </c:pt>
                <c:pt idx="3">
                  <c:v>1.2256944444444443E-4</c:v>
                </c:pt>
                <c:pt idx="4">
                  <c:v>1.1202256944444444E-4</c:v>
                </c:pt>
                <c:pt idx="5">
                  <c:v>1.0850694444444444E-4</c:v>
                </c:pt>
                <c:pt idx="6">
                  <c:v>1.1202256944444444E-4</c:v>
                </c:pt>
                <c:pt idx="7">
                  <c:v>1.2256944444444443E-4</c:v>
                </c:pt>
                <c:pt idx="8">
                  <c:v>1.4014756944444442E-4</c:v>
                </c:pt>
                <c:pt idx="9">
                  <c:v>1.6475694444444442E-4</c:v>
                </c:pt>
                <c:pt idx="10">
                  <c:v>1.9639756944444444E-4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35-4647-9C6C-C0546636DD3B}"/>
            </c:ext>
          </c:extLst>
        </c:ser>
        <c:ser>
          <c:idx val="2"/>
          <c:order val="2"/>
          <c:tx>
            <c:strRef>
              <c:f>'Задание 2.2(2)'!$A$33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2.2(2)'!$B$30:$L$30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2.2(2)'!$B$33:$L$33</c:f>
              <c:numCache>
                <c:formatCode>General</c:formatCode>
                <c:ptCount val="11"/>
                <c:pt idx="0">
                  <c:v>1.4892578125E-4</c:v>
                </c:pt>
                <c:pt idx="1">
                  <c:v>1.1728515625E-4</c:v>
                </c:pt>
                <c:pt idx="2">
                  <c:v>9.2675781249999998E-5</c:v>
                </c:pt>
                <c:pt idx="3">
                  <c:v>7.5097656249999996E-5</c:v>
                </c:pt>
                <c:pt idx="4">
                  <c:v>6.4550781250000006E-5</c:v>
                </c:pt>
                <c:pt idx="5">
                  <c:v>6.103515625E-5</c:v>
                </c:pt>
                <c:pt idx="6">
                  <c:v>6.4550781250000006E-5</c:v>
                </c:pt>
                <c:pt idx="7">
                  <c:v>7.5097656249999996E-5</c:v>
                </c:pt>
                <c:pt idx="8">
                  <c:v>9.2675781249999998E-5</c:v>
                </c:pt>
                <c:pt idx="9">
                  <c:v>1.1728515625E-4</c:v>
                </c:pt>
                <c:pt idx="10">
                  <c:v>1.4892578125E-4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35-4647-9C6C-C0546636DD3B}"/>
            </c:ext>
          </c:extLst>
        </c:ser>
        <c:ser>
          <c:idx val="3"/>
          <c:order val="3"/>
          <c:tx>
            <c:strRef>
              <c:f>'Задание 2.2(2)'!$A$34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2.2(2)'!$B$30:$L$30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2.2(2)'!$B$34:$L$34</c:f>
              <c:numCache>
                <c:formatCode>General</c:formatCode>
                <c:ptCount val="11"/>
                <c:pt idx="0">
                  <c:v>1.1501736111111111E-4</c:v>
                </c:pt>
                <c:pt idx="1">
                  <c:v>8.3376736111111108E-5</c:v>
                </c:pt>
                <c:pt idx="2">
                  <c:v>5.8767361111111108E-5</c:v>
                </c:pt>
                <c:pt idx="3">
                  <c:v>4.1189236111111106E-5</c:v>
                </c:pt>
                <c:pt idx="4">
                  <c:v>3.0642361111111109E-5</c:v>
                </c:pt>
                <c:pt idx="5">
                  <c:v>2.712673611111111E-5</c:v>
                </c:pt>
                <c:pt idx="6">
                  <c:v>3.0642361111111109E-5</c:v>
                </c:pt>
                <c:pt idx="7">
                  <c:v>4.1189236111111106E-5</c:v>
                </c:pt>
                <c:pt idx="8">
                  <c:v>5.8767361111111108E-5</c:v>
                </c:pt>
                <c:pt idx="9">
                  <c:v>8.3376736111111108E-5</c:v>
                </c:pt>
                <c:pt idx="10">
                  <c:v>1.1501736111111111E-4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35-4647-9C6C-C0546636DD3B}"/>
            </c:ext>
          </c:extLst>
        </c:ser>
        <c:ser>
          <c:idx val="4"/>
          <c:order val="4"/>
          <c:tx>
            <c:strRef>
              <c:f>'Задание 2.2(2)'!$A$35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2.2(2)'!$B$30:$L$30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2.2(2)'!$B$35:$L$35</c:f>
              <c:numCache>
                <c:formatCode>General</c:formatCode>
                <c:ptCount val="11"/>
                <c:pt idx="0">
                  <c:v>9.4672309027777778E-5</c:v>
                </c:pt>
                <c:pt idx="1">
                  <c:v>6.3031684027777779E-5</c:v>
                </c:pt>
                <c:pt idx="2">
                  <c:v>3.8422309027777779E-5</c:v>
                </c:pt>
                <c:pt idx="3">
                  <c:v>2.0844184027777777E-5</c:v>
                </c:pt>
                <c:pt idx="4">
                  <c:v>1.0297309027777776E-5</c:v>
                </c:pt>
                <c:pt idx="5">
                  <c:v>6.7816840277777774E-6</c:v>
                </c:pt>
                <c:pt idx="6">
                  <c:v>1.0297309027777776E-5</c:v>
                </c:pt>
                <c:pt idx="7">
                  <c:v>2.0844184027777777E-5</c:v>
                </c:pt>
                <c:pt idx="8">
                  <c:v>3.8422309027777779E-5</c:v>
                </c:pt>
                <c:pt idx="9">
                  <c:v>6.3031684027777779E-5</c:v>
                </c:pt>
                <c:pt idx="10">
                  <c:v>9.4672309027777778E-5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35-4647-9C6C-C0546636DD3B}"/>
            </c:ext>
          </c:extLst>
        </c:ser>
        <c:ser>
          <c:idx val="5"/>
          <c:order val="5"/>
          <c:tx>
            <c:strRef>
              <c:f>'Задание 2.2(2)'!$A$36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2.2(2)'!$B$30:$L$30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2.2(2)'!$B$36:$L$36</c:f>
              <c:numCache>
                <c:formatCode>General</c:formatCode>
                <c:ptCount val="11"/>
                <c:pt idx="0">
                  <c:v>8.7890624999999997E-5</c:v>
                </c:pt>
                <c:pt idx="1">
                  <c:v>5.6249999999999998E-5</c:v>
                </c:pt>
                <c:pt idx="2">
                  <c:v>3.1640624999999998E-5</c:v>
                </c:pt>
                <c:pt idx="3">
                  <c:v>1.40625E-5</c:v>
                </c:pt>
                <c:pt idx="4">
                  <c:v>3.5156249999999999E-6</c:v>
                </c:pt>
                <c:pt idx="5">
                  <c:v>0</c:v>
                </c:pt>
                <c:pt idx="6">
                  <c:v>3.5156249999999999E-6</c:v>
                </c:pt>
                <c:pt idx="7">
                  <c:v>1.40625E-5</c:v>
                </c:pt>
                <c:pt idx="8">
                  <c:v>3.1640624999999998E-5</c:v>
                </c:pt>
                <c:pt idx="9">
                  <c:v>5.6249999999999998E-5</c:v>
                </c:pt>
                <c:pt idx="10">
                  <c:v>8.7890624999999997E-5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35-4647-9C6C-C0546636DD3B}"/>
            </c:ext>
          </c:extLst>
        </c:ser>
        <c:ser>
          <c:idx val="6"/>
          <c:order val="6"/>
          <c:tx>
            <c:strRef>
              <c:f>'Задание 2.2(2)'!$A$37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2.2(2)'!$B$30:$L$30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2.2(2)'!$B$37:$L$37</c:f>
              <c:numCache>
                <c:formatCode>General</c:formatCode>
                <c:ptCount val="11"/>
                <c:pt idx="0">
                  <c:v>9.4672309027777778E-5</c:v>
                </c:pt>
                <c:pt idx="1">
                  <c:v>6.3031684027777779E-5</c:v>
                </c:pt>
                <c:pt idx="2">
                  <c:v>3.8422309027777779E-5</c:v>
                </c:pt>
                <c:pt idx="3">
                  <c:v>2.0844184027777777E-5</c:v>
                </c:pt>
                <c:pt idx="4">
                  <c:v>1.0297309027777776E-5</c:v>
                </c:pt>
                <c:pt idx="5">
                  <c:v>6.7816840277777774E-6</c:v>
                </c:pt>
                <c:pt idx="6">
                  <c:v>1.0297309027777776E-5</c:v>
                </c:pt>
                <c:pt idx="7">
                  <c:v>2.0844184027777777E-5</c:v>
                </c:pt>
                <c:pt idx="8">
                  <c:v>3.8422309027777779E-5</c:v>
                </c:pt>
                <c:pt idx="9">
                  <c:v>6.3031684027777779E-5</c:v>
                </c:pt>
                <c:pt idx="10">
                  <c:v>9.4672309027777778E-5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35-4647-9C6C-C0546636DD3B}"/>
            </c:ext>
          </c:extLst>
        </c:ser>
        <c:ser>
          <c:idx val="7"/>
          <c:order val="7"/>
          <c:tx>
            <c:strRef>
              <c:f>'Задание 2.2(2)'!$A$38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2.2(2)'!$B$30:$L$30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2.2(2)'!$B$38:$L$38</c:f>
              <c:numCache>
                <c:formatCode>General</c:formatCode>
                <c:ptCount val="11"/>
                <c:pt idx="0">
                  <c:v>1.1501736111111111E-4</c:v>
                </c:pt>
                <c:pt idx="1">
                  <c:v>8.3376736111111108E-5</c:v>
                </c:pt>
                <c:pt idx="2">
                  <c:v>5.8767361111111108E-5</c:v>
                </c:pt>
                <c:pt idx="3">
                  <c:v>4.1189236111111106E-5</c:v>
                </c:pt>
                <c:pt idx="4">
                  <c:v>3.0642361111111109E-5</c:v>
                </c:pt>
                <c:pt idx="5">
                  <c:v>2.712673611111111E-5</c:v>
                </c:pt>
                <c:pt idx="6">
                  <c:v>3.0642361111111109E-5</c:v>
                </c:pt>
                <c:pt idx="7">
                  <c:v>4.1189236111111106E-5</c:v>
                </c:pt>
                <c:pt idx="8">
                  <c:v>5.8767361111111108E-5</c:v>
                </c:pt>
                <c:pt idx="9">
                  <c:v>8.3376736111111108E-5</c:v>
                </c:pt>
                <c:pt idx="10">
                  <c:v>1.1501736111111111E-4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35-4647-9C6C-C0546636DD3B}"/>
            </c:ext>
          </c:extLst>
        </c:ser>
        <c:ser>
          <c:idx val="8"/>
          <c:order val="8"/>
          <c:tx>
            <c:strRef>
              <c:f>'Задание 2.2(2)'!$A$39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2.2(2)'!$B$30:$L$30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2.2(2)'!$B$39:$L$39</c:f>
              <c:numCache>
                <c:formatCode>General</c:formatCode>
                <c:ptCount val="11"/>
                <c:pt idx="0">
                  <c:v>1.4892578125E-4</c:v>
                </c:pt>
                <c:pt idx="1">
                  <c:v>1.1728515625E-4</c:v>
                </c:pt>
                <c:pt idx="2">
                  <c:v>9.2675781249999998E-5</c:v>
                </c:pt>
                <c:pt idx="3">
                  <c:v>7.5097656249999996E-5</c:v>
                </c:pt>
                <c:pt idx="4">
                  <c:v>6.4550781250000006E-5</c:v>
                </c:pt>
                <c:pt idx="5">
                  <c:v>6.103515625E-5</c:v>
                </c:pt>
                <c:pt idx="6">
                  <c:v>6.4550781250000006E-5</c:v>
                </c:pt>
                <c:pt idx="7">
                  <c:v>7.5097656249999996E-5</c:v>
                </c:pt>
                <c:pt idx="8">
                  <c:v>9.2675781249999998E-5</c:v>
                </c:pt>
                <c:pt idx="9">
                  <c:v>1.1728515625E-4</c:v>
                </c:pt>
                <c:pt idx="10">
                  <c:v>1.4892578125E-4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35-4647-9C6C-C0546636DD3B}"/>
            </c:ext>
          </c:extLst>
        </c:ser>
        <c:ser>
          <c:idx val="9"/>
          <c:order val="9"/>
          <c:tx>
            <c:strRef>
              <c:f>'Задание 2.2(2)'!$A$40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2.2(2)'!$B$30:$L$30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2.2(2)'!$B$40:$L$40</c:f>
              <c:numCache>
                <c:formatCode>General</c:formatCode>
                <c:ptCount val="11"/>
                <c:pt idx="0">
                  <c:v>1.9639756944444444E-4</c:v>
                </c:pt>
                <c:pt idx="1">
                  <c:v>1.6475694444444442E-4</c:v>
                </c:pt>
                <c:pt idx="2">
                  <c:v>1.4014756944444442E-4</c:v>
                </c:pt>
                <c:pt idx="3">
                  <c:v>1.2256944444444443E-4</c:v>
                </c:pt>
                <c:pt idx="4">
                  <c:v>1.1202256944444444E-4</c:v>
                </c:pt>
                <c:pt idx="5">
                  <c:v>1.0850694444444444E-4</c:v>
                </c:pt>
                <c:pt idx="6">
                  <c:v>1.1202256944444444E-4</c:v>
                </c:pt>
                <c:pt idx="7">
                  <c:v>1.2256944444444443E-4</c:v>
                </c:pt>
                <c:pt idx="8">
                  <c:v>1.4014756944444442E-4</c:v>
                </c:pt>
                <c:pt idx="9">
                  <c:v>1.6475694444444442E-4</c:v>
                </c:pt>
                <c:pt idx="10">
                  <c:v>1.9639756944444444E-4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35-4647-9C6C-C0546636DD3B}"/>
            </c:ext>
          </c:extLst>
        </c:ser>
        <c:ser>
          <c:idx val="10"/>
          <c:order val="10"/>
          <c:tx>
            <c:strRef>
              <c:f>'Задание 2.2(2)'!$A$41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2.2(2)'!$B$30:$L$30</c:f>
              <c:numCache>
                <c:formatCode>General</c:formatCode>
                <c:ptCount val="11"/>
                <c:pt idx="0">
                  <c:v>-7.5</c:v>
                </c:pt>
                <c:pt idx="1">
                  <c:v>-6</c:v>
                </c:pt>
                <c:pt idx="2">
                  <c:v>-4.5</c:v>
                </c:pt>
                <c:pt idx="3">
                  <c:v>-3</c:v>
                </c:pt>
                <c:pt idx="4">
                  <c:v>-1.5</c:v>
                </c:pt>
                <c:pt idx="5">
                  <c:v>0</c:v>
                </c:pt>
                <c:pt idx="6">
                  <c:v>1.5</c:v>
                </c:pt>
                <c:pt idx="7">
                  <c:v>3</c:v>
                </c:pt>
                <c:pt idx="8">
                  <c:v>4.5</c:v>
                </c:pt>
                <c:pt idx="9">
                  <c:v>6</c:v>
                </c:pt>
                <c:pt idx="10">
                  <c:v>7.5</c:v>
                </c:pt>
              </c:numCache>
            </c:numRef>
          </c:cat>
          <c:val>
            <c:numRef>
              <c:f>'Задание 2.2(2)'!$B$41:$L$41</c:f>
              <c:numCache>
                <c:formatCode>General</c:formatCode>
                <c:ptCount val="11"/>
                <c:pt idx="0">
                  <c:v>2.5743272569444446E-4</c:v>
                </c:pt>
                <c:pt idx="1">
                  <c:v>2.2579210069444442E-4</c:v>
                </c:pt>
                <c:pt idx="2">
                  <c:v>2.0118272569444442E-4</c:v>
                </c:pt>
                <c:pt idx="3">
                  <c:v>1.8360460069444443E-4</c:v>
                </c:pt>
                <c:pt idx="4">
                  <c:v>1.7305772569444443E-4</c:v>
                </c:pt>
                <c:pt idx="5">
                  <c:v>1.6954210069444444E-4</c:v>
                </c:pt>
                <c:pt idx="6">
                  <c:v>1.7305772569444443E-4</c:v>
                </c:pt>
                <c:pt idx="7">
                  <c:v>1.8360460069444443E-4</c:v>
                </c:pt>
                <c:pt idx="8">
                  <c:v>2.0118272569444442E-4</c:v>
                </c:pt>
                <c:pt idx="9">
                  <c:v>2.2579210069444442E-4</c:v>
                </c:pt>
                <c:pt idx="10">
                  <c:v>2.5743272569444446E-4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35-4647-9C6C-C0546636DD3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083476479"/>
        <c:axId val="1083473567"/>
        <c:axId val="953862831"/>
      </c:surface3DChart>
      <c:catAx>
        <c:axId val="1083476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3473567"/>
        <c:crosses val="autoZero"/>
        <c:auto val="1"/>
        <c:lblAlgn val="ctr"/>
        <c:lblOffset val="100"/>
        <c:noMultiLvlLbl val="0"/>
      </c:catAx>
      <c:valAx>
        <c:axId val="108347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3476479"/>
        <c:crosses val="autoZero"/>
        <c:crossBetween val="midCat"/>
      </c:valAx>
      <c:serAx>
        <c:axId val="95386283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347356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15240</xdr:rowOff>
    </xdr:from>
    <xdr:to>
      <xdr:col>7</xdr:col>
      <xdr:colOff>304800</xdr:colOff>
      <xdr:row>18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F28CA82-B95B-4C2E-A2CE-12B2AA456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190500</xdr:rowOff>
    </xdr:from>
    <xdr:to>
      <xdr:col>7</xdr:col>
      <xdr:colOff>304800</xdr:colOff>
      <xdr:row>35</xdr:row>
      <xdr:rowOff>160020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8B427FA-6826-4D7E-BD77-62FD7FB1E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160020</xdr:rowOff>
    </xdr:from>
    <xdr:to>
      <xdr:col>7</xdr:col>
      <xdr:colOff>304800</xdr:colOff>
      <xdr:row>53</xdr:row>
      <xdr:rowOff>129540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2F8B098-EEAF-45E5-8FF8-A433131E4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57</xdr:row>
      <xdr:rowOff>190500</xdr:rowOff>
    </xdr:from>
    <xdr:to>
      <xdr:col>7</xdr:col>
      <xdr:colOff>304800</xdr:colOff>
      <xdr:row>71</xdr:row>
      <xdr:rowOff>160020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FA7E74E-BB65-4C74-87B6-2DE42D2E9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175260</xdr:rowOff>
    </xdr:from>
    <xdr:to>
      <xdr:col>7</xdr:col>
      <xdr:colOff>304800</xdr:colOff>
      <xdr:row>27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0E92585-0548-409E-8831-2EDE9CC77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8</xdr:col>
      <xdr:colOff>15240</xdr:colOff>
      <xdr:row>28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348B09B-FDF8-49AD-8EB5-F8F3728C2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42</xdr:row>
      <xdr:rowOff>15240</xdr:rowOff>
    </xdr:from>
    <xdr:to>
      <xdr:col>8</xdr:col>
      <xdr:colOff>22860</xdr:colOff>
      <xdr:row>57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95ABBFD-AB3F-4F48-BD4F-5AB2BFF8A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Normal="100" workbookViewId="0">
      <selection activeCell="C7" sqref="C7"/>
    </sheetView>
  </sheetViews>
  <sheetFormatPr defaultColWidth="13.6640625" defaultRowHeight="15.6" x14ac:dyDescent="0.3"/>
  <cols>
    <col min="1" max="1" width="19.88671875" style="6" bestFit="1" customWidth="1"/>
    <col min="2" max="2" width="17.33203125" style="6" bestFit="1" customWidth="1"/>
    <col min="3" max="3" width="16" style="6" bestFit="1" customWidth="1"/>
    <col min="4" max="4" width="13.6640625" style="6"/>
    <col min="5" max="5" width="13.109375" style="6" bestFit="1" customWidth="1"/>
    <col min="6" max="6" width="10.44140625" style="6" bestFit="1" customWidth="1"/>
    <col min="7" max="16384" width="13.6640625" style="6"/>
  </cols>
  <sheetData>
    <row r="1" spans="1:6" x14ac:dyDescent="0.3">
      <c r="A1" s="4" t="s">
        <v>0</v>
      </c>
      <c r="D1" s="5"/>
    </row>
    <row r="2" spans="1:6" x14ac:dyDescent="0.3">
      <c r="A2" s="4">
        <v>2004</v>
      </c>
      <c r="D2" s="5"/>
    </row>
    <row r="3" spans="1:6" x14ac:dyDescent="0.3">
      <c r="A3" s="5"/>
      <c r="B3" s="5"/>
      <c r="C3" s="5"/>
      <c r="D3" s="5"/>
      <c r="E3" s="5"/>
      <c r="F3" s="5"/>
    </row>
    <row r="4" spans="1:6" x14ac:dyDescent="0.3">
      <c r="A4" s="4" t="s">
        <v>2</v>
      </c>
      <c r="B4" s="5"/>
      <c r="C4" s="5"/>
      <c r="D4" s="5"/>
      <c r="E4" s="5"/>
      <c r="F4" s="5"/>
    </row>
    <row r="5" spans="1:6" x14ac:dyDescent="0.3">
      <c r="A5" s="4">
        <v>29</v>
      </c>
      <c r="B5" s="5"/>
      <c r="C5" s="5"/>
      <c r="D5" s="5"/>
      <c r="E5" s="5"/>
      <c r="F5" s="5"/>
    </row>
    <row r="7" spans="1:6" x14ac:dyDescent="0.3">
      <c r="A7" s="4" t="s">
        <v>1</v>
      </c>
    </row>
    <row r="8" spans="1:6" x14ac:dyDescent="0.3">
      <c r="A8" s="4">
        <v>6</v>
      </c>
    </row>
    <row r="10" spans="1:6" x14ac:dyDescent="0.3">
      <c r="A10" s="4" t="s">
        <v>3</v>
      </c>
    </row>
    <row r="11" spans="1:6" x14ac:dyDescent="0.3">
      <c r="A11" s="4">
        <v>25</v>
      </c>
    </row>
    <row r="13" spans="1:6" x14ac:dyDescent="0.3">
      <c r="A13" s="4" t="s">
        <v>4</v>
      </c>
    </row>
    <row r="14" spans="1:6" x14ac:dyDescent="0.3">
      <c r="A14" s="4">
        <v>1</v>
      </c>
    </row>
    <row r="16" spans="1:6" x14ac:dyDescent="0.3">
      <c r="A16" s="4" t="s">
        <v>5</v>
      </c>
    </row>
    <row r="17" spans="1:1" x14ac:dyDescent="0.3">
      <c r="A17" s="4">
        <v>37</v>
      </c>
    </row>
    <row r="19" spans="1:1" x14ac:dyDescent="0.3">
      <c r="A19" s="4" t="s">
        <v>10</v>
      </c>
    </row>
    <row r="20" spans="1:1" x14ac:dyDescent="0.3">
      <c r="A20" s="4">
        <v>26</v>
      </c>
    </row>
  </sheetData>
  <pageMargins left="0.7" right="0.7" top="0.75" bottom="0.75" header="0.3" footer="0.3"/>
  <pageSetup paperSize="9" orientation="portrait" r:id="rId1"/>
  <headerFooter>
    <oddHeader>&amp;LГневнов Артем Евгеньевич, группа 2, подгруппа 1, 29.06.2004г., вариант 37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BF01-6382-4C1E-AED2-9E134344DE67}">
  <dimension ref="A1:J57"/>
  <sheetViews>
    <sheetView topLeftCell="A19" zoomScaleNormal="100" workbookViewId="0">
      <selection activeCell="D21" sqref="D21"/>
    </sheetView>
  </sheetViews>
  <sheetFormatPr defaultRowHeight="15.6" x14ac:dyDescent="0.3"/>
  <cols>
    <col min="1" max="16384" width="8.88671875" style="6"/>
  </cols>
  <sheetData>
    <row r="1" spans="1:8" x14ac:dyDescent="0.3">
      <c r="A1" s="4" t="s">
        <v>8</v>
      </c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</row>
    <row r="2" spans="1:8" x14ac:dyDescent="0.3">
      <c r="A2" s="4" t="s">
        <v>9</v>
      </c>
      <c r="B2" s="4">
        <f>ABS(('Задание 2.0'!$A$17/'Задание 2.0'!$A$5)+B1)</f>
        <v>1.2758620689655173</v>
      </c>
      <c r="C2" s="4">
        <f>ABS(('Задание 2.0'!$A$17/'Задание 2.0'!$A$5)+C1)</f>
        <v>2.2758620689655173</v>
      </c>
      <c r="D2" s="4">
        <f>ABS(('Задание 2.0'!$A$17/'Задание 2.0'!$A$5)+D1)</f>
        <v>3.2758620689655173</v>
      </c>
      <c r="E2" s="4">
        <f>ABS(('Задание 2.0'!$A$17/'Задание 2.0'!$A$5)+E1)</f>
        <v>4.2758620689655178</v>
      </c>
      <c r="F2" s="4">
        <f>ABS(('Задание 2.0'!$A$17/'Задание 2.0'!$A$5)+F1)</f>
        <v>5.2758620689655178</v>
      </c>
      <c r="G2" s="4">
        <f>ABS(('Задание 2.0'!$A$17/'Задание 2.0'!$A$5)+G1)</f>
        <v>6.2758620689655178</v>
      </c>
      <c r="H2" s="4">
        <f>ABS(('Задание 2.0'!$A$17/'Задание 2.0'!$A$5)+H1)</f>
        <v>7.2758620689655178</v>
      </c>
    </row>
    <row r="20" spans="1:8" x14ac:dyDescent="0.3">
      <c r="A20" s="4" t="s">
        <v>8</v>
      </c>
      <c r="B20" s="4">
        <v>-9</v>
      </c>
      <c r="C20" s="4">
        <v>-4</v>
      </c>
      <c r="D20" s="4">
        <v>-1</v>
      </c>
      <c r="E20" s="4">
        <v>0</v>
      </c>
      <c r="F20" s="4">
        <v>1</v>
      </c>
      <c r="G20" s="4">
        <v>4</v>
      </c>
      <c r="H20" s="4">
        <v>9</v>
      </c>
    </row>
    <row r="21" spans="1:8" x14ac:dyDescent="0.3">
      <c r="A21" s="4" t="s">
        <v>9</v>
      </c>
      <c r="B21" s="4">
        <f>'Задание 2.0'!$A$5*'Задание 2.1'!B20^2+'Задание 2.0'!$A$8*'Задание 2.1'!B20+MOD('Задание 2.0'!$A$2,'Задание 2.0'!$A$20)</f>
        <v>2297</v>
      </c>
      <c r="C21" s="4">
        <f>'Задание 2.0'!$A$5*'Задание 2.1'!C20^2+'Задание 2.0'!$A$8*'Задание 2.1'!C20+MOD('Задание 2.0'!$A$2,'Задание 2.0'!$A$20)</f>
        <v>442</v>
      </c>
      <c r="D21" s="4">
        <f>'Задание 2.0'!$A$5*'Задание 2.1'!D20^2+'Задание 2.0'!$A$8*'Задание 2.1'!D20+MOD('Задание 2.0'!$A$2,'Задание 2.0'!$A$20)</f>
        <v>25</v>
      </c>
      <c r="E21" s="4">
        <f>'Задание 2.0'!$A$5*'Задание 2.1'!E20^2+'Задание 2.0'!$A$8*'Задание 2.1'!E20+MOD('Задание 2.0'!$A$2,'Задание 2.0'!$A$20)</f>
        <v>2</v>
      </c>
      <c r="F21" s="4">
        <f>'Задание 2.0'!$A$5*'Задание 2.1'!F20^2+'Задание 2.0'!$A$8*'Задание 2.1'!F20+MOD('Задание 2.0'!$A$2,'Задание 2.0'!$A$20)</f>
        <v>37</v>
      </c>
      <c r="G21" s="4">
        <f>'Задание 2.0'!$A$5*'Задание 2.1'!G20^2+'Задание 2.0'!$A$8*'Задание 2.1'!G20+MOD('Задание 2.0'!$A$2,'Задание 2.0'!$A$20)</f>
        <v>490</v>
      </c>
      <c r="H21" s="4">
        <f>'Задание 2.0'!$A$5*'Задание 2.1'!H20^2+'Задание 2.0'!$A$8*'Задание 2.1'!H20+MOD('Задание 2.0'!$A$2,'Задание 2.0'!$A$20)</f>
        <v>2405</v>
      </c>
    </row>
    <row r="38" spans="1:10" x14ac:dyDescent="0.3">
      <c r="A38" s="4" t="s">
        <v>8</v>
      </c>
      <c r="B38" s="4">
        <v>-25</v>
      </c>
      <c r="C38" s="4">
        <v>-9</v>
      </c>
      <c r="D38" s="4">
        <v>-4</v>
      </c>
      <c r="E38" s="4">
        <v>-1</v>
      </c>
      <c r="F38" s="4">
        <v>0</v>
      </c>
      <c r="G38" s="4">
        <v>1</v>
      </c>
      <c r="H38" s="4">
        <v>4</v>
      </c>
      <c r="I38" s="4">
        <v>9</v>
      </c>
      <c r="J38" s="4">
        <v>25</v>
      </c>
    </row>
    <row r="39" spans="1:10" x14ac:dyDescent="0.3">
      <c r="A39" s="4" t="s">
        <v>9</v>
      </c>
      <c r="B39" s="4">
        <f>ABS((5*'Задание 2.1'!B38^2)+(AVERAGE('Задание 2.0'!$A$5,'Задание 2.0'!$A$8,'Задание 2.0'!$A$17)*'Задание 2.1'!B38)+AVERAGE('Задание 2.0'!$A$11,'Задание 2.0'!$A$14,'Задание 2.0'!$A$20))</f>
        <v>2542.3333333333335</v>
      </c>
      <c r="C39" s="4">
        <f>ABS((5*'Задание 2.1'!C38^2)+(AVERAGE('Задание 2.0'!$A$5,'Задание 2.0'!$A$8,'Задание 2.0'!$A$17)*'Задание 2.1'!C38)+AVERAGE('Задание 2.0'!$A$11,'Задание 2.0'!$A$14,'Задание 2.0'!$A$20))</f>
        <v>206.33333333333334</v>
      </c>
      <c r="D39" s="4">
        <f>ABS((5*'Задание 2.1'!D38^2)+(AVERAGE('Задание 2.0'!$A$5,'Задание 2.0'!$A$8,'Задание 2.0'!$A$17)*'Задание 2.1'!D38)+AVERAGE('Задание 2.0'!$A$11,'Задание 2.0'!$A$14,'Задание 2.0'!$A$20))</f>
        <v>1.3333333333333321</v>
      </c>
      <c r="E39" s="4">
        <f>ABS((5*'Задание 2.1'!E38^2)+(AVERAGE('Задание 2.0'!$A$5,'Задание 2.0'!$A$8,'Задание 2.0'!$A$17)*'Задание 2.1'!E38)+AVERAGE('Задание 2.0'!$A$11,'Задание 2.0'!$A$14,'Задание 2.0'!$A$20))</f>
        <v>1.6666666666666679</v>
      </c>
      <c r="F39" s="4">
        <f>ABS((5*'Задание 2.1'!F38^2)+(AVERAGE('Задание 2.0'!$A$5,'Задание 2.0'!$A$8,'Задание 2.0'!$A$17)*'Задание 2.1'!F38)+AVERAGE('Задание 2.0'!$A$11,'Задание 2.0'!$A$14,'Задание 2.0'!$A$20))</f>
        <v>17.333333333333332</v>
      </c>
      <c r="G39" s="4">
        <f>ABS((5*'Задание 2.1'!G38^2)+(AVERAGE('Задание 2.0'!$A$5,'Задание 2.0'!$A$8,'Задание 2.0'!$A$17)*'Задание 2.1'!G38)+AVERAGE('Задание 2.0'!$A$11,'Задание 2.0'!$A$14,'Задание 2.0'!$A$20))</f>
        <v>46.333333333333329</v>
      </c>
      <c r="H39" s="4">
        <f>ABS((5*'Задание 2.1'!H38^2)+(AVERAGE('Задание 2.0'!$A$5,'Задание 2.0'!$A$8,'Задание 2.0'!$A$17)*'Задание 2.1'!H38)+AVERAGE('Задание 2.0'!$A$11,'Задание 2.0'!$A$14,'Задание 2.0'!$A$20))</f>
        <v>193.33333333333334</v>
      </c>
      <c r="I39" s="4">
        <f>ABS((5*'Задание 2.1'!I38^2)+(AVERAGE('Задание 2.0'!$A$5,'Задание 2.0'!$A$8,'Задание 2.0'!$A$17)*'Задание 2.1'!I38)+AVERAGE('Задание 2.0'!$A$11,'Задание 2.0'!$A$14,'Задание 2.0'!$A$20))</f>
        <v>638.33333333333337</v>
      </c>
      <c r="J39" s="4">
        <f>ABS((5*'Задание 2.1'!J38^2)+(AVERAGE('Задание 2.0'!$A$5,'Задание 2.0'!$A$8,'Задание 2.0'!$A$17)*'Задание 2.1'!J38)+AVERAGE('Задание 2.0'!$A$11,'Задание 2.0'!$A$14,'Задание 2.0'!$A$20))</f>
        <v>3742.3333333333335</v>
      </c>
    </row>
    <row r="56" spans="1:6" x14ac:dyDescent="0.3">
      <c r="A56" s="4" t="s">
        <v>8</v>
      </c>
      <c r="B56" s="4">
        <v>1</v>
      </c>
      <c r="C56" s="4">
        <v>2</v>
      </c>
      <c r="D56" s="4">
        <v>3</v>
      </c>
      <c r="E56" s="4">
        <v>4</v>
      </c>
      <c r="F56" s="4">
        <v>5</v>
      </c>
    </row>
    <row r="57" spans="1:6" x14ac:dyDescent="0.3">
      <c r="A57" s="4" t="s">
        <v>9</v>
      </c>
      <c r="B57" s="4">
        <f>LOG(GCD('Задание 2.0'!$A$5,'Задание 2.0'!$A$14)+'Задание 2.0'!$A$17,ABS('Задание 2.0'!$A$11-'Задание 2.0'!$A$5)+3)</f>
        <v>1.8693494977105369</v>
      </c>
      <c r="C57" s="4">
        <f>LOG(GCD('Задание 2.0'!$A$5,'Задание 2.0'!$A$14)+'Задание 2.0'!$A$17,ABS('Задание 2.0'!$A$11-'Задание 2.0'!$A$5)+3)</f>
        <v>1.8693494977105369</v>
      </c>
      <c r="D57" s="4">
        <f>LOG(GCD('Задание 2.0'!$A$5,'Задание 2.0'!$A$14)+'Задание 2.0'!$A$17,ABS('Задание 2.0'!$A$11-'Задание 2.0'!$A$5)+3)</f>
        <v>1.8693494977105369</v>
      </c>
      <c r="E57" s="4">
        <f>LOG(GCD('Задание 2.0'!$A$5,'Задание 2.0'!$A$14)+'Задание 2.0'!$A$17,ABS('Задание 2.0'!$A$11-'Задание 2.0'!$A$5)+3)</f>
        <v>1.8693494977105369</v>
      </c>
      <c r="F57" s="4">
        <f>LOG(GCD('Задание 2.0'!$A$5,'Задание 2.0'!$A$14)+'Задание 2.0'!$A$17,ABS('Задание 2.0'!$A$11-'Задание 2.0'!$A$5)+3)</f>
        <v>1.8693494977105369</v>
      </c>
    </row>
  </sheetData>
  <pageMargins left="0.7" right="0.7" top="0.75" bottom="0.75" header="0.3" footer="0.3"/>
  <pageSetup paperSize="9" orientation="portrait" r:id="rId1"/>
  <headerFooter>
    <oddHeader>&amp;LГневнов Артем Евгеньевич, группа 2, подгруппа 1, 29.06.2004г., вариант 37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C582-5C30-4EAA-8F8B-9435245A3C51}">
  <dimension ref="A1:O12"/>
  <sheetViews>
    <sheetView zoomScaleNormal="100" workbookViewId="0">
      <selection sqref="A1:O12"/>
    </sheetView>
  </sheetViews>
  <sheetFormatPr defaultRowHeight="14.4" x14ac:dyDescent="0.3"/>
  <sheetData>
    <row r="1" spans="1:15" x14ac:dyDescent="0.3">
      <c r="A1" s="1"/>
      <c r="B1" s="1">
        <v>-7.5</v>
      </c>
      <c r="C1" s="1">
        <v>-6</v>
      </c>
      <c r="D1" s="1">
        <v>-4.5</v>
      </c>
      <c r="E1" s="1">
        <v>-3</v>
      </c>
      <c r="F1" s="1">
        <v>-1.5</v>
      </c>
      <c r="G1" s="1">
        <v>0</v>
      </c>
      <c r="H1" s="1">
        <v>1.5</v>
      </c>
      <c r="I1" s="1">
        <v>3</v>
      </c>
      <c r="J1" s="1">
        <v>4.5</v>
      </c>
      <c r="K1" s="1">
        <v>6</v>
      </c>
      <c r="L1" s="1">
        <v>7.5</v>
      </c>
      <c r="O1" s="1" t="s">
        <v>6</v>
      </c>
    </row>
    <row r="2" spans="1:15" x14ac:dyDescent="0.3">
      <c r="A2" s="1">
        <v>-5</v>
      </c>
      <c r="B2" s="1">
        <f>((B$1)^2)/$O$2^2 + (($A2)^2)/$O$5^2</f>
        <v>81.25</v>
      </c>
      <c r="C2" s="1">
        <f t="shared" ref="C2:L12" si="0">((C$1)^2)/$O$2^2 + (($A2)^2)/$O$5^2</f>
        <v>61</v>
      </c>
      <c r="D2" s="1">
        <f t="shared" si="0"/>
        <v>45.25</v>
      </c>
      <c r="E2" s="1">
        <f t="shared" si="0"/>
        <v>34</v>
      </c>
      <c r="F2" s="1">
        <f t="shared" si="0"/>
        <v>27.25</v>
      </c>
      <c r="G2" s="1">
        <f t="shared" si="0"/>
        <v>25</v>
      </c>
      <c r="H2" s="1">
        <f t="shared" si="0"/>
        <v>27.25</v>
      </c>
      <c r="I2" s="1">
        <f t="shared" si="0"/>
        <v>34</v>
      </c>
      <c r="J2" s="1">
        <f t="shared" si="0"/>
        <v>45.25</v>
      </c>
      <c r="K2" s="1">
        <f t="shared" si="0"/>
        <v>61</v>
      </c>
      <c r="L2" s="1">
        <f t="shared" si="0"/>
        <v>81.25</v>
      </c>
      <c r="O2" s="1">
        <v>1</v>
      </c>
    </row>
    <row r="3" spans="1:15" x14ac:dyDescent="0.3">
      <c r="A3" s="1">
        <v>-4</v>
      </c>
      <c r="B3" s="1">
        <f t="shared" ref="B3:B12" si="1">((B$1)^2)/$O$2^2 + (($A3)^2)/$O$5^2</f>
        <v>72.25</v>
      </c>
      <c r="C3" s="1">
        <f t="shared" si="0"/>
        <v>52</v>
      </c>
      <c r="D3" s="1">
        <f t="shared" si="0"/>
        <v>36.25</v>
      </c>
      <c r="E3" s="1">
        <f t="shared" si="0"/>
        <v>25</v>
      </c>
      <c r="F3" s="1">
        <f t="shared" si="0"/>
        <v>18.25</v>
      </c>
      <c r="G3" s="1">
        <f t="shared" si="0"/>
        <v>16</v>
      </c>
      <c r="H3" s="1">
        <f t="shared" si="0"/>
        <v>18.25</v>
      </c>
      <c r="I3" s="1">
        <f t="shared" si="0"/>
        <v>25</v>
      </c>
      <c r="J3" s="1">
        <f t="shared" si="0"/>
        <v>36.25</v>
      </c>
      <c r="K3" s="1">
        <f t="shared" si="0"/>
        <v>52</v>
      </c>
      <c r="L3" s="1">
        <f t="shared" si="0"/>
        <v>72.25</v>
      </c>
    </row>
    <row r="4" spans="1:15" x14ac:dyDescent="0.3">
      <c r="A4" s="1">
        <v>-3</v>
      </c>
      <c r="B4" s="1">
        <f t="shared" si="1"/>
        <v>65.25</v>
      </c>
      <c r="C4" s="1">
        <f t="shared" si="0"/>
        <v>45</v>
      </c>
      <c r="D4" s="1">
        <f t="shared" si="0"/>
        <v>29.25</v>
      </c>
      <c r="E4" s="1">
        <f t="shared" si="0"/>
        <v>18</v>
      </c>
      <c r="F4" s="1">
        <f t="shared" si="0"/>
        <v>11.25</v>
      </c>
      <c r="G4" s="1">
        <f t="shared" si="0"/>
        <v>9</v>
      </c>
      <c r="H4" s="1">
        <f t="shared" si="0"/>
        <v>11.25</v>
      </c>
      <c r="I4" s="1">
        <f t="shared" si="0"/>
        <v>18</v>
      </c>
      <c r="J4" s="1">
        <f t="shared" si="0"/>
        <v>29.25</v>
      </c>
      <c r="K4" s="1">
        <f t="shared" si="0"/>
        <v>45</v>
      </c>
      <c r="L4" s="1">
        <f t="shared" si="0"/>
        <v>65.25</v>
      </c>
      <c r="O4" s="1" t="s">
        <v>7</v>
      </c>
    </row>
    <row r="5" spans="1:15" x14ac:dyDescent="0.3">
      <c r="A5" s="1">
        <v>-2</v>
      </c>
      <c r="B5" s="1">
        <f t="shared" si="1"/>
        <v>60.25</v>
      </c>
      <c r="C5" s="1">
        <f t="shared" si="0"/>
        <v>40</v>
      </c>
      <c r="D5" s="1">
        <f t="shared" si="0"/>
        <v>24.25</v>
      </c>
      <c r="E5" s="1">
        <f t="shared" si="0"/>
        <v>13</v>
      </c>
      <c r="F5" s="1">
        <f t="shared" si="0"/>
        <v>6.25</v>
      </c>
      <c r="G5" s="1">
        <f t="shared" si="0"/>
        <v>4</v>
      </c>
      <c r="H5" s="1">
        <f t="shared" si="0"/>
        <v>6.25</v>
      </c>
      <c r="I5" s="1">
        <f t="shared" si="0"/>
        <v>13</v>
      </c>
      <c r="J5" s="1">
        <f t="shared" si="0"/>
        <v>24.25</v>
      </c>
      <c r="K5" s="1">
        <f t="shared" si="0"/>
        <v>40</v>
      </c>
      <c r="L5" s="1">
        <f t="shared" si="0"/>
        <v>60.25</v>
      </c>
      <c r="O5" s="1">
        <v>1</v>
      </c>
    </row>
    <row r="6" spans="1:15" x14ac:dyDescent="0.3">
      <c r="A6" s="1">
        <v>-1</v>
      </c>
      <c r="B6" s="1">
        <f t="shared" si="1"/>
        <v>57.25</v>
      </c>
      <c r="C6" s="1">
        <f t="shared" si="0"/>
        <v>37</v>
      </c>
      <c r="D6" s="1">
        <f t="shared" si="0"/>
        <v>21.25</v>
      </c>
      <c r="E6" s="1">
        <f t="shared" si="0"/>
        <v>10</v>
      </c>
      <c r="F6" s="1">
        <f t="shared" si="0"/>
        <v>3.25</v>
      </c>
      <c r="G6" s="1">
        <f t="shared" si="0"/>
        <v>1</v>
      </c>
      <c r="H6" s="1">
        <f t="shared" si="0"/>
        <v>3.25</v>
      </c>
      <c r="I6" s="1">
        <f t="shared" si="0"/>
        <v>10</v>
      </c>
      <c r="J6" s="1">
        <f t="shared" si="0"/>
        <v>21.25</v>
      </c>
      <c r="K6" s="1">
        <f t="shared" si="0"/>
        <v>37</v>
      </c>
      <c r="L6" s="1">
        <f t="shared" si="0"/>
        <v>57.25</v>
      </c>
    </row>
    <row r="7" spans="1:15" x14ac:dyDescent="0.3">
      <c r="A7" s="1">
        <v>0</v>
      </c>
      <c r="B7" s="1">
        <f t="shared" si="1"/>
        <v>56.25</v>
      </c>
      <c r="C7" s="1">
        <f t="shared" si="0"/>
        <v>36</v>
      </c>
      <c r="D7" s="1">
        <f t="shared" si="0"/>
        <v>20.25</v>
      </c>
      <c r="E7" s="1">
        <f t="shared" si="0"/>
        <v>9</v>
      </c>
      <c r="F7" s="1">
        <f t="shared" si="0"/>
        <v>2.25</v>
      </c>
      <c r="G7" s="1">
        <f t="shared" si="0"/>
        <v>0</v>
      </c>
      <c r="H7" s="1">
        <f t="shared" si="0"/>
        <v>2.25</v>
      </c>
      <c r="I7" s="1">
        <f t="shared" si="0"/>
        <v>9</v>
      </c>
      <c r="J7" s="1">
        <f t="shared" si="0"/>
        <v>20.25</v>
      </c>
      <c r="K7" s="1">
        <f t="shared" si="0"/>
        <v>36</v>
      </c>
      <c r="L7" s="1">
        <f t="shared" si="0"/>
        <v>56.25</v>
      </c>
    </row>
    <row r="8" spans="1:15" x14ac:dyDescent="0.3">
      <c r="A8" s="1">
        <v>1</v>
      </c>
      <c r="B8" s="1">
        <f t="shared" si="1"/>
        <v>57.25</v>
      </c>
      <c r="C8" s="1">
        <f t="shared" si="0"/>
        <v>37</v>
      </c>
      <c r="D8" s="1">
        <f t="shared" si="0"/>
        <v>21.25</v>
      </c>
      <c r="E8" s="1">
        <f t="shared" si="0"/>
        <v>10</v>
      </c>
      <c r="F8" s="1">
        <f t="shared" si="0"/>
        <v>3.25</v>
      </c>
      <c r="G8" s="1">
        <f t="shared" si="0"/>
        <v>1</v>
      </c>
      <c r="H8" s="1">
        <f t="shared" si="0"/>
        <v>3.25</v>
      </c>
      <c r="I8" s="1">
        <f t="shared" si="0"/>
        <v>10</v>
      </c>
      <c r="J8" s="1">
        <f t="shared" si="0"/>
        <v>21.25</v>
      </c>
      <c r="K8" s="1">
        <f t="shared" si="0"/>
        <v>37</v>
      </c>
      <c r="L8" s="1">
        <f t="shared" si="0"/>
        <v>57.25</v>
      </c>
    </row>
    <row r="9" spans="1:15" x14ac:dyDescent="0.3">
      <c r="A9" s="1">
        <v>2</v>
      </c>
      <c r="B9" s="1">
        <f t="shared" si="1"/>
        <v>60.25</v>
      </c>
      <c r="C9" s="1">
        <f t="shared" si="0"/>
        <v>40</v>
      </c>
      <c r="D9" s="1">
        <f t="shared" si="0"/>
        <v>24.25</v>
      </c>
      <c r="E9" s="1">
        <f t="shared" si="0"/>
        <v>13</v>
      </c>
      <c r="F9" s="1">
        <f t="shared" si="0"/>
        <v>6.25</v>
      </c>
      <c r="G9" s="1">
        <f t="shared" si="0"/>
        <v>4</v>
      </c>
      <c r="H9" s="1">
        <f t="shared" si="0"/>
        <v>6.25</v>
      </c>
      <c r="I9" s="1">
        <f t="shared" si="0"/>
        <v>13</v>
      </c>
      <c r="J9" s="1">
        <f t="shared" si="0"/>
        <v>24.25</v>
      </c>
      <c r="K9" s="1">
        <f t="shared" si="0"/>
        <v>40</v>
      </c>
      <c r="L9" s="1">
        <f t="shared" si="0"/>
        <v>60.25</v>
      </c>
    </row>
    <row r="10" spans="1:15" x14ac:dyDescent="0.3">
      <c r="A10" s="1">
        <v>3</v>
      </c>
      <c r="B10" s="1">
        <f t="shared" si="1"/>
        <v>65.25</v>
      </c>
      <c r="C10" s="1">
        <f t="shared" si="0"/>
        <v>45</v>
      </c>
      <c r="D10" s="1">
        <f t="shared" si="0"/>
        <v>29.25</v>
      </c>
      <c r="E10" s="1">
        <f t="shared" si="0"/>
        <v>18</v>
      </c>
      <c r="F10" s="1">
        <f t="shared" si="0"/>
        <v>11.25</v>
      </c>
      <c r="G10" s="1">
        <f t="shared" si="0"/>
        <v>9</v>
      </c>
      <c r="H10" s="1">
        <f t="shared" si="0"/>
        <v>11.25</v>
      </c>
      <c r="I10" s="1">
        <f t="shared" si="0"/>
        <v>18</v>
      </c>
      <c r="J10" s="1">
        <f t="shared" si="0"/>
        <v>29.25</v>
      </c>
      <c r="K10" s="1">
        <f t="shared" si="0"/>
        <v>45</v>
      </c>
      <c r="L10" s="1">
        <f t="shared" si="0"/>
        <v>65.25</v>
      </c>
    </row>
    <row r="11" spans="1:15" x14ac:dyDescent="0.3">
      <c r="A11" s="1">
        <v>4</v>
      </c>
      <c r="B11" s="1">
        <f t="shared" si="1"/>
        <v>72.25</v>
      </c>
      <c r="C11" s="1">
        <f t="shared" si="0"/>
        <v>52</v>
      </c>
      <c r="D11" s="1">
        <f t="shared" si="0"/>
        <v>36.25</v>
      </c>
      <c r="E11" s="1">
        <f t="shared" si="0"/>
        <v>25</v>
      </c>
      <c r="F11" s="1">
        <f t="shared" si="0"/>
        <v>18.25</v>
      </c>
      <c r="G11" s="1">
        <f t="shared" si="0"/>
        <v>16</v>
      </c>
      <c r="H11" s="1">
        <f t="shared" si="0"/>
        <v>18.25</v>
      </c>
      <c r="I11" s="1">
        <f t="shared" si="0"/>
        <v>25</v>
      </c>
      <c r="J11" s="1">
        <f t="shared" si="0"/>
        <v>36.25</v>
      </c>
      <c r="K11" s="1">
        <f t="shared" si="0"/>
        <v>52</v>
      </c>
      <c r="L11" s="1">
        <f t="shared" si="0"/>
        <v>72.25</v>
      </c>
    </row>
    <row r="12" spans="1:15" x14ac:dyDescent="0.3">
      <c r="A12" s="1">
        <v>5</v>
      </c>
      <c r="B12" s="1">
        <f t="shared" si="1"/>
        <v>81.25</v>
      </c>
      <c r="C12" s="1">
        <f t="shared" si="0"/>
        <v>61</v>
      </c>
      <c r="D12" s="1">
        <f t="shared" si="0"/>
        <v>45.25</v>
      </c>
      <c r="E12" s="1">
        <f t="shared" si="0"/>
        <v>34</v>
      </c>
      <c r="F12" s="1">
        <f t="shared" si="0"/>
        <v>27.25</v>
      </c>
      <c r="G12" s="1">
        <f t="shared" si="0"/>
        <v>25</v>
      </c>
      <c r="H12" s="1">
        <f t="shared" si="0"/>
        <v>27.25</v>
      </c>
      <c r="I12" s="1">
        <f t="shared" si="0"/>
        <v>34</v>
      </c>
      <c r="J12" s="1">
        <f t="shared" si="0"/>
        <v>45.25</v>
      </c>
      <c r="K12" s="1">
        <f t="shared" si="0"/>
        <v>61</v>
      </c>
      <c r="L12" s="1">
        <f t="shared" si="0"/>
        <v>81.25</v>
      </c>
    </row>
  </sheetData>
  <pageMargins left="0.7" right="0.7" top="0.75" bottom="0.75" header="0.3" footer="0.3"/>
  <pageSetup paperSize="9" orientation="portrait" r:id="rId1"/>
  <headerFooter>
    <oddHeader>&amp;LГневнов Артем Евгеньевич, группа 2, подгруппа 1, 29.06.2004г., вариант 37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4CC0-22AA-4A3E-BF2D-CB5DC6FCA23F}">
  <dimension ref="A1:O61"/>
  <sheetViews>
    <sheetView zoomScaleNormal="100" workbookViewId="0">
      <selection activeCell="J50" sqref="J50"/>
    </sheetView>
  </sheetViews>
  <sheetFormatPr defaultRowHeight="18" x14ac:dyDescent="0.35"/>
  <cols>
    <col min="1" max="16384" width="8.88671875" style="3"/>
  </cols>
  <sheetData>
    <row r="1" spans="1:15" x14ac:dyDescent="0.35">
      <c r="A1" s="2"/>
      <c r="B1" s="2">
        <v>-7.5</v>
      </c>
      <c r="C1" s="2">
        <v>-6</v>
      </c>
      <c r="D1" s="2">
        <v>-4.5</v>
      </c>
      <c r="E1" s="2">
        <v>-3</v>
      </c>
      <c r="F1" s="2">
        <v>-1.5</v>
      </c>
      <c r="G1" s="2">
        <v>0</v>
      </c>
      <c r="H1" s="2">
        <v>1.5</v>
      </c>
      <c r="I1" s="2">
        <v>3</v>
      </c>
      <c r="J1" s="2">
        <v>4.5</v>
      </c>
      <c r="K1" s="2">
        <v>6</v>
      </c>
      <c r="L1" s="2">
        <v>7.5</v>
      </c>
      <c r="O1" s="2" t="s">
        <v>6</v>
      </c>
    </row>
    <row r="2" spans="1:15" x14ac:dyDescent="0.35">
      <c r="A2" s="2">
        <v>-5</v>
      </c>
      <c r="B2" s="2">
        <f>((B$1)^2)/$O$2^2 + (($A2)^2)/$O$5^2</f>
        <v>35156.250039062499</v>
      </c>
      <c r="C2" s="2">
        <f t="shared" ref="C2:L12" si="0">((C$1)^2)/$O$2^2 + (($A2)^2)/$O$5^2</f>
        <v>22500.000039062499</v>
      </c>
      <c r="D2" s="2">
        <f t="shared" si="0"/>
        <v>12656.250039062499</v>
      </c>
      <c r="E2" s="2">
        <f t="shared" si="0"/>
        <v>5625.0000390625</v>
      </c>
      <c r="F2" s="2">
        <f t="shared" si="0"/>
        <v>1406.2500390625</v>
      </c>
      <c r="G2" s="2">
        <f t="shared" si="0"/>
        <v>3.9062500000000001E-5</v>
      </c>
      <c r="H2" s="2">
        <f t="shared" si="0"/>
        <v>1406.2500390625</v>
      </c>
      <c r="I2" s="2">
        <f t="shared" si="0"/>
        <v>5625.0000390625</v>
      </c>
      <c r="J2" s="2">
        <f t="shared" si="0"/>
        <v>12656.250039062499</v>
      </c>
      <c r="K2" s="2">
        <f t="shared" si="0"/>
        <v>22500.000039062499</v>
      </c>
      <c r="L2" s="2">
        <f t="shared" si="0"/>
        <v>35156.250039062499</v>
      </c>
      <c r="O2" s="2">
        <v>-0.04</v>
      </c>
    </row>
    <row r="3" spans="1:15" x14ac:dyDescent="0.35">
      <c r="A3" s="2">
        <v>-4</v>
      </c>
      <c r="B3" s="2">
        <f t="shared" ref="B3:B12" si="1">((B$1)^2)/$O$2^2 + (($A3)^2)/$O$5^2</f>
        <v>35156.250025000001</v>
      </c>
      <c r="C3" s="2">
        <f t="shared" si="0"/>
        <v>22500.000025000001</v>
      </c>
      <c r="D3" s="2">
        <f t="shared" si="0"/>
        <v>12656.250024999999</v>
      </c>
      <c r="E3" s="2">
        <f t="shared" si="0"/>
        <v>5625.0000250000003</v>
      </c>
      <c r="F3" s="2">
        <f t="shared" si="0"/>
        <v>1406.2500250000001</v>
      </c>
      <c r="G3" s="2">
        <f t="shared" si="0"/>
        <v>2.5000000000000001E-5</v>
      </c>
      <c r="H3" s="2">
        <f t="shared" si="0"/>
        <v>1406.2500250000001</v>
      </c>
      <c r="I3" s="2">
        <f t="shared" si="0"/>
        <v>5625.0000250000003</v>
      </c>
      <c r="J3" s="2">
        <f t="shared" si="0"/>
        <v>12656.250024999999</v>
      </c>
      <c r="K3" s="2">
        <f t="shared" si="0"/>
        <v>22500.000025000001</v>
      </c>
      <c r="L3" s="2">
        <f t="shared" si="0"/>
        <v>35156.250025000001</v>
      </c>
    </row>
    <row r="4" spans="1:15" x14ac:dyDescent="0.35">
      <c r="A4" s="2">
        <v>-3</v>
      </c>
      <c r="B4" s="2">
        <f t="shared" si="1"/>
        <v>35156.250014062498</v>
      </c>
      <c r="C4" s="2">
        <f t="shared" si="0"/>
        <v>22500.000014062502</v>
      </c>
      <c r="D4" s="2">
        <f t="shared" si="0"/>
        <v>12656.2500140625</v>
      </c>
      <c r="E4" s="2">
        <f t="shared" si="0"/>
        <v>5625.0000140624998</v>
      </c>
      <c r="F4" s="2">
        <f t="shared" si="0"/>
        <v>1406.2500140625</v>
      </c>
      <c r="G4" s="2">
        <f t="shared" si="0"/>
        <v>1.40625E-5</v>
      </c>
      <c r="H4" s="2">
        <f t="shared" si="0"/>
        <v>1406.2500140625</v>
      </c>
      <c r="I4" s="2">
        <f t="shared" si="0"/>
        <v>5625.0000140624998</v>
      </c>
      <c r="J4" s="2">
        <f t="shared" si="0"/>
        <v>12656.2500140625</v>
      </c>
      <c r="K4" s="2">
        <f t="shared" si="0"/>
        <v>22500.000014062502</v>
      </c>
      <c r="L4" s="2">
        <f t="shared" si="0"/>
        <v>35156.250014062498</v>
      </c>
      <c r="O4" s="2" t="s">
        <v>7</v>
      </c>
    </row>
    <row r="5" spans="1:15" x14ac:dyDescent="0.35">
      <c r="A5" s="2">
        <v>-2</v>
      </c>
      <c r="B5" s="2">
        <f t="shared" si="1"/>
        <v>35156.250006249997</v>
      </c>
      <c r="C5" s="2">
        <f t="shared" si="0"/>
        <v>22500.00000625</v>
      </c>
      <c r="D5" s="2">
        <f t="shared" si="0"/>
        <v>12656.25000625</v>
      </c>
      <c r="E5" s="2">
        <f t="shared" si="0"/>
        <v>5625.0000062500003</v>
      </c>
      <c r="F5" s="2">
        <f t="shared" si="0"/>
        <v>1406.2500062500001</v>
      </c>
      <c r="G5" s="2">
        <f t="shared" si="0"/>
        <v>6.2500000000000003E-6</v>
      </c>
      <c r="H5" s="2">
        <f t="shared" si="0"/>
        <v>1406.2500062500001</v>
      </c>
      <c r="I5" s="2">
        <f t="shared" si="0"/>
        <v>5625.0000062500003</v>
      </c>
      <c r="J5" s="2">
        <f t="shared" si="0"/>
        <v>12656.25000625</v>
      </c>
      <c r="K5" s="2">
        <f t="shared" si="0"/>
        <v>22500.00000625</v>
      </c>
      <c r="L5" s="2">
        <f t="shared" si="0"/>
        <v>35156.250006249997</v>
      </c>
      <c r="O5" s="2">
        <v>800</v>
      </c>
    </row>
    <row r="6" spans="1:15" x14ac:dyDescent="0.35">
      <c r="A6" s="2">
        <v>-1</v>
      </c>
      <c r="B6" s="2">
        <f t="shared" si="1"/>
        <v>35156.250001562497</v>
      </c>
      <c r="C6" s="2">
        <f t="shared" si="0"/>
        <v>22500.000001562501</v>
      </c>
      <c r="D6" s="2">
        <f t="shared" si="0"/>
        <v>12656.250001562499</v>
      </c>
      <c r="E6" s="2">
        <f t="shared" si="0"/>
        <v>5625.0000015625001</v>
      </c>
      <c r="F6" s="2">
        <f t="shared" si="0"/>
        <v>1406.2500015625001</v>
      </c>
      <c r="G6" s="2">
        <f t="shared" si="0"/>
        <v>1.5625000000000001E-6</v>
      </c>
      <c r="H6" s="2">
        <f t="shared" si="0"/>
        <v>1406.2500015625001</v>
      </c>
      <c r="I6" s="2">
        <f t="shared" si="0"/>
        <v>5625.0000015625001</v>
      </c>
      <c r="J6" s="2">
        <f t="shared" si="0"/>
        <v>12656.250001562499</v>
      </c>
      <c r="K6" s="2">
        <f t="shared" si="0"/>
        <v>22500.000001562501</v>
      </c>
      <c r="L6" s="2">
        <f t="shared" si="0"/>
        <v>35156.250001562497</v>
      </c>
    </row>
    <row r="7" spans="1:15" x14ac:dyDescent="0.35">
      <c r="A7" s="2">
        <v>0</v>
      </c>
      <c r="B7" s="2">
        <f t="shared" si="1"/>
        <v>35156.25</v>
      </c>
      <c r="C7" s="2">
        <f t="shared" si="0"/>
        <v>22500</v>
      </c>
      <c r="D7" s="2">
        <f t="shared" si="0"/>
        <v>12656.25</v>
      </c>
      <c r="E7" s="2">
        <f t="shared" si="0"/>
        <v>5625</v>
      </c>
      <c r="F7" s="2">
        <f t="shared" si="0"/>
        <v>1406.25</v>
      </c>
      <c r="G7" s="2">
        <f t="shared" si="0"/>
        <v>0</v>
      </c>
      <c r="H7" s="2">
        <f t="shared" si="0"/>
        <v>1406.25</v>
      </c>
      <c r="I7" s="2">
        <f t="shared" si="0"/>
        <v>5625</v>
      </c>
      <c r="J7" s="2">
        <f t="shared" si="0"/>
        <v>12656.25</v>
      </c>
      <c r="K7" s="2">
        <f t="shared" si="0"/>
        <v>22500</v>
      </c>
      <c r="L7" s="2">
        <f t="shared" si="0"/>
        <v>35156.25</v>
      </c>
    </row>
    <row r="8" spans="1:15" x14ac:dyDescent="0.35">
      <c r="A8" s="2">
        <v>1</v>
      </c>
      <c r="B8" s="2">
        <f t="shared" si="1"/>
        <v>35156.250001562497</v>
      </c>
      <c r="C8" s="2">
        <f t="shared" si="0"/>
        <v>22500.000001562501</v>
      </c>
      <c r="D8" s="2">
        <f t="shared" si="0"/>
        <v>12656.250001562499</v>
      </c>
      <c r="E8" s="2">
        <f t="shared" si="0"/>
        <v>5625.0000015625001</v>
      </c>
      <c r="F8" s="2">
        <f t="shared" si="0"/>
        <v>1406.2500015625001</v>
      </c>
      <c r="G8" s="2">
        <f t="shared" si="0"/>
        <v>1.5625000000000001E-6</v>
      </c>
      <c r="H8" s="2">
        <f t="shared" si="0"/>
        <v>1406.2500015625001</v>
      </c>
      <c r="I8" s="2">
        <f t="shared" si="0"/>
        <v>5625.0000015625001</v>
      </c>
      <c r="J8" s="2">
        <f t="shared" si="0"/>
        <v>12656.250001562499</v>
      </c>
      <c r="K8" s="2">
        <f t="shared" si="0"/>
        <v>22500.000001562501</v>
      </c>
      <c r="L8" s="2">
        <f t="shared" si="0"/>
        <v>35156.250001562497</v>
      </c>
    </row>
    <row r="9" spans="1:15" x14ac:dyDescent="0.35">
      <c r="A9" s="2">
        <v>2</v>
      </c>
      <c r="B9" s="2">
        <f t="shared" si="1"/>
        <v>35156.250006249997</v>
      </c>
      <c r="C9" s="2">
        <f t="shared" si="0"/>
        <v>22500.00000625</v>
      </c>
      <c r="D9" s="2">
        <f t="shared" si="0"/>
        <v>12656.25000625</v>
      </c>
      <c r="E9" s="2">
        <f t="shared" si="0"/>
        <v>5625.0000062500003</v>
      </c>
      <c r="F9" s="2">
        <f t="shared" si="0"/>
        <v>1406.2500062500001</v>
      </c>
      <c r="G9" s="2">
        <f t="shared" si="0"/>
        <v>6.2500000000000003E-6</v>
      </c>
      <c r="H9" s="2">
        <f t="shared" si="0"/>
        <v>1406.2500062500001</v>
      </c>
      <c r="I9" s="2">
        <f t="shared" si="0"/>
        <v>5625.0000062500003</v>
      </c>
      <c r="J9" s="2">
        <f t="shared" si="0"/>
        <v>12656.25000625</v>
      </c>
      <c r="K9" s="2">
        <f t="shared" si="0"/>
        <v>22500.00000625</v>
      </c>
      <c r="L9" s="2">
        <f t="shared" si="0"/>
        <v>35156.250006249997</v>
      </c>
    </row>
    <row r="10" spans="1:15" x14ac:dyDescent="0.35">
      <c r="A10" s="2">
        <v>3</v>
      </c>
      <c r="B10" s="2">
        <f t="shared" si="1"/>
        <v>35156.250014062498</v>
      </c>
      <c r="C10" s="2">
        <f t="shared" si="0"/>
        <v>22500.000014062502</v>
      </c>
      <c r="D10" s="2">
        <f t="shared" si="0"/>
        <v>12656.2500140625</v>
      </c>
      <c r="E10" s="2">
        <f t="shared" si="0"/>
        <v>5625.0000140624998</v>
      </c>
      <c r="F10" s="2">
        <f t="shared" si="0"/>
        <v>1406.2500140625</v>
      </c>
      <c r="G10" s="2">
        <f t="shared" si="0"/>
        <v>1.40625E-5</v>
      </c>
      <c r="H10" s="2">
        <f t="shared" si="0"/>
        <v>1406.2500140625</v>
      </c>
      <c r="I10" s="2">
        <f t="shared" si="0"/>
        <v>5625.0000140624998</v>
      </c>
      <c r="J10" s="2">
        <f t="shared" si="0"/>
        <v>12656.2500140625</v>
      </c>
      <c r="K10" s="2">
        <f t="shared" si="0"/>
        <v>22500.000014062502</v>
      </c>
      <c r="L10" s="2">
        <f t="shared" si="0"/>
        <v>35156.250014062498</v>
      </c>
    </row>
    <row r="11" spans="1:15" x14ac:dyDescent="0.35">
      <c r="A11" s="2">
        <v>4</v>
      </c>
      <c r="B11" s="2">
        <f t="shared" si="1"/>
        <v>35156.250025000001</v>
      </c>
      <c r="C11" s="2">
        <f t="shared" si="0"/>
        <v>22500.000025000001</v>
      </c>
      <c r="D11" s="2">
        <f t="shared" si="0"/>
        <v>12656.250024999999</v>
      </c>
      <c r="E11" s="2">
        <f t="shared" si="0"/>
        <v>5625.0000250000003</v>
      </c>
      <c r="F11" s="2">
        <f t="shared" si="0"/>
        <v>1406.2500250000001</v>
      </c>
      <c r="G11" s="2">
        <f t="shared" si="0"/>
        <v>2.5000000000000001E-5</v>
      </c>
      <c r="H11" s="2">
        <f t="shared" si="0"/>
        <v>1406.2500250000001</v>
      </c>
      <c r="I11" s="2">
        <f t="shared" si="0"/>
        <v>5625.0000250000003</v>
      </c>
      <c r="J11" s="2">
        <f t="shared" si="0"/>
        <v>12656.250024999999</v>
      </c>
      <c r="K11" s="2">
        <f t="shared" si="0"/>
        <v>22500.000025000001</v>
      </c>
      <c r="L11" s="2">
        <f t="shared" si="0"/>
        <v>35156.250025000001</v>
      </c>
    </row>
    <row r="12" spans="1:15" x14ac:dyDescent="0.35">
      <c r="A12" s="2">
        <v>5</v>
      </c>
      <c r="B12" s="2">
        <f t="shared" si="1"/>
        <v>35156.250039062499</v>
      </c>
      <c r="C12" s="2">
        <f t="shared" si="0"/>
        <v>22500.000039062499</v>
      </c>
      <c r="D12" s="2">
        <f t="shared" si="0"/>
        <v>12656.250039062499</v>
      </c>
      <c r="E12" s="2">
        <f t="shared" si="0"/>
        <v>5625.0000390625</v>
      </c>
      <c r="F12" s="2">
        <f t="shared" si="0"/>
        <v>1406.2500390625</v>
      </c>
      <c r="G12" s="2">
        <f t="shared" si="0"/>
        <v>3.9062500000000001E-5</v>
      </c>
      <c r="H12" s="2">
        <f t="shared" si="0"/>
        <v>1406.2500390625</v>
      </c>
      <c r="I12" s="2">
        <f t="shared" si="0"/>
        <v>5625.0000390625</v>
      </c>
      <c r="J12" s="2">
        <f t="shared" si="0"/>
        <v>12656.250039062499</v>
      </c>
      <c r="K12" s="2">
        <f t="shared" si="0"/>
        <v>22500.000039062499</v>
      </c>
      <c r="L12" s="2">
        <f t="shared" si="0"/>
        <v>35156.250039062499</v>
      </c>
    </row>
    <row r="30" spans="1:15" x14ac:dyDescent="0.35">
      <c r="A30" s="2"/>
      <c r="B30" s="2">
        <v>-7.5</v>
      </c>
      <c r="C30" s="2">
        <v>-6</v>
      </c>
      <c r="D30" s="2">
        <v>-4.5</v>
      </c>
      <c r="E30" s="2">
        <v>-3</v>
      </c>
      <c r="F30" s="2">
        <v>-1.5</v>
      </c>
      <c r="G30" s="2">
        <v>0</v>
      </c>
      <c r="H30" s="2">
        <v>1.5</v>
      </c>
      <c r="I30" s="2">
        <v>3</v>
      </c>
      <c r="J30" s="2">
        <v>4.5</v>
      </c>
      <c r="K30" s="2">
        <v>6</v>
      </c>
      <c r="L30" s="2">
        <v>7.5</v>
      </c>
      <c r="O30" s="2" t="s">
        <v>6</v>
      </c>
    </row>
    <row r="31" spans="1:15" x14ac:dyDescent="0.35">
      <c r="A31" s="2">
        <v>-5</v>
      </c>
      <c r="B31" s="2">
        <f>((B$1)^2)/$O$31^2 + (($A31)^2)/$O$34^2</f>
        <v>2.5743272569444446E-4</v>
      </c>
      <c r="C31" s="2">
        <f t="shared" ref="C31:L41" si="2">((C$1)^2)/$O$31^2 + (($A31)^2)/$O$34^2</f>
        <v>2.2579210069444442E-4</v>
      </c>
      <c r="D31" s="2">
        <f t="shared" si="2"/>
        <v>2.0118272569444442E-4</v>
      </c>
      <c r="E31" s="2">
        <f t="shared" si="2"/>
        <v>1.8360460069444443E-4</v>
      </c>
      <c r="F31" s="2">
        <f t="shared" si="2"/>
        <v>1.7305772569444443E-4</v>
      </c>
      <c r="G31" s="2">
        <f t="shared" si="2"/>
        <v>1.6954210069444444E-4</v>
      </c>
      <c r="H31" s="2">
        <f t="shared" si="2"/>
        <v>1.7305772569444443E-4</v>
      </c>
      <c r="I31" s="2">
        <f t="shared" si="2"/>
        <v>1.8360460069444443E-4</v>
      </c>
      <c r="J31" s="2">
        <f t="shared" si="2"/>
        <v>2.0118272569444442E-4</v>
      </c>
      <c r="K31" s="2">
        <f t="shared" si="2"/>
        <v>2.2579210069444442E-4</v>
      </c>
      <c r="L31" s="2">
        <f t="shared" si="2"/>
        <v>2.5743272569444446E-4</v>
      </c>
      <c r="O31" s="2">
        <v>800</v>
      </c>
    </row>
    <row r="32" spans="1:15" x14ac:dyDescent="0.35">
      <c r="A32" s="2">
        <v>-4</v>
      </c>
      <c r="B32" s="2">
        <f t="shared" ref="B32:B41" si="3">((B$1)^2)/$O$31^2 + (($A32)^2)/$O$34^2</f>
        <v>1.9639756944444444E-4</v>
      </c>
      <c r="C32" s="2">
        <f t="shared" si="2"/>
        <v>1.6475694444444442E-4</v>
      </c>
      <c r="D32" s="2">
        <f t="shared" si="2"/>
        <v>1.4014756944444442E-4</v>
      </c>
      <c r="E32" s="2">
        <f t="shared" si="2"/>
        <v>1.2256944444444443E-4</v>
      </c>
      <c r="F32" s="2">
        <f t="shared" si="2"/>
        <v>1.1202256944444444E-4</v>
      </c>
      <c r="G32" s="2">
        <f t="shared" si="2"/>
        <v>1.0850694444444444E-4</v>
      </c>
      <c r="H32" s="2">
        <f t="shared" si="2"/>
        <v>1.1202256944444444E-4</v>
      </c>
      <c r="I32" s="2">
        <f t="shared" si="2"/>
        <v>1.2256944444444443E-4</v>
      </c>
      <c r="J32" s="2">
        <f t="shared" si="2"/>
        <v>1.4014756944444442E-4</v>
      </c>
      <c r="K32" s="2">
        <f t="shared" si="2"/>
        <v>1.6475694444444442E-4</v>
      </c>
      <c r="L32" s="2">
        <f t="shared" si="2"/>
        <v>1.9639756944444444E-4</v>
      </c>
    </row>
    <row r="33" spans="1:15" x14ac:dyDescent="0.35">
      <c r="A33" s="2">
        <v>-3</v>
      </c>
      <c r="B33" s="2">
        <f t="shared" si="3"/>
        <v>1.4892578125E-4</v>
      </c>
      <c r="C33" s="2">
        <f t="shared" si="2"/>
        <v>1.1728515625E-4</v>
      </c>
      <c r="D33" s="2">
        <f t="shared" si="2"/>
        <v>9.2675781249999998E-5</v>
      </c>
      <c r="E33" s="2">
        <f t="shared" si="2"/>
        <v>7.5097656249999996E-5</v>
      </c>
      <c r="F33" s="2">
        <f t="shared" si="2"/>
        <v>6.4550781250000006E-5</v>
      </c>
      <c r="G33" s="2">
        <f t="shared" si="2"/>
        <v>6.103515625E-5</v>
      </c>
      <c r="H33" s="2">
        <f t="shared" si="2"/>
        <v>6.4550781250000006E-5</v>
      </c>
      <c r="I33" s="2">
        <f t="shared" si="2"/>
        <v>7.5097656249999996E-5</v>
      </c>
      <c r="J33" s="2">
        <f t="shared" si="2"/>
        <v>9.2675781249999998E-5</v>
      </c>
      <c r="K33" s="2">
        <f t="shared" si="2"/>
        <v>1.1728515625E-4</v>
      </c>
      <c r="L33" s="2">
        <f t="shared" si="2"/>
        <v>1.4892578125E-4</v>
      </c>
      <c r="O33" s="2" t="s">
        <v>7</v>
      </c>
    </row>
    <row r="34" spans="1:15" x14ac:dyDescent="0.35">
      <c r="A34" s="2">
        <v>-2</v>
      </c>
      <c r="B34" s="2">
        <f t="shared" si="3"/>
        <v>1.1501736111111111E-4</v>
      </c>
      <c r="C34" s="2">
        <f t="shared" si="2"/>
        <v>8.3376736111111108E-5</v>
      </c>
      <c r="D34" s="2">
        <f t="shared" si="2"/>
        <v>5.8767361111111108E-5</v>
      </c>
      <c r="E34" s="2">
        <f t="shared" si="2"/>
        <v>4.1189236111111106E-5</v>
      </c>
      <c r="F34" s="2">
        <f t="shared" si="2"/>
        <v>3.0642361111111109E-5</v>
      </c>
      <c r="G34" s="2">
        <f t="shared" si="2"/>
        <v>2.712673611111111E-5</v>
      </c>
      <c r="H34" s="2">
        <f t="shared" si="2"/>
        <v>3.0642361111111109E-5</v>
      </c>
      <c r="I34" s="2">
        <f t="shared" si="2"/>
        <v>4.1189236111111106E-5</v>
      </c>
      <c r="J34" s="2">
        <f t="shared" si="2"/>
        <v>5.8767361111111108E-5</v>
      </c>
      <c r="K34" s="2">
        <f t="shared" si="2"/>
        <v>8.3376736111111108E-5</v>
      </c>
      <c r="L34" s="2">
        <f t="shared" si="2"/>
        <v>1.1501736111111111E-4</v>
      </c>
      <c r="O34" s="2">
        <v>-384</v>
      </c>
    </row>
    <row r="35" spans="1:15" x14ac:dyDescent="0.35">
      <c r="A35" s="2">
        <v>-1</v>
      </c>
      <c r="B35" s="2">
        <f t="shared" si="3"/>
        <v>9.4672309027777778E-5</v>
      </c>
      <c r="C35" s="2">
        <f t="shared" si="2"/>
        <v>6.3031684027777779E-5</v>
      </c>
      <c r="D35" s="2">
        <f t="shared" si="2"/>
        <v>3.8422309027777779E-5</v>
      </c>
      <c r="E35" s="2">
        <f t="shared" si="2"/>
        <v>2.0844184027777777E-5</v>
      </c>
      <c r="F35" s="2">
        <f t="shared" si="2"/>
        <v>1.0297309027777776E-5</v>
      </c>
      <c r="G35" s="2">
        <f t="shared" si="2"/>
        <v>6.7816840277777774E-6</v>
      </c>
      <c r="H35" s="2">
        <f t="shared" si="2"/>
        <v>1.0297309027777776E-5</v>
      </c>
      <c r="I35" s="2">
        <f t="shared" si="2"/>
        <v>2.0844184027777777E-5</v>
      </c>
      <c r="J35" s="2">
        <f t="shared" si="2"/>
        <v>3.8422309027777779E-5</v>
      </c>
      <c r="K35" s="2">
        <f t="shared" si="2"/>
        <v>6.3031684027777779E-5</v>
      </c>
      <c r="L35" s="2">
        <f t="shared" si="2"/>
        <v>9.4672309027777778E-5</v>
      </c>
    </row>
    <row r="36" spans="1:15" x14ac:dyDescent="0.35">
      <c r="A36" s="2">
        <v>0</v>
      </c>
      <c r="B36" s="2">
        <f t="shared" si="3"/>
        <v>8.7890624999999997E-5</v>
      </c>
      <c r="C36" s="2">
        <f t="shared" si="2"/>
        <v>5.6249999999999998E-5</v>
      </c>
      <c r="D36" s="2">
        <f t="shared" si="2"/>
        <v>3.1640624999999998E-5</v>
      </c>
      <c r="E36" s="2">
        <f t="shared" si="2"/>
        <v>1.40625E-5</v>
      </c>
      <c r="F36" s="2">
        <f t="shared" si="2"/>
        <v>3.5156249999999999E-6</v>
      </c>
      <c r="G36" s="2">
        <f t="shared" si="2"/>
        <v>0</v>
      </c>
      <c r="H36" s="2">
        <f t="shared" si="2"/>
        <v>3.5156249999999999E-6</v>
      </c>
      <c r="I36" s="2">
        <f t="shared" si="2"/>
        <v>1.40625E-5</v>
      </c>
      <c r="J36" s="2">
        <f t="shared" si="2"/>
        <v>3.1640624999999998E-5</v>
      </c>
      <c r="K36" s="2">
        <f t="shared" si="2"/>
        <v>5.6249999999999998E-5</v>
      </c>
      <c r="L36" s="2">
        <f t="shared" si="2"/>
        <v>8.7890624999999997E-5</v>
      </c>
    </row>
    <row r="37" spans="1:15" x14ac:dyDescent="0.35">
      <c r="A37" s="2">
        <v>1</v>
      </c>
      <c r="B37" s="2">
        <f t="shared" si="3"/>
        <v>9.4672309027777778E-5</v>
      </c>
      <c r="C37" s="2">
        <f t="shared" si="2"/>
        <v>6.3031684027777779E-5</v>
      </c>
      <c r="D37" s="2">
        <f t="shared" si="2"/>
        <v>3.8422309027777779E-5</v>
      </c>
      <c r="E37" s="2">
        <f t="shared" si="2"/>
        <v>2.0844184027777777E-5</v>
      </c>
      <c r="F37" s="2">
        <f t="shared" si="2"/>
        <v>1.0297309027777776E-5</v>
      </c>
      <c r="G37" s="2">
        <f t="shared" si="2"/>
        <v>6.7816840277777774E-6</v>
      </c>
      <c r="H37" s="2">
        <f t="shared" si="2"/>
        <v>1.0297309027777776E-5</v>
      </c>
      <c r="I37" s="2">
        <f t="shared" si="2"/>
        <v>2.0844184027777777E-5</v>
      </c>
      <c r="J37" s="2">
        <f t="shared" si="2"/>
        <v>3.8422309027777779E-5</v>
      </c>
      <c r="K37" s="2">
        <f t="shared" si="2"/>
        <v>6.3031684027777779E-5</v>
      </c>
      <c r="L37" s="2">
        <f t="shared" si="2"/>
        <v>9.4672309027777778E-5</v>
      </c>
    </row>
    <row r="38" spans="1:15" x14ac:dyDescent="0.35">
      <c r="A38" s="2">
        <v>2</v>
      </c>
      <c r="B38" s="2">
        <f t="shared" si="3"/>
        <v>1.1501736111111111E-4</v>
      </c>
      <c r="C38" s="2">
        <f t="shared" si="2"/>
        <v>8.3376736111111108E-5</v>
      </c>
      <c r="D38" s="2">
        <f t="shared" si="2"/>
        <v>5.8767361111111108E-5</v>
      </c>
      <c r="E38" s="2">
        <f t="shared" si="2"/>
        <v>4.1189236111111106E-5</v>
      </c>
      <c r="F38" s="2">
        <f t="shared" si="2"/>
        <v>3.0642361111111109E-5</v>
      </c>
      <c r="G38" s="2">
        <f t="shared" si="2"/>
        <v>2.712673611111111E-5</v>
      </c>
      <c r="H38" s="2">
        <f t="shared" si="2"/>
        <v>3.0642361111111109E-5</v>
      </c>
      <c r="I38" s="2">
        <f t="shared" si="2"/>
        <v>4.1189236111111106E-5</v>
      </c>
      <c r="J38" s="2">
        <f t="shared" si="2"/>
        <v>5.8767361111111108E-5</v>
      </c>
      <c r="K38" s="2">
        <f t="shared" si="2"/>
        <v>8.3376736111111108E-5</v>
      </c>
      <c r="L38" s="2">
        <f t="shared" si="2"/>
        <v>1.1501736111111111E-4</v>
      </c>
    </row>
    <row r="39" spans="1:15" x14ac:dyDescent="0.35">
      <c r="A39" s="2">
        <v>3</v>
      </c>
      <c r="B39" s="2">
        <f t="shared" si="3"/>
        <v>1.4892578125E-4</v>
      </c>
      <c r="C39" s="2">
        <f t="shared" si="2"/>
        <v>1.1728515625E-4</v>
      </c>
      <c r="D39" s="2">
        <f t="shared" si="2"/>
        <v>9.2675781249999998E-5</v>
      </c>
      <c r="E39" s="2">
        <f t="shared" si="2"/>
        <v>7.5097656249999996E-5</v>
      </c>
      <c r="F39" s="2">
        <f t="shared" si="2"/>
        <v>6.4550781250000006E-5</v>
      </c>
      <c r="G39" s="2">
        <f t="shared" si="2"/>
        <v>6.103515625E-5</v>
      </c>
      <c r="H39" s="2">
        <f t="shared" si="2"/>
        <v>6.4550781250000006E-5</v>
      </c>
      <c r="I39" s="2">
        <f t="shared" si="2"/>
        <v>7.5097656249999996E-5</v>
      </c>
      <c r="J39" s="2">
        <f t="shared" si="2"/>
        <v>9.2675781249999998E-5</v>
      </c>
      <c r="K39" s="2">
        <f t="shared" si="2"/>
        <v>1.1728515625E-4</v>
      </c>
      <c r="L39" s="2">
        <f t="shared" si="2"/>
        <v>1.4892578125E-4</v>
      </c>
    </row>
    <row r="40" spans="1:15" x14ac:dyDescent="0.35">
      <c r="A40" s="2">
        <v>4</v>
      </c>
      <c r="B40" s="2">
        <f t="shared" si="3"/>
        <v>1.9639756944444444E-4</v>
      </c>
      <c r="C40" s="2">
        <f t="shared" si="2"/>
        <v>1.6475694444444442E-4</v>
      </c>
      <c r="D40" s="2">
        <f t="shared" si="2"/>
        <v>1.4014756944444442E-4</v>
      </c>
      <c r="E40" s="2">
        <f t="shared" si="2"/>
        <v>1.2256944444444443E-4</v>
      </c>
      <c r="F40" s="2">
        <f t="shared" si="2"/>
        <v>1.1202256944444444E-4</v>
      </c>
      <c r="G40" s="2">
        <f t="shared" si="2"/>
        <v>1.0850694444444444E-4</v>
      </c>
      <c r="H40" s="2">
        <f t="shared" si="2"/>
        <v>1.1202256944444444E-4</v>
      </c>
      <c r="I40" s="2">
        <f t="shared" si="2"/>
        <v>1.2256944444444443E-4</v>
      </c>
      <c r="J40" s="2">
        <f t="shared" si="2"/>
        <v>1.4014756944444442E-4</v>
      </c>
      <c r="K40" s="2">
        <f t="shared" si="2"/>
        <v>1.6475694444444442E-4</v>
      </c>
      <c r="L40" s="2">
        <f t="shared" si="2"/>
        <v>1.9639756944444444E-4</v>
      </c>
    </row>
    <row r="41" spans="1:15" x14ac:dyDescent="0.35">
      <c r="A41" s="2">
        <v>5</v>
      </c>
      <c r="B41" s="2">
        <f t="shared" si="3"/>
        <v>2.5743272569444446E-4</v>
      </c>
      <c r="C41" s="2">
        <f t="shared" si="2"/>
        <v>2.2579210069444442E-4</v>
      </c>
      <c r="D41" s="2">
        <f t="shared" si="2"/>
        <v>2.0118272569444442E-4</v>
      </c>
      <c r="E41" s="2">
        <f t="shared" si="2"/>
        <v>1.8360460069444443E-4</v>
      </c>
      <c r="F41" s="2">
        <f t="shared" si="2"/>
        <v>1.7305772569444443E-4</v>
      </c>
      <c r="G41" s="2">
        <f t="shared" si="2"/>
        <v>1.6954210069444444E-4</v>
      </c>
      <c r="H41" s="2">
        <f t="shared" si="2"/>
        <v>1.7305772569444443E-4</v>
      </c>
      <c r="I41" s="2">
        <f t="shared" si="2"/>
        <v>1.8360460069444443E-4</v>
      </c>
      <c r="J41" s="2">
        <f t="shared" si="2"/>
        <v>2.0118272569444442E-4</v>
      </c>
      <c r="K41" s="2">
        <f t="shared" si="2"/>
        <v>2.2579210069444442E-4</v>
      </c>
      <c r="L41" s="2">
        <f t="shared" si="2"/>
        <v>2.5743272569444446E-4</v>
      </c>
    </row>
    <row r="59" spans="1:15" x14ac:dyDescent="0.35">
      <c r="A59" s="7" t="s">
        <v>11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x14ac:dyDescent="0.3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</sheetData>
  <mergeCells count="1">
    <mergeCell ref="A59:O61"/>
  </mergeCells>
  <pageMargins left="0.7" right="0.7" top="0.75" bottom="0.75" header="0.3" footer="0.3"/>
  <pageSetup paperSize="9" orientation="portrait" r:id="rId1"/>
  <headerFooter>
    <oddHeader xml:space="preserve">&amp;LГневнов Артем Евгеньевич, группа 2, подгруппа 1, 29.06.2004г., вариант 37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2.0</vt:lpstr>
      <vt:lpstr>Задание 2.1</vt:lpstr>
      <vt:lpstr>Задание 2.2(1)</vt:lpstr>
      <vt:lpstr>Задание 2.2(2)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cp:lastPrinted>2022-10-20T18:17:53Z</cp:lastPrinted>
  <dcterms:created xsi:type="dcterms:W3CDTF">2015-06-05T18:19:34Z</dcterms:created>
  <dcterms:modified xsi:type="dcterms:W3CDTF">2022-10-20T20:25:56Z</dcterms:modified>
</cp:coreProperties>
</file>