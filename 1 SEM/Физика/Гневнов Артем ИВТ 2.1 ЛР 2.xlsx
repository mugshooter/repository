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Artyom\OneDrive\Рабочий стол\учеба\РГПУ\Физика лабы\"/>
    </mc:Choice>
  </mc:AlternateContent>
  <xr:revisionPtr revIDLastSave="0" documentId="13_ncr:1_{E5D2E306-936C-427B-8EF1-B747271F634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1" l="1"/>
  <c r="B25" i="1"/>
  <c r="C22" i="1"/>
  <c r="B22" i="1"/>
  <c r="C19" i="1"/>
  <c r="B19" i="1"/>
  <c r="B9" i="1"/>
</calcChain>
</file>

<file path=xl/sharedStrings.xml><?xml version="1.0" encoding="utf-8"?>
<sst xmlns="http://schemas.openxmlformats.org/spreadsheetml/2006/main" count="16" uniqueCount="14">
  <si>
    <t>Масса груза (г)</t>
  </si>
  <si>
    <t>длина l (м)</t>
  </si>
  <si>
    <t>k = p / x(del)</t>
  </si>
  <si>
    <t>k (N/m)</t>
  </si>
  <si>
    <t>k =</t>
  </si>
  <si>
    <t>кол-во колебаний</t>
  </si>
  <si>
    <t>масса 0.05 кг</t>
  </si>
  <si>
    <t>масса 0.1 кг</t>
  </si>
  <si>
    <t>колеб/сек</t>
  </si>
  <si>
    <t>ср знач</t>
  </si>
  <si>
    <t>формула w = (k / m) ^ 0,5</t>
  </si>
  <si>
    <t xml:space="preserve">w = </t>
  </si>
  <si>
    <t>формула w = 2pi / T</t>
  </si>
  <si>
    <t>Полученные значения входят в допустимую погрешность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</si>
</sst>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4" borderId="0" xfId="0" quotePrefix="1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Изменение </a:t>
            </a:r>
            <a:r>
              <a:rPr lang="en-US"/>
              <a:t>l </a:t>
            </a:r>
            <a:r>
              <a:rPr lang="az-Cyrl-AZ"/>
              <a:t>под массой груза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Лист1!$A$2:$A$6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</c:numCache>
            </c:numRef>
          </c:xVal>
          <c:yVal>
            <c:numRef>
              <c:f>Лист1!$B$2:$B$6</c:f>
              <c:numCache>
                <c:formatCode>General</c:formatCode>
                <c:ptCount val="5"/>
                <c:pt idx="0">
                  <c:v>6.6000000000000003E-2</c:v>
                </c:pt>
                <c:pt idx="1">
                  <c:v>7.9000000000000001E-2</c:v>
                </c:pt>
                <c:pt idx="2">
                  <c:v>9.6000000000000002E-2</c:v>
                </c:pt>
                <c:pt idx="3">
                  <c:v>0.11</c:v>
                </c:pt>
                <c:pt idx="4">
                  <c:v>0.126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DA-47CC-A40D-3845BFAD0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37768"/>
        <c:axId val="361136840"/>
      </c:scatterChart>
      <c:valAx>
        <c:axId val="904137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1136840"/>
        <c:crosses val="autoZero"/>
        <c:crossBetween val="midCat"/>
      </c:valAx>
      <c:valAx>
        <c:axId val="361136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4137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205740</xdr:colOff>
      <xdr:row>7</xdr:row>
      <xdr:rowOff>91440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FF77B089-2A83-4B17-95EF-46FA9B4C60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tyom\Downloads\Telegram%20Desktop\&#1057;&#1091;&#1074;&#1086;&#1088;&#1086;&#1074;%20&#1056;&#1086;&#1084;&#1072;&#1085;%20&#1048;&#1042;&#1058;%202.1%20&#1051;&#1056;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2">
          <cell r="A2">
            <v>0</v>
          </cell>
          <cell r="B2">
            <v>6.5000000000000002E-2</v>
          </cell>
        </row>
        <row r="3">
          <cell r="A3">
            <v>50</v>
          </cell>
          <cell r="B3">
            <v>0.08</v>
          </cell>
        </row>
        <row r="4">
          <cell r="A4">
            <v>100</v>
          </cell>
          <cell r="B4">
            <v>9.4E-2</v>
          </cell>
        </row>
        <row r="5">
          <cell r="A5">
            <v>150</v>
          </cell>
          <cell r="B5">
            <v>0.108</v>
          </cell>
        </row>
        <row r="6">
          <cell r="A6">
            <v>200</v>
          </cell>
          <cell r="B6">
            <v>0.125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I10" sqref="I10"/>
    </sheetView>
  </sheetViews>
  <sheetFormatPr defaultRowHeight="14.4" x14ac:dyDescent="0.3"/>
  <cols>
    <col min="1" max="1" width="13.6640625" style="3" bestFit="1" customWidth="1"/>
    <col min="2" max="2" width="12" style="3" bestFit="1" customWidth="1"/>
    <col min="3" max="16384" width="8.88671875" style="3"/>
  </cols>
  <sheetData>
    <row r="1" spans="1:3" x14ac:dyDescent="0.3">
      <c r="A1" s="4" t="s">
        <v>0</v>
      </c>
      <c r="B1" s="4" t="s">
        <v>1</v>
      </c>
    </row>
    <row r="2" spans="1:3" x14ac:dyDescent="0.3">
      <c r="A2" s="5">
        <v>0</v>
      </c>
      <c r="B2" s="5">
        <v>6.6000000000000003E-2</v>
      </c>
    </row>
    <row r="3" spans="1:3" x14ac:dyDescent="0.3">
      <c r="A3" s="5">
        <v>50</v>
      </c>
      <c r="B3" s="5">
        <v>7.9000000000000001E-2</v>
      </c>
    </row>
    <row r="4" spans="1:3" x14ac:dyDescent="0.3">
      <c r="A4" s="5">
        <v>100</v>
      </c>
      <c r="B4" s="5">
        <v>9.6000000000000002E-2</v>
      </c>
    </row>
    <row r="5" spans="1:3" x14ac:dyDescent="0.3">
      <c r="A5" s="5">
        <v>150</v>
      </c>
      <c r="B5" s="5">
        <v>0.11</v>
      </c>
    </row>
    <row r="6" spans="1:3" x14ac:dyDescent="0.3">
      <c r="A6" s="5">
        <v>200</v>
      </c>
      <c r="B6" s="5">
        <v>0.126</v>
      </c>
    </row>
    <row r="8" spans="1:3" x14ac:dyDescent="0.3">
      <c r="A8" s="4" t="s">
        <v>2</v>
      </c>
      <c r="B8" s="4" t="s">
        <v>3</v>
      </c>
    </row>
    <row r="9" spans="1:3" x14ac:dyDescent="0.3">
      <c r="A9" s="4" t="s">
        <v>4</v>
      </c>
      <c r="B9" s="5">
        <f>(A6/100)/(B6-B2)</f>
        <v>33.333333333333336</v>
      </c>
    </row>
    <row r="12" spans="1:3" x14ac:dyDescent="0.3">
      <c r="A12" s="6" t="s">
        <v>5</v>
      </c>
      <c r="B12" s="7" t="s">
        <v>6</v>
      </c>
      <c r="C12" s="6" t="s">
        <v>7</v>
      </c>
    </row>
    <row r="13" spans="1:3" x14ac:dyDescent="0.3">
      <c r="A13" s="8"/>
      <c r="B13" s="9" t="s">
        <v>8</v>
      </c>
      <c r="C13" s="8" t="s">
        <v>8</v>
      </c>
    </row>
    <row r="14" spans="1:3" x14ac:dyDescent="0.3">
      <c r="A14" s="4">
        <v>50</v>
      </c>
      <c r="B14" s="5">
        <v>15</v>
      </c>
      <c r="C14" s="5">
        <v>20</v>
      </c>
    </row>
    <row r="15" spans="1:3" x14ac:dyDescent="0.3">
      <c r="A15" s="4">
        <v>50</v>
      </c>
      <c r="B15" s="5">
        <v>16</v>
      </c>
      <c r="C15" s="5">
        <v>24</v>
      </c>
    </row>
    <row r="16" spans="1:3" x14ac:dyDescent="0.3">
      <c r="A16" s="4">
        <v>50</v>
      </c>
      <c r="B16" s="5">
        <v>18</v>
      </c>
      <c r="C16" s="5">
        <v>23</v>
      </c>
    </row>
    <row r="17" spans="1:11" x14ac:dyDescent="0.3">
      <c r="A17" s="4">
        <v>50</v>
      </c>
      <c r="B17" s="5">
        <v>15</v>
      </c>
      <c r="C17" s="5">
        <v>19</v>
      </c>
    </row>
    <row r="18" spans="1:11" x14ac:dyDescent="0.3">
      <c r="A18" s="4">
        <v>50</v>
      </c>
      <c r="B18" s="5">
        <v>17</v>
      </c>
      <c r="C18" s="5">
        <v>22</v>
      </c>
    </row>
    <row r="19" spans="1:11" x14ac:dyDescent="0.3">
      <c r="A19" s="4" t="s">
        <v>9</v>
      </c>
      <c r="B19" s="5">
        <f>AVERAGE(B14:B18)</f>
        <v>16.2</v>
      </c>
      <c r="C19" s="5">
        <f>AVERAGE(C14:C18)</f>
        <v>21.6</v>
      </c>
    </row>
    <row r="21" spans="1:11" x14ac:dyDescent="0.3">
      <c r="A21" s="13" t="s">
        <v>10</v>
      </c>
      <c r="B21" s="13"/>
      <c r="C21" s="13"/>
      <c r="E21" s="14" t="s">
        <v>13</v>
      </c>
      <c r="F21" s="14"/>
      <c r="G21" s="14"/>
      <c r="H21" s="14"/>
      <c r="I21" s="14"/>
      <c r="J21" s="14"/>
      <c r="K21" s="14"/>
    </row>
    <row r="22" spans="1:11" x14ac:dyDescent="0.3">
      <c r="A22" s="10" t="s">
        <v>11</v>
      </c>
      <c r="B22" s="11">
        <f>(B9/0.05)^0.5</f>
        <v>25.819888974716111</v>
      </c>
      <c r="C22" s="12">
        <f>(B9/0.1)^0.5</f>
        <v>18.257418583505537</v>
      </c>
    </row>
    <row r="24" spans="1:11" x14ac:dyDescent="0.3">
      <c r="A24" s="13" t="s">
        <v>12</v>
      </c>
      <c r="B24" s="13"/>
      <c r="C24" s="13"/>
    </row>
    <row r="25" spans="1:11" x14ac:dyDescent="0.3">
      <c r="A25" s="1" t="s">
        <v>11</v>
      </c>
      <c r="B25" s="2">
        <f>(2 * 3.14 * 50) / B18</f>
        <v>18.470588235294116</v>
      </c>
      <c r="C25" s="2">
        <f>(2 * 3.14 * 50) / C18</f>
        <v>14.272727272727273</v>
      </c>
    </row>
  </sheetData>
  <mergeCells count="3">
    <mergeCell ref="A21:C21"/>
    <mergeCell ref="A24:C24"/>
    <mergeCell ref="E21:K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Artyom Gnevnov</dc:creator>
  <cp:lastModifiedBy>Artyom Gnevnov</cp:lastModifiedBy>
  <dcterms:created xsi:type="dcterms:W3CDTF">2015-06-05T18:19:34Z</dcterms:created>
  <dcterms:modified xsi:type="dcterms:W3CDTF">2022-11-19T13:05:12Z</dcterms:modified>
</cp:coreProperties>
</file>