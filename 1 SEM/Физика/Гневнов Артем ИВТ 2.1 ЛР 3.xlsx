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Физика лабы/"/>
    </mc:Choice>
  </mc:AlternateContent>
  <xr:revisionPtr revIDLastSave="11" documentId="11_AD4DF75460589B3ACB72843C47DC75685BDEDD96" xr6:coauthVersionLast="47" xr6:coauthVersionMax="47" xr10:uidLastSave="{6375A528-54AC-46C8-AF83-0259E229E44F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2" i="1"/>
  <c r="B12" i="1"/>
  <c r="J8" i="1"/>
  <c r="I8" i="1"/>
  <c r="F8" i="1"/>
  <c r="G7" i="1"/>
  <c r="G6" i="1"/>
  <c r="G5" i="1"/>
  <c r="G4" i="1"/>
  <c r="G3" i="1"/>
  <c r="G8" i="1" l="1"/>
  <c r="B16" i="1" s="1"/>
</calcChain>
</file>

<file path=xl/sharedStrings.xml><?xml version="1.0" encoding="utf-8"?>
<sst xmlns="http://schemas.openxmlformats.org/spreadsheetml/2006/main" count="32" uniqueCount="28">
  <si>
    <t>r(м)</t>
  </si>
  <si>
    <t>R(м)</t>
  </si>
  <si>
    <t>l(м)</t>
  </si>
  <si>
    <t>m0(кг)</t>
  </si>
  <si>
    <t>t0(с)</t>
  </si>
  <si>
    <t>T0(с)</t>
  </si>
  <si>
    <t>m(кг)</t>
  </si>
  <si>
    <t>t(с)</t>
  </si>
  <si>
    <t>T(с)</t>
  </si>
  <si>
    <t>ср.знач.</t>
  </si>
  <si>
    <t>для пустой платформы</t>
  </si>
  <si>
    <t>j = 0,5*m*(R^2)</t>
  </si>
  <si>
    <t>j=</t>
  </si>
  <si>
    <t>значения приблизительно равны</t>
  </si>
  <si>
    <t>Для пустой платформы</t>
  </si>
  <si>
    <t>j = (mgRr) / (4*pi*l) * T^2</t>
  </si>
  <si>
    <t xml:space="preserve">j = </t>
  </si>
  <si>
    <t>Проверка теоремы штейнера:</t>
  </si>
  <si>
    <t>теоритически</t>
  </si>
  <si>
    <t>R=</t>
  </si>
  <si>
    <t>m=</t>
  </si>
  <si>
    <t>эксперементальное</t>
  </si>
  <si>
    <t>Теорема Подтверждена</t>
  </si>
  <si>
    <t>кг</t>
  </si>
  <si>
    <t>м</t>
  </si>
  <si>
    <t>=</t>
  </si>
  <si>
    <t xml:space="preserve">j = j0 +0,5*m*(R^2)		</t>
  </si>
  <si>
    <t xml:space="preserve">j=j0 + md^2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</si>
</sst>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6"/>
  <sheetViews>
    <sheetView tabSelected="1" workbookViewId="0">
      <selection activeCell="L15" sqref="L15"/>
    </sheetView>
  </sheetViews>
  <sheetFormatPr defaultRowHeight="14.4" x14ac:dyDescent="0.3"/>
  <sheetData>
    <row r="2" spans="1:10" x14ac:dyDescent="0.3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x14ac:dyDescent="0.3">
      <c r="A3" s="5">
        <v>1</v>
      </c>
      <c r="B3" s="7">
        <v>3.8300000000000001E-2</v>
      </c>
      <c r="C3" s="7">
        <v>0.115</v>
      </c>
      <c r="D3" s="7">
        <v>0.45</v>
      </c>
      <c r="E3" s="7">
        <v>0.19</v>
      </c>
      <c r="F3" s="3">
        <v>37.840000000000003</v>
      </c>
      <c r="G3" s="3">
        <f>F3/20</f>
        <v>1.8920000000000001</v>
      </c>
      <c r="H3" s="7">
        <v>0.38700000000000001</v>
      </c>
      <c r="I3" s="3">
        <v>27</v>
      </c>
      <c r="J3" s="3">
        <v>1.35</v>
      </c>
    </row>
    <row r="4" spans="1:10" x14ac:dyDescent="0.3">
      <c r="A4" s="5">
        <v>2</v>
      </c>
      <c r="B4" s="7"/>
      <c r="C4" s="7"/>
      <c r="D4" s="7"/>
      <c r="E4" s="7"/>
      <c r="F4" s="3">
        <v>37.61</v>
      </c>
      <c r="G4" s="3">
        <f t="shared" ref="G4:G7" si="0">F4/20</f>
        <v>1.8805000000000001</v>
      </c>
      <c r="H4" s="7"/>
      <c r="I4" s="3">
        <v>28</v>
      </c>
      <c r="J4" s="3">
        <v>1.4</v>
      </c>
    </row>
    <row r="5" spans="1:10" x14ac:dyDescent="0.3">
      <c r="A5" s="5">
        <v>3</v>
      </c>
      <c r="B5" s="7"/>
      <c r="C5" s="7"/>
      <c r="D5" s="7"/>
      <c r="E5" s="7"/>
      <c r="F5" s="3">
        <v>37.49</v>
      </c>
      <c r="G5" s="3">
        <f t="shared" si="0"/>
        <v>1.8745000000000001</v>
      </c>
      <c r="H5" s="7"/>
      <c r="I5" s="3">
        <v>28</v>
      </c>
      <c r="J5" s="3">
        <v>1.4</v>
      </c>
    </row>
    <row r="6" spans="1:10" x14ac:dyDescent="0.3">
      <c r="A6" s="5">
        <v>4</v>
      </c>
      <c r="B6" s="7"/>
      <c r="C6" s="7"/>
      <c r="D6" s="7"/>
      <c r="E6" s="7"/>
      <c r="F6" s="3">
        <v>37.5</v>
      </c>
      <c r="G6" s="3">
        <f t="shared" si="0"/>
        <v>1.875</v>
      </c>
      <c r="H6" s="7"/>
      <c r="I6" s="3">
        <v>27.5</v>
      </c>
      <c r="J6" s="3">
        <v>1.375</v>
      </c>
    </row>
    <row r="7" spans="1:10" x14ac:dyDescent="0.3">
      <c r="A7" s="5">
        <v>5</v>
      </c>
      <c r="B7" s="7"/>
      <c r="C7" s="7"/>
      <c r="D7" s="7"/>
      <c r="E7" s="7"/>
      <c r="F7" s="3">
        <v>37.6</v>
      </c>
      <c r="G7" s="3">
        <f t="shared" si="0"/>
        <v>1.8800000000000001</v>
      </c>
      <c r="H7" s="7"/>
      <c r="I7" s="3">
        <v>28.1</v>
      </c>
      <c r="J7" s="3">
        <v>1.405</v>
      </c>
    </row>
    <row r="8" spans="1:10" x14ac:dyDescent="0.3">
      <c r="A8" s="1" t="s">
        <v>9</v>
      </c>
      <c r="B8" s="2">
        <v>3.7999999999999999E-2</v>
      </c>
      <c r="C8" s="2">
        <v>0.115</v>
      </c>
      <c r="D8" s="2">
        <v>0.45</v>
      </c>
      <c r="E8" s="2">
        <v>0.19</v>
      </c>
      <c r="F8" s="2">
        <f>AVERAGE(F3:F7)</f>
        <v>37.607999999999997</v>
      </c>
      <c r="G8" s="2">
        <f>AVERAGE(G3:G7)</f>
        <v>1.8804000000000003</v>
      </c>
      <c r="H8" s="2">
        <v>0.39</v>
      </c>
      <c r="I8" s="2">
        <f>AVERAGE(I3:I7)</f>
        <v>27.72</v>
      </c>
      <c r="J8" s="2">
        <f>AVERAGE(J3:J7)</f>
        <v>1.3860000000000001</v>
      </c>
    </row>
    <row r="10" spans="1:10" x14ac:dyDescent="0.3">
      <c r="A10" t="s">
        <v>10</v>
      </c>
    </row>
    <row r="11" spans="1:10" x14ac:dyDescent="0.3">
      <c r="A11" s="10" t="s">
        <v>11</v>
      </c>
      <c r="B11" s="10"/>
      <c r="C11" s="10"/>
    </row>
    <row r="12" spans="1:10" x14ac:dyDescent="0.3">
      <c r="A12" s="6" t="s">
        <v>12</v>
      </c>
      <c r="B12" s="2">
        <f>0.5*E8*(C8^2)</f>
        <v>1.2563750000000001E-3</v>
      </c>
      <c r="C12" s="12" t="s">
        <v>25</v>
      </c>
      <c r="D12" s="2">
        <v>1.2999999999999999E-3</v>
      </c>
    </row>
    <row r="13" spans="1:10" x14ac:dyDescent="0.3">
      <c r="E13" s="11" t="s">
        <v>13</v>
      </c>
      <c r="F13" s="11"/>
      <c r="G13" s="11"/>
      <c r="H13" s="11"/>
    </row>
    <row r="14" spans="1:10" x14ac:dyDescent="0.3">
      <c r="A14" t="s">
        <v>14</v>
      </c>
      <c r="E14" s="11"/>
      <c r="F14" s="11"/>
      <c r="G14" s="11"/>
      <c r="H14" s="11"/>
    </row>
    <row r="15" spans="1:10" x14ac:dyDescent="0.3">
      <c r="A15" s="10" t="s">
        <v>15</v>
      </c>
      <c r="B15" s="10"/>
      <c r="C15" s="10"/>
      <c r="E15" s="11"/>
      <c r="F15" s="11"/>
      <c r="G15" s="11"/>
      <c r="H15" s="11"/>
    </row>
    <row r="16" spans="1:10" x14ac:dyDescent="0.3">
      <c r="A16" s="1" t="s">
        <v>16</v>
      </c>
      <c r="B16" s="2">
        <f>(E8*9.8*C8*B8)/(4*PI()*PI()*D8)*G8^2</f>
        <v>1.6195313085865689E-3</v>
      </c>
      <c r="C16" s="12" t="s">
        <v>25</v>
      </c>
      <c r="D16" s="2">
        <v>1.6000000000000001E-3</v>
      </c>
    </row>
    <row r="19" spans="1:12" x14ac:dyDescent="0.3">
      <c r="A19" s="10" t="s">
        <v>17</v>
      </c>
      <c r="B19" s="10"/>
      <c r="C19" s="10"/>
      <c r="D19" s="10"/>
    </row>
    <row r="20" spans="1:12" x14ac:dyDescent="0.3">
      <c r="F20" s="4" t="s">
        <v>18</v>
      </c>
      <c r="G20" s="4"/>
    </row>
    <row r="21" spans="1:12" x14ac:dyDescent="0.3">
      <c r="A21" s="4" t="s">
        <v>19</v>
      </c>
      <c r="B21" s="2">
        <v>0.04</v>
      </c>
      <c r="C21" s="2" t="s">
        <v>24</v>
      </c>
      <c r="F21" s="9" t="s">
        <v>27</v>
      </c>
      <c r="G21" s="9"/>
    </row>
    <row r="22" spans="1:12" x14ac:dyDescent="0.3">
      <c r="A22" s="4" t="s">
        <v>20</v>
      </c>
      <c r="B22" s="2">
        <v>0.4</v>
      </c>
      <c r="C22" s="2" t="s">
        <v>23</v>
      </c>
      <c r="F22" s="2" t="s">
        <v>12</v>
      </c>
      <c r="G22" s="2">
        <f>H8*(C8-B8)^2</f>
        <v>2.312310000000001E-3</v>
      </c>
      <c r="H22" s="2">
        <v>2.3E-3</v>
      </c>
    </row>
    <row r="23" spans="1:12" x14ac:dyDescent="0.3">
      <c r="I23" s="8" t="s">
        <v>13</v>
      </c>
      <c r="J23" s="8"/>
      <c r="K23" s="8"/>
      <c r="L23" s="8"/>
    </row>
    <row r="24" spans="1:12" x14ac:dyDescent="0.3">
      <c r="F24" s="9" t="s">
        <v>21</v>
      </c>
      <c r="G24" s="9"/>
      <c r="I24" s="8"/>
      <c r="J24" s="8"/>
      <c r="K24" s="8"/>
      <c r="L24" s="8"/>
    </row>
    <row r="25" spans="1:12" x14ac:dyDescent="0.3">
      <c r="F25" s="9" t="s">
        <v>26</v>
      </c>
      <c r="G25" s="9"/>
      <c r="I25" s="8" t="s">
        <v>22</v>
      </c>
      <c r="J25" s="8"/>
      <c r="K25" s="8"/>
      <c r="L25" s="8"/>
    </row>
    <row r="26" spans="1:12" x14ac:dyDescent="0.3">
      <c r="F26" s="2" t="s">
        <v>12</v>
      </c>
      <c r="G26" s="2">
        <f>0.5*H8*(C8^2)</f>
        <v>2.578875E-3</v>
      </c>
      <c r="H26" s="2">
        <v>2.5999999999999999E-3</v>
      </c>
    </row>
  </sheetData>
  <mergeCells count="14">
    <mergeCell ref="I23:L24"/>
    <mergeCell ref="F24:G24"/>
    <mergeCell ref="I25:L25"/>
    <mergeCell ref="F25:G25"/>
    <mergeCell ref="A11:C11"/>
    <mergeCell ref="A15:C15"/>
    <mergeCell ref="E13:H15"/>
    <mergeCell ref="A19:D19"/>
    <mergeCell ref="F21:G21"/>
    <mergeCell ref="B3:B7"/>
    <mergeCell ref="C3:C7"/>
    <mergeCell ref="D3:D7"/>
    <mergeCell ref="E3:E7"/>
    <mergeCell ref="H3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</cp:lastModifiedBy>
  <dcterms:created xsi:type="dcterms:W3CDTF">2015-06-05T18:19:34Z</dcterms:created>
  <dcterms:modified xsi:type="dcterms:W3CDTF">2022-12-14T20:16:43Z</dcterms:modified>
</cp:coreProperties>
</file>