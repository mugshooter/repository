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2f0d4a8a008de216/Рабочий стол/учеба/РГПУ/Физика лабы/"/>
    </mc:Choice>
  </mc:AlternateContent>
  <xr:revisionPtr revIDLastSave="3" documentId="11_AD4DF75460589B3ACB72843C47DC75685BDEDD96" xr6:coauthVersionLast="47" xr6:coauthVersionMax="47" xr10:uidLastSave="{BECD29E7-2DEC-4622-9A1B-1021D6903E32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M5" i="1"/>
  <c r="L3" i="1"/>
  <c r="G9" i="1"/>
  <c r="C9" i="1"/>
</calcChain>
</file>

<file path=xl/sharedStrings.xml><?xml version="1.0" encoding="utf-8"?>
<sst xmlns="http://schemas.openxmlformats.org/spreadsheetml/2006/main" count="40" uniqueCount="29">
  <si>
    <t>№</t>
  </si>
  <si>
    <t>Время,с</t>
  </si>
  <si>
    <t>Брусок</t>
  </si>
  <si>
    <r>
      <t>Т</t>
    </r>
    <r>
      <rPr>
        <sz val="8"/>
        <color theme="1"/>
        <rFont val="Calibri"/>
        <family val="2"/>
        <charset val="204"/>
        <scheme val="minor"/>
      </rPr>
      <t>б</t>
    </r>
    <r>
      <rPr>
        <sz val="11"/>
        <color theme="1"/>
        <rFont val="Calibri"/>
        <family val="2"/>
        <charset val="204"/>
        <scheme val="minor"/>
      </rPr>
      <t xml:space="preserve"> =</t>
    </r>
  </si>
  <si>
    <t>N</t>
  </si>
  <si>
    <t>Кольцо</t>
  </si>
  <si>
    <t xml:space="preserve"> </t>
  </si>
  <si>
    <r>
      <t>Т</t>
    </r>
    <r>
      <rPr>
        <sz val="8"/>
        <color theme="1"/>
        <rFont val="Calibri"/>
        <family val="2"/>
        <charset val="204"/>
        <scheme val="minor"/>
      </rPr>
      <t xml:space="preserve">к </t>
    </r>
    <r>
      <rPr>
        <sz val="11"/>
        <color theme="1"/>
        <rFont val="Calibri"/>
        <family val="2"/>
        <charset val="204"/>
        <scheme val="minor"/>
      </rPr>
      <t>=</t>
    </r>
  </si>
  <si>
    <r>
      <t>J</t>
    </r>
    <r>
      <rPr>
        <sz val="8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 xml:space="preserve"> =</t>
    </r>
  </si>
  <si>
    <t>m, кг</t>
  </si>
  <si>
    <t>R1, м</t>
  </si>
  <si>
    <t>R2 , м</t>
  </si>
  <si>
    <t>R , м</t>
  </si>
  <si>
    <t>tср/N =</t>
  </si>
  <si>
    <t>1/2*m*(R1^2+R2^2) =</t>
  </si>
  <si>
    <t>m*R^2 =</t>
  </si>
  <si>
    <t>a, м</t>
  </si>
  <si>
    <t>b , м</t>
  </si>
  <si>
    <t>c , м</t>
  </si>
  <si>
    <r>
      <t>J</t>
    </r>
    <r>
      <rPr>
        <sz val="8"/>
        <color theme="1"/>
        <rFont val="Calibri"/>
        <family val="2"/>
        <charset val="204"/>
        <scheme val="minor"/>
      </rPr>
      <t>б</t>
    </r>
    <r>
      <rPr>
        <sz val="11"/>
        <color theme="1"/>
        <rFont val="Calibri"/>
        <family val="2"/>
        <charset val="204"/>
        <scheme val="minor"/>
      </rPr>
      <t xml:space="preserve"> =</t>
    </r>
  </si>
  <si>
    <t>(m*(a^2+b^2))/12 =</t>
  </si>
  <si>
    <r>
      <t>2*π* √(J</t>
    </r>
    <r>
      <rPr>
        <sz val="8"/>
        <color theme="1"/>
        <rFont val="Calibri"/>
        <family val="2"/>
        <charset val="204"/>
        <scheme val="minor"/>
      </rPr>
      <t>к</t>
    </r>
    <r>
      <rPr>
        <sz val="11"/>
        <color theme="1"/>
        <rFont val="Calibri"/>
        <family val="2"/>
        <scheme val="minor"/>
      </rPr>
      <t>/C) =</t>
    </r>
  </si>
  <si>
    <t>0.95с</t>
  </si>
  <si>
    <r>
      <t>2*π* √(J</t>
    </r>
    <r>
      <rPr>
        <sz val="8"/>
        <color theme="1"/>
        <rFont val="Calibri"/>
        <family val="2"/>
        <charset val="204"/>
        <scheme val="minor"/>
      </rPr>
      <t>б</t>
    </r>
    <r>
      <rPr>
        <sz val="11"/>
        <color theme="1"/>
        <rFont val="Calibri"/>
        <family val="2"/>
        <scheme val="minor"/>
      </rPr>
      <t>/C) =</t>
    </r>
  </si>
  <si>
    <t>0.675с</t>
  </si>
  <si>
    <r>
      <t>J</t>
    </r>
    <r>
      <rPr>
        <sz val="8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>*(T</t>
    </r>
    <r>
      <rPr>
        <sz val="8"/>
        <color theme="1"/>
        <rFont val="Calibri"/>
        <family val="2"/>
        <charset val="204"/>
        <scheme val="minor"/>
      </rPr>
      <t>б^2</t>
    </r>
    <r>
      <rPr>
        <sz val="11"/>
        <color theme="1"/>
        <rFont val="Calibri"/>
        <family val="2"/>
        <charset val="204"/>
        <scheme val="minor"/>
      </rPr>
      <t>/T</t>
    </r>
    <r>
      <rPr>
        <sz val="8"/>
        <color theme="1"/>
        <rFont val="Calibri"/>
        <family val="2"/>
        <charset val="204"/>
        <scheme val="minor"/>
      </rPr>
      <t>к</t>
    </r>
    <r>
      <rPr>
        <sz val="11"/>
        <color theme="1"/>
        <rFont val="Calibri"/>
        <family val="2"/>
        <charset val="204"/>
        <scheme val="minor"/>
      </rPr>
      <t>^2)</t>
    </r>
    <r>
      <rPr>
        <sz val="11"/>
        <color theme="1"/>
        <rFont val="Calibri"/>
        <family val="2"/>
        <scheme val="minor"/>
      </rPr>
      <t xml:space="preserve"> =</t>
    </r>
  </si>
  <si>
    <r>
      <t>J</t>
    </r>
    <r>
      <rPr>
        <sz val="8"/>
        <color theme="1"/>
        <rFont val="Calibri"/>
        <family val="2"/>
        <charset val="204"/>
        <scheme val="minor"/>
      </rPr>
      <t>б,</t>
    </r>
    <r>
      <rPr>
        <sz val="12"/>
        <color theme="1"/>
        <rFont val="Calibri"/>
        <family val="2"/>
        <scheme val="minor"/>
      </rPr>
      <t xml:space="preserve"> полученное теоритически, и J</t>
    </r>
    <r>
      <rPr>
        <sz val="8"/>
        <color theme="1"/>
        <rFont val="Calibri"/>
        <family val="2"/>
        <charset val="204"/>
        <scheme val="minor"/>
      </rPr>
      <t>б,</t>
    </r>
    <r>
      <rPr>
        <sz val="12"/>
        <color theme="1"/>
        <rFont val="Calibri"/>
        <family val="2"/>
        <scheme val="minor"/>
      </rPr>
      <t xml:space="preserve"> полученное экспериментально, равны</t>
    </r>
  </si>
  <si>
    <r>
      <t>J</t>
    </r>
    <r>
      <rPr>
        <sz val="8"/>
        <color theme="1"/>
        <rFont val="Calibri"/>
        <family val="2"/>
        <charset val="204"/>
        <scheme val="minor"/>
      </rPr>
      <t>б,</t>
    </r>
    <r>
      <rPr>
        <sz val="12"/>
        <color theme="1"/>
        <rFont val="Calibri"/>
        <family val="2"/>
        <scheme val="minor"/>
      </rPr>
      <t xml:space="preserve"> полученное теоритически</t>
    </r>
  </si>
  <si>
    <r>
      <t>J</t>
    </r>
    <r>
      <rPr>
        <sz val="8"/>
        <color theme="1"/>
        <rFont val="Calibri"/>
        <family val="2"/>
        <charset val="204"/>
        <scheme val="minor"/>
      </rPr>
      <t>б,</t>
    </r>
    <r>
      <rPr>
        <sz val="12"/>
        <color theme="1"/>
        <rFont val="Calibri"/>
        <family val="2"/>
        <scheme val="minor"/>
      </rPr>
      <t xml:space="preserve"> полученное экспериментально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</si>
</sst>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4" fillId="5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workbookViewId="0">
      <selection activeCell="T17" sqref="T17"/>
    </sheetView>
  </sheetViews>
  <sheetFormatPr defaultRowHeight="14.4" x14ac:dyDescent="0.3"/>
  <cols>
    <col min="1" max="16384" width="8.88671875" style="1"/>
  </cols>
  <sheetData>
    <row r="1" spans="1:19" x14ac:dyDescent="0.3">
      <c r="A1" s="2" t="s">
        <v>2</v>
      </c>
      <c r="B1" s="2"/>
      <c r="C1" s="2"/>
      <c r="E1" s="2" t="s">
        <v>5</v>
      </c>
      <c r="F1" s="2"/>
      <c r="G1" s="2"/>
      <c r="I1" s="2" t="s">
        <v>5</v>
      </c>
      <c r="J1" s="2"/>
      <c r="K1" s="2"/>
      <c r="L1" s="2"/>
      <c r="O1" s="2" t="s">
        <v>2</v>
      </c>
      <c r="P1" s="2"/>
      <c r="Q1" s="2"/>
      <c r="R1" s="2"/>
    </row>
    <row r="2" spans="1:19" x14ac:dyDescent="0.3">
      <c r="A2" s="3" t="s">
        <v>0</v>
      </c>
      <c r="B2" s="3" t="s">
        <v>1</v>
      </c>
      <c r="C2" s="3" t="s">
        <v>4</v>
      </c>
      <c r="E2" s="3" t="s">
        <v>0</v>
      </c>
      <c r="F2" s="3" t="s">
        <v>1</v>
      </c>
      <c r="G2" s="3" t="s">
        <v>4</v>
      </c>
      <c r="I2" s="3" t="s">
        <v>9</v>
      </c>
      <c r="J2" s="3" t="s">
        <v>10</v>
      </c>
      <c r="K2" s="3" t="s">
        <v>11</v>
      </c>
      <c r="L2" s="3" t="s">
        <v>12</v>
      </c>
      <c r="O2" s="3" t="s">
        <v>9</v>
      </c>
      <c r="P2" s="3" t="s">
        <v>16</v>
      </c>
      <c r="Q2" s="3" t="s">
        <v>17</v>
      </c>
      <c r="R2" s="3" t="s">
        <v>18</v>
      </c>
    </row>
    <row r="3" spans="1:19" x14ac:dyDescent="0.3">
      <c r="A3" s="4">
        <v>1</v>
      </c>
      <c r="B3" s="4">
        <v>13.45</v>
      </c>
      <c r="C3" s="4">
        <v>20</v>
      </c>
      <c r="E3" s="4">
        <v>1</v>
      </c>
      <c r="F3" s="4">
        <v>19.100000000000001</v>
      </c>
      <c r="G3" s="4">
        <v>20</v>
      </c>
      <c r="I3" s="4">
        <v>0.4</v>
      </c>
      <c r="J3" s="4">
        <v>7.1999999999999995E-2</v>
      </c>
      <c r="K3" s="4">
        <v>6.9000000000000006E-2</v>
      </c>
      <c r="L3" s="4">
        <f>(J3+K3)/2</f>
        <v>7.0500000000000007E-2</v>
      </c>
      <c r="O3" s="4">
        <v>0.85</v>
      </c>
      <c r="P3" s="4">
        <v>0.125</v>
      </c>
      <c r="Q3" s="4">
        <v>0.03</v>
      </c>
      <c r="R3" s="4">
        <f>0.03</f>
        <v>0.03</v>
      </c>
    </row>
    <row r="4" spans="1:19" x14ac:dyDescent="0.3">
      <c r="A4" s="4">
        <v>2</v>
      </c>
      <c r="B4" s="4">
        <v>13.53</v>
      </c>
      <c r="C4" s="4">
        <v>20</v>
      </c>
      <c r="E4" s="4">
        <v>2</v>
      </c>
      <c r="F4" s="4">
        <v>18.899999999999999</v>
      </c>
      <c r="G4" s="4">
        <v>20</v>
      </c>
    </row>
    <row r="5" spans="1:19" x14ac:dyDescent="0.3">
      <c r="A5" s="4">
        <v>3</v>
      </c>
      <c r="B5" s="4">
        <v>13.48</v>
      </c>
      <c r="C5" s="4">
        <v>20</v>
      </c>
      <c r="E5" s="4">
        <v>3</v>
      </c>
      <c r="F5" s="4">
        <v>19</v>
      </c>
      <c r="G5" s="4">
        <v>20</v>
      </c>
      <c r="I5" s="3" t="s">
        <v>8</v>
      </c>
      <c r="J5" s="8" t="s">
        <v>14</v>
      </c>
      <c r="K5" s="9"/>
      <c r="L5" s="3" t="s">
        <v>15</v>
      </c>
      <c r="M5" s="4">
        <f>0.002</f>
        <v>2E-3</v>
      </c>
      <c r="O5" s="5" t="s">
        <v>19</v>
      </c>
      <c r="P5" s="7" t="s">
        <v>20</v>
      </c>
      <c r="Q5" s="7"/>
      <c r="R5" s="11">
        <v>1E-3</v>
      </c>
      <c r="S5" s="1" t="s">
        <v>6</v>
      </c>
    </row>
    <row r="6" spans="1:19" x14ac:dyDescent="0.3">
      <c r="A6" s="4">
        <v>4</v>
      </c>
      <c r="B6" s="4">
        <v>13.58</v>
      </c>
      <c r="C6" s="4">
        <v>20</v>
      </c>
      <c r="E6" s="4">
        <v>4</v>
      </c>
      <c r="F6" s="4">
        <v>19.149999999999999</v>
      </c>
      <c r="G6" s="4">
        <v>20</v>
      </c>
    </row>
    <row r="7" spans="1:19" x14ac:dyDescent="0.3">
      <c r="A7" s="4">
        <v>5</v>
      </c>
      <c r="B7" s="4">
        <v>13.5</v>
      </c>
      <c r="C7" s="4">
        <v>20</v>
      </c>
      <c r="E7" s="4">
        <v>5</v>
      </c>
      <c r="F7" s="4">
        <v>19</v>
      </c>
      <c r="G7" s="4">
        <v>20</v>
      </c>
      <c r="O7" s="10" t="s">
        <v>28</v>
      </c>
      <c r="P7" s="10"/>
      <c r="Q7" s="10"/>
      <c r="R7" s="10"/>
    </row>
    <row r="8" spans="1:19" x14ac:dyDescent="0.3">
      <c r="O8" s="10"/>
      <c r="P8" s="10"/>
      <c r="Q8" s="10"/>
      <c r="R8" s="10"/>
    </row>
    <row r="9" spans="1:19" x14ac:dyDescent="0.3">
      <c r="A9" s="3" t="s">
        <v>3</v>
      </c>
      <c r="B9" s="3" t="s">
        <v>13</v>
      </c>
      <c r="C9" s="4">
        <f>AVERAGE(B3:B7)/C3</f>
        <v>0.6754</v>
      </c>
      <c r="D9" s="1" t="s">
        <v>6</v>
      </c>
      <c r="E9" s="3" t="s">
        <v>7</v>
      </c>
      <c r="F9" s="3" t="s">
        <v>13</v>
      </c>
      <c r="G9" s="4">
        <f>AVERAGE(F3:F7)/G3</f>
        <v>0.95150000000000001</v>
      </c>
    </row>
    <row r="13" spans="1:19" ht="14.4" customHeight="1" x14ac:dyDescent="0.3">
      <c r="A13" s="3" t="s">
        <v>7</v>
      </c>
      <c r="B13" s="12" t="s">
        <v>21</v>
      </c>
      <c r="C13" s="7"/>
      <c r="D13" s="6" t="s">
        <v>22</v>
      </c>
      <c r="G13" s="5" t="s">
        <v>19</v>
      </c>
      <c r="H13" s="12" t="s">
        <v>25</v>
      </c>
      <c r="I13" s="13"/>
      <c r="J13" s="11">
        <v>1E-3</v>
      </c>
      <c r="M13" s="14" t="s">
        <v>26</v>
      </c>
      <c r="N13" s="14"/>
      <c r="O13" s="14"/>
      <c r="P13" s="14"/>
      <c r="Q13" s="14"/>
      <c r="R13" s="14"/>
    </row>
    <row r="14" spans="1:19" ht="14.4" customHeight="1" x14ac:dyDescent="0.3">
      <c r="A14" s="3" t="s">
        <v>3</v>
      </c>
      <c r="B14" s="12" t="s">
        <v>23</v>
      </c>
      <c r="C14" s="7"/>
      <c r="D14" s="6" t="s">
        <v>24</v>
      </c>
      <c r="M14" s="14"/>
      <c r="N14" s="14"/>
      <c r="O14" s="14"/>
      <c r="P14" s="14"/>
      <c r="Q14" s="14"/>
      <c r="R14" s="14"/>
    </row>
    <row r="15" spans="1:19" x14ac:dyDescent="0.3">
      <c r="G15" s="10" t="s">
        <v>27</v>
      </c>
      <c r="H15" s="10"/>
      <c r="I15" s="10"/>
      <c r="J15" s="10"/>
      <c r="M15" s="14"/>
      <c r="N15" s="14"/>
      <c r="O15" s="14"/>
      <c r="P15" s="14"/>
      <c r="Q15" s="14"/>
      <c r="R15" s="14"/>
    </row>
    <row r="16" spans="1:19" x14ac:dyDescent="0.3">
      <c r="G16" s="10"/>
      <c r="H16" s="10"/>
      <c r="I16" s="10"/>
      <c r="J16" s="10"/>
      <c r="M16" s="14"/>
      <c r="N16" s="14"/>
      <c r="O16" s="14"/>
      <c r="P16" s="14"/>
      <c r="Q16" s="14"/>
      <c r="R16" s="14"/>
    </row>
    <row r="17" spans="13:18" x14ac:dyDescent="0.3">
      <c r="M17" s="14"/>
      <c r="N17" s="14"/>
      <c r="O17" s="14"/>
      <c r="P17" s="14"/>
      <c r="Q17" s="14"/>
      <c r="R17" s="14"/>
    </row>
    <row r="18" spans="13:18" x14ac:dyDescent="0.3">
      <c r="M18" s="14"/>
      <c r="N18" s="14"/>
      <c r="O18" s="14"/>
      <c r="P18" s="14"/>
      <c r="Q18" s="14"/>
      <c r="R18" s="14"/>
    </row>
    <row r="19" spans="13:18" x14ac:dyDescent="0.3">
      <c r="M19" s="14"/>
      <c r="N19" s="14"/>
      <c r="O19" s="14"/>
      <c r="P19" s="14"/>
      <c r="Q19" s="14"/>
      <c r="R19" s="14"/>
    </row>
    <row r="20" spans="13:18" x14ac:dyDescent="0.3">
      <c r="M20" s="14"/>
      <c r="N20" s="14"/>
      <c r="O20" s="14"/>
      <c r="P20" s="14"/>
      <c r="Q20" s="14"/>
      <c r="R20" s="14"/>
    </row>
  </sheetData>
  <mergeCells count="12">
    <mergeCell ref="B13:C13"/>
    <mergeCell ref="B14:C14"/>
    <mergeCell ref="H13:I13"/>
    <mergeCell ref="G15:J16"/>
    <mergeCell ref="M13:R20"/>
    <mergeCell ref="A1:C1"/>
    <mergeCell ref="E1:G1"/>
    <mergeCell ref="I1:L1"/>
    <mergeCell ref="J5:K5"/>
    <mergeCell ref="O1:R1"/>
    <mergeCell ref="P5:Q5"/>
    <mergeCell ref="O7:R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</cp:lastModifiedBy>
  <dcterms:created xsi:type="dcterms:W3CDTF">2015-06-05T18:19:34Z</dcterms:created>
  <dcterms:modified xsi:type="dcterms:W3CDTF">2022-11-30T23:08:07Z</dcterms:modified>
</cp:coreProperties>
</file>