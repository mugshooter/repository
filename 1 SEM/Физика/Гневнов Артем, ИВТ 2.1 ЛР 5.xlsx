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https://d.docs.live.net/2f0d4a8a008de216/Рабочий стол/учеба/РГПУ/Физика лабы/"/>
    </mc:Choice>
  </mc:AlternateContent>
  <xr:revisionPtr revIDLastSave="4" documentId="11_AD4DF75460589B3ACB72843C47DC75685BDEDD96" xr6:coauthVersionLast="47" xr6:coauthVersionMax="47" xr10:uidLastSave="{0AB40C90-877C-4CE2-8197-152A38EF925C}"/>
  <bookViews>
    <workbookView xWindow="-108" yWindow="-108" windowWidth="23256" windowHeight="1317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3" i="1" l="1"/>
  <c r="H35" i="1"/>
  <c r="J35" i="1" s="1"/>
  <c r="D27" i="1"/>
  <c r="F12" i="1"/>
  <c r="H12" i="1" s="1"/>
  <c r="D19" i="1" s="1"/>
  <c r="E5" i="1"/>
  <c r="C22" i="1" l="1"/>
  <c r="E33" i="1"/>
</calcChain>
</file>

<file path=xl/sharedStrings.xml><?xml version="1.0" encoding="utf-8"?>
<sst xmlns="http://schemas.openxmlformats.org/spreadsheetml/2006/main" count="34" uniqueCount="30">
  <si>
    <t xml:space="preserve">Плотность жидкости, р1, кг/м^3 = </t>
  </si>
  <si>
    <t>1)</t>
  </si>
  <si>
    <t>2)</t>
  </si>
  <si>
    <t>№</t>
  </si>
  <si>
    <t>3)</t>
  </si>
  <si>
    <t>Ср. знач, см</t>
  </si>
  <si>
    <t>4)</t>
  </si>
  <si>
    <t>Плотность шарика, p2, кг/м^3</t>
  </si>
  <si>
    <t>Объём шарика,V, м^3, 4/3*Пи*R^3</t>
  </si>
  <si>
    <t>V=4/3*Пи*R^3 =</t>
  </si>
  <si>
    <t>p2= m/V =</t>
  </si>
  <si>
    <t>Плотность шарика приблизительно равна свинцу</t>
  </si>
  <si>
    <t>5)</t>
  </si>
  <si>
    <t>l, м</t>
  </si>
  <si>
    <t>t,с</t>
  </si>
  <si>
    <t>v,м/c</t>
  </si>
  <si>
    <t>6)</t>
  </si>
  <si>
    <t>η =</t>
  </si>
  <si>
    <t>2/9*(р2-р1)*(g*r^2/v) =</t>
  </si>
  <si>
    <t>Диаметр шарика,d, см</t>
  </si>
  <si>
    <t>Радиус шарика,r, м</t>
  </si>
  <si>
    <t>Масса шарика,m, г</t>
  </si>
  <si>
    <t>Ср. знач,m, кг</t>
  </si>
  <si>
    <t>2/9 * (g*r^2/v) * ((р2-р1)/((1+2.4*r/R)*(1+2.4*r/l) =</t>
  </si>
  <si>
    <t>Радиус Цилиндра =</t>
  </si>
  <si>
    <t>м</t>
  </si>
  <si>
    <t>Па*с=</t>
  </si>
  <si>
    <t>*10^-3 Па*с</t>
  </si>
  <si>
    <t>Разность между измерениями вязкости жидкости оказались менее 25%.  Значения полученные при помощи вычислений оказались примерно равны глицерину при температуре от 20°С до 30°С. Также состав жидкости подтверждается её плотность, т.к. плотность глицерина равна 1260 кг/м^3</t>
  </si>
  <si>
    <t>11980.1 кг/м^3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</si>
</sst>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0" xfId="0" applyFill="1" applyAlignment="1">
      <alignment horizontal="center"/>
    </xf>
    <xf numFmtId="0" fontId="0" fillId="5" borderId="1" xfId="0" applyFill="1" applyBorder="1"/>
    <xf numFmtId="0" fontId="0" fillId="3" borderId="1" xfId="0" applyFill="1" applyBorder="1"/>
    <xf numFmtId="0" fontId="0" fillId="3" borderId="8" xfId="0" applyFill="1" applyBorder="1"/>
    <xf numFmtId="0" fontId="0" fillId="3" borderId="9" xfId="0" applyFill="1" applyBorder="1"/>
    <xf numFmtId="0" fontId="0" fillId="2" borderId="8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3" borderId="9" xfId="0" quotePrefix="1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3" borderId="10" xfId="0" applyFill="1" applyBorder="1" applyAlignment="1">
      <alignment horizontal="left"/>
    </xf>
    <xf numFmtId="0" fontId="0" fillId="3" borderId="9" xfId="0" applyFill="1" applyBorder="1" applyAlignment="1">
      <alignment horizontal="left"/>
    </xf>
    <xf numFmtId="0" fontId="0" fillId="0" borderId="0" xfId="0" applyAlignment="1">
      <alignment vertical="top"/>
    </xf>
    <xf numFmtId="0" fontId="2" fillId="4" borderId="0" xfId="0" applyFont="1" applyFill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600636</xdr:colOff>
      <xdr:row>1</xdr:row>
      <xdr:rowOff>170330</xdr:rowOff>
    </xdr:from>
    <xdr:to>
      <xdr:col>18</xdr:col>
      <xdr:colOff>502024</xdr:colOff>
      <xdr:row>31</xdr:row>
      <xdr:rowOff>144851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4A360DDB-60EA-4506-ABA3-ADA02926F9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21389" y="349624"/>
          <a:ext cx="4168588" cy="53533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43"/>
  <sheetViews>
    <sheetView tabSelected="1" zoomScale="85" zoomScaleNormal="85" workbookViewId="0">
      <selection activeCell="L23" sqref="L23"/>
    </sheetView>
  </sheetViews>
  <sheetFormatPr defaultRowHeight="14.4" x14ac:dyDescent="0.3"/>
  <cols>
    <col min="4" max="4" width="12" bestFit="1" customWidth="1"/>
  </cols>
  <sheetData>
    <row r="2" spans="1:11" x14ac:dyDescent="0.3">
      <c r="A2" t="s">
        <v>1</v>
      </c>
      <c r="B2" s="1" t="s">
        <v>0</v>
      </c>
      <c r="C2" s="1"/>
      <c r="D2" s="1"/>
      <c r="E2" s="1"/>
      <c r="F2" s="2">
        <v>1270</v>
      </c>
      <c r="H2" s="18" t="s">
        <v>24</v>
      </c>
      <c r="I2" s="19"/>
      <c r="J2" s="16">
        <v>0.06</v>
      </c>
      <c r="K2" s="17" t="s">
        <v>25</v>
      </c>
    </row>
    <row r="4" spans="1:11" x14ac:dyDescent="0.3">
      <c r="A4" t="s">
        <v>2</v>
      </c>
      <c r="B4" s="3" t="s">
        <v>3</v>
      </c>
      <c r="C4" s="1" t="s">
        <v>21</v>
      </c>
      <c r="D4" s="1"/>
      <c r="E4" s="1" t="s">
        <v>22</v>
      </c>
      <c r="F4" s="1"/>
    </row>
    <row r="5" spans="1:11" x14ac:dyDescent="0.3">
      <c r="B5" s="4">
        <v>1</v>
      </c>
      <c r="C5" s="5">
        <v>0.16</v>
      </c>
      <c r="D5" s="5"/>
      <c r="E5" s="6">
        <f>AVERAGE(C5:D9)/1000</f>
        <v>1.66E-4</v>
      </c>
      <c r="F5" s="7"/>
    </row>
    <row r="6" spans="1:11" x14ac:dyDescent="0.3">
      <c r="B6" s="4">
        <v>2</v>
      </c>
      <c r="C6" s="5">
        <v>0.17</v>
      </c>
      <c r="D6" s="5"/>
      <c r="E6" s="8"/>
      <c r="F6" s="9"/>
    </row>
    <row r="7" spans="1:11" x14ac:dyDescent="0.3">
      <c r="B7" s="4">
        <v>3</v>
      </c>
      <c r="C7" s="5">
        <v>0.17</v>
      </c>
      <c r="D7" s="5"/>
      <c r="E7" s="8"/>
      <c r="F7" s="9"/>
    </row>
    <row r="8" spans="1:11" x14ac:dyDescent="0.3">
      <c r="B8" s="4">
        <v>4</v>
      </c>
      <c r="C8" s="5">
        <v>0.16</v>
      </c>
      <c r="D8" s="5"/>
      <c r="E8" s="8"/>
      <c r="F8" s="9"/>
    </row>
    <row r="9" spans="1:11" x14ac:dyDescent="0.3">
      <c r="B9" s="4">
        <v>5</v>
      </c>
      <c r="C9" s="5">
        <v>0.17</v>
      </c>
      <c r="D9" s="5"/>
      <c r="E9" s="10"/>
      <c r="F9" s="11"/>
    </row>
    <row r="11" spans="1:11" x14ac:dyDescent="0.3">
      <c r="A11" t="s">
        <v>4</v>
      </c>
      <c r="B11" s="3" t="s">
        <v>3</v>
      </c>
      <c r="C11" s="1" t="s">
        <v>19</v>
      </c>
      <c r="D11" s="1"/>
      <c r="E11" s="1"/>
      <c r="F11" s="1" t="s">
        <v>5</v>
      </c>
      <c r="G11" s="1"/>
      <c r="H11" s="1" t="s">
        <v>20</v>
      </c>
      <c r="I11" s="1"/>
    </row>
    <row r="12" spans="1:11" x14ac:dyDescent="0.3">
      <c r="B12" s="4">
        <v>1</v>
      </c>
      <c r="C12" s="5">
        <v>0.28999999999999998</v>
      </c>
      <c r="D12" s="5"/>
      <c r="E12" s="5"/>
      <c r="F12" s="12">
        <f>AVERAGE(C12:D16)</f>
        <v>0.29799999999999999</v>
      </c>
      <c r="G12" s="12"/>
      <c r="H12" s="6">
        <f>F12/2/100</f>
        <v>1.49E-3</v>
      </c>
      <c r="I12" s="7"/>
    </row>
    <row r="13" spans="1:11" x14ac:dyDescent="0.3">
      <c r="B13" s="4">
        <v>2</v>
      </c>
      <c r="C13" s="5">
        <v>0.3</v>
      </c>
      <c r="D13" s="5"/>
      <c r="E13" s="5"/>
      <c r="F13" s="12"/>
      <c r="G13" s="12"/>
      <c r="H13" s="8"/>
      <c r="I13" s="9"/>
    </row>
    <row r="14" spans="1:11" x14ac:dyDescent="0.3">
      <c r="B14" s="4">
        <v>3</v>
      </c>
      <c r="C14" s="5">
        <v>0.3</v>
      </c>
      <c r="D14" s="5"/>
      <c r="E14" s="5"/>
      <c r="F14" s="12"/>
      <c r="G14" s="12"/>
      <c r="H14" s="8"/>
      <c r="I14" s="9"/>
    </row>
    <row r="15" spans="1:11" x14ac:dyDescent="0.3">
      <c r="B15" s="4">
        <v>4</v>
      </c>
      <c r="C15" s="5">
        <v>0.28999999999999998</v>
      </c>
      <c r="D15" s="5"/>
      <c r="E15" s="5"/>
      <c r="F15" s="12"/>
      <c r="G15" s="12"/>
      <c r="H15" s="8"/>
      <c r="I15" s="9"/>
    </row>
    <row r="16" spans="1:11" x14ac:dyDescent="0.3">
      <c r="B16" s="4">
        <v>5</v>
      </c>
      <c r="C16" s="5">
        <v>0.31</v>
      </c>
      <c r="D16" s="5"/>
      <c r="E16" s="5"/>
      <c r="F16" s="12"/>
      <c r="G16" s="12"/>
      <c r="H16" s="10"/>
      <c r="I16" s="11"/>
    </row>
    <row r="18" spans="1:6" x14ac:dyDescent="0.3">
      <c r="A18" t="s">
        <v>6</v>
      </c>
      <c r="B18" s="1" t="s">
        <v>8</v>
      </c>
      <c r="C18" s="1"/>
      <c r="D18" s="1"/>
      <c r="E18" s="1"/>
    </row>
    <row r="19" spans="1:6" x14ac:dyDescent="0.3">
      <c r="B19" s="1" t="s">
        <v>9</v>
      </c>
      <c r="C19" s="1"/>
      <c r="D19" s="5">
        <f>4/3*PI()*H12^3</f>
        <v>1.3856304369132936E-8</v>
      </c>
      <c r="E19" s="5"/>
    </row>
    <row r="21" spans="1:6" x14ac:dyDescent="0.3">
      <c r="B21" s="1" t="s">
        <v>7</v>
      </c>
      <c r="C21" s="1"/>
      <c r="D21" s="1"/>
      <c r="E21" s="1"/>
      <c r="F21" s="1"/>
    </row>
    <row r="22" spans="1:6" x14ac:dyDescent="0.3">
      <c r="B22" s="3" t="s">
        <v>10</v>
      </c>
      <c r="C22" s="5">
        <f>E5/D19</f>
        <v>11980.106352873621</v>
      </c>
      <c r="D22" s="5"/>
      <c r="E22" s="5" t="s">
        <v>29</v>
      </c>
      <c r="F22" s="5"/>
    </row>
    <row r="24" spans="1:6" x14ac:dyDescent="0.3">
      <c r="B24" s="13" t="s">
        <v>11</v>
      </c>
      <c r="C24" s="13"/>
      <c r="D24" s="13"/>
      <c r="E24" s="13"/>
      <c r="F24" s="13"/>
    </row>
    <row r="26" spans="1:6" x14ac:dyDescent="0.3">
      <c r="A26" t="s">
        <v>12</v>
      </c>
      <c r="B26" s="14" t="s">
        <v>13</v>
      </c>
      <c r="C26" s="14" t="s">
        <v>14</v>
      </c>
      <c r="D26" s="14" t="s">
        <v>15</v>
      </c>
    </row>
    <row r="27" spans="1:6" x14ac:dyDescent="0.3">
      <c r="B27" s="2">
        <v>0.5</v>
      </c>
      <c r="C27" s="15">
        <v>6.59</v>
      </c>
      <c r="D27" s="15">
        <f>B27/C27</f>
        <v>7.5872534142640363E-2</v>
      </c>
    </row>
    <row r="33" spans="1:14" x14ac:dyDescent="0.3">
      <c r="A33" t="s">
        <v>16</v>
      </c>
      <c r="B33" s="4" t="s">
        <v>17</v>
      </c>
      <c r="C33" s="1" t="s">
        <v>18</v>
      </c>
      <c r="D33" s="18"/>
      <c r="E33" s="16">
        <f>2/9*(C22-F2)*(9.8*H12^2/D27)</f>
        <v>0.68248842863879966</v>
      </c>
      <c r="F33" s="20" t="s">
        <v>26</v>
      </c>
      <c r="G33" s="21">
        <f>E33*1000</f>
        <v>682.48842863879963</v>
      </c>
      <c r="H33" s="22" t="s">
        <v>27</v>
      </c>
      <c r="I33" s="23"/>
    </row>
    <row r="35" spans="1:14" x14ac:dyDescent="0.3">
      <c r="B35" s="4" t="s">
        <v>17</v>
      </c>
      <c r="C35" s="1" t="s">
        <v>23</v>
      </c>
      <c r="D35" s="1"/>
      <c r="E35" s="1"/>
      <c r="F35" s="1"/>
      <c r="G35" s="18"/>
      <c r="H35" s="16">
        <f>2/9*(9.8*H12^2/D27)*((C22-F2)/((1+2.4*H12/J2)*(1+2.4*H12/B27)))</f>
        <v>0.63952617358455233</v>
      </c>
      <c r="I35" s="20" t="s">
        <v>26</v>
      </c>
      <c r="J35" s="21">
        <f>H35*1000</f>
        <v>639.52617358455234</v>
      </c>
      <c r="K35" s="22" t="s">
        <v>27</v>
      </c>
      <c r="L35" s="23"/>
    </row>
    <row r="37" spans="1:14" ht="14.4" customHeight="1" x14ac:dyDescent="0.3">
      <c r="B37" s="25" t="s">
        <v>28</v>
      </c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4"/>
      <c r="N37" s="24"/>
    </row>
    <row r="38" spans="1:14" ht="14.4" customHeight="1" x14ac:dyDescent="0.3"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4"/>
      <c r="N38" s="24"/>
    </row>
    <row r="39" spans="1:14" ht="14.4" customHeight="1" x14ac:dyDescent="0.3"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4"/>
      <c r="N39" s="24"/>
    </row>
    <row r="40" spans="1:14" ht="14.4" customHeight="1" x14ac:dyDescent="0.3"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4"/>
      <c r="N40" s="24"/>
    </row>
    <row r="41" spans="1:14" ht="14.4" customHeight="1" x14ac:dyDescent="0.3"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4"/>
      <c r="N41" s="24"/>
    </row>
    <row r="42" spans="1:14" x14ac:dyDescent="0.3"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</row>
    <row r="43" spans="1:14" x14ac:dyDescent="0.3"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</row>
  </sheetData>
  <mergeCells count="32">
    <mergeCell ref="B37:L43"/>
    <mergeCell ref="B24:F24"/>
    <mergeCell ref="C33:D33"/>
    <mergeCell ref="C35:G35"/>
    <mergeCell ref="H2:I2"/>
    <mergeCell ref="K35:L35"/>
    <mergeCell ref="H33:I33"/>
    <mergeCell ref="B19:C19"/>
    <mergeCell ref="B18:E18"/>
    <mergeCell ref="D19:E19"/>
    <mergeCell ref="C22:D22"/>
    <mergeCell ref="E22:F22"/>
    <mergeCell ref="B21:F21"/>
    <mergeCell ref="C12:E12"/>
    <mergeCell ref="C13:E13"/>
    <mergeCell ref="C14:E14"/>
    <mergeCell ref="C15:E15"/>
    <mergeCell ref="C16:E16"/>
    <mergeCell ref="H11:I11"/>
    <mergeCell ref="H12:I16"/>
    <mergeCell ref="F11:G11"/>
    <mergeCell ref="F12:G16"/>
    <mergeCell ref="C11:E11"/>
    <mergeCell ref="B2:E2"/>
    <mergeCell ref="C4:D4"/>
    <mergeCell ref="E4:F4"/>
    <mergeCell ref="E5:F9"/>
    <mergeCell ref="C5:D5"/>
    <mergeCell ref="C6:D6"/>
    <mergeCell ref="C7:D7"/>
    <mergeCell ref="C8:D8"/>
    <mergeCell ref="C9:D9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Artyom Gnevnov</dc:creator>
  <cp:lastModifiedBy>Artyom</cp:lastModifiedBy>
  <dcterms:created xsi:type="dcterms:W3CDTF">2015-06-05T18:19:34Z</dcterms:created>
  <dcterms:modified xsi:type="dcterms:W3CDTF">2022-12-16T21:01:34Z</dcterms:modified>
</cp:coreProperties>
</file>