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АД/Задачи ЛР 1/"/>
    </mc:Choice>
  </mc:AlternateContent>
  <xr:revisionPtr revIDLastSave="1" documentId="11_AD4DF75460589B3ACB72843C47DC75685BDEDD96" xr6:coauthVersionLast="47" xr6:coauthVersionMax="47" xr10:uidLastSave="{F7F73A48-7222-4B7B-8987-BE8FCCE9ACCF}"/>
  <bookViews>
    <workbookView xWindow="-108" yWindow="-108" windowWidth="23256" windowHeight="13176" activeTab="3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N3" i="4"/>
  <c r="A11" i="4" s="1"/>
  <c r="M3" i="4"/>
  <c r="A10" i="3"/>
  <c r="C11" i="2"/>
  <c r="A12" i="2"/>
  <c r="C12" i="2" s="1"/>
  <c r="A11" i="2"/>
  <c r="A10" i="2"/>
  <c r="C10" i="2" s="1"/>
  <c r="A9" i="2"/>
  <c r="C9" i="2"/>
  <c r="C8" i="2"/>
  <c r="A8" i="2"/>
  <c r="B5" i="2"/>
  <c r="A5" i="2"/>
  <c r="E5" i="2"/>
  <c r="D5" i="2"/>
  <c r="C5" i="1" a="1"/>
  <c r="C5" i="1" s="1"/>
  <c r="K3" i="4" l="1"/>
  <c r="C11" i="4"/>
  <c r="A12" i="4" s="1"/>
  <c r="C12" i="4" s="1"/>
  <c r="A13" i="4" s="1"/>
  <c r="C13" i="4" l="1"/>
  <c r="A14" i="4" s="1"/>
  <c r="C14" i="4" l="1"/>
  <c r="A15" i="4" l="1"/>
  <c r="C15" i="4" s="1"/>
  <c r="A16" i="4" s="1"/>
  <c r="C16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<sst xmlns="http://schemas.openxmlformats.org/spreadsheetml/2006/main" count="48" uniqueCount="37">
  <si>
    <t>Задание 1</t>
  </si>
  <si>
    <t>Варианты х(i)</t>
  </si>
  <si>
    <t>Задание 2</t>
  </si>
  <si>
    <t>k</t>
  </si>
  <si>
    <t>∆</t>
  </si>
  <si>
    <t>max</t>
  </si>
  <si>
    <t>min</t>
  </si>
  <si>
    <t xml:space="preserve">Варианты </t>
  </si>
  <si>
    <t>Варианты[a1,a2)</t>
  </si>
  <si>
    <t>[62, 92)</t>
  </si>
  <si>
    <t>[32, 62)</t>
  </si>
  <si>
    <t>[2, 32)</t>
  </si>
  <si>
    <t>[92, 122)</t>
  </si>
  <si>
    <t>[122, 152)</t>
  </si>
  <si>
    <t>Размер зарплаты руб в месяц</t>
  </si>
  <si>
    <t>Численность работников</t>
  </si>
  <si>
    <t>до 5000</t>
  </si>
  <si>
    <t>5000-7000</t>
  </si>
  <si>
    <t>7000 - 10000</t>
  </si>
  <si>
    <t>10000 - 15000</t>
  </si>
  <si>
    <t>Итого:</t>
  </si>
  <si>
    <t>Задание 3</t>
  </si>
  <si>
    <t>мин</t>
  </si>
  <si>
    <t>макс</t>
  </si>
  <si>
    <t>[0, 5000)</t>
  </si>
  <si>
    <t>[5000, 7000)</t>
  </si>
  <si>
    <t>[7000, 10000)</t>
  </si>
  <si>
    <t>[10000,15000)</t>
  </si>
  <si>
    <t>Задание 4</t>
  </si>
  <si>
    <t>[14.15,14.24)</t>
  </si>
  <si>
    <t>[14.24,14.33)</t>
  </si>
  <si>
    <t>[14.33,14.42)</t>
  </si>
  <si>
    <t>[14.42,14.51)</t>
  </si>
  <si>
    <t>[14.51,14.60)</t>
  </si>
  <si>
    <t>[14.60,14.69)</t>
  </si>
  <si>
    <t>Частоты(m)</t>
  </si>
  <si>
    <t>Частоты m(i)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</si>
</sst>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/>
    <xf numFmtId="0" fontId="0" fillId="4" borderId="4" xfId="0" applyFill="1" applyBorder="1" applyAlignment="1"/>
    <xf numFmtId="0" fontId="0" fillId="0" borderId="2" xfId="0" applyBorder="1" applyAlignment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Fill="1" applyBorder="1" applyAlignment="1"/>
    <xf numFmtId="0" fontId="0" fillId="2" borderId="1" xfId="0" applyFill="1" applyBorder="1" applyAlignment="1">
      <alignment horizontal="center"/>
    </xf>
    <xf numFmtId="0" fontId="0" fillId="0" borderId="0" xfId="0" applyFill="1" applyBorder="1"/>
    <xf numFmtId="0" fontId="0" fillId="5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Лист1!$A$5:$A$10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Лист1!$C$5:$C$10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8B-4A0E-A7DF-C1864786A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811487"/>
        <c:axId val="18858119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Лист1!$A$5:$A$10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Лист1!$B$5:$B$10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C8B-4A0E-A7DF-C1864786A1AA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Лист1!$A$5:$A$10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Лист1!$D$5:$D$10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C8B-4A0E-A7DF-C1864786A1AA}"/>
                  </c:ext>
                </c:extLst>
              </c15:ser>
            </c15:filteredLineSeries>
          </c:ext>
        </c:extLst>
      </c:lineChart>
      <c:catAx>
        <c:axId val="1885811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Варианты </a:t>
                </a:r>
                <a:r>
                  <a:rPr lang="en-US"/>
                  <a:t>x(i)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11903"/>
        <c:crosses val="autoZero"/>
        <c:auto val="1"/>
        <c:lblAlgn val="ctr"/>
        <c:lblOffset val="100"/>
        <c:noMultiLvlLbl val="0"/>
      </c:catAx>
      <c:valAx>
        <c:axId val="188581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</a:t>
                </a:r>
                <a:r>
                  <a:rPr lang="ru-RU" baseline="0"/>
                  <a:t> </a:t>
                </a:r>
                <a:r>
                  <a:rPr lang="en-US" baseline="0"/>
                  <a:t>m(i)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81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Лист2!$C$14</c:f>
              <c:strCache>
                <c:ptCount val="1"/>
                <c:pt idx="0">
                  <c:v>Частоты(m)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Лист2!$A$15:$A$19</c:f>
              <c:strCache>
                <c:ptCount val="5"/>
                <c:pt idx="0">
                  <c:v>[2, 32)</c:v>
                </c:pt>
                <c:pt idx="1">
                  <c:v>[32, 62)</c:v>
                </c:pt>
                <c:pt idx="2">
                  <c:v>[62, 92)</c:v>
                </c:pt>
                <c:pt idx="3">
                  <c:v>[92, 122)</c:v>
                </c:pt>
                <c:pt idx="4">
                  <c:v>[122, 152)</c:v>
                </c:pt>
              </c:strCache>
            </c:strRef>
          </c:cat>
          <c:val>
            <c:numRef>
              <c:f>Лист2!$C$15:$C$19</c:f>
              <c:numCache>
                <c:formatCode>General</c:formatCode>
                <c:ptCount val="5"/>
                <c:pt idx="0">
                  <c:v>11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C6-498E-A2A2-E55A7F647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0300223"/>
        <c:axId val="18803006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Лист2!$B$14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Лист2!$A$15:$A$19</c15:sqref>
                        </c15:formulaRef>
                      </c:ext>
                    </c:extLst>
                    <c:strCache>
                      <c:ptCount val="5"/>
                      <c:pt idx="0">
                        <c:v>[2, 32)</c:v>
                      </c:pt>
                      <c:pt idx="1">
                        <c:v>[32, 62)</c:v>
                      </c:pt>
                      <c:pt idx="2">
                        <c:v>[62, 92)</c:v>
                      </c:pt>
                      <c:pt idx="3">
                        <c:v>[92, 122)</c:v>
                      </c:pt>
                      <c:pt idx="4">
                        <c:v>[122, 152)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Лист2!$B$15:$B$19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CC6-498E-A2A2-E55A7F64745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Лист2!$D$14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Лист2!$A$15:$A$19</c15:sqref>
                        </c15:formulaRef>
                      </c:ext>
                    </c:extLst>
                    <c:strCache>
                      <c:ptCount val="5"/>
                      <c:pt idx="0">
                        <c:v>[2, 32)</c:v>
                      </c:pt>
                      <c:pt idx="1">
                        <c:v>[32, 62)</c:v>
                      </c:pt>
                      <c:pt idx="2">
                        <c:v>[62, 92)</c:v>
                      </c:pt>
                      <c:pt idx="3">
                        <c:v>[92, 122)</c:v>
                      </c:pt>
                      <c:pt idx="4">
                        <c:v>[122, 152)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Лист2!$D$15:$D$19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CC6-498E-A2A2-E55A7F64745E}"/>
                  </c:ext>
                </c:extLst>
              </c15:ser>
            </c15:filteredBarSeries>
          </c:ext>
        </c:extLst>
      </c:barChart>
      <c:catAx>
        <c:axId val="188030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Варианты</a:t>
                </a:r>
                <a:r>
                  <a:rPr lang="en-US"/>
                  <a:t>[a1,a2</a:t>
                </a:r>
                <a:r>
                  <a:rPr lang="ru-RU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300639"/>
        <c:crosses val="autoZero"/>
        <c:auto val="1"/>
        <c:lblAlgn val="ctr"/>
        <c:lblOffset val="100"/>
        <c:noMultiLvlLbl val="0"/>
      </c:catAx>
      <c:valAx>
        <c:axId val="188030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Частоты(</a:t>
                </a:r>
                <a:r>
                  <a:rPr lang="en-US"/>
                  <a:t>m)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30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26159230096237"/>
          <c:y val="0.17634259259259263"/>
          <c:w val="0.84396062992125986"/>
          <c:h val="0.6227161708953047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Лист3!$C$12</c:f>
              <c:strCache>
                <c:ptCount val="1"/>
                <c:pt idx="0">
                  <c:v>Частоты(m)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Лист3!$A$13:$A$16</c:f>
              <c:strCache>
                <c:ptCount val="4"/>
                <c:pt idx="0">
                  <c:v>[0, 5000)</c:v>
                </c:pt>
                <c:pt idx="1">
                  <c:v>[5000, 7000)</c:v>
                </c:pt>
                <c:pt idx="2">
                  <c:v>[7000, 10000)</c:v>
                </c:pt>
                <c:pt idx="3">
                  <c:v>[10000,15000)</c:v>
                </c:pt>
              </c:strCache>
            </c:strRef>
          </c:cat>
          <c:val>
            <c:numRef>
              <c:f>Лист3!$C$13:$C$16</c:f>
              <c:numCache>
                <c:formatCode>General</c:formatCode>
                <c:ptCount val="4"/>
                <c:pt idx="0">
                  <c:v>4</c:v>
                </c:pt>
                <c:pt idx="1">
                  <c:v>12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12-4854-B1DC-1FC6B1412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783119"/>
        <c:axId val="18877839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Лист3!$B$12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Лист3!$A$13:$A$16</c15:sqref>
                        </c15:formulaRef>
                      </c:ext>
                    </c:extLst>
                    <c:strCache>
                      <c:ptCount val="4"/>
                      <c:pt idx="0">
                        <c:v>[0, 5000)</c:v>
                      </c:pt>
                      <c:pt idx="1">
                        <c:v>[5000, 7000)</c:v>
                      </c:pt>
                      <c:pt idx="2">
                        <c:v>[7000, 10000)</c:v>
                      </c:pt>
                      <c:pt idx="3">
                        <c:v>[10000,15000)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Лист3!$B$13:$B$16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C12-4854-B1DC-1FC6B1412DC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Лист3!$D$12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Лист3!$A$13:$A$16</c15:sqref>
                        </c15:formulaRef>
                      </c:ext>
                    </c:extLst>
                    <c:strCache>
                      <c:ptCount val="4"/>
                      <c:pt idx="0">
                        <c:v>[0, 5000)</c:v>
                      </c:pt>
                      <c:pt idx="1">
                        <c:v>[5000, 7000)</c:v>
                      </c:pt>
                      <c:pt idx="2">
                        <c:v>[7000, 10000)</c:v>
                      </c:pt>
                      <c:pt idx="3">
                        <c:v>[10000,15000)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Лист3!$D$13:$D$16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C12-4854-B1DC-1FC6B1412DC8}"/>
                  </c:ext>
                </c:extLst>
              </c15:ser>
            </c15:filteredBarSeries>
          </c:ext>
        </c:extLst>
      </c:barChart>
      <c:catAx>
        <c:axId val="1887783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Варианты</a:t>
                </a:r>
                <a:r>
                  <a:rPr lang="en-US"/>
                  <a:t>[a1,a2)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83951"/>
        <c:crosses val="autoZero"/>
        <c:auto val="1"/>
        <c:lblAlgn val="ctr"/>
        <c:lblOffset val="100"/>
        <c:noMultiLvlLbl val="0"/>
      </c:catAx>
      <c:valAx>
        <c:axId val="188778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</a:t>
                </a:r>
                <a:r>
                  <a:rPr lang="en-US"/>
                  <a:t>(m)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8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Кумулята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Лист3!$A$13:$A$16</c:f>
              <c:strCache>
                <c:ptCount val="4"/>
                <c:pt idx="0">
                  <c:v>[0, 5000)</c:v>
                </c:pt>
                <c:pt idx="1">
                  <c:v>[5000, 7000)</c:v>
                </c:pt>
                <c:pt idx="2">
                  <c:v>[7000, 10000)</c:v>
                </c:pt>
                <c:pt idx="3">
                  <c:v>[10000,15000)</c:v>
                </c:pt>
              </c:strCache>
            </c:strRef>
          </c:cat>
          <c:val>
            <c:numRef>
              <c:f>Лист3!$C$13:$C$16</c:f>
              <c:numCache>
                <c:formatCode>General</c:formatCode>
                <c:ptCount val="4"/>
                <c:pt idx="0">
                  <c:v>4</c:v>
                </c:pt>
                <c:pt idx="1">
                  <c:v>12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75-4F7E-BD44-AFD20960A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199007"/>
        <c:axId val="4381869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Лист3!$A$13:$A$16</c15:sqref>
                        </c15:formulaRef>
                      </c:ext>
                    </c:extLst>
                    <c:strCache>
                      <c:ptCount val="4"/>
                      <c:pt idx="0">
                        <c:v>[0, 5000)</c:v>
                      </c:pt>
                      <c:pt idx="1">
                        <c:v>[5000, 7000)</c:v>
                      </c:pt>
                      <c:pt idx="2">
                        <c:v>[7000, 10000)</c:v>
                      </c:pt>
                      <c:pt idx="3">
                        <c:v>[10000,15000)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Лист3!$B$13:$B$16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C75-4F7E-BD44-AFD20960A5E3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Лист3!$A$13:$A$16</c15:sqref>
                        </c15:formulaRef>
                      </c:ext>
                    </c:extLst>
                    <c:strCache>
                      <c:ptCount val="4"/>
                      <c:pt idx="0">
                        <c:v>[0, 5000)</c:v>
                      </c:pt>
                      <c:pt idx="1">
                        <c:v>[5000, 7000)</c:v>
                      </c:pt>
                      <c:pt idx="2">
                        <c:v>[7000, 10000)</c:v>
                      </c:pt>
                      <c:pt idx="3">
                        <c:v>[10000,15000)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Лист3!$D$13:$D$16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C75-4F7E-BD44-AFD20960A5E3}"/>
                  </c:ext>
                </c:extLst>
              </c15:ser>
            </c15:filteredLineSeries>
          </c:ext>
        </c:extLst>
      </c:lineChart>
      <c:catAx>
        <c:axId val="43819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Варианты[</a:t>
                </a:r>
                <a:r>
                  <a:rPr lang="en-US"/>
                  <a:t>a1,a2)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86943"/>
        <c:crosses val="autoZero"/>
        <c:auto val="1"/>
        <c:lblAlgn val="ctr"/>
        <c:lblOffset val="100"/>
        <c:noMultiLvlLbl val="0"/>
      </c:catAx>
      <c:valAx>
        <c:axId val="4381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Частоты(</a:t>
                </a:r>
                <a:r>
                  <a:rPr lang="en-US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9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Лист4!$H$10</c:f>
              <c:strCache>
                <c:ptCount val="1"/>
                <c:pt idx="0">
                  <c:v>Частоты(m)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Лист4!$F$11:$F$17</c:f>
              <c:strCache>
                <c:ptCount val="6"/>
                <c:pt idx="0">
                  <c:v>[14.15,14.24)</c:v>
                </c:pt>
                <c:pt idx="1">
                  <c:v>[14.24,14.33)</c:v>
                </c:pt>
                <c:pt idx="2">
                  <c:v>[14.33,14.42)</c:v>
                </c:pt>
                <c:pt idx="3">
                  <c:v>[14.42,14.51)</c:v>
                </c:pt>
                <c:pt idx="4">
                  <c:v>[14.51,14.60)</c:v>
                </c:pt>
                <c:pt idx="5">
                  <c:v>[14.60,14.69)</c:v>
                </c:pt>
              </c:strCache>
            </c:strRef>
          </c:cat>
          <c:val>
            <c:numRef>
              <c:f>Лист4!$H$11:$H$17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13</c:v>
                </c:pt>
                <c:pt idx="3">
                  <c:v>8</c:v>
                </c:pt>
                <c:pt idx="4">
                  <c:v>16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6-4CC7-8AAA-08AF210F6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658943"/>
        <c:axId val="20716593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Лист4!$G$10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Лист4!$F$11:$F$17</c15:sqref>
                        </c15:formulaRef>
                      </c:ext>
                    </c:extLst>
                    <c:strCache>
                      <c:ptCount val="6"/>
                      <c:pt idx="0">
                        <c:v>[14.15,14.24)</c:v>
                      </c:pt>
                      <c:pt idx="1">
                        <c:v>[14.24,14.33)</c:v>
                      </c:pt>
                      <c:pt idx="2">
                        <c:v>[14.33,14.42)</c:v>
                      </c:pt>
                      <c:pt idx="3">
                        <c:v>[14.42,14.51)</c:v>
                      </c:pt>
                      <c:pt idx="4">
                        <c:v>[14.51,14.60)</c:v>
                      </c:pt>
                      <c:pt idx="5">
                        <c:v>[14.60,14.69)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Лист4!$G$11:$G$17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F86-4CC7-8AAA-08AF210F626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Лист4!$I$10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Лист4!$F$11:$F$17</c15:sqref>
                        </c15:formulaRef>
                      </c:ext>
                    </c:extLst>
                    <c:strCache>
                      <c:ptCount val="6"/>
                      <c:pt idx="0">
                        <c:v>[14.15,14.24)</c:v>
                      </c:pt>
                      <c:pt idx="1">
                        <c:v>[14.24,14.33)</c:v>
                      </c:pt>
                      <c:pt idx="2">
                        <c:v>[14.33,14.42)</c:v>
                      </c:pt>
                      <c:pt idx="3">
                        <c:v>[14.42,14.51)</c:v>
                      </c:pt>
                      <c:pt idx="4">
                        <c:v>[14.51,14.60)</c:v>
                      </c:pt>
                      <c:pt idx="5">
                        <c:v>[14.60,14.69)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Лист4!$I$11:$I$17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F86-4CC7-8AAA-08AF210F626D}"/>
                  </c:ext>
                </c:extLst>
              </c15:ser>
            </c15:filteredBarSeries>
          </c:ext>
        </c:extLst>
      </c:barChart>
      <c:catAx>
        <c:axId val="2071658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Варианты[</a:t>
                </a:r>
                <a:r>
                  <a:rPr lang="en-US"/>
                  <a:t>a1,a2)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659359"/>
        <c:crosses val="autoZero"/>
        <c:auto val="1"/>
        <c:lblAlgn val="ctr"/>
        <c:lblOffset val="100"/>
        <c:noMultiLvlLbl val="0"/>
      </c:catAx>
      <c:valAx>
        <c:axId val="207165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Частоты(</a:t>
                </a:r>
                <a:r>
                  <a:rPr lang="en-US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65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167640</xdr:rowOff>
    </xdr:from>
    <xdr:to>
      <xdr:col>12</xdr:col>
      <xdr:colOff>304800</xdr:colOff>
      <xdr:row>17</xdr:row>
      <xdr:rowOff>167640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D2540CB-E8B2-4019-8C8B-8E333DB9F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5</xdr:row>
      <xdr:rowOff>175260</xdr:rowOff>
    </xdr:from>
    <xdr:to>
      <xdr:col>14</xdr:col>
      <xdr:colOff>53340</xdr:colOff>
      <xdr:row>20</xdr:row>
      <xdr:rowOff>175260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78657F1-E488-4819-BCEC-64209F6D8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167640</xdr:rowOff>
    </xdr:from>
    <xdr:to>
      <xdr:col>14</xdr:col>
      <xdr:colOff>304800</xdr:colOff>
      <xdr:row>15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5C9684-4B0E-4938-91F0-09E8947D6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601980</xdr:colOff>
      <xdr:row>16</xdr:row>
      <xdr:rowOff>160020</xdr:rowOff>
    </xdr:from>
    <xdr:to>
      <xdr:col>14</xdr:col>
      <xdr:colOff>297180</xdr:colOff>
      <xdr:row>31</xdr:row>
      <xdr:rowOff>160020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F4CFF27-49ED-4D88-BD3E-E1FD91B7D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3</xdr:row>
      <xdr:rowOff>167640</xdr:rowOff>
    </xdr:from>
    <xdr:to>
      <xdr:col>18</xdr:col>
      <xdr:colOff>312420</xdr:colOff>
      <xdr:row>19</xdr:row>
      <xdr:rowOff>167640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738879A-59B2-42D1-A79C-05236C676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zoomScaleNormal="100" workbookViewId="0">
      <selection activeCell="I20" sqref="I20"/>
    </sheetView>
  </sheetViews>
  <sheetFormatPr defaultRowHeight="14.4" x14ac:dyDescent="0.3"/>
  <sheetData>
    <row r="1" spans="1:25" x14ac:dyDescent="0.3">
      <c r="B1" s="4"/>
      <c r="K1" s="5" t="s">
        <v>0</v>
      </c>
      <c r="L1" s="5"/>
    </row>
    <row r="2" spans="1:25" x14ac:dyDescent="0.3">
      <c r="A2" s="1">
        <v>4</v>
      </c>
      <c r="B2" s="1">
        <v>2</v>
      </c>
      <c r="C2" s="1">
        <v>4</v>
      </c>
      <c r="D2" s="1">
        <v>6</v>
      </c>
      <c r="E2" s="1">
        <v>5</v>
      </c>
      <c r="F2" s="1">
        <v>6</v>
      </c>
      <c r="G2" s="1">
        <v>4</v>
      </c>
      <c r="H2" s="1">
        <v>1</v>
      </c>
      <c r="I2" s="1">
        <v>3</v>
      </c>
      <c r="J2" s="1">
        <v>1</v>
      </c>
      <c r="K2" s="1">
        <v>2</v>
      </c>
      <c r="L2" s="1">
        <v>5</v>
      </c>
      <c r="M2" s="1">
        <v>2</v>
      </c>
      <c r="N2" s="1">
        <v>6</v>
      </c>
      <c r="O2" s="1">
        <v>3</v>
      </c>
      <c r="P2" s="1">
        <v>1</v>
      </c>
      <c r="Q2" s="1">
        <v>2</v>
      </c>
      <c r="R2" s="1">
        <v>3</v>
      </c>
      <c r="S2" s="1">
        <v>4</v>
      </c>
      <c r="T2" s="1">
        <v>5</v>
      </c>
      <c r="U2" s="1">
        <v>4</v>
      </c>
      <c r="V2" s="1">
        <v>6</v>
      </c>
      <c r="W2" s="1">
        <v>2</v>
      </c>
      <c r="X2" s="1">
        <v>3</v>
      </c>
      <c r="Y2" s="1">
        <v>4</v>
      </c>
    </row>
    <row r="4" spans="1:25" x14ac:dyDescent="0.3">
      <c r="A4" s="7" t="s">
        <v>1</v>
      </c>
      <c r="B4" s="7"/>
      <c r="C4" s="8" t="s">
        <v>36</v>
      </c>
      <c r="D4" s="8"/>
    </row>
    <row r="5" spans="1:25" x14ac:dyDescent="0.3">
      <c r="A5" s="9">
        <v>1</v>
      </c>
      <c r="B5" s="10"/>
      <c r="C5" s="11" cm="1">
        <f t="array" ref="C5:C11">FREQUENCY(A2:Y2,A5:B10)</f>
        <v>3</v>
      </c>
      <c r="D5" s="12"/>
    </row>
    <row r="6" spans="1:25" x14ac:dyDescent="0.3">
      <c r="A6" s="9">
        <v>2</v>
      </c>
      <c r="B6" s="10"/>
      <c r="C6" s="11">
        <v>5</v>
      </c>
      <c r="D6" s="12"/>
    </row>
    <row r="7" spans="1:25" x14ac:dyDescent="0.3">
      <c r="A7" s="9">
        <v>3</v>
      </c>
      <c r="B7" s="10"/>
      <c r="C7" s="11">
        <v>4</v>
      </c>
      <c r="D7" s="12"/>
    </row>
    <row r="8" spans="1:25" x14ac:dyDescent="0.3">
      <c r="A8" s="9">
        <v>4</v>
      </c>
      <c r="B8" s="10"/>
      <c r="C8" s="11">
        <v>6</v>
      </c>
      <c r="D8" s="12"/>
    </row>
    <row r="9" spans="1:25" x14ac:dyDescent="0.3">
      <c r="A9" s="9">
        <v>5</v>
      </c>
      <c r="B9" s="10"/>
      <c r="C9" s="11">
        <v>3</v>
      </c>
      <c r="D9" s="12"/>
    </row>
    <row r="10" spans="1:25" x14ac:dyDescent="0.3">
      <c r="A10" s="9">
        <v>6</v>
      </c>
      <c r="B10" s="10"/>
      <c r="C10" s="11">
        <v>4</v>
      </c>
      <c r="D10" s="12"/>
    </row>
    <row r="11" spans="1:25" x14ac:dyDescent="0.3">
      <c r="C11" s="6">
        <v>0</v>
      </c>
    </row>
  </sheetData>
  <mergeCells count="9">
    <mergeCell ref="A6:B6"/>
    <mergeCell ref="A7:B7"/>
    <mergeCell ref="A8:B8"/>
    <mergeCell ref="A9:B9"/>
    <mergeCell ref="A10:B10"/>
    <mergeCell ref="K1:L1"/>
    <mergeCell ref="A5:B5"/>
    <mergeCell ref="A4:B4"/>
    <mergeCell ref="C4:D4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&amp;CГневнов Артем Евгеньвич, ИВТ 2.1.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8DB5-6E4F-49B9-BA52-6E824BC2C421}">
  <dimension ref="A1:T19"/>
  <sheetViews>
    <sheetView zoomScaleNormal="100" workbookViewId="0">
      <selection activeCell="B31" sqref="B31"/>
    </sheetView>
  </sheetViews>
  <sheetFormatPr defaultRowHeight="14.4" x14ac:dyDescent="0.3"/>
  <sheetData>
    <row r="1" spans="1:20" x14ac:dyDescent="0.3">
      <c r="F1" s="13"/>
      <c r="G1" s="13"/>
      <c r="I1" s="5" t="s">
        <v>2</v>
      </c>
      <c r="J1" s="5"/>
    </row>
    <row r="2" spans="1:20" x14ac:dyDescent="0.3">
      <c r="A2" s="14">
        <v>60</v>
      </c>
      <c r="B2" s="1">
        <v>25</v>
      </c>
      <c r="C2" s="1">
        <v>12</v>
      </c>
      <c r="D2" s="1">
        <v>10</v>
      </c>
      <c r="E2" s="1">
        <v>68</v>
      </c>
      <c r="F2" s="1">
        <v>35</v>
      </c>
      <c r="G2" s="1">
        <v>2</v>
      </c>
      <c r="H2" s="1">
        <v>17</v>
      </c>
      <c r="I2" s="1">
        <v>51</v>
      </c>
      <c r="J2" s="1">
        <v>9</v>
      </c>
      <c r="K2" s="1">
        <v>3</v>
      </c>
      <c r="L2" s="1">
        <v>130</v>
      </c>
      <c r="M2" s="1">
        <v>24</v>
      </c>
      <c r="N2" s="1">
        <v>85</v>
      </c>
      <c r="O2" s="1">
        <v>100</v>
      </c>
      <c r="P2" s="1">
        <v>152</v>
      </c>
      <c r="Q2" s="1">
        <v>6</v>
      </c>
      <c r="R2" s="1">
        <v>18</v>
      </c>
      <c r="S2" s="1">
        <v>7</v>
      </c>
      <c r="T2" s="1">
        <v>42</v>
      </c>
    </row>
    <row r="4" spans="1:20" x14ac:dyDescent="0.3">
      <c r="A4" s="15" t="s">
        <v>3</v>
      </c>
      <c r="B4" s="16" t="s">
        <v>4</v>
      </c>
      <c r="D4" s="15" t="s">
        <v>5</v>
      </c>
      <c r="E4" s="15" t="s">
        <v>6</v>
      </c>
    </row>
    <row r="5" spans="1:20" x14ac:dyDescent="0.3">
      <c r="A5" s="17">
        <f>MROUND(1 + 1.4*LN(20),1)</f>
        <v>5</v>
      </c>
      <c r="B5" s="17">
        <f>(D5-E5)/A5</f>
        <v>30</v>
      </c>
      <c r="D5" s="17">
        <f>MAX(A2:T2)</f>
        <v>152</v>
      </c>
      <c r="E5" s="17">
        <f>MIN(A2:T2)</f>
        <v>2</v>
      </c>
    </row>
    <row r="7" spans="1:20" x14ac:dyDescent="0.3">
      <c r="A7" s="19" t="s">
        <v>7</v>
      </c>
      <c r="B7" s="21"/>
      <c r="C7" s="21"/>
      <c r="D7" s="20"/>
    </row>
    <row r="8" spans="1:20" x14ac:dyDescent="0.3">
      <c r="A8" s="9">
        <f>E5</f>
        <v>2</v>
      </c>
      <c r="B8" s="10"/>
      <c r="C8" s="11">
        <f>A8+$B$5</f>
        <v>32</v>
      </c>
      <c r="D8" s="12"/>
    </row>
    <row r="9" spans="1:20" x14ac:dyDescent="0.3">
      <c r="A9" s="9">
        <f>C8</f>
        <v>32</v>
      </c>
      <c r="B9" s="10"/>
      <c r="C9" s="11">
        <f>A9+$B$5</f>
        <v>62</v>
      </c>
      <c r="D9" s="12"/>
    </row>
    <row r="10" spans="1:20" x14ac:dyDescent="0.3">
      <c r="A10" s="9">
        <f>C9</f>
        <v>62</v>
      </c>
      <c r="B10" s="10"/>
      <c r="C10" s="11">
        <f>A10+$B$5</f>
        <v>92</v>
      </c>
      <c r="D10" s="12"/>
    </row>
    <row r="11" spans="1:20" x14ac:dyDescent="0.3">
      <c r="A11" s="9">
        <f>C10</f>
        <v>92</v>
      </c>
      <c r="B11" s="10"/>
      <c r="C11" s="11">
        <f t="shared" ref="C11:C12" si="0">A11+$B$5</f>
        <v>122</v>
      </c>
      <c r="D11" s="12"/>
    </row>
    <row r="12" spans="1:20" x14ac:dyDescent="0.3">
      <c r="A12" s="9">
        <f>C11</f>
        <v>122</v>
      </c>
      <c r="B12" s="9"/>
      <c r="C12" s="11">
        <f t="shared" si="0"/>
        <v>152</v>
      </c>
      <c r="D12" s="12"/>
    </row>
    <row r="13" spans="1:20" x14ac:dyDescent="0.3">
      <c r="A13" s="22"/>
      <c r="B13" s="22"/>
      <c r="C13" s="22"/>
      <c r="D13" s="22"/>
    </row>
    <row r="14" spans="1:20" x14ac:dyDescent="0.3">
      <c r="A14" s="7" t="s">
        <v>8</v>
      </c>
      <c r="B14" s="7"/>
      <c r="C14" s="7" t="s">
        <v>35</v>
      </c>
      <c r="D14" s="7"/>
    </row>
    <row r="15" spans="1:20" x14ac:dyDescent="0.3">
      <c r="A15" s="9" t="s">
        <v>11</v>
      </c>
      <c r="B15" s="9"/>
      <c r="C15" s="9">
        <v>11</v>
      </c>
      <c r="D15" s="18"/>
    </row>
    <row r="16" spans="1:20" x14ac:dyDescent="0.3">
      <c r="A16" s="9" t="s">
        <v>10</v>
      </c>
      <c r="B16" s="9"/>
      <c r="C16" s="9">
        <v>4</v>
      </c>
      <c r="D16" s="9"/>
    </row>
    <row r="17" spans="1:4" x14ac:dyDescent="0.3">
      <c r="A17" s="9" t="s">
        <v>9</v>
      </c>
      <c r="B17" s="9"/>
      <c r="C17" s="9">
        <v>2</v>
      </c>
      <c r="D17" s="9"/>
    </row>
    <row r="18" spans="1:4" x14ac:dyDescent="0.3">
      <c r="A18" s="9" t="s">
        <v>12</v>
      </c>
      <c r="B18" s="9"/>
      <c r="C18" s="9">
        <v>1</v>
      </c>
      <c r="D18" s="9"/>
    </row>
    <row r="19" spans="1:4" x14ac:dyDescent="0.3">
      <c r="A19" s="9" t="s">
        <v>13</v>
      </c>
      <c r="B19" s="9"/>
      <c r="C19" s="9">
        <v>2</v>
      </c>
      <c r="D19" s="9"/>
    </row>
  </sheetData>
  <mergeCells count="19">
    <mergeCell ref="A14:B14"/>
    <mergeCell ref="A15:B15"/>
    <mergeCell ref="A16:B16"/>
    <mergeCell ref="A17:B17"/>
    <mergeCell ref="A18:B18"/>
    <mergeCell ref="A19:B19"/>
    <mergeCell ref="C14:D14"/>
    <mergeCell ref="C15:D15"/>
    <mergeCell ref="C16:D16"/>
    <mergeCell ref="C17:D17"/>
    <mergeCell ref="C18:D18"/>
    <mergeCell ref="C19:D19"/>
    <mergeCell ref="A10:B10"/>
    <mergeCell ref="A11:B11"/>
    <mergeCell ref="A12:B12"/>
    <mergeCell ref="A7:D7"/>
    <mergeCell ref="I1:J1"/>
    <mergeCell ref="A8:B8"/>
    <mergeCell ref="A9:B9"/>
  </mergeCells>
  <pageMargins left="0.7" right="0.7" top="0.75" bottom="0.75" header="0.3" footer="0.3"/>
  <pageSetup paperSize="9" orientation="portrait" r:id="rId1"/>
  <headerFooter>
    <oddHeader>&amp;CГневнов Артем Евгеньвич, ИВТ 2.1.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A99C-E77E-482C-BDC7-36AC3FCCBEAF}">
  <dimension ref="A1:F16"/>
  <sheetViews>
    <sheetView zoomScaleNormal="100" workbookViewId="0">
      <selection activeCell="P30" sqref="P30"/>
    </sheetView>
  </sheetViews>
  <sheetFormatPr defaultRowHeight="14.4" x14ac:dyDescent="0.3"/>
  <sheetData>
    <row r="1" spans="1:6" x14ac:dyDescent="0.3">
      <c r="C1" s="5" t="s">
        <v>21</v>
      </c>
      <c r="D1" s="5"/>
    </row>
    <row r="2" spans="1:6" x14ac:dyDescent="0.3">
      <c r="A2" s="7" t="s">
        <v>14</v>
      </c>
      <c r="B2" s="7"/>
      <c r="C2" s="7"/>
      <c r="D2" s="7" t="s">
        <v>15</v>
      </c>
      <c r="E2" s="7"/>
      <c r="F2" s="7"/>
    </row>
    <row r="3" spans="1:6" x14ac:dyDescent="0.3">
      <c r="A3" s="23" t="s">
        <v>16</v>
      </c>
      <c r="B3" s="23"/>
      <c r="C3" s="23"/>
      <c r="D3" s="23">
        <v>4</v>
      </c>
      <c r="E3" s="23"/>
      <c r="F3" s="23"/>
    </row>
    <row r="4" spans="1:6" x14ac:dyDescent="0.3">
      <c r="A4" s="23" t="s">
        <v>17</v>
      </c>
      <c r="B4" s="23"/>
      <c r="C4" s="23"/>
      <c r="D4" s="23">
        <v>12</v>
      </c>
      <c r="E4" s="23"/>
      <c r="F4" s="23"/>
    </row>
    <row r="5" spans="1:6" x14ac:dyDescent="0.3">
      <c r="A5" s="23" t="s">
        <v>18</v>
      </c>
      <c r="B5" s="23"/>
      <c r="C5" s="23"/>
      <c r="D5" s="23">
        <v>8</v>
      </c>
      <c r="E5" s="23"/>
      <c r="F5" s="23"/>
    </row>
    <row r="6" spans="1:6" x14ac:dyDescent="0.3">
      <c r="A6" s="23" t="s">
        <v>19</v>
      </c>
      <c r="B6" s="23"/>
      <c r="C6" s="23"/>
      <c r="D6" s="23">
        <v>6</v>
      </c>
      <c r="E6" s="23"/>
      <c r="F6" s="23"/>
    </row>
    <row r="7" spans="1:6" x14ac:dyDescent="0.3">
      <c r="A7" s="23" t="s">
        <v>20</v>
      </c>
      <c r="B7" s="23"/>
      <c r="C7" s="23"/>
      <c r="D7" s="23">
        <v>30</v>
      </c>
      <c r="E7" s="23"/>
      <c r="F7" s="23"/>
    </row>
    <row r="9" spans="1:6" x14ac:dyDescent="0.3">
      <c r="A9" s="15" t="s">
        <v>3</v>
      </c>
      <c r="B9" s="16" t="s">
        <v>4</v>
      </c>
      <c r="D9" s="25" t="s">
        <v>23</v>
      </c>
      <c r="E9" s="25" t="s">
        <v>22</v>
      </c>
    </row>
    <row r="10" spans="1:6" x14ac:dyDescent="0.3">
      <c r="A10" s="17">
        <f>MROUND(1 + 1.4*LN(30),1)</f>
        <v>6</v>
      </c>
      <c r="B10" s="17">
        <v>2000</v>
      </c>
      <c r="D10" s="17">
        <v>15000</v>
      </c>
      <c r="E10" s="17">
        <v>5000</v>
      </c>
    </row>
    <row r="12" spans="1:6" x14ac:dyDescent="0.3">
      <c r="A12" s="19" t="s">
        <v>8</v>
      </c>
      <c r="B12" s="20"/>
      <c r="C12" s="19" t="s">
        <v>35</v>
      </c>
      <c r="D12" s="20"/>
    </row>
    <row r="13" spans="1:6" x14ac:dyDescent="0.3">
      <c r="A13" s="9" t="s">
        <v>24</v>
      </c>
      <c r="B13" s="9"/>
      <c r="C13" s="9">
        <v>4</v>
      </c>
      <c r="D13" s="9"/>
    </row>
    <row r="14" spans="1:6" x14ac:dyDescent="0.3">
      <c r="A14" s="9" t="s">
        <v>25</v>
      </c>
      <c r="B14" s="9"/>
      <c r="C14" s="9">
        <v>12</v>
      </c>
      <c r="D14" s="9"/>
    </row>
    <row r="15" spans="1:6" x14ac:dyDescent="0.3">
      <c r="A15" s="9" t="s">
        <v>26</v>
      </c>
      <c r="B15" s="9"/>
      <c r="C15" s="9">
        <v>8</v>
      </c>
      <c r="D15" s="9"/>
    </row>
    <row r="16" spans="1:6" x14ac:dyDescent="0.3">
      <c r="A16" s="9" t="s">
        <v>27</v>
      </c>
      <c r="B16" s="9"/>
      <c r="C16" s="9">
        <v>6</v>
      </c>
      <c r="D16" s="9"/>
    </row>
  </sheetData>
  <mergeCells count="23">
    <mergeCell ref="A16:B16"/>
    <mergeCell ref="C13:D13"/>
    <mergeCell ref="C14:D14"/>
    <mergeCell ref="C15:D15"/>
    <mergeCell ref="C16:D16"/>
    <mergeCell ref="C1:D1"/>
    <mergeCell ref="A12:B12"/>
    <mergeCell ref="A13:B13"/>
    <mergeCell ref="A14:B14"/>
    <mergeCell ref="A15:B15"/>
    <mergeCell ref="C12:D12"/>
    <mergeCell ref="A5:C5"/>
    <mergeCell ref="D5:F5"/>
    <mergeCell ref="A6:C6"/>
    <mergeCell ref="D6:F6"/>
    <mergeCell ref="A7:C7"/>
    <mergeCell ref="D7:F7"/>
    <mergeCell ref="A2:C2"/>
    <mergeCell ref="D2:F2"/>
    <mergeCell ref="A3:C3"/>
    <mergeCell ref="D3:F3"/>
    <mergeCell ref="A4:C4"/>
    <mergeCell ref="D4:F4"/>
  </mergeCells>
  <pageMargins left="0.7" right="0.7" top="0.75" bottom="0.75" header="0.3" footer="0.3"/>
  <pageSetup paperSize="9" orientation="portrait" r:id="rId1"/>
  <headerFooter>
    <oddHeader>&amp;CГневнов Артем Евгеньвич, ИВТ 2.1.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D1E5-79C5-4BE4-A486-4AA14DB31A00}">
  <dimension ref="A1:N17"/>
  <sheetViews>
    <sheetView tabSelected="1" zoomScaleNormal="100" workbookViewId="0">
      <selection activeCell="I21" sqref="I21"/>
    </sheetView>
  </sheetViews>
  <sheetFormatPr defaultRowHeight="14.4" x14ac:dyDescent="0.3"/>
  <sheetData>
    <row r="1" spans="1:14" x14ac:dyDescent="0.3">
      <c r="C1" s="3" t="s">
        <v>28</v>
      </c>
      <c r="D1" s="3"/>
      <c r="E1" s="3"/>
    </row>
    <row r="2" spans="1:14" x14ac:dyDescent="0.3">
      <c r="A2" s="14">
        <v>14.51</v>
      </c>
      <c r="B2" s="14">
        <v>14.42</v>
      </c>
      <c r="C2" s="14">
        <v>14.56</v>
      </c>
      <c r="D2" s="14">
        <v>14.47</v>
      </c>
      <c r="E2" s="14">
        <v>14.46</v>
      </c>
      <c r="F2" s="14">
        <v>14.35</v>
      </c>
      <c r="G2" s="14">
        <v>14.48</v>
      </c>
      <c r="H2" s="14">
        <v>14.43</v>
      </c>
      <c r="J2" s="15" t="s">
        <v>3</v>
      </c>
      <c r="K2" s="16" t="s">
        <v>4</v>
      </c>
      <c r="L2" s="2"/>
      <c r="M2" s="15" t="s">
        <v>5</v>
      </c>
      <c r="N2" s="15" t="s">
        <v>6</v>
      </c>
    </row>
    <row r="3" spans="1:14" x14ac:dyDescent="0.3">
      <c r="A3" s="14">
        <v>14.21</v>
      </c>
      <c r="B3" s="14">
        <v>14.31</v>
      </c>
      <c r="C3" s="14">
        <v>14.35</v>
      </c>
      <c r="D3" s="14">
        <v>14.68</v>
      </c>
      <c r="E3" s="14">
        <v>14.56</v>
      </c>
      <c r="F3" s="14">
        <v>14.28</v>
      </c>
      <c r="G3" s="14">
        <v>14.36</v>
      </c>
      <c r="H3" s="14">
        <v>14.21</v>
      </c>
      <c r="J3" s="17">
        <f>MROUND(1 +1.4 * LN(50),1)</f>
        <v>6</v>
      </c>
      <c r="K3" s="17">
        <f>(M3-N3)/J3</f>
        <v>8.9999999999999858E-2</v>
      </c>
      <c r="L3" s="2"/>
      <c r="M3" s="17">
        <f>MAX(A2:H8)</f>
        <v>14.69</v>
      </c>
      <c r="N3" s="17">
        <f>MIN(A2:H8)</f>
        <v>14.15</v>
      </c>
    </row>
    <row r="4" spans="1:14" x14ac:dyDescent="0.3">
      <c r="A4" s="14">
        <v>14.52</v>
      </c>
      <c r="B4" s="14">
        <v>14.23</v>
      </c>
      <c r="C4" s="14">
        <v>14.41</v>
      </c>
      <c r="D4" s="14">
        <v>14.46</v>
      </c>
      <c r="E4" s="14">
        <v>14.69</v>
      </c>
      <c r="F4" s="14">
        <v>14.54</v>
      </c>
      <c r="G4" s="14">
        <v>14.36</v>
      </c>
      <c r="H4" s="14">
        <v>14.15</v>
      </c>
    </row>
    <row r="5" spans="1:14" x14ac:dyDescent="0.3">
      <c r="A5" s="14">
        <v>14.37</v>
      </c>
      <c r="B5" s="14">
        <v>14.51</v>
      </c>
      <c r="C5" s="14">
        <v>14.25</v>
      </c>
      <c r="D5" s="14">
        <v>14.55</v>
      </c>
      <c r="E5" s="14">
        <v>14.51</v>
      </c>
      <c r="F5" s="14">
        <v>14.36</v>
      </c>
      <c r="G5" s="14">
        <v>14.62</v>
      </c>
      <c r="H5" s="14">
        <v>14.55</v>
      </c>
    </row>
    <row r="6" spans="1:14" x14ac:dyDescent="0.3">
      <c r="A6" s="14">
        <v>14.38</v>
      </c>
      <c r="B6" s="14">
        <v>14.33</v>
      </c>
      <c r="C6" s="14">
        <v>14.4</v>
      </c>
      <c r="D6" s="14">
        <v>14.52</v>
      </c>
      <c r="E6" s="14">
        <v>14.48</v>
      </c>
      <c r="F6" s="14">
        <v>14.51</v>
      </c>
      <c r="G6" s="14">
        <v>14.55</v>
      </c>
      <c r="H6" s="14">
        <v>14.39</v>
      </c>
    </row>
    <row r="7" spans="1:14" x14ac:dyDescent="0.3">
      <c r="A7" s="14">
        <v>14.54</v>
      </c>
      <c r="B7" s="14">
        <v>14.58</v>
      </c>
      <c r="C7" s="14">
        <v>14.48</v>
      </c>
      <c r="D7" s="14">
        <v>14.37</v>
      </c>
      <c r="E7" s="14">
        <v>14.38</v>
      </c>
      <c r="F7" s="14">
        <v>14.51</v>
      </c>
      <c r="G7" s="14">
        <v>14.36</v>
      </c>
      <c r="H7" s="14">
        <v>14.15</v>
      </c>
    </row>
    <row r="8" spans="1:14" x14ac:dyDescent="0.3">
      <c r="A8" s="14">
        <v>14.24</v>
      </c>
      <c r="B8" s="14">
        <v>14.32</v>
      </c>
      <c r="C8" s="24"/>
      <c r="D8" s="24"/>
      <c r="E8" s="24"/>
      <c r="F8" s="24"/>
      <c r="G8" s="24"/>
      <c r="H8" s="24"/>
    </row>
    <row r="10" spans="1:14" x14ac:dyDescent="0.3">
      <c r="A10" s="19" t="s">
        <v>7</v>
      </c>
      <c r="B10" s="21"/>
      <c r="C10" s="21"/>
      <c r="D10" s="20"/>
      <c r="F10" s="7" t="s">
        <v>8</v>
      </c>
      <c r="G10" s="7"/>
      <c r="H10" s="7" t="s">
        <v>35</v>
      </c>
      <c r="I10" s="7"/>
    </row>
    <row r="11" spans="1:14" x14ac:dyDescent="0.3">
      <c r="A11" s="10">
        <f>N3</f>
        <v>14.15</v>
      </c>
      <c r="B11" s="18"/>
      <c r="C11" s="10">
        <f>A11+$K$3</f>
        <v>14.24</v>
      </c>
      <c r="D11" s="18"/>
      <c r="F11" s="9" t="s">
        <v>29</v>
      </c>
      <c r="G11" s="9"/>
      <c r="H11" s="9">
        <v>5</v>
      </c>
      <c r="I11" s="9"/>
    </row>
    <row r="12" spans="1:14" x14ac:dyDescent="0.3">
      <c r="A12" s="10">
        <f>C11</f>
        <v>14.24</v>
      </c>
      <c r="B12" s="18"/>
      <c r="C12" s="10">
        <f t="shared" ref="C12:C17" si="0">A12+$K$3</f>
        <v>14.33</v>
      </c>
      <c r="D12" s="18"/>
      <c r="F12" s="9" t="s">
        <v>30</v>
      </c>
      <c r="G12" s="9"/>
      <c r="H12" s="9">
        <v>5</v>
      </c>
      <c r="I12" s="9"/>
    </row>
    <row r="13" spans="1:14" x14ac:dyDescent="0.3">
      <c r="A13" s="10">
        <f t="shared" ref="A13:A15" si="1">C12</f>
        <v>14.33</v>
      </c>
      <c r="B13" s="18"/>
      <c r="C13" s="10">
        <f t="shared" si="0"/>
        <v>14.42</v>
      </c>
      <c r="D13" s="18"/>
      <c r="F13" s="9" t="s">
        <v>31</v>
      </c>
      <c r="G13" s="9"/>
      <c r="H13" s="9">
        <v>13</v>
      </c>
      <c r="I13" s="9"/>
    </row>
    <row r="14" spans="1:14" x14ac:dyDescent="0.3">
      <c r="A14" s="10">
        <f t="shared" si="1"/>
        <v>14.42</v>
      </c>
      <c r="B14" s="18"/>
      <c r="C14" s="10">
        <f t="shared" si="0"/>
        <v>14.51</v>
      </c>
      <c r="D14" s="18"/>
      <c r="F14" s="9" t="s">
        <v>32</v>
      </c>
      <c r="G14" s="9"/>
      <c r="H14" s="9">
        <v>8</v>
      </c>
      <c r="I14" s="9"/>
    </row>
    <row r="15" spans="1:14" x14ac:dyDescent="0.3">
      <c r="A15" s="9">
        <f t="shared" si="1"/>
        <v>14.51</v>
      </c>
      <c r="B15" s="10"/>
      <c r="C15" s="10">
        <f t="shared" si="0"/>
        <v>14.6</v>
      </c>
      <c r="D15" s="18"/>
      <c r="F15" s="9" t="s">
        <v>33</v>
      </c>
      <c r="G15" s="9"/>
      <c r="H15" s="9">
        <v>16</v>
      </c>
      <c r="I15" s="9"/>
    </row>
    <row r="16" spans="1:14" x14ac:dyDescent="0.3">
      <c r="A16" s="9">
        <f t="shared" ref="A16:A17" si="2">C15</f>
        <v>14.6</v>
      </c>
      <c r="B16" s="9"/>
      <c r="C16" s="9">
        <f t="shared" si="0"/>
        <v>14.69</v>
      </c>
      <c r="D16" s="9"/>
      <c r="F16" s="9" t="s">
        <v>34</v>
      </c>
      <c r="G16" s="9"/>
      <c r="H16" s="9">
        <v>3</v>
      </c>
      <c r="I16" s="9"/>
    </row>
    <row r="17" spans="1:9" x14ac:dyDescent="0.3">
      <c r="A17" s="22"/>
      <c r="B17" s="22"/>
      <c r="C17" s="22"/>
      <c r="D17" s="22"/>
      <c r="F17" s="22"/>
      <c r="G17" s="22"/>
      <c r="H17" s="22"/>
      <c r="I17" s="22"/>
    </row>
  </sheetData>
  <mergeCells count="28">
    <mergeCell ref="C15:D15"/>
    <mergeCell ref="C16:D16"/>
    <mergeCell ref="A14:B14"/>
    <mergeCell ref="A13:B13"/>
    <mergeCell ref="A12:B12"/>
    <mergeCell ref="A11:B11"/>
    <mergeCell ref="A10:D10"/>
    <mergeCell ref="C11:D11"/>
    <mergeCell ref="C12:D12"/>
    <mergeCell ref="C13:D13"/>
    <mergeCell ref="C14:D14"/>
    <mergeCell ref="A16:B16"/>
    <mergeCell ref="A15:B15"/>
    <mergeCell ref="F16:G16"/>
    <mergeCell ref="H16:I16"/>
    <mergeCell ref="F13:G13"/>
    <mergeCell ref="H13:I13"/>
    <mergeCell ref="F14:G14"/>
    <mergeCell ref="H14:I14"/>
    <mergeCell ref="F15:G15"/>
    <mergeCell ref="H15:I15"/>
    <mergeCell ref="C1:E1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pageSetup paperSize="9" orientation="portrait" r:id="rId1"/>
  <headerFooter>
    <oddHeader>&amp;CГневнов Артем Евгеньвич, ИВТ 2.1.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dcterms:created xsi:type="dcterms:W3CDTF">2015-06-05T18:19:34Z</dcterms:created>
  <dcterms:modified xsi:type="dcterms:W3CDTF">2023-12-06T18:34:19Z</dcterms:modified>
</cp:coreProperties>
</file>