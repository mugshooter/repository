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ttps://d.docs.live.net/2f0d4a8a008de216/Рабочий стол/учеба/РГПУ/АД/Зачётная/"/>
    </mc:Choice>
  </mc:AlternateContent>
  <xr:revisionPtr revIDLastSave="4" documentId="11_AD4DF75460589B3ACB72843C47DC75685BDEDD96" xr6:coauthVersionLast="47" xr6:coauthVersionMax="47" xr10:uidLastSave="{04A4739B-3907-4162-8933-838D100D02F3}"/>
  <bookViews>
    <workbookView xWindow="-108" yWindow="-108" windowWidth="23256" windowHeight="13176" activeTab="1" xr2:uid="{00000000-000D-0000-FFFF-FFFF00000000}"/>
  </bookViews>
  <sheets>
    <sheet name="Лист1" sheetId="1" r:id="rId1"/>
    <sheet name="Лист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9" i="2" l="1"/>
  <c r="N13" i="2"/>
  <c r="O13" i="2"/>
  <c r="P13" i="2" s="1"/>
  <c r="K19" i="2"/>
  <c r="N16" i="2"/>
  <c r="N15" i="2"/>
  <c r="N14" i="2"/>
  <c r="N18" i="2"/>
  <c r="M19" i="2"/>
  <c r="L19" i="2"/>
  <c r="L15" i="2"/>
  <c r="L14" i="2"/>
  <c r="L13" i="2"/>
  <c r="K14" i="2"/>
  <c r="K15" i="2"/>
  <c r="K16" i="2"/>
  <c r="K17" i="2"/>
  <c r="K18" i="2"/>
  <c r="K13" i="2"/>
  <c r="H14" i="2" l="1"/>
  <c r="I14" i="2" s="1"/>
  <c r="H15" i="2"/>
  <c r="I15" i="2" s="1"/>
  <c r="H16" i="2"/>
  <c r="H17" i="2"/>
  <c r="I17" i="2" s="1"/>
  <c r="H18" i="2"/>
  <c r="H19" i="2"/>
  <c r="H13" i="2"/>
  <c r="N7" i="1"/>
  <c r="I19" i="2"/>
  <c r="L18" i="2"/>
  <c r="I18" i="2"/>
  <c r="L17" i="2"/>
  <c r="L16" i="2"/>
  <c r="I16" i="2"/>
  <c r="I13" i="2"/>
  <c r="I3" i="2"/>
  <c r="G4" i="2"/>
  <c r="J3" i="2"/>
  <c r="G3" i="2"/>
  <c r="H3" i="2" l="1"/>
  <c r="M16" i="2"/>
  <c r="M14" i="2"/>
  <c r="M17" i="2"/>
  <c r="M18" i="2"/>
  <c r="M15" i="2"/>
  <c r="M13" i="2"/>
  <c r="N17" i="2"/>
  <c r="R30" i="1" l="1"/>
  <c r="R27" i="1"/>
  <c r="R24" i="1"/>
  <c r="U11" i="1"/>
  <c r="W7" i="1"/>
  <c r="S4" i="1"/>
  <c r="Q4" i="1"/>
  <c r="I12" i="1"/>
  <c r="I13" i="1"/>
  <c r="I14" i="1"/>
  <c r="I15" i="1"/>
  <c r="I16" i="1"/>
  <c r="I17" i="1"/>
  <c r="I18" i="1"/>
  <c r="I11" i="1"/>
  <c r="G12" i="1"/>
  <c r="G13" i="1"/>
  <c r="R13" i="1"/>
  <c r="R14" i="1"/>
  <c r="R15" i="1"/>
  <c r="R16" i="1"/>
  <c r="R17" i="1"/>
  <c r="L4" i="1"/>
  <c r="K4" i="1"/>
  <c r="J4" i="1"/>
  <c r="J7" i="1" s="1"/>
  <c r="B22" i="1" l="1"/>
  <c r="D22" i="1" s="1"/>
  <c r="G26" i="1"/>
  <c r="G28" i="1"/>
  <c r="G27" i="1"/>
  <c r="G21" i="1"/>
  <c r="G22" i="1"/>
  <c r="G24" i="1"/>
  <c r="G25" i="1"/>
  <c r="G23" i="1"/>
  <c r="G17" i="1"/>
  <c r="G16" i="1"/>
  <c r="G15" i="1"/>
  <c r="R12" i="1"/>
  <c r="G11" i="1"/>
  <c r="G18" i="1"/>
  <c r="R11" i="1"/>
  <c r="R18" i="1"/>
  <c r="G14" i="1"/>
  <c r="B21" i="1"/>
  <c r="D21" i="1" s="1"/>
  <c r="B28" i="1"/>
  <c r="D28" i="1" s="1"/>
  <c r="B27" i="1"/>
  <c r="D27" i="1" s="1"/>
  <c r="B26" i="1"/>
  <c r="D26" i="1" s="1"/>
  <c r="B25" i="1"/>
  <c r="D25" i="1" s="1"/>
  <c r="B24" i="1"/>
  <c r="D24" i="1" s="1"/>
  <c r="B23" i="1"/>
  <c r="D23" i="1" s="1"/>
  <c r="I25" i="1" l="1"/>
  <c r="K25" i="1"/>
  <c r="I22" i="1"/>
  <c r="K22" i="1"/>
  <c r="I21" i="1"/>
  <c r="K21" i="1"/>
  <c r="I27" i="1"/>
  <c r="K27" i="1"/>
  <c r="I28" i="1"/>
  <c r="K28" i="1"/>
  <c r="I23" i="1"/>
  <c r="K23" i="1"/>
  <c r="N4" i="1"/>
  <c r="K24" i="1"/>
  <c r="I24" i="1"/>
  <c r="K26" i="1"/>
  <c r="I26" i="1"/>
  <c r="M21" i="1" l="1"/>
  <c r="U4" i="1" s="1"/>
  <c r="S7" i="1"/>
  <c r="W4" i="1"/>
</calcChain>
</file>

<file path=xl/sharedStrings.xml><?xml version="1.0" encoding="utf-8"?>
<sst xmlns="http://schemas.openxmlformats.org/spreadsheetml/2006/main" count="62" uniqueCount="55">
  <si>
    <t xml:space="preserve">Был проведён опрос среди 25 студентов РГПУ имени А.И. Герцена института информационных технологий и технологического образования о количестве их полных лет. Были получены следующие результаты.  22, 19, 24, 18, 21, 25, 23, 20, 24, 19, 22, 21, 23, 18, 25, 20, 24, 21, 19, 23, 25, 20, 21, 22, 24
</t>
  </si>
  <si>
    <t>Частота m(i)</t>
  </si>
  <si>
    <t>Варианты x(i)</t>
  </si>
  <si>
    <t>n</t>
  </si>
  <si>
    <t>max</t>
  </si>
  <si>
    <t>min</t>
  </si>
  <si>
    <t xml:space="preserve"> m(x)</t>
  </si>
  <si>
    <t xml:space="preserve"> x(i)</t>
  </si>
  <si>
    <t>w(i)</t>
  </si>
  <si>
    <t>(x(i)-x)^2</t>
  </si>
  <si>
    <t>(x(i)-x)^2*m</t>
  </si>
  <si>
    <t>Среднее значение признака</t>
  </si>
  <si>
    <t>x(i)*m(i)</t>
  </si>
  <si>
    <t>Дисперсия</t>
  </si>
  <si>
    <t xml:space="preserve">Среднее квадратическое отклонение </t>
  </si>
  <si>
    <t>Коэффициент вариации</t>
  </si>
  <si>
    <t>Мода</t>
  </si>
  <si>
    <t>Медиана</t>
  </si>
  <si>
    <t>Ассиметрия распределения</t>
  </si>
  <si>
    <t>xi - x¯</t>
  </si>
  <si>
    <t>(xi-x¯)^4</t>
  </si>
  <si>
    <t>(xi-x¯)^4 * mi</t>
  </si>
  <si>
    <t>μ4</t>
  </si>
  <si>
    <t>Эксцесс</t>
  </si>
  <si>
    <t>Средняя арифмитическая</t>
  </si>
  <si>
    <t>Средняя арифмитическая взвешенная</t>
  </si>
  <si>
    <t>25-ый перцентиль</t>
  </si>
  <si>
    <t>50-ый перцентиль</t>
  </si>
  <si>
    <t>25-й перцентиль находится между 6-м и 7-м значениями в упорядоченном ряду, которые равны 20 и 20. Поскольку оба значения одинаковы, 25-й перцентиль равен 20.</t>
  </si>
  <si>
    <t>50-й перцентиль находится на позиции 13 в упорядоченном ряду, что соответствует значению 22.</t>
  </si>
  <si>
    <t>75-ый перцентиль</t>
  </si>
  <si>
    <t>75-й перцентиль находится между 19-м и 20-м значениями в упорядоченном ряду, которые равны 24 и 24. Поскольку оба значения одинаковы, 75-й перцентиль равен 24.</t>
  </si>
  <si>
    <t>k</t>
  </si>
  <si>
    <t>∆</t>
  </si>
  <si>
    <t>Кол-во</t>
  </si>
  <si>
    <t>Середина интервала</t>
  </si>
  <si>
    <t>x-</t>
  </si>
  <si>
    <t>σ</t>
  </si>
  <si>
    <t>ti</t>
  </si>
  <si>
    <t>ϕ(t)</t>
  </si>
  <si>
    <t>d</t>
  </si>
  <si>
    <t>fm</t>
  </si>
  <si>
    <t>Fi</t>
  </si>
  <si>
    <t>Fm</t>
  </si>
  <si>
    <t>Di</t>
  </si>
  <si>
    <t>Dmax</t>
  </si>
  <si>
    <t>λ</t>
  </si>
  <si>
    <t>Возраст студента</t>
  </si>
  <si>
    <t>18-19</t>
  </si>
  <si>
    <t>19-20</t>
  </si>
  <si>
    <t>20-21</t>
  </si>
  <si>
    <t>21-22</t>
  </si>
  <si>
    <t>22-23</t>
  </si>
  <si>
    <t>23-24</t>
  </si>
  <si>
    <t>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</si>
</sst>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8"/>
      <name val="Calibri"/>
      <family val="2"/>
      <scheme val="minor"/>
    </font>
    <font>
      <sz val="11"/>
      <color theme="1"/>
      <name val="Calibri"/>
      <family val="2"/>
      <charset val="204"/>
    </font>
    <font>
      <sz val="9"/>
      <color theme="1"/>
      <name val="Calibri"/>
      <family val="2"/>
      <scheme val="minor"/>
    </font>
    <font>
      <sz val="8"/>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applyAlignment="1">
      <alignment wrapText="1"/>
    </xf>
    <xf numFmtId="0" fontId="0" fillId="3" borderId="1" xfId="0" applyFill="1" applyBorder="1"/>
    <xf numFmtId="0" fontId="0" fillId="2" borderId="1" xfId="0" applyFill="1" applyBorder="1" applyAlignment="1">
      <alignment wrapText="1"/>
    </xf>
    <xf numFmtId="0" fontId="0" fillId="2" borderId="1" xfId="0" applyFill="1" applyBorder="1"/>
    <xf numFmtId="0" fontId="0" fillId="2" borderId="1" xfId="0" applyFill="1" applyBorder="1" applyAlignment="1">
      <alignment horizontal="center" wrapText="1"/>
    </xf>
    <xf numFmtId="0" fontId="0" fillId="0" borderId="0" xfId="0" applyFill="1" applyBorder="1" applyAlignment="1"/>
    <xf numFmtId="0" fontId="0" fillId="4" borderId="2" xfId="0" applyFill="1" applyBorder="1"/>
    <xf numFmtId="0" fontId="0" fillId="4" borderId="3" xfId="0" applyFill="1" applyBorder="1"/>
    <xf numFmtId="0" fontId="0" fillId="4" borderId="3" xfId="0" applyFill="1" applyBorder="1" applyAlignment="1">
      <alignment wrapText="1"/>
    </xf>
    <xf numFmtId="0" fontId="0" fillId="4" borderId="4" xfId="0" applyFill="1" applyBorder="1"/>
    <xf numFmtId="0" fontId="3" fillId="2" borderId="1" xfId="0" applyFont="1" applyFill="1" applyBorder="1"/>
    <xf numFmtId="0" fontId="5" fillId="2" borderId="1" xfId="0" applyFont="1" applyFill="1" applyBorder="1" applyAlignment="1">
      <alignment wrapText="1"/>
    </xf>
    <xf numFmtId="0" fontId="0" fillId="3" borderId="1" xfId="0" applyFill="1" applyBorder="1" applyAlignment="1">
      <alignment horizontal="center"/>
    </xf>
    <xf numFmtId="0" fontId="0" fillId="0" borderId="5" xfId="0" applyBorder="1" applyAlignment="1">
      <alignment horizontal="center" wrapText="1"/>
    </xf>
    <xf numFmtId="0" fontId="0" fillId="0" borderId="1" xfId="0"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xf>
    <xf numFmtId="9" fontId="0" fillId="3" borderId="1" xfId="1" applyFont="1" applyFill="1" applyBorder="1" applyAlignment="1">
      <alignment horizontal="center"/>
    </xf>
    <xf numFmtId="0" fontId="4" fillId="2" borderId="1" xfId="0" applyFont="1" applyFill="1" applyBorder="1" applyAlignment="1">
      <alignment horizontal="center"/>
    </xf>
    <xf numFmtId="0" fontId="0" fillId="3" borderId="1" xfId="0" applyFill="1" applyBorder="1" applyAlignment="1">
      <alignment wrapText="1"/>
    </xf>
  </cellXfs>
  <cellStyles count="2">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Полигон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Лист1!$B$11:$B$18</c:f>
              <c:numCache>
                <c:formatCode>General</c:formatCode>
                <c:ptCount val="8"/>
                <c:pt idx="0">
                  <c:v>18</c:v>
                </c:pt>
                <c:pt idx="1">
                  <c:v>19</c:v>
                </c:pt>
                <c:pt idx="2">
                  <c:v>20</c:v>
                </c:pt>
                <c:pt idx="3">
                  <c:v>21</c:v>
                </c:pt>
                <c:pt idx="4">
                  <c:v>22</c:v>
                </c:pt>
                <c:pt idx="5">
                  <c:v>23</c:v>
                </c:pt>
                <c:pt idx="6">
                  <c:v>24</c:v>
                </c:pt>
                <c:pt idx="7">
                  <c:v>25</c:v>
                </c:pt>
              </c:numCache>
            </c:numRef>
          </c:cat>
          <c:val>
            <c:numRef>
              <c:f>Лист1!$D$11:$D$18</c:f>
              <c:numCache>
                <c:formatCode>General</c:formatCode>
                <c:ptCount val="8"/>
                <c:pt idx="0">
                  <c:v>2</c:v>
                </c:pt>
                <c:pt idx="1">
                  <c:v>3</c:v>
                </c:pt>
                <c:pt idx="2">
                  <c:v>3</c:v>
                </c:pt>
                <c:pt idx="3">
                  <c:v>4</c:v>
                </c:pt>
                <c:pt idx="4">
                  <c:v>3</c:v>
                </c:pt>
                <c:pt idx="5">
                  <c:v>3</c:v>
                </c:pt>
                <c:pt idx="6">
                  <c:v>4</c:v>
                </c:pt>
                <c:pt idx="7">
                  <c:v>3</c:v>
                </c:pt>
              </c:numCache>
            </c:numRef>
          </c:val>
          <c:smooth val="0"/>
          <c:extLst>
            <c:ext xmlns:c16="http://schemas.microsoft.com/office/drawing/2014/chart" uri="{C3380CC4-5D6E-409C-BE32-E72D297353CC}">
              <c16:uniqueId val="{00000001-FEE6-48F5-BAFB-CB2997308771}"/>
            </c:ext>
          </c:extLst>
        </c:ser>
        <c:dLbls>
          <c:showLegendKey val="0"/>
          <c:showVal val="0"/>
          <c:showCatName val="0"/>
          <c:showSerName val="0"/>
          <c:showPercent val="0"/>
          <c:showBubbleSize val="0"/>
        </c:dLbls>
        <c:marker val="1"/>
        <c:smooth val="0"/>
        <c:axId val="1962821360"/>
        <c:axId val="1962820528"/>
        <c:extLst>
          <c:ext xmlns:c15="http://schemas.microsoft.com/office/drawing/2012/chart" uri="{02D57815-91ED-43cb-92C2-25804820EDAC}">
            <c15:filteredLineSeries>
              <c15: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Лист1!$B$11:$B$18</c15:sqref>
                        </c15:formulaRef>
                      </c:ext>
                    </c:extLst>
                    <c:numCache>
                      <c:formatCode>General</c:formatCode>
                      <c:ptCount val="8"/>
                      <c:pt idx="0">
                        <c:v>18</c:v>
                      </c:pt>
                      <c:pt idx="1">
                        <c:v>19</c:v>
                      </c:pt>
                      <c:pt idx="2">
                        <c:v>20</c:v>
                      </c:pt>
                      <c:pt idx="3">
                        <c:v>21</c:v>
                      </c:pt>
                      <c:pt idx="4">
                        <c:v>22</c:v>
                      </c:pt>
                      <c:pt idx="5">
                        <c:v>23</c:v>
                      </c:pt>
                      <c:pt idx="6">
                        <c:v>24</c:v>
                      </c:pt>
                      <c:pt idx="7">
                        <c:v>25</c:v>
                      </c:pt>
                    </c:numCache>
                  </c:numRef>
                </c:cat>
                <c:val>
                  <c:numRef>
                    <c:extLst>
                      <c:ext uri="{02D57815-91ED-43cb-92C2-25804820EDAC}">
                        <c15:formulaRef>
                          <c15:sqref>Лист1!$C$11:$C$18</c15:sqref>
                        </c15:formulaRef>
                      </c:ext>
                    </c:extLst>
                    <c:numCache>
                      <c:formatCode>General</c:formatCode>
                      <c:ptCount val="8"/>
                    </c:numCache>
                  </c:numRef>
                </c:val>
                <c:smooth val="0"/>
                <c:extLst>
                  <c:ext xmlns:c16="http://schemas.microsoft.com/office/drawing/2014/chart" uri="{C3380CC4-5D6E-409C-BE32-E72D297353CC}">
                    <c16:uniqueId val="{00000000-FEE6-48F5-BAFB-CB2997308771}"/>
                  </c:ext>
                </c:extLst>
              </c15:ser>
            </c15:filteredLineSeries>
            <c15:filteredLineSeries>
              <c15: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Лист1!$B$11:$B$18</c15:sqref>
                        </c15:formulaRef>
                      </c:ext>
                    </c:extLst>
                    <c:numCache>
                      <c:formatCode>General</c:formatCode>
                      <c:ptCount val="8"/>
                      <c:pt idx="0">
                        <c:v>18</c:v>
                      </c:pt>
                      <c:pt idx="1">
                        <c:v>19</c:v>
                      </c:pt>
                      <c:pt idx="2">
                        <c:v>20</c:v>
                      </c:pt>
                      <c:pt idx="3">
                        <c:v>21</c:v>
                      </c:pt>
                      <c:pt idx="4">
                        <c:v>22</c:v>
                      </c:pt>
                      <c:pt idx="5">
                        <c:v>23</c:v>
                      </c:pt>
                      <c:pt idx="6">
                        <c:v>24</c:v>
                      </c:pt>
                      <c:pt idx="7">
                        <c:v>25</c:v>
                      </c:pt>
                    </c:numCache>
                  </c:numRef>
                </c:cat>
                <c:val>
                  <c:numRef>
                    <c:extLst xmlns:c15="http://schemas.microsoft.com/office/drawing/2012/chart">
                      <c:ext xmlns:c15="http://schemas.microsoft.com/office/drawing/2012/chart" uri="{02D57815-91ED-43cb-92C2-25804820EDAC}">
                        <c15:formulaRef>
                          <c15:sqref>Лист1!$E$11:$E$18</c15:sqref>
                        </c15:formulaRef>
                      </c:ext>
                    </c:extLst>
                    <c:numCache>
                      <c:formatCode>General</c:formatCode>
                      <c:ptCount val="8"/>
                    </c:numCache>
                  </c:numRef>
                </c:val>
                <c:smooth val="0"/>
                <c:extLst xmlns:c15="http://schemas.microsoft.com/office/drawing/2012/chart">
                  <c:ext xmlns:c16="http://schemas.microsoft.com/office/drawing/2014/chart" uri="{C3380CC4-5D6E-409C-BE32-E72D297353CC}">
                    <c16:uniqueId val="{00000002-FEE6-48F5-BAFB-CB2997308771}"/>
                  </c:ext>
                </c:extLst>
              </c15:ser>
            </c15:filteredLineSeries>
          </c:ext>
        </c:extLst>
      </c:lineChart>
      <c:catAx>
        <c:axId val="196282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x(i)</a:t>
                </a:r>
                <a:endParaRPr lang="ru-R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20528"/>
        <c:crosses val="autoZero"/>
        <c:auto val="1"/>
        <c:lblAlgn val="ctr"/>
        <c:lblOffset val="100"/>
        <c:noMultiLvlLbl val="0"/>
      </c:catAx>
      <c:valAx>
        <c:axId val="196282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a:t>
                </a:r>
                <a:endParaRPr lang="ru-R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21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Кумулянта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Лист1!$K$11:$K$18</c:f>
              <c:numCache>
                <c:formatCode>General</c:formatCode>
                <c:ptCount val="8"/>
                <c:pt idx="0">
                  <c:v>18</c:v>
                </c:pt>
                <c:pt idx="1">
                  <c:v>19</c:v>
                </c:pt>
                <c:pt idx="2">
                  <c:v>20</c:v>
                </c:pt>
                <c:pt idx="3">
                  <c:v>21</c:v>
                </c:pt>
                <c:pt idx="4">
                  <c:v>22</c:v>
                </c:pt>
                <c:pt idx="5">
                  <c:v>23</c:v>
                </c:pt>
                <c:pt idx="6">
                  <c:v>24</c:v>
                </c:pt>
                <c:pt idx="7">
                  <c:v>25</c:v>
                </c:pt>
              </c:numCache>
            </c:numRef>
          </c:cat>
          <c:val>
            <c:numRef>
              <c:f>Лист1!$M$11:$M$18</c:f>
              <c:numCache>
                <c:formatCode>General</c:formatCode>
                <c:ptCount val="8"/>
                <c:pt idx="0">
                  <c:v>2</c:v>
                </c:pt>
                <c:pt idx="1">
                  <c:v>5</c:v>
                </c:pt>
                <c:pt idx="2">
                  <c:v>8</c:v>
                </c:pt>
                <c:pt idx="3">
                  <c:v>12</c:v>
                </c:pt>
                <c:pt idx="4">
                  <c:v>15</c:v>
                </c:pt>
                <c:pt idx="5">
                  <c:v>18</c:v>
                </c:pt>
                <c:pt idx="6">
                  <c:v>22</c:v>
                </c:pt>
                <c:pt idx="7">
                  <c:v>25</c:v>
                </c:pt>
              </c:numCache>
            </c:numRef>
          </c:val>
          <c:smooth val="0"/>
          <c:extLst>
            <c:ext xmlns:c16="http://schemas.microsoft.com/office/drawing/2014/chart" uri="{C3380CC4-5D6E-409C-BE32-E72D297353CC}">
              <c16:uniqueId val="{00000001-8414-4D2D-A922-671BFE9C17F4}"/>
            </c:ext>
          </c:extLst>
        </c:ser>
        <c:dLbls>
          <c:showLegendKey val="0"/>
          <c:showVal val="0"/>
          <c:showCatName val="0"/>
          <c:showSerName val="0"/>
          <c:showPercent val="0"/>
          <c:showBubbleSize val="0"/>
        </c:dLbls>
        <c:marker val="1"/>
        <c:smooth val="0"/>
        <c:axId val="7988192"/>
        <c:axId val="7991520"/>
        <c:extLst>
          <c:ext xmlns:c15="http://schemas.microsoft.com/office/drawing/2012/chart" uri="{02D57815-91ED-43cb-92C2-25804820EDAC}">
            <c15:filteredLineSeries>
              <c15: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Лист1!$K$11:$K$18</c15:sqref>
                        </c15:formulaRef>
                      </c:ext>
                    </c:extLst>
                    <c:numCache>
                      <c:formatCode>General</c:formatCode>
                      <c:ptCount val="8"/>
                      <c:pt idx="0">
                        <c:v>18</c:v>
                      </c:pt>
                      <c:pt idx="1">
                        <c:v>19</c:v>
                      </c:pt>
                      <c:pt idx="2">
                        <c:v>20</c:v>
                      </c:pt>
                      <c:pt idx="3">
                        <c:v>21</c:v>
                      </c:pt>
                      <c:pt idx="4">
                        <c:v>22</c:v>
                      </c:pt>
                      <c:pt idx="5">
                        <c:v>23</c:v>
                      </c:pt>
                      <c:pt idx="6">
                        <c:v>24</c:v>
                      </c:pt>
                      <c:pt idx="7">
                        <c:v>25</c:v>
                      </c:pt>
                    </c:numCache>
                  </c:numRef>
                </c:cat>
                <c:val>
                  <c:numRef>
                    <c:extLst>
                      <c:ext uri="{02D57815-91ED-43cb-92C2-25804820EDAC}">
                        <c15:formulaRef>
                          <c15:sqref>Лист1!$L$11:$L$18</c15:sqref>
                        </c15:formulaRef>
                      </c:ext>
                    </c:extLst>
                    <c:numCache>
                      <c:formatCode>General</c:formatCode>
                      <c:ptCount val="8"/>
                    </c:numCache>
                  </c:numRef>
                </c:val>
                <c:smooth val="0"/>
                <c:extLst>
                  <c:ext xmlns:c16="http://schemas.microsoft.com/office/drawing/2014/chart" uri="{C3380CC4-5D6E-409C-BE32-E72D297353CC}">
                    <c16:uniqueId val="{00000000-8414-4D2D-A922-671BFE9C17F4}"/>
                  </c:ext>
                </c:extLst>
              </c15:ser>
            </c15:filteredLineSeries>
            <c15:filteredLineSeries>
              <c15: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Лист1!$K$11:$K$18</c15:sqref>
                        </c15:formulaRef>
                      </c:ext>
                    </c:extLst>
                    <c:numCache>
                      <c:formatCode>General</c:formatCode>
                      <c:ptCount val="8"/>
                      <c:pt idx="0">
                        <c:v>18</c:v>
                      </c:pt>
                      <c:pt idx="1">
                        <c:v>19</c:v>
                      </c:pt>
                      <c:pt idx="2">
                        <c:v>20</c:v>
                      </c:pt>
                      <c:pt idx="3">
                        <c:v>21</c:v>
                      </c:pt>
                      <c:pt idx="4">
                        <c:v>22</c:v>
                      </c:pt>
                      <c:pt idx="5">
                        <c:v>23</c:v>
                      </c:pt>
                      <c:pt idx="6">
                        <c:v>24</c:v>
                      </c:pt>
                      <c:pt idx="7">
                        <c:v>25</c:v>
                      </c:pt>
                    </c:numCache>
                  </c:numRef>
                </c:cat>
                <c:val>
                  <c:numRef>
                    <c:extLst xmlns:c15="http://schemas.microsoft.com/office/drawing/2012/chart">
                      <c:ext xmlns:c15="http://schemas.microsoft.com/office/drawing/2012/chart" uri="{02D57815-91ED-43cb-92C2-25804820EDAC}">
                        <c15:formulaRef>
                          <c15:sqref>Лист1!$N$11:$N$18</c15:sqref>
                        </c15:formulaRef>
                      </c:ext>
                    </c:extLst>
                    <c:numCache>
                      <c:formatCode>General</c:formatCode>
                      <c:ptCount val="8"/>
                    </c:numCache>
                  </c:numRef>
                </c:val>
                <c:smooth val="0"/>
                <c:extLst xmlns:c15="http://schemas.microsoft.com/office/drawing/2012/chart">
                  <c:ext xmlns:c16="http://schemas.microsoft.com/office/drawing/2014/chart" uri="{C3380CC4-5D6E-409C-BE32-E72D297353CC}">
                    <c16:uniqueId val="{00000002-8414-4D2D-A922-671BFE9C17F4}"/>
                  </c:ext>
                </c:extLst>
              </c15:ser>
            </c15:filteredLineSeries>
          </c:ext>
        </c:extLst>
      </c:lineChart>
      <c:catAx>
        <c:axId val="798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x(i)</a:t>
                </a:r>
                <a:endParaRPr lang="ru-R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1520"/>
        <c:crosses val="autoZero"/>
        <c:auto val="1"/>
        <c:lblAlgn val="ctr"/>
        <c:lblOffset val="100"/>
        <c:noMultiLvlLbl val="0"/>
      </c:catAx>
      <c:valAx>
        <c:axId val="7991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m(x)</a:t>
                </a:r>
                <a:endParaRPr lang="ru-R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Эмпирическая функция распределения</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spPr>
            <a:ln w="28575" cap="rnd">
              <a:solidFill>
                <a:schemeClr val="accent2"/>
              </a:solidFill>
              <a:round/>
            </a:ln>
            <a:effectLst/>
          </c:spPr>
          <c:marker>
            <c:symbol val="none"/>
          </c:marker>
          <c:cat>
            <c:numRef>
              <c:f>Лист1!$P$11:$P$18</c:f>
              <c:numCache>
                <c:formatCode>General</c:formatCode>
                <c:ptCount val="8"/>
                <c:pt idx="0">
                  <c:v>18</c:v>
                </c:pt>
                <c:pt idx="1">
                  <c:v>19</c:v>
                </c:pt>
                <c:pt idx="2">
                  <c:v>20</c:v>
                </c:pt>
                <c:pt idx="3">
                  <c:v>21</c:v>
                </c:pt>
                <c:pt idx="4">
                  <c:v>22</c:v>
                </c:pt>
                <c:pt idx="5">
                  <c:v>23</c:v>
                </c:pt>
                <c:pt idx="6">
                  <c:v>24</c:v>
                </c:pt>
                <c:pt idx="7">
                  <c:v>25</c:v>
                </c:pt>
              </c:numCache>
            </c:numRef>
          </c:cat>
          <c:val>
            <c:numRef>
              <c:f>Лист1!$R$11:$R$18</c:f>
              <c:numCache>
                <c:formatCode>General</c:formatCode>
                <c:ptCount val="8"/>
                <c:pt idx="0">
                  <c:v>0.08</c:v>
                </c:pt>
                <c:pt idx="1">
                  <c:v>0.2</c:v>
                </c:pt>
                <c:pt idx="2">
                  <c:v>0.32</c:v>
                </c:pt>
                <c:pt idx="3">
                  <c:v>0.48</c:v>
                </c:pt>
                <c:pt idx="4">
                  <c:v>0.6</c:v>
                </c:pt>
                <c:pt idx="5">
                  <c:v>0.72</c:v>
                </c:pt>
                <c:pt idx="6">
                  <c:v>0.88</c:v>
                </c:pt>
                <c:pt idx="7">
                  <c:v>1</c:v>
                </c:pt>
              </c:numCache>
            </c:numRef>
          </c:val>
          <c:smooth val="0"/>
          <c:extLst>
            <c:ext xmlns:c16="http://schemas.microsoft.com/office/drawing/2014/chart" uri="{C3380CC4-5D6E-409C-BE32-E72D297353CC}">
              <c16:uniqueId val="{00000001-AAF6-435F-8A62-C191DF85385B}"/>
            </c:ext>
          </c:extLst>
        </c:ser>
        <c:dLbls>
          <c:showLegendKey val="0"/>
          <c:showVal val="0"/>
          <c:showCatName val="0"/>
          <c:showSerName val="0"/>
          <c:showPercent val="0"/>
          <c:showBubbleSize val="0"/>
        </c:dLbls>
        <c:smooth val="0"/>
        <c:axId val="7320688"/>
        <c:axId val="7321104"/>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cat>
                  <c:numRef>
                    <c:extLst>
                      <c:ext uri="{02D57815-91ED-43cb-92C2-25804820EDAC}">
                        <c15:formulaRef>
                          <c15:sqref>Лист1!$P$11:$P$18</c15:sqref>
                        </c15:formulaRef>
                      </c:ext>
                    </c:extLst>
                    <c:numCache>
                      <c:formatCode>General</c:formatCode>
                      <c:ptCount val="8"/>
                      <c:pt idx="0">
                        <c:v>18</c:v>
                      </c:pt>
                      <c:pt idx="1">
                        <c:v>19</c:v>
                      </c:pt>
                      <c:pt idx="2">
                        <c:v>20</c:v>
                      </c:pt>
                      <c:pt idx="3">
                        <c:v>21</c:v>
                      </c:pt>
                      <c:pt idx="4">
                        <c:v>22</c:v>
                      </c:pt>
                      <c:pt idx="5">
                        <c:v>23</c:v>
                      </c:pt>
                      <c:pt idx="6">
                        <c:v>24</c:v>
                      </c:pt>
                      <c:pt idx="7">
                        <c:v>25</c:v>
                      </c:pt>
                    </c:numCache>
                  </c:numRef>
                </c:cat>
                <c:val>
                  <c:numRef>
                    <c:extLst>
                      <c:ext uri="{02D57815-91ED-43cb-92C2-25804820EDAC}">
                        <c15:formulaRef>
                          <c15:sqref>Лист1!$Q$11:$Q$18</c15:sqref>
                        </c15:formulaRef>
                      </c:ext>
                    </c:extLst>
                    <c:numCache>
                      <c:formatCode>General</c:formatCode>
                      <c:ptCount val="8"/>
                    </c:numCache>
                  </c:numRef>
                </c:val>
                <c:smooth val="0"/>
                <c:extLst>
                  <c:ext xmlns:c16="http://schemas.microsoft.com/office/drawing/2014/chart" uri="{C3380CC4-5D6E-409C-BE32-E72D297353CC}">
                    <c16:uniqueId val="{00000000-AAF6-435F-8A62-C191DF85385B}"/>
                  </c:ext>
                </c:extLst>
              </c15:ser>
            </c15:filteredLineSeries>
            <c15:filteredLineSeries>
              <c15:ser>
                <c:idx val="2"/>
                <c:order val="2"/>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Лист1!$P$11:$P$18</c15:sqref>
                        </c15:formulaRef>
                      </c:ext>
                    </c:extLst>
                    <c:numCache>
                      <c:formatCode>General</c:formatCode>
                      <c:ptCount val="8"/>
                      <c:pt idx="0">
                        <c:v>18</c:v>
                      </c:pt>
                      <c:pt idx="1">
                        <c:v>19</c:v>
                      </c:pt>
                      <c:pt idx="2">
                        <c:v>20</c:v>
                      </c:pt>
                      <c:pt idx="3">
                        <c:v>21</c:v>
                      </c:pt>
                      <c:pt idx="4">
                        <c:v>22</c:v>
                      </c:pt>
                      <c:pt idx="5">
                        <c:v>23</c:v>
                      </c:pt>
                      <c:pt idx="6">
                        <c:v>24</c:v>
                      </c:pt>
                      <c:pt idx="7">
                        <c:v>25</c:v>
                      </c:pt>
                    </c:numCache>
                  </c:numRef>
                </c:cat>
                <c:val>
                  <c:numRef>
                    <c:extLst xmlns:c15="http://schemas.microsoft.com/office/drawing/2012/chart">
                      <c:ext xmlns:c15="http://schemas.microsoft.com/office/drawing/2012/chart" uri="{02D57815-91ED-43cb-92C2-25804820EDAC}">
                        <c15:formulaRef>
                          <c15:sqref>Лист1!$S$11:$S$18</c15:sqref>
                        </c15:formulaRef>
                      </c:ext>
                    </c:extLst>
                    <c:numCache>
                      <c:formatCode>General</c:formatCode>
                      <c:ptCount val="8"/>
                    </c:numCache>
                  </c:numRef>
                </c:val>
                <c:smooth val="0"/>
                <c:extLst xmlns:c15="http://schemas.microsoft.com/office/drawing/2012/chart">
                  <c:ext xmlns:c16="http://schemas.microsoft.com/office/drawing/2014/chart" uri="{C3380CC4-5D6E-409C-BE32-E72D297353CC}">
                    <c16:uniqueId val="{00000002-AAF6-435F-8A62-C191DF85385B}"/>
                  </c:ext>
                </c:extLst>
              </c15:ser>
            </c15:filteredLineSeries>
          </c:ext>
        </c:extLst>
      </c:lineChart>
      <c:catAx>
        <c:axId val="7320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x(i)</a:t>
                </a:r>
                <a:endParaRPr lang="ru-R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1104"/>
        <c:crosses val="autoZero"/>
        <c:auto val="1"/>
        <c:lblAlgn val="ctr"/>
        <c:lblOffset val="100"/>
        <c:noMultiLvlLbl val="0"/>
      </c:catAx>
      <c:valAx>
        <c:axId val="732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w(x)</a:t>
                </a:r>
                <a:endParaRPr lang="ru-R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Плотность</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Лист1!$A$1:$Y$1</c:f>
              <c:numCache>
                <c:formatCode>General</c:formatCode>
                <c:ptCount val="25"/>
                <c:pt idx="0">
                  <c:v>22</c:v>
                </c:pt>
                <c:pt idx="1">
                  <c:v>19</c:v>
                </c:pt>
                <c:pt idx="2">
                  <c:v>24</c:v>
                </c:pt>
                <c:pt idx="3">
                  <c:v>18</c:v>
                </c:pt>
                <c:pt idx="4">
                  <c:v>21</c:v>
                </c:pt>
                <c:pt idx="5">
                  <c:v>25</c:v>
                </c:pt>
                <c:pt idx="6">
                  <c:v>23</c:v>
                </c:pt>
                <c:pt idx="7">
                  <c:v>20</c:v>
                </c:pt>
                <c:pt idx="8">
                  <c:v>24</c:v>
                </c:pt>
                <c:pt idx="9">
                  <c:v>19</c:v>
                </c:pt>
                <c:pt idx="10">
                  <c:v>22</c:v>
                </c:pt>
                <c:pt idx="11">
                  <c:v>21</c:v>
                </c:pt>
                <c:pt idx="12">
                  <c:v>23</c:v>
                </c:pt>
                <c:pt idx="13">
                  <c:v>18</c:v>
                </c:pt>
                <c:pt idx="14">
                  <c:v>25</c:v>
                </c:pt>
                <c:pt idx="15">
                  <c:v>20</c:v>
                </c:pt>
                <c:pt idx="16">
                  <c:v>24</c:v>
                </c:pt>
                <c:pt idx="17">
                  <c:v>21</c:v>
                </c:pt>
                <c:pt idx="18">
                  <c:v>19</c:v>
                </c:pt>
                <c:pt idx="19">
                  <c:v>23</c:v>
                </c:pt>
                <c:pt idx="20">
                  <c:v>25</c:v>
                </c:pt>
                <c:pt idx="21">
                  <c:v>20</c:v>
                </c:pt>
                <c:pt idx="22">
                  <c:v>21</c:v>
                </c:pt>
                <c:pt idx="23">
                  <c:v>22</c:v>
                </c:pt>
                <c:pt idx="24">
                  <c:v>24</c:v>
                </c:pt>
              </c:numCache>
            </c:numRef>
          </c:val>
          <c:smooth val="0"/>
          <c:extLst>
            <c:ext xmlns:c16="http://schemas.microsoft.com/office/drawing/2014/chart" uri="{C3380CC4-5D6E-409C-BE32-E72D297353CC}">
              <c16:uniqueId val="{00000000-1A64-40FE-A00D-14CACA0CE62B}"/>
            </c:ext>
          </c:extLst>
        </c:ser>
        <c:dLbls>
          <c:showLegendKey val="0"/>
          <c:showVal val="0"/>
          <c:showCatName val="0"/>
          <c:showSerName val="0"/>
          <c:showPercent val="0"/>
          <c:showBubbleSize val="0"/>
        </c:dLbls>
        <c:smooth val="0"/>
        <c:axId val="1970493024"/>
        <c:axId val="1970492608"/>
      </c:lineChart>
      <c:catAx>
        <c:axId val="197049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a:t>
                </a:r>
                <a:endParaRPr lang="ru-R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492608"/>
        <c:crosses val="autoZero"/>
        <c:auto val="1"/>
        <c:lblAlgn val="ctr"/>
        <c:lblOffset val="100"/>
        <c:noMultiLvlLbl val="0"/>
      </c:catAx>
      <c:valAx>
        <c:axId val="197049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a:t>
                </a:r>
                <a:endParaRPr lang="ru-R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493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461682</xdr:colOff>
      <xdr:row>32</xdr:row>
      <xdr:rowOff>13446</xdr:rowOff>
    </xdr:from>
    <xdr:to>
      <xdr:col>8</xdr:col>
      <xdr:colOff>156882</xdr:colOff>
      <xdr:row>47</xdr:row>
      <xdr:rowOff>67235</xdr:rowOff>
    </xdr:to>
    <xdr:graphicFrame macro="">
      <xdr:nvGraphicFramePr>
        <xdr:cNvPr id="3" name="Диаграмма 2">
          <a:extLst>
            <a:ext uri="{FF2B5EF4-FFF2-40B4-BE49-F238E27FC236}">
              <a16:creationId xmlns:a16="http://schemas.microsoft.com/office/drawing/2014/main" id="{8BEC0F8F-05C9-4FDE-9A77-12FA207C0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497540</xdr:colOff>
      <xdr:row>31</xdr:row>
      <xdr:rowOff>147919</xdr:rowOff>
    </xdr:from>
    <xdr:to>
      <xdr:col>16</xdr:col>
      <xdr:colOff>192740</xdr:colOff>
      <xdr:row>47</xdr:row>
      <xdr:rowOff>22413</xdr:rowOff>
    </xdr:to>
    <xdr:graphicFrame macro="">
      <xdr:nvGraphicFramePr>
        <xdr:cNvPr id="4" name="Диаграмма 3">
          <a:extLst>
            <a:ext uri="{FF2B5EF4-FFF2-40B4-BE49-F238E27FC236}">
              <a16:creationId xmlns:a16="http://schemas.microsoft.com/office/drawing/2014/main" id="{629E020F-73E4-4E50-BCED-6FEF41296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4483</xdr:colOff>
      <xdr:row>32</xdr:row>
      <xdr:rowOff>4482</xdr:rowOff>
    </xdr:from>
    <xdr:to>
      <xdr:col>24</xdr:col>
      <xdr:colOff>309283</xdr:colOff>
      <xdr:row>47</xdr:row>
      <xdr:rowOff>58271</xdr:rowOff>
    </xdr:to>
    <xdr:graphicFrame macro="">
      <xdr:nvGraphicFramePr>
        <xdr:cNvPr id="5" name="Диаграмма 4">
          <a:extLst>
            <a:ext uri="{FF2B5EF4-FFF2-40B4-BE49-F238E27FC236}">
              <a16:creationId xmlns:a16="http://schemas.microsoft.com/office/drawing/2014/main" id="{90885F61-2F45-4D9C-B57F-23722DF3B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479610</xdr:colOff>
      <xdr:row>48</xdr:row>
      <xdr:rowOff>94131</xdr:rowOff>
    </xdr:from>
    <xdr:to>
      <xdr:col>8</xdr:col>
      <xdr:colOff>174810</xdr:colOff>
      <xdr:row>63</xdr:row>
      <xdr:rowOff>147919</xdr:rowOff>
    </xdr:to>
    <xdr:graphicFrame macro="">
      <xdr:nvGraphicFramePr>
        <xdr:cNvPr id="6" name="Диаграмма 5">
          <a:extLst>
            <a:ext uri="{FF2B5EF4-FFF2-40B4-BE49-F238E27FC236}">
              <a16:creationId xmlns:a16="http://schemas.microsoft.com/office/drawing/2014/main" id="{4C7A8D0C-796C-4E99-9816-51A0A6105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
  <sheetViews>
    <sheetView zoomScaleNormal="100" workbookViewId="0">
      <selection activeCell="U16" sqref="U16"/>
    </sheetView>
  </sheetViews>
  <sheetFormatPr defaultRowHeight="14.4" x14ac:dyDescent="0.3"/>
  <sheetData>
    <row r="1" spans="1:25" ht="14.4" customHeight="1" x14ac:dyDescent="0.3">
      <c r="A1" s="7">
        <v>22</v>
      </c>
      <c r="B1" s="8">
        <v>19</v>
      </c>
      <c r="C1" s="8">
        <v>24</v>
      </c>
      <c r="D1" s="8">
        <v>18</v>
      </c>
      <c r="E1" s="8">
        <v>21</v>
      </c>
      <c r="F1" s="8">
        <v>25</v>
      </c>
      <c r="G1" s="8">
        <v>23</v>
      </c>
      <c r="H1" s="9">
        <v>20</v>
      </c>
      <c r="I1" s="8">
        <v>24</v>
      </c>
      <c r="J1" s="8">
        <v>19</v>
      </c>
      <c r="K1" s="8">
        <v>22</v>
      </c>
      <c r="L1" s="8">
        <v>21</v>
      </c>
      <c r="M1" s="8">
        <v>23</v>
      </c>
      <c r="N1" s="8">
        <v>18</v>
      </c>
      <c r="O1" s="8">
        <v>25</v>
      </c>
      <c r="P1" s="8">
        <v>20</v>
      </c>
      <c r="Q1" s="8">
        <v>24</v>
      </c>
      <c r="R1" s="8">
        <v>21</v>
      </c>
      <c r="S1" s="8">
        <v>19</v>
      </c>
      <c r="T1" s="8">
        <v>23</v>
      </c>
      <c r="U1" s="8">
        <v>25</v>
      </c>
      <c r="V1" s="8">
        <v>20</v>
      </c>
      <c r="W1" s="8">
        <v>21</v>
      </c>
      <c r="X1" s="8">
        <v>22</v>
      </c>
      <c r="Y1" s="10">
        <v>24</v>
      </c>
    </row>
    <row r="2" spans="1:25" x14ac:dyDescent="0.3">
      <c r="B2" s="14" t="s">
        <v>0</v>
      </c>
      <c r="C2" s="14"/>
      <c r="D2" s="14"/>
      <c r="E2" s="14"/>
      <c r="F2" s="14"/>
      <c r="G2" s="14"/>
      <c r="H2" s="14"/>
    </row>
    <row r="3" spans="1:25" x14ac:dyDescent="0.3">
      <c r="B3" s="15"/>
      <c r="C3" s="15"/>
      <c r="D3" s="15"/>
      <c r="E3" s="15"/>
      <c r="F3" s="15"/>
      <c r="G3" s="15"/>
      <c r="H3" s="15"/>
      <c r="J3" s="3" t="s">
        <v>3</v>
      </c>
      <c r="K3" s="3" t="s">
        <v>4</v>
      </c>
      <c r="L3" s="4" t="s">
        <v>5</v>
      </c>
      <c r="N3" s="17" t="s">
        <v>13</v>
      </c>
      <c r="O3" s="17"/>
      <c r="Q3" s="4" t="s">
        <v>16</v>
      </c>
      <c r="S3" s="4" t="s">
        <v>17</v>
      </c>
      <c r="U3" s="4" t="s">
        <v>23</v>
      </c>
      <c r="W3" s="17" t="s">
        <v>18</v>
      </c>
      <c r="X3" s="17"/>
      <c r="Y3" s="17"/>
    </row>
    <row r="4" spans="1:25" x14ac:dyDescent="0.3">
      <c r="B4" s="15"/>
      <c r="C4" s="15"/>
      <c r="D4" s="15"/>
      <c r="E4" s="15"/>
      <c r="F4" s="15"/>
      <c r="G4" s="15"/>
      <c r="H4" s="15"/>
      <c r="J4" s="2">
        <f>COUNT(A1:Y1)</f>
        <v>25</v>
      </c>
      <c r="K4" s="2">
        <f>MAX(A1:Y1)</f>
        <v>25</v>
      </c>
      <c r="L4" s="2">
        <f>MIN(A1:Y1)</f>
        <v>18</v>
      </c>
      <c r="N4" s="13">
        <f>SUM(D21:E28)/J4</f>
        <v>4.7615999999999996</v>
      </c>
      <c r="O4" s="13"/>
      <c r="Q4" s="2">
        <f>MODE(A1:Y1)</f>
        <v>24</v>
      </c>
      <c r="S4" s="2">
        <f>MEDIAN(A1:Y1)</f>
        <v>22</v>
      </c>
      <c r="U4" s="2">
        <f>(M21/(POWER(N7,4)))-3</f>
        <v>-1.1688440318244877</v>
      </c>
      <c r="W4" s="13">
        <f>(J7-Q4)/N7</f>
        <v>-1.0448606945271428</v>
      </c>
      <c r="X4" s="13"/>
      <c r="Y4" s="13"/>
    </row>
    <row r="5" spans="1:25" x14ac:dyDescent="0.3">
      <c r="B5" s="15"/>
      <c r="C5" s="15"/>
      <c r="D5" s="15"/>
      <c r="E5" s="15"/>
      <c r="F5" s="15"/>
      <c r="G5" s="15"/>
      <c r="H5" s="15"/>
    </row>
    <row r="6" spans="1:25" x14ac:dyDescent="0.3">
      <c r="B6" s="15"/>
      <c r="C6" s="15"/>
      <c r="D6" s="15"/>
      <c r="E6" s="15"/>
      <c r="F6" s="15"/>
      <c r="G6" s="15"/>
      <c r="H6" s="15"/>
      <c r="J6" s="17" t="s">
        <v>11</v>
      </c>
      <c r="K6" s="17"/>
      <c r="L6" s="17"/>
      <c r="N6" s="17" t="s">
        <v>14</v>
      </c>
      <c r="O6" s="17"/>
      <c r="P6" s="17"/>
      <c r="Q6" s="17"/>
      <c r="S6" s="17" t="s">
        <v>15</v>
      </c>
      <c r="T6" s="17"/>
      <c r="U6" s="17"/>
      <c r="W6" s="17" t="s">
        <v>24</v>
      </c>
      <c r="X6" s="17"/>
      <c r="Y6" s="17"/>
    </row>
    <row r="7" spans="1:25" x14ac:dyDescent="0.3">
      <c r="B7" s="15"/>
      <c r="C7" s="15"/>
      <c r="D7" s="15"/>
      <c r="E7" s="15"/>
      <c r="F7" s="15"/>
      <c r="G7" s="15"/>
      <c r="H7" s="15"/>
      <c r="J7" s="13">
        <f>(1/$J$4)*SUM(I11:I18)</f>
        <v>21.72</v>
      </c>
      <c r="K7" s="13"/>
      <c r="L7" s="13"/>
      <c r="N7" s="13">
        <f>SQRT(N4)</f>
        <v>2.1821090715177367</v>
      </c>
      <c r="O7" s="13"/>
      <c r="P7" s="13"/>
      <c r="Q7" s="13"/>
      <c r="S7" s="18">
        <f>N7/J7</f>
        <v>0.10046542686545749</v>
      </c>
      <c r="T7" s="18"/>
      <c r="U7" s="18"/>
      <c r="W7" s="13">
        <f>SUM(A1:Y1)/J4</f>
        <v>21.72</v>
      </c>
      <c r="X7" s="13"/>
      <c r="Y7" s="13"/>
    </row>
    <row r="8" spans="1:25" x14ac:dyDescent="0.3">
      <c r="A8" s="1"/>
      <c r="B8" s="15"/>
      <c r="C8" s="15"/>
      <c r="D8" s="15"/>
      <c r="E8" s="15"/>
      <c r="F8" s="15"/>
      <c r="G8" s="15"/>
      <c r="H8" s="15"/>
    </row>
    <row r="9" spans="1:25" x14ac:dyDescent="0.3">
      <c r="A9" s="1"/>
      <c r="B9" s="1"/>
      <c r="C9" s="1"/>
      <c r="D9" s="1"/>
      <c r="E9" s="1"/>
      <c r="F9" s="1"/>
      <c r="G9" s="1"/>
      <c r="H9" s="1"/>
    </row>
    <row r="10" spans="1:25" ht="28.8" customHeight="1" x14ac:dyDescent="0.3">
      <c r="A10" s="1"/>
      <c r="B10" s="16" t="s">
        <v>2</v>
      </c>
      <c r="C10" s="16"/>
      <c r="D10" s="16" t="s">
        <v>1</v>
      </c>
      <c r="E10" s="16"/>
      <c r="G10" s="5" t="s">
        <v>8</v>
      </c>
      <c r="I10" s="5" t="s">
        <v>12</v>
      </c>
      <c r="K10" s="16" t="s">
        <v>7</v>
      </c>
      <c r="L10" s="16"/>
      <c r="M10" s="16" t="s">
        <v>6</v>
      </c>
      <c r="N10" s="16"/>
      <c r="P10" s="16" t="s">
        <v>7</v>
      </c>
      <c r="Q10" s="16"/>
      <c r="R10" s="16" t="s">
        <v>6</v>
      </c>
      <c r="S10" s="16"/>
      <c r="U10" s="16" t="s">
        <v>25</v>
      </c>
      <c r="V10" s="16"/>
      <c r="W10" s="16"/>
      <c r="X10" s="16"/>
    </row>
    <row r="11" spans="1:25" x14ac:dyDescent="0.3">
      <c r="B11" s="13">
        <v>18</v>
      </c>
      <c r="C11" s="13"/>
      <c r="D11" s="13">
        <v>2</v>
      </c>
      <c r="E11" s="13"/>
      <c r="G11" s="2">
        <f t="shared" ref="G11:G18" si="0">D11/$J$4</f>
        <v>0.08</v>
      </c>
      <c r="I11" s="2">
        <f>B11*D11</f>
        <v>36</v>
      </c>
      <c r="K11" s="13">
        <v>18</v>
      </c>
      <c r="L11" s="13"/>
      <c r="M11" s="13">
        <v>2</v>
      </c>
      <c r="N11" s="13"/>
      <c r="P11" s="13">
        <v>18</v>
      </c>
      <c r="Q11" s="13"/>
      <c r="R11" s="13">
        <f t="shared" ref="R11:R18" si="1">M11/$J$4</f>
        <v>0.08</v>
      </c>
      <c r="S11" s="13"/>
      <c r="U11" s="13">
        <f>SUM(I11:I18)/J4</f>
        <v>21.72</v>
      </c>
      <c r="V11" s="13"/>
      <c r="W11" s="13"/>
      <c r="X11" s="13"/>
    </row>
    <row r="12" spans="1:25" x14ac:dyDescent="0.3">
      <c r="B12" s="13">
        <v>19</v>
      </c>
      <c r="C12" s="13"/>
      <c r="D12" s="13">
        <v>3</v>
      </c>
      <c r="E12" s="13"/>
      <c r="G12" s="2">
        <f t="shared" si="0"/>
        <v>0.12</v>
      </c>
      <c r="I12" s="2">
        <f t="shared" ref="I12:I18" si="2">B12*D12</f>
        <v>57</v>
      </c>
      <c r="K12" s="13">
        <v>19</v>
      </c>
      <c r="L12" s="13"/>
      <c r="M12" s="13">
        <v>5</v>
      </c>
      <c r="N12" s="13"/>
      <c r="P12" s="13">
        <v>19</v>
      </c>
      <c r="Q12" s="13"/>
      <c r="R12" s="13">
        <f t="shared" si="1"/>
        <v>0.2</v>
      </c>
      <c r="S12" s="13"/>
    </row>
    <row r="13" spans="1:25" x14ac:dyDescent="0.3">
      <c r="B13" s="13">
        <v>20</v>
      </c>
      <c r="C13" s="13"/>
      <c r="D13" s="13">
        <v>3</v>
      </c>
      <c r="E13" s="13"/>
      <c r="G13" s="2">
        <f t="shared" si="0"/>
        <v>0.12</v>
      </c>
      <c r="I13" s="2">
        <f t="shared" si="2"/>
        <v>60</v>
      </c>
      <c r="K13" s="13">
        <v>20</v>
      </c>
      <c r="L13" s="13"/>
      <c r="M13" s="13">
        <v>8</v>
      </c>
      <c r="N13" s="13"/>
      <c r="P13" s="13">
        <v>20</v>
      </c>
      <c r="Q13" s="13"/>
      <c r="R13" s="13">
        <f t="shared" si="1"/>
        <v>0.32</v>
      </c>
      <c r="S13" s="13"/>
    </row>
    <row r="14" spans="1:25" x14ac:dyDescent="0.3">
      <c r="B14" s="13">
        <v>21</v>
      </c>
      <c r="C14" s="13"/>
      <c r="D14" s="13">
        <v>4</v>
      </c>
      <c r="E14" s="13"/>
      <c r="G14" s="2">
        <f t="shared" si="0"/>
        <v>0.16</v>
      </c>
      <c r="I14" s="2">
        <f t="shared" si="2"/>
        <v>84</v>
      </c>
      <c r="K14" s="13">
        <v>21</v>
      </c>
      <c r="L14" s="13"/>
      <c r="M14" s="13">
        <v>12</v>
      </c>
      <c r="N14" s="13"/>
      <c r="P14" s="13">
        <v>21</v>
      </c>
      <c r="Q14" s="13"/>
      <c r="R14" s="13">
        <f t="shared" si="1"/>
        <v>0.48</v>
      </c>
      <c r="S14" s="13"/>
    </row>
    <row r="15" spans="1:25" x14ac:dyDescent="0.3">
      <c r="B15" s="13">
        <v>22</v>
      </c>
      <c r="C15" s="13"/>
      <c r="D15" s="13">
        <v>3</v>
      </c>
      <c r="E15" s="13"/>
      <c r="G15" s="2">
        <f t="shared" si="0"/>
        <v>0.12</v>
      </c>
      <c r="I15" s="2">
        <f t="shared" si="2"/>
        <v>66</v>
      </c>
      <c r="K15" s="13">
        <v>22</v>
      </c>
      <c r="L15" s="13"/>
      <c r="M15" s="13">
        <v>15</v>
      </c>
      <c r="N15" s="13"/>
      <c r="P15" s="13">
        <v>22</v>
      </c>
      <c r="Q15" s="13"/>
      <c r="R15" s="13">
        <f t="shared" si="1"/>
        <v>0.6</v>
      </c>
      <c r="S15" s="13"/>
    </row>
    <row r="16" spans="1:25" x14ac:dyDescent="0.3">
      <c r="B16" s="13">
        <v>23</v>
      </c>
      <c r="C16" s="13"/>
      <c r="D16" s="13">
        <v>3</v>
      </c>
      <c r="E16" s="13"/>
      <c r="G16" s="2">
        <f t="shared" si="0"/>
        <v>0.12</v>
      </c>
      <c r="I16" s="2">
        <f t="shared" si="2"/>
        <v>69</v>
      </c>
      <c r="K16" s="13">
        <v>23</v>
      </c>
      <c r="L16" s="13"/>
      <c r="M16" s="13">
        <v>18</v>
      </c>
      <c r="N16" s="13"/>
      <c r="P16" s="13">
        <v>23</v>
      </c>
      <c r="Q16" s="13"/>
      <c r="R16" s="13">
        <f t="shared" si="1"/>
        <v>0.72</v>
      </c>
      <c r="S16" s="13"/>
    </row>
    <row r="17" spans="2:28" x14ac:dyDescent="0.3">
      <c r="B17" s="13">
        <v>24</v>
      </c>
      <c r="C17" s="13"/>
      <c r="D17" s="13">
        <v>4</v>
      </c>
      <c r="E17" s="13"/>
      <c r="G17" s="2">
        <f t="shared" si="0"/>
        <v>0.16</v>
      </c>
      <c r="I17" s="2">
        <f t="shared" si="2"/>
        <v>96</v>
      </c>
      <c r="K17" s="13">
        <v>24</v>
      </c>
      <c r="L17" s="13"/>
      <c r="M17" s="13">
        <v>22</v>
      </c>
      <c r="N17" s="13"/>
      <c r="P17" s="13">
        <v>24</v>
      </c>
      <c r="Q17" s="13"/>
      <c r="R17" s="13">
        <f t="shared" si="1"/>
        <v>0.88</v>
      </c>
      <c r="S17" s="13"/>
    </row>
    <row r="18" spans="2:28" x14ac:dyDescent="0.3">
      <c r="B18" s="13">
        <v>25</v>
      </c>
      <c r="C18" s="13"/>
      <c r="D18" s="13">
        <v>3</v>
      </c>
      <c r="E18" s="13"/>
      <c r="G18" s="2">
        <f t="shared" si="0"/>
        <v>0.12</v>
      </c>
      <c r="I18" s="2">
        <f t="shared" si="2"/>
        <v>75</v>
      </c>
      <c r="K18" s="13">
        <v>25</v>
      </c>
      <c r="L18" s="13"/>
      <c r="M18" s="13">
        <v>25</v>
      </c>
      <c r="N18" s="13"/>
      <c r="P18" s="13">
        <v>25</v>
      </c>
      <c r="Q18" s="13"/>
      <c r="R18" s="13">
        <f t="shared" si="1"/>
        <v>1</v>
      </c>
      <c r="S18" s="13"/>
    </row>
    <row r="20" spans="2:28" x14ac:dyDescent="0.3">
      <c r="B20" s="17" t="s">
        <v>9</v>
      </c>
      <c r="C20" s="17"/>
      <c r="D20" s="17" t="s">
        <v>10</v>
      </c>
      <c r="E20" s="17"/>
      <c r="G20" s="16" t="s">
        <v>19</v>
      </c>
      <c r="H20" s="16"/>
      <c r="I20" s="16" t="s">
        <v>20</v>
      </c>
      <c r="J20" s="16"/>
      <c r="K20" s="16" t="s">
        <v>21</v>
      </c>
      <c r="L20" s="16"/>
      <c r="M20" s="16" t="s">
        <v>22</v>
      </c>
      <c r="N20" s="16"/>
      <c r="P20" s="4">
        <v>18</v>
      </c>
      <c r="Q20" s="4">
        <v>18</v>
      </c>
      <c r="R20" s="4">
        <v>19</v>
      </c>
      <c r="S20" s="4">
        <v>19</v>
      </c>
      <c r="T20" s="4">
        <v>19</v>
      </c>
      <c r="U20" s="4">
        <v>20</v>
      </c>
      <c r="V20" s="4">
        <v>20</v>
      </c>
      <c r="W20" s="4">
        <v>20</v>
      </c>
      <c r="X20" s="4">
        <v>21</v>
      </c>
    </row>
    <row r="21" spans="2:28" x14ac:dyDescent="0.3">
      <c r="B21" s="13">
        <f t="shared" ref="B21:B28" si="3">POWER(B11-$J$7,2)</f>
        <v>13.838399999999991</v>
      </c>
      <c r="C21" s="13"/>
      <c r="D21" s="13">
        <f>B21*D11</f>
        <v>27.676799999999982</v>
      </c>
      <c r="E21" s="13"/>
      <c r="G21" s="13">
        <f>B11-$J$7</f>
        <v>-3.7199999999999989</v>
      </c>
      <c r="H21" s="13"/>
      <c r="I21" s="13">
        <f>POWER(G21,4)</f>
        <v>191.50131455999974</v>
      </c>
      <c r="J21" s="13"/>
      <c r="K21" s="13">
        <f>POWER(G21,4)*D11</f>
        <v>383.00262911999948</v>
      </c>
      <c r="L21" s="13"/>
      <c r="M21" s="13">
        <f>SUM(K21:L28)/J4</f>
        <v>41.517496319999992</v>
      </c>
      <c r="N21" s="13"/>
      <c r="P21" s="4">
        <v>21</v>
      </c>
      <c r="Q21" s="4">
        <v>21</v>
      </c>
      <c r="R21" s="4">
        <v>21</v>
      </c>
      <c r="S21" s="4">
        <v>22</v>
      </c>
      <c r="T21" s="4">
        <v>22</v>
      </c>
      <c r="U21" s="4">
        <v>22</v>
      </c>
      <c r="V21" s="4">
        <v>23</v>
      </c>
      <c r="W21" s="4">
        <v>23</v>
      </c>
      <c r="X21" s="4">
        <v>23</v>
      </c>
    </row>
    <row r="22" spans="2:28" x14ac:dyDescent="0.3">
      <c r="B22" s="13">
        <f t="shared" si="3"/>
        <v>7.3983999999999934</v>
      </c>
      <c r="C22" s="13"/>
      <c r="D22" s="13">
        <f t="shared" ref="D22:D28" si="4">B22*D12</f>
        <v>22.195199999999979</v>
      </c>
      <c r="E22" s="13"/>
      <c r="G22" s="13">
        <f t="shared" ref="G22:G28" si="5">B12-$J$7</f>
        <v>-2.7199999999999989</v>
      </c>
      <c r="H22" s="13"/>
      <c r="I22" s="13">
        <f t="shared" ref="I22:I28" si="6">POWER(G22,4)</f>
        <v>54.736322559999905</v>
      </c>
      <c r="J22" s="13"/>
      <c r="K22" s="13">
        <f t="shared" ref="K22:K28" si="7">POWER(G22,4)*D12</f>
        <v>164.20896767999972</v>
      </c>
      <c r="L22" s="13"/>
      <c r="M22" s="6"/>
      <c r="N22" s="6"/>
      <c r="P22" s="4">
        <v>24</v>
      </c>
      <c r="Q22" s="4">
        <v>24</v>
      </c>
      <c r="R22" s="4">
        <v>24</v>
      </c>
      <c r="S22" s="4">
        <v>24</v>
      </c>
      <c r="T22" s="4">
        <v>25</v>
      </c>
      <c r="U22" s="4">
        <v>25</v>
      </c>
      <c r="V22" s="4">
        <v>25</v>
      </c>
    </row>
    <row r="23" spans="2:28" x14ac:dyDescent="0.3">
      <c r="B23" s="13">
        <f t="shared" si="3"/>
        <v>2.9583999999999961</v>
      </c>
      <c r="C23" s="13"/>
      <c r="D23" s="13">
        <f t="shared" si="4"/>
        <v>8.8751999999999889</v>
      </c>
      <c r="E23" s="13"/>
      <c r="G23" s="13">
        <f t="shared" si="5"/>
        <v>-1.7199999999999989</v>
      </c>
      <c r="H23" s="13"/>
      <c r="I23" s="13">
        <f t="shared" si="6"/>
        <v>8.7521305599999764</v>
      </c>
      <c r="J23" s="13"/>
      <c r="K23" s="13">
        <f t="shared" si="7"/>
        <v>26.256391679999929</v>
      </c>
      <c r="L23" s="13"/>
      <c r="M23" s="6"/>
      <c r="N23" s="6"/>
    </row>
    <row r="24" spans="2:28" x14ac:dyDescent="0.3">
      <c r="B24" s="13">
        <f t="shared" si="3"/>
        <v>0.51839999999999842</v>
      </c>
      <c r="C24" s="13"/>
      <c r="D24" s="13">
        <f t="shared" si="4"/>
        <v>2.0735999999999937</v>
      </c>
      <c r="E24" s="13"/>
      <c r="G24" s="13">
        <f t="shared" si="5"/>
        <v>-0.71999999999999886</v>
      </c>
      <c r="H24" s="13"/>
      <c r="I24" s="13">
        <f t="shared" si="6"/>
        <v>0.26873855999999835</v>
      </c>
      <c r="J24" s="13"/>
      <c r="K24" s="13">
        <f t="shared" si="7"/>
        <v>1.0749542399999934</v>
      </c>
      <c r="L24" s="13"/>
      <c r="M24" s="6"/>
      <c r="N24" s="6"/>
      <c r="P24" s="17" t="s">
        <v>26</v>
      </c>
      <c r="Q24" s="17"/>
      <c r="R24" s="2">
        <f>(J4+1)*25/100</f>
        <v>6.5</v>
      </c>
      <c r="T24" s="15" t="s">
        <v>28</v>
      </c>
      <c r="U24" s="15"/>
      <c r="V24" s="15"/>
      <c r="W24" s="15"/>
      <c r="X24" s="15"/>
      <c r="Y24" s="15"/>
      <c r="Z24" s="15"/>
      <c r="AA24" s="15"/>
      <c r="AB24" s="15"/>
    </row>
    <row r="25" spans="2:28" x14ac:dyDescent="0.3">
      <c r="B25" s="13">
        <f t="shared" si="3"/>
        <v>7.8400000000000636E-2</v>
      </c>
      <c r="C25" s="13"/>
      <c r="D25" s="13">
        <f t="shared" si="4"/>
        <v>0.23520000000000191</v>
      </c>
      <c r="E25" s="13"/>
      <c r="G25" s="13">
        <f t="shared" si="5"/>
        <v>0.28000000000000114</v>
      </c>
      <c r="H25" s="13"/>
      <c r="I25" s="13">
        <f t="shared" si="6"/>
        <v>6.1465600000000994E-3</v>
      </c>
      <c r="J25" s="13"/>
      <c r="K25" s="13">
        <f t="shared" si="7"/>
        <v>1.8439680000000298E-2</v>
      </c>
      <c r="L25" s="13"/>
      <c r="M25" s="6"/>
      <c r="N25" s="6"/>
      <c r="T25" s="15"/>
      <c r="U25" s="15"/>
      <c r="V25" s="15"/>
      <c r="W25" s="15"/>
      <c r="X25" s="15"/>
      <c r="Y25" s="15"/>
      <c r="Z25" s="15"/>
      <c r="AA25" s="15"/>
      <c r="AB25" s="15"/>
    </row>
    <row r="26" spans="2:28" x14ac:dyDescent="0.3">
      <c r="B26" s="13">
        <f t="shared" si="3"/>
        <v>1.638400000000003</v>
      </c>
      <c r="C26" s="13"/>
      <c r="D26" s="13">
        <f t="shared" si="4"/>
        <v>4.9152000000000093</v>
      </c>
      <c r="E26" s="13"/>
      <c r="G26" s="13">
        <f t="shared" si="5"/>
        <v>1.2800000000000011</v>
      </c>
      <c r="H26" s="13"/>
      <c r="I26" s="13">
        <f t="shared" si="6"/>
        <v>2.6843545600000098</v>
      </c>
      <c r="J26" s="13"/>
      <c r="K26" s="13">
        <f t="shared" si="7"/>
        <v>8.0530636800000295</v>
      </c>
      <c r="L26" s="13"/>
      <c r="M26" s="6"/>
      <c r="N26" s="6"/>
    </row>
    <row r="27" spans="2:28" x14ac:dyDescent="0.3">
      <c r="B27" s="13">
        <f t="shared" si="3"/>
        <v>5.1984000000000048</v>
      </c>
      <c r="C27" s="13"/>
      <c r="D27" s="13">
        <f t="shared" si="4"/>
        <v>20.793600000000019</v>
      </c>
      <c r="E27" s="13"/>
      <c r="G27" s="13">
        <f t="shared" si="5"/>
        <v>2.2800000000000011</v>
      </c>
      <c r="H27" s="13"/>
      <c r="I27" s="13">
        <f t="shared" si="6"/>
        <v>27.023362560000049</v>
      </c>
      <c r="J27" s="13"/>
      <c r="K27" s="13">
        <f t="shared" si="7"/>
        <v>108.09345024000019</v>
      </c>
      <c r="L27" s="13"/>
      <c r="M27" s="6"/>
      <c r="N27" s="6"/>
      <c r="P27" s="17" t="s">
        <v>27</v>
      </c>
      <c r="Q27" s="17"/>
      <c r="R27" s="2">
        <f>(J4+1)*50/100</f>
        <v>13</v>
      </c>
      <c r="T27" s="15" t="s">
        <v>29</v>
      </c>
      <c r="U27" s="15"/>
      <c r="V27" s="15"/>
      <c r="W27" s="15"/>
      <c r="X27" s="15"/>
      <c r="Y27" s="15"/>
      <c r="Z27" s="15"/>
      <c r="AA27" s="15"/>
      <c r="AB27" s="15"/>
    </row>
    <row r="28" spans="2:28" x14ac:dyDescent="0.3">
      <c r="B28" s="13">
        <f t="shared" si="3"/>
        <v>10.758400000000007</v>
      </c>
      <c r="C28" s="13"/>
      <c r="D28" s="13">
        <f t="shared" si="4"/>
        <v>32.275200000000019</v>
      </c>
      <c r="E28" s="13"/>
      <c r="G28" s="13">
        <f t="shared" si="5"/>
        <v>3.2800000000000011</v>
      </c>
      <c r="H28" s="13"/>
      <c r="I28" s="13">
        <f t="shared" si="6"/>
        <v>115.74317056000015</v>
      </c>
      <c r="J28" s="13"/>
      <c r="K28" s="13">
        <f t="shared" si="7"/>
        <v>347.22951168000043</v>
      </c>
      <c r="L28" s="13"/>
      <c r="M28" s="6"/>
      <c r="N28" s="6"/>
      <c r="T28" s="15"/>
      <c r="U28" s="15"/>
      <c r="V28" s="15"/>
      <c r="W28" s="15"/>
      <c r="X28" s="15"/>
      <c r="Y28" s="15"/>
      <c r="Z28" s="15"/>
      <c r="AA28" s="15"/>
      <c r="AB28" s="15"/>
    </row>
    <row r="30" spans="2:28" x14ac:dyDescent="0.3">
      <c r="P30" s="17" t="s">
        <v>30</v>
      </c>
      <c r="Q30" s="17"/>
      <c r="R30" s="2">
        <f>(J4+1)*75/100</f>
        <v>19.5</v>
      </c>
      <c r="T30" s="15" t="s">
        <v>31</v>
      </c>
      <c r="U30" s="15"/>
      <c r="V30" s="15"/>
      <c r="W30" s="15"/>
      <c r="X30" s="15"/>
      <c r="Y30" s="15"/>
      <c r="Z30" s="15"/>
      <c r="AA30" s="15"/>
      <c r="AB30" s="15"/>
    </row>
    <row r="31" spans="2:28" x14ac:dyDescent="0.3">
      <c r="T31" s="15"/>
      <c r="U31" s="15"/>
      <c r="V31" s="15"/>
      <c r="W31" s="15"/>
      <c r="X31" s="15"/>
      <c r="Y31" s="15"/>
      <c r="Z31" s="15"/>
      <c r="AA31" s="15"/>
      <c r="AB31" s="15"/>
    </row>
  </sheetData>
  <mergeCells count="122">
    <mergeCell ref="P30:Q30"/>
    <mergeCell ref="T24:AB25"/>
    <mergeCell ref="T27:AB28"/>
    <mergeCell ref="T30:AB31"/>
    <mergeCell ref="K27:L27"/>
    <mergeCell ref="K28:L28"/>
    <mergeCell ref="W6:Y6"/>
    <mergeCell ref="U10:X10"/>
    <mergeCell ref="W7:Y7"/>
    <mergeCell ref="U11:X11"/>
    <mergeCell ref="P24:Q24"/>
    <mergeCell ref="P27:Q27"/>
    <mergeCell ref="K24:L24"/>
    <mergeCell ref="K25:L25"/>
    <mergeCell ref="K26:L26"/>
    <mergeCell ref="P12:Q12"/>
    <mergeCell ref="R12:S12"/>
    <mergeCell ref="M13:N13"/>
    <mergeCell ref="K14:L14"/>
    <mergeCell ref="M14:N14"/>
    <mergeCell ref="K15:L15"/>
    <mergeCell ref="M15:N15"/>
    <mergeCell ref="K10:L10"/>
    <mergeCell ref="M10:N10"/>
    <mergeCell ref="G28:H28"/>
    <mergeCell ref="I28:J28"/>
    <mergeCell ref="K20:L20"/>
    <mergeCell ref="M20:N20"/>
    <mergeCell ref="K21:L21"/>
    <mergeCell ref="M21:N21"/>
    <mergeCell ref="K22:L22"/>
    <mergeCell ref="K23:L23"/>
    <mergeCell ref="G25:H25"/>
    <mergeCell ref="I25:J25"/>
    <mergeCell ref="G26:H26"/>
    <mergeCell ref="I26:J26"/>
    <mergeCell ref="G27:H27"/>
    <mergeCell ref="I27:J27"/>
    <mergeCell ref="G22:H22"/>
    <mergeCell ref="I22:J22"/>
    <mergeCell ref="G23:H23"/>
    <mergeCell ref="I23:J23"/>
    <mergeCell ref="G24:H24"/>
    <mergeCell ref="I24:J24"/>
    <mergeCell ref="W3:Y3"/>
    <mergeCell ref="W4:Y4"/>
    <mergeCell ref="G20:H20"/>
    <mergeCell ref="I20:J20"/>
    <mergeCell ref="G21:H21"/>
    <mergeCell ref="I21:J21"/>
    <mergeCell ref="J6:L6"/>
    <mergeCell ref="J7:L7"/>
    <mergeCell ref="N3:O3"/>
    <mergeCell ref="N4:O4"/>
    <mergeCell ref="N6:Q6"/>
    <mergeCell ref="N7:Q7"/>
    <mergeCell ref="S6:U6"/>
    <mergeCell ref="S7:U7"/>
    <mergeCell ref="P13:Q13"/>
    <mergeCell ref="R13:S13"/>
    <mergeCell ref="P14:Q14"/>
    <mergeCell ref="R14:S14"/>
    <mergeCell ref="P15:Q15"/>
    <mergeCell ref="R15:S15"/>
    <mergeCell ref="P10:Q10"/>
    <mergeCell ref="R10:S10"/>
    <mergeCell ref="P11:Q11"/>
    <mergeCell ref="R11:S11"/>
    <mergeCell ref="B26:C26"/>
    <mergeCell ref="D26:E26"/>
    <mergeCell ref="B27:C27"/>
    <mergeCell ref="D27:E27"/>
    <mergeCell ref="B28:C28"/>
    <mergeCell ref="D28:E28"/>
    <mergeCell ref="B23:C23"/>
    <mergeCell ref="D23:E23"/>
    <mergeCell ref="B24:C24"/>
    <mergeCell ref="D24:E24"/>
    <mergeCell ref="B25:C25"/>
    <mergeCell ref="D25:E25"/>
    <mergeCell ref="D20:E20"/>
    <mergeCell ref="B20:C20"/>
    <mergeCell ref="B21:C21"/>
    <mergeCell ref="D21:E21"/>
    <mergeCell ref="B22:C22"/>
    <mergeCell ref="D22:E22"/>
    <mergeCell ref="P16:Q16"/>
    <mergeCell ref="R16:S16"/>
    <mergeCell ref="P17:Q17"/>
    <mergeCell ref="R17:S17"/>
    <mergeCell ref="P18:Q18"/>
    <mergeCell ref="R18:S18"/>
    <mergeCell ref="K17:L17"/>
    <mergeCell ref="M17:N17"/>
    <mergeCell ref="K18:L18"/>
    <mergeCell ref="M18:N18"/>
    <mergeCell ref="K16:L16"/>
    <mergeCell ref="M16:N16"/>
    <mergeCell ref="D16:E16"/>
    <mergeCell ref="D17:E17"/>
    <mergeCell ref="D18:E18"/>
    <mergeCell ref="K11:L11"/>
    <mergeCell ref="M11:N11"/>
    <mergeCell ref="K12:L12"/>
    <mergeCell ref="M12:N12"/>
    <mergeCell ref="K13:L13"/>
    <mergeCell ref="D11:E11"/>
    <mergeCell ref="D12:E12"/>
    <mergeCell ref="D15:E15"/>
    <mergeCell ref="D13:E13"/>
    <mergeCell ref="D14:E14"/>
    <mergeCell ref="B13:C13"/>
    <mergeCell ref="B14:C14"/>
    <mergeCell ref="B15:C15"/>
    <mergeCell ref="B16:C16"/>
    <mergeCell ref="B17:C17"/>
    <mergeCell ref="B18:C18"/>
    <mergeCell ref="B2:H8"/>
    <mergeCell ref="B10:C10"/>
    <mergeCell ref="D10:E10"/>
    <mergeCell ref="B11:C11"/>
    <mergeCell ref="B12:C12"/>
  </mergeCells>
  <phoneticPr fontId="2" type="noConversion"/>
  <pageMargins left="0.7" right="0.7" top="0.75" bottom="0.75" header="0.3" footer="0.3"/>
  <pageSetup paperSize="9" orientation="portrait" r:id="rId1"/>
  <headerFooter>
    <oddHeader>&amp;CГневнов Артем Евгеньевич, ИВТ 2.1.,2 курс</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86B7-9886-480A-BEAB-C1D0A8F25CCC}">
  <dimension ref="B2:P19"/>
  <sheetViews>
    <sheetView tabSelected="1" zoomScaleNormal="100" workbookViewId="0">
      <selection activeCell="H26" sqref="H26"/>
    </sheetView>
  </sheetViews>
  <sheetFormatPr defaultRowHeight="14.4" x14ac:dyDescent="0.3"/>
  <sheetData>
    <row r="2" spans="2:16" x14ac:dyDescent="0.3">
      <c r="B2" s="16" t="s">
        <v>2</v>
      </c>
      <c r="C2" s="16"/>
      <c r="D2" s="16" t="s">
        <v>1</v>
      </c>
      <c r="E2" s="16"/>
      <c r="G2" s="4" t="s">
        <v>32</v>
      </c>
      <c r="H2" s="11" t="s">
        <v>33</v>
      </c>
      <c r="I2" s="4" t="s">
        <v>4</v>
      </c>
      <c r="J2" s="4" t="s">
        <v>5</v>
      </c>
      <c r="K2" s="4" t="s">
        <v>3</v>
      </c>
    </row>
    <row r="3" spans="2:16" x14ac:dyDescent="0.3">
      <c r="B3" s="13">
        <v>18</v>
      </c>
      <c r="C3" s="13"/>
      <c r="D3" s="13">
        <v>2</v>
      </c>
      <c r="E3" s="13"/>
      <c r="G3" s="2">
        <f xml:space="preserve"> 1 + 1.4 *LN(25)</f>
        <v>5.5064261548154807</v>
      </c>
      <c r="H3" s="2">
        <f>(I3-J3)/G4</f>
        <v>1.1666666666666667</v>
      </c>
      <c r="I3" s="2">
        <f>MAX(B3:C10)</f>
        <v>25</v>
      </c>
      <c r="J3" s="2">
        <f>MIN(B3:C10)</f>
        <v>18</v>
      </c>
      <c r="K3" s="2">
        <v>25</v>
      </c>
    </row>
    <row r="4" spans="2:16" x14ac:dyDescent="0.3">
      <c r="B4" s="13">
        <v>19</v>
      </c>
      <c r="C4" s="13"/>
      <c r="D4" s="13">
        <v>3</v>
      </c>
      <c r="E4" s="13"/>
      <c r="G4" s="2">
        <f>MROUND(G3,1)</f>
        <v>6</v>
      </c>
    </row>
    <row r="5" spans="2:16" x14ac:dyDescent="0.3">
      <c r="B5" s="13">
        <v>20</v>
      </c>
      <c r="C5" s="13"/>
      <c r="D5" s="13">
        <v>3</v>
      </c>
      <c r="E5" s="13"/>
    </row>
    <row r="6" spans="2:16" x14ac:dyDescent="0.3">
      <c r="B6" s="13">
        <v>21</v>
      </c>
      <c r="C6" s="13"/>
      <c r="D6" s="13">
        <v>4</v>
      </c>
      <c r="E6" s="13"/>
    </row>
    <row r="7" spans="2:16" x14ac:dyDescent="0.3">
      <c r="B7" s="13">
        <v>22</v>
      </c>
      <c r="C7" s="13"/>
      <c r="D7" s="13">
        <v>3</v>
      </c>
      <c r="E7" s="13"/>
    </row>
    <row r="8" spans="2:16" x14ac:dyDescent="0.3">
      <c r="B8" s="13">
        <v>23</v>
      </c>
      <c r="C8" s="13"/>
      <c r="D8" s="13">
        <v>3</v>
      </c>
      <c r="E8" s="13"/>
    </row>
    <row r="9" spans="2:16" x14ac:dyDescent="0.3">
      <c r="B9" s="13">
        <v>24</v>
      </c>
      <c r="C9" s="13"/>
      <c r="D9" s="13">
        <v>4</v>
      </c>
      <c r="E9" s="13"/>
    </row>
    <row r="10" spans="2:16" x14ac:dyDescent="0.3">
      <c r="B10" s="13">
        <v>25</v>
      </c>
      <c r="C10" s="13"/>
      <c r="D10" s="13">
        <v>3</v>
      </c>
      <c r="E10" s="13"/>
    </row>
    <row r="12" spans="2:16" ht="21.6" x14ac:dyDescent="0.3">
      <c r="B12" s="19" t="s">
        <v>47</v>
      </c>
      <c r="C12" s="19"/>
      <c r="D12" s="4" t="s">
        <v>34</v>
      </c>
      <c r="E12" s="12" t="s">
        <v>35</v>
      </c>
      <c r="F12" s="3" t="s">
        <v>36</v>
      </c>
      <c r="G12" s="4" t="s">
        <v>37</v>
      </c>
      <c r="H12" s="4" t="s">
        <v>38</v>
      </c>
      <c r="I12" s="4" t="s">
        <v>39</v>
      </c>
      <c r="J12" s="4" t="s">
        <v>40</v>
      </c>
      <c r="K12" s="4" t="s">
        <v>41</v>
      </c>
      <c r="L12" s="4" t="s">
        <v>42</v>
      </c>
      <c r="M12" s="4" t="s">
        <v>43</v>
      </c>
      <c r="N12" s="4" t="s">
        <v>44</v>
      </c>
      <c r="O12" s="4" t="s">
        <v>45</v>
      </c>
      <c r="P12" s="4" t="s">
        <v>46</v>
      </c>
    </row>
    <row r="13" spans="2:16" x14ac:dyDescent="0.3">
      <c r="B13" s="13" t="s">
        <v>48</v>
      </c>
      <c r="C13" s="13"/>
      <c r="D13" s="2">
        <v>2</v>
      </c>
      <c r="E13" s="20">
        <v>18.5</v>
      </c>
      <c r="F13" s="2">
        <v>21.72</v>
      </c>
      <c r="G13" s="2">
        <v>2.1821090000000001</v>
      </c>
      <c r="H13" s="2">
        <f>(E13-$F$13)/$G$13</f>
        <v>-1.4756366432657575</v>
      </c>
      <c r="I13" s="2">
        <f>(1/SQRT(2*3.1415))*(POWER(2.7182, (-H13*H13)/2))</f>
        <v>0.13430489028294743</v>
      </c>
      <c r="J13" s="2">
        <v>1</v>
      </c>
      <c r="K13" s="2">
        <f>I13*(($K$3*$J$13)/$G$13)</f>
        <v>1.5387051045908733</v>
      </c>
      <c r="L13" s="2">
        <f>D13</f>
        <v>2</v>
      </c>
      <c r="M13" s="2">
        <f>K13</f>
        <v>1.5387051045908733</v>
      </c>
      <c r="N13" s="2">
        <f>L13-K13</f>
        <v>0.46129489540912672</v>
      </c>
      <c r="O13" s="2">
        <f>MAX(N13:N19)</f>
        <v>22.969766854541632</v>
      </c>
      <c r="P13" s="2">
        <f>O13/SQRT(K3)</f>
        <v>4.5939533709083262</v>
      </c>
    </row>
    <row r="14" spans="2:16" x14ac:dyDescent="0.3">
      <c r="B14" s="13" t="s">
        <v>49</v>
      </c>
      <c r="C14" s="13"/>
      <c r="D14" s="2">
        <v>3</v>
      </c>
      <c r="E14" s="20">
        <v>19.5</v>
      </c>
      <c r="F14" s="2"/>
      <c r="G14" s="2"/>
      <c r="H14" s="2">
        <f t="shared" ref="H14:H19" si="0">(E14-$F$13)/$G$13</f>
        <v>-1.017364393804342</v>
      </c>
      <c r="I14" s="2">
        <f t="shared" ref="I14:I18" si="1">(1/SQRT(2*3.1415))*(POWER(2.7182, (-H14*H14)/2))</f>
        <v>0.23777668060203361</v>
      </c>
      <c r="J14" s="2"/>
      <c r="K14" s="2">
        <f t="shared" ref="K14:K18" si="2">I14*(($K$3*$J$13)/$G$13)</f>
        <v>2.7241613572240619</v>
      </c>
      <c r="L14" s="2">
        <f>SUM(D13:D14)</f>
        <v>5</v>
      </c>
      <c r="M14" s="2">
        <f>SUM(K13:K14)</f>
        <v>4.2628664618149354</v>
      </c>
      <c r="N14" s="2">
        <f>L14-K14</f>
        <v>2.2758386427759381</v>
      </c>
      <c r="O14" s="2"/>
      <c r="P14" s="2"/>
    </row>
    <row r="15" spans="2:16" x14ac:dyDescent="0.3">
      <c r="B15" s="13" t="s">
        <v>50</v>
      </c>
      <c r="C15" s="13"/>
      <c r="D15" s="2">
        <v>3</v>
      </c>
      <c r="E15" s="20">
        <v>20.5</v>
      </c>
      <c r="F15" s="2"/>
      <c r="G15" s="2"/>
      <c r="H15" s="2">
        <f t="shared" si="0"/>
        <v>-0.55909214434292642</v>
      </c>
      <c r="I15" s="2">
        <f t="shared" si="1"/>
        <v>0.34122571675307356</v>
      </c>
      <c r="J15" s="2"/>
      <c r="K15" s="2">
        <f t="shared" si="2"/>
        <v>3.9093569197628715</v>
      </c>
      <c r="L15" s="2">
        <f>SUM(D13:D15)</f>
        <v>8</v>
      </c>
      <c r="M15" s="2">
        <f>SUM(K13:K15)</f>
        <v>8.1722233815778065</v>
      </c>
      <c r="N15" s="2">
        <f>L15-K15</f>
        <v>4.090643080237129</v>
      </c>
      <c r="O15" s="2"/>
      <c r="P15" s="2"/>
    </row>
    <row r="16" spans="2:16" x14ac:dyDescent="0.3">
      <c r="B16" s="13" t="s">
        <v>51</v>
      </c>
      <c r="C16" s="13"/>
      <c r="D16" s="2">
        <v>4</v>
      </c>
      <c r="E16" s="20">
        <v>21.5</v>
      </c>
      <c r="F16" s="2"/>
      <c r="G16" s="2"/>
      <c r="H16" s="2">
        <f t="shared" si="0"/>
        <v>-0.1008198948815109</v>
      </c>
      <c r="I16" s="2">
        <f t="shared" si="1"/>
        <v>0.39692578341235507</v>
      </c>
      <c r="J16" s="2"/>
      <c r="K16" s="2">
        <f t="shared" si="2"/>
        <v>4.5475017908403643</v>
      </c>
      <c r="L16" s="2">
        <f>SUM(D13:D16)</f>
        <v>12</v>
      </c>
      <c r="M16" s="2">
        <f>SUM(K13:K16)</f>
        <v>12.719725172418171</v>
      </c>
      <c r="N16" s="2">
        <f>L16-K16</f>
        <v>7.4524982091596357</v>
      </c>
      <c r="O16" s="2"/>
      <c r="P16" s="2"/>
    </row>
    <row r="17" spans="2:16" x14ac:dyDescent="0.3">
      <c r="B17" s="13" t="s">
        <v>52</v>
      </c>
      <c r="C17" s="13"/>
      <c r="D17" s="2">
        <v>3</v>
      </c>
      <c r="E17" s="20">
        <v>22.5</v>
      </c>
      <c r="F17" s="2"/>
      <c r="G17" s="2"/>
      <c r="H17" s="2">
        <f t="shared" si="0"/>
        <v>0.35745235457990465</v>
      </c>
      <c r="I17" s="2">
        <f t="shared" si="1"/>
        <v>0.37425871985230769</v>
      </c>
      <c r="J17" s="2"/>
      <c r="K17" s="2">
        <f t="shared" si="2"/>
        <v>4.2878096356816693</v>
      </c>
      <c r="L17" s="2">
        <f>SUM(D13:D17)</f>
        <v>15</v>
      </c>
      <c r="M17" s="2">
        <f>SUM(K13:K17)</f>
        <v>17.007534808099841</v>
      </c>
      <c r="N17" s="2">
        <f t="shared" ref="N17" si="3">L17-K17</f>
        <v>10.712190364318332</v>
      </c>
      <c r="O17" s="2"/>
      <c r="P17" s="2"/>
    </row>
    <row r="18" spans="2:16" x14ac:dyDescent="0.3">
      <c r="B18" s="13" t="s">
        <v>53</v>
      </c>
      <c r="C18" s="13"/>
      <c r="D18" s="2">
        <v>3</v>
      </c>
      <c r="E18" s="20">
        <v>23.5</v>
      </c>
      <c r="F18" s="2"/>
      <c r="G18" s="2"/>
      <c r="H18" s="2">
        <f t="shared" si="0"/>
        <v>0.81572460404132019</v>
      </c>
      <c r="I18" s="2">
        <f t="shared" si="1"/>
        <v>0.28604186836033701</v>
      </c>
      <c r="J18" s="2"/>
      <c r="K18" s="2">
        <f t="shared" si="2"/>
        <v>3.277126261340944</v>
      </c>
      <c r="L18" s="2">
        <f>SUM(D13:D18)</f>
        <v>18</v>
      </c>
      <c r="M18" s="2">
        <f>SUM(K13:K18)</f>
        <v>20.284661069440784</v>
      </c>
      <c r="N18" s="2">
        <f>L18-K18</f>
        <v>14.722873738659056</v>
      </c>
      <c r="O18" s="2"/>
      <c r="P18" s="2"/>
    </row>
    <row r="19" spans="2:16" x14ac:dyDescent="0.3">
      <c r="B19" s="13" t="s">
        <v>54</v>
      </c>
      <c r="C19" s="13"/>
      <c r="D19" s="2">
        <v>7</v>
      </c>
      <c r="E19" s="20">
        <v>24.5</v>
      </c>
      <c r="F19" s="2"/>
      <c r="G19" s="2"/>
      <c r="H19" s="2">
        <f t="shared" si="0"/>
        <v>1.2739968535027357</v>
      </c>
      <c r="I19" s="2">
        <f t="shared" ref="I19" si="4">(1/SQRT(2*3.1415))*(POWER(2.7182, (-H19*H19)/2))</f>
        <v>0.17720760075212053</v>
      </c>
      <c r="J19" s="2"/>
      <c r="K19" s="2">
        <f>I19*(($K$3*$J$13)/$G$13)</f>
        <v>2.0302331454583675</v>
      </c>
      <c r="L19" s="2">
        <f>SUM(D13:D19)</f>
        <v>25</v>
      </c>
      <c r="M19" s="2">
        <f>SUM(K13:K19)</f>
        <v>22.314894214899152</v>
      </c>
      <c r="N19" s="2">
        <f>L19-K19</f>
        <v>22.969766854541632</v>
      </c>
      <c r="O19" s="2"/>
      <c r="P19" s="2"/>
    </row>
  </sheetData>
  <mergeCells count="26">
    <mergeCell ref="B18:C18"/>
    <mergeCell ref="B19:C19"/>
    <mergeCell ref="B12:C12"/>
    <mergeCell ref="B13:C13"/>
    <mergeCell ref="B14:C14"/>
    <mergeCell ref="B15:C15"/>
    <mergeCell ref="B16:C16"/>
    <mergeCell ref="B17:C17"/>
    <mergeCell ref="B8:C8"/>
    <mergeCell ref="D8:E8"/>
    <mergeCell ref="B9:C9"/>
    <mergeCell ref="D9:E9"/>
    <mergeCell ref="B10:C10"/>
    <mergeCell ref="D10:E10"/>
    <mergeCell ref="B5:C5"/>
    <mergeCell ref="D5:E5"/>
    <mergeCell ref="B6:C6"/>
    <mergeCell ref="D6:E6"/>
    <mergeCell ref="B7:C7"/>
    <mergeCell ref="D7:E7"/>
    <mergeCell ref="B2:C2"/>
    <mergeCell ref="D2:E2"/>
    <mergeCell ref="B3:C3"/>
    <mergeCell ref="D3:E3"/>
    <mergeCell ref="B4:C4"/>
    <mergeCell ref="D4:E4"/>
  </mergeCells>
  <pageMargins left="0.7" right="0.7" top="0.75" bottom="0.75" header="0.3" footer="0.3"/>
  <pageSetup paperSize="9" orientation="portrait" r:id="rId1"/>
  <headerFooter>
    <oddHeader>&amp;CГневнов Артем Евгеньевич, ИВТ 2.1.,2 курс</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Artyom Gnevnov</dc:creator>
  <cp:lastModifiedBy>Artyom Gnevnov</cp:lastModifiedBy>
  <dcterms:created xsi:type="dcterms:W3CDTF">2015-06-05T18:19:34Z</dcterms:created>
  <dcterms:modified xsi:type="dcterms:W3CDTF">2023-12-19T16:53:48Z</dcterms:modified>
</cp:coreProperties>
</file>