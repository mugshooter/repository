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2f0d4a8a008de216/Рабочий стол/учеба/РГПУ/АД/ЛР3/"/>
    </mc:Choice>
  </mc:AlternateContent>
  <xr:revisionPtr revIDLastSave="1" documentId="11_AD4DF75460589B3ACB72843C47DC75685BDEDD96" xr6:coauthVersionLast="47" xr6:coauthVersionMax="47" xr10:uidLastSave="{DC7C5B7E-21DE-4DE7-BEC0-8D69146FFC22}"/>
  <bookViews>
    <workbookView xWindow="-108" yWindow="-108" windowWidth="23256" windowHeight="13176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1" l="1"/>
  <c r="B25" i="1"/>
  <c r="B22" i="2"/>
  <c r="C38" i="2"/>
  <c r="C38" i="1"/>
  <c r="C35" i="2"/>
  <c r="C36" i="1"/>
  <c r="C33" i="1"/>
  <c r="C32" i="2"/>
  <c r="G29" i="2"/>
  <c r="G31" i="1"/>
  <c r="C29" i="1"/>
  <c r="C26" i="2"/>
  <c r="B24" i="2"/>
  <c r="B27" i="1"/>
  <c r="C20" i="2"/>
  <c r="D20" i="2"/>
  <c r="E20" i="2"/>
  <c r="F20" i="2"/>
  <c r="G20" i="2"/>
  <c r="G21" i="2" s="1"/>
  <c r="G22" i="2" s="1"/>
  <c r="H20" i="2"/>
  <c r="H21" i="2" s="1"/>
  <c r="H22" i="2" s="1"/>
  <c r="B20" i="2"/>
  <c r="C19" i="2"/>
  <c r="D19" i="2"/>
  <c r="E19" i="2"/>
  <c r="F19" i="2"/>
  <c r="G19" i="2"/>
  <c r="H19" i="2"/>
  <c r="I19" i="2"/>
  <c r="J19" i="2"/>
  <c r="K19" i="2"/>
  <c r="B19" i="2"/>
  <c r="B22" i="1"/>
  <c r="C16" i="2"/>
  <c r="C17" i="2" s="1"/>
  <c r="D16" i="2"/>
  <c r="D17" i="2" s="1"/>
  <c r="E16" i="2"/>
  <c r="E17" i="2" s="1"/>
  <c r="F16" i="2"/>
  <c r="G16" i="2"/>
  <c r="H16" i="2"/>
  <c r="B16" i="2"/>
  <c r="B17" i="2" s="1"/>
  <c r="B19" i="1"/>
  <c r="B10" i="2"/>
  <c r="B8" i="2"/>
  <c r="B12" i="2" s="1"/>
  <c r="D4" i="2"/>
  <c r="D5" i="2" s="1"/>
  <c r="H4" i="2" s="1"/>
  <c r="H15" i="2"/>
  <c r="G15" i="2"/>
  <c r="F15" i="2"/>
  <c r="E15" i="2"/>
  <c r="D15" i="2"/>
  <c r="C15" i="2"/>
  <c r="B15" i="2"/>
  <c r="C4" i="2"/>
  <c r="B4" i="2"/>
  <c r="E8" i="2" s="1"/>
  <c r="E12" i="2" s="1"/>
  <c r="H11" i="1"/>
  <c r="B11" i="1"/>
  <c r="F17" i="2" l="1"/>
  <c r="C29" i="2" s="1"/>
  <c r="C21" i="2"/>
  <c r="C22" i="2" s="1"/>
  <c r="D21" i="2"/>
  <c r="D22" i="2" s="1"/>
  <c r="B21" i="2"/>
  <c r="G17" i="2"/>
  <c r="H17" i="2"/>
  <c r="E21" i="2"/>
  <c r="E22" i="2" s="1"/>
  <c r="F21" i="2"/>
  <c r="F22" i="2" s="1"/>
  <c r="C10" i="2"/>
  <c r="C8" i="2"/>
  <c r="C12" i="2" s="1"/>
  <c r="D8" i="2"/>
  <c r="D12" i="2" s="1"/>
  <c r="M18" i="1"/>
  <c r="L18" i="1"/>
  <c r="K18" i="1"/>
  <c r="J18" i="1"/>
  <c r="I18" i="1"/>
  <c r="H18" i="1"/>
  <c r="G18" i="1"/>
  <c r="F18" i="1"/>
  <c r="E18" i="1"/>
  <c r="D18" i="1"/>
  <c r="C18" i="1"/>
  <c r="B18" i="1"/>
  <c r="B13" i="1"/>
  <c r="G11" i="1"/>
  <c r="F11" i="1"/>
  <c r="E11" i="1"/>
  <c r="D11" i="1"/>
  <c r="C11" i="1"/>
  <c r="H13" i="1" s="1"/>
  <c r="D7" i="1"/>
  <c r="D8" i="1" s="1"/>
  <c r="H7" i="1" s="1"/>
  <c r="C7" i="1"/>
  <c r="B7" i="1"/>
  <c r="H10" i="2" l="1"/>
  <c r="E10" i="2"/>
  <c r="G10" i="2"/>
  <c r="F10" i="2"/>
  <c r="D10" i="2"/>
  <c r="I10" i="2"/>
  <c r="C22" i="1"/>
  <c r="B15" i="1"/>
  <c r="C15" i="1"/>
  <c r="D15" i="1"/>
  <c r="E15" i="1"/>
  <c r="F15" i="1"/>
  <c r="G15" i="1"/>
  <c r="H15" i="1"/>
  <c r="B23" i="1"/>
  <c r="B24" i="1" s="1"/>
  <c r="AY22" i="1"/>
  <c r="AM22" i="1"/>
  <c r="AA22" i="1"/>
  <c r="O22" i="1"/>
  <c r="E19" i="1"/>
  <c r="E20" i="1" s="1"/>
  <c r="L23" i="1"/>
  <c r="L24" i="1" s="1"/>
  <c r="L25" i="1" s="1"/>
  <c r="BI22" i="1"/>
  <c r="AW22" i="1"/>
  <c r="AK22" i="1"/>
  <c r="Y22" i="1"/>
  <c r="K23" i="1"/>
  <c r="K24" i="1" s="1"/>
  <c r="K25" i="1" s="1"/>
  <c r="BH22" i="1"/>
  <c r="AV22" i="1"/>
  <c r="X22" i="1"/>
  <c r="C19" i="1"/>
  <c r="C20" i="1" s="1"/>
  <c r="BG22" i="1"/>
  <c r="AU22" i="1"/>
  <c r="AI22" i="1"/>
  <c r="W22" i="1"/>
  <c r="K22" i="1"/>
  <c r="B20" i="1"/>
  <c r="I23" i="1"/>
  <c r="I24" i="1" s="1"/>
  <c r="I25" i="1" s="1"/>
  <c r="BF22" i="1"/>
  <c r="AT22" i="1"/>
  <c r="AH22" i="1"/>
  <c r="V22" i="1"/>
  <c r="J22" i="1"/>
  <c r="M19" i="1"/>
  <c r="M20" i="1" s="1"/>
  <c r="H23" i="1"/>
  <c r="H24" i="1" s="1"/>
  <c r="H25" i="1" s="1"/>
  <c r="BE22" i="1"/>
  <c r="AS22" i="1"/>
  <c r="AG22" i="1"/>
  <c r="U22" i="1"/>
  <c r="I22" i="1"/>
  <c r="L19" i="1"/>
  <c r="L20" i="1" s="1"/>
  <c r="G23" i="1"/>
  <c r="G24" i="1" s="1"/>
  <c r="G25" i="1" s="1"/>
  <c r="BD22" i="1"/>
  <c r="AR22" i="1"/>
  <c r="AF22" i="1"/>
  <c r="T22" i="1"/>
  <c r="H22" i="1"/>
  <c r="K19" i="1"/>
  <c r="K20" i="1" s="1"/>
  <c r="F23" i="1"/>
  <c r="F24" i="1" s="1"/>
  <c r="F25" i="1" s="1"/>
  <c r="BC22" i="1"/>
  <c r="AQ22" i="1"/>
  <c r="AE22" i="1"/>
  <c r="S22" i="1"/>
  <c r="G22" i="1"/>
  <c r="J19" i="1"/>
  <c r="J20" i="1" s="1"/>
  <c r="H19" i="1"/>
  <c r="H20" i="1" s="1"/>
  <c r="AZ22" i="1"/>
  <c r="P22" i="1"/>
  <c r="D23" i="1"/>
  <c r="D24" i="1" s="1"/>
  <c r="D25" i="1" s="1"/>
  <c r="Q22" i="1"/>
  <c r="C23" i="1"/>
  <c r="C24" i="1" s="1"/>
  <c r="C25" i="1" s="1"/>
  <c r="E23" i="1"/>
  <c r="E24" i="1" s="1"/>
  <c r="E25" i="1" s="1"/>
  <c r="BB22" i="1"/>
  <c r="AP22" i="1"/>
  <c r="AD22" i="1"/>
  <c r="R22" i="1"/>
  <c r="F22" i="1"/>
  <c r="I19" i="1"/>
  <c r="I20" i="1" s="1"/>
  <c r="BA22" i="1"/>
  <c r="AO22" i="1"/>
  <c r="AC22" i="1"/>
  <c r="E22" i="1"/>
  <c r="AN22" i="1"/>
  <c r="AB22" i="1"/>
  <c r="D22" i="1"/>
  <c r="G19" i="1"/>
  <c r="G20" i="1" s="1"/>
  <c r="C13" i="1"/>
  <c r="D13" i="1"/>
  <c r="E13" i="1"/>
  <c r="F13" i="1"/>
  <c r="G13" i="1"/>
  <c r="I13" i="1"/>
  <c r="B23" i="2" l="1"/>
  <c r="J23" i="1"/>
  <c r="J24" i="1" s="1"/>
  <c r="J25" i="1" s="1"/>
  <c r="L22" i="1"/>
  <c r="N22" i="1"/>
  <c r="AJ22" i="1"/>
  <c r="Z22" i="1"/>
  <c r="AL22" i="1"/>
  <c r="D19" i="1"/>
  <c r="D20" i="1" s="1"/>
  <c r="C31" i="1" s="1"/>
  <c r="AX22" i="1"/>
  <c r="M22" i="1"/>
  <c r="M23" i="1"/>
  <c r="M24" i="1" s="1"/>
  <c r="M25" i="1" s="1"/>
  <c r="F19" i="1"/>
  <c r="F20" i="1" s="1"/>
</calcChain>
</file>

<file path=xl/sharedStrings.xml><?xml version="1.0" encoding="utf-8"?>
<sst xmlns="http://schemas.openxmlformats.org/spreadsheetml/2006/main" count="86" uniqueCount="42">
  <si>
    <t>n</t>
  </si>
  <si>
    <t>k</t>
  </si>
  <si>
    <t>xi</t>
  </si>
  <si>
    <t>[4; 5,7)</t>
  </si>
  <si>
    <t>[5,7; 7,4)</t>
  </si>
  <si>
    <t>[7,4; 9,1)</t>
  </si>
  <si>
    <t>[9,1; 10,9)</t>
  </si>
  <si>
    <t>[10,9; 12,6)</t>
  </si>
  <si>
    <t xml:space="preserve">[12,6; 14,3) </t>
  </si>
  <si>
    <t>[14,3; 16)</t>
  </si>
  <si>
    <t>mi</t>
  </si>
  <si>
    <t>xi*mi</t>
  </si>
  <si>
    <t>*mi</t>
  </si>
  <si>
    <t>Коэффициент ассиметрии</t>
  </si>
  <si>
    <t>xi-mi</t>
  </si>
  <si>
    <t>Эксцесс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</si>
  <si>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min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</si>
  <si>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max</t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</si>
  <si>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</si>
  <si>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∆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</si>
  <si>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</si>
  <si>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m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</si>
  <si>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</si>
  <si>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w</t>
    </r>
    <r>
      <rPr>
        <vertAlign val="subscript"/>
        <sz val="11"/>
        <color theme="1"/>
        <rFont val="Calibri"/>
        <family val="2"/>
        <charset val="204"/>
        <scheme val="minor"/>
      </rPr>
      <t>ai</t>
    </r>
  </si>
  <si>
    <r>
      <t>(xi-x)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</si>
  <si>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xi-x</t>
    </r>
    <r>
      <rPr>
        <vertAlign val="superscript"/>
        <sz val="11"/>
        <color theme="1"/>
        <rFont val="Calibri"/>
        <family val="2"/>
        <charset val="204"/>
        <scheme val="minor"/>
      </rPr>
      <t>-</t>
    </r>
  </si>
  <si>
    <r>
      <t>(xi-x</t>
    </r>
    <r>
      <rPr>
        <vertAlign val="superscript"/>
        <sz val="11"/>
        <color theme="1"/>
        <rFont val="Calibri"/>
        <family val="2"/>
        <charset val="204"/>
        <scheme val="minor"/>
      </rPr>
      <t>-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charset val="204"/>
        <scheme val="minor"/>
      </rPr>
      <t>4</t>
    </r>
  </si>
  <si>
    <r>
      <t>(xi-x</t>
    </r>
    <r>
      <rPr>
        <vertAlign val="superscript"/>
        <sz val="11"/>
        <color theme="1"/>
        <rFont val="Calibri"/>
        <family val="2"/>
        <charset val="204"/>
        <scheme val="minor"/>
      </rPr>
      <t>-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charset val="204"/>
        <scheme val="minor"/>
      </rPr>
      <t>*mi</t>
    </r>
  </si>
  <si>
    <r>
      <t>μ</t>
    </r>
    <r>
      <rPr>
        <vertAlign val="subscript"/>
        <sz val="11"/>
        <color theme="1"/>
        <rFont val="Calibri"/>
        <family val="2"/>
        <charset val="204"/>
      </rPr>
      <t>4</t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</si>
  <si>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8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</si>
  <si>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</si>
  <si>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</si>
  <si>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Мода</t>
  </si>
  <si>
    <t>x(i)</t>
  </si>
  <si>
    <t xml:space="preserve">Среднее значение признака </t>
  </si>
  <si>
    <t xml:space="preserve">Дисперсия </t>
  </si>
  <si>
    <t xml:space="preserve">Среднее квадратичной отклонение </t>
  </si>
  <si>
    <t xml:space="preserve">Коэффициент вариации </t>
  </si>
  <si>
    <t>[3; 4,75)</t>
  </si>
  <si>
    <t>[4.75; 6.5)</t>
  </si>
  <si>
    <t>[6.5; 8.25)</t>
  </si>
  <si>
    <t>[8.25;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</si>
</sst>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/>
    <xf numFmtId="2" fontId="0" fillId="0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0" xfId="0" applyFill="1"/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0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aseline="0">
                <a:effectLst/>
              </a:rPr>
              <a:t>Плотность работников 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Лист1!$B$21:$BI$21</c:f>
              <c:numCache>
                <c:formatCode>General</c:formatCode>
                <c:ptCount val="60"/>
                <c:pt idx="0">
                  <c:v>12</c:v>
                </c:pt>
                <c:pt idx="1">
                  <c:v>6</c:v>
                </c:pt>
                <c:pt idx="2">
                  <c:v>8</c:v>
                </c:pt>
                <c:pt idx="3">
                  <c:v>6</c:v>
                </c:pt>
                <c:pt idx="4">
                  <c:v>10</c:v>
                </c:pt>
                <c:pt idx="5">
                  <c:v>11</c:v>
                </c:pt>
                <c:pt idx="6">
                  <c:v>7</c:v>
                </c:pt>
                <c:pt idx="7">
                  <c:v>10</c:v>
                </c:pt>
                <c:pt idx="8">
                  <c:v>12</c:v>
                </c:pt>
                <c:pt idx="9">
                  <c:v>8</c:v>
                </c:pt>
                <c:pt idx="10">
                  <c:v>7</c:v>
                </c:pt>
                <c:pt idx="11">
                  <c:v>7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6</c:v>
                </c:pt>
                <c:pt idx="16">
                  <c:v>11</c:v>
                </c:pt>
                <c:pt idx="17">
                  <c:v>9</c:v>
                </c:pt>
                <c:pt idx="18">
                  <c:v>11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9</c:v>
                </c:pt>
                <c:pt idx="23">
                  <c:v>10</c:v>
                </c:pt>
                <c:pt idx="24">
                  <c:v>7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11</c:v>
                </c:pt>
                <c:pt idx="29">
                  <c:v>9</c:v>
                </c:pt>
                <c:pt idx="30">
                  <c:v>8</c:v>
                </c:pt>
                <c:pt idx="31">
                  <c:v>7</c:v>
                </c:pt>
                <c:pt idx="32">
                  <c:v>5</c:v>
                </c:pt>
                <c:pt idx="33">
                  <c:v>9</c:v>
                </c:pt>
                <c:pt idx="34">
                  <c:v>7</c:v>
                </c:pt>
                <c:pt idx="35">
                  <c:v>7</c:v>
                </c:pt>
                <c:pt idx="36">
                  <c:v>14</c:v>
                </c:pt>
                <c:pt idx="37">
                  <c:v>11</c:v>
                </c:pt>
                <c:pt idx="38">
                  <c:v>9</c:v>
                </c:pt>
                <c:pt idx="39">
                  <c:v>8</c:v>
                </c:pt>
                <c:pt idx="40">
                  <c:v>7</c:v>
                </c:pt>
                <c:pt idx="41">
                  <c:v>4</c:v>
                </c:pt>
                <c:pt idx="42">
                  <c:v>7</c:v>
                </c:pt>
                <c:pt idx="43">
                  <c:v>5</c:v>
                </c:pt>
                <c:pt idx="44">
                  <c:v>5</c:v>
                </c:pt>
                <c:pt idx="45">
                  <c:v>10</c:v>
                </c:pt>
                <c:pt idx="46">
                  <c:v>7</c:v>
                </c:pt>
                <c:pt idx="47">
                  <c:v>7</c:v>
                </c:pt>
                <c:pt idx="48">
                  <c:v>5</c:v>
                </c:pt>
                <c:pt idx="49">
                  <c:v>8</c:v>
                </c:pt>
                <c:pt idx="50">
                  <c:v>10</c:v>
                </c:pt>
                <c:pt idx="51">
                  <c:v>10</c:v>
                </c:pt>
                <c:pt idx="52">
                  <c:v>15</c:v>
                </c:pt>
                <c:pt idx="53">
                  <c:v>10</c:v>
                </c:pt>
                <c:pt idx="54">
                  <c:v>10</c:v>
                </c:pt>
                <c:pt idx="55">
                  <c:v>13</c:v>
                </c:pt>
                <c:pt idx="56">
                  <c:v>12</c:v>
                </c:pt>
                <c:pt idx="57">
                  <c:v>11</c:v>
                </c:pt>
                <c:pt idx="58">
                  <c:v>15</c:v>
                </c:pt>
                <c:pt idx="5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03-4510-BCFF-52B93F74C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322783"/>
        <c:axId val="1376324447"/>
      </c:lineChart>
      <c:catAx>
        <c:axId val="137632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324447"/>
        <c:crosses val="autoZero"/>
        <c:auto val="1"/>
        <c:lblAlgn val="ctr"/>
        <c:lblOffset val="100"/>
        <c:noMultiLvlLbl val="0"/>
      </c:catAx>
      <c:valAx>
        <c:axId val="137632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32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Продажа смартфонов разных моделей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Лист2!$B$18:$K$18</c:f>
              <c:numCache>
                <c:formatCode>General</c:formatCode>
                <c:ptCount val="10"/>
                <c:pt idx="0">
                  <c:v>5</c:v>
                </c:pt>
                <c:pt idx="1">
                  <c:v>7</c:v>
                </c:pt>
                <c:pt idx="2">
                  <c:v>3</c:v>
                </c:pt>
                <c:pt idx="3">
                  <c:v>9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5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25-439F-B42E-50CF11BAE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2090431"/>
        <c:axId val="952104991"/>
      </c:lineChart>
      <c:catAx>
        <c:axId val="95209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104991"/>
        <c:crosses val="autoZero"/>
        <c:auto val="1"/>
        <c:lblAlgn val="ctr"/>
        <c:lblOffset val="100"/>
        <c:noMultiLvlLbl val="0"/>
      </c:catAx>
      <c:valAx>
        <c:axId val="95210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9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4481</xdr:colOff>
      <xdr:row>27</xdr:row>
      <xdr:rowOff>67235</xdr:rowOff>
    </xdr:from>
    <xdr:to>
      <xdr:col>20</xdr:col>
      <xdr:colOff>466164</xdr:colOff>
      <xdr:row>45</xdr:row>
      <xdr:rowOff>26893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18743B1-E683-4D28-AD29-4A88E0576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556260</xdr:colOff>
      <xdr:row>25</xdr:row>
      <xdr:rowOff>38100</xdr:rowOff>
    </xdr:from>
    <xdr:to>
      <xdr:col>15</xdr:col>
      <xdr:colOff>251460</xdr:colOff>
      <xdr:row>40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DFB26A8-D62F-4638-B906-4E901DCC47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42"/>
  <sheetViews>
    <sheetView tabSelected="1" zoomScale="85" zoomScaleNormal="85" workbookViewId="0">
      <selection activeCell="B27" sqref="B27"/>
    </sheetView>
  </sheetViews>
  <sheetFormatPr defaultRowHeight="14.4" x14ac:dyDescent="0.3"/>
  <cols>
    <col min="3" max="3" width="12.5546875" bestFit="1" customWidth="1"/>
  </cols>
  <sheetData>
    <row r="1" spans="1:19" x14ac:dyDescent="0.3">
      <c r="A1" s="7">
        <v>12</v>
      </c>
      <c r="B1" s="7">
        <v>6</v>
      </c>
      <c r="C1" s="7">
        <v>8</v>
      </c>
      <c r="D1" s="7">
        <v>6</v>
      </c>
      <c r="E1" s="7">
        <v>10</v>
      </c>
      <c r="F1" s="7">
        <v>11</v>
      </c>
      <c r="G1" s="7">
        <v>7</v>
      </c>
      <c r="H1" s="7">
        <v>10</v>
      </c>
      <c r="I1" s="7">
        <v>12</v>
      </c>
      <c r="J1" s="7">
        <v>8</v>
      </c>
      <c r="K1" s="7">
        <v>7</v>
      </c>
      <c r="L1" s="7">
        <v>7</v>
      </c>
      <c r="M1" s="7">
        <v>6</v>
      </c>
      <c r="N1" s="7">
        <v>7</v>
      </c>
      <c r="O1" s="7">
        <v>8</v>
      </c>
      <c r="P1" s="7">
        <v>6</v>
      </c>
      <c r="Q1" s="7">
        <v>11</v>
      </c>
      <c r="R1" s="7">
        <v>9</v>
      </c>
      <c r="S1" s="8"/>
    </row>
    <row r="2" spans="1:19" x14ac:dyDescent="0.3">
      <c r="A2" s="7">
        <v>11</v>
      </c>
      <c r="B2" s="7">
        <v>9</v>
      </c>
      <c r="C2" s="7">
        <v>10</v>
      </c>
      <c r="D2" s="7">
        <v>11</v>
      </c>
      <c r="E2" s="7">
        <v>9</v>
      </c>
      <c r="F2" s="7">
        <v>10</v>
      </c>
      <c r="G2" s="7">
        <v>7</v>
      </c>
      <c r="H2" s="7">
        <v>8</v>
      </c>
      <c r="I2" s="7">
        <v>8</v>
      </c>
      <c r="J2" s="7">
        <v>8</v>
      </c>
      <c r="K2" s="7">
        <v>11</v>
      </c>
      <c r="L2" s="7">
        <v>9</v>
      </c>
      <c r="M2" s="7">
        <v>8</v>
      </c>
      <c r="N2" s="7">
        <v>7</v>
      </c>
      <c r="O2" s="7">
        <v>5</v>
      </c>
      <c r="P2" s="7">
        <v>9</v>
      </c>
      <c r="Q2" s="7">
        <v>7</v>
      </c>
      <c r="R2" s="7">
        <v>7</v>
      </c>
      <c r="S2" s="8"/>
    </row>
    <row r="3" spans="1:19" x14ac:dyDescent="0.3">
      <c r="A3" s="7">
        <v>14</v>
      </c>
      <c r="B3" s="7">
        <v>11</v>
      </c>
      <c r="C3" s="7">
        <v>9</v>
      </c>
      <c r="D3" s="7">
        <v>8</v>
      </c>
      <c r="E3" s="7">
        <v>7</v>
      </c>
      <c r="F3" s="7">
        <v>4</v>
      </c>
      <c r="G3" s="7">
        <v>7</v>
      </c>
      <c r="H3" s="7">
        <v>5</v>
      </c>
      <c r="I3" s="7">
        <v>5</v>
      </c>
      <c r="J3" s="7">
        <v>10</v>
      </c>
      <c r="K3" s="7">
        <v>7</v>
      </c>
      <c r="L3" s="7">
        <v>7</v>
      </c>
      <c r="M3" s="7">
        <v>5</v>
      </c>
      <c r="N3" s="7">
        <v>8</v>
      </c>
      <c r="O3" s="7">
        <v>10</v>
      </c>
      <c r="P3" s="7">
        <v>10</v>
      </c>
      <c r="Q3" s="7">
        <v>15</v>
      </c>
      <c r="R3" s="7">
        <v>10</v>
      </c>
      <c r="S3" s="8"/>
    </row>
    <row r="4" spans="1:19" x14ac:dyDescent="0.3">
      <c r="A4" s="7">
        <v>10</v>
      </c>
      <c r="B4" s="7">
        <v>13</v>
      </c>
      <c r="C4" s="7">
        <v>12</v>
      </c>
      <c r="D4" s="7">
        <v>11</v>
      </c>
      <c r="E4" s="7">
        <v>15</v>
      </c>
      <c r="F4" s="7">
        <v>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/>
    </row>
    <row r="5" spans="1:19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ht="15.6" x14ac:dyDescent="0.3">
      <c r="A6" s="15" t="s">
        <v>0</v>
      </c>
      <c r="B6" s="15" t="s">
        <v>16</v>
      </c>
      <c r="C6" s="15" t="s">
        <v>17</v>
      </c>
      <c r="D6" s="15" t="s">
        <v>1</v>
      </c>
      <c r="E6" s="15" t="s">
        <v>18</v>
      </c>
      <c r="F6" s="15" t="s">
        <v>29</v>
      </c>
      <c r="G6" s="15" t="s">
        <v>30</v>
      </c>
      <c r="H6" s="20" t="s">
        <v>19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x14ac:dyDescent="0.3">
      <c r="A7" s="7">
        <v>60</v>
      </c>
      <c r="B7" s="7">
        <f>MIN(A1:Q4)</f>
        <v>4</v>
      </c>
      <c r="C7" s="7">
        <f>MAX(A1:Q4)</f>
        <v>15</v>
      </c>
      <c r="D7" s="7">
        <f>ROUND(1+1.4*LN(60),2)</f>
        <v>6.73</v>
      </c>
      <c r="E7" s="7">
        <v>4</v>
      </c>
      <c r="F7" s="7">
        <v>16</v>
      </c>
      <c r="G7" s="7">
        <v>4</v>
      </c>
      <c r="H7" s="7">
        <f>ROUND((F7-E7)/D8,2)</f>
        <v>1.71</v>
      </c>
      <c r="I7" s="9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x14ac:dyDescent="0.3">
      <c r="A8" s="8"/>
      <c r="B8" s="8"/>
      <c r="C8" s="9"/>
      <c r="D8" s="10">
        <f>ROUND(D7,0)</f>
        <v>7</v>
      </c>
      <c r="E8" s="9"/>
      <c r="F8" s="8"/>
      <c r="G8" s="9"/>
      <c r="H8" s="9"/>
      <c r="I8" s="9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 x14ac:dyDescent="0.3">
      <c r="A9" s="8"/>
      <c r="B9" s="8"/>
      <c r="C9" s="9"/>
      <c r="D9" s="9"/>
      <c r="E9" s="9"/>
      <c r="F9" s="9"/>
      <c r="G9" s="9"/>
      <c r="H9" s="9"/>
      <c r="I9" s="9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ht="15.6" x14ac:dyDescent="0.3">
      <c r="A10" s="15" t="s">
        <v>20</v>
      </c>
      <c r="B10" s="7" t="s">
        <v>3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ht="15.6" x14ac:dyDescent="0.3">
      <c r="A11" s="15" t="s">
        <v>21</v>
      </c>
      <c r="B11" s="7">
        <f>COUNTIFS(A1:R4,"&gt;=4",A1:R4,"&lt;5,7")</f>
        <v>0</v>
      </c>
      <c r="C11" s="7">
        <f>COUNTIFS(A1:S4,"&gt;=5,7",A1:S4,"&lt;7,4")</f>
        <v>0</v>
      </c>
      <c r="D11" s="7">
        <f>COUNTIFS(A1:S4,"&gt;=7,4",A1:S4,"&lt;9,1")</f>
        <v>0</v>
      </c>
      <c r="E11" s="7">
        <f>COUNTIFS(A1:S4,"&gt;=9,1",A1:S4,"&lt;10,9")</f>
        <v>0</v>
      </c>
      <c r="F11" s="7">
        <f>COUNTIFS(A1:S4,"&gt;=10,9",A1:S4,"&lt;12,6")</f>
        <v>0</v>
      </c>
      <c r="G11" s="7">
        <f>COUNTIFS(A1:S4,"&gt;=12,6",A1:S4,"&lt;14,3")</f>
        <v>0</v>
      </c>
      <c r="H11" s="7">
        <f>COUNTIFS(A1:S4,"&gt;=14,3",A1:S4,"&lt;16")</f>
        <v>0</v>
      </c>
      <c r="I11" s="7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ht="15.6" x14ac:dyDescent="0.3">
      <c r="A12" s="15" t="s">
        <v>22</v>
      </c>
      <c r="B12" s="7">
        <v>4</v>
      </c>
      <c r="C12" s="7">
        <v>5.7</v>
      </c>
      <c r="D12" s="7">
        <v>7.4</v>
      </c>
      <c r="E12" s="7">
        <v>9.1</v>
      </c>
      <c r="F12" s="7">
        <v>10.9</v>
      </c>
      <c r="G12" s="7">
        <v>12.6</v>
      </c>
      <c r="H12" s="7">
        <v>14.3</v>
      </c>
      <c r="I12" s="7">
        <v>16</v>
      </c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ht="15.6" x14ac:dyDescent="0.3">
      <c r="A13" s="15" t="s">
        <v>23</v>
      </c>
      <c r="B13" s="7">
        <f>0/60</f>
        <v>0</v>
      </c>
      <c r="C13" s="14">
        <f>B11/60</f>
        <v>0</v>
      </c>
      <c r="D13" s="14">
        <f>SUM(B11:C11)/60</f>
        <v>0</v>
      </c>
      <c r="E13" s="14">
        <f>SUM(B11:D11)/60</f>
        <v>0</v>
      </c>
      <c r="F13" s="14">
        <f>SUM(B11:E11)/60</f>
        <v>0</v>
      </c>
      <c r="G13" s="14">
        <f>SUM(B11:F11)/60</f>
        <v>0</v>
      </c>
      <c r="H13" s="14">
        <f>SUM(B11:G11)/60</f>
        <v>0</v>
      </c>
      <c r="I13" s="7">
        <f>SUM(B11:H11)/60</f>
        <v>0</v>
      </c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 ht="15.6" x14ac:dyDescent="0.3">
      <c r="A14" s="15" t="s">
        <v>20</v>
      </c>
      <c r="B14" s="7" t="s">
        <v>3</v>
      </c>
      <c r="C14" s="7" t="s">
        <v>4</v>
      </c>
      <c r="D14" s="7" t="s">
        <v>5</v>
      </c>
      <c r="E14" s="7" t="s">
        <v>6</v>
      </c>
      <c r="F14" s="7" t="s">
        <v>7</v>
      </c>
      <c r="G14" s="7" t="s">
        <v>8</v>
      </c>
      <c r="H14" s="7" t="s">
        <v>9</v>
      </c>
      <c r="I14" s="7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19" ht="15.6" x14ac:dyDescent="0.3">
      <c r="A15" s="15" t="s">
        <v>31</v>
      </c>
      <c r="B15" s="7">
        <f>B11/(60*$H$7)</f>
        <v>0</v>
      </c>
      <c r="C15" s="7">
        <f>ROUND(C11/(60*$H$7),2)</f>
        <v>0</v>
      </c>
      <c r="D15" s="7">
        <f>ROUND(D11/(60*$H$7),2)</f>
        <v>0</v>
      </c>
      <c r="E15" s="7">
        <f>ROUND(E11/(60*$H$7),2)</f>
        <v>0</v>
      </c>
      <c r="F15" s="7">
        <f>ROUND(F11/(60*$H$7),2)</f>
        <v>0</v>
      </c>
      <c r="G15" s="7">
        <f>ROUND(G11/(60*$H$7),2)</f>
        <v>0</v>
      </c>
      <c r="H15" s="7">
        <f>ROUND(H11/(60*$H$7),2)</f>
        <v>0</v>
      </c>
      <c r="I15" s="7"/>
      <c r="J15" s="11"/>
      <c r="K15" s="8"/>
      <c r="L15" s="8"/>
      <c r="M15" s="8"/>
      <c r="N15" s="8"/>
      <c r="O15" s="8"/>
      <c r="P15" s="8"/>
      <c r="Q15" s="8"/>
      <c r="R15" s="8"/>
      <c r="S15" s="8"/>
    </row>
    <row r="16" spans="1:19" x14ac:dyDescent="0.3">
      <c r="A16" s="16" t="s">
        <v>2</v>
      </c>
      <c r="B16" s="13">
        <v>4</v>
      </c>
      <c r="C16" s="13">
        <v>5</v>
      </c>
      <c r="D16" s="13">
        <v>6</v>
      </c>
      <c r="E16" s="13">
        <v>7</v>
      </c>
      <c r="F16" s="13">
        <v>8</v>
      </c>
      <c r="G16" s="13">
        <v>9</v>
      </c>
      <c r="H16" s="13">
        <v>10</v>
      </c>
      <c r="I16" s="13">
        <v>11</v>
      </c>
      <c r="J16" s="13">
        <v>12</v>
      </c>
      <c r="K16" s="13">
        <v>13</v>
      </c>
      <c r="L16" s="13">
        <v>14</v>
      </c>
      <c r="M16" s="13">
        <v>15</v>
      </c>
      <c r="N16" s="8"/>
      <c r="O16" s="8"/>
      <c r="P16" s="8"/>
      <c r="Q16" s="8"/>
      <c r="R16" s="8"/>
      <c r="S16" s="8"/>
    </row>
    <row r="17" spans="1:61" x14ac:dyDescent="0.3">
      <c r="A17" s="15" t="s">
        <v>10</v>
      </c>
      <c r="B17" s="13">
        <v>1</v>
      </c>
      <c r="C17" s="13">
        <v>4</v>
      </c>
      <c r="D17" s="13">
        <v>5</v>
      </c>
      <c r="E17" s="13">
        <v>12</v>
      </c>
      <c r="F17" s="13">
        <v>9</v>
      </c>
      <c r="G17" s="13">
        <v>6</v>
      </c>
      <c r="H17" s="13">
        <v>9</v>
      </c>
      <c r="I17" s="13">
        <v>7</v>
      </c>
      <c r="J17" s="13">
        <v>3</v>
      </c>
      <c r="K17" s="13">
        <v>1</v>
      </c>
      <c r="L17" s="13">
        <v>1</v>
      </c>
      <c r="M17" s="13">
        <v>2</v>
      </c>
      <c r="N17" s="8"/>
      <c r="O17" s="8"/>
      <c r="P17" s="8"/>
      <c r="Q17" s="8"/>
      <c r="R17" s="8"/>
      <c r="S17" s="8"/>
    </row>
    <row r="18" spans="1:61" x14ac:dyDescent="0.3">
      <c r="A18" s="17" t="s">
        <v>11</v>
      </c>
      <c r="B18" s="13">
        <f>B16*B17</f>
        <v>4</v>
      </c>
      <c r="C18" s="13">
        <f>C16*C17</f>
        <v>20</v>
      </c>
      <c r="D18" s="13">
        <f>D16*D17</f>
        <v>30</v>
      </c>
      <c r="E18" s="13">
        <f>E16*E17</f>
        <v>84</v>
      </c>
      <c r="F18" s="13">
        <f>F16*F17</f>
        <v>72</v>
      </c>
      <c r="G18" s="13">
        <f>G16*G17</f>
        <v>54</v>
      </c>
      <c r="H18" s="13">
        <f>H16*H17</f>
        <v>90</v>
      </c>
      <c r="I18" s="13">
        <f>I16*I17</f>
        <v>77</v>
      </c>
      <c r="J18" s="13">
        <f>J16*J17</f>
        <v>36</v>
      </c>
      <c r="K18" s="13">
        <f>K16*K17</f>
        <v>13</v>
      </c>
      <c r="L18" s="13">
        <f>L16*L17</f>
        <v>14</v>
      </c>
      <c r="M18" s="13">
        <f>M16*M17</f>
        <v>30</v>
      </c>
      <c r="N18" s="8"/>
      <c r="O18" s="8"/>
      <c r="P18" s="8"/>
      <c r="Q18" s="8"/>
      <c r="R18" s="8"/>
      <c r="S18" s="8"/>
    </row>
    <row r="19" spans="1:61" ht="16.2" x14ac:dyDescent="0.3">
      <c r="A19" s="15" t="s">
        <v>24</v>
      </c>
      <c r="B19" s="1">
        <f>POWER(B16-$C$29,2)</f>
        <v>22.404444444444437</v>
      </c>
      <c r="C19" s="1">
        <f>POWER(C16-$C$29,2)</f>
        <v>13.937777777777772</v>
      </c>
      <c r="D19" s="1">
        <f>POWER(D16-$C$29,2)</f>
        <v>7.4711111111111066</v>
      </c>
      <c r="E19" s="1">
        <f>POWER(E16-$C$29,2)</f>
        <v>3.0044444444444416</v>
      </c>
      <c r="F19" s="1">
        <f>POWER(F16-$C$29,2)</f>
        <v>0.53777777777777658</v>
      </c>
      <c r="G19" s="1">
        <f>POWER(G16-$C$29,2)</f>
        <v>7.1111111111111555E-2</v>
      </c>
      <c r="H19" s="1">
        <f>POWER(H16-$C$29,2)</f>
        <v>1.6044444444444466</v>
      </c>
      <c r="I19" s="1">
        <f>POWER(I16-$C$29,2)</f>
        <v>5.1377777777777816</v>
      </c>
      <c r="J19" s="1">
        <f>POWER(J16-$C$29,2)</f>
        <v>10.671111111111117</v>
      </c>
      <c r="K19" s="1">
        <f>POWER(K16-$C$29,2)</f>
        <v>18.204444444444452</v>
      </c>
      <c r="L19" s="1">
        <f>POWER(L16-$C$29,2)</f>
        <v>27.737777777777787</v>
      </c>
      <c r="M19" s="1">
        <f>POWER(M16-$C$29,2)</f>
        <v>39.271111111111118</v>
      </c>
      <c r="N19" s="8"/>
      <c r="O19" s="8"/>
      <c r="P19" s="8"/>
      <c r="Q19" s="8"/>
      <c r="R19" s="8"/>
      <c r="S19" s="8"/>
    </row>
    <row r="20" spans="1:61" x14ac:dyDescent="0.3">
      <c r="A20" s="15" t="s">
        <v>12</v>
      </c>
      <c r="B20" s="1">
        <f>B19*B17</f>
        <v>22.404444444444437</v>
      </c>
      <c r="C20" s="1">
        <f>C19*C17</f>
        <v>55.751111111111086</v>
      </c>
      <c r="D20" s="1">
        <f>D19*D17</f>
        <v>37.355555555555533</v>
      </c>
      <c r="E20" s="1">
        <f>E19*E17</f>
        <v>36.053333333333299</v>
      </c>
      <c r="F20" s="1">
        <f>F19*F17</f>
        <v>4.8399999999999892</v>
      </c>
      <c r="G20" s="1">
        <f>G19*G17</f>
        <v>0.4266666666666693</v>
      </c>
      <c r="H20" s="1">
        <f>H19*H17</f>
        <v>14.440000000000019</v>
      </c>
      <c r="I20" s="1">
        <f>I19*I17</f>
        <v>35.964444444444467</v>
      </c>
      <c r="J20" s="1">
        <f>J19*J17</f>
        <v>32.01333333333335</v>
      </c>
      <c r="K20" s="1">
        <f>K19*K17</f>
        <v>18.204444444444452</v>
      </c>
      <c r="L20" s="1">
        <f>L19*L17</f>
        <v>27.737777777777787</v>
      </c>
      <c r="M20" s="1">
        <f>M19*M17</f>
        <v>78.542222222222236</v>
      </c>
    </row>
    <row r="21" spans="1:61" x14ac:dyDescent="0.3">
      <c r="A21" s="18" t="s">
        <v>33</v>
      </c>
      <c r="B21" s="1">
        <v>12</v>
      </c>
      <c r="C21" s="1">
        <v>6</v>
      </c>
      <c r="D21" s="1">
        <v>8</v>
      </c>
      <c r="E21" s="1">
        <v>6</v>
      </c>
      <c r="F21" s="1">
        <v>10</v>
      </c>
      <c r="G21" s="1">
        <v>11</v>
      </c>
      <c r="H21" s="1">
        <v>7</v>
      </c>
      <c r="I21" s="1">
        <v>10</v>
      </c>
      <c r="J21" s="1">
        <v>12</v>
      </c>
      <c r="K21" s="1">
        <v>8</v>
      </c>
      <c r="L21" s="1">
        <v>7</v>
      </c>
      <c r="M21" s="1">
        <v>7</v>
      </c>
      <c r="N21" s="1">
        <v>6</v>
      </c>
      <c r="O21" s="1">
        <v>7</v>
      </c>
      <c r="P21" s="1">
        <v>8</v>
      </c>
      <c r="Q21" s="1">
        <v>6</v>
      </c>
      <c r="R21" s="1">
        <v>11</v>
      </c>
      <c r="S21" s="1">
        <v>9</v>
      </c>
      <c r="T21" s="1">
        <v>11</v>
      </c>
      <c r="U21" s="1">
        <v>9</v>
      </c>
      <c r="V21" s="1">
        <v>10</v>
      </c>
      <c r="W21" s="1">
        <v>11</v>
      </c>
      <c r="X21" s="1">
        <v>9</v>
      </c>
      <c r="Y21" s="1">
        <v>10</v>
      </c>
      <c r="Z21" s="1">
        <v>7</v>
      </c>
      <c r="AA21" s="1">
        <v>8</v>
      </c>
      <c r="AB21" s="1">
        <v>8</v>
      </c>
      <c r="AC21" s="1">
        <v>8</v>
      </c>
      <c r="AD21" s="1">
        <v>11</v>
      </c>
      <c r="AE21" s="1">
        <v>9</v>
      </c>
      <c r="AF21" s="1">
        <v>8</v>
      </c>
      <c r="AG21" s="1">
        <v>7</v>
      </c>
      <c r="AH21" s="1">
        <v>5</v>
      </c>
      <c r="AI21" s="1">
        <v>9</v>
      </c>
      <c r="AJ21" s="1">
        <v>7</v>
      </c>
      <c r="AK21" s="1">
        <v>7</v>
      </c>
      <c r="AL21" s="1">
        <v>14</v>
      </c>
      <c r="AM21" s="1">
        <v>11</v>
      </c>
      <c r="AN21" s="1">
        <v>9</v>
      </c>
      <c r="AO21" s="1">
        <v>8</v>
      </c>
      <c r="AP21" s="1">
        <v>7</v>
      </c>
      <c r="AQ21" s="1">
        <v>4</v>
      </c>
      <c r="AR21" s="1">
        <v>7</v>
      </c>
      <c r="AS21" s="1">
        <v>5</v>
      </c>
      <c r="AT21" s="1">
        <v>5</v>
      </c>
      <c r="AU21" s="1">
        <v>10</v>
      </c>
      <c r="AV21" s="1">
        <v>7</v>
      </c>
      <c r="AW21" s="1">
        <v>7</v>
      </c>
      <c r="AX21" s="1">
        <v>5</v>
      </c>
      <c r="AY21" s="1">
        <v>8</v>
      </c>
      <c r="AZ21" s="1">
        <v>10</v>
      </c>
      <c r="BA21" s="1">
        <v>10</v>
      </c>
      <c r="BB21" s="1">
        <v>15</v>
      </c>
      <c r="BC21" s="1">
        <v>10</v>
      </c>
      <c r="BD21" s="1">
        <v>10</v>
      </c>
      <c r="BE21" s="1">
        <v>13</v>
      </c>
      <c r="BF21" s="1">
        <v>12</v>
      </c>
      <c r="BG21" s="1">
        <v>11</v>
      </c>
      <c r="BH21" s="1">
        <v>15</v>
      </c>
      <c r="BI21" s="1">
        <v>6</v>
      </c>
    </row>
    <row r="22" spans="1:61" x14ac:dyDescent="0.3">
      <c r="A22" s="15" t="s">
        <v>14</v>
      </c>
      <c r="B22" s="1">
        <f>A1-$C$29</f>
        <v>3.2666666666666675</v>
      </c>
      <c r="C22" s="1">
        <f>B1-$C$29</f>
        <v>-2.7333333333333325</v>
      </c>
      <c r="D22" s="1">
        <f>C1-$C$29</f>
        <v>-0.7333333333333325</v>
      </c>
      <c r="E22" s="1">
        <f>D1-$C$29</f>
        <v>-2.7333333333333325</v>
      </c>
      <c r="F22" s="1">
        <f>E1-$C$29</f>
        <v>1.2666666666666675</v>
      </c>
      <c r="G22" s="1">
        <f>F1-$C$29</f>
        <v>2.2666666666666675</v>
      </c>
      <c r="H22" s="1">
        <f>G1-$C$29</f>
        <v>-1.7333333333333325</v>
      </c>
      <c r="I22" s="1">
        <f>H1-$C$29</f>
        <v>1.2666666666666675</v>
      </c>
      <c r="J22" s="1">
        <f>I1-$C$29</f>
        <v>3.2666666666666675</v>
      </c>
      <c r="K22" s="1">
        <f>J1-$C$29</f>
        <v>-0.7333333333333325</v>
      </c>
      <c r="L22" s="1">
        <f>K1-$C$29</f>
        <v>-1.7333333333333325</v>
      </c>
      <c r="M22" s="1">
        <f>L1-$C$29</f>
        <v>-1.7333333333333325</v>
      </c>
      <c r="N22" s="1">
        <f>M1-$C$29</f>
        <v>-2.7333333333333325</v>
      </c>
      <c r="O22" s="1">
        <f>N1-$C$29</f>
        <v>-1.7333333333333325</v>
      </c>
      <c r="P22" s="1">
        <f>O1-$C$29</f>
        <v>-0.7333333333333325</v>
      </c>
      <c r="Q22" s="1">
        <f>P1-$C$29</f>
        <v>-2.7333333333333325</v>
      </c>
      <c r="R22" s="1">
        <f>Q1-$C$29</f>
        <v>2.2666666666666675</v>
      </c>
      <c r="S22" s="1">
        <f>R1-$C$29</f>
        <v>0.2666666666666675</v>
      </c>
      <c r="T22" s="1">
        <f>A2-$C$29</f>
        <v>2.2666666666666675</v>
      </c>
      <c r="U22" s="1">
        <f>B2-$C$29</f>
        <v>0.2666666666666675</v>
      </c>
      <c r="V22" s="1">
        <f>C2-$C$29</f>
        <v>1.2666666666666675</v>
      </c>
      <c r="W22" s="1">
        <f>D2-$C$29</f>
        <v>2.2666666666666675</v>
      </c>
      <c r="X22" s="1">
        <f>E2-$C$29</f>
        <v>0.2666666666666675</v>
      </c>
      <c r="Y22" s="1">
        <f>F2-$C$29</f>
        <v>1.2666666666666675</v>
      </c>
      <c r="Z22" s="1">
        <f>G2-$C$29</f>
        <v>-1.7333333333333325</v>
      </c>
      <c r="AA22" s="1">
        <f>H2-$C$29</f>
        <v>-0.7333333333333325</v>
      </c>
      <c r="AB22" s="1">
        <f>I2-$C$29</f>
        <v>-0.7333333333333325</v>
      </c>
      <c r="AC22" s="1">
        <f>J2-$C$29</f>
        <v>-0.7333333333333325</v>
      </c>
      <c r="AD22" s="1">
        <f>K2-$C$29</f>
        <v>2.2666666666666675</v>
      </c>
      <c r="AE22" s="1">
        <f>L2-$C$29</f>
        <v>0.2666666666666675</v>
      </c>
      <c r="AF22" s="1">
        <f>M2-$C$29</f>
        <v>-0.7333333333333325</v>
      </c>
      <c r="AG22" s="1">
        <f>N2-$C$29</f>
        <v>-1.7333333333333325</v>
      </c>
      <c r="AH22" s="1">
        <f>O2-$C$29</f>
        <v>-3.7333333333333325</v>
      </c>
      <c r="AI22" s="1">
        <f>P2-$C$29</f>
        <v>0.2666666666666675</v>
      </c>
      <c r="AJ22" s="1">
        <f>Q2-$C$29</f>
        <v>-1.7333333333333325</v>
      </c>
      <c r="AK22" s="1">
        <f>R2-$C$29</f>
        <v>-1.7333333333333325</v>
      </c>
      <c r="AL22" s="1">
        <f>A3-$C$29</f>
        <v>5.2666666666666675</v>
      </c>
      <c r="AM22" s="1">
        <f>B3-$C$29</f>
        <v>2.2666666666666675</v>
      </c>
      <c r="AN22" s="1">
        <f>C3-$C$29</f>
        <v>0.2666666666666675</v>
      </c>
      <c r="AO22" s="1">
        <f>D3-$C$29</f>
        <v>-0.7333333333333325</v>
      </c>
      <c r="AP22" s="1">
        <f>E3-$C$29</f>
        <v>-1.7333333333333325</v>
      </c>
      <c r="AQ22" s="1">
        <f>F3-$C$29</f>
        <v>-4.7333333333333325</v>
      </c>
      <c r="AR22" s="1">
        <f>G3-$C$29</f>
        <v>-1.7333333333333325</v>
      </c>
      <c r="AS22" s="1">
        <f>H3-$C$29</f>
        <v>-3.7333333333333325</v>
      </c>
      <c r="AT22" s="1">
        <f>I3-$C$29</f>
        <v>-3.7333333333333325</v>
      </c>
      <c r="AU22" s="1">
        <f>J3-$C$29</f>
        <v>1.2666666666666675</v>
      </c>
      <c r="AV22" s="1">
        <f>K3-$C$29</f>
        <v>-1.7333333333333325</v>
      </c>
      <c r="AW22" s="1">
        <f>L3-$C$29</f>
        <v>-1.7333333333333325</v>
      </c>
      <c r="AX22" s="1">
        <f>M3-$C$29</f>
        <v>-3.7333333333333325</v>
      </c>
      <c r="AY22" s="1">
        <f>N3-$C$29</f>
        <v>-0.7333333333333325</v>
      </c>
      <c r="AZ22" s="1">
        <f>O3-$C$29</f>
        <v>1.2666666666666675</v>
      </c>
      <c r="BA22" s="1">
        <f>P3-$C$29</f>
        <v>1.2666666666666675</v>
      </c>
      <c r="BB22" s="1">
        <f>Q3-$C$29</f>
        <v>6.2666666666666675</v>
      </c>
      <c r="BC22" s="1">
        <f>R3-$C$29</f>
        <v>1.2666666666666675</v>
      </c>
      <c r="BD22" s="1">
        <f>A4-$C$29</f>
        <v>1.2666666666666675</v>
      </c>
      <c r="BE22" s="1">
        <f>B4-$C$29</f>
        <v>4.2666666666666675</v>
      </c>
      <c r="BF22" s="1">
        <f>C4-$C$29</f>
        <v>3.2666666666666675</v>
      </c>
      <c r="BG22" s="1">
        <f>D4-$C$29</f>
        <v>2.2666666666666675</v>
      </c>
      <c r="BH22" s="1">
        <f>E4-$C$29</f>
        <v>6.2666666666666675</v>
      </c>
      <c r="BI22" s="1">
        <f>F4-$C$29</f>
        <v>-2.7333333333333325</v>
      </c>
    </row>
    <row r="23" spans="1:61" ht="16.2" x14ac:dyDescent="0.3">
      <c r="A23" s="15" t="s">
        <v>25</v>
      </c>
      <c r="B23" s="1">
        <f>B16-$C$29</f>
        <v>-4.7333333333333325</v>
      </c>
      <c r="C23" s="1">
        <f>C16-$C$29</f>
        <v>-3.7333333333333325</v>
      </c>
      <c r="D23" s="1">
        <f>D16-$C$29</f>
        <v>-2.7333333333333325</v>
      </c>
      <c r="E23" s="1">
        <f>E16-$C$29</f>
        <v>-1.7333333333333325</v>
      </c>
      <c r="F23" s="1">
        <f>F16-$C$29</f>
        <v>-0.7333333333333325</v>
      </c>
      <c r="G23" s="1">
        <f>G16-$C$29</f>
        <v>0.2666666666666675</v>
      </c>
      <c r="H23" s="1">
        <f>H16-$C$29</f>
        <v>1.2666666666666675</v>
      </c>
      <c r="I23" s="1">
        <f>I16-$C$29</f>
        <v>2.2666666666666675</v>
      </c>
      <c r="J23" s="1">
        <f>J16-$C$29</f>
        <v>3.2666666666666675</v>
      </c>
      <c r="K23" s="1">
        <f>K16-$C$29</f>
        <v>4.2666666666666675</v>
      </c>
      <c r="L23" s="1">
        <f>L16-$C$29</f>
        <v>5.2666666666666675</v>
      </c>
      <c r="M23" s="1">
        <f>M16-$C$29</f>
        <v>6.2666666666666675</v>
      </c>
    </row>
    <row r="24" spans="1:61" ht="16.2" x14ac:dyDescent="0.3">
      <c r="A24" s="15" t="s">
        <v>26</v>
      </c>
      <c r="B24" s="1">
        <f>POWER(B23,4)</f>
        <v>501.95913086419716</v>
      </c>
      <c r="C24" s="1">
        <f t="shared" ref="C24:M24" si="0">POWER(C23,4)</f>
        <v>194.26164938271589</v>
      </c>
      <c r="D24" s="1">
        <f t="shared" si="0"/>
        <v>55.817501234567835</v>
      </c>
      <c r="E24" s="1">
        <f t="shared" si="0"/>
        <v>9.0266864197530694</v>
      </c>
      <c r="F24" s="1">
        <f t="shared" si="0"/>
        <v>0.28920493827160365</v>
      </c>
      <c r="G24" s="1">
        <f t="shared" si="0"/>
        <v>5.0567901234568535E-3</v>
      </c>
      <c r="H24" s="1">
        <f t="shared" si="0"/>
        <v>2.5742419753086487</v>
      </c>
      <c r="I24" s="1">
        <f t="shared" si="0"/>
        <v>26.396760493827198</v>
      </c>
      <c r="J24" s="1">
        <f t="shared" si="0"/>
        <v>113.87261234567913</v>
      </c>
      <c r="K24" s="1">
        <f t="shared" si="0"/>
        <v>331.40179753086443</v>
      </c>
      <c r="L24" s="1">
        <f t="shared" si="0"/>
        <v>769.38431604938319</v>
      </c>
      <c r="M24" s="1">
        <f t="shared" si="0"/>
        <v>1542.2201679012351</v>
      </c>
    </row>
    <row r="25" spans="1:61" ht="16.2" x14ac:dyDescent="0.3">
      <c r="A25" s="15" t="s">
        <v>27</v>
      </c>
      <c r="B25" s="1">
        <f>B24*B17</f>
        <v>501.95913086419716</v>
      </c>
      <c r="C25" s="1">
        <f>C24*C17</f>
        <v>777.04659753086355</v>
      </c>
      <c r="D25" s="1">
        <f>D24*D17</f>
        <v>279.0875061728392</v>
      </c>
      <c r="E25" s="1">
        <f>E24*E17</f>
        <v>108.32023703703683</v>
      </c>
      <c r="F25" s="1">
        <f>F24*F17</f>
        <v>2.602844444444433</v>
      </c>
      <c r="G25" s="1">
        <f>G24*G17</f>
        <v>3.0340740740741119E-2</v>
      </c>
      <c r="H25" s="1">
        <f>H24*H17</f>
        <v>23.168177777777839</v>
      </c>
      <c r="I25" s="1">
        <f>I24*I17</f>
        <v>184.77732345679038</v>
      </c>
      <c r="J25" s="1">
        <f>J24*J17</f>
        <v>341.61783703703736</v>
      </c>
      <c r="K25" s="1">
        <f>K24*K17</f>
        <v>331.40179753086443</v>
      </c>
      <c r="L25" s="1">
        <f>L24*L17</f>
        <v>769.38431604938319</v>
      </c>
      <c r="M25" s="1">
        <f>M24*M17</f>
        <v>3084.4403358024701</v>
      </c>
    </row>
    <row r="26" spans="1:61" ht="15.6" x14ac:dyDescent="0.3">
      <c r="A26" s="19" t="s">
        <v>28</v>
      </c>
      <c r="B26" s="3">
        <f>(SUM(B25:M25))/SUM(B17:M17)</f>
        <v>106.73060740740742</v>
      </c>
    </row>
    <row r="27" spans="1:61" x14ac:dyDescent="0.3">
      <c r="A27" s="21" t="s">
        <v>32</v>
      </c>
      <c r="B27" s="1">
        <f>E16</f>
        <v>7</v>
      </c>
    </row>
    <row r="29" spans="1:61" ht="72" customHeight="1" x14ac:dyDescent="0.3">
      <c r="A29" s="22" t="s">
        <v>34</v>
      </c>
      <c r="B29" s="22"/>
      <c r="C29" s="1">
        <f>(1/$A$7)*SUM(B18:M18)</f>
        <v>8.7333333333333325</v>
      </c>
    </row>
    <row r="30" spans="1:61" x14ac:dyDescent="0.3">
      <c r="A30" s="2"/>
      <c r="B30" s="2"/>
    </row>
    <row r="31" spans="1:61" ht="72" customHeight="1" x14ac:dyDescent="0.3">
      <c r="A31" s="22" t="s">
        <v>35</v>
      </c>
      <c r="B31" s="22"/>
      <c r="C31" s="7">
        <f>(SUM(B20:M20)/SUM(B17:M17))</f>
        <v>6.0622222222222222</v>
      </c>
      <c r="E31" s="22" t="s">
        <v>36</v>
      </c>
      <c r="F31" s="22"/>
      <c r="G31" s="7">
        <f>SQRT(C31)</f>
        <v>2.462158041682585</v>
      </c>
    </row>
    <row r="33" spans="1:61" ht="14.4" customHeight="1" x14ac:dyDescent="0.3">
      <c r="A33" s="22" t="s">
        <v>37</v>
      </c>
      <c r="B33" s="22"/>
      <c r="C33" s="23">
        <f>(G31/C29)</f>
        <v>0.28192649332243341</v>
      </c>
    </row>
    <row r="34" spans="1:61" x14ac:dyDescent="0.3">
      <c r="A34" s="22"/>
      <c r="B34" s="22"/>
      <c r="C34" s="23"/>
    </row>
    <row r="36" spans="1:61" ht="57.6" customHeight="1" x14ac:dyDescent="0.3">
      <c r="A36" s="22" t="s">
        <v>13</v>
      </c>
      <c r="B36" s="22"/>
      <c r="C36" s="27">
        <f>(C29-B27)/G31</f>
        <v>0.70398946939604667</v>
      </c>
      <c r="E36" s="4"/>
      <c r="F36" s="4"/>
      <c r="G36" s="4"/>
      <c r="U36" s="5"/>
      <c r="V36" s="5"/>
      <c r="W36" s="5"/>
      <c r="X36" s="5"/>
    </row>
    <row r="37" spans="1:61" x14ac:dyDescent="0.3">
      <c r="E37" s="2"/>
      <c r="F37" s="2"/>
      <c r="G37" s="2"/>
    </row>
    <row r="38" spans="1:61" x14ac:dyDescent="0.3">
      <c r="A38" s="22" t="s">
        <v>15</v>
      </c>
      <c r="B38" s="22"/>
      <c r="C38" s="12">
        <f>(B26/POWER(G31,4))-3</f>
        <v>-9.5808322081853081E-2</v>
      </c>
    </row>
    <row r="40" spans="1:6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</row>
    <row r="41" spans="1:61" x14ac:dyDescent="0.3"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</row>
    <row r="42" spans="1:6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</row>
  </sheetData>
  <mergeCells count="7">
    <mergeCell ref="A36:B36"/>
    <mergeCell ref="A38:B38"/>
    <mergeCell ref="A29:B29"/>
    <mergeCell ref="A31:B31"/>
    <mergeCell ref="E31:F31"/>
    <mergeCell ref="A33:B34"/>
    <mergeCell ref="C33:C34"/>
  </mergeCells>
  <pageMargins left="0.7" right="0.7" top="0.75" bottom="0.75" header="0.3" footer="0.3"/>
  <pageSetup paperSize="9" orientation="portrait" r:id="rId1"/>
  <headerFooter>
    <oddHeader>&amp;CГневнов Артем Евгеньевич,ИВТ 2.1.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3DF63-DAB1-412F-AD16-38E90471C48E}">
  <dimension ref="A1:R39"/>
  <sheetViews>
    <sheetView topLeftCell="A16" zoomScaleNormal="100" workbookViewId="0">
      <selection activeCell="B24" sqref="B24"/>
    </sheetView>
  </sheetViews>
  <sheetFormatPr defaultRowHeight="14.4" x14ac:dyDescent="0.3"/>
  <cols>
    <col min="3" max="3" width="11.5546875" bestFit="1" customWidth="1"/>
  </cols>
  <sheetData>
    <row r="1" spans="1:18" x14ac:dyDescent="0.3">
      <c r="A1" s="7">
        <v>5</v>
      </c>
      <c r="B1" s="7">
        <v>7</v>
      </c>
      <c r="C1" s="7">
        <v>3</v>
      </c>
      <c r="D1" s="7">
        <v>9</v>
      </c>
      <c r="E1" s="7">
        <v>5</v>
      </c>
      <c r="F1" s="7">
        <v>6</v>
      </c>
      <c r="G1" s="7">
        <v>7</v>
      </c>
      <c r="H1" s="7">
        <v>8</v>
      </c>
      <c r="I1" s="7">
        <v>5</v>
      </c>
      <c r="J1" s="7">
        <v>4</v>
      </c>
    </row>
    <row r="2" spans="1:18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.6" x14ac:dyDescent="0.3">
      <c r="A3" s="15" t="s">
        <v>0</v>
      </c>
      <c r="B3" s="15" t="s">
        <v>16</v>
      </c>
      <c r="C3" s="15" t="s">
        <v>17</v>
      </c>
      <c r="D3" s="15" t="s">
        <v>1</v>
      </c>
      <c r="E3" s="15" t="s">
        <v>18</v>
      </c>
      <c r="F3" s="15" t="s">
        <v>29</v>
      </c>
      <c r="G3" s="15" t="s">
        <v>30</v>
      </c>
      <c r="H3" s="20" t="s">
        <v>19</v>
      </c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x14ac:dyDescent="0.3">
      <c r="A4" s="7">
        <v>10</v>
      </c>
      <c r="B4" s="7">
        <f>MIN(A1:J1)</f>
        <v>3</v>
      </c>
      <c r="C4" s="7">
        <f>MAX(A1:J1)</f>
        <v>9</v>
      </c>
      <c r="D4" s="7">
        <f>ROUND(1+1.4*LN(10),2)</f>
        <v>4.22</v>
      </c>
      <c r="E4" s="7">
        <v>3</v>
      </c>
      <c r="F4" s="7">
        <v>10</v>
      </c>
      <c r="G4" s="7">
        <v>4</v>
      </c>
      <c r="H4" s="7">
        <f>ROUND((F4-E4)/D5,2)</f>
        <v>1.75</v>
      </c>
      <c r="I4" s="9"/>
      <c r="J4" s="8"/>
      <c r="K4" s="8"/>
      <c r="L4" s="8"/>
      <c r="M4" s="8"/>
      <c r="N4" s="8"/>
      <c r="O4" s="8"/>
      <c r="P4" s="8"/>
      <c r="Q4" s="8"/>
      <c r="R4" s="8"/>
    </row>
    <row r="5" spans="1:18" x14ac:dyDescent="0.3">
      <c r="A5" s="8"/>
      <c r="B5" s="8"/>
      <c r="C5" s="9"/>
      <c r="D5" s="10">
        <f>ROUND(D4,0)</f>
        <v>4</v>
      </c>
      <c r="E5" s="9"/>
      <c r="F5" s="8"/>
      <c r="G5" s="9"/>
      <c r="H5" s="9"/>
      <c r="I5" s="9"/>
      <c r="J5" s="8"/>
      <c r="K5" s="8"/>
      <c r="L5" s="8"/>
      <c r="M5" s="8"/>
      <c r="N5" s="8"/>
      <c r="O5" s="8"/>
      <c r="P5" s="8"/>
      <c r="Q5" s="8"/>
      <c r="R5" s="8"/>
    </row>
    <row r="6" spans="1:18" x14ac:dyDescent="0.3">
      <c r="A6" s="8"/>
      <c r="B6" s="8"/>
      <c r="C6" s="9"/>
      <c r="D6" s="9"/>
      <c r="E6" s="9"/>
      <c r="F6" s="9"/>
      <c r="G6" s="9"/>
      <c r="H6" s="9"/>
      <c r="I6" s="9"/>
      <c r="J6" s="8"/>
      <c r="K6" s="8"/>
      <c r="L6" s="8"/>
      <c r="M6" s="8"/>
      <c r="N6" s="8"/>
      <c r="O6" s="8"/>
      <c r="P6" s="8"/>
      <c r="Q6" s="8"/>
      <c r="R6" s="8"/>
    </row>
    <row r="7" spans="1:18" ht="15.6" x14ac:dyDescent="0.3">
      <c r="A7" s="15" t="s">
        <v>20</v>
      </c>
      <c r="B7" s="7" t="s">
        <v>38</v>
      </c>
      <c r="C7" s="7" t="s">
        <v>39</v>
      </c>
      <c r="D7" s="7" t="s">
        <v>40</v>
      </c>
      <c r="E7" s="7" t="s">
        <v>41</v>
      </c>
      <c r="F7" s="8"/>
      <c r="G7" s="8"/>
      <c r="H7" s="8"/>
      <c r="I7" s="8"/>
      <c r="J7" s="8"/>
      <c r="K7" s="8"/>
      <c r="L7" s="8"/>
      <c r="M7" s="8"/>
      <c r="N7" s="8"/>
    </row>
    <row r="8" spans="1:18" ht="15.6" x14ac:dyDescent="0.3">
      <c r="A8" s="15" t="s">
        <v>21</v>
      </c>
      <c r="B8" s="7">
        <f>COUNTIFS(A1:J1,"&gt;=3",A1:J1,"&lt;4.75")</f>
        <v>2</v>
      </c>
      <c r="C8" s="7">
        <f>COUNTIFS(A1:S4,"&gt;=4.75",A1:S4,"&lt;6.5")</f>
        <v>4</v>
      </c>
      <c r="D8" s="7">
        <f>COUNTIFS(A1:S4,"&gt;=6.5",A1:S4,"&lt;8.25")</f>
        <v>3</v>
      </c>
      <c r="E8" s="7">
        <f>COUNTIFS(A1:S4,"&gt;=8.25",A1:S4,"&lt;10")</f>
        <v>2</v>
      </c>
      <c r="F8" s="8"/>
      <c r="G8" s="8"/>
      <c r="H8" s="8"/>
      <c r="I8" s="8"/>
      <c r="J8" s="8"/>
      <c r="K8" s="8"/>
      <c r="L8" s="8"/>
      <c r="M8" s="8"/>
      <c r="N8" s="8"/>
    </row>
    <row r="9" spans="1:18" ht="15.6" x14ac:dyDescent="0.3">
      <c r="A9" s="15" t="s">
        <v>22</v>
      </c>
      <c r="B9" s="7">
        <v>4</v>
      </c>
      <c r="C9" s="7">
        <v>5.7</v>
      </c>
      <c r="D9" s="7">
        <v>7.4</v>
      </c>
      <c r="E9" s="7">
        <v>9.1</v>
      </c>
      <c r="F9" s="7">
        <v>10.9</v>
      </c>
      <c r="G9" s="7">
        <v>12.6</v>
      </c>
      <c r="H9" s="7">
        <v>14.3</v>
      </c>
      <c r="I9" s="7">
        <v>16</v>
      </c>
      <c r="J9" s="8"/>
      <c r="K9" s="8"/>
      <c r="L9" s="8"/>
      <c r="M9" s="8"/>
      <c r="N9" s="8"/>
      <c r="O9" s="8"/>
      <c r="P9" s="8"/>
      <c r="Q9" s="8"/>
      <c r="R9" s="8"/>
    </row>
    <row r="10" spans="1:18" ht="15.6" x14ac:dyDescent="0.3">
      <c r="A10" s="15" t="s">
        <v>23</v>
      </c>
      <c r="B10" s="7">
        <f>0/10</f>
        <v>0</v>
      </c>
      <c r="C10" s="14">
        <f>B8/10</f>
        <v>0.2</v>
      </c>
      <c r="D10" s="14">
        <f>SUM(B8:C8)/10</f>
        <v>0.6</v>
      </c>
      <c r="E10" s="14">
        <f>SUM(B8:D8)/10</f>
        <v>0.9</v>
      </c>
      <c r="F10" s="14">
        <f>SUM(B8:E8)/10</f>
        <v>1.1000000000000001</v>
      </c>
      <c r="G10" s="14">
        <f>SUM(B8:E8)/10</f>
        <v>1.1000000000000001</v>
      </c>
      <c r="H10" s="14">
        <f>SUM(B8:E8)/10</f>
        <v>1.1000000000000001</v>
      </c>
      <c r="I10" s="7">
        <f>SUM(B8:E8)/10</f>
        <v>1.1000000000000001</v>
      </c>
      <c r="J10" s="8"/>
      <c r="K10" s="8"/>
      <c r="L10" s="8"/>
      <c r="M10" s="8"/>
      <c r="N10" s="8"/>
      <c r="O10" s="8"/>
      <c r="P10" s="8"/>
      <c r="Q10" s="8"/>
      <c r="R10" s="8"/>
    </row>
    <row r="11" spans="1:18" ht="15.6" x14ac:dyDescent="0.3">
      <c r="A11" s="15" t="s">
        <v>20</v>
      </c>
      <c r="B11" s="7" t="s">
        <v>38</v>
      </c>
      <c r="C11" s="7" t="s">
        <v>39</v>
      </c>
      <c r="D11" s="7" t="s">
        <v>40</v>
      </c>
      <c r="E11" s="7" t="s">
        <v>41</v>
      </c>
      <c r="F11" s="8"/>
      <c r="G11" s="8"/>
      <c r="H11" s="8"/>
      <c r="I11" s="8"/>
      <c r="J11" s="8"/>
      <c r="K11" s="8"/>
      <c r="L11" s="8"/>
      <c r="M11" s="8"/>
      <c r="N11" s="8"/>
    </row>
    <row r="12" spans="1:18" ht="15.6" x14ac:dyDescent="0.3">
      <c r="A12" s="15" t="s">
        <v>31</v>
      </c>
      <c r="B12" s="7">
        <f>B8/(10*$H$4)</f>
        <v>0.11428571428571428</v>
      </c>
      <c r="C12" s="7">
        <f>ROUND(C8/(10*$H$4),2)</f>
        <v>0.23</v>
      </c>
      <c r="D12" s="7">
        <f>ROUND(D8/(10*$H$4),2)</f>
        <v>0.17</v>
      </c>
      <c r="E12" s="7">
        <f>ROUND(E8/(10*$H$4),2)</f>
        <v>0.11</v>
      </c>
      <c r="F12" s="11"/>
      <c r="G12" s="8"/>
      <c r="H12" s="8"/>
      <c r="I12" s="8"/>
      <c r="J12" s="8"/>
      <c r="K12" s="8"/>
      <c r="L12" s="8"/>
      <c r="M12" s="8"/>
      <c r="N12" s="8"/>
    </row>
    <row r="13" spans="1:18" x14ac:dyDescent="0.3">
      <c r="A13" s="16" t="s">
        <v>2</v>
      </c>
      <c r="B13" s="13">
        <v>3</v>
      </c>
      <c r="C13" s="13">
        <v>4</v>
      </c>
      <c r="D13" s="13">
        <v>5</v>
      </c>
      <c r="E13" s="13">
        <v>6</v>
      </c>
      <c r="F13" s="13">
        <v>7</v>
      </c>
      <c r="G13" s="13">
        <v>8</v>
      </c>
      <c r="H13" s="13">
        <v>9</v>
      </c>
      <c r="I13" s="8"/>
      <c r="J13" s="8"/>
      <c r="K13" s="8"/>
      <c r="L13" s="8"/>
      <c r="M13" s="8"/>
    </row>
    <row r="14" spans="1:18" x14ac:dyDescent="0.3">
      <c r="A14" s="15" t="s">
        <v>10</v>
      </c>
      <c r="B14" s="13">
        <v>1</v>
      </c>
      <c r="C14" s="13">
        <v>1</v>
      </c>
      <c r="D14" s="13">
        <v>3</v>
      </c>
      <c r="E14" s="13">
        <v>1</v>
      </c>
      <c r="F14" s="13">
        <v>2</v>
      </c>
      <c r="G14" s="13">
        <v>1</v>
      </c>
      <c r="H14" s="13">
        <v>1</v>
      </c>
      <c r="I14" s="8"/>
      <c r="J14" s="8"/>
      <c r="K14" s="8"/>
      <c r="L14" s="8"/>
      <c r="M14" s="8"/>
    </row>
    <row r="15" spans="1:18" x14ac:dyDescent="0.3">
      <c r="A15" s="17" t="s">
        <v>11</v>
      </c>
      <c r="B15" s="13">
        <f>B13*B14</f>
        <v>3</v>
      </c>
      <c r="C15" s="13">
        <f>C13*C14</f>
        <v>4</v>
      </c>
      <c r="D15" s="13">
        <f>D13*D14</f>
        <v>15</v>
      </c>
      <c r="E15" s="13">
        <f>E13*E14</f>
        <v>6</v>
      </c>
      <c r="F15" s="13">
        <f>F13*F14</f>
        <v>14</v>
      </c>
      <c r="G15" s="13">
        <f>G13*G14</f>
        <v>8</v>
      </c>
      <c r="H15" s="13">
        <f>H13*H14</f>
        <v>9</v>
      </c>
      <c r="I15" s="8"/>
      <c r="J15" s="8"/>
      <c r="K15" s="8"/>
      <c r="L15" s="8"/>
      <c r="M15" s="8"/>
    </row>
    <row r="16" spans="1:18" ht="16.2" x14ac:dyDescent="0.3">
      <c r="A16" s="15" t="s">
        <v>24</v>
      </c>
      <c r="B16" s="1">
        <f>POWER(B13-$C$26,2)</f>
        <v>8.4100000000000019</v>
      </c>
      <c r="C16" s="1">
        <f>POWER(C13-$C$26,2)</f>
        <v>3.6100000000000012</v>
      </c>
      <c r="D16" s="1">
        <f>POWER(D13-$C$26,2)</f>
        <v>0.81000000000000061</v>
      </c>
      <c r="E16" s="1">
        <f>POWER(E13-$C$26,2)</f>
        <v>9.9999999999999291E-3</v>
      </c>
      <c r="F16" s="1">
        <f>POWER(F13-$C$26,2)</f>
        <v>1.2099999999999993</v>
      </c>
      <c r="G16" s="1">
        <f>POWER(G13-$C$26,2)</f>
        <v>4.4099999999999984</v>
      </c>
      <c r="H16" s="1">
        <f>POWER(H13-$C$26,2)</f>
        <v>9.6099999999999977</v>
      </c>
      <c r="I16" s="8"/>
      <c r="J16" s="8"/>
      <c r="K16" s="8"/>
      <c r="L16" s="8"/>
      <c r="M16" s="8"/>
    </row>
    <row r="17" spans="1:11" x14ac:dyDescent="0.3">
      <c r="A17" s="15" t="s">
        <v>12</v>
      </c>
      <c r="B17" s="1">
        <f>B16*B14</f>
        <v>8.4100000000000019</v>
      </c>
      <c r="C17" s="1">
        <f>C16*C14</f>
        <v>3.6100000000000012</v>
      </c>
      <c r="D17" s="1">
        <f>D16*D14</f>
        <v>2.4300000000000019</v>
      </c>
      <c r="E17" s="1">
        <f>E16*E14</f>
        <v>9.9999999999999291E-3</v>
      </c>
      <c r="F17" s="1">
        <f>F16*F14</f>
        <v>2.4199999999999986</v>
      </c>
      <c r="G17" s="1">
        <f>G16*G14</f>
        <v>4.4099999999999984</v>
      </c>
      <c r="H17" s="1">
        <f>H16*H14</f>
        <v>9.6099999999999977</v>
      </c>
    </row>
    <row r="18" spans="1:11" x14ac:dyDescent="0.3">
      <c r="A18" s="18" t="s">
        <v>33</v>
      </c>
      <c r="B18" s="7">
        <v>5</v>
      </c>
      <c r="C18" s="7">
        <v>7</v>
      </c>
      <c r="D18" s="7">
        <v>3</v>
      </c>
      <c r="E18" s="7">
        <v>9</v>
      </c>
      <c r="F18" s="7">
        <v>5</v>
      </c>
      <c r="G18" s="7">
        <v>6</v>
      </c>
      <c r="H18" s="7">
        <v>7</v>
      </c>
      <c r="I18" s="7">
        <v>8</v>
      </c>
      <c r="J18" s="7">
        <v>5</v>
      </c>
      <c r="K18" s="7">
        <v>4</v>
      </c>
    </row>
    <row r="19" spans="1:11" x14ac:dyDescent="0.3">
      <c r="A19" s="15" t="s">
        <v>14</v>
      </c>
      <c r="B19" s="1">
        <f>A1-$C$26</f>
        <v>-0.90000000000000036</v>
      </c>
      <c r="C19" s="1">
        <f>B1-$C$26</f>
        <v>1.0999999999999996</v>
      </c>
      <c r="D19" s="1">
        <f>C1-$C$26</f>
        <v>-2.9000000000000004</v>
      </c>
      <c r="E19" s="1">
        <f>D1-$C$26</f>
        <v>3.0999999999999996</v>
      </c>
      <c r="F19" s="1">
        <f>E1-$C$26</f>
        <v>-0.90000000000000036</v>
      </c>
      <c r="G19" s="1">
        <f>F1-$C$26</f>
        <v>9.9999999999999645E-2</v>
      </c>
      <c r="H19" s="1">
        <f>G1-$C$26</f>
        <v>1.0999999999999996</v>
      </c>
      <c r="I19" s="1">
        <f>H1-$C$26</f>
        <v>2.0999999999999996</v>
      </c>
      <c r="J19" s="1">
        <f>I1-$C$26</f>
        <v>-0.90000000000000036</v>
      </c>
      <c r="K19" s="1">
        <f>J1-$C$26</f>
        <v>-1.9000000000000004</v>
      </c>
    </row>
    <row r="20" spans="1:11" ht="16.2" x14ac:dyDescent="0.3">
      <c r="A20" s="15" t="s">
        <v>25</v>
      </c>
      <c r="B20" s="1">
        <f>B13-$C$26</f>
        <v>-2.9000000000000004</v>
      </c>
      <c r="C20" s="1">
        <f>C13-$C$26</f>
        <v>-1.9000000000000004</v>
      </c>
      <c r="D20" s="1">
        <f>D13-$C$26</f>
        <v>-0.90000000000000036</v>
      </c>
      <c r="E20" s="1">
        <f>E13-$C$26</f>
        <v>9.9999999999999645E-2</v>
      </c>
      <c r="F20" s="1">
        <f>F13-$C$26</f>
        <v>1.0999999999999996</v>
      </c>
      <c r="G20" s="1">
        <f>G13-$C$26</f>
        <v>2.0999999999999996</v>
      </c>
      <c r="H20" s="1">
        <f>H13-$C$26</f>
        <v>3.0999999999999996</v>
      </c>
    </row>
    <row r="21" spans="1:11" ht="16.2" x14ac:dyDescent="0.3">
      <c r="A21" s="15" t="s">
        <v>26</v>
      </c>
      <c r="B21" s="1">
        <f>POWER(B20,4)</f>
        <v>70.728100000000026</v>
      </c>
      <c r="C21" s="1">
        <f t="shared" ref="C21:H21" si="0">POWER(C20,4)</f>
        <v>13.032100000000009</v>
      </c>
      <c r="D21" s="1">
        <f t="shared" si="0"/>
        <v>0.65610000000000102</v>
      </c>
      <c r="E21" s="1">
        <f t="shared" si="0"/>
        <v>9.9999999999998582E-5</v>
      </c>
      <c r="F21" s="1">
        <f t="shared" si="0"/>
        <v>1.4640999999999984</v>
      </c>
      <c r="G21" s="1">
        <f t="shared" si="0"/>
        <v>19.448099999999986</v>
      </c>
      <c r="H21" s="1">
        <f>POWER(H20,4)</f>
        <v>92.35209999999995</v>
      </c>
    </row>
    <row r="22" spans="1:11" ht="16.2" x14ac:dyDescent="0.3">
      <c r="A22" s="15" t="s">
        <v>27</v>
      </c>
      <c r="B22" s="1">
        <f>B21*B14</f>
        <v>70.728100000000026</v>
      </c>
      <c r="C22" s="1">
        <f>C21*C14</f>
        <v>13.032100000000009</v>
      </c>
      <c r="D22" s="1">
        <f>D21*D14</f>
        <v>1.968300000000003</v>
      </c>
      <c r="E22" s="1">
        <f>E21*E14</f>
        <v>9.9999999999998582E-5</v>
      </c>
      <c r="F22" s="1">
        <f>F21*F14</f>
        <v>2.9281999999999968</v>
      </c>
      <c r="G22" s="1">
        <f>G21*G14</f>
        <v>19.448099999999986</v>
      </c>
      <c r="H22" s="1">
        <f>H21*H14</f>
        <v>92.35209999999995</v>
      </c>
    </row>
    <row r="23" spans="1:11" ht="15.6" x14ac:dyDescent="0.3">
      <c r="A23" s="19" t="s">
        <v>28</v>
      </c>
      <c r="B23" s="3">
        <f>(SUM(B22:M22))/SUM(B14:M14)</f>
        <v>20.045699999999997</v>
      </c>
    </row>
    <row r="24" spans="1:11" x14ac:dyDescent="0.3">
      <c r="A24" s="21" t="s">
        <v>32</v>
      </c>
      <c r="B24" s="1">
        <f>D13</f>
        <v>5</v>
      </c>
    </row>
    <row r="26" spans="1:11" ht="14.4" customHeight="1" x14ac:dyDescent="0.3">
      <c r="A26" s="22" t="s">
        <v>34</v>
      </c>
      <c r="B26" s="22"/>
      <c r="C26" s="25">
        <f>(1/$A$4)*SUM(B15:H15)</f>
        <v>5.9</v>
      </c>
    </row>
    <row r="27" spans="1:11" x14ac:dyDescent="0.3">
      <c r="A27" s="22"/>
      <c r="B27" s="22"/>
      <c r="C27" s="25"/>
    </row>
    <row r="28" spans="1:11" ht="14.4" customHeight="1" x14ac:dyDescent="0.3"/>
    <row r="29" spans="1:11" x14ac:dyDescent="0.3">
      <c r="A29" s="22" t="s">
        <v>35</v>
      </c>
      <c r="B29" s="22"/>
      <c r="C29" s="24">
        <f>(SUM(B14:H14)/SUM(B17:H17))</f>
        <v>0.3236245954692557</v>
      </c>
      <c r="E29" s="22" t="s">
        <v>36</v>
      </c>
      <c r="F29" s="22"/>
      <c r="G29" s="24">
        <f>SQRT(C29)</f>
        <v>0.56888012398857435</v>
      </c>
    </row>
    <row r="30" spans="1:11" x14ac:dyDescent="0.3">
      <c r="A30" s="22"/>
      <c r="B30" s="22"/>
      <c r="C30" s="24"/>
      <c r="E30" s="22"/>
      <c r="F30" s="22"/>
      <c r="G30" s="24"/>
    </row>
    <row r="32" spans="1:11" x14ac:dyDescent="0.3">
      <c r="A32" s="22" t="s">
        <v>37</v>
      </c>
      <c r="B32" s="22"/>
      <c r="C32" s="23">
        <f>(G29/C26)</f>
        <v>9.6420359998063448E-2</v>
      </c>
    </row>
    <row r="33" spans="1:7" x14ac:dyDescent="0.3">
      <c r="A33" s="22"/>
      <c r="B33" s="22"/>
      <c r="C33" s="23"/>
      <c r="E33" s="4"/>
      <c r="F33" s="4"/>
      <c r="G33" s="4"/>
    </row>
    <row r="34" spans="1:7" ht="14.4" customHeight="1" x14ac:dyDescent="0.3">
      <c r="E34" s="2"/>
      <c r="F34" s="2"/>
      <c r="G34" s="2"/>
    </row>
    <row r="35" spans="1:7" ht="14.4" customHeight="1" x14ac:dyDescent="0.3">
      <c r="A35" s="22" t="s">
        <v>13</v>
      </c>
      <c r="B35" s="22"/>
      <c r="C35" s="24">
        <f>(C26-B24)/G29</f>
        <v>1.5820556248122255</v>
      </c>
    </row>
    <row r="36" spans="1:7" x14ac:dyDescent="0.3">
      <c r="A36" s="22"/>
      <c r="B36" s="22"/>
      <c r="C36" s="24"/>
    </row>
    <row r="38" spans="1:7" x14ac:dyDescent="0.3">
      <c r="A38" s="22" t="s">
        <v>15</v>
      </c>
      <c r="B38" s="22"/>
      <c r="C38" s="26">
        <f>(B23/POWER(G29,4))-3</f>
        <v>188.39834816999991</v>
      </c>
    </row>
    <row r="39" spans="1:7" x14ac:dyDescent="0.3">
      <c r="A39" s="22"/>
      <c r="B39" s="22"/>
      <c r="C39" s="26"/>
    </row>
  </sheetData>
  <mergeCells count="12">
    <mergeCell ref="E29:F30"/>
    <mergeCell ref="G29:G30"/>
    <mergeCell ref="A26:B27"/>
    <mergeCell ref="C26:C27"/>
    <mergeCell ref="A29:B30"/>
    <mergeCell ref="C29:C30"/>
    <mergeCell ref="A35:B36"/>
    <mergeCell ref="C35:C36"/>
    <mergeCell ref="A38:B39"/>
    <mergeCell ref="A32:B33"/>
    <mergeCell ref="C32:C33"/>
    <mergeCell ref="C38:C39"/>
  </mergeCells>
  <pageMargins left="0.7" right="0.7" top="0.75" bottom="0.75" header="0.3" footer="0.3"/>
  <pageSetup paperSize="9" orientation="portrait" r:id="rId1"/>
  <headerFooter>
    <oddHeader>&amp;CГневнов Артем Евгеньевич, ИВТ 2.1.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 Gnevnov</dc:creator>
  <cp:lastModifiedBy>Artyom Gnevnov</cp:lastModifiedBy>
  <dcterms:created xsi:type="dcterms:W3CDTF">2015-06-05T18:19:34Z</dcterms:created>
  <dcterms:modified xsi:type="dcterms:W3CDTF">2023-12-24T15:45:48Z</dcterms:modified>
</cp:coreProperties>
</file>