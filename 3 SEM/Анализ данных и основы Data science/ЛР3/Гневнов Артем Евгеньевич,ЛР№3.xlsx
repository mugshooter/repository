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АД/ЛР3/"/>
    </mc:Choice>
  </mc:AlternateContent>
  <xr:revisionPtr revIDLastSave="4" documentId="11_AD4DF75460589B3ACB72843C47DC75685BDEDD96" xr6:coauthVersionLast="47" xr6:coauthVersionMax="47" xr10:uidLastSave="{EB01D3D8-FAA1-4D26-ADA4-38CEB0D93130}"/>
  <bookViews>
    <workbookView xWindow="-108" yWindow="-108" windowWidth="23256" windowHeight="1317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B75" i="2"/>
  <c r="E20" i="2"/>
  <c r="D20" i="2"/>
  <c r="G29" i="2"/>
  <c r="F29" i="2"/>
  <c r="E29" i="2"/>
  <c r="D29" i="2"/>
  <c r="C29" i="2"/>
  <c r="B29" i="2"/>
  <c r="H28" i="2"/>
  <c r="G28" i="2"/>
  <c r="F28" i="2"/>
  <c r="E28" i="2"/>
  <c r="D28" i="2"/>
  <c r="B72" i="2" s="1"/>
  <c r="C28" i="2"/>
  <c r="B28" i="2"/>
  <c r="D8" i="1" l="1"/>
  <c r="C8" i="1"/>
  <c r="E8" i="1"/>
  <c r="F8" i="1"/>
  <c r="G8" i="1"/>
  <c r="H8" i="1"/>
  <c r="I8" i="1"/>
  <c r="J8" i="1"/>
  <c r="K8" i="1"/>
  <c r="L8" i="1"/>
  <c r="B8" i="1"/>
  <c r="B59" i="1" l="1"/>
  <c r="B52" i="1"/>
  <c r="B49" i="1"/>
  <c r="B23" i="1"/>
  <c r="G20" i="1"/>
  <c r="F20" i="1"/>
  <c r="E20" i="1"/>
  <c r="D20" i="1"/>
  <c r="C20" i="1"/>
  <c r="B20" i="1"/>
  <c r="B14" i="1"/>
  <c r="B15" i="1" s="1"/>
  <c r="B13" i="1"/>
  <c r="B11" i="1"/>
  <c r="B60" i="1" l="1"/>
  <c r="B24" i="1"/>
</calcChain>
</file>

<file path=xl/sharedStrings.xml><?xml version="1.0" encoding="utf-8"?>
<sst xmlns="http://schemas.openxmlformats.org/spreadsheetml/2006/main" count="91" uniqueCount="85">
  <si>
    <t>xi</t>
  </si>
  <si>
    <t>mi</t>
  </si>
  <si>
    <t>wi</t>
  </si>
  <si>
    <t>n</t>
  </si>
  <si>
    <t>k</t>
  </si>
  <si>
    <t>xmin</t>
  </si>
  <si>
    <t>xmax</t>
  </si>
  <si>
    <t>Δ</t>
  </si>
  <si>
    <t>Интервалы</t>
  </si>
  <si>
    <t>9-12</t>
  </si>
  <si>
    <t>12-15</t>
  </si>
  <si>
    <t>15-18</t>
  </si>
  <si>
    <t>18-21</t>
  </si>
  <si>
    <t>21-24</t>
  </si>
  <si>
    <t>24-27</t>
  </si>
  <si>
    <t>Частоты  xi</t>
  </si>
  <si>
    <t>Доля xi</t>
  </si>
  <si>
    <t>L</t>
  </si>
  <si>
    <t>K</t>
  </si>
  <si>
    <t>25 перцентиль</t>
  </si>
  <si>
    <t>Эта позиция находится между 6 и 7 вариантами. Значит мы видим, что значение 6-го по порядку варианта равно 14. Значение 7-го по порядку варианта также равно 14. Отсюда 25-й перцентиль равен 14</t>
  </si>
  <si>
    <t xml:space="preserve">50 перцентиль </t>
  </si>
  <si>
    <t>Эта позиция находится между 13 и 14 вариантами. Значит мы видим, что значение 13-го по порядку варианта равно 15. Значение 14-го по порядку варианта также равно 15. Отсюда 50-й перцентель равен 15</t>
  </si>
  <si>
    <t>90 перцентиля</t>
  </si>
  <si>
    <t>Эта позиция находится между 24 и 25 вариантами. Значит мы видим, что значение 24-го по порядку варианта равно 21. Значение 25-го по порядку варианта равно 23. Отсюда 90-й перцентиль - это 21+(23-21)*0,3 = 21,6 (0,3 - это расстояние между 24 и 25 значениями )</t>
  </si>
  <si>
    <t xml:space="preserve">Среднее арифметическое </t>
  </si>
  <si>
    <t>Среднее арифметическое взвешанное</t>
  </si>
  <si>
    <t xml:space="preserve">Так как мода необходимо выбирать по наибольшему значению с графика дисктретный варианционный ряд, то </t>
  </si>
  <si>
    <t>Mo</t>
  </si>
  <si>
    <t>Медиана - это среднее значение ряда, значит, значение медианы будет равно 15, так как это число находится в середине ряда</t>
  </si>
  <si>
    <t>Ме</t>
  </si>
  <si>
    <t>Медиана не зависит от значений признака на краях ранжированного ряда. Медиана зависит от количества значений, а не от того, что показывает само значение. Поэтому часто медиану используют как более надежный показатель типичного значения признака</t>
  </si>
  <si>
    <t>Средняя арифметическая зависит от количества значений в ряду. Если количество значений будет изменяться, то соответственно и будет изменяться среднее арифметическое значение ряда</t>
  </si>
  <si>
    <t>Так как мода представляет собой наиболее часто встречающееся значение (в данном задании это значения 10 и 15 - они встречатся пять раз), значит в одном ряду может быть несколько мод. В данном задании моды будут 10 и 15</t>
  </si>
  <si>
    <t>Задание 1</t>
  </si>
  <si>
    <t>Интервалы расходов</t>
  </si>
  <si>
    <t>100-300</t>
  </si>
  <si>
    <t>300-500</t>
  </si>
  <si>
    <t>500-700</t>
  </si>
  <si>
    <t>700-900</t>
  </si>
  <si>
    <t>900-1100</t>
  </si>
  <si>
    <t>1100-1300</t>
  </si>
  <si>
    <t>Число покупателей (mi)</t>
  </si>
  <si>
    <t>Доля покупателей (wi)</t>
  </si>
  <si>
    <t>Нижняя граница</t>
  </si>
  <si>
    <t>Верхняя граница</t>
  </si>
  <si>
    <t>Восходящий порядок</t>
  </si>
  <si>
    <t>Нисходящий порядок</t>
  </si>
  <si>
    <t>Вопрос 1</t>
  </si>
  <si>
    <t xml:space="preserve">Число регионов </t>
  </si>
  <si>
    <t>До 60</t>
  </si>
  <si>
    <t>60-70</t>
  </si>
  <si>
    <t>70-80</t>
  </si>
  <si>
    <t>80-90</t>
  </si>
  <si>
    <t>90-100</t>
  </si>
  <si>
    <t>-</t>
  </si>
  <si>
    <t>Свыше 100</t>
  </si>
  <si>
    <t>Вопрос 2</t>
  </si>
  <si>
    <t>a1</t>
  </si>
  <si>
    <t>a2</t>
  </si>
  <si>
    <t>min</t>
  </si>
  <si>
    <t>max</t>
  </si>
  <si>
    <t>Начало первого интервала будет с 50 до 60. А значение последнего доходит до 110</t>
  </si>
  <si>
    <t>Задание 2 и 3</t>
  </si>
  <si>
    <t>Вопрос 3</t>
  </si>
  <si>
    <t>Вопрос 4</t>
  </si>
  <si>
    <t>Вопрос 5</t>
  </si>
  <si>
    <t>Вопрос 6</t>
  </si>
  <si>
    <t>Meдиана</t>
  </si>
  <si>
    <t>Moда</t>
  </si>
  <si>
    <t>Вопрос 7</t>
  </si>
  <si>
    <t>Вопрос 8</t>
  </si>
  <si>
    <t>Вопрос 9</t>
  </si>
  <si>
    <t>Вопрос 10</t>
  </si>
  <si>
    <t>Вопрос 11</t>
  </si>
  <si>
    <r>
      <t xml:space="preserve">Накопление частоты в </t>
    </r>
    <r>
      <rPr>
        <sz val="11"/>
        <color theme="1"/>
        <rFont val="Calibri"/>
        <family val="2"/>
        <charset val="204"/>
        <scheme val="minor"/>
      </rPr>
      <t>восходящем</t>
    </r>
    <r>
      <rPr>
        <sz val="11"/>
        <color theme="1"/>
        <rFont val="Calibri"/>
        <family val="2"/>
        <scheme val="minor"/>
      </rPr>
      <t xml:space="preserve"> порядке указывают на количество значений, которые находятся левее левого края интервала.</t>
    </r>
  </si>
  <si>
    <r>
      <t xml:space="preserve">Накопление частоты в </t>
    </r>
    <r>
      <rPr>
        <sz val="11"/>
        <color theme="1"/>
        <rFont val="Calibri"/>
        <family val="2"/>
        <charset val="204"/>
        <scheme val="minor"/>
      </rPr>
      <t>нисходящем</t>
    </r>
    <r>
      <rPr>
        <sz val="11"/>
        <color theme="1"/>
        <rFont val="Calibri"/>
        <family val="2"/>
        <scheme val="minor"/>
      </rPr>
      <t xml:space="preserve"> порядке указывают на количество значений, которые находятся правее левого края интервала.</t>
    </r>
  </si>
  <si>
    <t>Вопрос 12</t>
  </si>
  <si>
    <t>Вопрос 13</t>
  </si>
  <si>
    <t>Медиана</t>
  </si>
  <si>
    <t>Среднее арифметическое</t>
  </si>
  <si>
    <t>Медиана не зависит от крайних значений, так как она зависит от количества значений.</t>
  </si>
  <si>
    <t>Вопрос 14</t>
  </si>
  <si>
    <t>Да, так как в мода показывает наиболее часто встречающее значение. Например, если в ряду будет одинакого максимально два значения, то у этого ряда будет две моды.</t>
  </si>
  <si>
    <t>Среднее арифметическое зависит от значений в ряду, поэтому при их изменении оно будет меняться.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</si>
</sst>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Fill="1" applyBorder="1" applyAlignment="1"/>
    <xf numFmtId="0" fontId="0" fillId="0" borderId="0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Лист1!$A$7</c:f>
              <c:strCache>
                <c:ptCount val="1"/>
                <c:pt idx="0">
                  <c:v>mi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Лист1!$B$6:$L$6</c:f>
              <c:numCache>
                <c:formatCode>General</c:formatCode>
                <c:ptCount val="11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27</c:v>
                </c:pt>
              </c:numCache>
            </c:numRef>
          </c:xVal>
          <c:yVal>
            <c:numRef>
              <c:f>Лист1!$B$7:$L$7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4-4B75-9F2D-49D1C638D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202015"/>
        <c:axId val="1394207007"/>
      </c:scatterChart>
      <c:valAx>
        <c:axId val="139420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07007"/>
        <c:crosses val="autoZero"/>
        <c:crossBetween val="midCat"/>
      </c:valAx>
      <c:valAx>
        <c:axId val="139420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0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Лист2!$B$27:$H$27</c:f>
              <c:numCache>
                <c:formatCode>General</c:formatCode>
                <c:ptCount val="7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</c:numCache>
            </c:numRef>
          </c:xVal>
          <c:yVal>
            <c:numRef>
              <c:f>Лист2!$B$28:$H$28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68</c:v>
                </c:pt>
                <c:pt idx="3">
                  <c:v>118</c:v>
                </c:pt>
                <c:pt idx="4">
                  <c:v>149</c:v>
                </c:pt>
                <c:pt idx="5">
                  <c:v>171</c:v>
                </c:pt>
                <c:pt idx="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4-474A-976A-697351F6B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821183"/>
        <c:axId val="1390820767"/>
      </c:scatterChart>
      <c:valAx>
        <c:axId val="139082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20767"/>
        <c:crosses val="autoZero"/>
        <c:crossBetween val="midCat"/>
      </c:valAx>
      <c:valAx>
        <c:axId val="139082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2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Лист2!$B$2:$G$2</c:f>
              <c:strCache>
                <c:ptCount val="6"/>
                <c:pt idx="0">
                  <c:v>100-300</c:v>
                </c:pt>
                <c:pt idx="1">
                  <c:v>300-500</c:v>
                </c:pt>
                <c:pt idx="2">
                  <c:v>500-700</c:v>
                </c:pt>
                <c:pt idx="3">
                  <c:v>700-900</c:v>
                </c:pt>
                <c:pt idx="4">
                  <c:v>900-1100</c:v>
                </c:pt>
                <c:pt idx="5">
                  <c:v>1100-1300</c:v>
                </c:pt>
              </c:strCache>
            </c:strRef>
          </c:cat>
          <c:val>
            <c:numRef>
              <c:f>Лист2!$B$3:$G$3</c:f>
              <c:numCache>
                <c:formatCode>General</c:formatCode>
                <c:ptCount val="6"/>
                <c:pt idx="0">
                  <c:v>30</c:v>
                </c:pt>
                <c:pt idx="1">
                  <c:v>38</c:v>
                </c:pt>
                <c:pt idx="2">
                  <c:v>50</c:v>
                </c:pt>
                <c:pt idx="3">
                  <c:v>31</c:v>
                </c:pt>
                <c:pt idx="4">
                  <c:v>22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C-49A1-AD78-CA1414A8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993935"/>
        <c:axId val="1470017647"/>
      </c:barChart>
      <c:catAx>
        <c:axId val="146999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17647"/>
        <c:crosses val="autoZero"/>
        <c:auto val="1"/>
        <c:lblAlgn val="ctr"/>
        <c:lblOffset val="100"/>
        <c:noMultiLvlLbl val="0"/>
      </c:catAx>
      <c:valAx>
        <c:axId val="14700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9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Огива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Лист2!$B$28:$H$28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68</c:v>
                </c:pt>
                <c:pt idx="3">
                  <c:v>118</c:v>
                </c:pt>
                <c:pt idx="4">
                  <c:v>149</c:v>
                </c:pt>
                <c:pt idx="5">
                  <c:v>171</c:v>
                </c:pt>
                <c:pt idx="6">
                  <c:v>184</c:v>
                </c:pt>
              </c:numCache>
            </c:numRef>
          </c:xVal>
          <c:yVal>
            <c:numRef>
              <c:f>Лист2!$B$27:$H$27</c:f>
              <c:numCache>
                <c:formatCode>General</c:formatCode>
                <c:ptCount val="7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8F-4814-9684-BFB37BA48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18703"/>
        <c:axId val="1496021615"/>
      </c:scatterChart>
      <c:valAx>
        <c:axId val="149601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21615"/>
        <c:crosses val="autoZero"/>
        <c:crossBetween val="midCat"/>
      </c:valAx>
      <c:valAx>
        <c:axId val="149602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1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</xdr:colOff>
      <xdr:row>27</xdr:row>
      <xdr:rowOff>4483</xdr:rowOff>
    </xdr:from>
    <xdr:to>
      <xdr:col>7</xdr:col>
      <xdr:colOff>309282</xdr:colOff>
      <xdr:row>42</xdr:row>
      <xdr:rowOff>58271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CCCA729-2D87-49FE-84A4-D059685C3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165848</xdr:rowOff>
    </xdr:from>
    <xdr:to>
      <xdr:col>7</xdr:col>
      <xdr:colOff>304800</xdr:colOff>
      <xdr:row>51</xdr:row>
      <xdr:rowOff>40342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B87059F-97E7-4E21-B2CB-1EA79A115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4483</xdr:colOff>
      <xdr:row>36</xdr:row>
      <xdr:rowOff>4484</xdr:rowOff>
    </xdr:from>
    <xdr:to>
      <xdr:col>15</xdr:col>
      <xdr:colOff>309283</xdr:colOff>
      <xdr:row>51</xdr:row>
      <xdr:rowOff>58272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564AD04-BEFA-42EC-AC73-D72F799F1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31376</xdr:colOff>
      <xdr:row>54</xdr:row>
      <xdr:rowOff>4483</xdr:rowOff>
    </xdr:from>
    <xdr:to>
      <xdr:col>7</xdr:col>
      <xdr:colOff>336176</xdr:colOff>
      <xdr:row>67</xdr:row>
      <xdr:rowOff>40342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EC8F825F-FE9B-44E6-9982-3423F58CD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19"/>
  <sheetViews>
    <sheetView topLeftCell="A51" zoomScaleNormal="100" workbookViewId="0">
      <selection activeCell="A68" sqref="A68:C71"/>
    </sheetView>
  </sheetViews>
  <sheetFormatPr defaultRowHeight="14.4" x14ac:dyDescent="0.3"/>
  <sheetData>
    <row r="2" spans="1:13" ht="18" x14ac:dyDescent="0.35">
      <c r="A2" s="30" t="s">
        <v>34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x14ac:dyDescent="0.3">
      <c r="A3" s="1">
        <v>16</v>
      </c>
      <c r="B3" s="1">
        <v>12</v>
      </c>
      <c r="C3" s="1">
        <v>15</v>
      </c>
      <c r="D3" s="1">
        <v>15</v>
      </c>
      <c r="E3" s="1">
        <v>23</v>
      </c>
      <c r="F3" s="1">
        <v>9</v>
      </c>
      <c r="G3" s="1">
        <v>15</v>
      </c>
      <c r="H3" s="1">
        <v>13</v>
      </c>
      <c r="I3" s="1">
        <v>14</v>
      </c>
      <c r="J3" s="1">
        <v>14</v>
      </c>
      <c r="K3" s="1">
        <v>21</v>
      </c>
      <c r="L3" s="1">
        <v>15</v>
      </c>
      <c r="M3" s="1">
        <v>14</v>
      </c>
    </row>
    <row r="4" spans="1:13" x14ac:dyDescent="0.3">
      <c r="A4" s="1">
        <v>17</v>
      </c>
      <c r="B4" s="1">
        <v>27</v>
      </c>
      <c r="C4" s="1">
        <v>15</v>
      </c>
      <c r="D4" s="1">
        <v>16</v>
      </c>
      <c r="E4" s="1">
        <v>12</v>
      </c>
      <c r="F4" s="1">
        <v>16</v>
      </c>
      <c r="G4" s="1">
        <v>19</v>
      </c>
      <c r="H4" s="1">
        <v>14</v>
      </c>
      <c r="I4" s="1">
        <v>16</v>
      </c>
      <c r="J4" s="1">
        <v>17</v>
      </c>
      <c r="K4" s="1">
        <v>13</v>
      </c>
      <c r="L4" s="1">
        <v>14</v>
      </c>
      <c r="M4" s="1">
        <v>14</v>
      </c>
    </row>
    <row r="6" spans="1:13" x14ac:dyDescent="0.3">
      <c r="A6" s="24" t="s">
        <v>0</v>
      </c>
      <c r="B6" s="1">
        <v>9</v>
      </c>
      <c r="C6" s="1">
        <v>12</v>
      </c>
      <c r="D6" s="1">
        <v>13</v>
      </c>
      <c r="E6" s="1">
        <v>14</v>
      </c>
      <c r="F6" s="1">
        <v>15</v>
      </c>
      <c r="G6" s="1">
        <v>16</v>
      </c>
      <c r="H6" s="1">
        <v>17</v>
      </c>
      <c r="I6" s="1">
        <v>19</v>
      </c>
      <c r="J6" s="1">
        <v>21</v>
      </c>
      <c r="K6" s="1">
        <v>23</v>
      </c>
      <c r="L6" s="1">
        <v>27</v>
      </c>
    </row>
    <row r="7" spans="1:13" x14ac:dyDescent="0.3">
      <c r="A7" s="24" t="s">
        <v>1</v>
      </c>
      <c r="B7" s="1">
        <v>1</v>
      </c>
      <c r="C7" s="1">
        <v>2</v>
      </c>
      <c r="D7" s="1">
        <v>2</v>
      </c>
      <c r="E7" s="1">
        <v>6</v>
      </c>
      <c r="F7" s="1">
        <v>5</v>
      </c>
      <c r="G7" s="1">
        <v>4</v>
      </c>
      <c r="H7" s="1">
        <v>2</v>
      </c>
      <c r="I7" s="1">
        <v>1</v>
      </c>
      <c r="J7" s="1">
        <v>1</v>
      </c>
      <c r="K7" s="1">
        <v>1</v>
      </c>
      <c r="L7" s="1">
        <v>1</v>
      </c>
    </row>
    <row r="8" spans="1:13" x14ac:dyDescent="0.3">
      <c r="A8" s="24" t="s">
        <v>2</v>
      </c>
      <c r="B8" s="1">
        <f t="shared" ref="B8:L8" si="0">B7/$B$10</f>
        <v>3.8461538461538464E-2</v>
      </c>
      <c r="C8" s="1">
        <f t="shared" si="0"/>
        <v>7.6923076923076927E-2</v>
      </c>
      <c r="D8" s="1">
        <f t="shared" si="0"/>
        <v>7.6923076923076927E-2</v>
      </c>
      <c r="E8" s="1">
        <f t="shared" si="0"/>
        <v>0.23076923076923078</v>
      </c>
      <c r="F8" s="1">
        <f t="shared" si="0"/>
        <v>0.19230769230769232</v>
      </c>
      <c r="G8" s="1">
        <f t="shared" si="0"/>
        <v>0.15384615384615385</v>
      </c>
      <c r="H8" s="1">
        <f t="shared" si="0"/>
        <v>7.6923076923076927E-2</v>
      </c>
      <c r="I8" s="1">
        <f t="shared" si="0"/>
        <v>3.8461538461538464E-2</v>
      </c>
      <c r="J8" s="1">
        <f t="shared" si="0"/>
        <v>3.8461538461538464E-2</v>
      </c>
      <c r="K8" s="1">
        <f t="shared" si="0"/>
        <v>3.8461538461538464E-2</v>
      </c>
      <c r="L8" s="1">
        <f t="shared" si="0"/>
        <v>3.8461538461538464E-2</v>
      </c>
    </row>
    <row r="10" spans="1:13" x14ac:dyDescent="0.3">
      <c r="A10" s="24" t="s">
        <v>3</v>
      </c>
      <c r="B10" s="1">
        <v>26</v>
      </c>
      <c r="C10" s="3"/>
    </row>
    <row r="11" spans="1:13" x14ac:dyDescent="0.3">
      <c r="A11" s="24" t="s">
        <v>4</v>
      </c>
      <c r="B11" s="1">
        <f>1+1.4*LN(B10)</f>
        <v>5.5613351532300745</v>
      </c>
      <c r="C11" s="1">
        <v>6</v>
      </c>
    </row>
    <row r="13" spans="1:13" x14ac:dyDescent="0.3">
      <c r="A13" s="24" t="s">
        <v>5</v>
      </c>
      <c r="B13" s="1">
        <f>MIN(A3:M4)</f>
        <v>9</v>
      </c>
    </row>
    <row r="14" spans="1:13" x14ac:dyDescent="0.3">
      <c r="A14" s="24" t="s">
        <v>6</v>
      </c>
      <c r="B14" s="1">
        <f>MAX(A3:M4)</f>
        <v>27</v>
      </c>
    </row>
    <row r="15" spans="1:13" x14ac:dyDescent="0.3">
      <c r="A15" s="24" t="s">
        <v>7</v>
      </c>
      <c r="B15" s="1">
        <f>(B14-B13)/C11</f>
        <v>3</v>
      </c>
    </row>
    <row r="17" spans="1:8" x14ac:dyDescent="0.3">
      <c r="A17" s="27" t="s">
        <v>64</v>
      </c>
      <c r="B17" s="27"/>
      <c r="C17" s="27"/>
      <c r="D17" s="27"/>
      <c r="E17" s="27"/>
      <c r="F17" s="27"/>
      <c r="G17" s="27"/>
      <c r="H17" s="21"/>
    </row>
    <row r="18" spans="1:8" x14ac:dyDescent="0.3">
      <c r="A18" s="24" t="s">
        <v>8</v>
      </c>
      <c r="B18" s="4" t="s">
        <v>9</v>
      </c>
      <c r="C18" s="4" t="s">
        <v>10</v>
      </c>
      <c r="D18" s="4" t="s">
        <v>11</v>
      </c>
      <c r="E18" s="4" t="s">
        <v>12</v>
      </c>
      <c r="F18" s="4" t="s">
        <v>13</v>
      </c>
      <c r="G18" s="4" t="s">
        <v>14</v>
      </c>
      <c r="H18" s="22"/>
    </row>
    <row r="19" spans="1:8" x14ac:dyDescent="0.3">
      <c r="A19" s="24" t="s">
        <v>15</v>
      </c>
      <c r="B19" s="1">
        <v>1</v>
      </c>
      <c r="C19" s="1">
        <v>10</v>
      </c>
      <c r="D19" s="1">
        <v>11</v>
      </c>
      <c r="E19" s="1">
        <v>1</v>
      </c>
      <c r="F19" s="1">
        <v>2</v>
      </c>
      <c r="G19" s="1">
        <v>1</v>
      </c>
      <c r="H19" s="22"/>
    </row>
    <row r="20" spans="1:8" x14ac:dyDescent="0.3">
      <c r="A20" s="24" t="s">
        <v>16</v>
      </c>
      <c r="B20" s="5">
        <f t="shared" ref="B20:G20" si="1">B19/$B$10</f>
        <v>3.8461538461538464E-2</v>
      </c>
      <c r="C20" s="5">
        <f t="shared" si="1"/>
        <v>0.38461538461538464</v>
      </c>
      <c r="D20" s="5">
        <f t="shared" si="1"/>
        <v>0.42307692307692307</v>
      </c>
      <c r="E20" s="5">
        <f t="shared" si="1"/>
        <v>3.8461538461538464E-2</v>
      </c>
      <c r="F20" s="5">
        <f t="shared" si="1"/>
        <v>7.6923076923076927E-2</v>
      </c>
      <c r="G20" s="5">
        <f t="shared" si="1"/>
        <v>3.8461538461538464E-2</v>
      </c>
      <c r="H20" s="22"/>
    </row>
    <row r="21" spans="1:8" x14ac:dyDescent="0.3">
      <c r="H21" s="22"/>
    </row>
    <row r="22" spans="1:8" x14ac:dyDescent="0.3">
      <c r="A22" s="27" t="s">
        <v>65</v>
      </c>
      <c r="B22" s="27"/>
      <c r="C22" s="27"/>
      <c r="D22" s="32"/>
    </row>
    <row r="23" spans="1:8" x14ac:dyDescent="0.3">
      <c r="A23" s="24" t="s">
        <v>17</v>
      </c>
      <c r="B23" s="1">
        <f>2*LN(B10)</f>
        <v>6.5161930760429643</v>
      </c>
      <c r="C23" s="17">
        <v>7</v>
      </c>
      <c r="D23" s="15"/>
    </row>
    <row r="24" spans="1:8" x14ac:dyDescent="0.3">
      <c r="A24" s="24" t="s">
        <v>18</v>
      </c>
      <c r="B24" s="1">
        <f>(B14-B13)/C23</f>
        <v>2.5714285714285716</v>
      </c>
    </row>
    <row r="26" spans="1:8" x14ac:dyDescent="0.3">
      <c r="A26" s="31" t="s">
        <v>67</v>
      </c>
      <c r="B26" s="31"/>
      <c r="C26" s="31"/>
      <c r="D26" s="31"/>
      <c r="E26" s="31"/>
      <c r="F26" s="31"/>
      <c r="G26" s="31"/>
    </row>
    <row r="45" spans="1:16" x14ac:dyDescent="0.3">
      <c r="A45" s="27" t="s">
        <v>72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6" x14ac:dyDescent="0.3">
      <c r="A46" s="6">
        <v>9</v>
      </c>
      <c r="B46" s="1">
        <v>12</v>
      </c>
      <c r="C46" s="1">
        <v>12</v>
      </c>
      <c r="D46" s="6">
        <v>13</v>
      </c>
      <c r="E46" s="6">
        <v>13</v>
      </c>
      <c r="F46" s="6">
        <v>14</v>
      </c>
      <c r="G46" s="6">
        <v>14</v>
      </c>
      <c r="H46" s="6">
        <v>14</v>
      </c>
      <c r="I46" s="6">
        <v>14</v>
      </c>
      <c r="J46" s="6">
        <v>14</v>
      </c>
      <c r="K46" s="6">
        <v>14</v>
      </c>
      <c r="L46" s="6">
        <v>15</v>
      </c>
      <c r="M46" s="6">
        <v>15</v>
      </c>
      <c r="N46" s="7"/>
      <c r="O46" s="7"/>
      <c r="P46" s="7"/>
    </row>
    <row r="47" spans="1:16" x14ac:dyDescent="0.3">
      <c r="A47" s="1">
        <v>15</v>
      </c>
      <c r="B47" s="1">
        <v>15</v>
      </c>
      <c r="C47" s="1">
        <v>15</v>
      </c>
      <c r="D47" s="6">
        <v>16</v>
      </c>
      <c r="E47" s="6">
        <v>16</v>
      </c>
      <c r="F47" s="6">
        <v>16</v>
      </c>
      <c r="G47" s="6">
        <v>16</v>
      </c>
      <c r="H47" s="6">
        <v>17</v>
      </c>
      <c r="I47" s="6">
        <v>17</v>
      </c>
      <c r="J47" s="6">
        <v>19</v>
      </c>
      <c r="K47" s="6">
        <v>21</v>
      </c>
      <c r="L47" s="6">
        <v>23</v>
      </c>
      <c r="M47" s="6">
        <v>27</v>
      </c>
      <c r="N47" s="7"/>
      <c r="O47" s="7"/>
      <c r="P47" s="7"/>
    </row>
    <row r="48" spans="1:16" x14ac:dyDescent="0.3">
      <c r="A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43.2" x14ac:dyDescent="0.3">
      <c r="A49" s="23" t="s">
        <v>19</v>
      </c>
      <c r="B49" s="9">
        <f>(B10+1)*25/100</f>
        <v>6.75</v>
      </c>
      <c r="C49" s="34" t="s">
        <v>20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"/>
      <c r="P49" s="3"/>
    </row>
    <row r="50" spans="1:16" x14ac:dyDescent="0.3">
      <c r="A50" s="8"/>
      <c r="B50" s="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"/>
      <c r="P50" s="3"/>
    </row>
    <row r="51" spans="1:1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43.2" x14ac:dyDescent="0.3">
      <c r="A52" s="23" t="s">
        <v>21</v>
      </c>
      <c r="B52" s="9">
        <f>(B10+1)*50/100</f>
        <v>13.5</v>
      </c>
      <c r="C52" s="34" t="s">
        <v>22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"/>
      <c r="P52" s="3"/>
    </row>
    <row r="53" spans="1:16" x14ac:dyDescent="0.3">
      <c r="A53" s="3"/>
      <c r="B53" s="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"/>
      <c r="P53" s="3"/>
    </row>
    <row r="54" spans="1:1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43.2" x14ac:dyDescent="0.3">
      <c r="A55" s="23" t="s">
        <v>23</v>
      </c>
      <c r="B55" s="9">
        <f>(B10+1)*90/100</f>
        <v>24.3</v>
      </c>
      <c r="C55" s="34" t="s">
        <v>24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</row>
    <row r="56" spans="1:16" x14ac:dyDescent="0.3">
      <c r="A56" s="3"/>
      <c r="B56" s="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</row>
    <row r="58" spans="1:16" x14ac:dyDescent="0.3">
      <c r="A58" s="27" t="s">
        <v>77</v>
      </c>
      <c r="B58" s="27"/>
    </row>
    <row r="59" spans="1:16" ht="43.2" x14ac:dyDescent="0.3">
      <c r="A59" s="23" t="s">
        <v>25</v>
      </c>
      <c r="B59" s="1">
        <f>SUM(A3:M4)/$B$10</f>
        <v>15.615384615384615</v>
      </c>
    </row>
    <row r="60" spans="1:16" ht="72" x14ac:dyDescent="0.3">
      <c r="A60" s="23" t="s">
        <v>26</v>
      </c>
      <c r="B60" s="1">
        <f>(10.5*B20+13.5*C20+16.5*D20+19.5*E20+22.5*F20+25.5*G20)</f>
        <v>16.038461538461537</v>
      </c>
    </row>
    <row r="62" spans="1:16" x14ac:dyDescent="0.3">
      <c r="A62" s="27" t="s">
        <v>78</v>
      </c>
      <c r="B62" s="27"/>
      <c r="C62" s="27"/>
      <c r="D62" s="27"/>
    </row>
    <row r="63" spans="1:16" x14ac:dyDescent="0.3">
      <c r="A63" s="36" t="s">
        <v>79</v>
      </c>
      <c r="B63" s="36"/>
      <c r="C63" s="28">
        <v>15</v>
      </c>
      <c r="D63" s="28"/>
    </row>
    <row r="64" spans="1:16" x14ac:dyDescent="0.3">
      <c r="A64" s="36"/>
      <c r="B64" s="36"/>
      <c r="C64" s="28"/>
      <c r="D64" s="28"/>
    </row>
    <row r="65" spans="1:7" x14ac:dyDescent="0.3">
      <c r="A65" s="35" t="s">
        <v>80</v>
      </c>
      <c r="B65" s="35"/>
      <c r="C65" s="29">
        <v>16.038460000000001</v>
      </c>
      <c r="D65" s="29"/>
    </row>
    <row r="66" spans="1:7" x14ac:dyDescent="0.3">
      <c r="A66" s="35"/>
      <c r="B66" s="35"/>
      <c r="C66" s="29"/>
      <c r="D66" s="29"/>
    </row>
    <row r="68" spans="1:7" x14ac:dyDescent="0.3">
      <c r="A68" s="26" t="s">
        <v>81</v>
      </c>
      <c r="B68" s="26"/>
      <c r="C68" s="26"/>
      <c r="E68" s="26" t="s">
        <v>84</v>
      </c>
      <c r="F68" s="26"/>
      <c r="G68" s="26"/>
    </row>
    <row r="69" spans="1:7" x14ac:dyDescent="0.3">
      <c r="A69" s="26"/>
      <c r="B69" s="26"/>
      <c r="C69" s="26"/>
      <c r="E69" s="26"/>
      <c r="F69" s="26"/>
      <c r="G69" s="26"/>
    </row>
    <row r="70" spans="1:7" x14ac:dyDescent="0.3">
      <c r="A70" s="26"/>
      <c r="B70" s="26"/>
      <c r="C70" s="26"/>
      <c r="E70" s="26"/>
      <c r="F70" s="26"/>
      <c r="G70" s="26"/>
    </row>
    <row r="71" spans="1:7" x14ac:dyDescent="0.3">
      <c r="A71" s="26"/>
      <c r="B71" s="26"/>
      <c r="C71" s="26"/>
      <c r="E71" s="26"/>
      <c r="F71" s="26"/>
      <c r="G71" s="26"/>
    </row>
    <row r="73" spans="1:7" x14ac:dyDescent="0.3">
      <c r="A73" s="27" t="s">
        <v>82</v>
      </c>
      <c r="B73" s="27"/>
      <c r="C73" s="27"/>
      <c r="D73" s="27"/>
      <c r="E73" s="27"/>
    </row>
    <row r="74" spans="1:7" x14ac:dyDescent="0.3">
      <c r="A74" s="26" t="s">
        <v>83</v>
      </c>
      <c r="B74" s="26"/>
      <c r="C74" s="26"/>
      <c r="D74" s="26"/>
      <c r="E74" s="26"/>
    </row>
    <row r="75" spans="1:7" x14ac:dyDescent="0.3">
      <c r="A75" s="26"/>
      <c r="B75" s="26"/>
      <c r="C75" s="26"/>
      <c r="D75" s="26"/>
      <c r="E75" s="26"/>
    </row>
    <row r="76" spans="1:7" x14ac:dyDescent="0.3">
      <c r="A76" s="26"/>
      <c r="B76" s="26"/>
      <c r="C76" s="26"/>
      <c r="D76" s="26"/>
      <c r="E76" s="26"/>
    </row>
    <row r="77" spans="1:7" x14ac:dyDescent="0.3">
      <c r="A77" s="26"/>
      <c r="B77" s="26"/>
      <c r="C77" s="26"/>
      <c r="D77" s="26"/>
      <c r="E77" s="26"/>
    </row>
    <row r="78" spans="1:7" x14ac:dyDescent="0.3">
      <c r="A78" s="26"/>
      <c r="B78" s="26"/>
      <c r="C78" s="26"/>
      <c r="D78" s="26"/>
      <c r="E78" s="26"/>
    </row>
    <row r="97" spans="1:10" x14ac:dyDescent="0.3">
      <c r="A97" s="26" t="s">
        <v>27</v>
      </c>
      <c r="B97" s="26"/>
      <c r="C97" s="26"/>
      <c r="D97" s="2" t="s">
        <v>28</v>
      </c>
      <c r="E97" s="1">
        <v>14</v>
      </c>
      <c r="G97" s="10"/>
    </row>
    <row r="98" spans="1:10" x14ac:dyDescent="0.3">
      <c r="A98" s="26"/>
      <c r="B98" s="26"/>
      <c r="C98" s="26"/>
      <c r="G98" s="10"/>
    </row>
    <row r="99" spans="1:10" x14ac:dyDescent="0.3">
      <c r="A99" s="26"/>
      <c r="B99" s="26"/>
      <c r="C99" s="26"/>
      <c r="G99" s="10"/>
    </row>
    <row r="100" spans="1:10" x14ac:dyDescent="0.3">
      <c r="A100" s="26"/>
      <c r="B100" s="26"/>
      <c r="C100" s="26"/>
      <c r="G100" s="10"/>
    </row>
    <row r="101" spans="1:10" x14ac:dyDescent="0.3">
      <c r="G101" s="10"/>
    </row>
    <row r="102" spans="1:10" x14ac:dyDescent="0.3">
      <c r="A102" s="26" t="s">
        <v>29</v>
      </c>
      <c r="B102" s="26"/>
      <c r="C102" s="26"/>
      <c r="D102" s="2" t="s">
        <v>30</v>
      </c>
      <c r="E102" s="1">
        <v>15</v>
      </c>
      <c r="G102" s="10"/>
    </row>
    <row r="103" spans="1:10" x14ac:dyDescent="0.3">
      <c r="A103" s="26"/>
      <c r="B103" s="26"/>
      <c r="C103" s="26"/>
      <c r="G103" s="10"/>
    </row>
    <row r="104" spans="1:10" x14ac:dyDescent="0.3">
      <c r="A104" s="26"/>
      <c r="B104" s="26"/>
      <c r="C104" s="26"/>
      <c r="G104" s="10"/>
    </row>
    <row r="105" spans="1:10" x14ac:dyDescent="0.3">
      <c r="A105" s="26"/>
      <c r="B105" s="26"/>
      <c r="C105" s="26"/>
      <c r="G105" s="10"/>
    </row>
    <row r="107" spans="1:10" x14ac:dyDescent="0.3">
      <c r="A107" s="26" t="s">
        <v>31</v>
      </c>
      <c r="B107" s="26"/>
      <c r="C107" s="26"/>
      <c r="D107" s="26"/>
      <c r="F107" s="26" t="s">
        <v>32</v>
      </c>
      <c r="G107" s="26"/>
      <c r="H107" s="26"/>
      <c r="I107" s="26"/>
      <c r="J107" s="33"/>
    </row>
    <row r="108" spans="1:10" x14ac:dyDescent="0.3">
      <c r="A108" s="26"/>
      <c r="B108" s="26"/>
      <c r="C108" s="26"/>
      <c r="D108" s="26"/>
      <c r="F108" s="26"/>
      <c r="G108" s="26"/>
      <c r="H108" s="26"/>
      <c r="I108" s="26"/>
      <c r="J108" s="33"/>
    </row>
    <row r="109" spans="1:10" x14ac:dyDescent="0.3">
      <c r="A109" s="26"/>
      <c r="B109" s="26"/>
      <c r="C109" s="26"/>
      <c r="D109" s="26"/>
      <c r="F109" s="26"/>
      <c r="G109" s="26"/>
      <c r="H109" s="26"/>
      <c r="I109" s="26"/>
      <c r="J109" s="33"/>
    </row>
    <row r="110" spans="1:10" x14ac:dyDescent="0.3">
      <c r="A110" s="26"/>
      <c r="B110" s="26"/>
      <c r="C110" s="26"/>
      <c r="D110" s="26"/>
      <c r="F110" s="26"/>
      <c r="G110" s="26"/>
      <c r="H110" s="26"/>
      <c r="I110" s="26"/>
      <c r="J110" s="33"/>
    </row>
    <row r="111" spans="1:10" x14ac:dyDescent="0.3">
      <c r="A111" s="26"/>
      <c r="B111" s="26"/>
      <c r="C111" s="26"/>
      <c r="D111" s="26"/>
      <c r="F111" s="26"/>
      <c r="G111" s="26"/>
      <c r="H111" s="26"/>
      <c r="I111" s="26"/>
      <c r="J111" s="33"/>
    </row>
    <row r="112" spans="1:10" x14ac:dyDescent="0.3">
      <c r="A112" s="26"/>
      <c r="B112" s="26"/>
      <c r="C112" s="26"/>
      <c r="D112" s="26"/>
    </row>
    <row r="115" spans="1:18" x14ac:dyDescent="0.3">
      <c r="A115" s="6">
        <v>10</v>
      </c>
      <c r="B115" s="1">
        <v>10</v>
      </c>
      <c r="C115" s="1">
        <v>14</v>
      </c>
      <c r="D115" s="6">
        <v>20</v>
      </c>
      <c r="E115" s="6">
        <v>10</v>
      </c>
      <c r="F115" s="6">
        <v>15</v>
      </c>
      <c r="G115" s="6">
        <v>2</v>
      </c>
      <c r="H115" s="6">
        <v>14</v>
      </c>
      <c r="I115" s="6">
        <v>15</v>
      </c>
      <c r="J115" s="6">
        <v>15</v>
      </c>
      <c r="K115" s="6">
        <v>3</v>
      </c>
      <c r="L115" s="6">
        <v>20</v>
      </c>
      <c r="M115" s="6">
        <v>45</v>
      </c>
      <c r="O115" s="26" t="s">
        <v>33</v>
      </c>
      <c r="P115" s="26"/>
      <c r="Q115" s="26"/>
      <c r="R115" s="26"/>
    </row>
    <row r="116" spans="1:18" x14ac:dyDescent="0.3">
      <c r="A116" s="1">
        <v>12</v>
      </c>
      <c r="B116" s="1">
        <v>18</v>
      </c>
      <c r="C116" s="1">
        <v>20</v>
      </c>
      <c r="D116" s="6">
        <v>10</v>
      </c>
      <c r="E116" s="6">
        <v>18</v>
      </c>
      <c r="F116" s="6">
        <v>10</v>
      </c>
      <c r="G116" s="6">
        <v>15</v>
      </c>
      <c r="H116" s="6">
        <v>14</v>
      </c>
      <c r="I116" s="6">
        <v>18</v>
      </c>
      <c r="J116" s="6">
        <v>21</v>
      </c>
      <c r="K116" s="6">
        <v>23</v>
      </c>
      <c r="L116" s="6">
        <v>20</v>
      </c>
      <c r="M116" s="6">
        <v>15</v>
      </c>
      <c r="O116" s="26"/>
      <c r="P116" s="26"/>
      <c r="Q116" s="26"/>
      <c r="R116" s="26"/>
    </row>
    <row r="117" spans="1:18" x14ac:dyDescent="0.3">
      <c r="O117" s="26"/>
      <c r="P117" s="26"/>
      <c r="Q117" s="26"/>
      <c r="R117" s="26"/>
    </row>
    <row r="118" spans="1:18" x14ac:dyDescent="0.3">
      <c r="A118" s="2" t="s">
        <v>0</v>
      </c>
      <c r="B118" s="1">
        <v>2</v>
      </c>
      <c r="C118" s="1">
        <v>3</v>
      </c>
      <c r="D118" s="11">
        <v>10</v>
      </c>
      <c r="E118" s="1">
        <v>12</v>
      </c>
      <c r="F118" s="1">
        <v>14</v>
      </c>
      <c r="G118" s="11">
        <v>15</v>
      </c>
      <c r="H118" s="1">
        <v>18</v>
      </c>
      <c r="I118" s="1">
        <v>20</v>
      </c>
      <c r="J118" s="1">
        <v>21</v>
      </c>
      <c r="K118" s="1">
        <v>23</v>
      </c>
      <c r="L118" s="1">
        <v>45</v>
      </c>
      <c r="O118" s="26"/>
      <c r="P118" s="26"/>
      <c r="Q118" s="26"/>
      <c r="R118" s="26"/>
    </row>
    <row r="119" spans="1:18" x14ac:dyDescent="0.3">
      <c r="A119" s="2" t="s">
        <v>1</v>
      </c>
      <c r="B119" s="1">
        <v>1</v>
      </c>
      <c r="C119" s="1">
        <v>1</v>
      </c>
      <c r="D119" s="11">
        <v>5</v>
      </c>
      <c r="E119" s="1">
        <v>1</v>
      </c>
      <c r="F119" s="1">
        <v>3</v>
      </c>
      <c r="G119" s="11">
        <v>5</v>
      </c>
      <c r="H119" s="1">
        <v>3</v>
      </c>
      <c r="I119" s="1">
        <v>4</v>
      </c>
      <c r="J119" s="1">
        <v>1</v>
      </c>
      <c r="K119" s="1">
        <v>1</v>
      </c>
      <c r="L119" s="1">
        <v>1</v>
      </c>
      <c r="O119" s="26"/>
      <c r="P119" s="26"/>
      <c r="Q119" s="26"/>
      <c r="R119" s="26"/>
    </row>
  </sheetData>
  <mergeCells count="23">
    <mergeCell ref="A62:D62"/>
    <mergeCell ref="A68:C71"/>
    <mergeCell ref="O115:R119"/>
    <mergeCell ref="A2:M2"/>
    <mergeCell ref="A26:G26"/>
    <mergeCell ref="A22:D22"/>
    <mergeCell ref="A17:G17"/>
    <mergeCell ref="A97:C100"/>
    <mergeCell ref="A102:C105"/>
    <mergeCell ref="A107:D112"/>
    <mergeCell ref="F107:J111"/>
    <mergeCell ref="C49:N50"/>
    <mergeCell ref="C52:N53"/>
    <mergeCell ref="C55:P56"/>
    <mergeCell ref="A45:M45"/>
    <mergeCell ref="A58:B58"/>
    <mergeCell ref="E68:G71"/>
    <mergeCell ref="A74:E78"/>
    <mergeCell ref="A73:E73"/>
    <mergeCell ref="C63:D64"/>
    <mergeCell ref="C65:D66"/>
    <mergeCell ref="A65:B66"/>
    <mergeCell ref="A63:B64"/>
  </mergeCells>
  <pageMargins left="0.7" right="0.7" top="0.75" bottom="0.75" header="0.3" footer="0.3"/>
  <pageSetup paperSize="9" orientation="portrait" r:id="rId1"/>
  <headerFooter>
    <oddHeader>&amp;CГневнов Артем Евгеньвич, ИВТ 2.1.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57A1-5416-4723-A4BF-B027E7D69DFE}">
  <dimension ref="A1:P75"/>
  <sheetViews>
    <sheetView tabSelected="1" topLeftCell="A39" zoomScale="85" zoomScaleNormal="85" workbookViewId="0">
      <selection activeCell="A75" sqref="A75"/>
    </sheetView>
  </sheetViews>
  <sheetFormatPr defaultRowHeight="14.4" x14ac:dyDescent="0.3"/>
  <sheetData>
    <row r="1" spans="1:16" ht="18" x14ac:dyDescent="0.35">
      <c r="A1" s="30" t="s">
        <v>63</v>
      </c>
      <c r="B1" s="30"/>
      <c r="C1" s="30"/>
      <c r="D1" s="30"/>
      <c r="E1" s="30"/>
      <c r="F1" s="30"/>
      <c r="G1" s="30"/>
    </row>
    <row r="2" spans="1:16" ht="57.6" x14ac:dyDescent="0.3">
      <c r="A2" s="13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9" t="s">
        <v>41</v>
      </c>
      <c r="H2" s="18"/>
      <c r="I2" s="15"/>
      <c r="O2" s="15"/>
    </row>
    <row r="3" spans="1:16" ht="57.6" x14ac:dyDescent="0.3">
      <c r="A3" s="13" t="s">
        <v>42</v>
      </c>
      <c r="B3" s="1">
        <v>30</v>
      </c>
      <c r="C3" s="1">
        <v>38</v>
      </c>
      <c r="D3" s="1">
        <v>50</v>
      </c>
      <c r="E3" s="1">
        <v>31</v>
      </c>
      <c r="F3" s="1">
        <v>22</v>
      </c>
      <c r="G3" s="1">
        <v>13</v>
      </c>
      <c r="H3" s="14"/>
      <c r="I3" s="15"/>
      <c r="O3" s="15"/>
    </row>
    <row r="4" spans="1:16" ht="43.2" x14ac:dyDescent="0.3">
      <c r="A4" s="13" t="s">
        <v>43</v>
      </c>
      <c r="B4" s="1">
        <v>0.16300000000000001</v>
      </c>
      <c r="C4" s="1">
        <v>0.20699999999999999</v>
      </c>
      <c r="D4" s="1">
        <v>0.27200000000000002</v>
      </c>
      <c r="E4" s="1">
        <v>0.16800000000000001</v>
      </c>
      <c r="F4" s="1">
        <v>0.12</v>
      </c>
      <c r="G4" s="1">
        <v>7.0000000000000007E-2</v>
      </c>
      <c r="H4" s="14"/>
      <c r="I4" s="15"/>
      <c r="O4" s="15"/>
    </row>
    <row r="5" spans="1:16" x14ac:dyDescent="0.3">
      <c r="H5" s="15"/>
      <c r="I5" s="15"/>
      <c r="O5" s="15"/>
    </row>
    <row r="6" spans="1:16" x14ac:dyDescent="0.3">
      <c r="A6" s="39" t="s">
        <v>48</v>
      </c>
      <c r="B6" s="39"/>
      <c r="C6" s="39"/>
      <c r="D6" s="39"/>
      <c r="E6" s="39"/>
      <c r="F6" s="39"/>
      <c r="G6" s="39"/>
      <c r="H6" s="15"/>
      <c r="I6" s="15"/>
      <c r="O6" s="15"/>
    </row>
    <row r="7" spans="1:16" ht="28.8" x14ac:dyDescent="0.3">
      <c r="A7" s="23" t="s">
        <v>44</v>
      </c>
      <c r="B7" s="1">
        <v>100</v>
      </c>
      <c r="C7" s="1">
        <v>300</v>
      </c>
      <c r="D7" s="1">
        <v>500</v>
      </c>
      <c r="E7" s="1">
        <v>700</v>
      </c>
      <c r="F7" s="1">
        <v>900</v>
      </c>
      <c r="G7" s="1">
        <v>1100</v>
      </c>
      <c r="H7" s="14"/>
      <c r="I7" s="15"/>
      <c r="O7" s="16"/>
      <c r="P7" s="12"/>
    </row>
    <row r="8" spans="1:16" ht="28.8" x14ac:dyDescent="0.3">
      <c r="A8" s="23" t="s">
        <v>45</v>
      </c>
      <c r="B8" s="1">
        <v>300</v>
      </c>
      <c r="C8" s="1">
        <v>500</v>
      </c>
      <c r="D8" s="1">
        <v>700</v>
      </c>
      <c r="E8" s="1">
        <v>900</v>
      </c>
      <c r="F8" s="1">
        <v>1100</v>
      </c>
      <c r="G8" s="1">
        <v>1300</v>
      </c>
      <c r="H8" s="15"/>
      <c r="I8" s="15"/>
      <c r="O8" s="15"/>
    </row>
    <row r="9" spans="1:16" x14ac:dyDescent="0.3">
      <c r="H9" s="15"/>
      <c r="I9" s="15"/>
      <c r="O9" s="15"/>
    </row>
    <row r="10" spans="1:16" x14ac:dyDescent="0.3">
      <c r="A10" s="27" t="s">
        <v>57</v>
      </c>
      <c r="B10" s="27"/>
      <c r="C10" s="27"/>
      <c r="D10" s="27"/>
      <c r="H10" s="15"/>
      <c r="I10" s="15"/>
      <c r="J10" s="15"/>
    </row>
    <row r="11" spans="1:16" x14ac:dyDescent="0.3">
      <c r="A11" s="40" t="s">
        <v>8</v>
      </c>
      <c r="B11" s="40"/>
      <c r="C11" s="40" t="s">
        <v>49</v>
      </c>
      <c r="D11" s="40"/>
    </row>
    <row r="12" spans="1:16" x14ac:dyDescent="0.3">
      <c r="A12" s="28" t="s">
        <v>50</v>
      </c>
      <c r="B12" s="28"/>
      <c r="C12" s="28">
        <v>10</v>
      </c>
      <c r="D12" s="28"/>
    </row>
    <row r="13" spans="1:16" x14ac:dyDescent="0.3">
      <c r="A13" s="28" t="s">
        <v>51</v>
      </c>
      <c r="B13" s="28"/>
      <c r="C13" s="28">
        <v>29</v>
      </c>
      <c r="D13" s="28"/>
    </row>
    <row r="14" spans="1:16" x14ac:dyDescent="0.3">
      <c r="A14" s="28" t="s">
        <v>52</v>
      </c>
      <c r="B14" s="28"/>
      <c r="C14" s="28">
        <v>2</v>
      </c>
      <c r="D14" s="28"/>
    </row>
    <row r="15" spans="1:16" x14ac:dyDescent="0.3">
      <c r="A15" s="28" t="s">
        <v>53</v>
      </c>
      <c r="B15" s="28"/>
      <c r="C15" s="28">
        <v>13</v>
      </c>
      <c r="D15" s="28"/>
    </row>
    <row r="16" spans="1:16" x14ac:dyDescent="0.3">
      <c r="A16" s="28" t="s">
        <v>54</v>
      </c>
      <c r="B16" s="28"/>
      <c r="C16" s="28" t="s">
        <v>55</v>
      </c>
      <c r="D16" s="28"/>
    </row>
    <row r="17" spans="1:16" x14ac:dyDescent="0.3">
      <c r="A17" s="28" t="s">
        <v>56</v>
      </c>
      <c r="B17" s="28"/>
      <c r="C17" s="28">
        <v>6</v>
      </c>
      <c r="D17" s="28"/>
    </row>
    <row r="19" spans="1:16" x14ac:dyDescent="0.3">
      <c r="A19" s="24" t="s">
        <v>7</v>
      </c>
      <c r="B19" s="25" t="s">
        <v>60</v>
      </c>
      <c r="C19" s="25" t="s">
        <v>61</v>
      </c>
      <c r="D19" s="25" t="s">
        <v>58</v>
      </c>
      <c r="E19" s="25" t="s">
        <v>59</v>
      </c>
    </row>
    <row r="20" spans="1:16" x14ac:dyDescent="0.3">
      <c r="A20" s="20">
        <v>10</v>
      </c>
      <c r="B20" s="20">
        <v>60</v>
      </c>
      <c r="C20" s="20">
        <v>100</v>
      </c>
      <c r="D20" s="20">
        <f>B20-A20</f>
        <v>50</v>
      </c>
      <c r="E20" s="20">
        <f>C20+A20</f>
        <v>110</v>
      </c>
    </row>
    <row r="22" spans="1:16" x14ac:dyDescent="0.3">
      <c r="A22" s="26" t="s">
        <v>62</v>
      </c>
      <c r="B22" s="26"/>
      <c r="C22" s="26"/>
      <c r="D22" s="26"/>
      <c r="E22" s="26"/>
      <c r="F22" s="26"/>
      <c r="G22" s="26"/>
      <c r="H22" s="26"/>
    </row>
    <row r="23" spans="1:16" x14ac:dyDescent="0.3">
      <c r="A23" s="26"/>
      <c r="B23" s="26"/>
      <c r="C23" s="26"/>
      <c r="D23" s="26"/>
      <c r="E23" s="26"/>
      <c r="F23" s="26"/>
      <c r="G23" s="26"/>
      <c r="H23" s="26"/>
    </row>
    <row r="24" spans="1:16" x14ac:dyDescent="0.3">
      <c r="A24" s="26"/>
      <c r="B24" s="26"/>
      <c r="C24" s="26"/>
      <c r="D24" s="26"/>
      <c r="E24" s="26"/>
      <c r="F24" s="26"/>
      <c r="G24" s="26"/>
      <c r="H24" s="26"/>
    </row>
    <row r="26" spans="1:16" x14ac:dyDescent="0.3">
      <c r="A26" s="27" t="s">
        <v>66</v>
      </c>
      <c r="B26" s="27"/>
      <c r="C26" s="27"/>
      <c r="D26" s="27"/>
      <c r="E26" s="27"/>
      <c r="F26" s="27"/>
      <c r="G26" s="27"/>
      <c r="H26" s="27"/>
    </row>
    <row r="27" spans="1:16" x14ac:dyDescent="0.3">
      <c r="A27" s="23" t="s">
        <v>0</v>
      </c>
      <c r="B27" s="1">
        <v>100</v>
      </c>
      <c r="C27" s="1">
        <v>300</v>
      </c>
      <c r="D27" s="1">
        <v>500</v>
      </c>
      <c r="E27" s="1">
        <v>700</v>
      </c>
      <c r="F27" s="1">
        <v>900</v>
      </c>
      <c r="G27" s="1">
        <v>1100</v>
      </c>
      <c r="H27" s="1">
        <v>1300</v>
      </c>
      <c r="I27" s="16"/>
      <c r="J27" s="12"/>
      <c r="K27" s="12"/>
      <c r="L27" s="12"/>
      <c r="M27" s="12"/>
      <c r="N27" s="12"/>
      <c r="O27" s="12"/>
      <c r="P27" s="12"/>
    </row>
    <row r="28" spans="1:16" ht="43.2" x14ac:dyDescent="0.3">
      <c r="A28" s="23" t="s">
        <v>46</v>
      </c>
      <c r="B28" s="1">
        <f>0</f>
        <v>0</v>
      </c>
      <c r="C28" s="1">
        <f>B3</f>
        <v>30</v>
      </c>
      <c r="D28" s="1">
        <f>B3+C3</f>
        <v>68</v>
      </c>
      <c r="E28" s="1">
        <f>SUM(B3:D3)</f>
        <v>118</v>
      </c>
      <c r="F28" s="1">
        <f>SUM(B3:E3)</f>
        <v>149</v>
      </c>
      <c r="G28" s="1">
        <f>SUM(B3:F3)</f>
        <v>171</v>
      </c>
      <c r="H28" s="1">
        <f>SUM(B3:G3)</f>
        <v>184</v>
      </c>
      <c r="I28" s="15"/>
    </row>
    <row r="29" spans="1:16" ht="43.2" x14ac:dyDescent="0.3">
      <c r="A29" s="23" t="s">
        <v>47</v>
      </c>
      <c r="B29" s="1">
        <f>SUM(B3:G3)</f>
        <v>184</v>
      </c>
      <c r="C29" s="1">
        <f>SUM(B3:F3)</f>
        <v>171</v>
      </c>
      <c r="D29" s="1">
        <f>SUM(B3:E3)</f>
        <v>149</v>
      </c>
      <c r="E29" s="1">
        <f>SUM(B3:D3)</f>
        <v>118</v>
      </c>
      <c r="F29" s="1">
        <f>SUM(B3:C3)</f>
        <v>68</v>
      </c>
      <c r="G29" s="1">
        <f>B3</f>
        <v>30</v>
      </c>
      <c r="H29" s="1">
        <v>0</v>
      </c>
    </row>
    <row r="30" spans="1:16" x14ac:dyDescent="0.3">
      <c r="A30" s="37" t="s">
        <v>75</v>
      </c>
      <c r="B30" s="38"/>
      <c r="C30" s="38"/>
      <c r="D30" s="38"/>
      <c r="E30" s="38"/>
      <c r="F30" s="38"/>
      <c r="G30" s="38"/>
    </row>
    <row r="31" spans="1:16" x14ac:dyDescent="0.3">
      <c r="A31" s="38"/>
      <c r="B31" s="38"/>
      <c r="C31" s="38"/>
      <c r="D31" s="38"/>
      <c r="E31" s="38"/>
      <c r="F31" s="38"/>
      <c r="G31" s="38"/>
    </row>
    <row r="32" spans="1:16" x14ac:dyDescent="0.3">
      <c r="A32" s="37" t="s">
        <v>76</v>
      </c>
      <c r="B32" s="38"/>
      <c r="C32" s="38"/>
      <c r="D32" s="38"/>
      <c r="E32" s="38"/>
      <c r="F32" s="38"/>
      <c r="G32" s="38"/>
    </row>
    <row r="33" spans="1:15" x14ac:dyDescent="0.3">
      <c r="A33" s="38"/>
      <c r="B33" s="38"/>
      <c r="C33" s="38"/>
      <c r="D33" s="38"/>
      <c r="E33" s="38"/>
      <c r="F33" s="38"/>
      <c r="G33" s="38"/>
    </row>
    <row r="35" spans="1:15" x14ac:dyDescent="0.3">
      <c r="A35" s="31" t="s">
        <v>70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46" spans="1:15" x14ac:dyDescent="0.3">
      <c r="A46" s="12"/>
      <c r="B46" s="12"/>
      <c r="C46" s="12"/>
      <c r="D46" s="12"/>
      <c r="E46" s="12"/>
      <c r="F46" s="12"/>
      <c r="G46" s="12"/>
    </row>
    <row r="47" spans="1:15" x14ac:dyDescent="0.3">
      <c r="A47" s="12"/>
      <c r="B47" s="12"/>
      <c r="C47" s="12"/>
      <c r="D47" s="12"/>
      <c r="E47" s="12"/>
      <c r="F47" s="12"/>
      <c r="G47" s="12"/>
      <c r="H47" s="3"/>
    </row>
    <row r="48" spans="1:15" x14ac:dyDescent="0.3">
      <c r="A48" s="8"/>
      <c r="H48" s="3"/>
    </row>
    <row r="53" spans="1:14" x14ac:dyDescent="0.3">
      <c r="A53" s="31" t="s">
        <v>71</v>
      </c>
      <c r="B53" s="31"/>
      <c r="C53" s="31"/>
      <c r="D53" s="31"/>
      <c r="E53" s="31"/>
      <c r="F53" s="31"/>
      <c r="G53" s="31"/>
      <c r="H53" s="31"/>
      <c r="N53" s="8"/>
    </row>
    <row r="54" spans="1:14" x14ac:dyDescent="0.3">
      <c r="A54" s="8"/>
      <c r="H54" s="3"/>
      <c r="N54" s="8"/>
    </row>
    <row r="55" spans="1:14" x14ac:dyDescent="0.3">
      <c r="A55" s="8"/>
      <c r="H55" s="3"/>
    </row>
    <row r="70" spans="1:2" x14ac:dyDescent="0.3">
      <c r="A70" s="27" t="s">
        <v>73</v>
      </c>
      <c r="B70" s="27"/>
    </row>
    <row r="71" spans="1:2" x14ac:dyDescent="0.3">
      <c r="A71" s="24" t="s">
        <v>3</v>
      </c>
      <c r="B71" s="6">
        <v>184</v>
      </c>
    </row>
    <row r="72" spans="1:2" x14ac:dyDescent="0.3">
      <c r="A72" s="24" t="s">
        <v>68</v>
      </c>
      <c r="B72" s="1">
        <f>500+200*(0.5*$B$71-$D$28)/$D$3</f>
        <v>596</v>
      </c>
    </row>
    <row r="74" spans="1:2" x14ac:dyDescent="0.3">
      <c r="A74" s="27" t="s">
        <v>74</v>
      </c>
      <c r="B74" s="27"/>
    </row>
    <row r="75" spans="1:2" x14ac:dyDescent="0.3">
      <c r="A75" s="24" t="s">
        <v>69</v>
      </c>
      <c r="B75" s="1">
        <f>500+200*((D3-C3)/((D3-C3)+(D3-E3)))</f>
        <v>577.41935483870964</v>
      </c>
    </row>
  </sheetData>
  <mergeCells count="25">
    <mergeCell ref="C17:D17"/>
    <mergeCell ref="A14:B14"/>
    <mergeCell ref="A15:B15"/>
    <mergeCell ref="A16:B16"/>
    <mergeCell ref="C12:D12"/>
    <mergeCell ref="C13:D13"/>
    <mergeCell ref="C14:D14"/>
    <mergeCell ref="C15:D15"/>
    <mergeCell ref="C16:D16"/>
    <mergeCell ref="A30:G31"/>
    <mergeCell ref="A32:G33"/>
    <mergeCell ref="A74:B74"/>
    <mergeCell ref="A70:B70"/>
    <mergeCell ref="A1:G1"/>
    <mergeCell ref="A6:G6"/>
    <mergeCell ref="A11:B11"/>
    <mergeCell ref="A12:B12"/>
    <mergeCell ref="A13:B13"/>
    <mergeCell ref="A22:H24"/>
    <mergeCell ref="A10:D10"/>
    <mergeCell ref="A26:H26"/>
    <mergeCell ref="A35:O35"/>
    <mergeCell ref="A53:H53"/>
    <mergeCell ref="A17:B17"/>
    <mergeCell ref="C11:D11"/>
  </mergeCells>
  <pageMargins left="0.7" right="0.7" top="0.75" bottom="0.75" header="0.3" footer="0.3"/>
  <pageSetup paperSize="9" orientation="portrait" r:id="rId1"/>
  <headerFooter>
    <oddHeader>&amp;CГневнов Артем Евгеньевич, ИВТ 2.1.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2023-12-24T17:16:07Z</dcterms:modified>
</cp:coreProperties>
</file>