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Ольга\Downloads\"/>
    </mc:Choice>
  </mc:AlternateContent>
  <bookViews>
    <workbookView xWindow="0" yWindow="0" windowWidth="19200" windowHeight="7640" tabRatio="694" activeTab="1"/>
  </bookViews>
  <sheets>
    <sheet name="Данные" sheetId="18" r:id="rId1"/>
    <sheet name="Данные, контроль" sheetId="58" r:id="rId2"/>
    <sheet name="ИВТ 2015 (за 4 года)" sheetId="51" r:id="rId3"/>
    <sheet name="Преподаватели" sheetId="59" r:id="rId4"/>
  </sheets>
  <definedNames>
    <definedName name="_xlnm._FilterDatabase" localSheetId="0" hidden="1">Данные!$AD$4:$AS$5</definedName>
    <definedName name="_xlnm._FilterDatabase" localSheetId="1" hidden="1">'Данные, контроль'!$A$1:$AA$2</definedName>
    <definedName name="_xlnm._FilterDatabase" localSheetId="2" hidden="1">'ИВТ 2015 (за 4 года)'!$A$1:$AH$859</definedName>
  </definedNames>
  <calcPr calcId="162913"/>
</workbook>
</file>

<file path=xl/calcChain.xml><?xml version="1.0" encoding="utf-8"?>
<calcChain xmlns="http://schemas.openxmlformats.org/spreadsheetml/2006/main">
  <c r="W4" i="18" l="1"/>
  <c r="Y4" i="18" s="1"/>
  <c r="W5" i="18"/>
  <c r="Y5" i="18" s="1"/>
  <c r="W6" i="18"/>
  <c r="Y6" i="18" s="1"/>
  <c r="W7" i="18"/>
  <c r="Y7" i="18" s="1"/>
  <c r="W8" i="18"/>
  <c r="Y8" i="18" s="1"/>
  <c r="W9" i="18"/>
  <c r="Y9" i="18" s="1"/>
  <c r="W10" i="18"/>
  <c r="Y10" i="18" s="1"/>
  <c r="W11" i="18"/>
  <c r="Y11" i="18" s="1"/>
  <c r="W12" i="18"/>
  <c r="Y12" i="18" s="1"/>
  <c r="W13" i="18"/>
  <c r="Y13" i="18" s="1"/>
  <c r="W14" i="18"/>
  <c r="Y14" i="18" s="1"/>
  <c r="W15" i="18"/>
  <c r="Y15" i="18" s="1"/>
  <c r="W16" i="18"/>
  <c r="Y16" i="18" s="1"/>
  <c r="W17" i="18"/>
  <c r="Y17" i="18" s="1"/>
  <c r="W18" i="18"/>
  <c r="Y18" i="18" s="1"/>
  <c r="W19" i="18"/>
  <c r="Y19" i="18" s="1"/>
  <c r="W20" i="18"/>
  <c r="Y20" i="18" s="1"/>
  <c r="W21" i="18"/>
  <c r="Y21" i="18" s="1"/>
  <c r="W22" i="18"/>
  <c r="Y22" i="18" s="1"/>
  <c r="W23" i="18"/>
  <c r="Y23" i="18" s="1"/>
  <c r="W24" i="18"/>
  <c r="Y24" i="18" s="1"/>
  <c r="W25" i="18"/>
  <c r="Y25" i="18" s="1"/>
  <c r="W26" i="18"/>
  <c r="Y26" i="18" s="1"/>
  <c r="W27" i="18"/>
  <c r="Y27" i="18" s="1"/>
  <c r="W28" i="18"/>
  <c r="Y28" i="18" s="1"/>
  <c r="W29" i="18"/>
  <c r="Y29" i="18" s="1"/>
  <c r="W30" i="18"/>
  <c r="Y30" i="18" s="1"/>
  <c r="W31" i="18"/>
  <c r="Y31" i="18" s="1"/>
  <c r="W32" i="18"/>
  <c r="Y32" i="18" s="1"/>
  <c r="W33" i="18"/>
  <c r="Y33" i="18" s="1"/>
  <c r="W34" i="18"/>
  <c r="Y34" i="18" s="1"/>
  <c r="W35" i="18"/>
  <c r="Y35" i="18" s="1"/>
  <c r="W36" i="18"/>
  <c r="Y36" i="18" s="1"/>
  <c r="W37" i="18"/>
  <c r="Y37" i="18" s="1"/>
  <c r="W38" i="18"/>
  <c r="Y38" i="18" s="1"/>
  <c r="W39" i="18"/>
  <c r="Y39" i="18" s="1"/>
  <c r="W40" i="18"/>
  <c r="Y40" i="18" s="1"/>
  <c r="W41" i="18"/>
  <c r="Y41" i="18" s="1"/>
  <c r="W42" i="18"/>
  <c r="Y42" i="18" s="1"/>
  <c r="W43" i="18"/>
  <c r="Y43" i="18" s="1"/>
  <c r="W44" i="18"/>
  <c r="Y44" i="18" s="1"/>
  <c r="W45" i="18"/>
  <c r="Y45" i="18" s="1"/>
  <c r="W46" i="18"/>
  <c r="Y46" i="18" s="1"/>
  <c r="W47" i="18"/>
  <c r="Y47" i="18" s="1"/>
  <c r="W48" i="18"/>
  <c r="Y48" i="18" s="1"/>
  <c r="W49" i="18"/>
  <c r="Y49" i="18" s="1"/>
  <c r="W50" i="18"/>
  <c r="Y50" i="18" s="1"/>
  <c r="W51" i="18"/>
  <c r="Y51" i="18" s="1"/>
  <c r="W52" i="18"/>
  <c r="Y52" i="18" s="1"/>
  <c r="W53" i="18"/>
  <c r="Y53" i="18" s="1"/>
  <c r="W54" i="18"/>
  <c r="Y54" i="18" s="1"/>
  <c r="W55" i="18"/>
  <c r="Y55" i="18" s="1"/>
  <c r="W56" i="18"/>
  <c r="Y56" i="18" s="1"/>
  <c r="W57" i="18"/>
  <c r="Y57" i="18" s="1"/>
  <c r="W58" i="18"/>
  <c r="Y58" i="18" s="1"/>
  <c r="W59" i="18"/>
  <c r="Y59" i="18" s="1"/>
  <c r="W60" i="18"/>
  <c r="Y60" i="18" s="1"/>
  <c r="W61" i="18"/>
  <c r="Y61" i="18" s="1"/>
  <c r="W62" i="18"/>
  <c r="Y62" i="18" s="1"/>
  <c r="W63" i="18"/>
  <c r="Y63" i="18" s="1"/>
  <c r="W64" i="18"/>
  <c r="Y64" i="18" s="1"/>
  <c r="W65" i="18"/>
  <c r="Y65" i="18" s="1"/>
  <c r="W66" i="18"/>
  <c r="Y66" i="18" s="1"/>
  <c r="W67" i="18"/>
  <c r="Y67" i="18" s="1"/>
  <c r="W68" i="18"/>
  <c r="Y68" i="18" s="1"/>
  <c r="W69" i="18"/>
  <c r="Y69" i="18" s="1"/>
  <c r="W70" i="18"/>
  <c r="Y70" i="18" s="1"/>
  <c r="W71" i="18"/>
  <c r="Y71" i="18" s="1"/>
  <c r="W72" i="18"/>
  <c r="Y72" i="18" s="1"/>
  <c r="W73" i="18"/>
  <c r="Y73" i="18" s="1"/>
  <c r="W74" i="18"/>
  <c r="Y74" i="18" s="1"/>
  <c r="W75" i="18"/>
  <c r="Y75" i="18" s="1"/>
  <c r="W76" i="18"/>
  <c r="Y76" i="18" s="1"/>
  <c r="W77" i="18"/>
  <c r="Y77" i="18" s="1"/>
  <c r="W78" i="18"/>
  <c r="Y78" i="18" s="1"/>
  <c r="W79" i="18"/>
  <c r="Y79" i="18" s="1"/>
  <c r="W80" i="18"/>
  <c r="Y80" i="18" s="1"/>
  <c r="W81" i="18"/>
  <c r="Y81" i="18" s="1"/>
  <c r="W82" i="18"/>
  <c r="Y82" i="18" s="1"/>
  <c r="W83" i="18"/>
  <c r="Y83" i="18" s="1"/>
  <c r="W84" i="18"/>
  <c r="Y84" i="18" s="1"/>
  <c r="W85" i="18"/>
  <c r="Y85" i="18" s="1"/>
  <c r="W86" i="18"/>
  <c r="Y86" i="18" s="1"/>
  <c r="W87" i="18"/>
  <c r="Y87" i="18" s="1"/>
  <c r="W88" i="18"/>
  <c r="Y88" i="18" s="1"/>
  <c r="W89" i="18"/>
  <c r="Y89" i="18" s="1"/>
  <c r="W90" i="18"/>
  <c r="Y90" i="18" s="1"/>
  <c r="W91" i="18"/>
  <c r="Y91" i="18" s="1"/>
  <c r="W92" i="18"/>
  <c r="Y92" i="18" s="1"/>
  <c r="W93" i="18"/>
  <c r="Y93" i="18" s="1"/>
  <c r="W94" i="18"/>
  <c r="Y94" i="18" s="1"/>
  <c r="W95" i="18"/>
  <c r="Y95" i="18" s="1"/>
  <c r="W96" i="18"/>
  <c r="Y96" i="18" s="1"/>
  <c r="W97" i="18"/>
  <c r="Y97" i="18" s="1"/>
  <c r="W98" i="18"/>
  <c r="Y98" i="18" s="1"/>
  <c r="W99" i="18"/>
  <c r="Y99" i="18" s="1"/>
  <c r="W100" i="18"/>
  <c r="Y100" i="18" s="1"/>
  <c r="W101" i="18"/>
  <c r="Y101" i="18" s="1"/>
  <c r="W102" i="18"/>
  <c r="Y102" i="18" s="1"/>
  <c r="W103" i="18"/>
  <c r="Y103" i="18" s="1"/>
  <c r="W104" i="18"/>
  <c r="Y104" i="18" s="1"/>
  <c r="W105" i="18"/>
  <c r="Y105" i="18" s="1"/>
  <c r="W106" i="18"/>
  <c r="Y106" i="18" s="1"/>
  <c r="W107" i="18"/>
  <c r="Y107" i="18" s="1"/>
  <c r="W108" i="18"/>
  <c r="Y108" i="18" s="1"/>
  <c r="W109" i="18"/>
  <c r="Y109" i="18" s="1"/>
  <c r="W110" i="18"/>
  <c r="Y110" i="18" s="1"/>
  <c r="W111" i="18"/>
  <c r="Y111" i="18" s="1"/>
  <c r="W112" i="18"/>
  <c r="Y112" i="18" s="1"/>
  <c r="W113" i="18"/>
  <c r="Y113" i="18" s="1"/>
  <c r="W114" i="18"/>
  <c r="Y114" i="18" s="1"/>
  <c r="W115" i="18"/>
  <c r="Y115" i="18" s="1"/>
  <c r="W116" i="18"/>
  <c r="Y116" i="18" s="1"/>
  <c r="W117" i="18"/>
  <c r="Y117" i="18" s="1"/>
  <c r="W118" i="18"/>
  <c r="Y118" i="18" s="1"/>
  <c r="W119" i="18"/>
  <c r="Y119" i="18" s="1"/>
  <c r="W120" i="18"/>
  <c r="Y120" i="18" s="1"/>
  <c r="W121" i="18"/>
  <c r="Y121" i="18" s="1"/>
  <c r="W122" i="18"/>
  <c r="Y122" i="18" s="1"/>
  <c r="W123" i="18"/>
  <c r="Y123" i="18" s="1"/>
  <c r="W124" i="18"/>
  <c r="Y124" i="18" s="1"/>
  <c r="W125" i="18"/>
  <c r="Y125" i="18" s="1"/>
  <c r="W126" i="18"/>
  <c r="Y126" i="18" s="1"/>
  <c r="W127" i="18"/>
  <c r="Y127" i="18" s="1"/>
  <c r="W128" i="18"/>
  <c r="Y128" i="18" s="1"/>
  <c r="W129" i="18"/>
  <c r="Y129" i="18" s="1"/>
  <c r="W130" i="18"/>
  <c r="Y130" i="18" s="1"/>
  <c r="W131" i="18"/>
  <c r="Y131" i="18" s="1"/>
  <c r="W132" i="18"/>
  <c r="Y132" i="18" s="1"/>
  <c r="W133" i="18"/>
  <c r="Y133" i="18" s="1"/>
  <c r="W134" i="18"/>
  <c r="Y134" i="18" s="1"/>
  <c r="W135" i="18"/>
  <c r="Y135" i="18" s="1"/>
  <c r="W136" i="18"/>
  <c r="Y136" i="18" s="1"/>
  <c r="W137" i="18"/>
  <c r="Y137" i="18" s="1"/>
  <c r="W138" i="18"/>
  <c r="Y138" i="18" s="1"/>
  <c r="W139" i="18"/>
  <c r="Y139" i="18" s="1"/>
  <c r="W140" i="18"/>
  <c r="Y140" i="18" s="1"/>
  <c r="W141" i="18"/>
  <c r="Y141" i="18" s="1"/>
  <c r="W142" i="18"/>
  <c r="Y142" i="18" s="1"/>
  <c r="W143" i="18"/>
  <c r="Y143" i="18" s="1"/>
  <c r="W144" i="18"/>
  <c r="Y144" i="18" s="1"/>
  <c r="W145" i="18"/>
  <c r="Y145" i="18" s="1"/>
  <c r="W146" i="18"/>
  <c r="Y146" i="18" s="1"/>
  <c r="W147" i="18"/>
  <c r="Y147" i="18" s="1"/>
  <c r="W148" i="18"/>
  <c r="Y148" i="18" s="1"/>
  <c r="W149" i="18"/>
  <c r="Y149" i="18" s="1"/>
  <c r="W150" i="18"/>
  <c r="Y150" i="18" s="1"/>
  <c r="W151" i="18"/>
  <c r="Y151" i="18" s="1"/>
  <c r="W152" i="18"/>
  <c r="Y152" i="18" s="1"/>
  <c r="W153" i="18"/>
  <c r="Y153" i="18" s="1"/>
  <c r="W154" i="18"/>
  <c r="Y154" i="18" s="1"/>
  <c r="W155" i="18"/>
  <c r="Y155" i="18" s="1"/>
  <c r="W156" i="18"/>
  <c r="Y156" i="18" s="1"/>
  <c r="W157" i="18"/>
  <c r="Y157" i="18" s="1"/>
  <c r="W158" i="18"/>
  <c r="Y158" i="18" s="1"/>
  <c r="W159" i="18"/>
  <c r="Y159" i="18" s="1"/>
  <c r="W160" i="18"/>
  <c r="Y160" i="18" s="1"/>
  <c r="W161" i="18"/>
  <c r="Y161" i="18" s="1"/>
  <c r="W162" i="18"/>
  <c r="Y162" i="18" s="1"/>
  <c r="W163" i="18"/>
  <c r="Y163" i="18" s="1"/>
  <c r="W164" i="18"/>
  <c r="Y164" i="18" s="1"/>
  <c r="W165" i="18"/>
  <c r="Y165" i="18" s="1"/>
  <c r="W166" i="18"/>
  <c r="Y166" i="18" s="1"/>
  <c r="W167" i="18"/>
  <c r="Y167" i="18" s="1"/>
  <c r="W168" i="18"/>
  <c r="Y168" i="18" s="1"/>
  <c r="W169" i="18"/>
  <c r="Y169" i="18" s="1"/>
  <c r="W170" i="18"/>
  <c r="Y170" i="18" s="1"/>
  <c r="W171" i="18"/>
  <c r="Y171" i="18" s="1"/>
  <c r="W172" i="18"/>
  <c r="Y172" i="18" s="1"/>
  <c r="W173" i="18"/>
  <c r="Y173" i="18" s="1"/>
  <c r="W174" i="18"/>
  <c r="Y174" i="18" s="1"/>
  <c r="W175" i="18"/>
  <c r="Y175" i="18" s="1"/>
  <c r="W176" i="18"/>
  <c r="Y176" i="18" s="1"/>
  <c r="W177" i="18"/>
  <c r="Y177" i="18" s="1"/>
  <c r="W178" i="18"/>
  <c r="Y178" i="18" s="1"/>
  <c r="W179" i="18"/>
  <c r="Y179" i="18" s="1"/>
  <c r="W180" i="18"/>
  <c r="Y180" i="18" s="1"/>
  <c r="W181" i="18"/>
  <c r="Y181" i="18" s="1"/>
  <c r="W182" i="18"/>
  <c r="Y182" i="18" s="1"/>
  <c r="W183" i="18"/>
  <c r="Y183" i="18" s="1"/>
  <c r="W184" i="18"/>
  <c r="Y184" i="18" s="1"/>
  <c r="W185" i="18"/>
  <c r="Y185" i="18" s="1"/>
  <c r="W186" i="18"/>
  <c r="Y186" i="18" s="1"/>
  <c r="W187" i="18"/>
  <c r="Y187" i="18" s="1"/>
  <c r="W188" i="18"/>
  <c r="Y188" i="18" s="1"/>
  <c r="W189" i="18"/>
  <c r="Y189" i="18" s="1"/>
  <c r="W190" i="18"/>
  <c r="Y190" i="18" s="1"/>
  <c r="W191" i="18"/>
  <c r="Y191" i="18" s="1"/>
  <c r="W192" i="18"/>
  <c r="Y192" i="18" s="1"/>
  <c r="W193" i="18"/>
  <c r="Y193" i="18" s="1"/>
  <c r="W194" i="18"/>
  <c r="Y194" i="18" s="1"/>
  <c r="W195" i="18"/>
  <c r="Y195" i="18" s="1"/>
  <c r="W196" i="18"/>
  <c r="Y196" i="18" s="1"/>
  <c r="W197" i="18"/>
  <c r="Y197" i="18" s="1"/>
  <c r="W198" i="18"/>
  <c r="Y198" i="18" s="1"/>
  <c r="W199" i="18"/>
  <c r="Y199" i="18" s="1"/>
  <c r="W200" i="18"/>
  <c r="Y200" i="18" s="1"/>
  <c r="W201" i="18"/>
  <c r="Y201" i="18" s="1"/>
  <c r="W202" i="18"/>
  <c r="Y202" i="18" s="1"/>
  <c r="W203" i="18"/>
  <c r="Y203" i="18" s="1"/>
  <c r="W204" i="18"/>
  <c r="Y204" i="18" s="1"/>
  <c r="W205" i="18"/>
  <c r="Y205" i="18" s="1"/>
  <c r="W206" i="18"/>
  <c r="Y206" i="18" s="1"/>
  <c r="W207" i="18"/>
  <c r="Y207" i="18" s="1"/>
  <c r="W208" i="18"/>
  <c r="Y208" i="18" s="1"/>
  <c r="W209" i="18"/>
  <c r="Y209" i="18" s="1"/>
  <c r="W210" i="18"/>
  <c r="Y210" i="18" s="1"/>
  <c r="W211" i="18"/>
  <c r="Y211" i="18" s="1"/>
  <c r="W212" i="18"/>
  <c r="Y212" i="18" s="1"/>
  <c r="W213" i="18"/>
  <c r="Y213" i="18" s="1"/>
  <c r="W214" i="18"/>
  <c r="Y214" i="18" s="1"/>
  <c r="W215" i="18"/>
  <c r="Y215" i="18" s="1"/>
  <c r="W216" i="18"/>
  <c r="Y216" i="18" s="1"/>
  <c r="W217" i="18"/>
  <c r="Y217" i="18" s="1"/>
  <c r="W218" i="18"/>
  <c r="Y218" i="18" s="1"/>
  <c r="W219" i="18"/>
  <c r="Y219" i="18" s="1"/>
  <c r="W220" i="18"/>
  <c r="Y220" i="18" s="1"/>
  <c r="W221" i="18"/>
  <c r="Y221" i="18" s="1"/>
  <c r="W222" i="18"/>
  <c r="Y222" i="18" s="1"/>
  <c r="W223" i="18"/>
  <c r="Y223" i="18" s="1"/>
  <c r="W224" i="18"/>
  <c r="Y224" i="18" s="1"/>
  <c r="W225" i="18"/>
  <c r="Y225" i="18" s="1"/>
  <c r="W226" i="18"/>
  <c r="Y226" i="18" s="1"/>
  <c r="W227" i="18"/>
  <c r="Y227" i="18" s="1"/>
  <c r="W228" i="18"/>
  <c r="Y228" i="18" s="1"/>
  <c r="W229" i="18"/>
  <c r="Y229" i="18" s="1"/>
  <c r="W230" i="18"/>
  <c r="Y230" i="18" s="1"/>
  <c r="W231" i="18"/>
  <c r="Y231" i="18" s="1"/>
  <c r="W232" i="18"/>
  <c r="Y232" i="18" s="1"/>
  <c r="W233" i="18"/>
  <c r="Y233" i="18" s="1"/>
  <c r="W234" i="18"/>
  <c r="Y234" i="18" s="1"/>
  <c r="W235" i="18"/>
  <c r="Y235" i="18" s="1"/>
  <c r="W236" i="18"/>
  <c r="Y236" i="18" s="1"/>
  <c r="W237" i="18"/>
  <c r="Y237" i="18" s="1"/>
  <c r="W238" i="18"/>
  <c r="Y238" i="18" s="1"/>
  <c r="W239" i="18"/>
  <c r="Y239" i="18" s="1"/>
  <c r="W240" i="18"/>
  <c r="Y240" i="18" s="1"/>
  <c r="W241" i="18"/>
  <c r="Y241" i="18" s="1"/>
  <c r="W242" i="18"/>
  <c r="Y242" i="18" s="1"/>
  <c r="W243" i="18"/>
  <c r="Y243" i="18" s="1"/>
  <c r="W244" i="18"/>
  <c r="Y244" i="18" s="1"/>
  <c r="W245" i="18"/>
  <c r="Y245" i="18" s="1"/>
  <c r="W246" i="18"/>
  <c r="Y246" i="18" s="1"/>
  <c r="W247" i="18"/>
  <c r="Y247" i="18" s="1"/>
  <c r="W248" i="18"/>
  <c r="Y248" i="18" s="1"/>
  <c r="W249" i="18"/>
  <c r="Y249" i="18" s="1"/>
  <c r="W250" i="18"/>
  <c r="Y250" i="18" s="1"/>
  <c r="W251" i="18"/>
  <c r="Y251" i="18" s="1"/>
  <c r="W252" i="18"/>
  <c r="Y252" i="18" s="1"/>
  <c r="W253" i="18"/>
  <c r="Y253" i="18" s="1"/>
  <c r="W254" i="18"/>
  <c r="Y254" i="18" s="1"/>
  <c r="W255" i="18"/>
  <c r="Y255" i="18" s="1"/>
  <c r="W256" i="18"/>
  <c r="Y256" i="18" s="1"/>
  <c r="W257" i="18"/>
  <c r="Y257" i="18" s="1"/>
  <c r="W258" i="18"/>
  <c r="Y258" i="18" s="1"/>
  <c r="W259" i="18"/>
  <c r="Y259" i="18" s="1"/>
  <c r="W260" i="18"/>
  <c r="Y260" i="18" s="1"/>
  <c r="W261" i="18"/>
  <c r="Y261" i="18" s="1"/>
  <c r="W262" i="18"/>
  <c r="Y262" i="18" s="1"/>
  <c r="W263" i="18"/>
  <c r="Y263" i="18" s="1"/>
  <c r="W264" i="18"/>
  <c r="Y264" i="18" s="1"/>
  <c r="W265" i="18"/>
  <c r="Y265" i="18" s="1"/>
  <c r="W266" i="18"/>
  <c r="Y266" i="18" s="1"/>
  <c r="W267" i="18"/>
  <c r="Y267" i="18" s="1"/>
  <c r="W268" i="18"/>
  <c r="Y268" i="18" s="1"/>
  <c r="W269" i="18"/>
  <c r="Y269" i="18" s="1"/>
  <c r="W270" i="18"/>
  <c r="Y270" i="18" s="1"/>
  <c r="W271" i="18"/>
  <c r="Y271" i="18" s="1"/>
  <c r="W272" i="18"/>
  <c r="Y272" i="18" s="1"/>
  <c r="W273" i="18"/>
  <c r="Y273" i="18" s="1"/>
  <c r="W274" i="18"/>
  <c r="Y274" i="18" s="1"/>
  <c r="W275" i="18"/>
  <c r="Y275" i="18" s="1"/>
  <c r="W276" i="18"/>
  <c r="Y276" i="18" s="1"/>
  <c r="W277" i="18"/>
  <c r="Y277" i="18" s="1"/>
  <c r="W278" i="18"/>
  <c r="Y278" i="18" s="1"/>
  <c r="W279" i="18"/>
  <c r="Y279" i="18" s="1"/>
  <c r="W280" i="18"/>
  <c r="Y280" i="18" s="1"/>
  <c r="W281" i="18"/>
  <c r="Y281" i="18" s="1"/>
  <c r="W282" i="18"/>
  <c r="Y282" i="18" s="1"/>
  <c r="W283" i="18"/>
  <c r="Y283" i="18" s="1"/>
  <c r="W284" i="18"/>
  <c r="Y284" i="18" s="1"/>
  <c r="W285" i="18"/>
  <c r="Y285" i="18" s="1"/>
  <c r="W286" i="18"/>
  <c r="Y286" i="18" s="1"/>
  <c r="W287" i="18"/>
  <c r="Y287" i="18" s="1"/>
  <c r="W288" i="18"/>
  <c r="Y288" i="18" s="1"/>
  <c r="W289" i="18"/>
  <c r="Y289" i="18" s="1"/>
  <c r="W290" i="18"/>
  <c r="Y290" i="18" s="1"/>
  <c r="W291" i="18"/>
  <c r="Y291" i="18" s="1"/>
  <c r="W292" i="18"/>
  <c r="Y292" i="18" s="1"/>
  <c r="W293" i="18"/>
  <c r="Y293" i="18" s="1"/>
  <c r="W294" i="18"/>
  <c r="Y294" i="18" s="1"/>
  <c r="W295" i="18"/>
  <c r="Y295" i="18" s="1"/>
  <c r="W296" i="18"/>
  <c r="Y296" i="18" s="1"/>
  <c r="W297" i="18"/>
  <c r="Y297" i="18" s="1"/>
  <c r="W298" i="18"/>
  <c r="Y298" i="18" s="1"/>
  <c r="W299" i="18"/>
  <c r="Y299" i="18" s="1"/>
  <c r="W300" i="18"/>
  <c r="Y300" i="18" s="1"/>
  <c r="W301" i="18"/>
  <c r="Y301" i="18" s="1"/>
  <c r="W302" i="18"/>
  <c r="Y302" i="18" s="1"/>
  <c r="W303" i="18"/>
  <c r="Y303" i="18" s="1"/>
  <c r="W304" i="18"/>
  <c r="Y304" i="18" s="1"/>
  <c r="W305" i="18"/>
  <c r="Y305" i="18" s="1"/>
  <c r="W306" i="18"/>
  <c r="Y306" i="18" s="1"/>
  <c r="W307" i="18"/>
  <c r="Y307" i="18" s="1"/>
  <c r="W308" i="18"/>
  <c r="Y308" i="18" s="1"/>
  <c r="W309" i="18"/>
  <c r="Y309" i="18" s="1"/>
  <c r="W310" i="18"/>
  <c r="Y310" i="18" s="1"/>
  <c r="W311" i="18"/>
  <c r="Y311" i="18" s="1"/>
  <c r="W312" i="18"/>
  <c r="Y312" i="18" s="1"/>
  <c r="W313" i="18"/>
  <c r="Y313" i="18" s="1"/>
  <c r="W314" i="18"/>
  <c r="Y314" i="18" s="1"/>
  <c r="W315" i="18"/>
  <c r="Y315" i="18" s="1"/>
  <c r="W316" i="18"/>
  <c r="Y316" i="18" s="1"/>
  <c r="W317" i="18"/>
  <c r="Y317" i="18" s="1"/>
  <c r="W318" i="18"/>
  <c r="Y318" i="18" s="1"/>
  <c r="W319" i="18"/>
  <c r="Y319" i="18" s="1"/>
  <c r="W320" i="18"/>
  <c r="Y320" i="18" s="1"/>
  <c r="W321" i="18"/>
  <c r="Y321" i="18" s="1"/>
  <c r="W322" i="18"/>
  <c r="Y322" i="18" s="1"/>
  <c r="W323" i="18"/>
  <c r="Y323" i="18" s="1"/>
  <c r="W324" i="18"/>
  <c r="Y324" i="18" s="1"/>
  <c r="W325" i="18"/>
  <c r="Y325" i="18" s="1"/>
  <c r="W326" i="18"/>
  <c r="Y326" i="18" s="1"/>
  <c r="W327" i="18"/>
  <c r="Y327" i="18" s="1"/>
  <c r="W328" i="18"/>
  <c r="Y328" i="18" s="1"/>
  <c r="W329" i="18"/>
  <c r="Y329" i="18" s="1"/>
  <c r="W330" i="18"/>
  <c r="Y330" i="18" s="1"/>
  <c r="W331" i="18"/>
  <c r="Y331" i="18" s="1"/>
  <c r="W332" i="18"/>
  <c r="Y332" i="18" s="1"/>
  <c r="W333" i="18"/>
  <c r="Y333" i="18" s="1"/>
  <c r="W334" i="18"/>
  <c r="Y334" i="18" s="1"/>
  <c r="W335" i="18"/>
  <c r="Y335" i="18" s="1"/>
  <c r="W336" i="18"/>
  <c r="Y336" i="18" s="1"/>
  <c r="W337" i="18"/>
  <c r="Y337" i="18" s="1"/>
  <c r="W338" i="18"/>
  <c r="Y338" i="18" s="1"/>
  <c r="W339" i="18"/>
  <c r="Y339" i="18" s="1"/>
  <c r="W340" i="18"/>
  <c r="Y340" i="18" s="1"/>
  <c r="W341" i="18"/>
  <c r="Y341" i="18" s="1"/>
  <c r="W342" i="18"/>
  <c r="Y342" i="18" s="1"/>
  <c r="W343" i="18"/>
  <c r="Y343" i="18" s="1"/>
  <c r="W344" i="18"/>
  <c r="Y344" i="18" s="1"/>
  <c r="W345" i="18"/>
  <c r="Y345" i="18" s="1"/>
  <c r="W346" i="18"/>
  <c r="Y346" i="18" s="1"/>
  <c r="W347" i="18"/>
  <c r="Y347" i="18" s="1"/>
  <c r="W348" i="18"/>
  <c r="Y348" i="18" s="1"/>
  <c r="W349" i="18"/>
  <c r="Y349" i="18" s="1"/>
  <c r="W350" i="18"/>
  <c r="Y350" i="18" s="1"/>
  <c r="W351" i="18"/>
  <c r="Y351" i="18" s="1"/>
  <c r="W352" i="18"/>
  <c r="Y352" i="18" s="1"/>
  <c r="W353" i="18"/>
  <c r="Y353" i="18" s="1"/>
  <c r="W354" i="18"/>
  <c r="Y354" i="18" s="1"/>
  <c r="W355" i="18"/>
  <c r="Y355" i="18" s="1"/>
  <c r="W356" i="18"/>
  <c r="Y356" i="18" s="1"/>
  <c r="W357" i="18"/>
  <c r="Y357" i="18" s="1"/>
  <c r="W358" i="18"/>
  <c r="Y358" i="18" s="1"/>
  <c r="W359" i="18"/>
  <c r="Y359" i="18" s="1"/>
  <c r="W360" i="18"/>
  <c r="Y360" i="18" s="1"/>
  <c r="W361" i="18"/>
  <c r="Y361" i="18" s="1"/>
  <c r="W362" i="18"/>
  <c r="Y362" i="18" s="1"/>
  <c r="W363" i="18"/>
  <c r="Y363" i="18" s="1"/>
  <c r="W364" i="18"/>
  <c r="Y364" i="18" s="1"/>
  <c r="W365" i="18"/>
  <c r="Y365" i="18" s="1"/>
  <c r="W366" i="18"/>
  <c r="Y366" i="18" s="1"/>
  <c r="W367" i="18"/>
  <c r="Y367" i="18" s="1"/>
  <c r="W368" i="18"/>
  <c r="Y368" i="18" s="1"/>
  <c r="W369" i="18"/>
  <c r="Y369" i="18" s="1"/>
  <c r="W370" i="18"/>
  <c r="Y370" i="18" s="1"/>
  <c r="W371" i="18"/>
  <c r="Y371" i="18" s="1"/>
  <c r="W372" i="18"/>
  <c r="Y372" i="18" s="1"/>
  <c r="W373" i="18"/>
  <c r="Y373" i="18" s="1"/>
  <c r="W374" i="18"/>
  <c r="Y374" i="18" s="1"/>
  <c r="W375" i="18"/>
  <c r="Y375" i="18" s="1"/>
  <c r="W376" i="18"/>
  <c r="Y376" i="18" s="1"/>
  <c r="W377" i="18"/>
  <c r="Y377" i="18" s="1"/>
  <c r="W378" i="18"/>
  <c r="Y378" i="18" s="1"/>
  <c r="W379" i="18"/>
  <c r="Y379" i="18" s="1"/>
  <c r="W380" i="18"/>
  <c r="Y380" i="18" s="1"/>
  <c r="W381" i="18"/>
  <c r="Y381" i="18" s="1"/>
  <c r="W382" i="18"/>
  <c r="Y382" i="18" s="1"/>
  <c r="W383" i="18"/>
  <c r="Y383" i="18" s="1"/>
  <c r="W384" i="18"/>
  <c r="Y384" i="18" s="1"/>
  <c r="W385" i="18"/>
  <c r="Y385" i="18" s="1"/>
  <c r="W386" i="18"/>
  <c r="Y386" i="18" s="1"/>
  <c r="W387" i="18"/>
  <c r="Y387" i="18" s="1"/>
  <c r="W388" i="18"/>
  <c r="Y388" i="18" s="1"/>
  <c r="W389" i="18"/>
  <c r="Y389" i="18" s="1"/>
  <c r="W390" i="18"/>
  <c r="Y390" i="18" s="1"/>
  <c r="W391" i="18"/>
  <c r="Y391" i="18" s="1"/>
  <c r="W392" i="18"/>
  <c r="Y392" i="18" s="1"/>
  <c r="W393" i="18"/>
  <c r="Y393" i="18" s="1"/>
  <c r="W394" i="18"/>
  <c r="Y394" i="18" s="1"/>
  <c r="W395" i="18"/>
  <c r="Y395" i="18" s="1"/>
  <c r="W396" i="18"/>
  <c r="Y396" i="18" s="1"/>
  <c r="W397" i="18"/>
  <c r="Y397" i="18" s="1"/>
  <c r="W398" i="18"/>
  <c r="Y398" i="18" s="1"/>
  <c r="W399" i="18"/>
  <c r="Y399" i="18" s="1"/>
  <c r="W400" i="18"/>
  <c r="Y400" i="18" s="1"/>
  <c r="W401" i="18"/>
  <c r="Y401" i="18" s="1"/>
  <c r="W402" i="18"/>
  <c r="Y402" i="18" s="1"/>
  <c r="W403" i="18"/>
  <c r="Y403" i="18" s="1"/>
  <c r="W404" i="18"/>
  <c r="Y404" i="18" s="1"/>
  <c r="W405" i="18"/>
  <c r="Y405" i="18" s="1"/>
  <c r="W406" i="18"/>
  <c r="Y406" i="18" s="1"/>
  <c r="W407" i="18"/>
  <c r="Y407" i="18" s="1"/>
  <c r="W408" i="18"/>
  <c r="Y408" i="18" s="1"/>
  <c r="W409" i="18"/>
  <c r="Y409" i="18" s="1"/>
  <c r="W410" i="18"/>
  <c r="Y410" i="18" s="1"/>
  <c r="W411" i="18"/>
  <c r="Y411" i="18" s="1"/>
  <c r="W412" i="18"/>
  <c r="Y412" i="18" s="1"/>
  <c r="W413" i="18"/>
  <c r="Y413" i="18" s="1"/>
  <c r="W414" i="18"/>
  <c r="Y414" i="18" s="1"/>
  <c r="W415" i="18"/>
  <c r="Y415" i="18" s="1"/>
  <c r="W416" i="18"/>
  <c r="Y416" i="18" s="1"/>
  <c r="W417" i="18"/>
  <c r="Y417" i="18" s="1"/>
  <c r="W418" i="18"/>
  <c r="Y418" i="18" s="1"/>
  <c r="W419" i="18"/>
  <c r="Y419" i="18" s="1"/>
  <c r="W420" i="18"/>
  <c r="Y420" i="18" s="1"/>
  <c r="W421" i="18"/>
  <c r="Y421" i="18" s="1"/>
  <c r="W422" i="18"/>
  <c r="Y422" i="18" s="1"/>
  <c r="W423" i="18"/>
  <c r="Y423" i="18" s="1"/>
  <c r="W424" i="18"/>
  <c r="Y424" i="18" s="1"/>
  <c r="W425" i="18"/>
  <c r="Y425" i="18" s="1"/>
  <c r="W426" i="18"/>
  <c r="Y426" i="18" s="1"/>
  <c r="W427" i="18"/>
  <c r="Y427" i="18" s="1"/>
  <c r="W428" i="18"/>
  <c r="Y428" i="18" s="1"/>
  <c r="W429" i="18"/>
  <c r="Y429" i="18" s="1"/>
  <c r="W430" i="18"/>
  <c r="Y430" i="18" s="1"/>
  <c r="W431" i="18"/>
  <c r="Y431" i="18" s="1"/>
  <c r="W432" i="18"/>
  <c r="Y432" i="18" s="1"/>
  <c r="W433" i="18"/>
  <c r="Y433" i="18" s="1"/>
  <c r="W434" i="18"/>
  <c r="Y434" i="18" s="1"/>
  <c r="W435" i="18"/>
  <c r="Y435" i="18" s="1"/>
  <c r="W436" i="18"/>
  <c r="Y436" i="18" s="1"/>
  <c r="W437" i="18"/>
  <c r="Y437" i="18" s="1"/>
  <c r="W438" i="18"/>
  <c r="Y438" i="18" s="1"/>
  <c r="W439" i="18"/>
  <c r="Y439" i="18" s="1"/>
  <c r="W440" i="18"/>
  <c r="Y440" i="18" s="1"/>
  <c r="W441" i="18"/>
  <c r="Y441" i="18" s="1"/>
  <c r="W442" i="18"/>
  <c r="Y442" i="18" s="1"/>
  <c r="W443" i="18"/>
  <c r="Y443" i="18" s="1"/>
  <c r="W444" i="18"/>
  <c r="Y444" i="18" s="1"/>
  <c r="W445" i="18"/>
  <c r="Y445" i="18" s="1"/>
  <c r="W446" i="18"/>
  <c r="Y446" i="18" s="1"/>
  <c r="W447" i="18"/>
  <c r="Y447" i="18" s="1"/>
  <c r="W448" i="18"/>
  <c r="Y448" i="18" s="1"/>
  <c r="W449" i="18"/>
  <c r="Y449" i="18" s="1"/>
  <c r="W450" i="18"/>
  <c r="Y450" i="18" s="1"/>
  <c r="W451" i="18"/>
  <c r="Y451" i="18" s="1"/>
  <c r="W452" i="18"/>
  <c r="Y452" i="18" s="1"/>
  <c r="W453" i="18"/>
  <c r="Y453" i="18" s="1"/>
  <c r="W454" i="18"/>
  <c r="Y454" i="18" s="1"/>
  <c r="W455" i="18"/>
  <c r="Y455" i="18" s="1"/>
  <c r="W456" i="18"/>
  <c r="Y456" i="18" s="1"/>
  <c r="W457" i="18"/>
  <c r="Y457" i="18" s="1"/>
  <c r="W458" i="18"/>
  <c r="Y458" i="18" s="1"/>
  <c r="W459" i="18"/>
  <c r="Y459" i="18" s="1"/>
  <c r="W460" i="18"/>
  <c r="Y460" i="18" s="1"/>
  <c r="W461" i="18"/>
  <c r="Y461" i="18" s="1"/>
  <c r="W462" i="18"/>
  <c r="Y462" i="18" s="1"/>
  <c r="W463" i="18"/>
  <c r="Y463" i="18" s="1"/>
  <c r="W464" i="18"/>
  <c r="Y464" i="18" s="1"/>
  <c r="W465" i="18"/>
  <c r="Y465" i="18" s="1"/>
  <c r="W466" i="18"/>
  <c r="Y466" i="18" s="1"/>
  <c r="W467" i="18"/>
  <c r="Y467" i="18" s="1"/>
  <c r="W468" i="18"/>
  <c r="Y468" i="18" s="1"/>
  <c r="W469" i="18"/>
  <c r="Y469" i="18" s="1"/>
  <c r="W470" i="18"/>
  <c r="Y470" i="18" s="1"/>
  <c r="W471" i="18"/>
  <c r="Y471" i="18" s="1"/>
  <c r="W472" i="18"/>
  <c r="Y472" i="18" s="1"/>
  <c r="W473" i="18"/>
  <c r="Y473" i="18" s="1"/>
  <c r="W474" i="18"/>
  <c r="Y474" i="18" s="1"/>
  <c r="W475" i="18"/>
  <c r="Y475" i="18" s="1"/>
  <c r="W476" i="18"/>
  <c r="Y476" i="18" s="1"/>
  <c r="W477" i="18"/>
  <c r="Y477" i="18" s="1"/>
  <c r="W478" i="18"/>
  <c r="Y478" i="18" s="1"/>
  <c r="W479" i="18"/>
  <c r="Y479" i="18" s="1"/>
  <c r="W480" i="18"/>
  <c r="Y480" i="18" s="1"/>
  <c r="W481" i="18"/>
  <c r="Y481" i="18" s="1"/>
  <c r="W482" i="18"/>
  <c r="Y482" i="18" s="1"/>
  <c r="W483" i="18"/>
  <c r="Y483" i="18" s="1"/>
  <c r="W484" i="18"/>
  <c r="Y484" i="18" s="1"/>
  <c r="W485" i="18"/>
  <c r="Y485" i="18" s="1"/>
  <c r="W486" i="18"/>
  <c r="Y486" i="18" s="1"/>
  <c r="W487" i="18"/>
  <c r="Y487" i="18" s="1"/>
  <c r="W488" i="18"/>
  <c r="Y488" i="18" s="1"/>
  <c r="W489" i="18"/>
  <c r="Y489" i="18" s="1"/>
  <c r="W490" i="18"/>
  <c r="Y490" i="18" s="1"/>
  <c r="W491" i="18"/>
  <c r="Y491" i="18" s="1"/>
  <c r="W492" i="18"/>
  <c r="Y492" i="18" s="1"/>
  <c r="W493" i="18"/>
  <c r="Y493" i="18" s="1"/>
  <c r="W494" i="18"/>
  <c r="Y494" i="18" s="1"/>
  <c r="W495" i="18"/>
  <c r="Y495" i="18" s="1"/>
  <c r="W496" i="18"/>
  <c r="Y496" i="18" s="1"/>
  <c r="W497" i="18"/>
  <c r="Y497" i="18" s="1"/>
  <c r="W498" i="18"/>
  <c r="Y498" i="18" s="1"/>
  <c r="W499" i="18"/>
  <c r="Y499" i="18" s="1"/>
  <c r="W500" i="18"/>
  <c r="Y500" i="18" s="1"/>
  <c r="W501" i="18"/>
  <c r="Y501" i="18" s="1"/>
  <c r="W502" i="18"/>
  <c r="Y502" i="18" s="1"/>
  <c r="W503" i="18"/>
  <c r="Y503" i="18" s="1"/>
  <c r="W504" i="18"/>
  <c r="Y504" i="18" s="1"/>
  <c r="W505" i="18"/>
  <c r="Y505" i="18" s="1"/>
  <c r="W506" i="18"/>
  <c r="Y506" i="18" s="1"/>
  <c r="W507" i="18"/>
  <c r="Y507" i="18" s="1"/>
  <c r="W508" i="18"/>
  <c r="Y508" i="18" s="1"/>
  <c r="W509" i="18"/>
  <c r="Y509" i="18" s="1"/>
  <c r="W510" i="18"/>
  <c r="Y510" i="18" s="1"/>
  <c r="W511" i="18"/>
  <c r="Y511" i="18" s="1"/>
  <c r="W512" i="18"/>
  <c r="Y512" i="18" s="1"/>
  <c r="W513" i="18"/>
  <c r="Y513" i="18" s="1"/>
  <c r="W514" i="18"/>
  <c r="Y514" i="18" s="1"/>
  <c r="W515" i="18"/>
  <c r="Y515" i="18" s="1"/>
  <c r="W516" i="18"/>
  <c r="Y516" i="18" s="1"/>
  <c r="W517" i="18"/>
  <c r="Y517" i="18" s="1"/>
  <c r="W518" i="18"/>
  <c r="Y518" i="18" s="1"/>
  <c r="W519" i="18"/>
  <c r="Y519" i="18" s="1"/>
  <c r="W520" i="18"/>
  <c r="Y520" i="18" s="1"/>
  <c r="W521" i="18"/>
  <c r="Y521" i="18" s="1"/>
  <c r="W522" i="18"/>
  <c r="Y522" i="18" s="1"/>
  <c r="W523" i="18"/>
  <c r="Y523" i="18" s="1"/>
  <c r="W524" i="18"/>
  <c r="Y524" i="18" s="1"/>
  <c r="W525" i="18"/>
  <c r="Y525" i="18" s="1"/>
  <c r="W526" i="18"/>
  <c r="Y526" i="18" s="1"/>
  <c r="W527" i="18"/>
  <c r="Y527" i="18" s="1"/>
  <c r="W528" i="18"/>
  <c r="Y528" i="18" s="1"/>
  <c r="W529" i="18"/>
  <c r="Y529" i="18" s="1"/>
  <c r="W530" i="18"/>
  <c r="Y530" i="18" s="1"/>
  <c r="W531" i="18"/>
  <c r="Y531" i="18" s="1"/>
  <c r="W532" i="18"/>
  <c r="Y532" i="18" s="1"/>
  <c r="W533" i="18"/>
  <c r="Y533" i="18" s="1"/>
  <c r="W534" i="18"/>
  <c r="Y534" i="18" s="1"/>
  <c r="W535" i="18"/>
  <c r="Y535" i="18" s="1"/>
  <c r="W536" i="18"/>
  <c r="Y536" i="18" s="1"/>
  <c r="W537" i="18"/>
  <c r="Y537" i="18" s="1"/>
  <c r="W538" i="18"/>
  <c r="Y538" i="18" s="1"/>
  <c r="W539" i="18"/>
  <c r="Y539" i="18" s="1"/>
  <c r="W540" i="18"/>
  <c r="Y540" i="18" s="1"/>
  <c r="W541" i="18"/>
  <c r="Y541" i="18" s="1"/>
  <c r="W542" i="18"/>
  <c r="Y542" i="18" s="1"/>
  <c r="W543" i="18"/>
  <c r="Y543" i="18" s="1"/>
  <c r="W544" i="18"/>
  <c r="Y544" i="18" s="1"/>
  <c r="W545" i="18"/>
  <c r="Y545" i="18" s="1"/>
  <c r="W546" i="18"/>
  <c r="Y546" i="18" s="1"/>
  <c r="W547" i="18"/>
  <c r="Y547" i="18" s="1"/>
  <c r="W548" i="18"/>
  <c r="Y548" i="18" s="1"/>
  <c r="W549" i="18"/>
  <c r="Y549" i="18" s="1"/>
  <c r="W550" i="18"/>
  <c r="Y550" i="18" s="1"/>
  <c r="W551" i="18"/>
  <c r="Y551" i="18" s="1"/>
  <c r="W552" i="18"/>
  <c r="Y552" i="18" s="1"/>
  <c r="W553" i="18"/>
  <c r="Y553" i="18" s="1"/>
  <c r="W554" i="18"/>
  <c r="Y554" i="18" s="1"/>
  <c r="W555" i="18"/>
  <c r="Y555" i="18" s="1"/>
  <c r="W556" i="18"/>
  <c r="Y556" i="18" s="1"/>
  <c r="W557" i="18"/>
  <c r="Y557" i="18" s="1"/>
  <c r="W558" i="18"/>
  <c r="Y558" i="18" s="1"/>
  <c r="W559" i="18"/>
  <c r="Y559" i="18" s="1"/>
  <c r="W560" i="18"/>
  <c r="Y560" i="18" s="1"/>
  <c r="W561" i="18"/>
  <c r="Y561" i="18" s="1"/>
  <c r="W562" i="18"/>
  <c r="Y562" i="18" s="1"/>
  <c r="W563" i="18"/>
  <c r="Y563" i="18" s="1"/>
  <c r="W564" i="18"/>
  <c r="Y564" i="18" s="1"/>
  <c r="W565" i="18"/>
  <c r="Y565" i="18" s="1"/>
  <c r="W566" i="18"/>
  <c r="Y566" i="18" s="1"/>
  <c r="W567" i="18"/>
  <c r="Y567" i="18" s="1"/>
  <c r="W568" i="18"/>
  <c r="Y568" i="18" s="1"/>
  <c r="W569" i="18"/>
  <c r="Y569" i="18" s="1"/>
  <c r="W570" i="18"/>
  <c r="Y570" i="18" s="1"/>
  <c r="W571" i="18"/>
  <c r="Y571" i="18" s="1"/>
  <c r="W572" i="18"/>
  <c r="Y572" i="18" s="1"/>
  <c r="W573" i="18"/>
  <c r="Y573" i="18" s="1"/>
  <c r="W574" i="18"/>
  <c r="Y574" i="18" s="1"/>
  <c r="W575" i="18"/>
  <c r="Y575" i="18" s="1"/>
  <c r="W576" i="18"/>
  <c r="Y576" i="18" s="1"/>
  <c r="W577" i="18"/>
  <c r="Y577" i="18" s="1"/>
  <c r="W578" i="18"/>
  <c r="Y578" i="18" s="1"/>
  <c r="W579" i="18"/>
  <c r="Y579" i="18" s="1"/>
  <c r="W580" i="18"/>
  <c r="Y580" i="18" s="1"/>
  <c r="W581" i="18"/>
  <c r="Y581" i="18" s="1"/>
  <c r="W582" i="18"/>
  <c r="Y582" i="18" s="1"/>
  <c r="W583" i="18"/>
  <c r="Y583" i="18" s="1"/>
  <c r="W584" i="18"/>
  <c r="Y584" i="18" s="1"/>
  <c r="W585" i="18"/>
  <c r="Y585" i="18" s="1"/>
  <c r="W586" i="18"/>
  <c r="Y586" i="18" s="1"/>
  <c r="W587" i="18"/>
  <c r="Y587" i="18" s="1"/>
  <c r="W588" i="18"/>
  <c r="Y588" i="18" s="1"/>
  <c r="W589" i="18"/>
  <c r="Y589" i="18" s="1"/>
  <c r="W590" i="18"/>
  <c r="Y590" i="18" s="1"/>
  <c r="W591" i="18"/>
  <c r="Y591" i="18" s="1"/>
  <c r="W592" i="18"/>
  <c r="Y592" i="18" s="1"/>
  <c r="W593" i="18"/>
  <c r="Y593" i="18" s="1"/>
  <c r="W594" i="18"/>
  <c r="Y594" i="18" s="1"/>
  <c r="W595" i="18"/>
  <c r="Y595" i="18" s="1"/>
  <c r="W596" i="18"/>
  <c r="Y596" i="18" s="1"/>
  <c r="W597" i="18"/>
  <c r="Y597" i="18" s="1"/>
  <c r="W598" i="18"/>
  <c r="Y598" i="18" s="1"/>
  <c r="W599" i="18"/>
  <c r="Y599" i="18" s="1"/>
  <c r="W600" i="18"/>
  <c r="Y600" i="18" s="1"/>
  <c r="W601" i="18"/>
  <c r="Y601" i="18" s="1"/>
  <c r="W602" i="18"/>
  <c r="Y602" i="18" s="1"/>
  <c r="W603" i="18"/>
  <c r="Y603" i="18" s="1"/>
  <c r="W604" i="18"/>
  <c r="Y604" i="18" s="1"/>
  <c r="W605" i="18"/>
  <c r="Y605" i="18" s="1"/>
  <c r="W606" i="18"/>
  <c r="Y606" i="18" s="1"/>
  <c r="W607" i="18"/>
  <c r="Y607" i="18" s="1"/>
  <c r="W608" i="18"/>
  <c r="Y608" i="18" s="1"/>
  <c r="W609" i="18"/>
  <c r="Y609" i="18" s="1"/>
  <c r="W610" i="18"/>
  <c r="Y610" i="18" s="1"/>
  <c r="W611" i="18"/>
  <c r="Y611" i="18" s="1"/>
  <c r="W612" i="18"/>
  <c r="Y612" i="18" s="1"/>
  <c r="W613" i="18"/>
  <c r="Y613" i="18" s="1"/>
  <c r="W614" i="18"/>
  <c r="Y614" i="18" s="1"/>
  <c r="W615" i="18"/>
  <c r="Y615" i="18" s="1"/>
  <c r="W616" i="18"/>
  <c r="Y616" i="18" s="1"/>
  <c r="W617" i="18"/>
  <c r="Y617" i="18" s="1"/>
  <c r="W618" i="18"/>
  <c r="Y618" i="18" s="1"/>
  <c r="W619" i="18"/>
  <c r="Y619" i="18" s="1"/>
  <c r="W620" i="18"/>
  <c r="Y620" i="18" s="1"/>
  <c r="W621" i="18"/>
  <c r="Y621" i="18" s="1"/>
  <c r="W622" i="18"/>
  <c r="Y622" i="18" s="1"/>
  <c r="W623" i="18"/>
  <c r="Y623" i="18" s="1"/>
  <c r="W624" i="18"/>
  <c r="Y624" i="18" s="1"/>
  <c r="W625" i="18"/>
  <c r="Y625" i="18" s="1"/>
  <c r="W626" i="18"/>
  <c r="Y626" i="18" s="1"/>
  <c r="W627" i="18"/>
  <c r="Y627" i="18" s="1"/>
  <c r="W628" i="18"/>
  <c r="Y628" i="18" s="1"/>
  <c r="W629" i="18"/>
  <c r="Y629" i="18" s="1"/>
  <c r="W630" i="18"/>
  <c r="Y630" i="18" s="1"/>
  <c r="W631" i="18"/>
  <c r="Y631" i="18" s="1"/>
  <c r="W632" i="18"/>
  <c r="Y632" i="18" s="1"/>
  <c r="W633" i="18"/>
  <c r="Y633" i="18" s="1"/>
  <c r="W634" i="18"/>
  <c r="Y634" i="18" s="1"/>
  <c r="W635" i="18"/>
  <c r="Y635" i="18" s="1"/>
  <c r="W636" i="18"/>
  <c r="Y636" i="18" s="1"/>
  <c r="W637" i="18"/>
  <c r="Y637" i="18" s="1"/>
  <c r="W638" i="18"/>
  <c r="Y638" i="18" s="1"/>
  <c r="W639" i="18"/>
  <c r="Y639" i="18" s="1"/>
  <c r="W640" i="18"/>
  <c r="Y640" i="18" s="1"/>
  <c r="W641" i="18"/>
  <c r="Y641" i="18" s="1"/>
  <c r="W642" i="18"/>
  <c r="Y642" i="18" s="1"/>
  <c r="W643" i="18"/>
  <c r="Y643" i="18" s="1"/>
  <c r="W644" i="18"/>
  <c r="Y644" i="18" s="1"/>
  <c r="W645" i="18"/>
  <c r="Y645" i="18" s="1"/>
  <c r="W646" i="18"/>
  <c r="Y646" i="18" s="1"/>
  <c r="W647" i="18"/>
  <c r="Y647" i="18" s="1"/>
  <c r="W648" i="18"/>
  <c r="Y648" i="18" s="1"/>
  <c r="W649" i="18"/>
  <c r="Y649" i="18" s="1"/>
  <c r="W650" i="18"/>
  <c r="Y650" i="18" s="1"/>
  <c r="W651" i="18"/>
  <c r="Y651" i="18" s="1"/>
  <c r="W652" i="18"/>
  <c r="Y652" i="18" s="1"/>
  <c r="W653" i="18"/>
  <c r="Y653" i="18" s="1"/>
  <c r="W654" i="18"/>
  <c r="Y654" i="18" s="1"/>
  <c r="W655" i="18"/>
  <c r="Y655" i="18" s="1"/>
  <c r="W656" i="18"/>
  <c r="Y656" i="18" s="1"/>
  <c r="W657" i="18"/>
  <c r="Y657" i="18" s="1"/>
  <c r="W658" i="18"/>
  <c r="Y658" i="18" s="1"/>
  <c r="W659" i="18"/>
  <c r="Y659" i="18" s="1"/>
  <c r="W660" i="18"/>
  <c r="Y660" i="18" s="1"/>
  <c r="W661" i="18"/>
  <c r="Y661" i="18" s="1"/>
  <c r="W662" i="18"/>
  <c r="Y662" i="18" s="1"/>
  <c r="W663" i="18"/>
  <c r="Y663" i="18" s="1"/>
  <c r="W664" i="18"/>
  <c r="Y664" i="18" s="1"/>
  <c r="W665" i="18"/>
  <c r="Y665" i="18" s="1"/>
  <c r="W666" i="18"/>
  <c r="Y666" i="18" s="1"/>
  <c r="W667" i="18"/>
  <c r="Y667" i="18" s="1"/>
  <c r="W668" i="18"/>
  <c r="Y668" i="18" s="1"/>
  <c r="W669" i="18"/>
  <c r="Y669" i="18" s="1"/>
  <c r="W670" i="18"/>
  <c r="Y670" i="18" s="1"/>
  <c r="W671" i="18"/>
  <c r="Y671" i="18" s="1"/>
  <c r="W672" i="18"/>
  <c r="Y672" i="18" s="1"/>
  <c r="W673" i="18"/>
  <c r="Y673" i="18" s="1"/>
  <c r="W674" i="18"/>
  <c r="Y674" i="18" s="1"/>
  <c r="W675" i="18"/>
  <c r="Y675" i="18" s="1"/>
  <c r="W676" i="18"/>
  <c r="Y676" i="18" s="1"/>
  <c r="W677" i="18"/>
  <c r="Y677" i="18" s="1"/>
  <c r="W678" i="18"/>
  <c r="Y678" i="18" s="1"/>
  <c r="W679" i="18"/>
  <c r="Y679" i="18" s="1"/>
  <c r="W680" i="18"/>
  <c r="Y680" i="18" s="1"/>
  <c r="W681" i="18"/>
  <c r="Y681" i="18" s="1"/>
  <c r="W682" i="18"/>
  <c r="Y682" i="18" s="1"/>
  <c r="W683" i="18"/>
  <c r="Y683" i="18" s="1"/>
  <c r="W684" i="18"/>
  <c r="Y684" i="18" s="1"/>
  <c r="W685" i="18"/>
  <c r="Y685" i="18" s="1"/>
  <c r="W686" i="18"/>
  <c r="Y686" i="18" s="1"/>
  <c r="W687" i="18"/>
  <c r="Y687" i="18" s="1"/>
  <c r="W688" i="18"/>
  <c r="Y688" i="18" s="1"/>
  <c r="W689" i="18"/>
  <c r="Y689" i="18" s="1"/>
  <c r="W690" i="18"/>
  <c r="Y690" i="18" s="1"/>
  <c r="W691" i="18"/>
  <c r="Y691" i="18" s="1"/>
  <c r="W692" i="18"/>
  <c r="Y692" i="18" s="1"/>
  <c r="W693" i="18"/>
  <c r="Y693" i="18" s="1"/>
  <c r="W694" i="18"/>
  <c r="Y694" i="18" s="1"/>
  <c r="W695" i="18"/>
  <c r="Y695" i="18" s="1"/>
  <c r="W696" i="18"/>
  <c r="Y696" i="18" s="1"/>
  <c r="W697" i="18"/>
  <c r="Y697" i="18" s="1"/>
  <c r="W698" i="18"/>
  <c r="Y698" i="18" s="1"/>
  <c r="W699" i="18"/>
  <c r="Y699" i="18" s="1"/>
  <c r="W700" i="18"/>
  <c r="Y700" i="18" s="1"/>
  <c r="W701" i="18"/>
  <c r="Y701" i="18" s="1"/>
  <c r="W702" i="18"/>
  <c r="Y702" i="18" s="1"/>
  <c r="W703" i="18"/>
  <c r="Y703" i="18" s="1"/>
  <c r="W704" i="18"/>
  <c r="Y704" i="18" s="1"/>
  <c r="W705" i="18"/>
  <c r="Y705" i="18" s="1"/>
  <c r="W706" i="18"/>
  <c r="Y706" i="18" s="1"/>
  <c r="W707" i="18"/>
  <c r="Y707" i="18" s="1"/>
  <c r="W708" i="18"/>
  <c r="Y708" i="18" s="1"/>
  <c r="W709" i="18"/>
  <c r="Y709" i="18" s="1"/>
  <c r="W710" i="18"/>
  <c r="Y710" i="18" s="1"/>
  <c r="W711" i="18"/>
  <c r="Y711" i="18" s="1"/>
  <c r="W712" i="18"/>
  <c r="Y712" i="18" s="1"/>
  <c r="W713" i="18"/>
  <c r="Y713" i="18" s="1"/>
  <c r="W714" i="18"/>
  <c r="Y714" i="18" s="1"/>
  <c r="W715" i="18"/>
  <c r="Y715" i="18" s="1"/>
  <c r="W716" i="18"/>
  <c r="Y716" i="18" s="1"/>
  <c r="W717" i="18"/>
  <c r="Y717" i="18" s="1"/>
  <c r="W718" i="18"/>
  <c r="Y718" i="18" s="1"/>
  <c r="W719" i="18"/>
  <c r="Y719" i="18" s="1"/>
  <c r="W720" i="18"/>
  <c r="Y720" i="18" s="1"/>
  <c r="W721" i="18"/>
  <c r="Y721" i="18" s="1"/>
  <c r="W722" i="18"/>
  <c r="Y722" i="18" s="1"/>
  <c r="W723" i="18"/>
  <c r="Y723" i="18" s="1"/>
  <c r="W724" i="18"/>
  <c r="Y724" i="18" s="1"/>
  <c r="W725" i="18"/>
  <c r="Y725" i="18" s="1"/>
  <c r="W726" i="18"/>
  <c r="Y726" i="18" s="1"/>
  <c r="W727" i="18"/>
  <c r="Y727" i="18" s="1"/>
  <c r="W728" i="18"/>
  <c r="Y728" i="18" s="1"/>
  <c r="W729" i="18"/>
  <c r="Y729" i="18" s="1"/>
  <c r="W730" i="18"/>
  <c r="Y730" i="18" s="1"/>
  <c r="W731" i="18"/>
  <c r="Y731" i="18" s="1"/>
  <c r="W732" i="18"/>
  <c r="Y732" i="18" s="1"/>
  <c r="W733" i="18"/>
  <c r="Y733" i="18" s="1"/>
  <c r="W734" i="18"/>
  <c r="Y734" i="18" s="1"/>
  <c r="W735" i="18"/>
  <c r="Y735" i="18" s="1"/>
  <c r="W736" i="18"/>
  <c r="Y736" i="18" s="1"/>
  <c r="W737" i="18"/>
  <c r="Y737" i="18" s="1"/>
  <c r="W738" i="18"/>
  <c r="Y738" i="18" s="1"/>
  <c r="W739" i="18"/>
  <c r="Y739" i="18" s="1"/>
  <c r="W740" i="18"/>
  <c r="Y740" i="18" s="1"/>
  <c r="W741" i="18"/>
  <c r="Y741" i="18" s="1"/>
  <c r="W742" i="18"/>
  <c r="Y742" i="18" s="1"/>
  <c r="W743" i="18"/>
  <c r="Y743" i="18" s="1"/>
  <c r="W744" i="18"/>
  <c r="Y744" i="18" s="1"/>
  <c r="W745" i="18"/>
  <c r="Y745" i="18" s="1"/>
  <c r="W746" i="18"/>
  <c r="Y746" i="18" s="1"/>
  <c r="W747" i="18"/>
  <c r="Y747" i="18" s="1"/>
  <c r="W748" i="18"/>
  <c r="Y748" i="18" s="1"/>
  <c r="W749" i="18"/>
  <c r="Y749" i="18" s="1"/>
  <c r="W750" i="18"/>
  <c r="Y750" i="18" s="1"/>
  <c r="W751" i="18"/>
  <c r="Y751" i="18" s="1"/>
  <c r="W752" i="18"/>
  <c r="Y752" i="18" s="1"/>
  <c r="W753" i="18"/>
  <c r="Y753" i="18" s="1"/>
  <c r="W754" i="18"/>
  <c r="Y754" i="18" s="1"/>
  <c r="W755" i="18"/>
  <c r="Y755" i="18" s="1"/>
  <c r="W756" i="18"/>
  <c r="Y756" i="18" s="1"/>
  <c r="W757" i="18"/>
  <c r="Y757" i="18" s="1"/>
  <c r="W758" i="18"/>
  <c r="Y758" i="18" s="1"/>
  <c r="W759" i="18"/>
  <c r="Y759" i="18" s="1"/>
  <c r="W760" i="18"/>
  <c r="Y760" i="18" s="1"/>
  <c r="W761" i="18"/>
  <c r="Y761" i="18" s="1"/>
  <c r="W762" i="18"/>
  <c r="Y762" i="18" s="1"/>
  <c r="W763" i="18"/>
  <c r="Y763" i="18" s="1"/>
  <c r="W764" i="18"/>
  <c r="Y764" i="18" s="1"/>
  <c r="W765" i="18"/>
  <c r="Y765" i="18" s="1"/>
  <c r="W766" i="18"/>
  <c r="Y766" i="18" s="1"/>
  <c r="W767" i="18"/>
  <c r="Y767" i="18" s="1"/>
  <c r="W768" i="18"/>
  <c r="Y768" i="18" s="1"/>
  <c r="W769" i="18"/>
  <c r="Y769" i="18" s="1"/>
  <c r="W770" i="18"/>
  <c r="Y770" i="18" s="1"/>
  <c r="W771" i="18"/>
  <c r="Y771" i="18" s="1"/>
  <c r="W772" i="18"/>
  <c r="Y772" i="18" s="1"/>
  <c r="W773" i="18"/>
  <c r="Y773" i="18" s="1"/>
  <c r="W774" i="18"/>
  <c r="Y774" i="18" s="1"/>
  <c r="W775" i="18"/>
  <c r="Y775" i="18" s="1"/>
  <c r="W776" i="18"/>
  <c r="Y776" i="18" s="1"/>
  <c r="W777" i="18"/>
  <c r="Y777" i="18" s="1"/>
  <c r="W778" i="18"/>
  <c r="Y778" i="18" s="1"/>
  <c r="W779" i="18"/>
  <c r="Y779" i="18" s="1"/>
  <c r="W780" i="18"/>
  <c r="Y780" i="18" s="1"/>
  <c r="W781" i="18"/>
  <c r="Y781" i="18" s="1"/>
  <c r="W782" i="18"/>
  <c r="Y782" i="18" s="1"/>
  <c r="W783" i="18"/>
  <c r="Y783" i="18" s="1"/>
  <c r="W784" i="18"/>
  <c r="Y784" i="18" s="1"/>
  <c r="W785" i="18"/>
  <c r="Y785" i="18" s="1"/>
  <c r="W786" i="18"/>
  <c r="Y786" i="18" s="1"/>
  <c r="W787" i="18"/>
  <c r="Y787" i="18" s="1"/>
  <c r="W788" i="18"/>
  <c r="Y788" i="18" s="1"/>
  <c r="W789" i="18"/>
  <c r="Y789" i="18" s="1"/>
  <c r="W790" i="18"/>
  <c r="Y790" i="18" s="1"/>
  <c r="W791" i="18"/>
  <c r="Y791" i="18" s="1"/>
  <c r="W792" i="18"/>
  <c r="Y792" i="18" s="1"/>
  <c r="W793" i="18"/>
  <c r="Y793" i="18" s="1"/>
  <c r="W794" i="18"/>
  <c r="Y794" i="18" s="1"/>
  <c r="W795" i="18"/>
  <c r="Y795" i="18" s="1"/>
  <c r="W796" i="18"/>
  <c r="Y796" i="18" s="1"/>
  <c r="W797" i="18"/>
  <c r="Y797" i="18" s="1"/>
  <c r="W798" i="18"/>
  <c r="Y798" i="18" s="1"/>
  <c r="W799" i="18"/>
  <c r="Y799" i="18" s="1"/>
  <c r="W800" i="18"/>
  <c r="Y800" i="18" s="1"/>
  <c r="W801" i="18"/>
  <c r="Y801" i="18" s="1"/>
  <c r="W802" i="18"/>
  <c r="Y802" i="18" s="1"/>
  <c r="W803" i="18"/>
  <c r="Y803" i="18" s="1"/>
  <c r="W804" i="18"/>
  <c r="Y804" i="18" s="1"/>
  <c r="W805" i="18"/>
  <c r="Y805" i="18" s="1"/>
  <c r="W806" i="18"/>
  <c r="Y806" i="18" s="1"/>
  <c r="W807" i="18"/>
  <c r="Y807" i="18" s="1"/>
  <c r="W808" i="18"/>
  <c r="Y808" i="18" s="1"/>
  <c r="W809" i="18"/>
  <c r="Y809" i="18" s="1"/>
  <c r="W810" i="18"/>
  <c r="Y810" i="18" s="1"/>
  <c r="W811" i="18"/>
  <c r="Y811" i="18" s="1"/>
  <c r="W812" i="18"/>
  <c r="Y812" i="18" s="1"/>
  <c r="W813" i="18"/>
  <c r="Y813" i="18" s="1"/>
  <c r="W814" i="18"/>
  <c r="Y814" i="18" s="1"/>
  <c r="W815" i="18"/>
  <c r="Y815" i="18" s="1"/>
  <c r="W816" i="18"/>
  <c r="Y816" i="18" s="1"/>
  <c r="W817" i="18"/>
  <c r="Y817" i="18" s="1"/>
  <c r="W818" i="18"/>
  <c r="Y818" i="18" s="1"/>
  <c r="W819" i="18"/>
  <c r="Y819" i="18" s="1"/>
  <c r="W820" i="18"/>
  <c r="Y820" i="18" s="1"/>
  <c r="W821" i="18"/>
  <c r="Y821" i="18" s="1"/>
  <c r="W822" i="18"/>
  <c r="Y822" i="18" s="1"/>
  <c r="W823" i="18"/>
  <c r="Y823" i="18" s="1"/>
  <c r="W824" i="18"/>
  <c r="Y824" i="18" s="1"/>
  <c r="W825" i="18"/>
  <c r="Y825" i="18" s="1"/>
  <c r="W826" i="18"/>
  <c r="Y826" i="18" s="1"/>
  <c r="W827" i="18"/>
  <c r="Y827" i="18" s="1"/>
  <c r="W828" i="18"/>
  <c r="Y828" i="18" s="1"/>
  <c r="W829" i="18"/>
  <c r="Y829" i="18" s="1"/>
  <c r="W830" i="18"/>
  <c r="Y830" i="18" s="1"/>
  <c r="W831" i="18"/>
  <c r="Y831" i="18" s="1"/>
  <c r="W832" i="18"/>
  <c r="Y832" i="18" s="1"/>
  <c r="W833" i="18"/>
  <c r="Y833" i="18" s="1"/>
  <c r="W834" i="18"/>
  <c r="Y834" i="18" s="1"/>
  <c r="W835" i="18"/>
  <c r="Y835" i="18" s="1"/>
  <c r="W836" i="18"/>
  <c r="Y836" i="18" s="1"/>
  <c r="W837" i="18"/>
  <c r="Y837" i="18" s="1"/>
  <c r="W838" i="18"/>
  <c r="Y838" i="18" s="1"/>
  <c r="W839" i="18"/>
  <c r="Y839" i="18" s="1"/>
  <c r="W840" i="18"/>
  <c r="Y840" i="18" s="1"/>
  <c r="W841" i="18"/>
  <c r="Y841" i="18" s="1"/>
  <c r="W842" i="18"/>
  <c r="Y842" i="18" s="1"/>
  <c r="W843" i="18"/>
  <c r="Y843" i="18" s="1"/>
  <c r="W844" i="18"/>
  <c r="Y844" i="18" s="1"/>
  <c r="W845" i="18"/>
  <c r="Y845" i="18" s="1"/>
  <c r="W846" i="18"/>
  <c r="Y846" i="18" s="1"/>
  <c r="W847" i="18"/>
  <c r="Y847" i="18" s="1"/>
  <c r="W848" i="18"/>
  <c r="Y848" i="18" s="1"/>
  <c r="W849" i="18"/>
  <c r="Y849" i="18" s="1"/>
  <c r="W850" i="18"/>
  <c r="Y850" i="18" s="1"/>
  <c r="W851" i="18"/>
  <c r="Y851" i="18" s="1"/>
  <c r="W852" i="18"/>
  <c r="Y852" i="18" s="1"/>
  <c r="W853" i="18"/>
  <c r="Y853" i="18" s="1"/>
  <c r="W854" i="18"/>
  <c r="Y854" i="18" s="1"/>
  <c r="W855" i="18"/>
  <c r="Y855" i="18" s="1"/>
  <c r="W856" i="18"/>
  <c r="Y856" i="18" s="1"/>
  <c r="W857" i="18"/>
  <c r="Y857" i="18" s="1"/>
  <c r="W858" i="18"/>
  <c r="Y858" i="18" s="1"/>
  <c r="W859" i="18"/>
  <c r="Y859" i="18" s="1"/>
  <c r="W860" i="18"/>
  <c r="Y860" i="18" s="1"/>
  <c r="W861" i="18"/>
  <c r="Y861" i="18" s="1"/>
  <c r="W862" i="18"/>
  <c r="Y862" i="18" s="1"/>
  <c r="W863" i="18"/>
  <c r="Y863" i="18" s="1"/>
  <c r="W864" i="18"/>
  <c r="Y864" i="18" s="1"/>
  <c r="W865" i="18"/>
  <c r="Y865" i="18" s="1"/>
  <c r="W866" i="18"/>
  <c r="Y866" i="18" s="1"/>
  <c r="W867" i="18"/>
  <c r="Y867" i="18" s="1"/>
  <c r="W868" i="18"/>
  <c r="Y868" i="18" s="1"/>
  <c r="W869" i="18"/>
  <c r="Y869" i="18" s="1"/>
  <c r="W870" i="18"/>
  <c r="Y870" i="18" s="1"/>
  <c r="W871" i="18"/>
  <c r="Y871" i="18" s="1"/>
  <c r="W872" i="18"/>
  <c r="Y872" i="18" s="1"/>
  <c r="W873" i="18"/>
  <c r="Y873" i="18" s="1"/>
  <c r="W874" i="18"/>
  <c r="Y874" i="18" s="1"/>
  <c r="W875" i="18"/>
  <c r="Y875" i="18" s="1"/>
  <c r="W876" i="18"/>
  <c r="Y876" i="18" s="1"/>
  <c r="W877" i="18"/>
  <c r="Y877" i="18" s="1"/>
  <c r="W878" i="18"/>
  <c r="Y878" i="18" s="1"/>
  <c r="W879" i="18"/>
  <c r="Y879" i="18" s="1"/>
  <c r="W880" i="18"/>
  <c r="Y880" i="18" s="1"/>
  <c r="W3" i="18"/>
  <c r="Y3" i="18" s="1"/>
  <c r="H4" i="58" l="1"/>
  <c r="F3" i="58"/>
  <c r="BO5" i="58"/>
  <c r="X863" i="18"/>
  <c r="X864" i="18"/>
  <c r="X867" i="18"/>
  <c r="X868" i="18"/>
  <c r="X869" i="18"/>
  <c r="X870" i="18"/>
  <c r="X871" i="18"/>
  <c r="X872" i="18"/>
  <c r="X874" i="18"/>
  <c r="X875" i="18"/>
  <c r="X876" i="18"/>
  <c r="X877" i="18"/>
  <c r="X878" i="18"/>
  <c r="X879" i="18"/>
  <c r="X880" i="18"/>
  <c r="X3" i="18"/>
  <c r="X6" i="18"/>
  <c r="X10" i="18"/>
  <c r="X15" i="18"/>
  <c r="X34" i="18"/>
  <c r="X38" i="18"/>
  <c r="X42" i="18"/>
  <c r="X46" i="18"/>
  <c r="X47" i="18"/>
  <c r="X51" i="18"/>
  <c r="X59" i="18"/>
  <c r="X66" i="18"/>
  <c r="X70" i="18"/>
  <c r="X74" i="18"/>
  <c r="X75" i="18"/>
  <c r="X90" i="18"/>
  <c r="X94" i="18"/>
  <c r="X99" i="18"/>
  <c r="X102" i="18"/>
  <c r="X103" i="18"/>
  <c r="X104" i="18"/>
  <c r="X106" i="18"/>
  <c r="X108" i="18"/>
  <c r="X110" i="18"/>
  <c r="X111" i="18"/>
  <c r="X112" i="18"/>
  <c r="X114" i="18"/>
  <c r="X116" i="18"/>
  <c r="X118" i="18"/>
  <c r="X120" i="18"/>
  <c r="X122" i="18"/>
  <c r="X123" i="18"/>
  <c r="X124" i="18"/>
  <c r="X126" i="18"/>
  <c r="X128" i="18"/>
  <c r="X130" i="18"/>
  <c r="X131" i="18"/>
  <c r="X132" i="18"/>
  <c r="X135" i="18"/>
  <c r="X136" i="18"/>
  <c r="X138" i="18"/>
  <c r="X140" i="18"/>
  <c r="X142" i="18"/>
  <c r="X143" i="18"/>
  <c r="X144" i="18"/>
  <c r="X146" i="18"/>
  <c r="X148" i="18"/>
  <c r="X150" i="18"/>
  <c r="X152" i="18"/>
  <c r="X154" i="18"/>
  <c r="X155" i="18"/>
  <c r="X156" i="18"/>
  <c r="X158" i="18"/>
  <c r="X160" i="18"/>
  <c r="X162" i="18"/>
  <c r="X163" i="18"/>
  <c r="X164" i="18"/>
  <c r="X167" i="18"/>
  <c r="X168" i="18"/>
  <c r="X170" i="18"/>
  <c r="X172" i="18"/>
  <c r="X173" i="18"/>
  <c r="X175" i="18"/>
  <c r="X177" i="18"/>
  <c r="X179" i="18"/>
  <c r="X181" i="18"/>
  <c r="X183" i="18"/>
  <c r="X185" i="18"/>
  <c r="X187" i="18"/>
  <c r="X188" i="18"/>
  <c r="X189" i="18"/>
  <c r="X191" i="18"/>
  <c r="X192" i="18"/>
  <c r="X193" i="18"/>
  <c r="X195" i="18"/>
  <c r="X196" i="18"/>
  <c r="X197" i="18"/>
  <c r="X199" i="18"/>
  <c r="X200" i="18"/>
  <c r="X201" i="18"/>
  <c r="X203" i="18"/>
  <c r="X205" i="18"/>
  <c r="X207" i="18"/>
  <c r="X209" i="18"/>
  <c r="X211" i="18"/>
  <c r="X213" i="18"/>
  <c r="X215" i="18"/>
  <c r="X217" i="18"/>
  <c r="X219" i="18"/>
  <c r="X221" i="18"/>
  <c r="X223" i="18"/>
  <c r="X225" i="18"/>
  <c r="X227" i="18"/>
  <c r="X229" i="18"/>
  <c r="X231" i="18"/>
  <c r="X233" i="18"/>
  <c r="X235" i="18"/>
  <c r="X237" i="18"/>
  <c r="X239" i="18"/>
  <c r="X241" i="18"/>
  <c r="X243" i="18"/>
  <c r="X245" i="18"/>
  <c r="X247" i="18"/>
  <c r="X249" i="18"/>
  <c r="X251" i="18"/>
  <c r="X253" i="18"/>
  <c r="X255" i="18"/>
  <c r="X257" i="18"/>
  <c r="X259" i="18"/>
  <c r="X261" i="18"/>
  <c r="X263" i="18"/>
  <c r="X265" i="18"/>
  <c r="X267" i="18"/>
  <c r="X269" i="18"/>
  <c r="X271" i="18"/>
  <c r="X273" i="18"/>
  <c r="X275" i="18"/>
  <c r="X276" i="18"/>
  <c r="X277" i="18"/>
  <c r="X279" i="18"/>
  <c r="X280" i="18"/>
  <c r="X283" i="18"/>
  <c r="X284" i="18"/>
  <c r="X287" i="18"/>
  <c r="X288" i="18"/>
  <c r="X291" i="18"/>
  <c r="X292" i="18"/>
  <c r="X295" i="18"/>
  <c r="X296" i="18"/>
  <c r="X299" i="18"/>
  <c r="X300" i="18"/>
  <c r="X303" i="18"/>
  <c r="X304" i="18"/>
  <c r="X307" i="18"/>
  <c r="X308" i="18"/>
  <c r="X311" i="18"/>
  <c r="X312" i="18"/>
  <c r="X315" i="18"/>
  <c r="X316" i="18"/>
  <c r="X319" i="18"/>
  <c r="X320" i="18"/>
  <c r="X323" i="18"/>
  <c r="X324" i="18"/>
  <c r="X327" i="18"/>
  <c r="X328" i="18"/>
  <c r="X331" i="18"/>
  <c r="X332" i="18"/>
  <c r="X335" i="18"/>
  <c r="X336" i="18"/>
  <c r="X337" i="18"/>
  <c r="X339" i="18"/>
  <c r="X341" i="18"/>
  <c r="X343" i="18"/>
  <c r="X344" i="18"/>
  <c r="X348" i="18"/>
  <c r="X349" i="18"/>
  <c r="X351" i="18"/>
  <c r="X352" i="18"/>
  <c r="X353" i="18"/>
  <c r="X355" i="18"/>
  <c r="X357" i="18"/>
  <c r="X359" i="18"/>
  <c r="X360" i="18"/>
  <c r="X364" i="18"/>
  <c r="X365" i="18"/>
  <c r="X367" i="18"/>
  <c r="X368" i="18"/>
  <c r="X373" i="18"/>
  <c r="X375" i="18"/>
  <c r="X376" i="18"/>
  <c r="X380" i="18"/>
  <c r="X381" i="18"/>
  <c r="X383" i="18"/>
  <c r="X384" i="18"/>
  <c r="X392" i="18"/>
  <c r="X396" i="18"/>
  <c r="X400" i="18"/>
  <c r="X401" i="18"/>
  <c r="X403" i="18"/>
  <c r="X409" i="18"/>
  <c r="X411" i="18"/>
  <c r="X415" i="18"/>
  <c r="X419" i="18"/>
  <c r="X420" i="18"/>
  <c r="X423" i="18"/>
  <c r="X427" i="18"/>
  <c r="X428" i="18"/>
  <c r="X431" i="18"/>
  <c r="X432" i="18"/>
  <c r="X433" i="18"/>
  <c r="X439" i="18"/>
  <c r="X441" i="18"/>
  <c r="X442" i="18"/>
  <c r="X445" i="18"/>
  <c r="X446" i="18"/>
  <c r="X448" i="18"/>
  <c r="X449" i="18"/>
  <c r="X454" i="18"/>
  <c r="X456" i="18"/>
  <c r="X457" i="18"/>
  <c r="X461" i="18"/>
  <c r="X462" i="18"/>
  <c r="X464" i="18"/>
  <c r="X465" i="18"/>
  <c r="X470" i="18"/>
  <c r="X472" i="18"/>
  <c r="X473" i="18"/>
  <c r="X474" i="18"/>
  <c r="X476" i="18"/>
  <c r="X478" i="18"/>
  <c r="X480" i="18"/>
  <c r="X481" i="18"/>
  <c r="X482" i="18"/>
  <c r="X484" i="18"/>
  <c r="X485" i="18"/>
  <c r="X486" i="18"/>
  <c r="X488" i="18"/>
  <c r="X490" i="18"/>
  <c r="X493" i="18"/>
  <c r="X494" i="18"/>
  <c r="X496" i="18"/>
  <c r="X498" i="18"/>
  <c r="X500" i="18"/>
  <c r="X502" i="18"/>
  <c r="X504" i="18"/>
  <c r="X505" i="18"/>
  <c r="X506" i="18"/>
  <c r="X508" i="18"/>
  <c r="X510" i="18"/>
  <c r="X512" i="18"/>
  <c r="X513" i="18"/>
  <c r="X514" i="18"/>
  <c r="X516" i="18"/>
  <c r="X517" i="18"/>
  <c r="X518" i="18"/>
  <c r="X520" i="18"/>
  <c r="X522" i="18"/>
  <c r="X526" i="18"/>
  <c r="X528" i="18"/>
  <c r="X530" i="18"/>
  <c r="X532" i="18"/>
  <c r="X534" i="18"/>
  <c r="X536" i="18"/>
  <c r="X537" i="18"/>
  <c r="X538" i="18"/>
  <c r="X540" i="18"/>
  <c r="X542" i="18"/>
  <c r="X545" i="18"/>
  <c r="X548" i="18"/>
  <c r="X549" i="18"/>
  <c r="X553" i="18"/>
  <c r="X556" i="18"/>
  <c r="X557" i="18"/>
  <c r="X561" i="18"/>
  <c r="X564" i="18"/>
  <c r="X565" i="18"/>
  <c r="X569" i="18"/>
  <c r="X572" i="18"/>
  <c r="X573" i="18"/>
  <c r="X577" i="18"/>
  <c r="X580" i="18"/>
  <c r="X581" i="18"/>
  <c r="X585" i="18"/>
  <c r="X588" i="18"/>
  <c r="X589" i="18"/>
  <c r="X593" i="18"/>
  <c r="X596" i="18"/>
  <c r="X597" i="18"/>
  <c r="X601" i="18"/>
  <c r="X604" i="18"/>
  <c r="X605" i="18"/>
  <c r="X609" i="18"/>
  <c r="X612" i="18"/>
  <c r="X613" i="18"/>
  <c r="X617" i="18"/>
  <c r="X621" i="18"/>
  <c r="X625" i="18"/>
  <c r="X628" i="18"/>
  <c r="X629" i="18"/>
  <c r="X632" i="18"/>
  <c r="X633" i="18"/>
  <c r="X637" i="18"/>
  <c r="X641" i="18"/>
  <c r="X644" i="18"/>
  <c r="X645" i="18"/>
  <c r="X649" i="18"/>
  <c r="X653" i="18"/>
  <c r="X657" i="18"/>
  <c r="X660" i="18"/>
  <c r="X661" i="18"/>
  <c r="X664" i="18"/>
  <c r="X665" i="18"/>
  <c r="X668" i="18"/>
  <c r="X669" i="18"/>
  <c r="X673" i="18"/>
  <c r="X676" i="18"/>
  <c r="X677" i="18"/>
  <c r="X681" i="18"/>
  <c r="X684" i="18"/>
  <c r="X685" i="18"/>
  <c r="X689" i="18"/>
  <c r="X691" i="18"/>
  <c r="X693" i="18"/>
  <c r="X695" i="18"/>
  <c r="X696" i="18"/>
  <c r="X697" i="18"/>
  <c r="X699" i="18"/>
  <c r="X701" i="18"/>
  <c r="X704" i="18"/>
  <c r="X705" i="18"/>
  <c r="X709" i="18"/>
  <c r="X711" i="18"/>
  <c r="X713" i="18"/>
  <c r="X715" i="18"/>
  <c r="X716" i="18"/>
  <c r="X717" i="18"/>
  <c r="X720" i="18"/>
  <c r="X721" i="18"/>
  <c r="X725" i="18"/>
  <c r="X728" i="18"/>
  <c r="X729" i="18"/>
  <c r="X731" i="18"/>
  <c r="X732" i="18"/>
  <c r="X733" i="18"/>
  <c r="X737" i="18"/>
  <c r="X739" i="18"/>
  <c r="X741" i="18"/>
  <c r="X743" i="18"/>
  <c r="X744" i="18"/>
  <c r="X745" i="18"/>
  <c r="X749" i="18"/>
  <c r="X753" i="18"/>
  <c r="X755" i="18"/>
  <c r="X757" i="18"/>
  <c r="X759" i="18"/>
  <c r="X760" i="18"/>
  <c r="X761" i="18"/>
  <c r="X764" i="18"/>
  <c r="X765" i="18"/>
  <c r="X768" i="18"/>
  <c r="X769" i="18"/>
  <c r="X771" i="18"/>
  <c r="X773" i="18"/>
  <c r="X775" i="18"/>
  <c r="X776" i="18"/>
  <c r="X777" i="18"/>
  <c r="X780" i="18"/>
  <c r="X781" i="18"/>
  <c r="X784" i="18"/>
  <c r="X785" i="18"/>
  <c r="X787" i="18"/>
  <c r="X789" i="18"/>
  <c r="X792" i="18"/>
  <c r="X793" i="18"/>
  <c r="X795" i="18"/>
  <c r="X796" i="18"/>
  <c r="X797" i="18"/>
  <c r="X801" i="18"/>
  <c r="X803" i="18"/>
  <c r="X805" i="18"/>
  <c r="X807" i="18"/>
  <c r="X808" i="18"/>
  <c r="X809" i="18"/>
  <c r="X813" i="18"/>
  <c r="X817" i="18"/>
  <c r="X819" i="18"/>
  <c r="X821" i="18"/>
  <c r="X823" i="18"/>
  <c r="X824" i="18"/>
  <c r="X825" i="18"/>
  <c r="X828" i="18"/>
  <c r="X829" i="18"/>
  <c r="X832" i="18"/>
  <c r="X833" i="18"/>
  <c r="X835" i="18"/>
  <c r="X837" i="18"/>
  <c r="X839" i="18"/>
  <c r="X840" i="18"/>
  <c r="X841" i="18"/>
  <c r="X844" i="18"/>
  <c r="X845" i="18"/>
  <c r="X848" i="18"/>
  <c r="X849" i="18"/>
  <c r="X851" i="18"/>
  <c r="X853" i="18"/>
  <c r="X856" i="18"/>
  <c r="X857" i="18"/>
  <c r="X859" i="18"/>
  <c r="X860" i="18"/>
  <c r="X861" i="18"/>
  <c r="X702" i="18" l="1"/>
  <c r="X568" i="18"/>
  <c r="X586" i="18"/>
  <c r="X469" i="18"/>
  <c r="X656" i="18"/>
  <c r="X680" i="18"/>
  <c r="X618" i="18"/>
  <c r="X708" i="18"/>
  <c r="X452" i="18"/>
  <c r="X98" i="18"/>
  <c r="X95" i="18"/>
  <c r="X374" i="18"/>
  <c r="X23" i="18"/>
  <c r="X818" i="18"/>
  <c r="X866" i="18"/>
  <c r="X554" i="18"/>
  <c r="X416" i="18"/>
  <c r="X873" i="18"/>
  <c r="X865" i="18"/>
  <c r="X831" i="18"/>
  <c r="X763" i="18"/>
  <c r="X600" i="18"/>
  <c r="X372" i="18"/>
  <c r="X816" i="18"/>
  <c r="X767" i="18"/>
  <c r="X754" i="18"/>
  <c r="X747" i="18"/>
  <c r="X658" i="18"/>
  <c r="X624" i="18"/>
  <c r="X602" i="18"/>
  <c r="X570" i="18"/>
  <c r="X82" i="18"/>
  <c r="X79" i="18"/>
  <c r="X29" i="18"/>
  <c r="X827" i="18"/>
  <c r="X811" i="18"/>
  <c r="X782" i="18"/>
  <c r="X736" i="18"/>
  <c r="X501" i="18"/>
  <c r="X453" i="18"/>
  <c r="X390" i="18"/>
  <c r="X387" i="18"/>
  <c r="X371" i="18"/>
  <c r="X846" i="18"/>
  <c r="X800" i="18"/>
  <c r="X752" i="18"/>
  <c r="X700" i="18"/>
  <c r="X674" i="18"/>
  <c r="X584" i="18"/>
  <c r="X578" i="18"/>
  <c r="X562" i="18"/>
  <c r="X552" i="18"/>
  <c r="X546" i="18"/>
  <c r="X73" i="18"/>
  <c r="X62" i="18"/>
  <c r="X55" i="18"/>
  <c r="X812" i="18"/>
  <c r="X802" i="18"/>
  <c r="X748" i="18"/>
  <c r="X738" i="18"/>
  <c r="X688" i="18"/>
  <c r="X682" i="18"/>
  <c r="X666" i="18"/>
  <c r="X648" i="18"/>
  <c r="X642" i="18"/>
  <c r="X626" i="18"/>
  <c r="X592" i="18"/>
  <c r="X855" i="18"/>
  <c r="X814" i="18"/>
  <c r="X804" i="18"/>
  <c r="X791" i="18"/>
  <c r="X750" i="18"/>
  <c r="X740" i="18"/>
  <c r="X727" i="18"/>
  <c r="X650" i="18"/>
  <c r="X634" i="18"/>
  <c r="X616" i="18"/>
  <c r="X610" i="18"/>
  <c r="X594" i="18"/>
  <c r="X560" i="18"/>
  <c r="X525" i="18"/>
  <c r="X468" i="18"/>
  <c r="X455" i="18"/>
  <c r="X440" i="18"/>
  <c r="X408" i="18"/>
  <c r="X388" i="18"/>
  <c r="X346" i="18"/>
  <c r="X180" i="18"/>
  <c r="X178" i="18"/>
  <c r="X81" i="18"/>
  <c r="X27" i="18"/>
  <c r="X14" i="18"/>
  <c r="X11" i="18"/>
  <c r="X862" i="18"/>
  <c r="X854" i="18"/>
  <c r="X843" i="18"/>
  <c r="X820" i="18"/>
  <c r="X798" i="18"/>
  <c r="X790" i="18"/>
  <c r="X779" i="18"/>
  <c r="X756" i="18"/>
  <c r="X734" i="18"/>
  <c r="X726" i="18"/>
  <c r="X719" i="18"/>
  <c r="X710" i="18"/>
  <c r="X672" i="18"/>
  <c r="X640" i="18"/>
  <c r="X608" i="18"/>
  <c r="X576" i="18"/>
  <c r="X544" i="18"/>
  <c r="X533" i="18"/>
  <c r="X471" i="18"/>
  <c r="X435" i="18"/>
  <c r="X186" i="18"/>
  <c r="X159" i="18"/>
  <c r="X127" i="18"/>
  <c r="X91" i="18"/>
  <c r="X61" i="18"/>
  <c r="X45" i="18"/>
  <c r="X30" i="18"/>
  <c r="X19" i="18"/>
  <c r="X13" i="18"/>
  <c r="X690" i="18"/>
  <c r="X670" i="18"/>
  <c r="X622" i="18"/>
  <c r="X686" i="18"/>
  <c r="X678" i="18"/>
  <c r="X652" i="18"/>
  <c r="X638" i="18"/>
  <c r="X620" i="18"/>
  <c r="X606" i="18"/>
  <c r="X654" i="18"/>
  <c r="X636" i="18"/>
  <c r="X847" i="18"/>
  <c r="X836" i="18"/>
  <c r="X834" i="18"/>
  <c r="X830" i="18"/>
  <c r="X822" i="18"/>
  <c r="X806" i="18"/>
  <c r="X799" i="18"/>
  <c r="X783" i="18"/>
  <c r="X772" i="18"/>
  <c r="X770" i="18"/>
  <c r="X766" i="18"/>
  <c r="X758" i="18"/>
  <c r="X742" i="18"/>
  <c r="X735" i="18"/>
  <c r="X722" i="18"/>
  <c r="X718" i="18"/>
  <c r="X706" i="18"/>
  <c r="X662" i="18"/>
  <c r="X646" i="18"/>
  <c r="X630" i="18"/>
  <c r="X614" i="18"/>
  <c r="X598" i="18"/>
  <c r="X582" i="18"/>
  <c r="X566" i="18"/>
  <c r="X550" i="18"/>
  <c r="X521" i="18"/>
  <c r="X463" i="18"/>
  <c r="X444" i="18"/>
  <c r="X395" i="18"/>
  <c r="X382" i="18"/>
  <c r="X363" i="18"/>
  <c r="X184" i="18"/>
  <c r="X182" i="18"/>
  <c r="X147" i="18"/>
  <c r="X67" i="18"/>
  <c r="X39" i="18"/>
  <c r="X590" i="18"/>
  <c r="X574" i="18"/>
  <c r="X558" i="18"/>
  <c r="X489" i="18"/>
  <c r="X460" i="18"/>
  <c r="X447" i="18"/>
  <c r="X398" i="18"/>
  <c r="X379" i="18"/>
  <c r="X366" i="18"/>
  <c r="X350" i="18"/>
  <c r="X334" i="18"/>
  <c r="X176" i="18"/>
  <c r="X174" i="18"/>
  <c r="X115" i="18"/>
  <c r="X97" i="18"/>
  <c r="X86" i="18"/>
  <c r="X71" i="18"/>
  <c r="X43" i="18"/>
  <c r="X35" i="18"/>
  <c r="X842" i="18"/>
  <c r="X778" i="18"/>
  <c r="X679" i="18"/>
  <c r="X647" i="18"/>
  <c r="X615" i="18"/>
  <c r="X583" i="18"/>
  <c r="X551" i="18"/>
  <c r="X541" i="18"/>
  <c r="X492" i="18"/>
  <c r="X340" i="18"/>
  <c r="X232" i="18"/>
  <c r="X216" i="18"/>
  <c r="X210" i="18"/>
  <c r="X58" i="18"/>
  <c r="X730" i="18"/>
  <c r="X723" i="18"/>
  <c r="X712" i="18"/>
  <c r="X703" i="18"/>
  <c r="X694" i="18"/>
  <c r="X683" i="18"/>
  <c r="X667" i="18"/>
  <c r="X651" i="18"/>
  <c r="X635" i="18"/>
  <c r="X619" i="18"/>
  <c r="X603" i="18"/>
  <c r="X587" i="18"/>
  <c r="X571" i="18"/>
  <c r="X555" i="18"/>
  <c r="X497" i="18"/>
  <c r="X466" i="18"/>
  <c r="X436" i="18"/>
  <c r="X412" i="18"/>
  <c r="X385" i="18"/>
  <c r="X347" i="18"/>
  <c r="X333" i="18"/>
  <c r="X314" i="18"/>
  <c r="X298" i="18"/>
  <c r="X282" i="18"/>
  <c r="X663" i="18"/>
  <c r="X631" i="18"/>
  <c r="X567" i="18"/>
  <c r="X477" i="18"/>
  <c r="X356" i="18"/>
  <c r="X794" i="18"/>
  <c r="X746" i="18"/>
  <c r="X707" i="18"/>
  <c r="X687" i="18"/>
  <c r="X671" i="18"/>
  <c r="X655" i="18"/>
  <c r="X639" i="18"/>
  <c r="X623" i="18"/>
  <c r="X607" i="18"/>
  <c r="X591" i="18"/>
  <c r="X575" i="18"/>
  <c r="X559" i="18"/>
  <c r="X543" i="18"/>
  <c r="X524" i="18"/>
  <c r="X509" i="18"/>
  <c r="X458" i="18"/>
  <c r="X424" i="18"/>
  <c r="X377" i="18"/>
  <c r="X599" i="18"/>
  <c r="X393" i="18"/>
  <c r="X361" i="18"/>
  <c r="X345" i="18"/>
  <c r="X274" i="18"/>
  <c r="X264" i="18"/>
  <c r="X258" i="18"/>
  <c r="X248" i="18"/>
  <c r="X242" i="18"/>
  <c r="X226" i="18"/>
  <c r="X89" i="18"/>
  <c r="X78" i="18"/>
  <c r="X50" i="18"/>
  <c r="X22" i="18"/>
  <c r="X858" i="18"/>
  <c r="X810" i="18"/>
  <c r="X852" i="18"/>
  <c r="X850" i="18"/>
  <c r="X838" i="18"/>
  <c r="X826" i="18"/>
  <c r="X815" i="18"/>
  <c r="X788" i="18"/>
  <c r="X786" i="18"/>
  <c r="X774" i="18"/>
  <c r="X762" i="18"/>
  <c r="X751" i="18"/>
  <c r="X724" i="18"/>
  <c r="X714" i="18"/>
  <c r="X692" i="18"/>
  <c r="X675" i="18"/>
  <c r="X659" i="18"/>
  <c r="X643" i="18"/>
  <c r="X627" i="18"/>
  <c r="X611" i="18"/>
  <c r="X595" i="18"/>
  <c r="X579" i="18"/>
  <c r="X563" i="18"/>
  <c r="X547" i="18"/>
  <c r="X529" i="18"/>
  <c r="X450" i="18"/>
  <c r="X404" i="18"/>
  <c r="X369" i="18"/>
  <c r="X306" i="18"/>
  <c r="X290" i="18"/>
  <c r="X270" i="18"/>
  <c r="X260" i="18"/>
  <c r="X254" i="18"/>
  <c r="X244" i="18"/>
  <c r="X238" i="18"/>
  <c r="X228" i="18"/>
  <c r="X222" i="18"/>
  <c r="X212" i="18"/>
  <c r="X206" i="18"/>
  <c r="X166" i="18"/>
  <c r="X151" i="18"/>
  <c r="X139" i="18"/>
  <c r="X65" i="18"/>
  <c r="X31" i="18"/>
  <c r="X9" i="18"/>
  <c r="X698" i="18"/>
  <c r="X443" i="18"/>
  <c r="X358" i="18"/>
  <c r="X354" i="18"/>
  <c r="X342" i="18"/>
  <c r="X338" i="18"/>
  <c r="X330" i="18"/>
  <c r="X326" i="18"/>
  <c r="X322" i="18"/>
  <c r="X318" i="18"/>
  <c r="X310" i="18"/>
  <c r="X302" i="18"/>
  <c r="X294" i="18"/>
  <c r="X286" i="18"/>
  <c r="X278" i="18"/>
  <c r="X272" i="18"/>
  <c r="X266" i="18"/>
  <c r="X256" i="18"/>
  <c r="X250" i="18"/>
  <c r="X240" i="18"/>
  <c r="X234" i="18"/>
  <c r="X224" i="18"/>
  <c r="X218" i="18"/>
  <c r="X208" i="18"/>
  <c r="X87" i="18"/>
  <c r="X54" i="18"/>
  <c r="X26" i="18"/>
  <c r="X18" i="18"/>
  <c r="X268" i="18"/>
  <c r="X262" i="18"/>
  <c r="X252" i="18"/>
  <c r="X246" i="18"/>
  <c r="X236" i="18"/>
  <c r="X230" i="18"/>
  <c r="X220" i="18"/>
  <c r="X214" i="18"/>
  <c r="X204" i="18"/>
  <c r="X171" i="18"/>
  <c r="X134" i="18"/>
  <c r="X119" i="18"/>
  <c r="X107" i="18"/>
  <c r="X83" i="18"/>
  <c r="X63" i="18"/>
  <c r="X33" i="18"/>
  <c r="X7" i="18"/>
  <c r="X77" i="18"/>
  <c r="X49" i="18"/>
  <c r="X17" i="18"/>
  <c r="X202" i="18"/>
  <c r="X198" i="18"/>
  <c r="X194" i="18"/>
  <c r="X190" i="18"/>
  <c r="X437" i="18"/>
  <c r="X429" i="18"/>
  <c r="X418" i="18"/>
  <c r="X413" i="18"/>
  <c r="X399" i="18"/>
  <c r="X391" i="18"/>
  <c r="X535" i="18"/>
  <c r="X527" i="18"/>
  <c r="X519" i="18"/>
  <c r="X511" i="18"/>
  <c r="X503" i="18"/>
  <c r="X495" i="18"/>
  <c r="X487" i="18"/>
  <c r="X479" i="18"/>
  <c r="X422" i="18"/>
  <c r="X417" i="18"/>
  <c r="X405" i="18"/>
  <c r="X438" i="18"/>
  <c r="X426" i="18"/>
  <c r="X421" i="18"/>
  <c r="X410" i="18"/>
  <c r="X394" i="18"/>
  <c r="X386" i="18"/>
  <c r="X539" i="18"/>
  <c r="X531" i="18"/>
  <c r="X523" i="18"/>
  <c r="X515" i="18"/>
  <c r="X507" i="18"/>
  <c r="X499" i="18"/>
  <c r="X491" i="18"/>
  <c r="X483" i="18"/>
  <c r="X475" i="18"/>
  <c r="X467" i="18"/>
  <c r="X459" i="18"/>
  <c r="X451" i="18"/>
  <c r="X434" i="18"/>
  <c r="X430" i="18"/>
  <c r="X425" i="18"/>
  <c r="X414" i="18"/>
  <c r="X407" i="18"/>
  <c r="X402" i="18"/>
  <c r="X397" i="18"/>
  <c r="X389" i="18"/>
  <c r="X406" i="18"/>
  <c r="X329" i="18"/>
  <c r="X325" i="18"/>
  <c r="X321" i="18"/>
  <c r="X317" i="18"/>
  <c r="X313" i="18"/>
  <c r="X309" i="18"/>
  <c r="X305" i="18"/>
  <c r="X301" i="18"/>
  <c r="X297" i="18"/>
  <c r="X293" i="18"/>
  <c r="X289" i="18"/>
  <c r="X285" i="18"/>
  <c r="X281" i="18"/>
  <c r="X378" i="18"/>
  <c r="X370" i="18"/>
  <c r="X362" i="18"/>
  <c r="X88" i="18"/>
  <c r="X72" i="18"/>
  <c r="X56" i="18"/>
  <c r="X40" i="18"/>
  <c r="X24" i="18"/>
  <c r="X8" i="18"/>
  <c r="X169" i="18"/>
  <c r="X161" i="18"/>
  <c r="X153" i="18"/>
  <c r="X145" i="18"/>
  <c r="X137" i="18"/>
  <c r="X129" i="18"/>
  <c r="X121" i="18"/>
  <c r="X113" i="18"/>
  <c r="X105" i="18"/>
  <c r="X100" i="18"/>
  <c r="X93" i="18"/>
  <c r="X84" i="18"/>
  <c r="X68" i="18"/>
  <c r="X52" i="18"/>
  <c r="X36" i="18"/>
  <c r="X20" i="18"/>
  <c r="X4" i="18"/>
  <c r="X96" i="18"/>
  <c r="X80" i="18"/>
  <c r="X64" i="18"/>
  <c r="X57" i="18"/>
  <c r="X48" i="18"/>
  <c r="X41" i="18"/>
  <c r="X32" i="18"/>
  <c r="X25" i="18"/>
  <c r="X16" i="18"/>
  <c r="X165" i="18"/>
  <c r="X157" i="18"/>
  <c r="X149" i="18"/>
  <c r="X141" i="18"/>
  <c r="X133" i="18"/>
  <c r="X125" i="18"/>
  <c r="X117" i="18"/>
  <c r="X109" i="18"/>
  <c r="X101" i="18"/>
  <c r="X92" i="18"/>
  <c r="X85" i="18"/>
  <c r="X76" i="18"/>
  <c r="X69" i="18"/>
  <c r="X60" i="18"/>
  <c r="X53" i="18"/>
  <c r="X44" i="18"/>
  <c r="X37" i="18"/>
  <c r="X28" i="18"/>
  <c r="X21" i="18"/>
  <c r="X12" i="18"/>
  <c r="X5" i="18"/>
  <c r="AA860" i="58"/>
  <c r="Z860" i="58"/>
  <c r="V860" i="58"/>
  <c r="U860" i="58"/>
  <c r="T860" i="58"/>
  <c r="S860" i="58"/>
  <c r="R860" i="58"/>
  <c r="Q860" i="58"/>
  <c r="L860" i="58"/>
  <c r="K860" i="58"/>
  <c r="J860" i="58"/>
  <c r="I860" i="58"/>
  <c r="H860" i="58"/>
  <c r="G860" i="58"/>
  <c r="F860" i="58"/>
  <c r="E860" i="58"/>
  <c r="D860" i="58"/>
  <c r="C860" i="58"/>
  <c r="B860" i="58"/>
  <c r="A860" i="58"/>
  <c r="AA850" i="58"/>
  <c r="Z850" i="58"/>
  <c r="V850" i="58"/>
  <c r="U850" i="58"/>
  <c r="T850" i="58"/>
  <c r="S850" i="58"/>
  <c r="R850" i="58"/>
  <c r="Q850" i="58"/>
  <c r="L850" i="58"/>
  <c r="K850" i="58"/>
  <c r="J850" i="58"/>
  <c r="I850" i="58"/>
  <c r="H850" i="58"/>
  <c r="G850" i="58"/>
  <c r="F850" i="58"/>
  <c r="E850" i="58"/>
  <c r="D850" i="58"/>
  <c r="C850" i="58"/>
  <c r="B850" i="58"/>
  <c r="A850" i="58"/>
  <c r="AA840" i="58"/>
  <c r="Z840" i="58"/>
  <c r="V840" i="58"/>
  <c r="U840" i="58"/>
  <c r="T840" i="58"/>
  <c r="S840" i="58"/>
  <c r="R840" i="58"/>
  <c r="Q840" i="58"/>
  <c r="L840" i="58"/>
  <c r="K840" i="58"/>
  <c r="J840" i="58"/>
  <c r="I840" i="58"/>
  <c r="H840" i="58"/>
  <c r="G840" i="58"/>
  <c r="F840" i="58"/>
  <c r="E840" i="58"/>
  <c r="D840" i="58"/>
  <c r="C840" i="58"/>
  <c r="B840" i="58"/>
  <c r="A840" i="58"/>
  <c r="AA830" i="58"/>
  <c r="Z830" i="58"/>
  <c r="V830" i="58"/>
  <c r="U830" i="58"/>
  <c r="T830" i="58"/>
  <c r="S830" i="58"/>
  <c r="R830" i="58"/>
  <c r="Q830" i="58"/>
  <c r="L830" i="58"/>
  <c r="K830" i="58"/>
  <c r="J830" i="58"/>
  <c r="I830" i="58"/>
  <c r="H830" i="58"/>
  <c r="G830" i="58"/>
  <c r="F830" i="58"/>
  <c r="E830" i="58"/>
  <c r="D830" i="58"/>
  <c r="C830" i="58"/>
  <c r="B830" i="58"/>
  <c r="A830" i="58"/>
  <c r="AA820" i="58"/>
  <c r="Z820" i="58"/>
  <c r="V820" i="58"/>
  <c r="U820" i="58"/>
  <c r="T820" i="58"/>
  <c r="S820" i="58"/>
  <c r="R820" i="58"/>
  <c r="Q820" i="58"/>
  <c r="L820" i="58"/>
  <c r="K820" i="58"/>
  <c r="J820" i="58"/>
  <c r="I820" i="58"/>
  <c r="H820" i="58"/>
  <c r="G820" i="58"/>
  <c r="F820" i="58"/>
  <c r="E820" i="58"/>
  <c r="D820" i="58"/>
  <c r="C820" i="58"/>
  <c r="B820" i="58"/>
  <c r="A820" i="58"/>
  <c r="AA810" i="58"/>
  <c r="Z810" i="58"/>
  <c r="V810" i="58"/>
  <c r="U810" i="58"/>
  <c r="T810" i="58"/>
  <c r="S810" i="58"/>
  <c r="R810" i="58"/>
  <c r="Q810" i="58"/>
  <c r="L810" i="58"/>
  <c r="K810" i="58"/>
  <c r="J810" i="58"/>
  <c r="I810" i="58"/>
  <c r="H810" i="58"/>
  <c r="G810" i="58"/>
  <c r="F810" i="58"/>
  <c r="E810" i="58"/>
  <c r="D810" i="58"/>
  <c r="C810" i="58"/>
  <c r="B810" i="58"/>
  <c r="A810" i="58"/>
  <c r="AA809" i="58"/>
  <c r="Z809" i="58"/>
  <c r="V809" i="58"/>
  <c r="U809" i="58"/>
  <c r="T809" i="58"/>
  <c r="S809" i="58"/>
  <c r="R809" i="58"/>
  <c r="Q809" i="58"/>
  <c r="L809" i="58"/>
  <c r="K809" i="58"/>
  <c r="J809" i="58"/>
  <c r="I809" i="58"/>
  <c r="H809" i="58"/>
  <c r="G809" i="58"/>
  <c r="F809" i="58"/>
  <c r="E809" i="58"/>
  <c r="D809" i="58"/>
  <c r="C809" i="58"/>
  <c r="B809" i="58"/>
  <c r="A809" i="58"/>
  <c r="AA808" i="58"/>
  <c r="Z808" i="58"/>
  <c r="V808" i="58"/>
  <c r="U808" i="58"/>
  <c r="T808" i="58"/>
  <c r="S808" i="58"/>
  <c r="R808" i="58"/>
  <c r="Q808" i="58"/>
  <c r="L808" i="58"/>
  <c r="K808" i="58"/>
  <c r="J808" i="58"/>
  <c r="I808" i="58"/>
  <c r="H808" i="58"/>
  <c r="G808" i="58"/>
  <c r="F808" i="58"/>
  <c r="E808" i="58"/>
  <c r="D808" i="58"/>
  <c r="C808" i="58"/>
  <c r="B808" i="58"/>
  <c r="A808" i="58"/>
  <c r="AA807" i="58"/>
  <c r="Z807" i="58"/>
  <c r="V807" i="58"/>
  <c r="U807" i="58"/>
  <c r="T807" i="58"/>
  <c r="S807" i="58"/>
  <c r="R807" i="58"/>
  <c r="Q807" i="58"/>
  <c r="L807" i="58"/>
  <c r="K807" i="58"/>
  <c r="J807" i="58"/>
  <c r="I807" i="58"/>
  <c r="H807" i="58"/>
  <c r="G807" i="58"/>
  <c r="F807" i="58"/>
  <c r="E807" i="58"/>
  <c r="D807" i="58"/>
  <c r="C807" i="58"/>
  <c r="B807" i="58"/>
  <c r="A807" i="58"/>
  <c r="AA806" i="58"/>
  <c r="Z806" i="58"/>
  <c r="V806" i="58"/>
  <c r="U806" i="58"/>
  <c r="T806" i="58"/>
  <c r="S806" i="58"/>
  <c r="R806" i="58"/>
  <c r="Q806" i="58"/>
  <c r="L806" i="58"/>
  <c r="K806" i="58"/>
  <c r="J806" i="58"/>
  <c r="I806" i="58"/>
  <c r="H806" i="58"/>
  <c r="G806" i="58"/>
  <c r="F806" i="58"/>
  <c r="E806" i="58"/>
  <c r="D806" i="58"/>
  <c r="C806" i="58"/>
  <c r="B806" i="58"/>
  <c r="A806" i="58"/>
  <c r="AA805" i="58"/>
  <c r="Z805" i="58"/>
  <c r="V805" i="58"/>
  <c r="U805" i="58"/>
  <c r="T805" i="58"/>
  <c r="S805" i="58"/>
  <c r="R805" i="58"/>
  <c r="Q805" i="58"/>
  <c r="L805" i="58"/>
  <c r="K805" i="58"/>
  <c r="J805" i="58"/>
  <c r="I805" i="58"/>
  <c r="H805" i="58"/>
  <c r="G805" i="58"/>
  <c r="F805" i="58"/>
  <c r="E805" i="58"/>
  <c r="D805" i="58"/>
  <c r="C805" i="58"/>
  <c r="B805" i="58"/>
  <c r="A805" i="58"/>
  <c r="AA804" i="58"/>
  <c r="Z804" i="58"/>
  <c r="V804" i="58"/>
  <c r="U804" i="58"/>
  <c r="T804" i="58"/>
  <c r="S804" i="58"/>
  <c r="R804" i="58"/>
  <c r="Q804" i="58"/>
  <c r="L804" i="58"/>
  <c r="K804" i="58"/>
  <c r="J804" i="58"/>
  <c r="I804" i="58"/>
  <c r="H804" i="58"/>
  <c r="G804" i="58"/>
  <c r="F804" i="58"/>
  <c r="E804" i="58"/>
  <c r="D804" i="58"/>
  <c r="C804" i="58"/>
  <c r="B804" i="58"/>
  <c r="A804" i="58"/>
  <c r="AA803" i="58"/>
  <c r="Z803" i="58"/>
  <c r="V803" i="58"/>
  <c r="U803" i="58"/>
  <c r="T803" i="58"/>
  <c r="S803" i="58"/>
  <c r="R803" i="58"/>
  <c r="Q803" i="58"/>
  <c r="L803" i="58"/>
  <c r="K803" i="58"/>
  <c r="J803" i="58"/>
  <c r="I803" i="58"/>
  <c r="H803" i="58"/>
  <c r="G803" i="58"/>
  <c r="F803" i="58"/>
  <c r="E803" i="58"/>
  <c r="D803" i="58"/>
  <c r="C803" i="58"/>
  <c r="B803" i="58"/>
  <c r="A803" i="58"/>
  <c r="AA802" i="58"/>
  <c r="Z802" i="58"/>
  <c r="V802" i="58"/>
  <c r="U802" i="58"/>
  <c r="T802" i="58"/>
  <c r="S802" i="58"/>
  <c r="R802" i="58"/>
  <c r="Q802" i="58"/>
  <c r="L802" i="58"/>
  <c r="K802" i="58"/>
  <c r="J802" i="58"/>
  <c r="I802" i="58"/>
  <c r="H802" i="58"/>
  <c r="G802" i="58"/>
  <c r="F802" i="58"/>
  <c r="E802" i="58"/>
  <c r="D802" i="58"/>
  <c r="C802" i="58"/>
  <c r="B802" i="58"/>
  <c r="A802" i="58"/>
  <c r="AA801" i="58"/>
  <c r="Z801" i="58"/>
  <c r="V801" i="58"/>
  <c r="U801" i="58"/>
  <c r="T801" i="58"/>
  <c r="S801" i="58"/>
  <c r="R801" i="58"/>
  <c r="Q801" i="58"/>
  <c r="L801" i="58"/>
  <c r="K801" i="58"/>
  <c r="J801" i="58"/>
  <c r="I801" i="58"/>
  <c r="H801" i="58"/>
  <c r="G801" i="58"/>
  <c r="F801" i="58"/>
  <c r="E801" i="58"/>
  <c r="D801" i="58"/>
  <c r="C801" i="58"/>
  <c r="B801" i="58"/>
  <c r="A801" i="58"/>
  <c r="AA800" i="58"/>
  <c r="Z800" i="58"/>
  <c r="V800" i="58"/>
  <c r="U800" i="58"/>
  <c r="T800" i="58"/>
  <c r="S800" i="58"/>
  <c r="R800" i="58"/>
  <c r="Q800" i="58"/>
  <c r="L800" i="58"/>
  <c r="K800" i="58"/>
  <c r="J800" i="58"/>
  <c r="I800" i="58"/>
  <c r="H800" i="58"/>
  <c r="G800" i="58"/>
  <c r="F800" i="58"/>
  <c r="E800" i="58"/>
  <c r="D800" i="58"/>
  <c r="C800" i="58"/>
  <c r="B800" i="58"/>
  <c r="A800" i="58"/>
  <c r="AA790" i="58"/>
  <c r="Z790" i="58"/>
  <c r="V790" i="58"/>
  <c r="U790" i="58"/>
  <c r="T790" i="58"/>
  <c r="S790" i="58"/>
  <c r="R790" i="58"/>
  <c r="Q790" i="58"/>
  <c r="L790" i="58"/>
  <c r="K790" i="58"/>
  <c r="J790" i="58"/>
  <c r="I790" i="58"/>
  <c r="H790" i="58"/>
  <c r="G790" i="58"/>
  <c r="F790" i="58"/>
  <c r="E790" i="58"/>
  <c r="D790" i="58"/>
  <c r="C790" i="58"/>
  <c r="B790" i="58"/>
  <c r="A790" i="58"/>
  <c r="AA780" i="58"/>
  <c r="Z780" i="58"/>
  <c r="V780" i="58"/>
  <c r="U780" i="58"/>
  <c r="T780" i="58"/>
  <c r="S780" i="58"/>
  <c r="R780" i="58"/>
  <c r="Q780" i="58"/>
  <c r="L780" i="58"/>
  <c r="K780" i="58"/>
  <c r="J780" i="58"/>
  <c r="I780" i="58"/>
  <c r="H780" i="58"/>
  <c r="G780" i="58"/>
  <c r="F780" i="58"/>
  <c r="E780" i="58"/>
  <c r="D780" i="58"/>
  <c r="C780" i="58"/>
  <c r="B780" i="58"/>
  <c r="A780" i="58"/>
  <c r="AA770" i="58"/>
  <c r="Z770" i="58"/>
  <c r="V770" i="58"/>
  <c r="U770" i="58"/>
  <c r="T770" i="58"/>
  <c r="S770" i="58"/>
  <c r="R770" i="58"/>
  <c r="Q770" i="58"/>
  <c r="L770" i="58"/>
  <c r="K770" i="58"/>
  <c r="J770" i="58"/>
  <c r="I770" i="58"/>
  <c r="H770" i="58"/>
  <c r="G770" i="58"/>
  <c r="F770" i="58"/>
  <c r="E770" i="58"/>
  <c r="D770" i="58"/>
  <c r="C770" i="58"/>
  <c r="B770" i="58"/>
  <c r="A770" i="58"/>
  <c r="AA760" i="58"/>
  <c r="Z760" i="58"/>
  <c r="V760" i="58"/>
  <c r="U760" i="58"/>
  <c r="T760" i="58"/>
  <c r="S760" i="58"/>
  <c r="R760" i="58"/>
  <c r="Q760" i="58"/>
  <c r="L760" i="58"/>
  <c r="K760" i="58"/>
  <c r="J760" i="58"/>
  <c r="I760" i="58"/>
  <c r="H760" i="58"/>
  <c r="G760" i="58"/>
  <c r="F760" i="58"/>
  <c r="E760" i="58"/>
  <c r="D760" i="58"/>
  <c r="C760" i="58"/>
  <c r="B760" i="58"/>
  <c r="A760" i="58"/>
  <c r="AA750" i="58"/>
  <c r="Z750" i="58"/>
  <c r="V750" i="58"/>
  <c r="U750" i="58"/>
  <c r="T750" i="58"/>
  <c r="S750" i="58"/>
  <c r="R750" i="58"/>
  <c r="Q750" i="58"/>
  <c r="L750" i="58"/>
  <c r="K750" i="58"/>
  <c r="J750" i="58"/>
  <c r="I750" i="58"/>
  <c r="H750" i="58"/>
  <c r="G750" i="58"/>
  <c r="F750" i="58"/>
  <c r="E750" i="58"/>
  <c r="D750" i="58"/>
  <c r="C750" i="58"/>
  <c r="B750" i="58"/>
  <c r="A750" i="58"/>
  <c r="AA740" i="58"/>
  <c r="Z740" i="58"/>
  <c r="V740" i="58"/>
  <c r="U740" i="58"/>
  <c r="T740" i="58"/>
  <c r="S740" i="58"/>
  <c r="R740" i="58"/>
  <c r="Q740" i="58"/>
  <c r="L740" i="58"/>
  <c r="K740" i="58"/>
  <c r="J740" i="58"/>
  <c r="I740" i="58"/>
  <c r="H740" i="58"/>
  <c r="G740" i="58"/>
  <c r="F740" i="58"/>
  <c r="E740" i="58"/>
  <c r="D740" i="58"/>
  <c r="C740" i="58"/>
  <c r="B740" i="58"/>
  <c r="A740" i="58"/>
  <c r="AA730" i="58"/>
  <c r="Z730" i="58"/>
  <c r="V730" i="58"/>
  <c r="U730" i="58"/>
  <c r="T730" i="58"/>
  <c r="S730" i="58"/>
  <c r="R730" i="58"/>
  <c r="Q730" i="58"/>
  <c r="L730" i="58"/>
  <c r="K730" i="58"/>
  <c r="J730" i="58"/>
  <c r="I730" i="58"/>
  <c r="H730" i="58"/>
  <c r="G730" i="58"/>
  <c r="F730" i="58"/>
  <c r="E730" i="58"/>
  <c r="D730" i="58"/>
  <c r="C730" i="58"/>
  <c r="B730" i="58"/>
  <c r="A730" i="58"/>
  <c r="AA720" i="58"/>
  <c r="Z720" i="58"/>
  <c r="V720" i="58"/>
  <c r="U720" i="58"/>
  <c r="T720" i="58"/>
  <c r="S720" i="58"/>
  <c r="R720" i="58"/>
  <c r="Q720" i="58"/>
  <c r="L720" i="58"/>
  <c r="K720" i="58"/>
  <c r="J720" i="58"/>
  <c r="I720" i="58"/>
  <c r="H720" i="58"/>
  <c r="G720" i="58"/>
  <c r="F720" i="58"/>
  <c r="E720" i="58"/>
  <c r="D720" i="58"/>
  <c r="C720" i="58"/>
  <c r="B720" i="58"/>
  <c r="A720" i="58"/>
  <c r="AA710" i="58"/>
  <c r="Z710" i="58"/>
  <c r="V710" i="58"/>
  <c r="U710" i="58"/>
  <c r="T710" i="58"/>
  <c r="S710" i="58"/>
  <c r="R710" i="58"/>
  <c r="Q710" i="58"/>
  <c r="L710" i="58"/>
  <c r="K710" i="58"/>
  <c r="J710" i="58"/>
  <c r="I710" i="58"/>
  <c r="H710" i="58"/>
  <c r="G710" i="58"/>
  <c r="F710" i="58"/>
  <c r="E710" i="58"/>
  <c r="D710" i="58"/>
  <c r="C710" i="58"/>
  <c r="B710" i="58"/>
  <c r="A710" i="58"/>
  <c r="AA709" i="58"/>
  <c r="Z709" i="58"/>
  <c r="V709" i="58"/>
  <c r="U709" i="58"/>
  <c r="T709" i="58"/>
  <c r="S709" i="58"/>
  <c r="R709" i="58"/>
  <c r="Q709" i="58"/>
  <c r="L709" i="58"/>
  <c r="K709" i="58"/>
  <c r="J709" i="58"/>
  <c r="I709" i="58"/>
  <c r="H709" i="58"/>
  <c r="G709" i="58"/>
  <c r="F709" i="58"/>
  <c r="E709" i="58"/>
  <c r="D709" i="58"/>
  <c r="C709" i="58"/>
  <c r="B709" i="58"/>
  <c r="A709" i="58"/>
  <c r="AA708" i="58"/>
  <c r="Z708" i="58"/>
  <c r="V708" i="58"/>
  <c r="U708" i="58"/>
  <c r="T708" i="58"/>
  <c r="S708" i="58"/>
  <c r="R708" i="58"/>
  <c r="Q708" i="58"/>
  <c r="L708" i="58"/>
  <c r="K708" i="58"/>
  <c r="J708" i="58"/>
  <c r="I708" i="58"/>
  <c r="H708" i="58"/>
  <c r="G708" i="58"/>
  <c r="F708" i="58"/>
  <c r="E708" i="58"/>
  <c r="D708" i="58"/>
  <c r="C708" i="58"/>
  <c r="B708" i="58"/>
  <c r="A708" i="58"/>
  <c r="AA707" i="58"/>
  <c r="Z707" i="58"/>
  <c r="V707" i="58"/>
  <c r="U707" i="58"/>
  <c r="T707" i="58"/>
  <c r="S707" i="58"/>
  <c r="R707" i="58"/>
  <c r="Q707" i="58"/>
  <c r="L707" i="58"/>
  <c r="K707" i="58"/>
  <c r="J707" i="58"/>
  <c r="I707" i="58"/>
  <c r="H707" i="58"/>
  <c r="G707" i="58"/>
  <c r="F707" i="58"/>
  <c r="E707" i="58"/>
  <c r="D707" i="58"/>
  <c r="C707" i="58"/>
  <c r="B707" i="58"/>
  <c r="A707" i="58"/>
  <c r="AA706" i="58"/>
  <c r="Z706" i="58"/>
  <c r="V706" i="58"/>
  <c r="U706" i="58"/>
  <c r="T706" i="58"/>
  <c r="S706" i="58"/>
  <c r="R706" i="58"/>
  <c r="Q706" i="58"/>
  <c r="L706" i="58"/>
  <c r="K706" i="58"/>
  <c r="J706" i="58"/>
  <c r="I706" i="58"/>
  <c r="H706" i="58"/>
  <c r="G706" i="58"/>
  <c r="F706" i="58"/>
  <c r="E706" i="58"/>
  <c r="D706" i="58"/>
  <c r="C706" i="58"/>
  <c r="B706" i="58"/>
  <c r="A706" i="58"/>
  <c r="AA705" i="58"/>
  <c r="Z705" i="58"/>
  <c r="V705" i="58"/>
  <c r="U705" i="58"/>
  <c r="T705" i="58"/>
  <c r="S705" i="58"/>
  <c r="R705" i="58"/>
  <c r="Q705" i="58"/>
  <c r="L705" i="58"/>
  <c r="K705" i="58"/>
  <c r="J705" i="58"/>
  <c r="I705" i="58"/>
  <c r="H705" i="58"/>
  <c r="G705" i="58"/>
  <c r="F705" i="58"/>
  <c r="E705" i="58"/>
  <c r="D705" i="58"/>
  <c r="C705" i="58"/>
  <c r="B705" i="58"/>
  <c r="A705" i="58"/>
  <c r="AA704" i="58"/>
  <c r="Z704" i="58"/>
  <c r="V704" i="58"/>
  <c r="U704" i="58"/>
  <c r="T704" i="58"/>
  <c r="S704" i="58"/>
  <c r="R704" i="58"/>
  <c r="Q704" i="58"/>
  <c r="L704" i="58"/>
  <c r="K704" i="58"/>
  <c r="J704" i="58"/>
  <c r="I704" i="58"/>
  <c r="H704" i="58"/>
  <c r="G704" i="58"/>
  <c r="F704" i="58"/>
  <c r="E704" i="58"/>
  <c r="D704" i="58"/>
  <c r="C704" i="58"/>
  <c r="B704" i="58"/>
  <c r="A704" i="58"/>
  <c r="AA703" i="58"/>
  <c r="Z703" i="58"/>
  <c r="V703" i="58"/>
  <c r="U703" i="58"/>
  <c r="T703" i="58"/>
  <c r="S703" i="58"/>
  <c r="R703" i="58"/>
  <c r="Q703" i="58"/>
  <c r="L703" i="58"/>
  <c r="K703" i="58"/>
  <c r="J703" i="58"/>
  <c r="I703" i="58"/>
  <c r="H703" i="58"/>
  <c r="G703" i="58"/>
  <c r="F703" i="58"/>
  <c r="E703" i="58"/>
  <c r="D703" i="58"/>
  <c r="C703" i="58"/>
  <c r="B703" i="58"/>
  <c r="A703" i="58"/>
  <c r="AA702" i="58"/>
  <c r="Z702" i="58"/>
  <c r="V702" i="58"/>
  <c r="U702" i="58"/>
  <c r="T702" i="58"/>
  <c r="S702" i="58"/>
  <c r="R702" i="58"/>
  <c r="Q702" i="58"/>
  <c r="L702" i="58"/>
  <c r="K702" i="58"/>
  <c r="J702" i="58"/>
  <c r="I702" i="58"/>
  <c r="H702" i="58"/>
  <c r="G702" i="58"/>
  <c r="F702" i="58"/>
  <c r="E702" i="58"/>
  <c r="D702" i="58"/>
  <c r="C702" i="58"/>
  <c r="B702" i="58"/>
  <c r="A702" i="58"/>
  <c r="AA701" i="58"/>
  <c r="Z701" i="58"/>
  <c r="V701" i="58"/>
  <c r="U701" i="58"/>
  <c r="T701" i="58"/>
  <c r="S701" i="58"/>
  <c r="R701" i="58"/>
  <c r="Q701" i="58"/>
  <c r="L701" i="58"/>
  <c r="K701" i="58"/>
  <c r="J701" i="58"/>
  <c r="I701" i="58"/>
  <c r="H701" i="58"/>
  <c r="G701" i="58"/>
  <c r="F701" i="58"/>
  <c r="E701" i="58"/>
  <c r="D701" i="58"/>
  <c r="C701" i="58"/>
  <c r="B701" i="58"/>
  <c r="A701" i="58"/>
  <c r="AA700" i="58"/>
  <c r="Z700" i="58"/>
  <c r="V700" i="58"/>
  <c r="U700" i="58"/>
  <c r="T700" i="58"/>
  <c r="S700" i="58"/>
  <c r="R700" i="58"/>
  <c r="Q700" i="58"/>
  <c r="L700" i="58"/>
  <c r="K700" i="58"/>
  <c r="J700" i="58"/>
  <c r="I700" i="58"/>
  <c r="H700" i="58"/>
  <c r="G700" i="58"/>
  <c r="F700" i="58"/>
  <c r="E700" i="58"/>
  <c r="D700" i="58"/>
  <c r="C700" i="58"/>
  <c r="B700" i="58"/>
  <c r="A700" i="58"/>
  <c r="AA690" i="58"/>
  <c r="Z690" i="58"/>
  <c r="V690" i="58"/>
  <c r="U690" i="58"/>
  <c r="T690" i="58"/>
  <c r="S690" i="58"/>
  <c r="R690" i="58"/>
  <c r="Q690" i="58"/>
  <c r="L690" i="58"/>
  <c r="K690" i="58"/>
  <c r="J690" i="58"/>
  <c r="I690" i="58"/>
  <c r="H690" i="58"/>
  <c r="G690" i="58"/>
  <c r="F690" i="58"/>
  <c r="E690" i="58"/>
  <c r="D690" i="58"/>
  <c r="C690" i="58"/>
  <c r="B690" i="58"/>
  <c r="A690" i="58"/>
  <c r="AA680" i="58"/>
  <c r="Z680" i="58"/>
  <c r="V680" i="58"/>
  <c r="U680" i="58"/>
  <c r="T680" i="58"/>
  <c r="S680" i="58"/>
  <c r="R680" i="58"/>
  <c r="Q680" i="58"/>
  <c r="L680" i="58"/>
  <c r="K680" i="58"/>
  <c r="J680" i="58"/>
  <c r="I680" i="58"/>
  <c r="H680" i="58"/>
  <c r="G680" i="58"/>
  <c r="F680" i="58"/>
  <c r="E680" i="58"/>
  <c r="D680" i="58"/>
  <c r="C680" i="58"/>
  <c r="B680" i="58"/>
  <c r="A680" i="58"/>
  <c r="AA670" i="58"/>
  <c r="Z670" i="58"/>
  <c r="V670" i="58"/>
  <c r="U670" i="58"/>
  <c r="T670" i="58"/>
  <c r="S670" i="58"/>
  <c r="R670" i="58"/>
  <c r="Q670" i="58"/>
  <c r="L670" i="58"/>
  <c r="K670" i="58"/>
  <c r="J670" i="58"/>
  <c r="I670" i="58"/>
  <c r="H670" i="58"/>
  <c r="G670" i="58"/>
  <c r="F670" i="58"/>
  <c r="E670" i="58"/>
  <c r="D670" i="58"/>
  <c r="C670" i="58"/>
  <c r="B670" i="58"/>
  <c r="A670" i="58"/>
  <c r="AA660" i="58"/>
  <c r="Z660" i="58"/>
  <c r="V660" i="58"/>
  <c r="U660" i="58"/>
  <c r="T660" i="58"/>
  <c r="S660" i="58"/>
  <c r="R660" i="58"/>
  <c r="Q660" i="58"/>
  <c r="L660" i="58"/>
  <c r="K660" i="58"/>
  <c r="J660" i="58"/>
  <c r="I660" i="58"/>
  <c r="H660" i="58"/>
  <c r="G660" i="58"/>
  <c r="F660" i="58"/>
  <c r="E660" i="58"/>
  <c r="D660" i="58"/>
  <c r="C660" i="58"/>
  <c r="B660" i="58"/>
  <c r="A660" i="58"/>
  <c r="AA650" i="58"/>
  <c r="Z650" i="58"/>
  <c r="V650" i="58"/>
  <c r="U650" i="58"/>
  <c r="T650" i="58"/>
  <c r="S650" i="58"/>
  <c r="R650" i="58"/>
  <c r="Q650" i="58"/>
  <c r="L650" i="58"/>
  <c r="K650" i="58"/>
  <c r="J650" i="58"/>
  <c r="I650" i="58"/>
  <c r="H650" i="58"/>
  <c r="G650" i="58"/>
  <c r="F650" i="58"/>
  <c r="E650" i="58"/>
  <c r="D650" i="58"/>
  <c r="C650" i="58"/>
  <c r="B650" i="58"/>
  <c r="A650" i="58"/>
  <c r="AA640" i="58"/>
  <c r="Z640" i="58"/>
  <c r="V640" i="58"/>
  <c r="U640" i="58"/>
  <c r="T640" i="58"/>
  <c r="S640" i="58"/>
  <c r="R640" i="58"/>
  <c r="Q640" i="58"/>
  <c r="L640" i="58"/>
  <c r="K640" i="58"/>
  <c r="J640" i="58"/>
  <c r="I640" i="58"/>
  <c r="H640" i="58"/>
  <c r="G640" i="58"/>
  <c r="F640" i="58"/>
  <c r="E640" i="58"/>
  <c r="D640" i="58"/>
  <c r="C640" i="58"/>
  <c r="B640" i="58"/>
  <c r="A640" i="58"/>
  <c r="AA630" i="58"/>
  <c r="Z630" i="58"/>
  <c r="V630" i="58"/>
  <c r="U630" i="58"/>
  <c r="T630" i="58"/>
  <c r="S630" i="58"/>
  <c r="R630" i="58"/>
  <c r="Q630" i="58"/>
  <c r="L630" i="58"/>
  <c r="K630" i="58"/>
  <c r="J630" i="58"/>
  <c r="I630" i="58"/>
  <c r="H630" i="58"/>
  <c r="G630" i="58"/>
  <c r="F630" i="58"/>
  <c r="E630" i="58"/>
  <c r="D630" i="58"/>
  <c r="C630" i="58"/>
  <c r="B630" i="58"/>
  <c r="A630" i="58"/>
  <c r="AA620" i="58"/>
  <c r="Z620" i="58"/>
  <c r="V620" i="58"/>
  <c r="U620" i="58"/>
  <c r="T620" i="58"/>
  <c r="S620" i="58"/>
  <c r="R620" i="58"/>
  <c r="Q620" i="58"/>
  <c r="L620" i="58"/>
  <c r="K620" i="58"/>
  <c r="J620" i="58"/>
  <c r="I620" i="58"/>
  <c r="H620" i="58"/>
  <c r="G620" i="58"/>
  <c r="F620" i="58"/>
  <c r="E620" i="58"/>
  <c r="D620" i="58"/>
  <c r="C620" i="58"/>
  <c r="B620" i="58"/>
  <c r="A620" i="58"/>
  <c r="AA610" i="58"/>
  <c r="Z610" i="58"/>
  <c r="V610" i="58"/>
  <c r="U610" i="58"/>
  <c r="T610" i="58"/>
  <c r="S610" i="58"/>
  <c r="R610" i="58"/>
  <c r="Q610" i="58"/>
  <c r="L610" i="58"/>
  <c r="K610" i="58"/>
  <c r="J610" i="58"/>
  <c r="I610" i="58"/>
  <c r="H610" i="58"/>
  <c r="G610" i="58"/>
  <c r="F610" i="58"/>
  <c r="E610" i="58"/>
  <c r="D610" i="58"/>
  <c r="C610" i="58"/>
  <c r="B610" i="58"/>
  <c r="A610" i="58"/>
  <c r="AA609" i="58"/>
  <c r="Z609" i="58"/>
  <c r="V609" i="58"/>
  <c r="U609" i="58"/>
  <c r="T609" i="58"/>
  <c r="S609" i="58"/>
  <c r="R609" i="58"/>
  <c r="Q609" i="58"/>
  <c r="L609" i="58"/>
  <c r="K609" i="58"/>
  <c r="J609" i="58"/>
  <c r="I609" i="58"/>
  <c r="H609" i="58"/>
  <c r="G609" i="58"/>
  <c r="F609" i="58"/>
  <c r="E609" i="58"/>
  <c r="D609" i="58"/>
  <c r="C609" i="58"/>
  <c r="B609" i="58"/>
  <c r="A609" i="58"/>
  <c r="AA608" i="58"/>
  <c r="Z608" i="58"/>
  <c r="V608" i="58"/>
  <c r="U608" i="58"/>
  <c r="T608" i="58"/>
  <c r="S608" i="58"/>
  <c r="R608" i="58"/>
  <c r="Q608" i="58"/>
  <c r="L608" i="58"/>
  <c r="K608" i="58"/>
  <c r="J608" i="58"/>
  <c r="I608" i="58"/>
  <c r="H608" i="58"/>
  <c r="G608" i="58"/>
  <c r="F608" i="58"/>
  <c r="E608" i="58"/>
  <c r="D608" i="58"/>
  <c r="C608" i="58"/>
  <c r="B608" i="58"/>
  <c r="A608" i="58"/>
  <c r="AA607" i="58"/>
  <c r="Z607" i="58"/>
  <c r="V607" i="58"/>
  <c r="U607" i="58"/>
  <c r="T607" i="58"/>
  <c r="S607" i="58"/>
  <c r="R607" i="58"/>
  <c r="Q607" i="58"/>
  <c r="L607" i="58"/>
  <c r="K607" i="58"/>
  <c r="J607" i="58"/>
  <c r="I607" i="58"/>
  <c r="H607" i="58"/>
  <c r="G607" i="58"/>
  <c r="F607" i="58"/>
  <c r="E607" i="58"/>
  <c r="D607" i="58"/>
  <c r="C607" i="58"/>
  <c r="B607" i="58"/>
  <c r="A607" i="58"/>
  <c r="AA606" i="58"/>
  <c r="Z606" i="58"/>
  <c r="V606" i="58"/>
  <c r="U606" i="58"/>
  <c r="T606" i="58"/>
  <c r="S606" i="58"/>
  <c r="R606" i="58"/>
  <c r="Q606" i="58"/>
  <c r="L606" i="58"/>
  <c r="K606" i="58"/>
  <c r="J606" i="58"/>
  <c r="I606" i="58"/>
  <c r="H606" i="58"/>
  <c r="G606" i="58"/>
  <c r="F606" i="58"/>
  <c r="E606" i="58"/>
  <c r="D606" i="58"/>
  <c r="C606" i="58"/>
  <c r="B606" i="58"/>
  <c r="A606" i="58"/>
  <c r="AA605" i="58"/>
  <c r="Z605" i="58"/>
  <c r="V605" i="58"/>
  <c r="U605" i="58"/>
  <c r="T605" i="58"/>
  <c r="S605" i="58"/>
  <c r="R605" i="58"/>
  <c r="Q605" i="58"/>
  <c r="L605" i="58"/>
  <c r="K605" i="58"/>
  <c r="J605" i="58"/>
  <c r="I605" i="58"/>
  <c r="H605" i="58"/>
  <c r="G605" i="58"/>
  <c r="F605" i="58"/>
  <c r="E605" i="58"/>
  <c r="D605" i="58"/>
  <c r="C605" i="58"/>
  <c r="B605" i="58"/>
  <c r="A605" i="58"/>
  <c r="AA604" i="58"/>
  <c r="Z604" i="58"/>
  <c r="V604" i="58"/>
  <c r="U604" i="58"/>
  <c r="T604" i="58"/>
  <c r="S604" i="58"/>
  <c r="R604" i="58"/>
  <c r="Q604" i="58"/>
  <c r="L604" i="58"/>
  <c r="K604" i="58"/>
  <c r="J604" i="58"/>
  <c r="I604" i="58"/>
  <c r="H604" i="58"/>
  <c r="G604" i="58"/>
  <c r="F604" i="58"/>
  <c r="E604" i="58"/>
  <c r="D604" i="58"/>
  <c r="C604" i="58"/>
  <c r="B604" i="58"/>
  <c r="A604" i="58"/>
  <c r="AA603" i="58"/>
  <c r="Z603" i="58"/>
  <c r="V603" i="58"/>
  <c r="U603" i="58"/>
  <c r="T603" i="58"/>
  <c r="S603" i="58"/>
  <c r="R603" i="58"/>
  <c r="Q603" i="58"/>
  <c r="L603" i="58"/>
  <c r="K603" i="58"/>
  <c r="J603" i="58"/>
  <c r="I603" i="58"/>
  <c r="H603" i="58"/>
  <c r="G603" i="58"/>
  <c r="F603" i="58"/>
  <c r="E603" i="58"/>
  <c r="D603" i="58"/>
  <c r="C603" i="58"/>
  <c r="B603" i="58"/>
  <c r="A603" i="58"/>
  <c r="AA602" i="58"/>
  <c r="Z602" i="58"/>
  <c r="V602" i="58"/>
  <c r="U602" i="58"/>
  <c r="T602" i="58"/>
  <c r="S602" i="58"/>
  <c r="R602" i="58"/>
  <c r="Q602" i="58"/>
  <c r="L602" i="58"/>
  <c r="K602" i="58"/>
  <c r="J602" i="58"/>
  <c r="I602" i="58"/>
  <c r="H602" i="58"/>
  <c r="G602" i="58"/>
  <c r="F602" i="58"/>
  <c r="E602" i="58"/>
  <c r="D602" i="58"/>
  <c r="C602" i="58"/>
  <c r="B602" i="58"/>
  <c r="A602" i="58"/>
  <c r="AA601" i="58"/>
  <c r="Z601" i="58"/>
  <c r="V601" i="58"/>
  <c r="U601" i="58"/>
  <c r="T601" i="58"/>
  <c r="S601" i="58"/>
  <c r="R601" i="58"/>
  <c r="Q601" i="58"/>
  <c r="L601" i="58"/>
  <c r="K601" i="58"/>
  <c r="J601" i="58"/>
  <c r="I601" i="58"/>
  <c r="H601" i="58"/>
  <c r="G601" i="58"/>
  <c r="F601" i="58"/>
  <c r="E601" i="58"/>
  <c r="D601" i="58"/>
  <c r="C601" i="58"/>
  <c r="B601" i="58"/>
  <c r="A601" i="58"/>
  <c r="AA600" i="58"/>
  <c r="Z600" i="58"/>
  <c r="V600" i="58"/>
  <c r="U600" i="58"/>
  <c r="T600" i="58"/>
  <c r="S600" i="58"/>
  <c r="R600" i="58"/>
  <c r="Q600" i="58"/>
  <c r="L600" i="58"/>
  <c r="K600" i="58"/>
  <c r="J600" i="58"/>
  <c r="I600" i="58"/>
  <c r="H600" i="58"/>
  <c r="G600" i="58"/>
  <c r="F600" i="58"/>
  <c r="E600" i="58"/>
  <c r="D600" i="58"/>
  <c r="C600" i="58"/>
  <c r="B600" i="58"/>
  <c r="A600" i="58"/>
  <c r="AA590" i="58"/>
  <c r="Z590" i="58"/>
  <c r="V590" i="58"/>
  <c r="U590" i="58"/>
  <c r="T590" i="58"/>
  <c r="S590" i="58"/>
  <c r="R590" i="58"/>
  <c r="Q590" i="58"/>
  <c r="L590" i="58"/>
  <c r="K590" i="58"/>
  <c r="J590" i="58"/>
  <c r="I590" i="58"/>
  <c r="H590" i="58"/>
  <c r="G590" i="58"/>
  <c r="F590" i="58"/>
  <c r="E590" i="58"/>
  <c r="D590" i="58"/>
  <c r="C590" i="58"/>
  <c r="B590" i="58"/>
  <c r="A590" i="58"/>
  <c r="AA580" i="58"/>
  <c r="Z580" i="58"/>
  <c r="V580" i="58"/>
  <c r="U580" i="58"/>
  <c r="T580" i="58"/>
  <c r="S580" i="58"/>
  <c r="R580" i="58"/>
  <c r="Q580" i="58"/>
  <c r="L580" i="58"/>
  <c r="K580" i="58"/>
  <c r="J580" i="58"/>
  <c r="I580" i="58"/>
  <c r="H580" i="58"/>
  <c r="G580" i="58"/>
  <c r="F580" i="58"/>
  <c r="E580" i="58"/>
  <c r="D580" i="58"/>
  <c r="C580" i="58"/>
  <c r="B580" i="58"/>
  <c r="A580" i="58"/>
  <c r="AA570" i="58"/>
  <c r="Z570" i="58"/>
  <c r="V570" i="58"/>
  <c r="U570" i="58"/>
  <c r="T570" i="58"/>
  <c r="S570" i="58"/>
  <c r="R570" i="58"/>
  <c r="Q570" i="58"/>
  <c r="L570" i="58"/>
  <c r="K570" i="58"/>
  <c r="J570" i="58"/>
  <c r="I570" i="58"/>
  <c r="H570" i="58"/>
  <c r="G570" i="58"/>
  <c r="F570" i="58"/>
  <c r="E570" i="58"/>
  <c r="D570" i="58"/>
  <c r="C570" i="58"/>
  <c r="B570" i="58"/>
  <c r="A570" i="58"/>
  <c r="AA560" i="58"/>
  <c r="Z560" i="58"/>
  <c r="V560" i="58"/>
  <c r="U560" i="58"/>
  <c r="T560" i="58"/>
  <c r="S560" i="58"/>
  <c r="R560" i="58"/>
  <c r="Q560" i="58"/>
  <c r="L560" i="58"/>
  <c r="K560" i="58"/>
  <c r="J560" i="58"/>
  <c r="I560" i="58"/>
  <c r="H560" i="58"/>
  <c r="G560" i="58"/>
  <c r="F560" i="58"/>
  <c r="E560" i="58"/>
  <c r="D560" i="58"/>
  <c r="C560" i="58"/>
  <c r="B560" i="58"/>
  <c r="A560" i="58"/>
  <c r="AA550" i="58"/>
  <c r="Z550" i="58"/>
  <c r="V550" i="58"/>
  <c r="U550" i="58"/>
  <c r="T550" i="58"/>
  <c r="S550" i="58"/>
  <c r="R550" i="58"/>
  <c r="Q550" i="58"/>
  <c r="L550" i="58"/>
  <c r="K550" i="58"/>
  <c r="J550" i="58"/>
  <c r="I550" i="58"/>
  <c r="H550" i="58"/>
  <c r="G550" i="58"/>
  <c r="F550" i="58"/>
  <c r="E550" i="58"/>
  <c r="D550" i="58"/>
  <c r="C550" i="58"/>
  <c r="B550" i="58"/>
  <c r="A550" i="58"/>
  <c r="AA540" i="58"/>
  <c r="Z540" i="58"/>
  <c r="V540" i="58"/>
  <c r="U540" i="58"/>
  <c r="T540" i="58"/>
  <c r="S540" i="58"/>
  <c r="R540" i="58"/>
  <c r="Q540" i="58"/>
  <c r="L540" i="58"/>
  <c r="K540" i="58"/>
  <c r="J540" i="58"/>
  <c r="I540" i="58"/>
  <c r="H540" i="58"/>
  <c r="G540" i="58"/>
  <c r="F540" i="58"/>
  <c r="E540" i="58"/>
  <c r="D540" i="58"/>
  <c r="C540" i="58"/>
  <c r="B540" i="58"/>
  <c r="A540" i="58"/>
  <c r="AA530" i="58"/>
  <c r="Z530" i="58"/>
  <c r="V530" i="58"/>
  <c r="U530" i="58"/>
  <c r="T530" i="58"/>
  <c r="S530" i="58"/>
  <c r="R530" i="58"/>
  <c r="Q530" i="58"/>
  <c r="L530" i="58"/>
  <c r="K530" i="58"/>
  <c r="J530" i="58"/>
  <c r="I530" i="58"/>
  <c r="H530" i="58"/>
  <c r="G530" i="58"/>
  <c r="F530" i="58"/>
  <c r="E530" i="58"/>
  <c r="D530" i="58"/>
  <c r="C530" i="58"/>
  <c r="B530" i="58"/>
  <c r="A530" i="58"/>
  <c r="AA520" i="58"/>
  <c r="Z520" i="58"/>
  <c r="V520" i="58"/>
  <c r="U520" i="58"/>
  <c r="T520" i="58"/>
  <c r="S520" i="58"/>
  <c r="R520" i="58"/>
  <c r="Q520" i="58"/>
  <c r="L520" i="58"/>
  <c r="K520" i="58"/>
  <c r="J520" i="58"/>
  <c r="I520" i="58"/>
  <c r="H520" i="58"/>
  <c r="G520" i="58"/>
  <c r="F520" i="58"/>
  <c r="E520" i="58"/>
  <c r="D520" i="58"/>
  <c r="C520" i="58"/>
  <c r="B520" i="58"/>
  <c r="A520" i="58"/>
  <c r="AA510" i="58"/>
  <c r="Z510" i="58"/>
  <c r="V510" i="58"/>
  <c r="U510" i="58"/>
  <c r="T510" i="58"/>
  <c r="S510" i="58"/>
  <c r="R510" i="58"/>
  <c r="Q510" i="58"/>
  <c r="L510" i="58"/>
  <c r="K510" i="58"/>
  <c r="J510" i="58"/>
  <c r="I510" i="58"/>
  <c r="H510" i="58"/>
  <c r="G510" i="58"/>
  <c r="F510" i="58"/>
  <c r="E510" i="58"/>
  <c r="D510" i="58"/>
  <c r="C510" i="58"/>
  <c r="B510" i="58"/>
  <c r="A510" i="58"/>
  <c r="AA509" i="58"/>
  <c r="Z509" i="58"/>
  <c r="V509" i="58"/>
  <c r="U509" i="58"/>
  <c r="T509" i="58"/>
  <c r="S509" i="58"/>
  <c r="R509" i="58"/>
  <c r="Q509" i="58"/>
  <c r="L509" i="58"/>
  <c r="K509" i="58"/>
  <c r="J509" i="58"/>
  <c r="I509" i="58"/>
  <c r="H509" i="58"/>
  <c r="G509" i="58"/>
  <c r="F509" i="58"/>
  <c r="E509" i="58"/>
  <c r="D509" i="58"/>
  <c r="C509" i="58"/>
  <c r="B509" i="58"/>
  <c r="A509" i="58"/>
  <c r="AA508" i="58"/>
  <c r="Z508" i="58"/>
  <c r="V508" i="58"/>
  <c r="U508" i="58"/>
  <c r="T508" i="58"/>
  <c r="S508" i="58"/>
  <c r="R508" i="58"/>
  <c r="Q508" i="58"/>
  <c r="L508" i="58"/>
  <c r="K508" i="58"/>
  <c r="J508" i="58"/>
  <c r="I508" i="58"/>
  <c r="H508" i="58"/>
  <c r="G508" i="58"/>
  <c r="F508" i="58"/>
  <c r="E508" i="58"/>
  <c r="D508" i="58"/>
  <c r="C508" i="58"/>
  <c r="B508" i="58"/>
  <c r="A508" i="58"/>
  <c r="AA507" i="58"/>
  <c r="Z507" i="58"/>
  <c r="V507" i="58"/>
  <c r="U507" i="58"/>
  <c r="T507" i="58"/>
  <c r="S507" i="58"/>
  <c r="R507" i="58"/>
  <c r="Q507" i="58"/>
  <c r="L507" i="58"/>
  <c r="K507" i="58"/>
  <c r="J507" i="58"/>
  <c r="I507" i="58"/>
  <c r="H507" i="58"/>
  <c r="G507" i="58"/>
  <c r="F507" i="58"/>
  <c r="E507" i="58"/>
  <c r="D507" i="58"/>
  <c r="C507" i="58"/>
  <c r="B507" i="58"/>
  <c r="A507" i="58"/>
  <c r="AA506" i="58"/>
  <c r="Z506" i="58"/>
  <c r="V506" i="58"/>
  <c r="U506" i="58"/>
  <c r="T506" i="58"/>
  <c r="S506" i="58"/>
  <c r="R506" i="58"/>
  <c r="Q506" i="58"/>
  <c r="L506" i="58"/>
  <c r="K506" i="58"/>
  <c r="J506" i="58"/>
  <c r="I506" i="58"/>
  <c r="H506" i="58"/>
  <c r="G506" i="58"/>
  <c r="F506" i="58"/>
  <c r="E506" i="58"/>
  <c r="D506" i="58"/>
  <c r="C506" i="58"/>
  <c r="B506" i="58"/>
  <c r="A506" i="58"/>
  <c r="AA505" i="58"/>
  <c r="Z505" i="58"/>
  <c r="V505" i="58"/>
  <c r="U505" i="58"/>
  <c r="T505" i="58"/>
  <c r="S505" i="58"/>
  <c r="R505" i="58"/>
  <c r="Q505" i="58"/>
  <c r="L505" i="58"/>
  <c r="K505" i="58"/>
  <c r="J505" i="58"/>
  <c r="I505" i="58"/>
  <c r="H505" i="58"/>
  <c r="G505" i="58"/>
  <c r="F505" i="58"/>
  <c r="E505" i="58"/>
  <c r="D505" i="58"/>
  <c r="C505" i="58"/>
  <c r="B505" i="58"/>
  <c r="A505" i="58"/>
  <c r="AA504" i="58"/>
  <c r="Z504" i="58"/>
  <c r="V504" i="58"/>
  <c r="U504" i="58"/>
  <c r="T504" i="58"/>
  <c r="S504" i="58"/>
  <c r="R504" i="58"/>
  <c r="Q504" i="58"/>
  <c r="L504" i="58"/>
  <c r="K504" i="58"/>
  <c r="J504" i="58"/>
  <c r="I504" i="58"/>
  <c r="H504" i="58"/>
  <c r="G504" i="58"/>
  <c r="F504" i="58"/>
  <c r="E504" i="58"/>
  <c r="D504" i="58"/>
  <c r="C504" i="58"/>
  <c r="B504" i="58"/>
  <c r="A504" i="58"/>
  <c r="AA503" i="58"/>
  <c r="Z503" i="58"/>
  <c r="V503" i="58"/>
  <c r="U503" i="58"/>
  <c r="T503" i="58"/>
  <c r="S503" i="58"/>
  <c r="R503" i="58"/>
  <c r="Q503" i="58"/>
  <c r="L503" i="58"/>
  <c r="K503" i="58"/>
  <c r="J503" i="58"/>
  <c r="I503" i="58"/>
  <c r="H503" i="58"/>
  <c r="G503" i="58"/>
  <c r="F503" i="58"/>
  <c r="E503" i="58"/>
  <c r="D503" i="58"/>
  <c r="C503" i="58"/>
  <c r="B503" i="58"/>
  <c r="A503" i="58"/>
  <c r="AA502" i="58"/>
  <c r="Z502" i="58"/>
  <c r="V502" i="58"/>
  <c r="U502" i="58"/>
  <c r="T502" i="58"/>
  <c r="S502" i="58"/>
  <c r="R502" i="58"/>
  <c r="Q502" i="58"/>
  <c r="L502" i="58"/>
  <c r="K502" i="58"/>
  <c r="J502" i="58"/>
  <c r="I502" i="58"/>
  <c r="H502" i="58"/>
  <c r="G502" i="58"/>
  <c r="F502" i="58"/>
  <c r="E502" i="58"/>
  <c r="D502" i="58"/>
  <c r="C502" i="58"/>
  <c r="B502" i="58"/>
  <c r="A502" i="58"/>
  <c r="AA501" i="58"/>
  <c r="Z501" i="58"/>
  <c r="V501" i="58"/>
  <c r="U501" i="58"/>
  <c r="T501" i="58"/>
  <c r="S501" i="58"/>
  <c r="R501" i="58"/>
  <c r="Q501" i="58"/>
  <c r="L501" i="58"/>
  <c r="K501" i="58"/>
  <c r="J501" i="58"/>
  <c r="I501" i="58"/>
  <c r="H501" i="58"/>
  <c r="G501" i="58"/>
  <c r="F501" i="58"/>
  <c r="E501" i="58"/>
  <c r="D501" i="58"/>
  <c r="C501" i="58"/>
  <c r="B501" i="58"/>
  <c r="A501" i="58"/>
  <c r="AA500" i="58"/>
  <c r="Z500" i="58"/>
  <c r="V500" i="58"/>
  <c r="U500" i="58"/>
  <c r="T500" i="58"/>
  <c r="S500" i="58"/>
  <c r="R500" i="58"/>
  <c r="Q500" i="58"/>
  <c r="L500" i="58"/>
  <c r="K500" i="58"/>
  <c r="J500" i="58"/>
  <c r="I500" i="58"/>
  <c r="H500" i="58"/>
  <c r="G500" i="58"/>
  <c r="F500" i="58"/>
  <c r="E500" i="58"/>
  <c r="D500" i="58"/>
  <c r="C500" i="58"/>
  <c r="B500" i="58"/>
  <c r="A500" i="58"/>
  <c r="AA490" i="58"/>
  <c r="Z490" i="58"/>
  <c r="V490" i="58"/>
  <c r="U490" i="58"/>
  <c r="T490" i="58"/>
  <c r="S490" i="58"/>
  <c r="R490" i="58"/>
  <c r="Q490" i="58"/>
  <c r="L490" i="58"/>
  <c r="K490" i="58"/>
  <c r="J490" i="58"/>
  <c r="I490" i="58"/>
  <c r="H490" i="58"/>
  <c r="G490" i="58"/>
  <c r="F490" i="58"/>
  <c r="E490" i="58"/>
  <c r="D490" i="58"/>
  <c r="C490" i="58"/>
  <c r="B490" i="58"/>
  <c r="A490" i="58"/>
  <c r="AA480" i="58"/>
  <c r="Z480" i="58"/>
  <c r="V480" i="58"/>
  <c r="U480" i="58"/>
  <c r="T480" i="58"/>
  <c r="S480" i="58"/>
  <c r="R480" i="58"/>
  <c r="Q480" i="58"/>
  <c r="L480" i="58"/>
  <c r="K480" i="58"/>
  <c r="J480" i="58"/>
  <c r="I480" i="58"/>
  <c r="H480" i="58"/>
  <c r="G480" i="58"/>
  <c r="F480" i="58"/>
  <c r="E480" i="58"/>
  <c r="D480" i="58"/>
  <c r="C480" i="58"/>
  <c r="B480" i="58"/>
  <c r="A480" i="58"/>
  <c r="AA470" i="58"/>
  <c r="Z470" i="58"/>
  <c r="V470" i="58"/>
  <c r="U470" i="58"/>
  <c r="T470" i="58"/>
  <c r="S470" i="58"/>
  <c r="R470" i="58"/>
  <c r="Q470" i="58"/>
  <c r="L470" i="58"/>
  <c r="K470" i="58"/>
  <c r="J470" i="58"/>
  <c r="I470" i="58"/>
  <c r="H470" i="58"/>
  <c r="G470" i="58"/>
  <c r="F470" i="58"/>
  <c r="E470" i="58"/>
  <c r="D470" i="58"/>
  <c r="C470" i="58"/>
  <c r="B470" i="58"/>
  <c r="A470" i="58"/>
  <c r="AA460" i="58"/>
  <c r="Z460" i="58"/>
  <c r="V460" i="58"/>
  <c r="U460" i="58"/>
  <c r="T460" i="58"/>
  <c r="S460" i="58"/>
  <c r="R460" i="58"/>
  <c r="Q460" i="58"/>
  <c r="L460" i="58"/>
  <c r="K460" i="58"/>
  <c r="J460" i="58"/>
  <c r="I460" i="58"/>
  <c r="H460" i="58"/>
  <c r="G460" i="58"/>
  <c r="F460" i="58"/>
  <c r="E460" i="58"/>
  <c r="D460" i="58"/>
  <c r="C460" i="58"/>
  <c r="B460" i="58"/>
  <c r="A460" i="58"/>
  <c r="AA450" i="58"/>
  <c r="Z450" i="58"/>
  <c r="V450" i="58"/>
  <c r="U450" i="58"/>
  <c r="T450" i="58"/>
  <c r="S450" i="58"/>
  <c r="R450" i="58"/>
  <c r="Q450" i="58"/>
  <c r="L450" i="58"/>
  <c r="K450" i="58"/>
  <c r="J450" i="58"/>
  <c r="I450" i="58"/>
  <c r="H450" i="58"/>
  <c r="G450" i="58"/>
  <c r="F450" i="58"/>
  <c r="E450" i="58"/>
  <c r="D450" i="58"/>
  <c r="C450" i="58"/>
  <c r="B450" i="58"/>
  <c r="A450" i="58"/>
  <c r="AA440" i="58"/>
  <c r="Z440" i="58"/>
  <c r="V440" i="58"/>
  <c r="U440" i="58"/>
  <c r="T440" i="58"/>
  <c r="S440" i="58"/>
  <c r="R440" i="58"/>
  <c r="Q440" i="58"/>
  <c r="L440" i="58"/>
  <c r="K440" i="58"/>
  <c r="J440" i="58"/>
  <c r="I440" i="58"/>
  <c r="H440" i="58"/>
  <c r="G440" i="58"/>
  <c r="F440" i="58"/>
  <c r="E440" i="58"/>
  <c r="D440" i="58"/>
  <c r="C440" i="58"/>
  <c r="B440" i="58"/>
  <c r="A440" i="58"/>
  <c r="AA430" i="58"/>
  <c r="Z430" i="58"/>
  <c r="V430" i="58"/>
  <c r="U430" i="58"/>
  <c r="T430" i="58"/>
  <c r="S430" i="58"/>
  <c r="R430" i="58"/>
  <c r="Q430" i="58"/>
  <c r="L430" i="58"/>
  <c r="K430" i="58"/>
  <c r="J430" i="58"/>
  <c r="I430" i="58"/>
  <c r="H430" i="58"/>
  <c r="G430" i="58"/>
  <c r="F430" i="58"/>
  <c r="E430" i="58"/>
  <c r="D430" i="58"/>
  <c r="C430" i="58"/>
  <c r="B430" i="58"/>
  <c r="A430" i="58"/>
  <c r="AA420" i="58"/>
  <c r="Z420" i="58"/>
  <c r="V420" i="58"/>
  <c r="U420" i="58"/>
  <c r="T420" i="58"/>
  <c r="S420" i="58"/>
  <c r="R420" i="58"/>
  <c r="Q420" i="58"/>
  <c r="L420" i="58"/>
  <c r="K420" i="58"/>
  <c r="J420" i="58"/>
  <c r="I420" i="58"/>
  <c r="H420" i="58"/>
  <c r="G420" i="58"/>
  <c r="F420" i="58"/>
  <c r="E420" i="58"/>
  <c r="D420" i="58"/>
  <c r="C420" i="58"/>
  <c r="B420" i="58"/>
  <c r="A420" i="58"/>
  <c r="AA410" i="58"/>
  <c r="Z410" i="58"/>
  <c r="V410" i="58"/>
  <c r="U410" i="58"/>
  <c r="T410" i="58"/>
  <c r="S410" i="58"/>
  <c r="R410" i="58"/>
  <c r="Q410" i="58"/>
  <c r="L410" i="58"/>
  <c r="K410" i="58"/>
  <c r="J410" i="58"/>
  <c r="I410" i="58"/>
  <c r="H410" i="58"/>
  <c r="G410" i="58"/>
  <c r="F410" i="58"/>
  <c r="E410" i="58"/>
  <c r="D410" i="58"/>
  <c r="C410" i="58"/>
  <c r="B410" i="58"/>
  <c r="A410" i="58"/>
  <c r="AA409" i="58"/>
  <c r="Z409" i="58"/>
  <c r="V409" i="58"/>
  <c r="U409" i="58"/>
  <c r="T409" i="58"/>
  <c r="S409" i="58"/>
  <c r="R409" i="58"/>
  <c r="Q409" i="58"/>
  <c r="L409" i="58"/>
  <c r="K409" i="58"/>
  <c r="J409" i="58"/>
  <c r="I409" i="58"/>
  <c r="H409" i="58"/>
  <c r="G409" i="58"/>
  <c r="F409" i="58"/>
  <c r="E409" i="58"/>
  <c r="D409" i="58"/>
  <c r="C409" i="58"/>
  <c r="B409" i="58"/>
  <c r="A409" i="58"/>
  <c r="AA408" i="58"/>
  <c r="Z408" i="58"/>
  <c r="V408" i="58"/>
  <c r="U408" i="58"/>
  <c r="T408" i="58"/>
  <c r="S408" i="58"/>
  <c r="R408" i="58"/>
  <c r="Q408" i="58"/>
  <c r="L408" i="58"/>
  <c r="K408" i="58"/>
  <c r="J408" i="58"/>
  <c r="I408" i="58"/>
  <c r="H408" i="58"/>
  <c r="G408" i="58"/>
  <c r="F408" i="58"/>
  <c r="E408" i="58"/>
  <c r="D408" i="58"/>
  <c r="C408" i="58"/>
  <c r="B408" i="58"/>
  <c r="A408" i="58"/>
  <c r="AA407" i="58"/>
  <c r="Z407" i="58"/>
  <c r="V407" i="58"/>
  <c r="U407" i="58"/>
  <c r="T407" i="58"/>
  <c r="S407" i="58"/>
  <c r="R407" i="58"/>
  <c r="Q407" i="58"/>
  <c r="L407" i="58"/>
  <c r="K407" i="58"/>
  <c r="J407" i="58"/>
  <c r="I407" i="58"/>
  <c r="H407" i="58"/>
  <c r="G407" i="58"/>
  <c r="F407" i="58"/>
  <c r="E407" i="58"/>
  <c r="D407" i="58"/>
  <c r="C407" i="58"/>
  <c r="B407" i="58"/>
  <c r="A407" i="58"/>
  <c r="AA406" i="58"/>
  <c r="Z406" i="58"/>
  <c r="V406" i="58"/>
  <c r="U406" i="58"/>
  <c r="T406" i="58"/>
  <c r="S406" i="58"/>
  <c r="R406" i="58"/>
  <c r="Q406" i="58"/>
  <c r="L406" i="58"/>
  <c r="K406" i="58"/>
  <c r="J406" i="58"/>
  <c r="I406" i="58"/>
  <c r="H406" i="58"/>
  <c r="G406" i="58"/>
  <c r="F406" i="58"/>
  <c r="E406" i="58"/>
  <c r="D406" i="58"/>
  <c r="C406" i="58"/>
  <c r="B406" i="58"/>
  <c r="A406" i="58"/>
  <c r="AA405" i="58"/>
  <c r="Z405" i="58"/>
  <c r="V405" i="58"/>
  <c r="U405" i="58"/>
  <c r="T405" i="58"/>
  <c r="S405" i="58"/>
  <c r="R405" i="58"/>
  <c r="Q405" i="58"/>
  <c r="L405" i="58"/>
  <c r="K405" i="58"/>
  <c r="J405" i="58"/>
  <c r="I405" i="58"/>
  <c r="H405" i="58"/>
  <c r="G405" i="58"/>
  <c r="F405" i="58"/>
  <c r="E405" i="58"/>
  <c r="D405" i="58"/>
  <c r="C405" i="58"/>
  <c r="B405" i="58"/>
  <c r="A405" i="58"/>
  <c r="AA404" i="58"/>
  <c r="Z404" i="58"/>
  <c r="V404" i="58"/>
  <c r="U404" i="58"/>
  <c r="T404" i="58"/>
  <c r="S404" i="58"/>
  <c r="R404" i="58"/>
  <c r="Q404" i="58"/>
  <c r="L404" i="58"/>
  <c r="K404" i="58"/>
  <c r="J404" i="58"/>
  <c r="I404" i="58"/>
  <c r="H404" i="58"/>
  <c r="G404" i="58"/>
  <c r="F404" i="58"/>
  <c r="E404" i="58"/>
  <c r="D404" i="58"/>
  <c r="C404" i="58"/>
  <c r="B404" i="58"/>
  <c r="A404" i="58"/>
  <c r="AA403" i="58"/>
  <c r="Z403" i="58"/>
  <c r="V403" i="58"/>
  <c r="U403" i="58"/>
  <c r="T403" i="58"/>
  <c r="S403" i="58"/>
  <c r="R403" i="58"/>
  <c r="Q403" i="58"/>
  <c r="L403" i="58"/>
  <c r="K403" i="58"/>
  <c r="J403" i="58"/>
  <c r="I403" i="58"/>
  <c r="H403" i="58"/>
  <c r="G403" i="58"/>
  <c r="F403" i="58"/>
  <c r="E403" i="58"/>
  <c r="D403" i="58"/>
  <c r="C403" i="58"/>
  <c r="B403" i="58"/>
  <c r="A403" i="58"/>
  <c r="AA402" i="58"/>
  <c r="Z402" i="58"/>
  <c r="V402" i="58"/>
  <c r="U402" i="58"/>
  <c r="T402" i="58"/>
  <c r="S402" i="58"/>
  <c r="R402" i="58"/>
  <c r="Q402" i="58"/>
  <c r="L402" i="58"/>
  <c r="K402" i="58"/>
  <c r="J402" i="58"/>
  <c r="I402" i="58"/>
  <c r="H402" i="58"/>
  <c r="G402" i="58"/>
  <c r="F402" i="58"/>
  <c r="E402" i="58"/>
  <c r="D402" i="58"/>
  <c r="C402" i="58"/>
  <c r="B402" i="58"/>
  <c r="A402" i="58"/>
  <c r="AA401" i="58"/>
  <c r="Z401" i="58"/>
  <c r="V401" i="58"/>
  <c r="U401" i="58"/>
  <c r="T401" i="58"/>
  <c r="S401" i="58"/>
  <c r="R401" i="58"/>
  <c r="Q401" i="58"/>
  <c r="L401" i="58"/>
  <c r="K401" i="58"/>
  <c r="J401" i="58"/>
  <c r="I401" i="58"/>
  <c r="H401" i="58"/>
  <c r="G401" i="58"/>
  <c r="F401" i="58"/>
  <c r="E401" i="58"/>
  <c r="D401" i="58"/>
  <c r="C401" i="58"/>
  <c r="B401" i="58"/>
  <c r="A401" i="58"/>
  <c r="AA400" i="58"/>
  <c r="Z400" i="58"/>
  <c r="V400" i="58"/>
  <c r="U400" i="58"/>
  <c r="T400" i="58"/>
  <c r="S400" i="58"/>
  <c r="R400" i="58"/>
  <c r="Q400" i="58"/>
  <c r="L400" i="58"/>
  <c r="K400" i="58"/>
  <c r="J400" i="58"/>
  <c r="I400" i="58"/>
  <c r="H400" i="58"/>
  <c r="G400" i="58"/>
  <c r="F400" i="58"/>
  <c r="E400" i="58"/>
  <c r="D400" i="58"/>
  <c r="C400" i="58"/>
  <c r="B400" i="58"/>
  <c r="A400" i="58"/>
  <c r="AA390" i="58"/>
  <c r="Z390" i="58"/>
  <c r="V390" i="58"/>
  <c r="U390" i="58"/>
  <c r="T390" i="58"/>
  <c r="S390" i="58"/>
  <c r="R390" i="58"/>
  <c r="Q390" i="58"/>
  <c r="L390" i="58"/>
  <c r="K390" i="58"/>
  <c r="J390" i="58"/>
  <c r="I390" i="58"/>
  <c r="H390" i="58"/>
  <c r="G390" i="58"/>
  <c r="F390" i="58"/>
  <c r="E390" i="58"/>
  <c r="D390" i="58"/>
  <c r="C390" i="58"/>
  <c r="B390" i="58"/>
  <c r="A390" i="58"/>
  <c r="AA380" i="58"/>
  <c r="Z380" i="58"/>
  <c r="V380" i="58"/>
  <c r="U380" i="58"/>
  <c r="T380" i="58"/>
  <c r="S380" i="58"/>
  <c r="R380" i="58"/>
  <c r="Q380" i="58"/>
  <c r="L380" i="58"/>
  <c r="K380" i="58"/>
  <c r="J380" i="58"/>
  <c r="I380" i="58"/>
  <c r="H380" i="58"/>
  <c r="G380" i="58"/>
  <c r="F380" i="58"/>
  <c r="E380" i="58"/>
  <c r="D380" i="58"/>
  <c r="C380" i="58"/>
  <c r="B380" i="58"/>
  <c r="A380" i="58"/>
  <c r="AA370" i="58"/>
  <c r="Z370" i="58"/>
  <c r="V370" i="58"/>
  <c r="U370" i="58"/>
  <c r="T370" i="58"/>
  <c r="S370" i="58"/>
  <c r="R370" i="58"/>
  <c r="Q370" i="58"/>
  <c r="L370" i="58"/>
  <c r="K370" i="58"/>
  <c r="J370" i="58"/>
  <c r="I370" i="58"/>
  <c r="H370" i="58"/>
  <c r="G370" i="58"/>
  <c r="F370" i="58"/>
  <c r="E370" i="58"/>
  <c r="D370" i="58"/>
  <c r="C370" i="58"/>
  <c r="B370" i="58"/>
  <c r="A370" i="58"/>
  <c r="AA360" i="58"/>
  <c r="Z360" i="58"/>
  <c r="V360" i="58"/>
  <c r="U360" i="58"/>
  <c r="T360" i="58"/>
  <c r="S360" i="58"/>
  <c r="R360" i="58"/>
  <c r="Q360" i="58"/>
  <c r="L360" i="58"/>
  <c r="K360" i="58"/>
  <c r="J360" i="58"/>
  <c r="I360" i="58"/>
  <c r="H360" i="58"/>
  <c r="G360" i="58"/>
  <c r="F360" i="58"/>
  <c r="E360" i="58"/>
  <c r="D360" i="58"/>
  <c r="C360" i="58"/>
  <c r="B360" i="58"/>
  <c r="A360" i="58"/>
  <c r="AA350" i="58"/>
  <c r="Z350" i="58"/>
  <c r="V350" i="58"/>
  <c r="U350" i="58"/>
  <c r="T350" i="58"/>
  <c r="S350" i="58"/>
  <c r="R350" i="58"/>
  <c r="Q350" i="58"/>
  <c r="L350" i="58"/>
  <c r="K350" i="58"/>
  <c r="J350" i="58"/>
  <c r="I350" i="58"/>
  <c r="H350" i="58"/>
  <c r="G350" i="58"/>
  <c r="F350" i="58"/>
  <c r="E350" i="58"/>
  <c r="D350" i="58"/>
  <c r="C350" i="58"/>
  <c r="B350" i="58"/>
  <c r="A350" i="58"/>
  <c r="AA340" i="58"/>
  <c r="Z340" i="58"/>
  <c r="V340" i="58"/>
  <c r="U340" i="58"/>
  <c r="T340" i="58"/>
  <c r="S340" i="58"/>
  <c r="R340" i="58"/>
  <c r="Q340" i="58"/>
  <c r="L340" i="58"/>
  <c r="K340" i="58"/>
  <c r="J340" i="58"/>
  <c r="I340" i="58"/>
  <c r="H340" i="58"/>
  <c r="G340" i="58"/>
  <c r="F340" i="58"/>
  <c r="E340" i="58"/>
  <c r="D340" i="58"/>
  <c r="C340" i="58"/>
  <c r="B340" i="58"/>
  <c r="A340" i="58"/>
  <c r="AA330" i="58"/>
  <c r="Z330" i="58"/>
  <c r="V330" i="58"/>
  <c r="U330" i="58"/>
  <c r="T330" i="58"/>
  <c r="S330" i="58"/>
  <c r="R330" i="58"/>
  <c r="Q330" i="58"/>
  <c r="L330" i="58"/>
  <c r="K330" i="58"/>
  <c r="J330" i="58"/>
  <c r="I330" i="58"/>
  <c r="H330" i="58"/>
  <c r="G330" i="58"/>
  <c r="F330" i="58"/>
  <c r="E330" i="58"/>
  <c r="D330" i="58"/>
  <c r="C330" i="58"/>
  <c r="B330" i="58"/>
  <c r="A330" i="58"/>
  <c r="AA320" i="58"/>
  <c r="Z320" i="58"/>
  <c r="V320" i="58"/>
  <c r="U320" i="58"/>
  <c r="T320" i="58"/>
  <c r="S320" i="58"/>
  <c r="R320" i="58"/>
  <c r="Q320" i="58"/>
  <c r="L320" i="58"/>
  <c r="K320" i="58"/>
  <c r="J320" i="58"/>
  <c r="I320" i="58"/>
  <c r="H320" i="58"/>
  <c r="G320" i="58"/>
  <c r="F320" i="58"/>
  <c r="E320" i="58"/>
  <c r="D320" i="58"/>
  <c r="C320" i="58"/>
  <c r="B320" i="58"/>
  <c r="A320" i="58"/>
  <c r="AA310" i="58"/>
  <c r="Z310" i="58"/>
  <c r="V310" i="58"/>
  <c r="U310" i="58"/>
  <c r="T310" i="58"/>
  <c r="S310" i="58"/>
  <c r="R310" i="58"/>
  <c r="Q310" i="58"/>
  <c r="L310" i="58"/>
  <c r="K310" i="58"/>
  <c r="J310" i="58"/>
  <c r="I310" i="58"/>
  <c r="H310" i="58"/>
  <c r="G310" i="58"/>
  <c r="F310" i="58"/>
  <c r="E310" i="58"/>
  <c r="D310" i="58"/>
  <c r="C310" i="58"/>
  <c r="B310" i="58"/>
  <c r="A310" i="58"/>
  <c r="AA309" i="58"/>
  <c r="Z309" i="58"/>
  <c r="V309" i="58"/>
  <c r="U309" i="58"/>
  <c r="T309" i="58"/>
  <c r="S309" i="58"/>
  <c r="R309" i="58"/>
  <c r="Q309" i="58"/>
  <c r="L309" i="58"/>
  <c r="K309" i="58"/>
  <c r="J309" i="58"/>
  <c r="I309" i="58"/>
  <c r="H309" i="58"/>
  <c r="G309" i="58"/>
  <c r="F309" i="58"/>
  <c r="E309" i="58"/>
  <c r="D309" i="58"/>
  <c r="C309" i="58"/>
  <c r="B309" i="58"/>
  <c r="A309" i="58"/>
  <c r="AA308" i="58"/>
  <c r="Z308" i="58"/>
  <c r="V308" i="58"/>
  <c r="U308" i="58"/>
  <c r="T308" i="58"/>
  <c r="S308" i="58"/>
  <c r="R308" i="58"/>
  <c r="Q308" i="58"/>
  <c r="L308" i="58"/>
  <c r="K308" i="58"/>
  <c r="J308" i="58"/>
  <c r="I308" i="58"/>
  <c r="H308" i="58"/>
  <c r="G308" i="58"/>
  <c r="F308" i="58"/>
  <c r="E308" i="58"/>
  <c r="D308" i="58"/>
  <c r="C308" i="58"/>
  <c r="B308" i="58"/>
  <c r="A308" i="58"/>
  <c r="AA307" i="58"/>
  <c r="Z307" i="58"/>
  <c r="V307" i="58"/>
  <c r="U307" i="58"/>
  <c r="T307" i="58"/>
  <c r="S307" i="58"/>
  <c r="R307" i="58"/>
  <c r="Q307" i="58"/>
  <c r="L307" i="58"/>
  <c r="K307" i="58"/>
  <c r="J307" i="58"/>
  <c r="I307" i="58"/>
  <c r="H307" i="58"/>
  <c r="G307" i="58"/>
  <c r="F307" i="58"/>
  <c r="E307" i="58"/>
  <c r="D307" i="58"/>
  <c r="C307" i="58"/>
  <c r="B307" i="58"/>
  <c r="A307" i="58"/>
  <c r="AA306" i="58"/>
  <c r="Z306" i="58"/>
  <c r="V306" i="58"/>
  <c r="U306" i="58"/>
  <c r="T306" i="58"/>
  <c r="S306" i="58"/>
  <c r="R306" i="58"/>
  <c r="Q306" i="58"/>
  <c r="L306" i="58"/>
  <c r="K306" i="58"/>
  <c r="J306" i="58"/>
  <c r="I306" i="58"/>
  <c r="H306" i="58"/>
  <c r="G306" i="58"/>
  <c r="F306" i="58"/>
  <c r="E306" i="58"/>
  <c r="D306" i="58"/>
  <c r="C306" i="58"/>
  <c r="B306" i="58"/>
  <c r="A306" i="58"/>
  <c r="AA305" i="58"/>
  <c r="Z305" i="58"/>
  <c r="V305" i="58"/>
  <c r="U305" i="58"/>
  <c r="T305" i="58"/>
  <c r="S305" i="58"/>
  <c r="R305" i="58"/>
  <c r="Q305" i="58"/>
  <c r="L305" i="58"/>
  <c r="K305" i="58"/>
  <c r="J305" i="58"/>
  <c r="I305" i="58"/>
  <c r="H305" i="58"/>
  <c r="G305" i="58"/>
  <c r="F305" i="58"/>
  <c r="E305" i="58"/>
  <c r="D305" i="58"/>
  <c r="C305" i="58"/>
  <c r="B305" i="58"/>
  <c r="A305" i="58"/>
  <c r="AA304" i="58"/>
  <c r="Z304" i="58"/>
  <c r="V304" i="58"/>
  <c r="U304" i="58"/>
  <c r="T304" i="58"/>
  <c r="S304" i="58"/>
  <c r="R304" i="58"/>
  <c r="Q304" i="58"/>
  <c r="L304" i="58"/>
  <c r="K304" i="58"/>
  <c r="J304" i="58"/>
  <c r="I304" i="58"/>
  <c r="H304" i="58"/>
  <c r="G304" i="58"/>
  <c r="F304" i="58"/>
  <c r="E304" i="58"/>
  <c r="D304" i="58"/>
  <c r="C304" i="58"/>
  <c r="B304" i="58"/>
  <c r="A304" i="58"/>
  <c r="AA303" i="58"/>
  <c r="Z303" i="58"/>
  <c r="V303" i="58"/>
  <c r="U303" i="58"/>
  <c r="T303" i="58"/>
  <c r="S303" i="58"/>
  <c r="R303" i="58"/>
  <c r="Q303" i="58"/>
  <c r="L303" i="58"/>
  <c r="K303" i="58"/>
  <c r="J303" i="58"/>
  <c r="I303" i="58"/>
  <c r="H303" i="58"/>
  <c r="G303" i="58"/>
  <c r="F303" i="58"/>
  <c r="E303" i="58"/>
  <c r="D303" i="58"/>
  <c r="C303" i="58"/>
  <c r="B303" i="58"/>
  <c r="A303" i="58"/>
  <c r="AA302" i="58"/>
  <c r="Z302" i="58"/>
  <c r="V302" i="58"/>
  <c r="U302" i="58"/>
  <c r="T302" i="58"/>
  <c r="S302" i="58"/>
  <c r="R302" i="58"/>
  <c r="Q302" i="58"/>
  <c r="L302" i="58"/>
  <c r="K302" i="58"/>
  <c r="J302" i="58"/>
  <c r="I302" i="58"/>
  <c r="H302" i="58"/>
  <c r="G302" i="58"/>
  <c r="F302" i="58"/>
  <c r="E302" i="58"/>
  <c r="D302" i="58"/>
  <c r="C302" i="58"/>
  <c r="B302" i="58"/>
  <c r="A302" i="58"/>
  <c r="AA301" i="58"/>
  <c r="Z301" i="58"/>
  <c r="V301" i="58"/>
  <c r="U301" i="58"/>
  <c r="T301" i="58"/>
  <c r="S301" i="58"/>
  <c r="R301" i="58"/>
  <c r="Q301" i="58"/>
  <c r="L301" i="58"/>
  <c r="K301" i="58"/>
  <c r="J301" i="58"/>
  <c r="I301" i="58"/>
  <c r="H301" i="58"/>
  <c r="G301" i="58"/>
  <c r="F301" i="58"/>
  <c r="E301" i="58"/>
  <c r="D301" i="58"/>
  <c r="C301" i="58"/>
  <c r="B301" i="58"/>
  <c r="A301" i="58"/>
  <c r="AA300" i="58"/>
  <c r="Z300" i="58"/>
  <c r="V300" i="58"/>
  <c r="U300" i="58"/>
  <c r="T300" i="58"/>
  <c r="S300" i="58"/>
  <c r="R300" i="58"/>
  <c r="Q300" i="58"/>
  <c r="L300" i="58"/>
  <c r="K300" i="58"/>
  <c r="J300" i="58"/>
  <c r="I300" i="58"/>
  <c r="H300" i="58"/>
  <c r="G300" i="58"/>
  <c r="F300" i="58"/>
  <c r="E300" i="58"/>
  <c r="D300" i="58"/>
  <c r="C300" i="58"/>
  <c r="B300" i="58"/>
  <c r="A300" i="58"/>
  <c r="AA290" i="58"/>
  <c r="Z290" i="58"/>
  <c r="V290" i="58"/>
  <c r="U290" i="58"/>
  <c r="T290" i="58"/>
  <c r="S290" i="58"/>
  <c r="R290" i="58"/>
  <c r="Q290" i="58"/>
  <c r="L290" i="58"/>
  <c r="K290" i="58"/>
  <c r="J290" i="58"/>
  <c r="I290" i="58"/>
  <c r="H290" i="58"/>
  <c r="G290" i="58"/>
  <c r="F290" i="58"/>
  <c r="E290" i="58"/>
  <c r="D290" i="58"/>
  <c r="C290" i="58"/>
  <c r="B290" i="58"/>
  <c r="A290" i="58"/>
  <c r="AA280" i="58"/>
  <c r="Z280" i="58"/>
  <c r="V280" i="58"/>
  <c r="U280" i="58"/>
  <c r="T280" i="58"/>
  <c r="S280" i="58"/>
  <c r="R280" i="58"/>
  <c r="Q280" i="58"/>
  <c r="L280" i="58"/>
  <c r="K280" i="58"/>
  <c r="J280" i="58"/>
  <c r="I280" i="58"/>
  <c r="H280" i="58"/>
  <c r="G280" i="58"/>
  <c r="F280" i="58"/>
  <c r="E280" i="58"/>
  <c r="D280" i="58"/>
  <c r="C280" i="58"/>
  <c r="B280" i="58"/>
  <c r="A280" i="58"/>
  <c r="AA270" i="58"/>
  <c r="Z270" i="58"/>
  <c r="V270" i="58"/>
  <c r="U270" i="58"/>
  <c r="T270" i="58"/>
  <c r="S270" i="58"/>
  <c r="R270" i="58"/>
  <c r="Q270" i="58"/>
  <c r="L270" i="58"/>
  <c r="K270" i="58"/>
  <c r="J270" i="58"/>
  <c r="I270" i="58"/>
  <c r="H270" i="58"/>
  <c r="G270" i="58"/>
  <c r="F270" i="58"/>
  <c r="E270" i="58"/>
  <c r="D270" i="58"/>
  <c r="C270" i="58"/>
  <c r="B270" i="58"/>
  <c r="A270" i="58"/>
  <c r="AA260" i="58"/>
  <c r="Z260" i="58"/>
  <c r="V260" i="58"/>
  <c r="U260" i="58"/>
  <c r="T260" i="58"/>
  <c r="S260" i="58"/>
  <c r="R260" i="58"/>
  <c r="Q260" i="58"/>
  <c r="L260" i="58"/>
  <c r="K260" i="58"/>
  <c r="J260" i="58"/>
  <c r="I260" i="58"/>
  <c r="H260" i="58"/>
  <c r="G260" i="58"/>
  <c r="F260" i="58"/>
  <c r="E260" i="58"/>
  <c r="D260" i="58"/>
  <c r="C260" i="58"/>
  <c r="B260" i="58"/>
  <c r="A260" i="58"/>
  <c r="AA250" i="58"/>
  <c r="Z250" i="58"/>
  <c r="V250" i="58"/>
  <c r="U250" i="58"/>
  <c r="T250" i="58"/>
  <c r="S250" i="58"/>
  <c r="R250" i="58"/>
  <c r="Q250" i="58"/>
  <c r="L250" i="58"/>
  <c r="K250" i="58"/>
  <c r="J250" i="58"/>
  <c r="I250" i="58"/>
  <c r="H250" i="58"/>
  <c r="G250" i="58"/>
  <c r="F250" i="58"/>
  <c r="E250" i="58"/>
  <c r="D250" i="58"/>
  <c r="C250" i="58"/>
  <c r="B250" i="58"/>
  <c r="A250" i="58"/>
  <c r="AA240" i="58"/>
  <c r="Z240" i="58"/>
  <c r="V240" i="58"/>
  <c r="U240" i="58"/>
  <c r="T240" i="58"/>
  <c r="S240" i="58"/>
  <c r="R240" i="58"/>
  <c r="Q240" i="58"/>
  <c r="L240" i="58"/>
  <c r="K240" i="58"/>
  <c r="J240" i="58"/>
  <c r="I240" i="58"/>
  <c r="H240" i="58"/>
  <c r="G240" i="58"/>
  <c r="F240" i="58"/>
  <c r="E240" i="58"/>
  <c r="D240" i="58"/>
  <c r="C240" i="58"/>
  <c r="B240" i="58"/>
  <c r="A240" i="58"/>
  <c r="AA230" i="58"/>
  <c r="Z230" i="58"/>
  <c r="V230" i="58"/>
  <c r="U230" i="58"/>
  <c r="T230" i="58"/>
  <c r="S230" i="58"/>
  <c r="R230" i="58"/>
  <c r="Q230" i="58"/>
  <c r="L230" i="58"/>
  <c r="K230" i="58"/>
  <c r="J230" i="58"/>
  <c r="I230" i="58"/>
  <c r="H230" i="58"/>
  <c r="G230" i="58"/>
  <c r="F230" i="58"/>
  <c r="E230" i="58"/>
  <c r="D230" i="58"/>
  <c r="C230" i="58"/>
  <c r="B230" i="58"/>
  <c r="A230" i="58"/>
  <c r="AA220" i="58"/>
  <c r="Z220" i="58"/>
  <c r="V220" i="58"/>
  <c r="U220" i="58"/>
  <c r="T220" i="58"/>
  <c r="S220" i="58"/>
  <c r="R220" i="58"/>
  <c r="Q220" i="58"/>
  <c r="L220" i="58"/>
  <c r="K220" i="58"/>
  <c r="J220" i="58"/>
  <c r="I220" i="58"/>
  <c r="H220" i="58"/>
  <c r="G220" i="58"/>
  <c r="F220" i="58"/>
  <c r="E220" i="58"/>
  <c r="D220" i="58"/>
  <c r="C220" i="58"/>
  <c r="B220" i="58"/>
  <c r="A220" i="58"/>
  <c r="AA210" i="58"/>
  <c r="Z210" i="58"/>
  <c r="V210" i="58"/>
  <c r="U210" i="58"/>
  <c r="T210" i="58"/>
  <c r="S210" i="58"/>
  <c r="R210" i="58"/>
  <c r="Q210" i="58"/>
  <c r="L210" i="58"/>
  <c r="K210" i="58"/>
  <c r="J210" i="58"/>
  <c r="I210" i="58"/>
  <c r="H210" i="58"/>
  <c r="G210" i="58"/>
  <c r="F210" i="58"/>
  <c r="E210" i="58"/>
  <c r="D210" i="58"/>
  <c r="C210" i="58"/>
  <c r="B210" i="58"/>
  <c r="A210" i="58"/>
  <c r="AA209" i="58"/>
  <c r="Z209" i="58"/>
  <c r="V209" i="58"/>
  <c r="U209" i="58"/>
  <c r="T209" i="58"/>
  <c r="S209" i="58"/>
  <c r="R209" i="58"/>
  <c r="Q209" i="58"/>
  <c r="L209" i="58"/>
  <c r="K209" i="58"/>
  <c r="J209" i="58"/>
  <c r="I209" i="58"/>
  <c r="H209" i="58"/>
  <c r="G209" i="58"/>
  <c r="F209" i="58"/>
  <c r="E209" i="58"/>
  <c r="D209" i="58"/>
  <c r="C209" i="58"/>
  <c r="B209" i="58"/>
  <c r="A209" i="58"/>
  <c r="AA208" i="58"/>
  <c r="Z208" i="58"/>
  <c r="V208" i="58"/>
  <c r="U208" i="58"/>
  <c r="T208" i="58"/>
  <c r="S208" i="58"/>
  <c r="R208" i="58"/>
  <c r="Q208" i="58"/>
  <c r="L208" i="58"/>
  <c r="K208" i="58"/>
  <c r="J208" i="58"/>
  <c r="I208" i="58"/>
  <c r="H208" i="58"/>
  <c r="G208" i="58"/>
  <c r="F208" i="58"/>
  <c r="E208" i="58"/>
  <c r="D208" i="58"/>
  <c r="C208" i="58"/>
  <c r="B208" i="58"/>
  <c r="A208" i="58"/>
  <c r="AA207" i="58"/>
  <c r="Z207" i="58"/>
  <c r="V207" i="58"/>
  <c r="U207" i="58"/>
  <c r="T207" i="58"/>
  <c r="S207" i="58"/>
  <c r="R207" i="58"/>
  <c r="Q207" i="58"/>
  <c r="L207" i="58"/>
  <c r="K207" i="58"/>
  <c r="J207" i="58"/>
  <c r="I207" i="58"/>
  <c r="H207" i="58"/>
  <c r="G207" i="58"/>
  <c r="F207" i="58"/>
  <c r="E207" i="58"/>
  <c r="D207" i="58"/>
  <c r="C207" i="58"/>
  <c r="B207" i="58"/>
  <c r="A207" i="58"/>
  <c r="AA206" i="58"/>
  <c r="Z206" i="58"/>
  <c r="V206" i="58"/>
  <c r="U206" i="58"/>
  <c r="T206" i="58"/>
  <c r="S206" i="58"/>
  <c r="R206" i="58"/>
  <c r="Q206" i="58"/>
  <c r="L206" i="58"/>
  <c r="K206" i="58"/>
  <c r="J206" i="58"/>
  <c r="I206" i="58"/>
  <c r="H206" i="58"/>
  <c r="G206" i="58"/>
  <c r="F206" i="58"/>
  <c r="E206" i="58"/>
  <c r="D206" i="58"/>
  <c r="C206" i="58"/>
  <c r="B206" i="58"/>
  <c r="A206" i="58"/>
  <c r="AA205" i="58"/>
  <c r="Z205" i="58"/>
  <c r="V205" i="58"/>
  <c r="U205" i="58"/>
  <c r="T205" i="58"/>
  <c r="S205" i="58"/>
  <c r="R205" i="58"/>
  <c r="Q205" i="58"/>
  <c r="L205" i="58"/>
  <c r="K205" i="58"/>
  <c r="J205" i="58"/>
  <c r="I205" i="58"/>
  <c r="H205" i="58"/>
  <c r="G205" i="58"/>
  <c r="F205" i="58"/>
  <c r="E205" i="58"/>
  <c r="D205" i="58"/>
  <c r="C205" i="58"/>
  <c r="B205" i="58"/>
  <c r="A205" i="58"/>
  <c r="AA204" i="58"/>
  <c r="Z204" i="58"/>
  <c r="V204" i="58"/>
  <c r="U204" i="58"/>
  <c r="T204" i="58"/>
  <c r="S204" i="58"/>
  <c r="R204" i="58"/>
  <c r="Q204" i="58"/>
  <c r="L204" i="58"/>
  <c r="K204" i="58"/>
  <c r="J204" i="58"/>
  <c r="I204" i="58"/>
  <c r="H204" i="58"/>
  <c r="G204" i="58"/>
  <c r="F204" i="58"/>
  <c r="E204" i="58"/>
  <c r="D204" i="58"/>
  <c r="C204" i="58"/>
  <c r="B204" i="58"/>
  <c r="A204" i="58"/>
  <c r="AA203" i="58"/>
  <c r="Z203" i="58"/>
  <c r="V203" i="58"/>
  <c r="U203" i="58"/>
  <c r="T203" i="58"/>
  <c r="S203" i="58"/>
  <c r="R203" i="58"/>
  <c r="Q203" i="58"/>
  <c r="L203" i="58"/>
  <c r="K203" i="58"/>
  <c r="J203" i="58"/>
  <c r="I203" i="58"/>
  <c r="H203" i="58"/>
  <c r="G203" i="58"/>
  <c r="F203" i="58"/>
  <c r="E203" i="58"/>
  <c r="D203" i="58"/>
  <c r="C203" i="58"/>
  <c r="B203" i="58"/>
  <c r="A203" i="58"/>
  <c r="AA202" i="58"/>
  <c r="Z202" i="58"/>
  <c r="V202" i="58"/>
  <c r="U202" i="58"/>
  <c r="T202" i="58"/>
  <c r="S202" i="58"/>
  <c r="R202" i="58"/>
  <c r="Q202" i="58"/>
  <c r="L202" i="58"/>
  <c r="K202" i="58"/>
  <c r="J202" i="58"/>
  <c r="I202" i="58"/>
  <c r="H202" i="58"/>
  <c r="G202" i="58"/>
  <c r="F202" i="58"/>
  <c r="E202" i="58"/>
  <c r="D202" i="58"/>
  <c r="C202" i="58"/>
  <c r="B202" i="58"/>
  <c r="A202" i="58"/>
  <c r="AA201" i="58"/>
  <c r="Z201" i="58"/>
  <c r="V201" i="58"/>
  <c r="U201" i="58"/>
  <c r="T201" i="58"/>
  <c r="S201" i="58"/>
  <c r="R201" i="58"/>
  <c r="Q201" i="58"/>
  <c r="L201" i="58"/>
  <c r="K201" i="58"/>
  <c r="J201" i="58"/>
  <c r="I201" i="58"/>
  <c r="H201" i="58"/>
  <c r="G201" i="58"/>
  <c r="F201" i="58"/>
  <c r="E201" i="58"/>
  <c r="D201" i="58"/>
  <c r="C201" i="58"/>
  <c r="B201" i="58"/>
  <c r="A201" i="58"/>
  <c r="AA200" i="58"/>
  <c r="Z200" i="58"/>
  <c r="V200" i="58"/>
  <c r="U200" i="58"/>
  <c r="T200" i="58"/>
  <c r="S200" i="58"/>
  <c r="R200" i="58"/>
  <c r="Q200" i="58"/>
  <c r="L200" i="58"/>
  <c r="K200" i="58"/>
  <c r="J200" i="58"/>
  <c r="I200" i="58"/>
  <c r="H200" i="58"/>
  <c r="G200" i="58"/>
  <c r="F200" i="58"/>
  <c r="E200" i="58"/>
  <c r="D200" i="58"/>
  <c r="C200" i="58"/>
  <c r="B200" i="58"/>
  <c r="A200" i="58"/>
  <c r="AA190" i="58"/>
  <c r="Z190" i="58"/>
  <c r="V190" i="58"/>
  <c r="U190" i="58"/>
  <c r="T190" i="58"/>
  <c r="S190" i="58"/>
  <c r="R190" i="58"/>
  <c r="Q190" i="58"/>
  <c r="L190" i="58"/>
  <c r="K190" i="58"/>
  <c r="J190" i="58"/>
  <c r="I190" i="58"/>
  <c r="H190" i="58"/>
  <c r="G190" i="58"/>
  <c r="F190" i="58"/>
  <c r="E190" i="58"/>
  <c r="D190" i="58"/>
  <c r="C190" i="58"/>
  <c r="B190" i="58"/>
  <c r="A190" i="58"/>
  <c r="AA180" i="58"/>
  <c r="Z180" i="58"/>
  <c r="V180" i="58"/>
  <c r="U180" i="58"/>
  <c r="T180" i="58"/>
  <c r="S180" i="58"/>
  <c r="R180" i="58"/>
  <c r="Q180" i="58"/>
  <c r="L180" i="58"/>
  <c r="K180" i="58"/>
  <c r="J180" i="58"/>
  <c r="I180" i="58"/>
  <c r="H180" i="58"/>
  <c r="G180" i="58"/>
  <c r="F180" i="58"/>
  <c r="E180" i="58"/>
  <c r="D180" i="58"/>
  <c r="C180" i="58"/>
  <c r="B180" i="58"/>
  <c r="A180" i="58"/>
  <c r="AA170" i="58"/>
  <c r="Z170" i="58"/>
  <c r="V170" i="58"/>
  <c r="U170" i="58"/>
  <c r="T170" i="58"/>
  <c r="S170" i="58"/>
  <c r="R170" i="58"/>
  <c r="Q170" i="58"/>
  <c r="L170" i="58"/>
  <c r="K170" i="58"/>
  <c r="J170" i="58"/>
  <c r="I170" i="58"/>
  <c r="H170" i="58"/>
  <c r="G170" i="58"/>
  <c r="F170" i="58"/>
  <c r="E170" i="58"/>
  <c r="D170" i="58"/>
  <c r="C170" i="58"/>
  <c r="B170" i="58"/>
  <c r="A170" i="58"/>
  <c r="AA160" i="58"/>
  <c r="Z160" i="58"/>
  <c r="V160" i="58"/>
  <c r="U160" i="58"/>
  <c r="T160" i="58"/>
  <c r="S160" i="58"/>
  <c r="R160" i="58"/>
  <c r="Q160" i="58"/>
  <c r="L160" i="58"/>
  <c r="K160" i="58"/>
  <c r="J160" i="58"/>
  <c r="I160" i="58"/>
  <c r="H160" i="58"/>
  <c r="G160" i="58"/>
  <c r="F160" i="58"/>
  <c r="E160" i="58"/>
  <c r="D160" i="58"/>
  <c r="C160" i="58"/>
  <c r="B160" i="58"/>
  <c r="A160" i="58"/>
  <c r="AA150" i="58"/>
  <c r="Z150" i="58"/>
  <c r="V150" i="58"/>
  <c r="U150" i="58"/>
  <c r="T150" i="58"/>
  <c r="S150" i="58"/>
  <c r="R150" i="58"/>
  <c r="Q150" i="58"/>
  <c r="L150" i="58"/>
  <c r="K150" i="58"/>
  <c r="J150" i="58"/>
  <c r="I150" i="58"/>
  <c r="H150" i="58"/>
  <c r="G150" i="58"/>
  <c r="F150" i="58"/>
  <c r="E150" i="58"/>
  <c r="D150" i="58"/>
  <c r="C150" i="58"/>
  <c r="B150" i="58"/>
  <c r="A150" i="58"/>
  <c r="AA140" i="58"/>
  <c r="Z140" i="58"/>
  <c r="V140" i="58"/>
  <c r="U140" i="58"/>
  <c r="T140" i="58"/>
  <c r="S140" i="58"/>
  <c r="R140" i="58"/>
  <c r="Q140" i="58"/>
  <c r="L140" i="58"/>
  <c r="K140" i="58"/>
  <c r="J140" i="58"/>
  <c r="I140" i="58"/>
  <c r="H140" i="58"/>
  <c r="G140" i="58"/>
  <c r="F140" i="58"/>
  <c r="E140" i="58"/>
  <c r="D140" i="58"/>
  <c r="C140" i="58"/>
  <c r="B140" i="58"/>
  <c r="A140" i="58"/>
  <c r="AA130" i="58"/>
  <c r="Z130" i="58"/>
  <c r="V130" i="58"/>
  <c r="U130" i="58"/>
  <c r="T130" i="58"/>
  <c r="S130" i="58"/>
  <c r="R130" i="58"/>
  <c r="Q130" i="58"/>
  <c r="L130" i="58"/>
  <c r="K130" i="58"/>
  <c r="J130" i="58"/>
  <c r="I130" i="58"/>
  <c r="H130" i="58"/>
  <c r="G130" i="58"/>
  <c r="F130" i="58"/>
  <c r="E130" i="58"/>
  <c r="D130" i="58"/>
  <c r="C130" i="58"/>
  <c r="B130" i="58"/>
  <c r="A130" i="58"/>
  <c r="AA120" i="58"/>
  <c r="Z120" i="58"/>
  <c r="V120" i="58"/>
  <c r="U120" i="58"/>
  <c r="T120" i="58"/>
  <c r="S120" i="58"/>
  <c r="R120" i="58"/>
  <c r="Q120" i="58"/>
  <c r="L120" i="58"/>
  <c r="K120" i="58"/>
  <c r="J120" i="58"/>
  <c r="I120" i="58"/>
  <c r="H120" i="58"/>
  <c r="G120" i="58"/>
  <c r="F120" i="58"/>
  <c r="E120" i="58"/>
  <c r="D120" i="58"/>
  <c r="C120" i="58"/>
  <c r="B120" i="58"/>
  <c r="A120" i="58"/>
  <c r="AA110" i="58"/>
  <c r="Z110" i="58"/>
  <c r="V110" i="58"/>
  <c r="U110" i="58"/>
  <c r="T110" i="58"/>
  <c r="S110" i="58"/>
  <c r="R110" i="58"/>
  <c r="Q110" i="58"/>
  <c r="L110" i="58"/>
  <c r="K110" i="58"/>
  <c r="J110" i="58"/>
  <c r="I110" i="58"/>
  <c r="H110" i="58"/>
  <c r="G110" i="58"/>
  <c r="F110" i="58"/>
  <c r="E110" i="58"/>
  <c r="D110" i="58"/>
  <c r="C110" i="58"/>
  <c r="B110" i="58"/>
  <c r="A110" i="58"/>
  <c r="AA109" i="58"/>
  <c r="Z109" i="58"/>
  <c r="V109" i="58"/>
  <c r="U109" i="58"/>
  <c r="T109" i="58"/>
  <c r="S109" i="58"/>
  <c r="R109" i="58"/>
  <c r="Q109" i="58"/>
  <c r="L109" i="58"/>
  <c r="K109" i="58"/>
  <c r="J109" i="58"/>
  <c r="I109" i="58"/>
  <c r="H109" i="58"/>
  <c r="G109" i="58"/>
  <c r="F109" i="58"/>
  <c r="E109" i="58"/>
  <c r="D109" i="58"/>
  <c r="C109" i="58"/>
  <c r="B109" i="58"/>
  <c r="A109" i="58"/>
  <c r="AA108" i="58"/>
  <c r="Z108" i="58"/>
  <c r="V108" i="58"/>
  <c r="U108" i="58"/>
  <c r="T108" i="58"/>
  <c r="S108" i="58"/>
  <c r="R108" i="58"/>
  <c r="Q108" i="58"/>
  <c r="L108" i="58"/>
  <c r="K108" i="58"/>
  <c r="J108" i="58"/>
  <c r="I108" i="58"/>
  <c r="H108" i="58"/>
  <c r="G108" i="58"/>
  <c r="F108" i="58"/>
  <c r="E108" i="58"/>
  <c r="D108" i="58"/>
  <c r="C108" i="58"/>
  <c r="B108" i="58"/>
  <c r="A108" i="58"/>
  <c r="AA107" i="58"/>
  <c r="Z107" i="58"/>
  <c r="V107" i="58"/>
  <c r="U107" i="58"/>
  <c r="T107" i="58"/>
  <c r="S107" i="58"/>
  <c r="R107" i="58"/>
  <c r="Q107" i="58"/>
  <c r="L107" i="58"/>
  <c r="K107" i="58"/>
  <c r="J107" i="58"/>
  <c r="I107" i="58"/>
  <c r="H107" i="58"/>
  <c r="G107" i="58"/>
  <c r="F107" i="58"/>
  <c r="E107" i="58"/>
  <c r="D107" i="58"/>
  <c r="C107" i="58"/>
  <c r="B107" i="58"/>
  <c r="A107" i="58"/>
  <c r="AA106" i="58"/>
  <c r="Z106" i="58"/>
  <c r="V106" i="58"/>
  <c r="U106" i="58"/>
  <c r="T106" i="58"/>
  <c r="S106" i="58"/>
  <c r="R106" i="58"/>
  <c r="Q106" i="58"/>
  <c r="L106" i="58"/>
  <c r="K106" i="58"/>
  <c r="J106" i="58"/>
  <c r="I106" i="58"/>
  <c r="H106" i="58"/>
  <c r="G106" i="58"/>
  <c r="F106" i="58"/>
  <c r="E106" i="58"/>
  <c r="D106" i="58"/>
  <c r="C106" i="58"/>
  <c r="B106" i="58"/>
  <c r="A106" i="58"/>
  <c r="AA105" i="58"/>
  <c r="Z105" i="58"/>
  <c r="V105" i="58"/>
  <c r="U105" i="58"/>
  <c r="T105" i="58"/>
  <c r="S105" i="58"/>
  <c r="R105" i="58"/>
  <c r="Q105" i="58"/>
  <c r="L105" i="58"/>
  <c r="K105" i="58"/>
  <c r="J105" i="58"/>
  <c r="I105" i="58"/>
  <c r="H105" i="58"/>
  <c r="G105" i="58"/>
  <c r="F105" i="58"/>
  <c r="E105" i="58"/>
  <c r="D105" i="58"/>
  <c r="C105" i="58"/>
  <c r="B105" i="58"/>
  <c r="A105" i="58"/>
  <c r="AA104" i="58"/>
  <c r="Z104" i="58"/>
  <c r="V104" i="58"/>
  <c r="U104" i="58"/>
  <c r="T104" i="58"/>
  <c r="S104" i="58"/>
  <c r="R104" i="58"/>
  <c r="Q104" i="58"/>
  <c r="L104" i="58"/>
  <c r="K104" i="58"/>
  <c r="J104" i="58"/>
  <c r="I104" i="58"/>
  <c r="H104" i="58"/>
  <c r="G104" i="58"/>
  <c r="F104" i="58"/>
  <c r="E104" i="58"/>
  <c r="D104" i="58"/>
  <c r="C104" i="58"/>
  <c r="B104" i="58"/>
  <c r="A104" i="58"/>
  <c r="AA103" i="58"/>
  <c r="Z103" i="58"/>
  <c r="V103" i="58"/>
  <c r="U103" i="58"/>
  <c r="T103" i="58"/>
  <c r="S103" i="58"/>
  <c r="R103" i="58"/>
  <c r="Q103" i="58"/>
  <c r="L103" i="58"/>
  <c r="K103" i="58"/>
  <c r="J103" i="58"/>
  <c r="I103" i="58"/>
  <c r="H103" i="58"/>
  <c r="G103" i="58"/>
  <c r="F103" i="58"/>
  <c r="E103" i="58"/>
  <c r="D103" i="58"/>
  <c r="C103" i="58"/>
  <c r="B103" i="58"/>
  <c r="A103" i="58"/>
  <c r="AA102" i="58"/>
  <c r="Z102" i="58"/>
  <c r="V102" i="58"/>
  <c r="U102" i="58"/>
  <c r="T102" i="58"/>
  <c r="S102" i="58"/>
  <c r="R102" i="58"/>
  <c r="Q102" i="58"/>
  <c r="L102" i="58"/>
  <c r="K102" i="58"/>
  <c r="J102" i="58"/>
  <c r="I102" i="58"/>
  <c r="H102" i="58"/>
  <c r="G102" i="58"/>
  <c r="F102" i="58"/>
  <c r="E102" i="58"/>
  <c r="D102" i="58"/>
  <c r="C102" i="58"/>
  <c r="B102" i="58"/>
  <c r="A102" i="58"/>
  <c r="AA101" i="58"/>
  <c r="Z101" i="58"/>
  <c r="V101" i="58"/>
  <c r="U101" i="58"/>
  <c r="T101" i="58"/>
  <c r="S101" i="58"/>
  <c r="R101" i="58"/>
  <c r="Q101" i="58"/>
  <c r="L101" i="58"/>
  <c r="K101" i="58"/>
  <c r="J101" i="58"/>
  <c r="I101" i="58"/>
  <c r="H101" i="58"/>
  <c r="G101" i="58"/>
  <c r="F101" i="58"/>
  <c r="E101" i="58"/>
  <c r="D101" i="58"/>
  <c r="C101" i="58"/>
  <c r="B101" i="58"/>
  <c r="A101" i="58"/>
  <c r="AA100" i="58"/>
  <c r="Z100" i="58"/>
  <c r="V100" i="58"/>
  <c r="U100" i="58"/>
  <c r="T100" i="58"/>
  <c r="S100" i="58"/>
  <c r="R100" i="58"/>
  <c r="Q100" i="58"/>
  <c r="L100" i="58"/>
  <c r="K100" i="58"/>
  <c r="J100" i="58"/>
  <c r="I100" i="58"/>
  <c r="H100" i="58"/>
  <c r="G100" i="58"/>
  <c r="F100" i="58"/>
  <c r="E100" i="58"/>
  <c r="D100" i="58"/>
  <c r="C100" i="58"/>
  <c r="B100" i="58"/>
  <c r="A100" i="58"/>
  <c r="AA90" i="58"/>
  <c r="Z90" i="58"/>
  <c r="V90" i="58"/>
  <c r="U90" i="58"/>
  <c r="T90" i="58"/>
  <c r="S90" i="58"/>
  <c r="R90" i="58"/>
  <c r="Q90" i="58"/>
  <c r="L90" i="58"/>
  <c r="K90" i="58"/>
  <c r="J90" i="58"/>
  <c r="I90" i="58"/>
  <c r="H90" i="58"/>
  <c r="G90" i="58"/>
  <c r="F90" i="58"/>
  <c r="E90" i="58"/>
  <c r="D90" i="58"/>
  <c r="C90" i="58"/>
  <c r="B90" i="58"/>
  <c r="A90" i="58"/>
  <c r="AA80" i="58"/>
  <c r="Z80" i="58"/>
  <c r="V80" i="58"/>
  <c r="U80" i="58"/>
  <c r="T80" i="58"/>
  <c r="S80" i="58"/>
  <c r="R80" i="58"/>
  <c r="Q80" i="58"/>
  <c r="L80" i="58"/>
  <c r="K80" i="58"/>
  <c r="J80" i="58"/>
  <c r="I80" i="58"/>
  <c r="H80" i="58"/>
  <c r="G80" i="58"/>
  <c r="F80" i="58"/>
  <c r="E80" i="58"/>
  <c r="D80" i="58"/>
  <c r="C80" i="58"/>
  <c r="B80" i="58"/>
  <c r="A80" i="58"/>
  <c r="AA70" i="58"/>
  <c r="Z70" i="58"/>
  <c r="V70" i="58"/>
  <c r="U70" i="58"/>
  <c r="T70" i="58"/>
  <c r="S70" i="58"/>
  <c r="R70" i="58"/>
  <c r="Q70" i="58"/>
  <c r="L70" i="58"/>
  <c r="K70" i="58"/>
  <c r="J70" i="58"/>
  <c r="I70" i="58"/>
  <c r="H70" i="58"/>
  <c r="G70" i="58"/>
  <c r="F70" i="58"/>
  <c r="E70" i="58"/>
  <c r="D70" i="58"/>
  <c r="C70" i="58"/>
  <c r="B70" i="58"/>
  <c r="A70" i="58"/>
  <c r="AA60" i="58"/>
  <c r="Z60" i="58"/>
  <c r="V60" i="58"/>
  <c r="U60" i="58"/>
  <c r="T60" i="58"/>
  <c r="S60" i="58"/>
  <c r="R60" i="58"/>
  <c r="Q60" i="58"/>
  <c r="L60" i="58"/>
  <c r="K60" i="58"/>
  <c r="J60" i="58"/>
  <c r="I60" i="58"/>
  <c r="H60" i="58"/>
  <c r="G60" i="58"/>
  <c r="F60" i="58"/>
  <c r="E60" i="58"/>
  <c r="D60" i="58"/>
  <c r="C60" i="58"/>
  <c r="B60" i="58"/>
  <c r="A60" i="58"/>
  <c r="AA50" i="58"/>
  <c r="Z50" i="58"/>
  <c r="V50" i="58"/>
  <c r="U50" i="58"/>
  <c r="T50" i="58"/>
  <c r="S50" i="58"/>
  <c r="R50" i="58"/>
  <c r="Q50" i="58"/>
  <c r="L50" i="58"/>
  <c r="K50" i="58"/>
  <c r="J50" i="58"/>
  <c r="I50" i="58"/>
  <c r="H50" i="58"/>
  <c r="G50" i="58"/>
  <c r="F50" i="58"/>
  <c r="E50" i="58"/>
  <c r="D50" i="58"/>
  <c r="C50" i="58"/>
  <c r="B50" i="58"/>
  <c r="A50" i="58"/>
  <c r="AA40" i="58"/>
  <c r="Z40" i="58"/>
  <c r="V40" i="58"/>
  <c r="U40" i="58"/>
  <c r="T40" i="58"/>
  <c r="S40" i="58"/>
  <c r="R40" i="58"/>
  <c r="Q40" i="58"/>
  <c r="L40" i="58"/>
  <c r="K40" i="58"/>
  <c r="J40" i="58"/>
  <c r="I40" i="58"/>
  <c r="H40" i="58"/>
  <c r="G40" i="58"/>
  <c r="F40" i="58"/>
  <c r="E40" i="58"/>
  <c r="D40" i="58"/>
  <c r="C40" i="58"/>
  <c r="B40" i="58"/>
  <c r="A40" i="58"/>
  <c r="AA30" i="58"/>
  <c r="Z30" i="58"/>
  <c r="V30" i="58"/>
  <c r="U30" i="58"/>
  <c r="T30" i="58"/>
  <c r="S30" i="58"/>
  <c r="R30" i="58"/>
  <c r="Q30" i="58"/>
  <c r="L30" i="58"/>
  <c r="K30" i="58"/>
  <c r="J30" i="58"/>
  <c r="I30" i="58"/>
  <c r="H30" i="58"/>
  <c r="G30" i="58"/>
  <c r="F30" i="58"/>
  <c r="E30" i="58"/>
  <c r="D30" i="58"/>
  <c r="C30" i="58"/>
  <c r="B30" i="58"/>
  <c r="A30" i="58"/>
  <c r="AA20" i="58"/>
  <c r="Z20" i="58"/>
  <c r="V20" i="58"/>
  <c r="U20" i="58"/>
  <c r="T20" i="58"/>
  <c r="S20" i="58"/>
  <c r="R20" i="58"/>
  <c r="Q20" i="58"/>
  <c r="L20" i="58"/>
  <c r="K20" i="58"/>
  <c r="J20" i="58"/>
  <c r="I20" i="58"/>
  <c r="H20" i="58"/>
  <c r="G20" i="58"/>
  <c r="F20" i="58"/>
  <c r="E20" i="58"/>
  <c r="D20" i="58"/>
  <c r="C20" i="58"/>
  <c r="B20" i="58"/>
  <c r="A20" i="58"/>
  <c r="AA10" i="58"/>
  <c r="Z10" i="58"/>
  <c r="V10" i="58"/>
  <c r="U10" i="58"/>
  <c r="T10" i="58"/>
  <c r="S10" i="58"/>
  <c r="R10" i="58"/>
  <c r="Q10" i="58"/>
  <c r="L10" i="58"/>
  <c r="K10" i="58"/>
  <c r="J10" i="58"/>
  <c r="I10" i="58"/>
  <c r="H10" i="58"/>
  <c r="G10" i="58"/>
  <c r="F10" i="58"/>
  <c r="E10" i="58"/>
  <c r="D10" i="58"/>
  <c r="C10" i="58"/>
  <c r="B10" i="58"/>
  <c r="A10" i="58"/>
  <c r="Q4" i="58"/>
  <c r="R4" i="58"/>
  <c r="S4" i="58"/>
  <c r="T4" i="58"/>
  <c r="U4" i="58"/>
  <c r="V4" i="58"/>
  <c r="Z4" i="58"/>
  <c r="AA4" i="58"/>
  <c r="Q5" i="58"/>
  <c r="R5" i="58"/>
  <c r="S5" i="58"/>
  <c r="T5" i="58"/>
  <c r="U5" i="58"/>
  <c r="V5" i="58"/>
  <c r="Z5" i="58"/>
  <c r="AA5" i="58"/>
  <c r="Q6" i="58"/>
  <c r="R6" i="58"/>
  <c r="S6" i="58"/>
  <c r="T6" i="58"/>
  <c r="U6" i="58"/>
  <c r="V6" i="58"/>
  <c r="Z6" i="58"/>
  <c r="AA6" i="58"/>
  <c r="Q7" i="58"/>
  <c r="R7" i="58"/>
  <c r="S7" i="58"/>
  <c r="T7" i="58"/>
  <c r="U7" i="58"/>
  <c r="V7" i="58"/>
  <c r="Z7" i="58"/>
  <c r="AA7" i="58"/>
  <c r="Q8" i="58"/>
  <c r="R8" i="58"/>
  <c r="S8" i="58"/>
  <c r="T8" i="58"/>
  <c r="U8" i="58"/>
  <c r="V8" i="58"/>
  <c r="Z8" i="58"/>
  <c r="AA8" i="58"/>
  <c r="Q9" i="58"/>
  <c r="R9" i="58"/>
  <c r="S9" i="58"/>
  <c r="T9" i="58"/>
  <c r="U9" i="58"/>
  <c r="V9" i="58"/>
  <c r="Z9" i="58"/>
  <c r="AA9" i="58"/>
  <c r="Q11" i="58"/>
  <c r="R11" i="58"/>
  <c r="S11" i="58"/>
  <c r="T11" i="58"/>
  <c r="U11" i="58"/>
  <c r="V11" i="58"/>
  <c r="Z11" i="58"/>
  <c r="AA11" i="58"/>
  <c r="Q12" i="58"/>
  <c r="R12" i="58"/>
  <c r="S12" i="58"/>
  <c r="T12" i="58"/>
  <c r="U12" i="58"/>
  <c r="V12" i="58"/>
  <c r="Z12" i="58"/>
  <c r="AA12" i="58"/>
  <c r="Q13" i="58"/>
  <c r="R13" i="58"/>
  <c r="S13" i="58"/>
  <c r="T13" i="58"/>
  <c r="U13" i="58"/>
  <c r="V13" i="58"/>
  <c r="Z13" i="58"/>
  <c r="AA13" i="58"/>
  <c r="Q14" i="58"/>
  <c r="R14" i="58"/>
  <c r="S14" i="58"/>
  <c r="T14" i="58"/>
  <c r="U14" i="58"/>
  <c r="V14" i="58"/>
  <c r="Z14" i="58"/>
  <c r="AA14" i="58"/>
  <c r="Q15" i="58"/>
  <c r="R15" i="58"/>
  <c r="S15" i="58"/>
  <c r="T15" i="58"/>
  <c r="U15" i="58"/>
  <c r="V15" i="58"/>
  <c r="Z15" i="58"/>
  <c r="AA15" i="58"/>
  <c r="Q16" i="58"/>
  <c r="R16" i="58"/>
  <c r="S16" i="58"/>
  <c r="T16" i="58"/>
  <c r="U16" i="58"/>
  <c r="V16" i="58"/>
  <c r="Z16" i="58"/>
  <c r="AA16" i="58"/>
  <c r="Q17" i="58"/>
  <c r="R17" i="58"/>
  <c r="S17" i="58"/>
  <c r="T17" i="58"/>
  <c r="U17" i="58"/>
  <c r="V17" i="58"/>
  <c r="Z17" i="58"/>
  <c r="AA17" i="58"/>
  <c r="Q18" i="58"/>
  <c r="R18" i="58"/>
  <c r="S18" i="58"/>
  <c r="T18" i="58"/>
  <c r="U18" i="58"/>
  <c r="V18" i="58"/>
  <c r="Z18" i="58"/>
  <c r="AA18" i="58"/>
  <c r="Q19" i="58"/>
  <c r="R19" i="58"/>
  <c r="S19" i="58"/>
  <c r="T19" i="58"/>
  <c r="U19" i="58"/>
  <c r="V19" i="58"/>
  <c r="Z19" i="58"/>
  <c r="AA19" i="58"/>
  <c r="Q21" i="58"/>
  <c r="R21" i="58"/>
  <c r="S21" i="58"/>
  <c r="T21" i="58"/>
  <c r="U21" i="58"/>
  <c r="V21" i="58"/>
  <c r="Z21" i="58"/>
  <c r="AA21" i="58"/>
  <c r="Q22" i="58"/>
  <c r="R22" i="58"/>
  <c r="S22" i="58"/>
  <c r="T22" i="58"/>
  <c r="U22" i="58"/>
  <c r="V22" i="58"/>
  <c r="Z22" i="58"/>
  <c r="AA22" i="58"/>
  <c r="Q23" i="58"/>
  <c r="R23" i="58"/>
  <c r="S23" i="58"/>
  <c r="T23" i="58"/>
  <c r="U23" i="58"/>
  <c r="V23" i="58"/>
  <c r="Z23" i="58"/>
  <c r="AA23" i="58"/>
  <c r="Q24" i="58"/>
  <c r="R24" i="58"/>
  <c r="S24" i="58"/>
  <c r="T24" i="58"/>
  <c r="U24" i="58"/>
  <c r="V24" i="58"/>
  <c r="Z24" i="58"/>
  <c r="AA24" i="58"/>
  <c r="Q25" i="58"/>
  <c r="R25" i="58"/>
  <c r="S25" i="58"/>
  <c r="T25" i="58"/>
  <c r="U25" i="58"/>
  <c r="V25" i="58"/>
  <c r="Z25" i="58"/>
  <c r="AA25" i="58"/>
  <c r="Q26" i="58"/>
  <c r="R26" i="58"/>
  <c r="S26" i="58"/>
  <c r="T26" i="58"/>
  <c r="U26" i="58"/>
  <c r="V26" i="58"/>
  <c r="Z26" i="58"/>
  <c r="AA26" i="58"/>
  <c r="Q27" i="58"/>
  <c r="R27" i="58"/>
  <c r="S27" i="58"/>
  <c r="T27" i="58"/>
  <c r="U27" i="58"/>
  <c r="V27" i="58"/>
  <c r="Z27" i="58"/>
  <c r="AA27" i="58"/>
  <c r="Q28" i="58"/>
  <c r="R28" i="58"/>
  <c r="S28" i="58"/>
  <c r="T28" i="58"/>
  <c r="U28" i="58"/>
  <c r="V28" i="58"/>
  <c r="Z28" i="58"/>
  <c r="AA28" i="58"/>
  <c r="Q29" i="58"/>
  <c r="R29" i="58"/>
  <c r="S29" i="58"/>
  <c r="T29" i="58"/>
  <c r="U29" i="58"/>
  <c r="V29" i="58"/>
  <c r="Z29" i="58"/>
  <c r="AA29" i="58"/>
  <c r="Q31" i="58"/>
  <c r="R31" i="58"/>
  <c r="S31" i="58"/>
  <c r="T31" i="58"/>
  <c r="U31" i="58"/>
  <c r="V31" i="58"/>
  <c r="Z31" i="58"/>
  <c r="AA31" i="58"/>
  <c r="Q32" i="58"/>
  <c r="R32" i="58"/>
  <c r="S32" i="58"/>
  <c r="T32" i="58"/>
  <c r="U32" i="58"/>
  <c r="V32" i="58"/>
  <c r="Z32" i="58"/>
  <c r="AA32" i="58"/>
  <c r="Q33" i="58"/>
  <c r="R33" i="58"/>
  <c r="S33" i="58"/>
  <c r="T33" i="58"/>
  <c r="U33" i="58"/>
  <c r="V33" i="58"/>
  <c r="Z33" i="58"/>
  <c r="AA33" i="58"/>
  <c r="Q34" i="58"/>
  <c r="R34" i="58"/>
  <c r="S34" i="58"/>
  <c r="T34" i="58"/>
  <c r="U34" i="58"/>
  <c r="V34" i="58"/>
  <c r="Z34" i="58"/>
  <c r="AA34" i="58"/>
  <c r="Q35" i="58"/>
  <c r="R35" i="58"/>
  <c r="S35" i="58"/>
  <c r="T35" i="58"/>
  <c r="U35" i="58"/>
  <c r="V35" i="58"/>
  <c r="Z35" i="58"/>
  <c r="AA35" i="58"/>
  <c r="Q36" i="58"/>
  <c r="R36" i="58"/>
  <c r="S36" i="58"/>
  <c r="T36" i="58"/>
  <c r="U36" i="58"/>
  <c r="V36" i="58"/>
  <c r="Z36" i="58"/>
  <c r="AA36" i="58"/>
  <c r="Q37" i="58"/>
  <c r="R37" i="58"/>
  <c r="S37" i="58"/>
  <c r="T37" i="58"/>
  <c r="U37" i="58"/>
  <c r="V37" i="58"/>
  <c r="Z37" i="58"/>
  <c r="AA37" i="58"/>
  <c r="Q38" i="58"/>
  <c r="R38" i="58"/>
  <c r="S38" i="58"/>
  <c r="T38" i="58"/>
  <c r="U38" i="58"/>
  <c r="V38" i="58"/>
  <c r="Z38" i="58"/>
  <c r="AA38" i="58"/>
  <c r="Q39" i="58"/>
  <c r="R39" i="58"/>
  <c r="S39" i="58"/>
  <c r="T39" i="58"/>
  <c r="U39" i="58"/>
  <c r="V39" i="58"/>
  <c r="Z39" i="58"/>
  <c r="AA39" i="58"/>
  <c r="Q41" i="58"/>
  <c r="R41" i="58"/>
  <c r="S41" i="58"/>
  <c r="T41" i="58"/>
  <c r="U41" i="58"/>
  <c r="V41" i="58"/>
  <c r="Z41" i="58"/>
  <c r="AA41" i="58"/>
  <c r="Q42" i="58"/>
  <c r="R42" i="58"/>
  <c r="S42" i="58"/>
  <c r="T42" i="58"/>
  <c r="U42" i="58"/>
  <c r="V42" i="58"/>
  <c r="Z42" i="58"/>
  <c r="AA42" i="58"/>
  <c r="Q43" i="58"/>
  <c r="R43" i="58"/>
  <c r="S43" i="58"/>
  <c r="T43" i="58"/>
  <c r="U43" i="58"/>
  <c r="V43" i="58"/>
  <c r="Z43" i="58"/>
  <c r="AA43" i="58"/>
  <c r="Q44" i="58"/>
  <c r="R44" i="58"/>
  <c r="S44" i="58"/>
  <c r="T44" i="58"/>
  <c r="U44" i="58"/>
  <c r="V44" i="58"/>
  <c r="Z44" i="58"/>
  <c r="AA44" i="58"/>
  <c r="Q45" i="58"/>
  <c r="R45" i="58"/>
  <c r="S45" i="58"/>
  <c r="T45" i="58"/>
  <c r="U45" i="58"/>
  <c r="V45" i="58"/>
  <c r="Z45" i="58"/>
  <c r="AA45" i="58"/>
  <c r="Q46" i="58"/>
  <c r="R46" i="58"/>
  <c r="S46" i="58"/>
  <c r="T46" i="58"/>
  <c r="U46" i="58"/>
  <c r="V46" i="58"/>
  <c r="Z46" i="58"/>
  <c r="AA46" i="58"/>
  <c r="Q47" i="58"/>
  <c r="R47" i="58"/>
  <c r="S47" i="58"/>
  <c r="T47" i="58"/>
  <c r="U47" i="58"/>
  <c r="V47" i="58"/>
  <c r="Z47" i="58"/>
  <c r="AA47" i="58"/>
  <c r="Q48" i="58"/>
  <c r="R48" i="58"/>
  <c r="S48" i="58"/>
  <c r="T48" i="58"/>
  <c r="U48" i="58"/>
  <c r="V48" i="58"/>
  <c r="Z48" i="58"/>
  <c r="AA48" i="58"/>
  <c r="Q49" i="58"/>
  <c r="R49" i="58"/>
  <c r="S49" i="58"/>
  <c r="T49" i="58"/>
  <c r="U49" i="58"/>
  <c r="V49" i="58"/>
  <c r="Z49" i="58"/>
  <c r="AA49" i="58"/>
  <c r="Q51" i="58"/>
  <c r="R51" i="58"/>
  <c r="S51" i="58"/>
  <c r="T51" i="58"/>
  <c r="U51" i="58"/>
  <c r="V51" i="58"/>
  <c r="Z51" i="58"/>
  <c r="AA51" i="58"/>
  <c r="Q52" i="58"/>
  <c r="R52" i="58"/>
  <c r="S52" i="58"/>
  <c r="T52" i="58"/>
  <c r="U52" i="58"/>
  <c r="V52" i="58"/>
  <c r="Z52" i="58"/>
  <c r="AA52" i="58"/>
  <c r="Q53" i="58"/>
  <c r="R53" i="58"/>
  <c r="S53" i="58"/>
  <c r="T53" i="58"/>
  <c r="U53" i="58"/>
  <c r="V53" i="58"/>
  <c r="Z53" i="58"/>
  <c r="AA53" i="58"/>
  <c r="Q54" i="58"/>
  <c r="R54" i="58"/>
  <c r="S54" i="58"/>
  <c r="T54" i="58"/>
  <c r="U54" i="58"/>
  <c r="V54" i="58"/>
  <c r="Z54" i="58"/>
  <c r="AA54" i="58"/>
  <c r="Q55" i="58"/>
  <c r="R55" i="58"/>
  <c r="S55" i="58"/>
  <c r="T55" i="58"/>
  <c r="U55" i="58"/>
  <c r="V55" i="58"/>
  <c r="Z55" i="58"/>
  <c r="AA55" i="58"/>
  <c r="Q56" i="58"/>
  <c r="R56" i="58"/>
  <c r="S56" i="58"/>
  <c r="T56" i="58"/>
  <c r="U56" i="58"/>
  <c r="V56" i="58"/>
  <c r="Z56" i="58"/>
  <c r="AA56" i="58"/>
  <c r="Q57" i="58"/>
  <c r="R57" i="58"/>
  <c r="S57" i="58"/>
  <c r="T57" i="58"/>
  <c r="U57" i="58"/>
  <c r="V57" i="58"/>
  <c r="Z57" i="58"/>
  <c r="AA57" i="58"/>
  <c r="Q58" i="58"/>
  <c r="R58" i="58"/>
  <c r="S58" i="58"/>
  <c r="T58" i="58"/>
  <c r="U58" i="58"/>
  <c r="V58" i="58"/>
  <c r="Z58" i="58"/>
  <c r="AA58" i="58"/>
  <c r="Q59" i="58"/>
  <c r="R59" i="58"/>
  <c r="S59" i="58"/>
  <c r="T59" i="58"/>
  <c r="U59" i="58"/>
  <c r="V59" i="58"/>
  <c r="Z59" i="58"/>
  <c r="AA59" i="58"/>
  <c r="Q61" i="58"/>
  <c r="R61" i="58"/>
  <c r="S61" i="58"/>
  <c r="T61" i="58"/>
  <c r="U61" i="58"/>
  <c r="V61" i="58"/>
  <c r="Z61" i="58"/>
  <c r="AA61" i="58"/>
  <c r="Q62" i="58"/>
  <c r="R62" i="58"/>
  <c r="S62" i="58"/>
  <c r="T62" i="58"/>
  <c r="U62" i="58"/>
  <c r="V62" i="58"/>
  <c r="Z62" i="58"/>
  <c r="AA62" i="58"/>
  <c r="Q63" i="58"/>
  <c r="R63" i="58"/>
  <c r="S63" i="58"/>
  <c r="T63" i="58"/>
  <c r="U63" i="58"/>
  <c r="V63" i="58"/>
  <c r="Z63" i="58"/>
  <c r="AA63" i="58"/>
  <c r="Q64" i="58"/>
  <c r="R64" i="58"/>
  <c r="S64" i="58"/>
  <c r="T64" i="58"/>
  <c r="U64" i="58"/>
  <c r="V64" i="58"/>
  <c r="Z64" i="58"/>
  <c r="AA64" i="58"/>
  <c r="Q65" i="58"/>
  <c r="R65" i="58"/>
  <c r="S65" i="58"/>
  <c r="T65" i="58"/>
  <c r="U65" i="58"/>
  <c r="V65" i="58"/>
  <c r="Z65" i="58"/>
  <c r="AA65" i="58"/>
  <c r="Q66" i="58"/>
  <c r="R66" i="58"/>
  <c r="S66" i="58"/>
  <c r="T66" i="58"/>
  <c r="U66" i="58"/>
  <c r="V66" i="58"/>
  <c r="Z66" i="58"/>
  <c r="AA66" i="58"/>
  <c r="Q67" i="58"/>
  <c r="R67" i="58"/>
  <c r="S67" i="58"/>
  <c r="T67" i="58"/>
  <c r="U67" i="58"/>
  <c r="V67" i="58"/>
  <c r="Z67" i="58"/>
  <c r="AA67" i="58"/>
  <c r="Q68" i="58"/>
  <c r="R68" i="58"/>
  <c r="S68" i="58"/>
  <c r="T68" i="58"/>
  <c r="U68" i="58"/>
  <c r="V68" i="58"/>
  <c r="Z68" i="58"/>
  <c r="AA68" i="58"/>
  <c r="Q69" i="58"/>
  <c r="R69" i="58"/>
  <c r="S69" i="58"/>
  <c r="T69" i="58"/>
  <c r="U69" i="58"/>
  <c r="V69" i="58"/>
  <c r="Z69" i="58"/>
  <c r="AA69" i="58"/>
  <c r="Q71" i="58"/>
  <c r="R71" i="58"/>
  <c r="S71" i="58"/>
  <c r="T71" i="58"/>
  <c r="U71" i="58"/>
  <c r="V71" i="58"/>
  <c r="Z71" i="58"/>
  <c r="AA71" i="58"/>
  <c r="Q72" i="58"/>
  <c r="R72" i="58"/>
  <c r="S72" i="58"/>
  <c r="T72" i="58"/>
  <c r="U72" i="58"/>
  <c r="V72" i="58"/>
  <c r="Z72" i="58"/>
  <c r="AA72" i="58"/>
  <c r="Q73" i="58"/>
  <c r="R73" i="58"/>
  <c r="S73" i="58"/>
  <c r="T73" i="58"/>
  <c r="U73" i="58"/>
  <c r="V73" i="58"/>
  <c r="Z73" i="58"/>
  <c r="AA73" i="58"/>
  <c r="Q74" i="58"/>
  <c r="R74" i="58"/>
  <c r="S74" i="58"/>
  <c r="T74" i="58"/>
  <c r="U74" i="58"/>
  <c r="V74" i="58"/>
  <c r="Z74" i="58"/>
  <c r="AA74" i="58"/>
  <c r="Q75" i="58"/>
  <c r="R75" i="58"/>
  <c r="S75" i="58"/>
  <c r="T75" i="58"/>
  <c r="U75" i="58"/>
  <c r="V75" i="58"/>
  <c r="Z75" i="58"/>
  <c r="AA75" i="58"/>
  <c r="Q76" i="58"/>
  <c r="R76" i="58"/>
  <c r="S76" i="58"/>
  <c r="T76" i="58"/>
  <c r="U76" i="58"/>
  <c r="V76" i="58"/>
  <c r="Z76" i="58"/>
  <c r="AA76" i="58"/>
  <c r="Q77" i="58"/>
  <c r="R77" i="58"/>
  <c r="S77" i="58"/>
  <c r="T77" i="58"/>
  <c r="U77" i="58"/>
  <c r="V77" i="58"/>
  <c r="Z77" i="58"/>
  <c r="AA77" i="58"/>
  <c r="Q78" i="58"/>
  <c r="R78" i="58"/>
  <c r="S78" i="58"/>
  <c r="T78" i="58"/>
  <c r="U78" i="58"/>
  <c r="V78" i="58"/>
  <c r="Z78" i="58"/>
  <c r="AA78" i="58"/>
  <c r="Q79" i="58"/>
  <c r="R79" i="58"/>
  <c r="S79" i="58"/>
  <c r="T79" i="58"/>
  <c r="U79" i="58"/>
  <c r="V79" i="58"/>
  <c r="Z79" i="58"/>
  <c r="AA79" i="58"/>
  <c r="Q81" i="58"/>
  <c r="R81" i="58"/>
  <c r="S81" i="58"/>
  <c r="T81" i="58"/>
  <c r="U81" i="58"/>
  <c r="V81" i="58"/>
  <c r="Z81" i="58"/>
  <c r="AA81" i="58"/>
  <c r="Q82" i="58"/>
  <c r="R82" i="58"/>
  <c r="S82" i="58"/>
  <c r="T82" i="58"/>
  <c r="U82" i="58"/>
  <c r="V82" i="58"/>
  <c r="Z82" i="58"/>
  <c r="AA82" i="58"/>
  <c r="Q83" i="58"/>
  <c r="R83" i="58"/>
  <c r="S83" i="58"/>
  <c r="T83" i="58"/>
  <c r="U83" i="58"/>
  <c r="V83" i="58"/>
  <c r="Z83" i="58"/>
  <c r="AA83" i="58"/>
  <c r="Q84" i="58"/>
  <c r="R84" i="58"/>
  <c r="S84" i="58"/>
  <c r="T84" i="58"/>
  <c r="U84" i="58"/>
  <c r="V84" i="58"/>
  <c r="Z84" i="58"/>
  <c r="AA84" i="58"/>
  <c r="Q85" i="58"/>
  <c r="R85" i="58"/>
  <c r="S85" i="58"/>
  <c r="T85" i="58"/>
  <c r="U85" i="58"/>
  <c r="V85" i="58"/>
  <c r="Z85" i="58"/>
  <c r="AA85" i="58"/>
  <c r="Q86" i="58"/>
  <c r="R86" i="58"/>
  <c r="S86" i="58"/>
  <c r="T86" i="58"/>
  <c r="U86" i="58"/>
  <c r="V86" i="58"/>
  <c r="Z86" i="58"/>
  <c r="AA86" i="58"/>
  <c r="Q87" i="58"/>
  <c r="R87" i="58"/>
  <c r="S87" i="58"/>
  <c r="T87" i="58"/>
  <c r="U87" i="58"/>
  <c r="V87" i="58"/>
  <c r="Z87" i="58"/>
  <c r="AA87" i="58"/>
  <c r="Q88" i="58"/>
  <c r="R88" i="58"/>
  <c r="S88" i="58"/>
  <c r="T88" i="58"/>
  <c r="U88" i="58"/>
  <c r="V88" i="58"/>
  <c r="Z88" i="58"/>
  <c r="AA88" i="58"/>
  <c r="Q89" i="58"/>
  <c r="R89" i="58"/>
  <c r="S89" i="58"/>
  <c r="T89" i="58"/>
  <c r="U89" i="58"/>
  <c r="V89" i="58"/>
  <c r="Z89" i="58"/>
  <c r="AA89" i="58"/>
  <c r="Q91" i="58"/>
  <c r="R91" i="58"/>
  <c r="S91" i="58"/>
  <c r="T91" i="58"/>
  <c r="U91" i="58"/>
  <c r="V91" i="58"/>
  <c r="Z91" i="58"/>
  <c r="AA91" i="58"/>
  <c r="Q92" i="58"/>
  <c r="R92" i="58"/>
  <c r="S92" i="58"/>
  <c r="T92" i="58"/>
  <c r="U92" i="58"/>
  <c r="V92" i="58"/>
  <c r="Z92" i="58"/>
  <c r="AA92" i="58"/>
  <c r="Q93" i="58"/>
  <c r="R93" i="58"/>
  <c r="S93" i="58"/>
  <c r="T93" i="58"/>
  <c r="U93" i="58"/>
  <c r="V93" i="58"/>
  <c r="Z93" i="58"/>
  <c r="AA93" i="58"/>
  <c r="Q94" i="58"/>
  <c r="R94" i="58"/>
  <c r="S94" i="58"/>
  <c r="T94" i="58"/>
  <c r="U94" i="58"/>
  <c r="V94" i="58"/>
  <c r="Z94" i="58"/>
  <c r="AA94" i="58"/>
  <c r="Q95" i="58"/>
  <c r="R95" i="58"/>
  <c r="S95" i="58"/>
  <c r="T95" i="58"/>
  <c r="U95" i="58"/>
  <c r="V95" i="58"/>
  <c r="Z95" i="58"/>
  <c r="AA95" i="58"/>
  <c r="Q96" i="58"/>
  <c r="R96" i="58"/>
  <c r="S96" i="58"/>
  <c r="T96" i="58"/>
  <c r="U96" i="58"/>
  <c r="V96" i="58"/>
  <c r="Z96" i="58"/>
  <c r="AA96" i="58"/>
  <c r="Q97" i="58"/>
  <c r="R97" i="58"/>
  <c r="S97" i="58"/>
  <c r="T97" i="58"/>
  <c r="U97" i="58"/>
  <c r="V97" i="58"/>
  <c r="Z97" i="58"/>
  <c r="AA97" i="58"/>
  <c r="Q98" i="58"/>
  <c r="R98" i="58"/>
  <c r="S98" i="58"/>
  <c r="T98" i="58"/>
  <c r="U98" i="58"/>
  <c r="V98" i="58"/>
  <c r="Z98" i="58"/>
  <c r="AA98" i="58"/>
  <c r="Q99" i="58"/>
  <c r="R99" i="58"/>
  <c r="S99" i="58"/>
  <c r="T99" i="58"/>
  <c r="U99" i="58"/>
  <c r="V99" i="58"/>
  <c r="Z99" i="58"/>
  <c r="AA99" i="58"/>
  <c r="Q111" i="58"/>
  <c r="R111" i="58"/>
  <c r="S111" i="58"/>
  <c r="T111" i="58"/>
  <c r="U111" i="58"/>
  <c r="V111" i="58"/>
  <c r="Z111" i="58"/>
  <c r="AA111" i="58"/>
  <c r="Q112" i="58"/>
  <c r="R112" i="58"/>
  <c r="S112" i="58"/>
  <c r="T112" i="58"/>
  <c r="U112" i="58"/>
  <c r="V112" i="58"/>
  <c r="Z112" i="58"/>
  <c r="AA112" i="58"/>
  <c r="Q113" i="58"/>
  <c r="R113" i="58"/>
  <c r="S113" i="58"/>
  <c r="T113" i="58"/>
  <c r="U113" i="58"/>
  <c r="V113" i="58"/>
  <c r="Z113" i="58"/>
  <c r="AA113" i="58"/>
  <c r="Q114" i="58"/>
  <c r="R114" i="58"/>
  <c r="S114" i="58"/>
  <c r="T114" i="58"/>
  <c r="U114" i="58"/>
  <c r="V114" i="58"/>
  <c r="Z114" i="58"/>
  <c r="AA114" i="58"/>
  <c r="Q115" i="58"/>
  <c r="R115" i="58"/>
  <c r="S115" i="58"/>
  <c r="T115" i="58"/>
  <c r="U115" i="58"/>
  <c r="V115" i="58"/>
  <c r="Z115" i="58"/>
  <c r="AA115" i="58"/>
  <c r="Q116" i="58"/>
  <c r="R116" i="58"/>
  <c r="S116" i="58"/>
  <c r="T116" i="58"/>
  <c r="U116" i="58"/>
  <c r="V116" i="58"/>
  <c r="Z116" i="58"/>
  <c r="AA116" i="58"/>
  <c r="Q117" i="58"/>
  <c r="R117" i="58"/>
  <c r="S117" i="58"/>
  <c r="T117" i="58"/>
  <c r="U117" i="58"/>
  <c r="V117" i="58"/>
  <c r="Z117" i="58"/>
  <c r="AA117" i="58"/>
  <c r="Q118" i="58"/>
  <c r="R118" i="58"/>
  <c r="S118" i="58"/>
  <c r="T118" i="58"/>
  <c r="U118" i="58"/>
  <c r="V118" i="58"/>
  <c r="Z118" i="58"/>
  <c r="AA118" i="58"/>
  <c r="Q119" i="58"/>
  <c r="R119" i="58"/>
  <c r="S119" i="58"/>
  <c r="T119" i="58"/>
  <c r="U119" i="58"/>
  <c r="V119" i="58"/>
  <c r="Z119" i="58"/>
  <c r="AA119" i="58"/>
  <c r="Q121" i="58"/>
  <c r="R121" i="58"/>
  <c r="S121" i="58"/>
  <c r="T121" i="58"/>
  <c r="U121" i="58"/>
  <c r="V121" i="58"/>
  <c r="Z121" i="58"/>
  <c r="AA121" i="58"/>
  <c r="Q122" i="58"/>
  <c r="R122" i="58"/>
  <c r="S122" i="58"/>
  <c r="T122" i="58"/>
  <c r="U122" i="58"/>
  <c r="V122" i="58"/>
  <c r="Z122" i="58"/>
  <c r="AA122" i="58"/>
  <c r="Q123" i="58"/>
  <c r="R123" i="58"/>
  <c r="S123" i="58"/>
  <c r="T123" i="58"/>
  <c r="U123" i="58"/>
  <c r="V123" i="58"/>
  <c r="Z123" i="58"/>
  <c r="AA123" i="58"/>
  <c r="Q124" i="58"/>
  <c r="R124" i="58"/>
  <c r="S124" i="58"/>
  <c r="T124" i="58"/>
  <c r="U124" i="58"/>
  <c r="V124" i="58"/>
  <c r="Z124" i="58"/>
  <c r="AA124" i="58"/>
  <c r="Q125" i="58"/>
  <c r="R125" i="58"/>
  <c r="S125" i="58"/>
  <c r="T125" i="58"/>
  <c r="U125" i="58"/>
  <c r="V125" i="58"/>
  <c r="Z125" i="58"/>
  <c r="AA125" i="58"/>
  <c r="Q126" i="58"/>
  <c r="R126" i="58"/>
  <c r="S126" i="58"/>
  <c r="T126" i="58"/>
  <c r="U126" i="58"/>
  <c r="V126" i="58"/>
  <c r="Z126" i="58"/>
  <c r="AA126" i="58"/>
  <c r="Q127" i="58"/>
  <c r="R127" i="58"/>
  <c r="S127" i="58"/>
  <c r="T127" i="58"/>
  <c r="U127" i="58"/>
  <c r="V127" i="58"/>
  <c r="Z127" i="58"/>
  <c r="AA127" i="58"/>
  <c r="Q128" i="58"/>
  <c r="R128" i="58"/>
  <c r="S128" i="58"/>
  <c r="T128" i="58"/>
  <c r="U128" i="58"/>
  <c r="V128" i="58"/>
  <c r="Z128" i="58"/>
  <c r="AA128" i="58"/>
  <c r="Q129" i="58"/>
  <c r="R129" i="58"/>
  <c r="S129" i="58"/>
  <c r="T129" i="58"/>
  <c r="U129" i="58"/>
  <c r="V129" i="58"/>
  <c r="Z129" i="58"/>
  <c r="AA129" i="58"/>
  <c r="Q131" i="58"/>
  <c r="R131" i="58"/>
  <c r="S131" i="58"/>
  <c r="T131" i="58"/>
  <c r="U131" i="58"/>
  <c r="V131" i="58"/>
  <c r="Z131" i="58"/>
  <c r="AA131" i="58"/>
  <c r="Q132" i="58"/>
  <c r="R132" i="58"/>
  <c r="S132" i="58"/>
  <c r="T132" i="58"/>
  <c r="U132" i="58"/>
  <c r="V132" i="58"/>
  <c r="Z132" i="58"/>
  <c r="AA132" i="58"/>
  <c r="Q133" i="58"/>
  <c r="R133" i="58"/>
  <c r="S133" i="58"/>
  <c r="T133" i="58"/>
  <c r="U133" i="58"/>
  <c r="V133" i="58"/>
  <c r="Z133" i="58"/>
  <c r="AA133" i="58"/>
  <c r="Q134" i="58"/>
  <c r="R134" i="58"/>
  <c r="S134" i="58"/>
  <c r="T134" i="58"/>
  <c r="U134" i="58"/>
  <c r="V134" i="58"/>
  <c r="Z134" i="58"/>
  <c r="AA134" i="58"/>
  <c r="Q135" i="58"/>
  <c r="R135" i="58"/>
  <c r="S135" i="58"/>
  <c r="T135" i="58"/>
  <c r="U135" i="58"/>
  <c r="V135" i="58"/>
  <c r="Z135" i="58"/>
  <c r="AA135" i="58"/>
  <c r="Q136" i="58"/>
  <c r="R136" i="58"/>
  <c r="S136" i="58"/>
  <c r="T136" i="58"/>
  <c r="U136" i="58"/>
  <c r="V136" i="58"/>
  <c r="Z136" i="58"/>
  <c r="AA136" i="58"/>
  <c r="Q137" i="58"/>
  <c r="R137" i="58"/>
  <c r="S137" i="58"/>
  <c r="T137" i="58"/>
  <c r="U137" i="58"/>
  <c r="V137" i="58"/>
  <c r="Z137" i="58"/>
  <c r="AA137" i="58"/>
  <c r="Q138" i="58"/>
  <c r="R138" i="58"/>
  <c r="S138" i="58"/>
  <c r="T138" i="58"/>
  <c r="U138" i="58"/>
  <c r="V138" i="58"/>
  <c r="Z138" i="58"/>
  <c r="AA138" i="58"/>
  <c r="Q139" i="58"/>
  <c r="R139" i="58"/>
  <c r="S139" i="58"/>
  <c r="T139" i="58"/>
  <c r="U139" i="58"/>
  <c r="V139" i="58"/>
  <c r="Z139" i="58"/>
  <c r="AA139" i="58"/>
  <c r="Q141" i="58"/>
  <c r="R141" i="58"/>
  <c r="S141" i="58"/>
  <c r="T141" i="58"/>
  <c r="U141" i="58"/>
  <c r="V141" i="58"/>
  <c r="Z141" i="58"/>
  <c r="AA141" i="58"/>
  <c r="Q142" i="58"/>
  <c r="R142" i="58"/>
  <c r="S142" i="58"/>
  <c r="T142" i="58"/>
  <c r="U142" i="58"/>
  <c r="V142" i="58"/>
  <c r="Z142" i="58"/>
  <c r="AA142" i="58"/>
  <c r="Q143" i="58"/>
  <c r="R143" i="58"/>
  <c r="S143" i="58"/>
  <c r="T143" i="58"/>
  <c r="U143" i="58"/>
  <c r="V143" i="58"/>
  <c r="Z143" i="58"/>
  <c r="AA143" i="58"/>
  <c r="Q144" i="58"/>
  <c r="R144" i="58"/>
  <c r="S144" i="58"/>
  <c r="T144" i="58"/>
  <c r="U144" i="58"/>
  <c r="V144" i="58"/>
  <c r="Z144" i="58"/>
  <c r="AA144" i="58"/>
  <c r="Q145" i="58"/>
  <c r="R145" i="58"/>
  <c r="S145" i="58"/>
  <c r="T145" i="58"/>
  <c r="U145" i="58"/>
  <c r="V145" i="58"/>
  <c r="Z145" i="58"/>
  <c r="AA145" i="58"/>
  <c r="Q146" i="58"/>
  <c r="R146" i="58"/>
  <c r="S146" i="58"/>
  <c r="T146" i="58"/>
  <c r="U146" i="58"/>
  <c r="V146" i="58"/>
  <c r="Z146" i="58"/>
  <c r="AA146" i="58"/>
  <c r="Q147" i="58"/>
  <c r="R147" i="58"/>
  <c r="S147" i="58"/>
  <c r="T147" i="58"/>
  <c r="U147" i="58"/>
  <c r="V147" i="58"/>
  <c r="Z147" i="58"/>
  <c r="AA147" i="58"/>
  <c r="Q148" i="58"/>
  <c r="R148" i="58"/>
  <c r="S148" i="58"/>
  <c r="T148" i="58"/>
  <c r="U148" i="58"/>
  <c r="V148" i="58"/>
  <c r="Z148" i="58"/>
  <c r="AA148" i="58"/>
  <c r="Q149" i="58"/>
  <c r="R149" i="58"/>
  <c r="S149" i="58"/>
  <c r="T149" i="58"/>
  <c r="U149" i="58"/>
  <c r="V149" i="58"/>
  <c r="Z149" i="58"/>
  <c r="AA149" i="58"/>
  <c r="Q151" i="58"/>
  <c r="R151" i="58"/>
  <c r="S151" i="58"/>
  <c r="T151" i="58"/>
  <c r="U151" i="58"/>
  <c r="V151" i="58"/>
  <c r="Z151" i="58"/>
  <c r="AA151" i="58"/>
  <c r="Q152" i="58"/>
  <c r="R152" i="58"/>
  <c r="S152" i="58"/>
  <c r="T152" i="58"/>
  <c r="U152" i="58"/>
  <c r="V152" i="58"/>
  <c r="Z152" i="58"/>
  <c r="AA152" i="58"/>
  <c r="Q153" i="58"/>
  <c r="R153" i="58"/>
  <c r="S153" i="58"/>
  <c r="T153" i="58"/>
  <c r="U153" i="58"/>
  <c r="V153" i="58"/>
  <c r="Z153" i="58"/>
  <c r="AA153" i="58"/>
  <c r="Q154" i="58"/>
  <c r="R154" i="58"/>
  <c r="S154" i="58"/>
  <c r="T154" i="58"/>
  <c r="U154" i="58"/>
  <c r="V154" i="58"/>
  <c r="Z154" i="58"/>
  <c r="AA154" i="58"/>
  <c r="Q155" i="58"/>
  <c r="R155" i="58"/>
  <c r="S155" i="58"/>
  <c r="T155" i="58"/>
  <c r="U155" i="58"/>
  <c r="V155" i="58"/>
  <c r="Z155" i="58"/>
  <c r="AA155" i="58"/>
  <c r="Q156" i="58"/>
  <c r="R156" i="58"/>
  <c r="S156" i="58"/>
  <c r="T156" i="58"/>
  <c r="U156" i="58"/>
  <c r="V156" i="58"/>
  <c r="Z156" i="58"/>
  <c r="AA156" i="58"/>
  <c r="Q157" i="58"/>
  <c r="R157" i="58"/>
  <c r="S157" i="58"/>
  <c r="T157" i="58"/>
  <c r="U157" i="58"/>
  <c r="V157" i="58"/>
  <c r="Z157" i="58"/>
  <c r="AA157" i="58"/>
  <c r="Q158" i="58"/>
  <c r="R158" i="58"/>
  <c r="S158" i="58"/>
  <c r="T158" i="58"/>
  <c r="U158" i="58"/>
  <c r="V158" i="58"/>
  <c r="Z158" i="58"/>
  <c r="AA158" i="58"/>
  <c r="Q159" i="58"/>
  <c r="R159" i="58"/>
  <c r="S159" i="58"/>
  <c r="T159" i="58"/>
  <c r="U159" i="58"/>
  <c r="V159" i="58"/>
  <c r="Z159" i="58"/>
  <c r="AA159" i="58"/>
  <c r="Q161" i="58"/>
  <c r="R161" i="58"/>
  <c r="S161" i="58"/>
  <c r="T161" i="58"/>
  <c r="U161" i="58"/>
  <c r="V161" i="58"/>
  <c r="Z161" i="58"/>
  <c r="AA161" i="58"/>
  <c r="Q162" i="58"/>
  <c r="R162" i="58"/>
  <c r="S162" i="58"/>
  <c r="T162" i="58"/>
  <c r="U162" i="58"/>
  <c r="V162" i="58"/>
  <c r="Z162" i="58"/>
  <c r="AA162" i="58"/>
  <c r="Q163" i="58"/>
  <c r="R163" i="58"/>
  <c r="S163" i="58"/>
  <c r="T163" i="58"/>
  <c r="U163" i="58"/>
  <c r="V163" i="58"/>
  <c r="Z163" i="58"/>
  <c r="AA163" i="58"/>
  <c r="Q164" i="58"/>
  <c r="R164" i="58"/>
  <c r="S164" i="58"/>
  <c r="T164" i="58"/>
  <c r="U164" i="58"/>
  <c r="V164" i="58"/>
  <c r="Z164" i="58"/>
  <c r="AA164" i="58"/>
  <c r="Q165" i="58"/>
  <c r="R165" i="58"/>
  <c r="S165" i="58"/>
  <c r="T165" i="58"/>
  <c r="U165" i="58"/>
  <c r="V165" i="58"/>
  <c r="Z165" i="58"/>
  <c r="AA165" i="58"/>
  <c r="Q166" i="58"/>
  <c r="R166" i="58"/>
  <c r="S166" i="58"/>
  <c r="T166" i="58"/>
  <c r="U166" i="58"/>
  <c r="V166" i="58"/>
  <c r="Z166" i="58"/>
  <c r="AA166" i="58"/>
  <c r="Q167" i="58"/>
  <c r="R167" i="58"/>
  <c r="S167" i="58"/>
  <c r="T167" i="58"/>
  <c r="U167" i="58"/>
  <c r="V167" i="58"/>
  <c r="Z167" i="58"/>
  <c r="AA167" i="58"/>
  <c r="Q168" i="58"/>
  <c r="R168" i="58"/>
  <c r="S168" i="58"/>
  <c r="T168" i="58"/>
  <c r="U168" i="58"/>
  <c r="V168" i="58"/>
  <c r="Z168" i="58"/>
  <c r="AA168" i="58"/>
  <c r="Q169" i="58"/>
  <c r="R169" i="58"/>
  <c r="S169" i="58"/>
  <c r="T169" i="58"/>
  <c r="U169" i="58"/>
  <c r="V169" i="58"/>
  <c r="Z169" i="58"/>
  <c r="AA169" i="58"/>
  <c r="Q171" i="58"/>
  <c r="R171" i="58"/>
  <c r="S171" i="58"/>
  <c r="T171" i="58"/>
  <c r="U171" i="58"/>
  <c r="V171" i="58"/>
  <c r="Z171" i="58"/>
  <c r="AA171" i="58"/>
  <c r="Q172" i="58"/>
  <c r="R172" i="58"/>
  <c r="S172" i="58"/>
  <c r="T172" i="58"/>
  <c r="U172" i="58"/>
  <c r="V172" i="58"/>
  <c r="Z172" i="58"/>
  <c r="AA172" i="58"/>
  <c r="Q173" i="58"/>
  <c r="R173" i="58"/>
  <c r="S173" i="58"/>
  <c r="T173" i="58"/>
  <c r="U173" i="58"/>
  <c r="V173" i="58"/>
  <c r="Z173" i="58"/>
  <c r="AA173" i="58"/>
  <c r="Q174" i="58"/>
  <c r="R174" i="58"/>
  <c r="S174" i="58"/>
  <c r="T174" i="58"/>
  <c r="U174" i="58"/>
  <c r="V174" i="58"/>
  <c r="Z174" i="58"/>
  <c r="AA174" i="58"/>
  <c r="Q175" i="58"/>
  <c r="R175" i="58"/>
  <c r="S175" i="58"/>
  <c r="T175" i="58"/>
  <c r="U175" i="58"/>
  <c r="V175" i="58"/>
  <c r="Z175" i="58"/>
  <c r="AA175" i="58"/>
  <c r="Q176" i="58"/>
  <c r="R176" i="58"/>
  <c r="S176" i="58"/>
  <c r="T176" i="58"/>
  <c r="U176" i="58"/>
  <c r="V176" i="58"/>
  <c r="Z176" i="58"/>
  <c r="AA176" i="58"/>
  <c r="Q177" i="58"/>
  <c r="R177" i="58"/>
  <c r="S177" i="58"/>
  <c r="T177" i="58"/>
  <c r="U177" i="58"/>
  <c r="V177" i="58"/>
  <c r="Z177" i="58"/>
  <c r="AA177" i="58"/>
  <c r="Q178" i="58"/>
  <c r="R178" i="58"/>
  <c r="S178" i="58"/>
  <c r="T178" i="58"/>
  <c r="U178" i="58"/>
  <c r="V178" i="58"/>
  <c r="Z178" i="58"/>
  <c r="AA178" i="58"/>
  <c r="Q179" i="58"/>
  <c r="R179" i="58"/>
  <c r="S179" i="58"/>
  <c r="T179" i="58"/>
  <c r="U179" i="58"/>
  <c r="V179" i="58"/>
  <c r="Z179" i="58"/>
  <c r="AA179" i="58"/>
  <c r="Q181" i="58"/>
  <c r="R181" i="58"/>
  <c r="S181" i="58"/>
  <c r="T181" i="58"/>
  <c r="U181" i="58"/>
  <c r="V181" i="58"/>
  <c r="Z181" i="58"/>
  <c r="AA181" i="58"/>
  <c r="Q182" i="58"/>
  <c r="R182" i="58"/>
  <c r="S182" i="58"/>
  <c r="T182" i="58"/>
  <c r="U182" i="58"/>
  <c r="V182" i="58"/>
  <c r="Z182" i="58"/>
  <c r="AA182" i="58"/>
  <c r="Q183" i="58"/>
  <c r="R183" i="58"/>
  <c r="S183" i="58"/>
  <c r="T183" i="58"/>
  <c r="U183" i="58"/>
  <c r="V183" i="58"/>
  <c r="Z183" i="58"/>
  <c r="AA183" i="58"/>
  <c r="Q184" i="58"/>
  <c r="R184" i="58"/>
  <c r="S184" i="58"/>
  <c r="T184" i="58"/>
  <c r="U184" i="58"/>
  <c r="V184" i="58"/>
  <c r="Z184" i="58"/>
  <c r="AA184" i="58"/>
  <c r="Q185" i="58"/>
  <c r="R185" i="58"/>
  <c r="S185" i="58"/>
  <c r="T185" i="58"/>
  <c r="U185" i="58"/>
  <c r="V185" i="58"/>
  <c r="Z185" i="58"/>
  <c r="AA185" i="58"/>
  <c r="Q186" i="58"/>
  <c r="R186" i="58"/>
  <c r="S186" i="58"/>
  <c r="T186" i="58"/>
  <c r="U186" i="58"/>
  <c r="V186" i="58"/>
  <c r="Z186" i="58"/>
  <c r="AA186" i="58"/>
  <c r="Q187" i="58"/>
  <c r="R187" i="58"/>
  <c r="S187" i="58"/>
  <c r="T187" i="58"/>
  <c r="U187" i="58"/>
  <c r="V187" i="58"/>
  <c r="Z187" i="58"/>
  <c r="AA187" i="58"/>
  <c r="Q188" i="58"/>
  <c r="R188" i="58"/>
  <c r="S188" i="58"/>
  <c r="T188" i="58"/>
  <c r="U188" i="58"/>
  <c r="V188" i="58"/>
  <c r="Z188" i="58"/>
  <c r="AA188" i="58"/>
  <c r="Q189" i="58"/>
  <c r="R189" i="58"/>
  <c r="S189" i="58"/>
  <c r="T189" i="58"/>
  <c r="U189" i="58"/>
  <c r="V189" i="58"/>
  <c r="Z189" i="58"/>
  <c r="AA189" i="58"/>
  <c r="Q191" i="58"/>
  <c r="R191" i="58"/>
  <c r="S191" i="58"/>
  <c r="T191" i="58"/>
  <c r="U191" i="58"/>
  <c r="V191" i="58"/>
  <c r="Z191" i="58"/>
  <c r="AA191" i="58"/>
  <c r="Q192" i="58"/>
  <c r="R192" i="58"/>
  <c r="S192" i="58"/>
  <c r="T192" i="58"/>
  <c r="U192" i="58"/>
  <c r="V192" i="58"/>
  <c r="Z192" i="58"/>
  <c r="AA192" i="58"/>
  <c r="Q193" i="58"/>
  <c r="R193" i="58"/>
  <c r="S193" i="58"/>
  <c r="T193" i="58"/>
  <c r="U193" i="58"/>
  <c r="V193" i="58"/>
  <c r="Z193" i="58"/>
  <c r="AA193" i="58"/>
  <c r="Q194" i="58"/>
  <c r="R194" i="58"/>
  <c r="S194" i="58"/>
  <c r="T194" i="58"/>
  <c r="U194" i="58"/>
  <c r="V194" i="58"/>
  <c r="Z194" i="58"/>
  <c r="AA194" i="58"/>
  <c r="Q195" i="58"/>
  <c r="R195" i="58"/>
  <c r="S195" i="58"/>
  <c r="T195" i="58"/>
  <c r="U195" i="58"/>
  <c r="V195" i="58"/>
  <c r="Z195" i="58"/>
  <c r="AA195" i="58"/>
  <c r="Q196" i="58"/>
  <c r="R196" i="58"/>
  <c r="S196" i="58"/>
  <c r="T196" i="58"/>
  <c r="U196" i="58"/>
  <c r="V196" i="58"/>
  <c r="Z196" i="58"/>
  <c r="AA196" i="58"/>
  <c r="Q197" i="58"/>
  <c r="R197" i="58"/>
  <c r="S197" i="58"/>
  <c r="T197" i="58"/>
  <c r="U197" i="58"/>
  <c r="V197" i="58"/>
  <c r="Z197" i="58"/>
  <c r="AA197" i="58"/>
  <c r="Q198" i="58"/>
  <c r="R198" i="58"/>
  <c r="S198" i="58"/>
  <c r="T198" i="58"/>
  <c r="U198" i="58"/>
  <c r="V198" i="58"/>
  <c r="Z198" i="58"/>
  <c r="AA198" i="58"/>
  <c r="Q199" i="58"/>
  <c r="R199" i="58"/>
  <c r="S199" i="58"/>
  <c r="T199" i="58"/>
  <c r="U199" i="58"/>
  <c r="V199" i="58"/>
  <c r="Z199" i="58"/>
  <c r="AA199" i="58"/>
  <c r="Q211" i="58"/>
  <c r="R211" i="58"/>
  <c r="S211" i="58"/>
  <c r="T211" i="58"/>
  <c r="U211" i="58"/>
  <c r="V211" i="58"/>
  <c r="Z211" i="58"/>
  <c r="AA211" i="58"/>
  <c r="Q212" i="58"/>
  <c r="R212" i="58"/>
  <c r="S212" i="58"/>
  <c r="T212" i="58"/>
  <c r="U212" i="58"/>
  <c r="V212" i="58"/>
  <c r="Z212" i="58"/>
  <c r="AA212" i="58"/>
  <c r="Q213" i="58"/>
  <c r="R213" i="58"/>
  <c r="S213" i="58"/>
  <c r="T213" i="58"/>
  <c r="U213" i="58"/>
  <c r="V213" i="58"/>
  <c r="Z213" i="58"/>
  <c r="AA213" i="58"/>
  <c r="Q214" i="58"/>
  <c r="R214" i="58"/>
  <c r="S214" i="58"/>
  <c r="T214" i="58"/>
  <c r="U214" i="58"/>
  <c r="V214" i="58"/>
  <c r="Z214" i="58"/>
  <c r="AA214" i="58"/>
  <c r="Q215" i="58"/>
  <c r="R215" i="58"/>
  <c r="S215" i="58"/>
  <c r="T215" i="58"/>
  <c r="U215" i="58"/>
  <c r="V215" i="58"/>
  <c r="Z215" i="58"/>
  <c r="AA215" i="58"/>
  <c r="Q216" i="58"/>
  <c r="R216" i="58"/>
  <c r="S216" i="58"/>
  <c r="T216" i="58"/>
  <c r="U216" i="58"/>
  <c r="V216" i="58"/>
  <c r="Z216" i="58"/>
  <c r="AA216" i="58"/>
  <c r="Q217" i="58"/>
  <c r="R217" i="58"/>
  <c r="S217" i="58"/>
  <c r="T217" i="58"/>
  <c r="U217" i="58"/>
  <c r="V217" i="58"/>
  <c r="Z217" i="58"/>
  <c r="AA217" i="58"/>
  <c r="Q218" i="58"/>
  <c r="R218" i="58"/>
  <c r="S218" i="58"/>
  <c r="T218" i="58"/>
  <c r="U218" i="58"/>
  <c r="V218" i="58"/>
  <c r="Z218" i="58"/>
  <c r="AA218" i="58"/>
  <c r="Q219" i="58"/>
  <c r="R219" i="58"/>
  <c r="S219" i="58"/>
  <c r="T219" i="58"/>
  <c r="U219" i="58"/>
  <c r="V219" i="58"/>
  <c r="Z219" i="58"/>
  <c r="AA219" i="58"/>
  <c r="Q221" i="58"/>
  <c r="R221" i="58"/>
  <c r="S221" i="58"/>
  <c r="T221" i="58"/>
  <c r="U221" i="58"/>
  <c r="V221" i="58"/>
  <c r="Z221" i="58"/>
  <c r="AA221" i="58"/>
  <c r="Q222" i="58"/>
  <c r="R222" i="58"/>
  <c r="S222" i="58"/>
  <c r="T222" i="58"/>
  <c r="U222" i="58"/>
  <c r="V222" i="58"/>
  <c r="Z222" i="58"/>
  <c r="AA222" i="58"/>
  <c r="Q223" i="58"/>
  <c r="R223" i="58"/>
  <c r="S223" i="58"/>
  <c r="T223" i="58"/>
  <c r="U223" i="58"/>
  <c r="V223" i="58"/>
  <c r="Z223" i="58"/>
  <c r="AA223" i="58"/>
  <c r="Q224" i="58"/>
  <c r="R224" i="58"/>
  <c r="S224" i="58"/>
  <c r="T224" i="58"/>
  <c r="U224" i="58"/>
  <c r="V224" i="58"/>
  <c r="Z224" i="58"/>
  <c r="AA224" i="58"/>
  <c r="Q225" i="58"/>
  <c r="R225" i="58"/>
  <c r="S225" i="58"/>
  <c r="T225" i="58"/>
  <c r="U225" i="58"/>
  <c r="V225" i="58"/>
  <c r="Z225" i="58"/>
  <c r="AA225" i="58"/>
  <c r="Q226" i="58"/>
  <c r="R226" i="58"/>
  <c r="S226" i="58"/>
  <c r="T226" i="58"/>
  <c r="U226" i="58"/>
  <c r="V226" i="58"/>
  <c r="Z226" i="58"/>
  <c r="AA226" i="58"/>
  <c r="Q227" i="58"/>
  <c r="R227" i="58"/>
  <c r="S227" i="58"/>
  <c r="T227" i="58"/>
  <c r="U227" i="58"/>
  <c r="V227" i="58"/>
  <c r="Z227" i="58"/>
  <c r="AA227" i="58"/>
  <c r="Q228" i="58"/>
  <c r="R228" i="58"/>
  <c r="S228" i="58"/>
  <c r="T228" i="58"/>
  <c r="U228" i="58"/>
  <c r="V228" i="58"/>
  <c r="Z228" i="58"/>
  <c r="AA228" i="58"/>
  <c r="Q229" i="58"/>
  <c r="R229" i="58"/>
  <c r="S229" i="58"/>
  <c r="T229" i="58"/>
  <c r="U229" i="58"/>
  <c r="V229" i="58"/>
  <c r="Z229" i="58"/>
  <c r="AA229" i="58"/>
  <c r="Q231" i="58"/>
  <c r="R231" i="58"/>
  <c r="S231" i="58"/>
  <c r="T231" i="58"/>
  <c r="U231" i="58"/>
  <c r="V231" i="58"/>
  <c r="Z231" i="58"/>
  <c r="AA231" i="58"/>
  <c r="Q232" i="58"/>
  <c r="R232" i="58"/>
  <c r="S232" i="58"/>
  <c r="T232" i="58"/>
  <c r="U232" i="58"/>
  <c r="V232" i="58"/>
  <c r="Z232" i="58"/>
  <c r="AA232" i="58"/>
  <c r="Q233" i="58"/>
  <c r="R233" i="58"/>
  <c r="S233" i="58"/>
  <c r="T233" i="58"/>
  <c r="U233" i="58"/>
  <c r="V233" i="58"/>
  <c r="Z233" i="58"/>
  <c r="AA233" i="58"/>
  <c r="Q234" i="58"/>
  <c r="R234" i="58"/>
  <c r="S234" i="58"/>
  <c r="T234" i="58"/>
  <c r="U234" i="58"/>
  <c r="V234" i="58"/>
  <c r="Z234" i="58"/>
  <c r="AA234" i="58"/>
  <c r="Q235" i="58"/>
  <c r="R235" i="58"/>
  <c r="S235" i="58"/>
  <c r="T235" i="58"/>
  <c r="U235" i="58"/>
  <c r="V235" i="58"/>
  <c r="Z235" i="58"/>
  <c r="AA235" i="58"/>
  <c r="Q236" i="58"/>
  <c r="R236" i="58"/>
  <c r="S236" i="58"/>
  <c r="T236" i="58"/>
  <c r="U236" i="58"/>
  <c r="V236" i="58"/>
  <c r="Z236" i="58"/>
  <c r="AA236" i="58"/>
  <c r="Q237" i="58"/>
  <c r="R237" i="58"/>
  <c r="S237" i="58"/>
  <c r="T237" i="58"/>
  <c r="U237" i="58"/>
  <c r="V237" i="58"/>
  <c r="Z237" i="58"/>
  <c r="AA237" i="58"/>
  <c r="Q238" i="58"/>
  <c r="R238" i="58"/>
  <c r="S238" i="58"/>
  <c r="T238" i="58"/>
  <c r="U238" i="58"/>
  <c r="V238" i="58"/>
  <c r="Z238" i="58"/>
  <c r="AA238" i="58"/>
  <c r="Q239" i="58"/>
  <c r="R239" i="58"/>
  <c r="S239" i="58"/>
  <c r="T239" i="58"/>
  <c r="U239" i="58"/>
  <c r="V239" i="58"/>
  <c r="Z239" i="58"/>
  <c r="AA239" i="58"/>
  <c r="Q241" i="58"/>
  <c r="R241" i="58"/>
  <c r="S241" i="58"/>
  <c r="T241" i="58"/>
  <c r="U241" i="58"/>
  <c r="V241" i="58"/>
  <c r="Z241" i="58"/>
  <c r="AA241" i="58"/>
  <c r="Q242" i="58"/>
  <c r="R242" i="58"/>
  <c r="S242" i="58"/>
  <c r="T242" i="58"/>
  <c r="U242" i="58"/>
  <c r="V242" i="58"/>
  <c r="Z242" i="58"/>
  <c r="AA242" i="58"/>
  <c r="Q243" i="58"/>
  <c r="R243" i="58"/>
  <c r="S243" i="58"/>
  <c r="T243" i="58"/>
  <c r="U243" i="58"/>
  <c r="V243" i="58"/>
  <c r="Z243" i="58"/>
  <c r="AA243" i="58"/>
  <c r="Q244" i="58"/>
  <c r="R244" i="58"/>
  <c r="S244" i="58"/>
  <c r="T244" i="58"/>
  <c r="U244" i="58"/>
  <c r="V244" i="58"/>
  <c r="Z244" i="58"/>
  <c r="AA244" i="58"/>
  <c r="Q245" i="58"/>
  <c r="R245" i="58"/>
  <c r="S245" i="58"/>
  <c r="T245" i="58"/>
  <c r="U245" i="58"/>
  <c r="V245" i="58"/>
  <c r="Z245" i="58"/>
  <c r="AA245" i="58"/>
  <c r="Q246" i="58"/>
  <c r="R246" i="58"/>
  <c r="S246" i="58"/>
  <c r="T246" i="58"/>
  <c r="U246" i="58"/>
  <c r="V246" i="58"/>
  <c r="Z246" i="58"/>
  <c r="AA246" i="58"/>
  <c r="Q247" i="58"/>
  <c r="R247" i="58"/>
  <c r="S247" i="58"/>
  <c r="T247" i="58"/>
  <c r="U247" i="58"/>
  <c r="V247" i="58"/>
  <c r="Z247" i="58"/>
  <c r="AA247" i="58"/>
  <c r="Q248" i="58"/>
  <c r="R248" i="58"/>
  <c r="S248" i="58"/>
  <c r="T248" i="58"/>
  <c r="U248" i="58"/>
  <c r="V248" i="58"/>
  <c r="Z248" i="58"/>
  <c r="AA248" i="58"/>
  <c r="Q249" i="58"/>
  <c r="R249" i="58"/>
  <c r="S249" i="58"/>
  <c r="T249" i="58"/>
  <c r="U249" i="58"/>
  <c r="V249" i="58"/>
  <c r="Z249" i="58"/>
  <c r="AA249" i="58"/>
  <c r="Q251" i="58"/>
  <c r="R251" i="58"/>
  <c r="S251" i="58"/>
  <c r="T251" i="58"/>
  <c r="U251" i="58"/>
  <c r="V251" i="58"/>
  <c r="Z251" i="58"/>
  <c r="AA251" i="58"/>
  <c r="Q252" i="58"/>
  <c r="R252" i="58"/>
  <c r="S252" i="58"/>
  <c r="T252" i="58"/>
  <c r="U252" i="58"/>
  <c r="V252" i="58"/>
  <c r="Z252" i="58"/>
  <c r="AA252" i="58"/>
  <c r="Q253" i="58"/>
  <c r="R253" i="58"/>
  <c r="S253" i="58"/>
  <c r="T253" i="58"/>
  <c r="U253" i="58"/>
  <c r="V253" i="58"/>
  <c r="Z253" i="58"/>
  <c r="AA253" i="58"/>
  <c r="Q254" i="58"/>
  <c r="R254" i="58"/>
  <c r="S254" i="58"/>
  <c r="T254" i="58"/>
  <c r="U254" i="58"/>
  <c r="V254" i="58"/>
  <c r="Z254" i="58"/>
  <c r="AA254" i="58"/>
  <c r="Q255" i="58"/>
  <c r="R255" i="58"/>
  <c r="S255" i="58"/>
  <c r="T255" i="58"/>
  <c r="U255" i="58"/>
  <c r="V255" i="58"/>
  <c r="Z255" i="58"/>
  <c r="AA255" i="58"/>
  <c r="Q256" i="58"/>
  <c r="R256" i="58"/>
  <c r="S256" i="58"/>
  <c r="T256" i="58"/>
  <c r="U256" i="58"/>
  <c r="V256" i="58"/>
  <c r="Z256" i="58"/>
  <c r="AA256" i="58"/>
  <c r="Q257" i="58"/>
  <c r="R257" i="58"/>
  <c r="S257" i="58"/>
  <c r="T257" i="58"/>
  <c r="U257" i="58"/>
  <c r="V257" i="58"/>
  <c r="Z257" i="58"/>
  <c r="AA257" i="58"/>
  <c r="Q258" i="58"/>
  <c r="R258" i="58"/>
  <c r="S258" i="58"/>
  <c r="T258" i="58"/>
  <c r="U258" i="58"/>
  <c r="V258" i="58"/>
  <c r="Z258" i="58"/>
  <c r="AA258" i="58"/>
  <c r="Q259" i="58"/>
  <c r="R259" i="58"/>
  <c r="S259" i="58"/>
  <c r="T259" i="58"/>
  <c r="U259" i="58"/>
  <c r="V259" i="58"/>
  <c r="Z259" i="58"/>
  <c r="AA259" i="58"/>
  <c r="Q261" i="58"/>
  <c r="R261" i="58"/>
  <c r="S261" i="58"/>
  <c r="T261" i="58"/>
  <c r="U261" i="58"/>
  <c r="V261" i="58"/>
  <c r="Z261" i="58"/>
  <c r="AA261" i="58"/>
  <c r="Q262" i="58"/>
  <c r="R262" i="58"/>
  <c r="S262" i="58"/>
  <c r="T262" i="58"/>
  <c r="U262" i="58"/>
  <c r="V262" i="58"/>
  <c r="Z262" i="58"/>
  <c r="AA262" i="58"/>
  <c r="Q263" i="58"/>
  <c r="R263" i="58"/>
  <c r="S263" i="58"/>
  <c r="T263" i="58"/>
  <c r="U263" i="58"/>
  <c r="V263" i="58"/>
  <c r="Z263" i="58"/>
  <c r="AA263" i="58"/>
  <c r="Q264" i="58"/>
  <c r="R264" i="58"/>
  <c r="S264" i="58"/>
  <c r="T264" i="58"/>
  <c r="U264" i="58"/>
  <c r="V264" i="58"/>
  <c r="Z264" i="58"/>
  <c r="AA264" i="58"/>
  <c r="Q265" i="58"/>
  <c r="R265" i="58"/>
  <c r="S265" i="58"/>
  <c r="T265" i="58"/>
  <c r="U265" i="58"/>
  <c r="V265" i="58"/>
  <c r="Z265" i="58"/>
  <c r="AA265" i="58"/>
  <c r="Q266" i="58"/>
  <c r="R266" i="58"/>
  <c r="S266" i="58"/>
  <c r="T266" i="58"/>
  <c r="U266" i="58"/>
  <c r="V266" i="58"/>
  <c r="Z266" i="58"/>
  <c r="AA266" i="58"/>
  <c r="Q267" i="58"/>
  <c r="R267" i="58"/>
  <c r="S267" i="58"/>
  <c r="T267" i="58"/>
  <c r="U267" i="58"/>
  <c r="V267" i="58"/>
  <c r="Z267" i="58"/>
  <c r="AA267" i="58"/>
  <c r="Q268" i="58"/>
  <c r="R268" i="58"/>
  <c r="S268" i="58"/>
  <c r="T268" i="58"/>
  <c r="U268" i="58"/>
  <c r="V268" i="58"/>
  <c r="Z268" i="58"/>
  <c r="AA268" i="58"/>
  <c r="Q269" i="58"/>
  <c r="R269" i="58"/>
  <c r="S269" i="58"/>
  <c r="T269" i="58"/>
  <c r="U269" i="58"/>
  <c r="V269" i="58"/>
  <c r="Z269" i="58"/>
  <c r="AA269" i="58"/>
  <c r="Q271" i="58"/>
  <c r="R271" i="58"/>
  <c r="S271" i="58"/>
  <c r="T271" i="58"/>
  <c r="U271" i="58"/>
  <c r="V271" i="58"/>
  <c r="Z271" i="58"/>
  <c r="AA271" i="58"/>
  <c r="Q272" i="58"/>
  <c r="R272" i="58"/>
  <c r="S272" i="58"/>
  <c r="T272" i="58"/>
  <c r="U272" i="58"/>
  <c r="V272" i="58"/>
  <c r="Z272" i="58"/>
  <c r="AA272" i="58"/>
  <c r="Q273" i="58"/>
  <c r="R273" i="58"/>
  <c r="S273" i="58"/>
  <c r="T273" i="58"/>
  <c r="U273" i="58"/>
  <c r="V273" i="58"/>
  <c r="Z273" i="58"/>
  <c r="AA273" i="58"/>
  <c r="Q274" i="58"/>
  <c r="R274" i="58"/>
  <c r="S274" i="58"/>
  <c r="T274" i="58"/>
  <c r="U274" i="58"/>
  <c r="V274" i="58"/>
  <c r="Z274" i="58"/>
  <c r="AA274" i="58"/>
  <c r="Q275" i="58"/>
  <c r="R275" i="58"/>
  <c r="S275" i="58"/>
  <c r="T275" i="58"/>
  <c r="U275" i="58"/>
  <c r="V275" i="58"/>
  <c r="Z275" i="58"/>
  <c r="AA275" i="58"/>
  <c r="Q276" i="58"/>
  <c r="R276" i="58"/>
  <c r="S276" i="58"/>
  <c r="T276" i="58"/>
  <c r="U276" i="58"/>
  <c r="V276" i="58"/>
  <c r="Z276" i="58"/>
  <c r="AA276" i="58"/>
  <c r="Q277" i="58"/>
  <c r="R277" i="58"/>
  <c r="S277" i="58"/>
  <c r="T277" i="58"/>
  <c r="U277" i="58"/>
  <c r="V277" i="58"/>
  <c r="Z277" i="58"/>
  <c r="AA277" i="58"/>
  <c r="Q278" i="58"/>
  <c r="R278" i="58"/>
  <c r="S278" i="58"/>
  <c r="T278" i="58"/>
  <c r="U278" i="58"/>
  <c r="V278" i="58"/>
  <c r="Z278" i="58"/>
  <c r="AA278" i="58"/>
  <c r="Q279" i="58"/>
  <c r="R279" i="58"/>
  <c r="S279" i="58"/>
  <c r="T279" i="58"/>
  <c r="U279" i="58"/>
  <c r="V279" i="58"/>
  <c r="Z279" i="58"/>
  <c r="AA279" i="58"/>
  <c r="Q281" i="58"/>
  <c r="R281" i="58"/>
  <c r="S281" i="58"/>
  <c r="T281" i="58"/>
  <c r="U281" i="58"/>
  <c r="V281" i="58"/>
  <c r="Z281" i="58"/>
  <c r="AA281" i="58"/>
  <c r="Q282" i="58"/>
  <c r="R282" i="58"/>
  <c r="S282" i="58"/>
  <c r="T282" i="58"/>
  <c r="U282" i="58"/>
  <c r="V282" i="58"/>
  <c r="Z282" i="58"/>
  <c r="AA282" i="58"/>
  <c r="Q283" i="58"/>
  <c r="R283" i="58"/>
  <c r="S283" i="58"/>
  <c r="T283" i="58"/>
  <c r="U283" i="58"/>
  <c r="V283" i="58"/>
  <c r="Z283" i="58"/>
  <c r="AA283" i="58"/>
  <c r="Q284" i="58"/>
  <c r="R284" i="58"/>
  <c r="S284" i="58"/>
  <c r="T284" i="58"/>
  <c r="U284" i="58"/>
  <c r="V284" i="58"/>
  <c r="Z284" i="58"/>
  <c r="AA284" i="58"/>
  <c r="Q285" i="58"/>
  <c r="R285" i="58"/>
  <c r="S285" i="58"/>
  <c r="T285" i="58"/>
  <c r="U285" i="58"/>
  <c r="V285" i="58"/>
  <c r="Z285" i="58"/>
  <c r="AA285" i="58"/>
  <c r="Q286" i="58"/>
  <c r="R286" i="58"/>
  <c r="S286" i="58"/>
  <c r="T286" i="58"/>
  <c r="U286" i="58"/>
  <c r="V286" i="58"/>
  <c r="Z286" i="58"/>
  <c r="AA286" i="58"/>
  <c r="Q287" i="58"/>
  <c r="R287" i="58"/>
  <c r="S287" i="58"/>
  <c r="T287" i="58"/>
  <c r="U287" i="58"/>
  <c r="V287" i="58"/>
  <c r="Z287" i="58"/>
  <c r="AA287" i="58"/>
  <c r="Q288" i="58"/>
  <c r="R288" i="58"/>
  <c r="S288" i="58"/>
  <c r="T288" i="58"/>
  <c r="U288" i="58"/>
  <c r="V288" i="58"/>
  <c r="Z288" i="58"/>
  <c r="AA288" i="58"/>
  <c r="Q289" i="58"/>
  <c r="R289" i="58"/>
  <c r="S289" i="58"/>
  <c r="T289" i="58"/>
  <c r="U289" i="58"/>
  <c r="V289" i="58"/>
  <c r="Z289" i="58"/>
  <c r="AA289" i="58"/>
  <c r="Q291" i="58"/>
  <c r="R291" i="58"/>
  <c r="S291" i="58"/>
  <c r="T291" i="58"/>
  <c r="U291" i="58"/>
  <c r="V291" i="58"/>
  <c r="Z291" i="58"/>
  <c r="AA291" i="58"/>
  <c r="Q292" i="58"/>
  <c r="R292" i="58"/>
  <c r="S292" i="58"/>
  <c r="T292" i="58"/>
  <c r="U292" i="58"/>
  <c r="V292" i="58"/>
  <c r="Z292" i="58"/>
  <c r="AA292" i="58"/>
  <c r="Q293" i="58"/>
  <c r="R293" i="58"/>
  <c r="S293" i="58"/>
  <c r="T293" i="58"/>
  <c r="U293" i="58"/>
  <c r="V293" i="58"/>
  <c r="Z293" i="58"/>
  <c r="AA293" i="58"/>
  <c r="Q294" i="58"/>
  <c r="R294" i="58"/>
  <c r="S294" i="58"/>
  <c r="T294" i="58"/>
  <c r="U294" i="58"/>
  <c r="V294" i="58"/>
  <c r="Z294" i="58"/>
  <c r="AA294" i="58"/>
  <c r="Q295" i="58"/>
  <c r="R295" i="58"/>
  <c r="S295" i="58"/>
  <c r="T295" i="58"/>
  <c r="U295" i="58"/>
  <c r="V295" i="58"/>
  <c r="Z295" i="58"/>
  <c r="AA295" i="58"/>
  <c r="Q296" i="58"/>
  <c r="R296" i="58"/>
  <c r="S296" i="58"/>
  <c r="T296" i="58"/>
  <c r="U296" i="58"/>
  <c r="V296" i="58"/>
  <c r="Z296" i="58"/>
  <c r="AA296" i="58"/>
  <c r="Q297" i="58"/>
  <c r="R297" i="58"/>
  <c r="S297" i="58"/>
  <c r="T297" i="58"/>
  <c r="U297" i="58"/>
  <c r="V297" i="58"/>
  <c r="Z297" i="58"/>
  <c r="AA297" i="58"/>
  <c r="Q298" i="58"/>
  <c r="R298" i="58"/>
  <c r="S298" i="58"/>
  <c r="T298" i="58"/>
  <c r="U298" i="58"/>
  <c r="V298" i="58"/>
  <c r="Z298" i="58"/>
  <c r="AA298" i="58"/>
  <c r="Q299" i="58"/>
  <c r="R299" i="58"/>
  <c r="S299" i="58"/>
  <c r="T299" i="58"/>
  <c r="U299" i="58"/>
  <c r="V299" i="58"/>
  <c r="Z299" i="58"/>
  <c r="AA299" i="58"/>
  <c r="Q311" i="58"/>
  <c r="R311" i="58"/>
  <c r="S311" i="58"/>
  <c r="T311" i="58"/>
  <c r="U311" i="58"/>
  <c r="V311" i="58"/>
  <c r="Z311" i="58"/>
  <c r="AA311" i="58"/>
  <c r="Q312" i="58"/>
  <c r="R312" i="58"/>
  <c r="S312" i="58"/>
  <c r="T312" i="58"/>
  <c r="U312" i="58"/>
  <c r="V312" i="58"/>
  <c r="Z312" i="58"/>
  <c r="AA312" i="58"/>
  <c r="Q313" i="58"/>
  <c r="R313" i="58"/>
  <c r="S313" i="58"/>
  <c r="T313" i="58"/>
  <c r="U313" i="58"/>
  <c r="V313" i="58"/>
  <c r="Z313" i="58"/>
  <c r="AA313" i="58"/>
  <c r="Q314" i="58"/>
  <c r="R314" i="58"/>
  <c r="S314" i="58"/>
  <c r="T314" i="58"/>
  <c r="U314" i="58"/>
  <c r="V314" i="58"/>
  <c r="Z314" i="58"/>
  <c r="AA314" i="58"/>
  <c r="Q315" i="58"/>
  <c r="R315" i="58"/>
  <c r="S315" i="58"/>
  <c r="T315" i="58"/>
  <c r="U315" i="58"/>
  <c r="V315" i="58"/>
  <c r="Z315" i="58"/>
  <c r="AA315" i="58"/>
  <c r="Q316" i="58"/>
  <c r="R316" i="58"/>
  <c r="S316" i="58"/>
  <c r="T316" i="58"/>
  <c r="U316" i="58"/>
  <c r="V316" i="58"/>
  <c r="Z316" i="58"/>
  <c r="AA316" i="58"/>
  <c r="Q317" i="58"/>
  <c r="R317" i="58"/>
  <c r="S317" i="58"/>
  <c r="T317" i="58"/>
  <c r="U317" i="58"/>
  <c r="V317" i="58"/>
  <c r="Z317" i="58"/>
  <c r="AA317" i="58"/>
  <c r="Q318" i="58"/>
  <c r="R318" i="58"/>
  <c r="S318" i="58"/>
  <c r="T318" i="58"/>
  <c r="U318" i="58"/>
  <c r="V318" i="58"/>
  <c r="Z318" i="58"/>
  <c r="AA318" i="58"/>
  <c r="Q319" i="58"/>
  <c r="R319" i="58"/>
  <c r="S319" i="58"/>
  <c r="T319" i="58"/>
  <c r="U319" i="58"/>
  <c r="V319" i="58"/>
  <c r="Z319" i="58"/>
  <c r="AA319" i="58"/>
  <c r="Q321" i="58"/>
  <c r="R321" i="58"/>
  <c r="S321" i="58"/>
  <c r="T321" i="58"/>
  <c r="U321" i="58"/>
  <c r="V321" i="58"/>
  <c r="Z321" i="58"/>
  <c r="AA321" i="58"/>
  <c r="Q322" i="58"/>
  <c r="R322" i="58"/>
  <c r="S322" i="58"/>
  <c r="T322" i="58"/>
  <c r="U322" i="58"/>
  <c r="V322" i="58"/>
  <c r="Z322" i="58"/>
  <c r="AA322" i="58"/>
  <c r="Q323" i="58"/>
  <c r="R323" i="58"/>
  <c r="S323" i="58"/>
  <c r="T323" i="58"/>
  <c r="U323" i="58"/>
  <c r="V323" i="58"/>
  <c r="Z323" i="58"/>
  <c r="AA323" i="58"/>
  <c r="Q324" i="58"/>
  <c r="R324" i="58"/>
  <c r="S324" i="58"/>
  <c r="T324" i="58"/>
  <c r="U324" i="58"/>
  <c r="V324" i="58"/>
  <c r="Z324" i="58"/>
  <c r="AA324" i="58"/>
  <c r="Q325" i="58"/>
  <c r="R325" i="58"/>
  <c r="S325" i="58"/>
  <c r="T325" i="58"/>
  <c r="U325" i="58"/>
  <c r="V325" i="58"/>
  <c r="Z325" i="58"/>
  <c r="AA325" i="58"/>
  <c r="Q326" i="58"/>
  <c r="R326" i="58"/>
  <c r="S326" i="58"/>
  <c r="T326" i="58"/>
  <c r="U326" i="58"/>
  <c r="V326" i="58"/>
  <c r="Z326" i="58"/>
  <c r="AA326" i="58"/>
  <c r="Q327" i="58"/>
  <c r="R327" i="58"/>
  <c r="S327" i="58"/>
  <c r="T327" i="58"/>
  <c r="U327" i="58"/>
  <c r="V327" i="58"/>
  <c r="Z327" i="58"/>
  <c r="AA327" i="58"/>
  <c r="Q328" i="58"/>
  <c r="R328" i="58"/>
  <c r="S328" i="58"/>
  <c r="T328" i="58"/>
  <c r="U328" i="58"/>
  <c r="V328" i="58"/>
  <c r="Z328" i="58"/>
  <c r="AA328" i="58"/>
  <c r="Q329" i="58"/>
  <c r="R329" i="58"/>
  <c r="S329" i="58"/>
  <c r="T329" i="58"/>
  <c r="U329" i="58"/>
  <c r="V329" i="58"/>
  <c r="Z329" i="58"/>
  <c r="AA329" i="58"/>
  <c r="Q331" i="58"/>
  <c r="R331" i="58"/>
  <c r="S331" i="58"/>
  <c r="T331" i="58"/>
  <c r="U331" i="58"/>
  <c r="V331" i="58"/>
  <c r="Z331" i="58"/>
  <c r="AA331" i="58"/>
  <c r="Q332" i="58"/>
  <c r="R332" i="58"/>
  <c r="S332" i="58"/>
  <c r="T332" i="58"/>
  <c r="U332" i="58"/>
  <c r="V332" i="58"/>
  <c r="Z332" i="58"/>
  <c r="AA332" i="58"/>
  <c r="Q333" i="58"/>
  <c r="R333" i="58"/>
  <c r="S333" i="58"/>
  <c r="T333" i="58"/>
  <c r="U333" i="58"/>
  <c r="V333" i="58"/>
  <c r="Z333" i="58"/>
  <c r="AA333" i="58"/>
  <c r="Q334" i="58"/>
  <c r="R334" i="58"/>
  <c r="S334" i="58"/>
  <c r="T334" i="58"/>
  <c r="U334" i="58"/>
  <c r="V334" i="58"/>
  <c r="Z334" i="58"/>
  <c r="AA334" i="58"/>
  <c r="Q335" i="58"/>
  <c r="R335" i="58"/>
  <c r="S335" i="58"/>
  <c r="T335" i="58"/>
  <c r="U335" i="58"/>
  <c r="V335" i="58"/>
  <c r="Z335" i="58"/>
  <c r="AA335" i="58"/>
  <c r="Q336" i="58"/>
  <c r="R336" i="58"/>
  <c r="S336" i="58"/>
  <c r="T336" i="58"/>
  <c r="U336" i="58"/>
  <c r="V336" i="58"/>
  <c r="Z336" i="58"/>
  <c r="AA336" i="58"/>
  <c r="Q337" i="58"/>
  <c r="R337" i="58"/>
  <c r="S337" i="58"/>
  <c r="T337" i="58"/>
  <c r="U337" i="58"/>
  <c r="V337" i="58"/>
  <c r="Z337" i="58"/>
  <c r="AA337" i="58"/>
  <c r="Q338" i="58"/>
  <c r="R338" i="58"/>
  <c r="S338" i="58"/>
  <c r="T338" i="58"/>
  <c r="U338" i="58"/>
  <c r="V338" i="58"/>
  <c r="Z338" i="58"/>
  <c r="AA338" i="58"/>
  <c r="Q339" i="58"/>
  <c r="R339" i="58"/>
  <c r="S339" i="58"/>
  <c r="T339" i="58"/>
  <c r="U339" i="58"/>
  <c r="V339" i="58"/>
  <c r="Z339" i="58"/>
  <c r="AA339" i="58"/>
  <c r="Q341" i="58"/>
  <c r="R341" i="58"/>
  <c r="S341" i="58"/>
  <c r="T341" i="58"/>
  <c r="U341" i="58"/>
  <c r="V341" i="58"/>
  <c r="Z341" i="58"/>
  <c r="AA341" i="58"/>
  <c r="Q342" i="58"/>
  <c r="R342" i="58"/>
  <c r="S342" i="58"/>
  <c r="T342" i="58"/>
  <c r="U342" i="58"/>
  <c r="V342" i="58"/>
  <c r="Z342" i="58"/>
  <c r="AA342" i="58"/>
  <c r="Q343" i="58"/>
  <c r="R343" i="58"/>
  <c r="S343" i="58"/>
  <c r="T343" i="58"/>
  <c r="U343" i="58"/>
  <c r="V343" i="58"/>
  <c r="Z343" i="58"/>
  <c r="AA343" i="58"/>
  <c r="Q344" i="58"/>
  <c r="R344" i="58"/>
  <c r="S344" i="58"/>
  <c r="T344" i="58"/>
  <c r="U344" i="58"/>
  <c r="V344" i="58"/>
  <c r="Z344" i="58"/>
  <c r="AA344" i="58"/>
  <c r="Q345" i="58"/>
  <c r="R345" i="58"/>
  <c r="S345" i="58"/>
  <c r="T345" i="58"/>
  <c r="U345" i="58"/>
  <c r="V345" i="58"/>
  <c r="Z345" i="58"/>
  <c r="AA345" i="58"/>
  <c r="Q346" i="58"/>
  <c r="R346" i="58"/>
  <c r="S346" i="58"/>
  <c r="T346" i="58"/>
  <c r="U346" i="58"/>
  <c r="V346" i="58"/>
  <c r="Z346" i="58"/>
  <c r="AA346" i="58"/>
  <c r="Q347" i="58"/>
  <c r="R347" i="58"/>
  <c r="S347" i="58"/>
  <c r="T347" i="58"/>
  <c r="U347" i="58"/>
  <c r="V347" i="58"/>
  <c r="Z347" i="58"/>
  <c r="AA347" i="58"/>
  <c r="Q348" i="58"/>
  <c r="R348" i="58"/>
  <c r="S348" i="58"/>
  <c r="T348" i="58"/>
  <c r="U348" i="58"/>
  <c r="V348" i="58"/>
  <c r="Z348" i="58"/>
  <c r="AA348" i="58"/>
  <c r="Q349" i="58"/>
  <c r="R349" i="58"/>
  <c r="S349" i="58"/>
  <c r="T349" i="58"/>
  <c r="U349" i="58"/>
  <c r="V349" i="58"/>
  <c r="Z349" i="58"/>
  <c r="AA349" i="58"/>
  <c r="Q351" i="58"/>
  <c r="R351" i="58"/>
  <c r="S351" i="58"/>
  <c r="T351" i="58"/>
  <c r="U351" i="58"/>
  <c r="V351" i="58"/>
  <c r="Z351" i="58"/>
  <c r="AA351" i="58"/>
  <c r="Q352" i="58"/>
  <c r="R352" i="58"/>
  <c r="S352" i="58"/>
  <c r="T352" i="58"/>
  <c r="U352" i="58"/>
  <c r="V352" i="58"/>
  <c r="Z352" i="58"/>
  <c r="AA352" i="58"/>
  <c r="Q353" i="58"/>
  <c r="R353" i="58"/>
  <c r="S353" i="58"/>
  <c r="T353" i="58"/>
  <c r="U353" i="58"/>
  <c r="V353" i="58"/>
  <c r="Z353" i="58"/>
  <c r="AA353" i="58"/>
  <c r="Q354" i="58"/>
  <c r="R354" i="58"/>
  <c r="S354" i="58"/>
  <c r="T354" i="58"/>
  <c r="U354" i="58"/>
  <c r="V354" i="58"/>
  <c r="Z354" i="58"/>
  <c r="AA354" i="58"/>
  <c r="Q355" i="58"/>
  <c r="R355" i="58"/>
  <c r="S355" i="58"/>
  <c r="T355" i="58"/>
  <c r="U355" i="58"/>
  <c r="V355" i="58"/>
  <c r="Z355" i="58"/>
  <c r="AA355" i="58"/>
  <c r="Q356" i="58"/>
  <c r="R356" i="58"/>
  <c r="S356" i="58"/>
  <c r="T356" i="58"/>
  <c r="U356" i="58"/>
  <c r="V356" i="58"/>
  <c r="Z356" i="58"/>
  <c r="AA356" i="58"/>
  <c r="Q357" i="58"/>
  <c r="R357" i="58"/>
  <c r="S357" i="58"/>
  <c r="T357" i="58"/>
  <c r="U357" i="58"/>
  <c r="V357" i="58"/>
  <c r="Z357" i="58"/>
  <c r="AA357" i="58"/>
  <c r="Q358" i="58"/>
  <c r="R358" i="58"/>
  <c r="S358" i="58"/>
  <c r="T358" i="58"/>
  <c r="U358" i="58"/>
  <c r="V358" i="58"/>
  <c r="Z358" i="58"/>
  <c r="AA358" i="58"/>
  <c r="Q359" i="58"/>
  <c r="R359" i="58"/>
  <c r="S359" i="58"/>
  <c r="T359" i="58"/>
  <c r="U359" i="58"/>
  <c r="V359" i="58"/>
  <c r="Z359" i="58"/>
  <c r="AA359" i="58"/>
  <c r="Q361" i="58"/>
  <c r="R361" i="58"/>
  <c r="S361" i="58"/>
  <c r="T361" i="58"/>
  <c r="U361" i="58"/>
  <c r="V361" i="58"/>
  <c r="Z361" i="58"/>
  <c r="AA361" i="58"/>
  <c r="Q362" i="58"/>
  <c r="R362" i="58"/>
  <c r="S362" i="58"/>
  <c r="T362" i="58"/>
  <c r="U362" i="58"/>
  <c r="V362" i="58"/>
  <c r="Z362" i="58"/>
  <c r="AA362" i="58"/>
  <c r="Q363" i="58"/>
  <c r="R363" i="58"/>
  <c r="S363" i="58"/>
  <c r="T363" i="58"/>
  <c r="U363" i="58"/>
  <c r="V363" i="58"/>
  <c r="Z363" i="58"/>
  <c r="AA363" i="58"/>
  <c r="Q364" i="58"/>
  <c r="R364" i="58"/>
  <c r="S364" i="58"/>
  <c r="T364" i="58"/>
  <c r="U364" i="58"/>
  <c r="V364" i="58"/>
  <c r="Z364" i="58"/>
  <c r="AA364" i="58"/>
  <c r="Q365" i="58"/>
  <c r="R365" i="58"/>
  <c r="S365" i="58"/>
  <c r="T365" i="58"/>
  <c r="U365" i="58"/>
  <c r="V365" i="58"/>
  <c r="Z365" i="58"/>
  <c r="AA365" i="58"/>
  <c r="Q366" i="58"/>
  <c r="R366" i="58"/>
  <c r="S366" i="58"/>
  <c r="T366" i="58"/>
  <c r="U366" i="58"/>
  <c r="V366" i="58"/>
  <c r="Z366" i="58"/>
  <c r="AA366" i="58"/>
  <c r="Q367" i="58"/>
  <c r="R367" i="58"/>
  <c r="S367" i="58"/>
  <c r="T367" i="58"/>
  <c r="U367" i="58"/>
  <c r="V367" i="58"/>
  <c r="Z367" i="58"/>
  <c r="AA367" i="58"/>
  <c r="Q368" i="58"/>
  <c r="R368" i="58"/>
  <c r="S368" i="58"/>
  <c r="T368" i="58"/>
  <c r="U368" i="58"/>
  <c r="V368" i="58"/>
  <c r="Z368" i="58"/>
  <c r="AA368" i="58"/>
  <c r="Q369" i="58"/>
  <c r="R369" i="58"/>
  <c r="S369" i="58"/>
  <c r="T369" i="58"/>
  <c r="U369" i="58"/>
  <c r="V369" i="58"/>
  <c r="Z369" i="58"/>
  <c r="AA369" i="58"/>
  <c r="Q371" i="58"/>
  <c r="R371" i="58"/>
  <c r="S371" i="58"/>
  <c r="T371" i="58"/>
  <c r="U371" i="58"/>
  <c r="V371" i="58"/>
  <c r="Z371" i="58"/>
  <c r="AA371" i="58"/>
  <c r="Q372" i="58"/>
  <c r="R372" i="58"/>
  <c r="S372" i="58"/>
  <c r="T372" i="58"/>
  <c r="U372" i="58"/>
  <c r="V372" i="58"/>
  <c r="Z372" i="58"/>
  <c r="AA372" i="58"/>
  <c r="Q373" i="58"/>
  <c r="R373" i="58"/>
  <c r="S373" i="58"/>
  <c r="T373" i="58"/>
  <c r="U373" i="58"/>
  <c r="V373" i="58"/>
  <c r="Z373" i="58"/>
  <c r="AA373" i="58"/>
  <c r="Q374" i="58"/>
  <c r="R374" i="58"/>
  <c r="S374" i="58"/>
  <c r="T374" i="58"/>
  <c r="U374" i="58"/>
  <c r="V374" i="58"/>
  <c r="Z374" i="58"/>
  <c r="AA374" i="58"/>
  <c r="Q375" i="58"/>
  <c r="R375" i="58"/>
  <c r="S375" i="58"/>
  <c r="T375" i="58"/>
  <c r="U375" i="58"/>
  <c r="V375" i="58"/>
  <c r="Z375" i="58"/>
  <c r="AA375" i="58"/>
  <c r="Q376" i="58"/>
  <c r="R376" i="58"/>
  <c r="S376" i="58"/>
  <c r="T376" i="58"/>
  <c r="U376" i="58"/>
  <c r="V376" i="58"/>
  <c r="Z376" i="58"/>
  <c r="AA376" i="58"/>
  <c r="Q377" i="58"/>
  <c r="R377" i="58"/>
  <c r="S377" i="58"/>
  <c r="T377" i="58"/>
  <c r="U377" i="58"/>
  <c r="V377" i="58"/>
  <c r="Z377" i="58"/>
  <c r="AA377" i="58"/>
  <c r="Q378" i="58"/>
  <c r="R378" i="58"/>
  <c r="S378" i="58"/>
  <c r="T378" i="58"/>
  <c r="U378" i="58"/>
  <c r="V378" i="58"/>
  <c r="Z378" i="58"/>
  <c r="AA378" i="58"/>
  <c r="Q379" i="58"/>
  <c r="R379" i="58"/>
  <c r="S379" i="58"/>
  <c r="T379" i="58"/>
  <c r="U379" i="58"/>
  <c r="V379" i="58"/>
  <c r="Z379" i="58"/>
  <c r="AA379" i="58"/>
  <c r="Q381" i="58"/>
  <c r="R381" i="58"/>
  <c r="S381" i="58"/>
  <c r="T381" i="58"/>
  <c r="U381" i="58"/>
  <c r="V381" i="58"/>
  <c r="Z381" i="58"/>
  <c r="AA381" i="58"/>
  <c r="Q382" i="58"/>
  <c r="R382" i="58"/>
  <c r="S382" i="58"/>
  <c r="T382" i="58"/>
  <c r="U382" i="58"/>
  <c r="V382" i="58"/>
  <c r="Z382" i="58"/>
  <c r="AA382" i="58"/>
  <c r="Q383" i="58"/>
  <c r="R383" i="58"/>
  <c r="S383" i="58"/>
  <c r="T383" i="58"/>
  <c r="U383" i="58"/>
  <c r="V383" i="58"/>
  <c r="Z383" i="58"/>
  <c r="AA383" i="58"/>
  <c r="Q384" i="58"/>
  <c r="R384" i="58"/>
  <c r="S384" i="58"/>
  <c r="T384" i="58"/>
  <c r="U384" i="58"/>
  <c r="V384" i="58"/>
  <c r="Z384" i="58"/>
  <c r="AA384" i="58"/>
  <c r="Q385" i="58"/>
  <c r="R385" i="58"/>
  <c r="S385" i="58"/>
  <c r="T385" i="58"/>
  <c r="U385" i="58"/>
  <c r="V385" i="58"/>
  <c r="Z385" i="58"/>
  <c r="AA385" i="58"/>
  <c r="Q386" i="58"/>
  <c r="R386" i="58"/>
  <c r="S386" i="58"/>
  <c r="T386" i="58"/>
  <c r="U386" i="58"/>
  <c r="V386" i="58"/>
  <c r="Z386" i="58"/>
  <c r="AA386" i="58"/>
  <c r="Q387" i="58"/>
  <c r="R387" i="58"/>
  <c r="S387" i="58"/>
  <c r="T387" i="58"/>
  <c r="U387" i="58"/>
  <c r="V387" i="58"/>
  <c r="Z387" i="58"/>
  <c r="AA387" i="58"/>
  <c r="Q388" i="58"/>
  <c r="R388" i="58"/>
  <c r="S388" i="58"/>
  <c r="T388" i="58"/>
  <c r="U388" i="58"/>
  <c r="V388" i="58"/>
  <c r="Z388" i="58"/>
  <c r="AA388" i="58"/>
  <c r="Q389" i="58"/>
  <c r="R389" i="58"/>
  <c r="S389" i="58"/>
  <c r="T389" i="58"/>
  <c r="U389" i="58"/>
  <c r="V389" i="58"/>
  <c r="Z389" i="58"/>
  <c r="AA389" i="58"/>
  <c r="Q391" i="58"/>
  <c r="R391" i="58"/>
  <c r="S391" i="58"/>
  <c r="T391" i="58"/>
  <c r="U391" i="58"/>
  <c r="V391" i="58"/>
  <c r="Z391" i="58"/>
  <c r="AA391" i="58"/>
  <c r="Q392" i="58"/>
  <c r="R392" i="58"/>
  <c r="S392" i="58"/>
  <c r="T392" i="58"/>
  <c r="U392" i="58"/>
  <c r="V392" i="58"/>
  <c r="Z392" i="58"/>
  <c r="AA392" i="58"/>
  <c r="Q393" i="58"/>
  <c r="R393" i="58"/>
  <c r="S393" i="58"/>
  <c r="T393" i="58"/>
  <c r="U393" i="58"/>
  <c r="V393" i="58"/>
  <c r="Z393" i="58"/>
  <c r="AA393" i="58"/>
  <c r="Q394" i="58"/>
  <c r="R394" i="58"/>
  <c r="S394" i="58"/>
  <c r="T394" i="58"/>
  <c r="U394" i="58"/>
  <c r="V394" i="58"/>
  <c r="Z394" i="58"/>
  <c r="AA394" i="58"/>
  <c r="Q395" i="58"/>
  <c r="R395" i="58"/>
  <c r="S395" i="58"/>
  <c r="T395" i="58"/>
  <c r="U395" i="58"/>
  <c r="V395" i="58"/>
  <c r="Z395" i="58"/>
  <c r="AA395" i="58"/>
  <c r="Q396" i="58"/>
  <c r="R396" i="58"/>
  <c r="S396" i="58"/>
  <c r="T396" i="58"/>
  <c r="U396" i="58"/>
  <c r="V396" i="58"/>
  <c r="Z396" i="58"/>
  <c r="AA396" i="58"/>
  <c r="Q397" i="58"/>
  <c r="R397" i="58"/>
  <c r="S397" i="58"/>
  <c r="T397" i="58"/>
  <c r="U397" i="58"/>
  <c r="V397" i="58"/>
  <c r="Z397" i="58"/>
  <c r="AA397" i="58"/>
  <c r="Q398" i="58"/>
  <c r="R398" i="58"/>
  <c r="S398" i="58"/>
  <c r="T398" i="58"/>
  <c r="U398" i="58"/>
  <c r="V398" i="58"/>
  <c r="Z398" i="58"/>
  <c r="AA398" i="58"/>
  <c r="Q399" i="58"/>
  <c r="R399" i="58"/>
  <c r="S399" i="58"/>
  <c r="T399" i="58"/>
  <c r="U399" i="58"/>
  <c r="V399" i="58"/>
  <c r="Z399" i="58"/>
  <c r="AA399" i="58"/>
  <c r="Q411" i="58"/>
  <c r="R411" i="58"/>
  <c r="S411" i="58"/>
  <c r="T411" i="58"/>
  <c r="U411" i="58"/>
  <c r="V411" i="58"/>
  <c r="Z411" i="58"/>
  <c r="AA411" i="58"/>
  <c r="Q412" i="58"/>
  <c r="R412" i="58"/>
  <c r="S412" i="58"/>
  <c r="T412" i="58"/>
  <c r="U412" i="58"/>
  <c r="V412" i="58"/>
  <c r="Z412" i="58"/>
  <c r="AA412" i="58"/>
  <c r="Q413" i="58"/>
  <c r="R413" i="58"/>
  <c r="S413" i="58"/>
  <c r="T413" i="58"/>
  <c r="U413" i="58"/>
  <c r="V413" i="58"/>
  <c r="Z413" i="58"/>
  <c r="AA413" i="58"/>
  <c r="Q414" i="58"/>
  <c r="R414" i="58"/>
  <c r="S414" i="58"/>
  <c r="T414" i="58"/>
  <c r="U414" i="58"/>
  <c r="V414" i="58"/>
  <c r="Z414" i="58"/>
  <c r="AA414" i="58"/>
  <c r="Q415" i="58"/>
  <c r="R415" i="58"/>
  <c r="S415" i="58"/>
  <c r="T415" i="58"/>
  <c r="U415" i="58"/>
  <c r="V415" i="58"/>
  <c r="Z415" i="58"/>
  <c r="AA415" i="58"/>
  <c r="Q416" i="58"/>
  <c r="R416" i="58"/>
  <c r="S416" i="58"/>
  <c r="T416" i="58"/>
  <c r="U416" i="58"/>
  <c r="V416" i="58"/>
  <c r="Z416" i="58"/>
  <c r="AA416" i="58"/>
  <c r="Q417" i="58"/>
  <c r="R417" i="58"/>
  <c r="S417" i="58"/>
  <c r="T417" i="58"/>
  <c r="U417" i="58"/>
  <c r="V417" i="58"/>
  <c r="Z417" i="58"/>
  <c r="AA417" i="58"/>
  <c r="Q418" i="58"/>
  <c r="R418" i="58"/>
  <c r="S418" i="58"/>
  <c r="T418" i="58"/>
  <c r="U418" i="58"/>
  <c r="V418" i="58"/>
  <c r="Z418" i="58"/>
  <c r="AA418" i="58"/>
  <c r="Q419" i="58"/>
  <c r="R419" i="58"/>
  <c r="S419" i="58"/>
  <c r="T419" i="58"/>
  <c r="U419" i="58"/>
  <c r="V419" i="58"/>
  <c r="Z419" i="58"/>
  <c r="AA419" i="58"/>
  <c r="Q421" i="58"/>
  <c r="R421" i="58"/>
  <c r="S421" i="58"/>
  <c r="T421" i="58"/>
  <c r="U421" i="58"/>
  <c r="V421" i="58"/>
  <c r="Z421" i="58"/>
  <c r="AA421" i="58"/>
  <c r="Q422" i="58"/>
  <c r="R422" i="58"/>
  <c r="S422" i="58"/>
  <c r="T422" i="58"/>
  <c r="U422" i="58"/>
  <c r="V422" i="58"/>
  <c r="Z422" i="58"/>
  <c r="AA422" i="58"/>
  <c r="Q423" i="58"/>
  <c r="R423" i="58"/>
  <c r="S423" i="58"/>
  <c r="T423" i="58"/>
  <c r="U423" i="58"/>
  <c r="V423" i="58"/>
  <c r="Z423" i="58"/>
  <c r="AA423" i="58"/>
  <c r="Q424" i="58"/>
  <c r="R424" i="58"/>
  <c r="S424" i="58"/>
  <c r="T424" i="58"/>
  <c r="U424" i="58"/>
  <c r="V424" i="58"/>
  <c r="Z424" i="58"/>
  <c r="AA424" i="58"/>
  <c r="Q425" i="58"/>
  <c r="R425" i="58"/>
  <c r="S425" i="58"/>
  <c r="T425" i="58"/>
  <c r="U425" i="58"/>
  <c r="V425" i="58"/>
  <c r="Z425" i="58"/>
  <c r="AA425" i="58"/>
  <c r="Q426" i="58"/>
  <c r="R426" i="58"/>
  <c r="S426" i="58"/>
  <c r="T426" i="58"/>
  <c r="U426" i="58"/>
  <c r="V426" i="58"/>
  <c r="Z426" i="58"/>
  <c r="AA426" i="58"/>
  <c r="Q427" i="58"/>
  <c r="R427" i="58"/>
  <c r="S427" i="58"/>
  <c r="T427" i="58"/>
  <c r="U427" i="58"/>
  <c r="V427" i="58"/>
  <c r="Z427" i="58"/>
  <c r="AA427" i="58"/>
  <c r="Q428" i="58"/>
  <c r="R428" i="58"/>
  <c r="S428" i="58"/>
  <c r="T428" i="58"/>
  <c r="U428" i="58"/>
  <c r="V428" i="58"/>
  <c r="Z428" i="58"/>
  <c r="AA428" i="58"/>
  <c r="Q429" i="58"/>
  <c r="R429" i="58"/>
  <c r="S429" i="58"/>
  <c r="T429" i="58"/>
  <c r="U429" i="58"/>
  <c r="V429" i="58"/>
  <c r="Z429" i="58"/>
  <c r="AA429" i="58"/>
  <c r="Q431" i="58"/>
  <c r="R431" i="58"/>
  <c r="S431" i="58"/>
  <c r="T431" i="58"/>
  <c r="U431" i="58"/>
  <c r="V431" i="58"/>
  <c r="Z431" i="58"/>
  <c r="AA431" i="58"/>
  <c r="Q432" i="58"/>
  <c r="R432" i="58"/>
  <c r="S432" i="58"/>
  <c r="T432" i="58"/>
  <c r="U432" i="58"/>
  <c r="V432" i="58"/>
  <c r="Z432" i="58"/>
  <c r="AA432" i="58"/>
  <c r="Q433" i="58"/>
  <c r="R433" i="58"/>
  <c r="S433" i="58"/>
  <c r="T433" i="58"/>
  <c r="U433" i="58"/>
  <c r="V433" i="58"/>
  <c r="Z433" i="58"/>
  <c r="AA433" i="58"/>
  <c r="Q434" i="58"/>
  <c r="R434" i="58"/>
  <c r="S434" i="58"/>
  <c r="T434" i="58"/>
  <c r="U434" i="58"/>
  <c r="V434" i="58"/>
  <c r="Z434" i="58"/>
  <c r="AA434" i="58"/>
  <c r="Q435" i="58"/>
  <c r="R435" i="58"/>
  <c r="S435" i="58"/>
  <c r="T435" i="58"/>
  <c r="U435" i="58"/>
  <c r="V435" i="58"/>
  <c r="Z435" i="58"/>
  <c r="AA435" i="58"/>
  <c r="Q436" i="58"/>
  <c r="R436" i="58"/>
  <c r="S436" i="58"/>
  <c r="T436" i="58"/>
  <c r="U436" i="58"/>
  <c r="V436" i="58"/>
  <c r="Z436" i="58"/>
  <c r="AA436" i="58"/>
  <c r="Q437" i="58"/>
  <c r="R437" i="58"/>
  <c r="S437" i="58"/>
  <c r="T437" i="58"/>
  <c r="U437" i="58"/>
  <c r="V437" i="58"/>
  <c r="Z437" i="58"/>
  <c r="AA437" i="58"/>
  <c r="Q438" i="58"/>
  <c r="R438" i="58"/>
  <c r="S438" i="58"/>
  <c r="T438" i="58"/>
  <c r="U438" i="58"/>
  <c r="V438" i="58"/>
  <c r="Z438" i="58"/>
  <c r="AA438" i="58"/>
  <c r="Q439" i="58"/>
  <c r="R439" i="58"/>
  <c r="S439" i="58"/>
  <c r="T439" i="58"/>
  <c r="U439" i="58"/>
  <c r="V439" i="58"/>
  <c r="Z439" i="58"/>
  <c r="AA439" i="58"/>
  <c r="Q441" i="58"/>
  <c r="R441" i="58"/>
  <c r="S441" i="58"/>
  <c r="T441" i="58"/>
  <c r="U441" i="58"/>
  <c r="V441" i="58"/>
  <c r="Z441" i="58"/>
  <c r="AA441" i="58"/>
  <c r="Q442" i="58"/>
  <c r="R442" i="58"/>
  <c r="S442" i="58"/>
  <c r="T442" i="58"/>
  <c r="U442" i="58"/>
  <c r="V442" i="58"/>
  <c r="Z442" i="58"/>
  <c r="AA442" i="58"/>
  <c r="Q443" i="58"/>
  <c r="R443" i="58"/>
  <c r="S443" i="58"/>
  <c r="T443" i="58"/>
  <c r="U443" i="58"/>
  <c r="V443" i="58"/>
  <c r="Z443" i="58"/>
  <c r="AA443" i="58"/>
  <c r="Q444" i="58"/>
  <c r="R444" i="58"/>
  <c r="S444" i="58"/>
  <c r="T444" i="58"/>
  <c r="U444" i="58"/>
  <c r="V444" i="58"/>
  <c r="Z444" i="58"/>
  <c r="AA444" i="58"/>
  <c r="Q445" i="58"/>
  <c r="R445" i="58"/>
  <c r="S445" i="58"/>
  <c r="T445" i="58"/>
  <c r="U445" i="58"/>
  <c r="V445" i="58"/>
  <c r="Z445" i="58"/>
  <c r="AA445" i="58"/>
  <c r="Q446" i="58"/>
  <c r="R446" i="58"/>
  <c r="S446" i="58"/>
  <c r="T446" i="58"/>
  <c r="U446" i="58"/>
  <c r="V446" i="58"/>
  <c r="Z446" i="58"/>
  <c r="AA446" i="58"/>
  <c r="Q447" i="58"/>
  <c r="R447" i="58"/>
  <c r="S447" i="58"/>
  <c r="T447" i="58"/>
  <c r="U447" i="58"/>
  <c r="V447" i="58"/>
  <c r="Z447" i="58"/>
  <c r="AA447" i="58"/>
  <c r="Q448" i="58"/>
  <c r="R448" i="58"/>
  <c r="S448" i="58"/>
  <c r="T448" i="58"/>
  <c r="U448" i="58"/>
  <c r="V448" i="58"/>
  <c r="Z448" i="58"/>
  <c r="AA448" i="58"/>
  <c r="Q449" i="58"/>
  <c r="R449" i="58"/>
  <c r="S449" i="58"/>
  <c r="T449" i="58"/>
  <c r="U449" i="58"/>
  <c r="V449" i="58"/>
  <c r="Z449" i="58"/>
  <c r="AA449" i="58"/>
  <c r="Q451" i="58"/>
  <c r="R451" i="58"/>
  <c r="S451" i="58"/>
  <c r="T451" i="58"/>
  <c r="U451" i="58"/>
  <c r="V451" i="58"/>
  <c r="Z451" i="58"/>
  <c r="AA451" i="58"/>
  <c r="Q452" i="58"/>
  <c r="R452" i="58"/>
  <c r="S452" i="58"/>
  <c r="T452" i="58"/>
  <c r="U452" i="58"/>
  <c r="V452" i="58"/>
  <c r="Z452" i="58"/>
  <c r="AA452" i="58"/>
  <c r="Q453" i="58"/>
  <c r="R453" i="58"/>
  <c r="S453" i="58"/>
  <c r="T453" i="58"/>
  <c r="U453" i="58"/>
  <c r="V453" i="58"/>
  <c r="Z453" i="58"/>
  <c r="AA453" i="58"/>
  <c r="Q454" i="58"/>
  <c r="R454" i="58"/>
  <c r="S454" i="58"/>
  <c r="T454" i="58"/>
  <c r="U454" i="58"/>
  <c r="V454" i="58"/>
  <c r="Z454" i="58"/>
  <c r="AA454" i="58"/>
  <c r="Q455" i="58"/>
  <c r="R455" i="58"/>
  <c r="S455" i="58"/>
  <c r="T455" i="58"/>
  <c r="U455" i="58"/>
  <c r="V455" i="58"/>
  <c r="Z455" i="58"/>
  <c r="AA455" i="58"/>
  <c r="Q456" i="58"/>
  <c r="R456" i="58"/>
  <c r="S456" i="58"/>
  <c r="T456" i="58"/>
  <c r="U456" i="58"/>
  <c r="V456" i="58"/>
  <c r="Z456" i="58"/>
  <c r="AA456" i="58"/>
  <c r="Q457" i="58"/>
  <c r="R457" i="58"/>
  <c r="S457" i="58"/>
  <c r="T457" i="58"/>
  <c r="U457" i="58"/>
  <c r="V457" i="58"/>
  <c r="Z457" i="58"/>
  <c r="AA457" i="58"/>
  <c r="Q458" i="58"/>
  <c r="R458" i="58"/>
  <c r="S458" i="58"/>
  <c r="T458" i="58"/>
  <c r="U458" i="58"/>
  <c r="V458" i="58"/>
  <c r="Z458" i="58"/>
  <c r="AA458" i="58"/>
  <c r="Q459" i="58"/>
  <c r="R459" i="58"/>
  <c r="S459" i="58"/>
  <c r="T459" i="58"/>
  <c r="U459" i="58"/>
  <c r="V459" i="58"/>
  <c r="Z459" i="58"/>
  <c r="AA459" i="58"/>
  <c r="Q461" i="58"/>
  <c r="R461" i="58"/>
  <c r="S461" i="58"/>
  <c r="T461" i="58"/>
  <c r="U461" i="58"/>
  <c r="V461" i="58"/>
  <c r="Z461" i="58"/>
  <c r="AA461" i="58"/>
  <c r="Q462" i="58"/>
  <c r="R462" i="58"/>
  <c r="S462" i="58"/>
  <c r="T462" i="58"/>
  <c r="U462" i="58"/>
  <c r="V462" i="58"/>
  <c r="Z462" i="58"/>
  <c r="AA462" i="58"/>
  <c r="Q463" i="58"/>
  <c r="R463" i="58"/>
  <c r="S463" i="58"/>
  <c r="T463" i="58"/>
  <c r="U463" i="58"/>
  <c r="V463" i="58"/>
  <c r="Z463" i="58"/>
  <c r="AA463" i="58"/>
  <c r="Q464" i="58"/>
  <c r="R464" i="58"/>
  <c r="S464" i="58"/>
  <c r="T464" i="58"/>
  <c r="U464" i="58"/>
  <c r="V464" i="58"/>
  <c r="Z464" i="58"/>
  <c r="AA464" i="58"/>
  <c r="Q465" i="58"/>
  <c r="R465" i="58"/>
  <c r="S465" i="58"/>
  <c r="T465" i="58"/>
  <c r="U465" i="58"/>
  <c r="V465" i="58"/>
  <c r="Z465" i="58"/>
  <c r="AA465" i="58"/>
  <c r="Q466" i="58"/>
  <c r="R466" i="58"/>
  <c r="S466" i="58"/>
  <c r="T466" i="58"/>
  <c r="U466" i="58"/>
  <c r="V466" i="58"/>
  <c r="Z466" i="58"/>
  <c r="AA466" i="58"/>
  <c r="Q467" i="58"/>
  <c r="R467" i="58"/>
  <c r="S467" i="58"/>
  <c r="T467" i="58"/>
  <c r="U467" i="58"/>
  <c r="V467" i="58"/>
  <c r="Z467" i="58"/>
  <c r="AA467" i="58"/>
  <c r="Q468" i="58"/>
  <c r="R468" i="58"/>
  <c r="S468" i="58"/>
  <c r="T468" i="58"/>
  <c r="U468" i="58"/>
  <c r="V468" i="58"/>
  <c r="Z468" i="58"/>
  <c r="AA468" i="58"/>
  <c r="Q469" i="58"/>
  <c r="R469" i="58"/>
  <c r="S469" i="58"/>
  <c r="T469" i="58"/>
  <c r="U469" i="58"/>
  <c r="V469" i="58"/>
  <c r="Z469" i="58"/>
  <c r="AA469" i="58"/>
  <c r="Q471" i="58"/>
  <c r="R471" i="58"/>
  <c r="S471" i="58"/>
  <c r="T471" i="58"/>
  <c r="U471" i="58"/>
  <c r="V471" i="58"/>
  <c r="Z471" i="58"/>
  <c r="AA471" i="58"/>
  <c r="Q472" i="58"/>
  <c r="R472" i="58"/>
  <c r="S472" i="58"/>
  <c r="T472" i="58"/>
  <c r="U472" i="58"/>
  <c r="V472" i="58"/>
  <c r="Z472" i="58"/>
  <c r="AA472" i="58"/>
  <c r="Q473" i="58"/>
  <c r="R473" i="58"/>
  <c r="S473" i="58"/>
  <c r="T473" i="58"/>
  <c r="U473" i="58"/>
  <c r="V473" i="58"/>
  <c r="Z473" i="58"/>
  <c r="AA473" i="58"/>
  <c r="Q474" i="58"/>
  <c r="R474" i="58"/>
  <c r="S474" i="58"/>
  <c r="T474" i="58"/>
  <c r="U474" i="58"/>
  <c r="V474" i="58"/>
  <c r="Z474" i="58"/>
  <c r="AA474" i="58"/>
  <c r="Q475" i="58"/>
  <c r="R475" i="58"/>
  <c r="S475" i="58"/>
  <c r="T475" i="58"/>
  <c r="U475" i="58"/>
  <c r="V475" i="58"/>
  <c r="Z475" i="58"/>
  <c r="AA475" i="58"/>
  <c r="Q476" i="58"/>
  <c r="R476" i="58"/>
  <c r="S476" i="58"/>
  <c r="T476" i="58"/>
  <c r="U476" i="58"/>
  <c r="V476" i="58"/>
  <c r="Z476" i="58"/>
  <c r="AA476" i="58"/>
  <c r="Q477" i="58"/>
  <c r="R477" i="58"/>
  <c r="S477" i="58"/>
  <c r="T477" i="58"/>
  <c r="U477" i="58"/>
  <c r="V477" i="58"/>
  <c r="Z477" i="58"/>
  <c r="AA477" i="58"/>
  <c r="Q478" i="58"/>
  <c r="R478" i="58"/>
  <c r="S478" i="58"/>
  <c r="T478" i="58"/>
  <c r="U478" i="58"/>
  <c r="V478" i="58"/>
  <c r="Z478" i="58"/>
  <c r="AA478" i="58"/>
  <c r="Q479" i="58"/>
  <c r="R479" i="58"/>
  <c r="S479" i="58"/>
  <c r="T479" i="58"/>
  <c r="U479" i="58"/>
  <c r="V479" i="58"/>
  <c r="Z479" i="58"/>
  <c r="AA479" i="58"/>
  <c r="Q481" i="58"/>
  <c r="R481" i="58"/>
  <c r="S481" i="58"/>
  <c r="T481" i="58"/>
  <c r="U481" i="58"/>
  <c r="V481" i="58"/>
  <c r="Z481" i="58"/>
  <c r="AA481" i="58"/>
  <c r="Q482" i="58"/>
  <c r="R482" i="58"/>
  <c r="S482" i="58"/>
  <c r="T482" i="58"/>
  <c r="U482" i="58"/>
  <c r="V482" i="58"/>
  <c r="Z482" i="58"/>
  <c r="AA482" i="58"/>
  <c r="Q483" i="58"/>
  <c r="R483" i="58"/>
  <c r="S483" i="58"/>
  <c r="T483" i="58"/>
  <c r="U483" i="58"/>
  <c r="V483" i="58"/>
  <c r="Z483" i="58"/>
  <c r="AA483" i="58"/>
  <c r="Q484" i="58"/>
  <c r="R484" i="58"/>
  <c r="S484" i="58"/>
  <c r="T484" i="58"/>
  <c r="U484" i="58"/>
  <c r="V484" i="58"/>
  <c r="Z484" i="58"/>
  <c r="AA484" i="58"/>
  <c r="Q485" i="58"/>
  <c r="R485" i="58"/>
  <c r="S485" i="58"/>
  <c r="T485" i="58"/>
  <c r="U485" i="58"/>
  <c r="V485" i="58"/>
  <c r="Z485" i="58"/>
  <c r="AA485" i="58"/>
  <c r="Q486" i="58"/>
  <c r="R486" i="58"/>
  <c r="S486" i="58"/>
  <c r="T486" i="58"/>
  <c r="U486" i="58"/>
  <c r="V486" i="58"/>
  <c r="Z486" i="58"/>
  <c r="AA486" i="58"/>
  <c r="Q487" i="58"/>
  <c r="R487" i="58"/>
  <c r="S487" i="58"/>
  <c r="T487" i="58"/>
  <c r="U487" i="58"/>
  <c r="V487" i="58"/>
  <c r="Z487" i="58"/>
  <c r="AA487" i="58"/>
  <c r="Q488" i="58"/>
  <c r="R488" i="58"/>
  <c r="S488" i="58"/>
  <c r="T488" i="58"/>
  <c r="U488" i="58"/>
  <c r="V488" i="58"/>
  <c r="Z488" i="58"/>
  <c r="AA488" i="58"/>
  <c r="Q489" i="58"/>
  <c r="R489" i="58"/>
  <c r="S489" i="58"/>
  <c r="T489" i="58"/>
  <c r="U489" i="58"/>
  <c r="V489" i="58"/>
  <c r="Z489" i="58"/>
  <c r="AA489" i="58"/>
  <c r="Q491" i="58"/>
  <c r="R491" i="58"/>
  <c r="S491" i="58"/>
  <c r="T491" i="58"/>
  <c r="U491" i="58"/>
  <c r="V491" i="58"/>
  <c r="Z491" i="58"/>
  <c r="AA491" i="58"/>
  <c r="Q492" i="58"/>
  <c r="R492" i="58"/>
  <c r="S492" i="58"/>
  <c r="T492" i="58"/>
  <c r="U492" i="58"/>
  <c r="V492" i="58"/>
  <c r="Z492" i="58"/>
  <c r="AA492" i="58"/>
  <c r="Q493" i="58"/>
  <c r="R493" i="58"/>
  <c r="S493" i="58"/>
  <c r="T493" i="58"/>
  <c r="U493" i="58"/>
  <c r="V493" i="58"/>
  <c r="Z493" i="58"/>
  <c r="AA493" i="58"/>
  <c r="Q494" i="58"/>
  <c r="R494" i="58"/>
  <c r="S494" i="58"/>
  <c r="T494" i="58"/>
  <c r="U494" i="58"/>
  <c r="V494" i="58"/>
  <c r="Z494" i="58"/>
  <c r="AA494" i="58"/>
  <c r="Q495" i="58"/>
  <c r="R495" i="58"/>
  <c r="S495" i="58"/>
  <c r="T495" i="58"/>
  <c r="U495" i="58"/>
  <c r="V495" i="58"/>
  <c r="Z495" i="58"/>
  <c r="AA495" i="58"/>
  <c r="Q496" i="58"/>
  <c r="R496" i="58"/>
  <c r="S496" i="58"/>
  <c r="T496" i="58"/>
  <c r="U496" i="58"/>
  <c r="V496" i="58"/>
  <c r="Z496" i="58"/>
  <c r="AA496" i="58"/>
  <c r="Q497" i="58"/>
  <c r="R497" i="58"/>
  <c r="S497" i="58"/>
  <c r="T497" i="58"/>
  <c r="U497" i="58"/>
  <c r="V497" i="58"/>
  <c r="Z497" i="58"/>
  <c r="AA497" i="58"/>
  <c r="Q498" i="58"/>
  <c r="R498" i="58"/>
  <c r="S498" i="58"/>
  <c r="T498" i="58"/>
  <c r="U498" i="58"/>
  <c r="V498" i="58"/>
  <c r="Z498" i="58"/>
  <c r="AA498" i="58"/>
  <c r="Q499" i="58"/>
  <c r="R499" i="58"/>
  <c r="S499" i="58"/>
  <c r="T499" i="58"/>
  <c r="U499" i="58"/>
  <c r="V499" i="58"/>
  <c r="Z499" i="58"/>
  <c r="AA499" i="58"/>
  <c r="Q511" i="58"/>
  <c r="R511" i="58"/>
  <c r="S511" i="58"/>
  <c r="T511" i="58"/>
  <c r="U511" i="58"/>
  <c r="V511" i="58"/>
  <c r="Z511" i="58"/>
  <c r="AA511" i="58"/>
  <c r="Q512" i="58"/>
  <c r="R512" i="58"/>
  <c r="S512" i="58"/>
  <c r="T512" i="58"/>
  <c r="U512" i="58"/>
  <c r="V512" i="58"/>
  <c r="Z512" i="58"/>
  <c r="AA512" i="58"/>
  <c r="Q513" i="58"/>
  <c r="R513" i="58"/>
  <c r="S513" i="58"/>
  <c r="T513" i="58"/>
  <c r="U513" i="58"/>
  <c r="V513" i="58"/>
  <c r="Z513" i="58"/>
  <c r="AA513" i="58"/>
  <c r="Q514" i="58"/>
  <c r="R514" i="58"/>
  <c r="S514" i="58"/>
  <c r="T514" i="58"/>
  <c r="U514" i="58"/>
  <c r="V514" i="58"/>
  <c r="Z514" i="58"/>
  <c r="AA514" i="58"/>
  <c r="Q515" i="58"/>
  <c r="R515" i="58"/>
  <c r="S515" i="58"/>
  <c r="T515" i="58"/>
  <c r="U515" i="58"/>
  <c r="V515" i="58"/>
  <c r="Z515" i="58"/>
  <c r="AA515" i="58"/>
  <c r="Q516" i="58"/>
  <c r="R516" i="58"/>
  <c r="S516" i="58"/>
  <c r="T516" i="58"/>
  <c r="U516" i="58"/>
  <c r="V516" i="58"/>
  <c r="Z516" i="58"/>
  <c r="AA516" i="58"/>
  <c r="Q517" i="58"/>
  <c r="R517" i="58"/>
  <c r="S517" i="58"/>
  <c r="T517" i="58"/>
  <c r="U517" i="58"/>
  <c r="V517" i="58"/>
  <c r="Z517" i="58"/>
  <c r="AA517" i="58"/>
  <c r="Q518" i="58"/>
  <c r="R518" i="58"/>
  <c r="S518" i="58"/>
  <c r="T518" i="58"/>
  <c r="U518" i="58"/>
  <c r="V518" i="58"/>
  <c r="Z518" i="58"/>
  <c r="AA518" i="58"/>
  <c r="Q519" i="58"/>
  <c r="R519" i="58"/>
  <c r="S519" i="58"/>
  <c r="T519" i="58"/>
  <c r="U519" i="58"/>
  <c r="V519" i="58"/>
  <c r="Z519" i="58"/>
  <c r="AA519" i="58"/>
  <c r="Q521" i="58"/>
  <c r="R521" i="58"/>
  <c r="S521" i="58"/>
  <c r="T521" i="58"/>
  <c r="U521" i="58"/>
  <c r="V521" i="58"/>
  <c r="Z521" i="58"/>
  <c r="AA521" i="58"/>
  <c r="Q522" i="58"/>
  <c r="R522" i="58"/>
  <c r="S522" i="58"/>
  <c r="T522" i="58"/>
  <c r="U522" i="58"/>
  <c r="V522" i="58"/>
  <c r="Z522" i="58"/>
  <c r="AA522" i="58"/>
  <c r="Q523" i="58"/>
  <c r="R523" i="58"/>
  <c r="S523" i="58"/>
  <c r="T523" i="58"/>
  <c r="U523" i="58"/>
  <c r="V523" i="58"/>
  <c r="Z523" i="58"/>
  <c r="AA523" i="58"/>
  <c r="Q524" i="58"/>
  <c r="R524" i="58"/>
  <c r="S524" i="58"/>
  <c r="T524" i="58"/>
  <c r="U524" i="58"/>
  <c r="V524" i="58"/>
  <c r="Z524" i="58"/>
  <c r="AA524" i="58"/>
  <c r="Q525" i="58"/>
  <c r="R525" i="58"/>
  <c r="S525" i="58"/>
  <c r="T525" i="58"/>
  <c r="U525" i="58"/>
  <c r="V525" i="58"/>
  <c r="Z525" i="58"/>
  <c r="AA525" i="58"/>
  <c r="Q526" i="58"/>
  <c r="R526" i="58"/>
  <c r="S526" i="58"/>
  <c r="T526" i="58"/>
  <c r="U526" i="58"/>
  <c r="V526" i="58"/>
  <c r="Z526" i="58"/>
  <c r="AA526" i="58"/>
  <c r="Q527" i="58"/>
  <c r="R527" i="58"/>
  <c r="S527" i="58"/>
  <c r="T527" i="58"/>
  <c r="U527" i="58"/>
  <c r="V527" i="58"/>
  <c r="Z527" i="58"/>
  <c r="AA527" i="58"/>
  <c r="Q528" i="58"/>
  <c r="R528" i="58"/>
  <c r="S528" i="58"/>
  <c r="T528" i="58"/>
  <c r="U528" i="58"/>
  <c r="V528" i="58"/>
  <c r="Z528" i="58"/>
  <c r="AA528" i="58"/>
  <c r="Q529" i="58"/>
  <c r="R529" i="58"/>
  <c r="S529" i="58"/>
  <c r="T529" i="58"/>
  <c r="U529" i="58"/>
  <c r="V529" i="58"/>
  <c r="Z529" i="58"/>
  <c r="AA529" i="58"/>
  <c r="Q531" i="58"/>
  <c r="R531" i="58"/>
  <c r="S531" i="58"/>
  <c r="T531" i="58"/>
  <c r="U531" i="58"/>
  <c r="V531" i="58"/>
  <c r="Z531" i="58"/>
  <c r="AA531" i="58"/>
  <c r="Q532" i="58"/>
  <c r="R532" i="58"/>
  <c r="S532" i="58"/>
  <c r="T532" i="58"/>
  <c r="U532" i="58"/>
  <c r="V532" i="58"/>
  <c r="Z532" i="58"/>
  <c r="AA532" i="58"/>
  <c r="Q533" i="58"/>
  <c r="R533" i="58"/>
  <c r="S533" i="58"/>
  <c r="T533" i="58"/>
  <c r="U533" i="58"/>
  <c r="V533" i="58"/>
  <c r="Z533" i="58"/>
  <c r="AA533" i="58"/>
  <c r="Q534" i="58"/>
  <c r="R534" i="58"/>
  <c r="S534" i="58"/>
  <c r="T534" i="58"/>
  <c r="U534" i="58"/>
  <c r="V534" i="58"/>
  <c r="Z534" i="58"/>
  <c r="AA534" i="58"/>
  <c r="Q535" i="58"/>
  <c r="R535" i="58"/>
  <c r="S535" i="58"/>
  <c r="T535" i="58"/>
  <c r="U535" i="58"/>
  <c r="V535" i="58"/>
  <c r="Z535" i="58"/>
  <c r="AA535" i="58"/>
  <c r="Q536" i="58"/>
  <c r="R536" i="58"/>
  <c r="S536" i="58"/>
  <c r="T536" i="58"/>
  <c r="U536" i="58"/>
  <c r="V536" i="58"/>
  <c r="Z536" i="58"/>
  <c r="AA536" i="58"/>
  <c r="Q537" i="58"/>
  <c r="R537" i="58"/>
  <c r="S537" i="58"/>
  <c r="T537" i="58"/>
  <c r="U537" i="58"/>
  <c r="V537" i="58"/>
  <c r="Z537" i="58"/>
  <c r="AA537" i="58"/>
  <c r="Q538" i="58"/>
  <c r="R538" i="58"/>
  <c r="S538" i="58"/>
  <c r="T538" i="58"/>
  <c r="U538" i="58"/>
  <c r="V538" i="58"/>
  <c r="Z538" i="58"/>
  <c r="AA538" i="58"/>
  <c r="Q539" i="58"/>
  <c r="R539" i="58"/>
  <c r="S539" i="58"/>
  <c r="T539" i="58"/>
  <c r="U539" i="58"/>
  <c r="V539" i="58"/>
  <c r="Z539" i="58"/>
  <c r="AA539" i="58"/>
  <c r="Q541" i="58"/>
  <c r="R541" i="58"/>
  <c r="S541" i="58"/>
  <c r="T541" i="58"/>
  <c r="U541" i="58"/>
  <c r="V541" i="58"/>
  <c r="Z541" i="58"/>
  <c r="AA541" i="58"/>
  <c r="Q542" i="58"/>
  <c r="R542" i="58"/>
  <c r="S542" i="58"/>
  <c r="T542" i="58"/>
  <c r="U542" i="58"/>
  <c r="V542" i="58"/>
  <c r="Z542" i="58"/>
  <c r="AA542" i="58"/>
  <c r="Q543" i="58"/>
  <c r="R543" i="58"/>
  <c r="S543" i="58"/>
  <c r="T543" i="58"/>
  <c r="U543" i="58"/>
  <c r="V543" i="58"/>
  <c r="Z543" i="58"/>
  <c r="AA543" i="58"/>
  <c r="Q544" i="58"/>
  <c r="R544" i="58"/>
  <c r="S544" i="58"/>
  <c r="T544" i="58"/>
  <c r="U544" i="58"/>
  <c r="V544" i="58"/>
  <c r="Z544" i="58"/>
  <c r="AA544" i="58"/>
  <c r="Q545" i="58"/>
  <c r="R545" i="58"/>
  <c r="S545" i="58"/>
  <c r="T545" i="58"/>
  <c r="U545" i="58"/>
  <c r="V545" i="58"/>
  <c r="Z545" i="58"/>
  <c r="AA545" i="58"/>
  <c r="Q546" i="58"/>
  <c r="R546" i="58"/>
  <c r="S546" i="58"/>
  <c r="T546" i="58"/>
  <c r="U546" i="58"/>
  <c r="V546" i="58"/>
  <c r="Z546" i="58"/>
  <c r="AA546" i="58"/>
  <c r="Q547" i="58"/>
  <c r="R547" i="58"/>
  <c r="S547" i="58"/>
  <c r="T547" i="58"/>
  <c r="U547" i="58"/>
  <c r="V547" i="58"/>
  <c r="Z547" i="58"/>
  <c r="AA547" i="58"/>
  <c r="Q548" i="58"/>
  <c r="R548" i="58"/>
  <c r="S548" i="58"/>
  <c r="T548" i="58"/>
  <c r="U548" i="58"/>
  <c r="V548" i="58"/>
  <c r="Z548" i="58"/>
  <c r="AA548" i="58"/>
  <c r="Q549" i="58"/>
  <c r="R549" i="58"/>
  <c r="S549" i="58"/>
  <c r="T549" i="58"/>
  <c r="U549" i="58"/>
  <c r="V549" i="58"/>
  <c r="Z549" i="58"/>
  <c r="AA549" i="58"/>
  <c r="Q551" i="58"/>
  <c r="R551" i="58"/>
  <c r="S551" i="58"/>
  <c r="T551" i="58"/>
  <c r="U551" i="58"/>
  <c r="V551" i="58"/>
  <c r="Z551" i="58"/>
  <c r="AA551" i="58"/>
  <c r="Q552" i="58"/>
  <c r="R552" i="58"/>
  <c r="S552" i="58"/>
  <c r="T552" i="58"/>
  <c r="U552" i="58"/>
  <c r="V552" i="58"/>
  <c r="Z552" i="58"/>
  <c r="AA552" i="58"/>
  <c r="Q553" i="58"/>
  <c r="R553" i="58"/>
  <c r="S553" i="58"/>
  <c r="T553" i="58"/>
  <c r="U553" i="58"/>
  <c r="V553" i="58"/>
  <c r="Z553" i="58"/>
  <c r="AA553" i="58"/>
  <c r="Q554" i="58"/>
  <c r="R554" i="58"/>
  <c r="S554" i="58"/>
  <c r="T554" i="58"/>
  <c r="U554" i="58"/>
  <c r="V554" i="58"/>
  <c r="Z554" i="58"/>
  <c r="AA554" i="58"/>
  <c r="Q555" i="58"/>
  <c r="R555" i="58"/>
  <c r="S555" i="58"/>
  <c r="T555" i="58"/>
  <c r="U555" i="58"/>
  <c r="V555" i="58"/>
  <c r="Z555" i="58"/>
  <c r="AA555" i="58"/>
  <c r="Q556" i="58"/>
  <c r="R556" i="58"/>
  <c r="S556" i="58"/>
  <c r="T556" i="58"/>
  <c r="U556" i="58"/>
  <c r="V556" i="58"/>
  <c r="Z556" i="58"/>
  <c r="AA556" i="58"/>
  <c r="Q557" i="58"/>
  <c r="R557" i="58"/>
  <c r="S557" i="58"/>
  <c r="T557" i="58"/>
  <c r="U557" i="58"/>
  <c r="V557" i="58"/>
  <c r="Z557" i="58"/>
  <c r="AA557" i="58"/>
  <c r="Q558" i="58"/>
  <c r="R558" i="58"/>
  <c r="S558" i="58"/>
  <c r="T558" i="58"/>
  <c r="U558" i="58"/>
  <c r="V558" i="58"/>
  <c r="Z558" i="58"/>
  <c r="AA558" i="58"/>
  <c r="Q559" i="58"/>
  <c r="R559" i="58"/>
  <c r="S559" i="58"/>
  <c r="T559" i="58"/>
  <c r="U559" i="58"/>
  <c r="V559" i="58"/>
  <c r="Z559" i="58"/>
  <c r="AA559" i="58"/>
  <c r="Q561" i="58"/>
  <c r="R561" i="58"/>
  <c r="S561" i="58"/>
  <c r="T561" i="58"/>
  <c r="U561" i="58"/>
  <c r="V561" i="58"/>
  <c r="Z561" i="58"/>
  <c r="AA561" i="58"/>
  <c r="Q562" i="58"/>
  <c r="R562" i="58"/>
  <c r="S562" i="58"/>
  <c r="T562" i="58"/>
  <c r="U562" i="58"/>
  <c r="V562" i="58"/>
  <c r="Z562" i="58"/>
  <c r="AA562" i="58"/>
  <c r="Q563" i="58"/>
  <c r="R563" i="58"/>
  <c r="S563" i="58"/>
  <c r="T563" i="58"/>
  <c r="U563" i="58"/>
  <c r="V563" i="58"/>
  <c r="Z563" i="58"/>
  <c r="AA563" i="58"/>
  <c r="Q564" i="58"/>
  <c r="R564" i="58"/>
  <c r="S564" i="58"/>
  <c r="T564" i="58"/>
  <c r="U564" i="58"/>
  <c r="V564" i="58"/>
  <c r="Z564" i="58"/>
  <c r="AA564" i="58"/>
  <c r="Q565" i="58"/>
  <c r="R565" i="58"/>
  <c r="S565" i="58"/>
  <c r="T565" i="58"/>
  <c r="U565" i="58"/>
  <c r="V565" i="58"/>
  <c r="Z565" i="58"/>
  <c r="AA565" i="58"/>
  <c r="Q566" i="58"/>
  <c r="R566" i="58"/>
  <c r="S566" i="58"/>
  <c r="T566" i="58"/>
  <c r="U566" i="58"/>
  <c r="V566" i="58"/>
  <c r="Z566" i="58"/>
  <c r="AA566" i="58"/>
  <c r="Q567" i="58"/>
  <c r="R567" i="58"/>
  <c r="S567" i="58"/>
  <c r="T567" i="58"/>
  <c r="U567" i="58"/>
  <c r="V567" i="58"/>
  <c r="Z567" i="58"/>
  <c r="AA567" i="58"/>
  <c r="Q568" i="58"/>
  <c r="R568" i="58"/>
  <c r="S568" i="58"/>
  <c r="T568" i="58"/>
  <c r="U568" i="58"/>
  <c r="V568" i="58"/>
  <c r="Z568" i="58"/>
  <c r="AA568" i="58"/>
  <c r="Q569" i="58"/>
  <c r="R569" i="58"/>
  <c r="S569" i="58"/>
  <c r="T569" i="58"/>
  <c r="U569" i="58"/>
  <c r="V569" i="58"/>
  <c r="Z569" i="58"/>
  <c r="AA569" i="58"/>
  <c r="Q571" i="58"/>
  <c r="R571" i="58"/>
  <c r="S571" i="58"/>
  <c r="T571" i="58"/>
  <c r="U571" i="58"/>
  <c r="V571" i="58"/>
  <c r="Z571" i="58"/>
  <c r="AA571" i="58"/>
  <c r="Q572" i="58"/>
  <c r="R572" i="58"/>
  <c r="S572" i="58"/>
  <c r="T572" i="58"/>
  <c r="U572" i="58"/>
  <c r="V572" i="58"/>
  <c r="Z572" i="58"/>
  <c r="AA572" i="58"/>
  <c r="Q573" i="58"/>
  <c r="R573" i="58"/>
  <c r="S573" i="58"/>
  <c r="T573" i="58"/>
  <c r="U573" i="58"/>
  <c r="V573" i="58"/>
  <c r="Z573" i="58"/>
  <c r="AA573" i="58"/>
  <c r="Q574" i="58"/>
  <c r="R574" i="58"/>
  <c r="S574" i="58"/>
  <c r="T574" i="58"/>
  <c r="U574" i="58"/>
  <c r="V574" i="58"/>
  <c r="Z574" i="58"/>
  <c r="AA574" i="58"/>
  <c r="Q575" i="58"/>
  <c r="R575" i="58"/>
  <c r="S575" i="58"/>
  <c r="T575" i="58"/>
  <c r="U575" i="58"/>
  <c r="V575" i="58"/>
  <c r="Z575" i="58"/>
  <c r="AA575" i="58"/>
  <c r="Q576" i="58"/>
  <c r="R576" i="58"/>
  <c r="S576" i="58"/>
  <c r="T576" i="58"/>
  <c r="U576" i="58"/>
  <c r="V576" i="58"/>
  <c r="Z576" i="58"/>
  <c r="AA576" i="58"/>
  <c r="Q577" i="58"/>
  <c r="R577" i="58"/>
  <c r="S577" i="58"/>
  <c r="T577" i="58"/>
  <c r="U577" i="58"/>
  <c r="V577" i="58"/>
  <c r="Z577" i="58"/>
  <c r="AA577" i="58"/>
  <c r="Q578" i="58"/>
  <c r="R578" i="58"/>
  <c r="S578" i="58"/>
  <c r="T578" i="58"/>
  <c r="U578" i="58"/>
  <c r="V578" i="58"/>
  <c r="Z578" i="58"/>
  <c r="AA578" i="58"/>
  <c r="Q579" i="58"/>
  <c r="R579" i="58"/>
  <c r="S579" i="58"/>
  <c r="T579" i="58"/>
  <c r="U579" i="58"/>
  <c r="V579" i="58"/>
  <c r="Z579" i="58"/>
  <c r="AA579" i="58"/>
  <c r="Q581" i="58"/>
  <c r="R581" i="58"/>
  <c r="S581" i="58"/>
  <c r="T581" i="58"/>
  <c r="U581" i="58"/>
  <c r="V581" i="58"/>
  <c r="Z581" i="58"/>
  <c r="AA581" i="58"/>
  <c r="Q582" i="58"/>
  <c r="R582" i="58"/>
  <c r="S582" i="58"/>
  <c r="T582" i="58"/>
  <c r="U582" i="58"/>
  <c r="V582" i="58"/>
  <c r="Z582" i="58"/>
  <c r="AA582" i="58"/>
  <c r="Q583" i="58"/>
  <c r="R583" i="58"/>
  <c r="S583" i="58"/>
  <c r="T583" i="58"/>
  <c r="U583" i="58"/>
  <c r="V583" i="58"/>
  <c r="Z583" i="58"/>
  <c r="AA583" i="58"/>
  <c r="Q584" i="58"/>
  <c r="R584" i="58"/>
  <c r="S584" i="58"/>
  <c r="T584" i="58"/>
  <c r="U584" i="58"/>
  <c r="V584" i="58"/>
  <c r="Z584" i="58"/>
  <c r="AA584" i="58"/>
  <c r="Q585" i="58"/>
  <c r="R585" i="58"/>
  <c r="S585" i="58"/>
  <c r="T585" i="58"/>
  <c r="U585" i="58"/>
  <c r="V585" i="58"/>
  <c r="Z585" i="58"/>
  <c r="AA585" i="58"/>
  <c r="Q586" i="58"/>
  <c r="R586" i="58"/>
  <c r="S586" i="58"/>
  <c r="T586" i="58"/>
  <c r="U586" i="58"/>
  <c r="V586" i="58"/>
  <c r="Z586" i="58"/>
  <c r="AA586" i="58"/>
  <c r="Q587" i="58"/>
  <c r="R587" i="58"/>
  <c r="S587" i="58"/>
  <c r="T587" i="58"/>
  <c r="U587" i="58"/>
  <c r="V587" i="58"/>
  <c r="Z587" i="58"/>
  <c r="AA587" i="58"/>
  <c r="Q588" i="58"/>
  <c r="R588" i="58"/>
  <c r="S588" i="58"/>
  <c r="T588" i="58"/>
  <c r="U588" i="58"/>
  <c r="V588" i="58"/>
  <c r="Z588" i="58"/>
  <c r="AA588" i="58"/>
  <c r="Q589" i="58"/>
  <c r="R589" i="58"/>
  <c r="S589" i="58"/>
  <c r="T589" i="58"/>
  <c r="U589" i="58"/>
  <c r="V589" i="58"/>
  <c r="Z589" i="58"/>
  <c r="AA589" i="58"/>
  <c r="Q591" i="58"/>
  <c r="R591" i="58"/>
  <c r="S591" i="58"/>
  <c r="T591" i="58"/>
  <c r="U591" i="58"/>
  <c r="V591" i="58"/>
  <c r="Z591" i="58"/>
  <c r="AA591" i="58"/>
  <c r="Q592" i="58"/>
  <c r="R592" i="58"/>
  <c r="S592" i="58"/>
  <c r="T592" i="58"/>
  <c r="U592" i="58"/>
  <c r="V592" i="58"/>
  <c r="Z592" i="58"/>
  <c r="AA592" i="58"/>
  <c r="Q593" i="58"/>
  <c r="R593" i="58"/>
  <c r="S593" i="58"/>
  <c r="T593" i="58"/>
  <c r="U593" i="58"/>
  <c r="V593" i="58"/>
  <c r="Z593" i="58"/>
  <c r="AA593" i="58"/>
  <c r="Q594" i="58"/>
  <c r="R594" i="58"/>
  <c r="S594" i="58"/>
  <c r="T594" i="58"/>
  <c r="U594" i="58"/>
  <c r="V594" i="58"/>
  <c r="Z594" i="58"/>
  <c r="AA594" i="58"/>
  <c r="Q595" i="58"/>
  <c r="R595" i="58"/>
  <c r="S595" i="58"/>
  <c r="T595" i="58"/>
  <c r="U595" i="58"/>
  <c r="V595" i="58"/>
  <c r="Z595" i="58"/>
  <c r="AA595" i="58"/>
  <c r="Q596" i="58"/>
  <c r="R596" i="58"/>
  <c r="S596" i="58"/>
  <c r="T596" i="58"/>
  <c r="U596" i="58"/>
  <c r="V596" i="58"/>
  <c r="Z596" i="58"/>
  <c r="AA596" i="58"/>
  <c r="Q597" i="58"/>
  <c r="R597" i="58"/>
  <c r="S597" i="58"/>
  <c r="T597" i="58"/>
  <c r="U597" i="58"/>
  <c r="V597" i="58"/>
  <c r="Z597" i="58"/>
  <c r="AA597" i="58"/>
  <c r="Q598" i="58"/>
  <c r="R598" i="58"/>
  <c r="S598" i="58"/>
  <c r="T598" i="58"/>
  <c r="U598" i="58"/>
  <c r="V598" i="58"/>
  <c r="Z598" i="58"/>
  <c r="AA598" i="58"/>
  <c r="Q599" i="58"/>
  <c r="R599" i="58"/>
  <c r="S599" i="58"/>
  <c r="T599" i="58"/>
  <c r="U599" i="58"/>
  <c r="V599" i="58"/>
  <c r="Z599" i="58"/>
  <c r="AA599" i="58"/>
  <c r="Q611" i="58"/>
  <c r="R611" i="58"/>
  <c r="S611" i="58"/>
  <c r="T611" i="58"/>
  <c r="U611" i="58"/>
  <c r="V611" i="58"/>
  <c r="Z611" i="58"/>
  <c r="AA611" i="58"/>
  <c r="Q612" i="58"/>
  <c r="R612" i="58"/>
  <c r="S612" i="58"/>
  <c r="T612" i="58"/>
  <c r="U612" i="58"/>
  <c r="V612" i="58"/>
  <c r="Z612" i="58"/>
  <c r="AA612" i="58"/>
  <c r="Q613" i="58"/>
  <c r="R613" i="58"/>
  <c r="S613" i="58"/>
  <c r="T613" i="58"/>
  <c r="U613" i="58"/>
  <c r="V613" i="58"/>
  <c r="Z613" i="58"/>
  <c r="AA613" i="58"/>
  <c r="Q614" i="58"/>
  <c r="R614" i="58"/>
  <c r="S614" i="58"/>
  <c r="T614" i="58"/>
  <c r="U614" i="58"/>
  <c r="V614" i="58"/>
  <c r="Z614" i="58"/>
  <c r="AA614" i="58"/>
  <c r="Q615" i="58"/>
  <c r="R615" i="58"/>
  <c r="S615" i="58"/>
  <c r="T615" i="58"/>
  <c r="U615" i="58"/>
  <c r="V615" i="58"/>
  <c r="Z615" i="58"/>
  <c r="AA615" i="58"/>
  <c r="Q616" i="58"/>
  <c r="R616" i="58"/>
  <c r="S616" i="58"/>
  <c r="T616" i="58"/>
  <c r="U616" i="58"/>
  <c r="V616" i="58"/>
  <c r="Z616" i="58"/>
  <c r="AA616" i="58"/>
  <c r="Q617" i="58"/>
  <c r="R617" i="58"/>
  <c r="S617" i="58"/>
  <c r="T617" i="58"/>
  <c r="U617" i="58"/>
  <c r="V617" i="58"/>
  <c r="Z617" i="58"/>
  <c r="AA617" i="58"/>
  <c r="Q618" i="58"/>
  <c r="R618" i="58"/>
  <c r="S618" i="58"/>
  <c r="T618" i="58"/>
  <c r="U618" i="58"/>
  <c r="V618" i="58"/>
  <c r="Z618" i="58"/>
  <c r="AA618" i="58"/>
  <c r="Q619" i="58"/>
  <c r="R619" i="58"/>
  <c r="S619" i="58"/>
  <c r="T619" i="58"/>
  <c r="U619" i="58"/>
  <c r="V619" i="58"/>
  <c r="Z619" i="58"/>
  <c r="AA619" i="58"/>
  <c r="Q621" i="58"/>
  <c r="R621" i="58"/>
  <c r="S621" i="58"/>
  <c r="T621" i="58"/>
  <c r="U621" i="58"/>
  <c r="V621" i="58"/>
  <c r="Z621" i="58"/>
  <c r="AA621" i="58"/>
  <c r="Q622" i="58"/>
  <c r="R622" i="58"/>
  <c r="S622" i="58"/>
  <c r="T622" i="58"/>
  <c r="U622" i="58"/>
  <c r="V622" i="58"/>
  <c r="Z622" i="58"/>
  <c r="AA622" i="58"/>
  <c r="Q623" i="58"/>
  <c r="R623" i="58"/>
  <c r="S623" i="58"/>
  <c r="T623" i="58"/>
  <c r="U623" i="58"/>
  <c r="V623" i="58"/>
  <c r="Z623" i="58"/>
  <c r="AA623" i="58"/>
  <c r="Q624" i="58"/>
  <c r="R624" i="58"/>
  <c r="S624" i="58"/>
  <c r="T624" i="58"/>
  <c r="U624" i="58"/>
  <c r="V624" i="58"/>
  <c r="Z624" i="58"/>
  <c r="AA624" i="58"/>
  <c r="Q625" i="58"/>
  <c r="R625" i="58"/>
  <c r="S625" i="58"/>
  <c r="T625" i="58"/>
  <c r="U625" i="58"/>
  <c r="V625" i="58"/>
  <c r="Z625" i="58"/>
  <c r="AA625" i="58"/>
  <c r="Q626" i="58"/>
  <c r="R626" i="58"/>
  <c r="S626" i="58"/>
  <c r="T626" i="58"/>
  <c r="U626" i="58"/>
  <c r="V626" i="58"/>
  <c r="Z626" i="58"/>
  <c r="AA626" i="58"/>
  <c r="Q627" i="58"/>
  <c r="R627" i="58"/>
  <c r="S627" i="58"/>
  <c r="T627" i="58"/>
  <c r="U627" i="58"/>
  <c r="V627" i="58"/>
  <c r="Z627" i="58"/>
  <c r="AA627" i="58"/>
  <c r="Q628" i="58"/>
  <c r="R628" i="58"/>
  <c r="S628" i="58"/>
  <c r="T628" i="58"/>
  <c r="U628" i="58"/>
  <c r="V628" i="58"/>
  <c r="Z628" i="58"/>
  <c r="AA628" i="58"/>
  <c r="Q629" i="58"/>
  <c r="R629" i="58"/>
  <c r="S629" i="58"/>
  <c r="T629" i="58"/>
  <c r="U629" i="58"/>
  <c r="V629" i="58"/>
  <c r="Z629" i="58"/>
  <c r="AA629" i="58"/>
  <c r="Q631" i="58"/>
  <c r="R631" i="58"/>
  <c r="S631" i="58"/>
  <c r="T631" i="58"/>
  <c r="U631" i="58"/>
  <c r="V631" i="58"/>
  <c r="Z631" i="58"/>
  <c r="AA631" i="58"/>
  <c r="Q632" i="58"/>
  <c r="R632" i="58"/>
  <c r="S632" i="58"/>
  <c r="T632" i="58"/>
  <c r="U632" i="58"/>
  <c r="V632" i="58"/>
  <c r="Z632" i="58"/>
  <c r="AA632" i="58"/>
  <c r="Q633" i="58"/>
  <c r="R633" i="58"/>
  <c r="S633" i="58"/>
  <c r="T633" i="58"/>
  <c r="U633" i="58"/>
  <c r="V633" i="58"/>
  <c r="Z633" i="58"/>
  <c r="AA633" i="58"/>
  <c r="Q634" i="58"/>
  <c r="R634" i="58"/>
  <c r="S634" i="58"/>
  <c r="T634" i="58"/>
  <c r="U634" i="58"/>
  <c r="V634" i="58"/>
  <c r="Z634" i="58"/>
  <c r="AA634" i="58"/>
  <c r="Q635" i="58"/>
  <c r="R635" i="58"/>
  <c r="S635" i="58"/>
  <c r="T635" i="58"/>
  <c r="U635" i="58"/>
  <c r="V635" i="58"/>
  <c r="Z635" i="58"/>
  <c r="AA635" i="58"/>
  <c r="Q636" i="58"/>
  <c r="R636" i="58"/>
  <c r="S636" i="58"/>
  <c r="T636" i="58"/>
  <c r="U636" i="58"/>
  <c r="V636" i="58"/>
  <c r="Z636" i="58"/>
  <c r="AA636" i="58"/>
  <c r="Q637" i="58"/>
  <c r="R637" i="58"/>
  <c r="S637" i="58"/>
  <c r="T637" i="58"/>
  <c r="U637" i="58"/>
  <c r="V637" i="58"/>
  <c r="Z637" i="58"/>
  <c r="AA637" i="58"/>
  <c r="Q638" i="58"/>
  <c r="R638" i="58"/>
  <c r="S638" i="58"/>
  <c r="T638" i="58"/>
  <c r="U638" i="58"/>
  <c r="V638" i="58"/>
  <c r="Z638" i="58"/>
  <c r="AA638" i="58"/>
  <c r="Q639" i="58"/>
  <c r="R639" i="58"/>
  <c r="S639" i="58"/>
  <c r="T639" i="58"/>
  <c r="U639" i="58"/>
  <c r="V639" i="58"/>
  <c r="Z639" i="58"/>
  <c r="AA639" i="58"/>
  <c r="Q641" i="58"/>
  <c r="R641" i="58"/>
  <c r="S641" i="58"/>
  <c r="T641" i="58"/>
  <c r="U641" i="58"/>
  <c r="V641" i="58"/>
  <c r="Z641" i="58"/>
  <c r="AA641" i="58"/>
  <c r="Q642" i="58"/>
  <c r="R642" i="58"/>
  <c r="S642" i="58"/>
  <c r="T642" i="58"/>
  <c r="U642" i="58"/>
  <c r="V642" i="58"/>
  <c r="Z642" i="58"/>
  <c r="AA642" i="58"/>
  <c r="Q643" i="58"/>
  <c r="R643" i="58"/>
  <c r="S643" i="58"/>
  <c r="T643" i="58"/>
  <c r="U643" i="58"/>
  <c r="V643" i="58"/>
  <c r="Z643" i="58"/>
  <c r="AA643" i="58"/>
  <c r="Q644" i="58"/>
  <c r="R644" i="58"/>
  <c r="S644" i="58"/>
  <c r="T644" i="58"/>
  <c r="U644" i="58"/>
  <c r="V644" i="58"/>
  <c r="Z644" i="58"/>
  <c r="AA644" i="58"/>
  <c r="Q645" i="58"/>
  <c r="R645" i="58"/>
  <c r="S645" i="58"/>
  <c r="T645" i="58"/>
  <c r="U645" i="58"/>
  <c r="V645" i="58"/>
  <c r="Z645" i="58"/>
  <c r="AA645" i="58"/>
  <c r="Q646" i="58"/>
  <c r="R646" i="58"/>
  <c r="S646" i="58"/>
  <c r="T646" i="58"/>
  <c r="U646" i="58"/>
  <c r="V646" i="58"/>
  <c r="Z646" i="58"/>
  <c r="AA646" i="58"/>
  <c r="Q647" i="58"/>
  <c r="R647" i="58"/>
  <c r="S647" i="58"/>
  <c r="T647" i="58"/>
  <c r="U647" i="58"/>
  <c r="V647" i="58"/>
  <c r="Z647" i="58"/>
  <c r="AA647" i="58"/>
  <c r="Q648" i="58"/>
  <c r="R648" i="58"/>
  <c r="S648" i="58"/>
  <c r="T648" i="58"/>
  <c r="U648" i="58"/>
  <c r="V648" i="58"/>
  <c r="Z648" i="58"/>
  <c r="AA648" i="58"/>
  <c r="Q649" i="58"/>
  <c r="R649" i="58"/>
  <c r="S649" i="58"/>
  <c r="T649" i="58"/>
  <c r="U649" i="58"/>
  <c r="V649" i="58"/>
  <c r="Z649" i="58"/>
  <c r="AA649" i="58"/>
  <c r="Q651" i="58"/>
  <c r="R651" i="58"/>
  <c r="S651" i="58"/>
  <c r="T651" i="58"/>
  <c r="U651" i="58"/>
  <c r="V651" i="58"/>
  <c r="Z651" i="58"/>
  <c r="AA651" i="58"/>
  <c r="Q652" i="58"/>
  <c r="R652" i="58"/>
  <c r="S652" i="58"/>
  <c r="T652" i="58"/>
  <c r="U652" i="58"/>
  <c r="V652" i="58"/>
  <c r="Z652" i="58"/>
  <c r="AA652" i="58"/>
  <c r="Q653" i="58"/>
  <c r="R653" i="58"/>
  <c r="S653" i="58"/>
  <c r="T653" i="58"/>
  <c r="U653" i="58"/>
  <c r="V653" i="58"/>
  <c r="Z653" i="58"/>
  <c r="AA653" i="58"/>
  <c r="Q654" i="58"/>
  <c r="R654" i="58"/>
  <c r="S654" i="58"/>
  <c r="T654" i="58"/>
  <c r="U654" i="58"/>
  <c r="V654" i="58"/>
  <c r="Z654" i="58"/>
  <c r="AA654" i="58"/>
  <c r="Q655" i="58"/>
  <c r="R655" i="58"/>
  <c r="S655" i="58"/>
  <c r="T655" i="58"/>
  <c r="U655" i="58"/>
  <c r="V655" i="58"/>
  <c r="Z655" i="58"/>
  <c r="AA655" i="58"/>
  <c r="Q656" i="58"/>
  <c r="R656" i="58"/>
  <c r="S656" i="58"/>
  <c r="T656" i="58"/>
  <c r="U656" i="58"/>
  <c r="V656" i="58"/>
  <c r="Z656" i="58"/>
  <c r="AA656" i="58"/>
  <c r="Q657" i="58"/>
  <c r="R657" i="58"/>
  <c r="S657" i="58"/>
  <c r="T657" i="58"/>
  <c r="U657" i="58"/>
  <c r="V657" i="58"/>
  <c r="Z657" i="58"/>
  <c r="AA657" i="58"/>
  <c r="Q658" i="58"/>
  <c r="R658" i="58"/>
  <c r="S658" i="58"/>
  <c r="T658" i="58"/>
  <c r="U658" i="58"/>
  <c r="V658" i="58"/>
  <c r="Z658" i="58"/>
  <c r="AA658" i="58"/>
  <c r="Q659" i="58"/>
  <c r="R659" i="58"/>
  <c r="S659" i="58"/>
  <c r="T659" i="58"/>
  <c r="U659" i="58"/>
  <c r="V659" i="58"/>
  <c r="Z659" i="58"/>
  <c r="AA659" i="58"/>
  <c r="Q661" i="58"/>
  <c r="R661" i="58"/>
  <c r="S661" i="58"/>
  <c r="T661" i="58"/>
  <c r="U661" i="58"/>
  <c r="V661" i="58"/>
  <c r="Z661" i="58"/>
  <c r="AA661" i="58"/>
  <c r="Q662" i="58"/>
  <c r="R662" i="58"/>
  <c r="S662" i="58"/>
  <c r="T662" i="58"/>
  <c r="U662" i="58"/>
  <c r="V662" i="58"/>
  <c r="Z662" i="58"/>
  <c r="AA662" i="58"/>
  <c r="Q663" i="58"/>
  <c r="R663" i="58"/>
  <c r="S663" i="58"/>
  <c r="T663" i="58"/>
  <c r="U663" i="58"/>
  <c r="V663" i="58"/>
  <c r="Z663" i="58"/>
  <c r="AA663" i="58"/>
  <c r="Q664" i="58"/>
  <c r="R664" i="58"/>
  <c r="S664" i="58"/>
  <c r="T664" i="58"/>
  <c r="U664" i="58"/>
  <c r="V664" i="58"/>
  <c r="Z664" i="58"/>
  <c r="AA664" i="58"/>
  <c r="Q665" i="58"/>
  <c r="R665" i="58"/>
  <c r="S665" i="58"/>
  <c r="T665" i="58"/>
  <c r="U665" i="58"/>
  <c r="V665" i="58"/>
  <c r="Z665" i="58"/>
  <c r="AA665" i="58"/>
  <c r="Q666" i="58"/>
  <c r="R666" i="58"/>
  <c r="S666" i="58"/>
  <c r="T666" i="58"/>
  <c r="U666" i="58"/>
  <c r="V666" i="58"/>
  <c r="Z666" i="58"/>
  <c r="AA666" i="58"/>
  <c r="Q667" i="58"/>
  <c r="R667" i="58"/>
  <c r="S667" i="58"/>
  <c r="T667" i="58"/>
  <c r="U667" i="58"/>
  <c r="V667" i="58"/>
  <c r="Z667" i="58"/>
  <c r="AA667" i="58"/>
  <c r="Q668" i="58"/>
  <c r="R668" i="58"/>
  <c r="S668" i="58"/>
  <c r="T668" i="58"/>
  <c r="U668" i="58"/>
  <c r="V668" i="58"/>
  <c r="Z668" i="58"/>
  <c r="AA668" i="58"/>
  <c r="Q669" i="58"/>
  <c r="R669" i="58"/>
  <c r="S669" i="58"/>
  <c r="T669" i="58"/>
  <c r="U669" i="58"/>
  <c r="V669" i="58"/>
  <c r="Z669" i="58"/>
  <c r="AA669" i="58"/>
  <c r="Q671" i="58"/>
  <c r="R671" i="58"/>
  <c r="S671" i="58"/>
  <c r="T671" i="58"/>
  <c r="U671" i="58"/>
  <c r="V671" i="58"/>
  <c r="Z671" i="58"/>
  <c r="AA671" i="58"/>
  <c r="Q672" i="58"/>
  <c r="R672" i="58"/>
  <c r="S672" i="58"/>
  <c r="T672" i="58"/>
  <c r="U672" i="58"/>
  <c r="V672" i="58"/>
  <c r="Z672" i="58"/>
  <c r="AA672" i="58"/>
  <c r="Q673" i="58"/>
  <c r="R673" i="58"/>
  <c r="S673" i="58"/>
  <c r="T673" i="58"/>
  <c r="U673" i="58"/>
  <c r="V673" i="58"/>
  <c r="Z673" i="58"/>
  <c r="AA673" i="58"/>
  <c r="Q674" i="58"/>
  <c r="R674" i="58"/>
  <c r="S674" i="58"/>
  <c r="T674" i="58"/>
  <c r="U674" i="58"/>
  <c r="V674" i="58"/>
  <c r="Z674" i="58"/>
  <c r="AA674" i="58"/>
  <c r="Q675" i="58"/>
  <c r="R675" i="58"/>
  <c r="S675" i="58"/>
  <c r="T675" i="58"/>
  <c r="U675" i="58"/>
  <c r="V675" i="58"/>
  <c r="Z675" i="58"/>
  <c r="AA675" i="58"/>
  <c r="Q676" i="58"/>
  <c r="R676" i="58"/>
  <c r="S676" i="58"/>
  <c r="T676" i="58"/>
  <c r="U676" i="58"/>
  <c r="V676" i="58"/>
  <c r="Z676" i="58"/>
  <c r="AA676" i="58"/>
  <c r="Q677" i="58"/>
  <c r="R677" i="58"/>
  <c r="S677" i="58"/>
  <c r="T677" i="58"/>
  <c r="U677" i="58"/>
  <c r="V677" i="58"/>
  <c r="Z677" i="58"/>
  <c r="AA677" i="58"/>
  <c r="Q678" i="58"/>
  <c r="R678" i="58"/>
  <c r="S678" i="58"/>
  <c r="T678" i="58"/>
  <c r="U678" i="58"/>
  <c r="V678" i="58"/>
  <c r="Z678" i="58"/>
  <c r="AA678" i="58"/>
  <c r="Q679" i="58"/>
  <c r="R679" i="58"/>
  <c r="S679" i="58"/>
  <c r="T679" i="58"/>
  <c r="U679" i="58"/>
  <c r="V679" i="58"/>
  <c r="Z679" i="58"/>
  <c r="AA679" i="58"/>
  <c r="Q681" i="58"/>
  <c r="R681" i="58"/>
  <c r="S681" i="58"/>
  <c r="T681" i="58"/>
  <c r="U681" i="58"/>
  <c r="V681" i="58"/>
  <c r="Z681" i="58"/>
  <c r="AA681" i="58"/>
  <c r="Q682" i="58"/>
  <c r="R682" i="58"/>
  <c r="S682" i="58"/>
  <c r="T682" i="58"/>
  <c r="U682" i="58"/>
  <c r="V682" i="58"/>
  <c r="Z682" i="58"/>
  <c r="AA682" i="58"/>
  <c r="Q683" i="58"/>
  <c r="R683" i="58"/>
  <c r="S683" i="58"/>
  <c r="T683" i="58"/>
  <c r="U683" i="58"/>
  <c r="V683" i="58"/>
  <c r="Z683" i="58"/>
  <c r="AA683" i="58"/>
  <c r="Q684" i="58"/>
  <c r="R684" i="58"/>
  <c r="S684" i="58"/>
  <c r="T684" i="58"/>
  <c r="U684" i="58"/>
  <c r="V684" i="58"/>
  <c r="Z684" i="58"/>
  <c r="AA684" i="58"/>
  <c r="Q685" i="58"/>
  <c r="R685" i="58"/>
  <c r="S685" i="58"/>
  <c r="T685" i="58"/>
  <c r="U685" i="58"/>
  <c r="V685" i="58"/>
  <c r="Z685" i="58"/>
  <c r="AA685" i="58"/>
  <c r="Q686" i="58"/>
  <c r="R686" i="58"/>
  <c r="S686" i="58"/>
  <c r="T686" i="58"/>
  <c r="U686" i="58"/>
  <c r="V686" i="58"/>
  <c r="Z686" i="58"/>
  <c r="AA686" i="58"/>
  <c r="Q687" i="58"/>
  <c r="R687" i="58"/>
  <c r="S687" i="58"/>
  <c r="T687" i="58"/>
  <c r="U687" i="58"/>
  <c r="V687" i="58"/>
  <c r="Z687" i="58"/>
  <c r="AA687" i="58"/>
  <c r="Q688" i="58"/>
  <c r="R688" i="58"/>
  <c r="S688" i="58"/>
  <c r="T688" i="58"/>
  <c r="U688" i="58"/>
  <c r="V688" i="58"/>
  <c r="Z688" i="58"/>
  <c r="AA688" i="58"/>
  <c r="Q689" i="58"/>
  <c r="R689" i="58"/>
  <c r="S689" i="58"/>
  <c r="T689" i="58"/>
  <c r="U689" i="58"/>
  <c r="V689" i="58"/>
  <c r="Z689" i="58"/>
  <c r="AA689" i="58"/>
  <c r="Q691" i="58"/>
  <c r="R691" i="58"/>
  <c r="S691" i="58"/>
  <c r="T691" i="58"/>
  <c r="U691" i="58"/>
  <c r="V691" i="58"/>
  <c r="Z691" i="58"/>
  <c r="AA691" i="58"/>
  <c r="Q692" i="58"/>
  <c r="R692" i="58"/>
  <c r="S692" i="58"/>
  <c r="T692" i="58"/>
  <c r="U692" i="58"/>
  <c r="V692" i="58"/>
  <c r="Z692" i="58"/>
  <c r="AA692" i="58"/>
  <c r="Q693" i="58"/>
  <c r="R693" i="58"/>
  <c r="S693" i="58"/>
  <c r="T693" i="58"/>
  <c r="U693" i="58"/>
  <c r="V693" i="58"/>
  <c r="Z693" i="58"/>
  <c r="AA693" i="58"/>
  <c r="Q694" i="58"/>
  <c r="R694" i="58"/>
  <c r="S694" i="58"/>
  <c r="T694" i="58"/>
  <c r="U694" i="58"/>
  <c r="V694" i="58"/>
  <c r="Z694" i="58"/>
  <c r="AA694" i="58"/>
  <c r="Q695" i="58"/>
  <c r="R695" i="58"/>
  <c r="S695" i="58"/>
  <c r="T695" i="58"/>
  <c r="U695" i="58"/>
  <c r="V695" i="58"/>
  <c r="Z695" i="58"/>
  <c r="AA695" i="58"/>
  <c r="Q696" i="58"/>
  <c r="R696" i="58"/>
  <c r="S696" i="58"/>
  <c r="T696" i="58"/>
  <c r="U696" i="58"/>
  <c r="V696" i="58"/>
  <c r="Z696" i="58"/>
  <c r="AA696" i="58"/>
  <c r="Q697" i="58"/>
  <c r="R697" i="58"/>
  <c r="S697" i="58"/>
  <c r="T697" i="58"/>
  <c r="U697" i="58"/>
  <c r="V697" i="58"/>
  <c r="Z697" i="58"/>
  <c r="AA697" i="58"/>
  <c r="Q698" i="58"/>
  <c r="R698" i="58"/>
  <c r="S698" i="58"/>
  <c r="T698" i="58"/>
  <c r="U698" i="58"/>
  <c r="V698" i="58"/>
  <c r="Z698" i="58"/>
  <c r="AA698" i="58"/>
  <c r="Q699" i="58"/>
  <c r="R699" i="58"/>
  <c r="S699" i="58"/>
  <c r="T699" i="58"/>
  <c r="U699" i="58"/>
  <c r="V699" i="58"/>
  <c r="Z699" i="58"/>
  <c r="AA699" i="58"/>
  <c r="Q711" i="58"/>
  <c r="R711" i="58"/>
  <c r="S711" i="58"/>
  <c r="T711" i="58"/>
  <c r="U711" i="58"/>
  <c r="V711" i="58"/>
  <c r="Z711" i="58"/>
  <c r="AA711" i="58"/>
  <c r="Q712" i="58"/>
  <c r="R712" i="58"/>
  <c r="S712" i="58"/>
  <c r="T712" i="58"/>
  <c r="U712" i="58"/>
  <c r="V712" i="58"/>
  <c r="Z712" i="58"/>
  <c r="AA712" i="58"/>
  <c r="Q713" i="58"/>
  <c r="R713" i="58"/>
  <c r="S713" i="58"/>
  <c r="T713" i="58"/>
  <c r="U713" i="58"/>
  <c r="V713" i="58"/>
  <c r="Z713" i="58"/>
  <c r="AA713" i="58"/>
  <c r="Q714" i="58"/>
  <c r="R714" i="58"/>
  <c r="S714" i="58"/>
  <c r="T714" i="58"/>
  <c r="U714" i="58"/>
  <c r="V714" i="58"/>
  <c r="Z714" i="58"/>
  <c r="AA714" i="58"/>
  <c r="Q715" i="58"/>
  <c r="R715" i="58"/>
  <c r="S715" i="58"/>
  <c r="T715" i="58"/>
  <c r="U715" i="58"/>
  <c r="V715" i="58"/>
  <c r="Z715" i="58"/>
  <c r="AA715" i="58"/>
  <c r="Q716" i="58"/>
  <c r="R716" i="58"/>
  <c r="S716" i="58"/>
  <c r="T716" i="58"/>
  <c r="U716" i="58"/>
  <c r="V716" i="58"/>
  <c r="Z716" i="58"/>
  <c r="AA716" i="58"/>
  <c r="Q717" i="58"/>
  <c r="R717" i="58"/>
  <c r="S717" i="58"/>
  <c r="T717" i="58"/>
  <c r="U717" i="58"/>
  <c r="V717" i="58"/>
  <c r="Z717" i="58"/>
  <c r="AA717" i="58"/>
  <c r="Q718" i="58"/>
  <c r="R718" i="58"/>
  <c r="S718" i="58"/>
  <c r="T718" i="58"/>
  <c r="U718" i="58"/>
  <c r="V718" i="58"/>
  <c r="Z718" i="58"/>
  <c r="AA718" i="58"/>
  <c r="Q719" i="58"/>
  <c r="R719" i="58"/>
  <c r="S719" i="58"/>
  <c r="T719" i="58"/>
  <c r="U719" i="58"/>
  <c r="V719" i="58"/>
  <c r="Z719" i="58"/>
  <c r="AA719" i="58"/>
  <c r="Q721" i="58"/>
  <c r="R721" i="58"/>
  <c r="S721" i="58"/>
  <c r="T721" i="58"/>
  <c r="U721" i="58"/>
  <c r="V721" i="58"/>
  <c r="Z721" i="58"/>
  <c r="AA721" i="58"/>
  <c r="Q722" i="58"/>
  <c r="R722" i="58"/>
  <c r="S722" i="58"/>
  <c r="T722" i="58"/>
  <c r="U722" i="58"/>
  <c r="V722" i="58"/>
  <c r="Z722" i="58"/>
  <c r="AA722" i="58"/>
  <c r="Q723" i="58"/>
  <c r="R723" i="58"/>
  <c r="S723" i="58"/>
  <c r="T723" i="58"/>
  <c r="U723" i="58"/>
  <c r="V723" i="58"/>
  <c r="Z723" i="58"/>
  <c r="AA723" i="58"/>
  <c r="Q724" i="58"/>
  <c r="R724" i="58"/>
  <c r="S724" i="58"/>
  <c r="T724" i="58"/>
  <c r="U724" i="58"/>
  <c r="V724" i="58"/>
  <c r="Z724" i="58"/>
  <c r="AA724" i="58"/>
  <c r="Q725" i="58"/>
  <c r="R725" i="58"/>
  <c r="S725" i="58"/>
  <c r="T725" i="58"/>
  <c r="U725" i="58"/>
  <c r="V725" i="58"/>
  <c r="Z725" i="58"/>
  <c r="AA725" i="58"/>
  <c r="Q726" i="58"/>
  <c r="R726" i="58"/>
  <c r="S726" i="58"/>
  <c r="T726" i="58"/>
  <c r="U726" i="58"/>
  <c r="V726" i="58"/>
  <c r="Z726" i="58"/>
  <c r="AA726" i="58"/>
  <c r="Q727" i="58"/>
  <c r="R727" i="58"/>
  <c r="S727" i="58"/>
  <c r="T727" i="58"/>
  <c r="U727" i="58"/>
  <c r="V727" i="58"/>
  <c r="Z727" i="58"/>
  <c r="AA727" i="58"/>
  <c r="Q728" i="58"/>
  <c r="R728" i="58"/>
  <c r="S728" i="58"/>
  <c r="T728" i="58"/>
  <c r="U728" i="58"/>
  <c r="V728" i="58"/>
  <c r="Z728" i="58"/>
  <c r="AA728" i="58"/>
  <c r="Q729" i="58"/>
  <c r="R729" i="58"/>
  <c r="S729" i="58"/>
  <c r="T729" i="58"/>
  <c r="U729" i="58"/>
  <c r="V729" i="58"/>
  <c r="Z729" i="58"/>
  <c r="AA729" i="58"/>
  <c r="Q731" i="58"/>
  <c r="R731" i="58"/>
  <c r="S731" i="58"/>
  <c r="T731" i="58"/>
  <c r="U731" i="58"/>
  <c r="V731" i="58"/>
  <c r="Z731" i="58"/>
  <c r="AA731" i="58"/>
  <c r="Q732" i="58"/>
  <c r="R732" i="58"/>
  <c r="S732" i="58"/>
  <c r="T732" i="58"/>
  <c r="U732" i="58"/>
  <c r="V732" i="58"/>
  <c r="Z732" i="58"/>
  <c r="AA732" i="58"/>
  <c r="Q733" i="58"/>
  <c r="R733" i="58"/>
  <c r="S733" i="58"/>
  <c r="T733" i="58"/>
  <c r="U733" i="58"/>
  <c r="V733" i="58"/>
  <c r="Z733" i="58"/>
  <c r="AA733" i="58"/>
  <c r="Q734" i="58"/>
  <c r="R734" i="58"/>
  <c r="S734" i="58"/>
  <c r="T734" i="58"/>
  <c r="U734" i="58"/>
  <c r="V734" i="58"/>
  <c r="Z734" i="58"/>
  <c r="AA734" i="58"/>
  <c r="Q735" i="58"/>
  <c r="R735" i="58"/>
  <c r="S735" i="58"/>
  <c r="T735" i="58"/>
  <c r="U735" i="58"/>
  <c r="V735" i="58"/>
  <c r="Z735" i="58"/>
  <c r="AA735" i="58"/>
  <c r="Q736" i="58"/>
  <c r="R736" i="58"/>
  <c r="S736" i="58"/>
  <c r="T736" i="58"/>
  <c r="U736" i="58"/>
  <c r="V736" i="58"/>
  <c r="Z736" i="58"/>
  <c r="AA736" i="58"/>
  <c r="Q737" i="58"/>
  <c r="R737" i="58"/>
  <c r="S737" i="58"/>
  <c r="T737" i="58"/>
  <c r="U737" i="58"/>
  <c r="V737" i="58"/>
  <c r="Z737" i="58"/>
  <c r="AA737" i="58"/>
  <c r="Q738" i="58"/>
  <c r="R738" i="58"/>
  <c r="S738" i="58"/>
  <c r="T738" i="58"/>
  <c r="U738" i="58"/>
  <c r="V738" i="58"/>
  <c r="Z738" i="58"/>
  <c r="AA738" i="58"/>
  <c r="Q739" i="58"/>
  <c r="R739" i="58"/>
  <c r="S739" i="58"/>
  <c r="T739" i="58"/>
  <c r="U739" i="58"/>
  <c r="V739" i="58"/>
  <c r="Z739" i="58"/>
  <c r="AA739" i="58"/>
  <c r="Q741" i="58"/>
  <c r="R741" i="58"/>
  <c r="S741" i="58"/>
  <c r="T741" i="58"/>
  <c r="U741" i="58"/>
  <c r="V741" i="58"/>
  <c r="Z741" i="58"/>
  <c r="AA741" i="58"/>
  <c r="Q742" i="58"/>
  <c r="R742" i="58"/>
  <c r="S742" i="58"/>
  <c r="T742" i="58"/>
  <c r="U742" i="58"/>
  <c r="V742" i="58"/>
  <c r="Z742" i="58"/>
  <c r="AA742" i="58"/>
  <c r="Q743" i="58"/>
  <c r="R743" i="58"/>
  <c r="S743" i="58"/>
  <c r="T743" i="58"/>
  <c r="U743" i="58"/>
  <c r="V743" i="58"/>
  <c r="Z743" i="58"/>
  <c r="AA743" i="58"/>
  <c r="Q744" i="58"/>
  <c r="R744" i="58"/>
  <c r="S744" i="58"/>
  <c r="T744" i="58"/>
  <c r="U744" i="58"/>
  <c r="V744" i="58"/>
  <c r="Z744" i="58"/>
  <c r="AA744" i="58"/>
  <c r="Q745" i="58"/>
  <c r="R745" i="58"/>
  <c r="S745" i="58"/>
  <c r="T745" i="58"/>
  <c r="U745" i="58"/>
  <c r="V745" i="58"/>
  <c r="Z745" i="58"/>
  <c r="AA745" i="58"/>
  <c r="Q746" i="58"/>
  <c r="R746" i="58"/>
  <c r="S746" i="58"/>
  <c r="T746" i="58"/>
  <c r="U746" i="58"/>
  <c r="V746" i="58"/>
  <c r="Z746" i="58"/>
  <c r="AA746" i="58"/>
  <c r="Q747" i="58"/>
  <c r="R747" i="58"/>
  <c r="S747" i="58"/>
  <c r="T747" i="58"/>
  <c r="U747" i="58"/>
  <c r="V747" i="58"/>
  <c r="Z747" i="58"/>
  <c r="AA747" i="58"/>
  <c r="Q748" i="58"/>
  <c r="R748" i="58"/>
  <c r="S748" i="58"/>
  <c r="T748" i="58"/>
  <c r="U748" i="58"/>
  <c r="V748" i="58"/>
  <c r="Z748" i="58"/>
  <c r="AA748" i="58"/>
  <c r="Q749" i="58"/>
  <c r="R749" i="58"/>
  <c r="S749" i="58"/>
  <c r="T749" i="58"/>
  <c r="U749" i="58"/>
  <c r="V749" i="58"/>
  <c r="Z749" i="58"/>
  <c r="AA749" i="58"/>
  <c r="Q751" i="58"/>
  <c r="R751" i="58"/>
  <c r="S751" i="58"/>
  <c r="T751" i="58"/>
  <c r="U751" i="58"/>
  <c r="V751" i="58"/>
  <c r="Z751" i="58"/>
  <c r="AA751" i="58"/>
  <c r="Q752" i="58"/>
  <c r="R752" i="58"/>
  <c r="S752" i="58"/>
  <c r="T752" i="58"/>
  <c r="U752" i="58"/>
  <c r="V752" i="58"/>
  <c r="Z752" i="58"/>
  <c r="AA752" i="58"/>
  <c r="Q753" i="58"/>
  <c r="R753" i="58"/>
  <c r="S753" i="58"/>
  <c r="T753" i="58"/>
  <c r="U753" i="58"/>
  <c r="V753" i="58"/>
  <c r="Z753" i="58"/>
  <c r="AA753" i="58"/>
  <c r="Q754" i="58"/>
  <c r="R754" i="58"/>
  <c r="S754" i="58"/>
  <c r="T754" i="58"/>
  <c r="U754" i="58"/>
  <c r="V754" i="58"/>
  <c r="Z754" i="58"/>
  <c r="AA754" i="58"/>
  <c r="Q755" i="58"/>
  <c r="R755" i="58"/>
  <c r="S755" i="58"/>
  <c r="T755" i="58"/>
  <c r="U755" i="58"/>
  <c r="V755" i="58"/>
  <c r="Z755" i="58"/>
  <c r="AA755" i="58"/>
  <c r="Q756" i="58"/>
  <c r="R756" i="58"/>
  <c r="S756" i="58"/>
  <c r="T756" i="58"/>
  <c r="U756" i="58"/>
  <c r="V756" i="58"/>
  <c r="Z756" i="58"/>
  <c r="AA756" i="58"/>
  <c r="Q757" i="58"/>
  <c r="R757" i="58"/>
  <c r="S757" i="58"/>
  <c r="T757" i="58"/>
  <c r="U757" i="58"/>
  <c r="V757" i="58"/>
  <c r="Z757" i="58"/>
  <c r="AA757" i="58"/>
  <c r="Q758" i="58"/>
  <c r="R758" i="58"/>
  <c r="S758" i="58"/>
  <c r="T758" i="58"/>
  <c r="U758" i="58"/>
  <c r="V758" i="58"/>
  <c r="Z758" i="58"/>
  <c r="AA758" i="58"/>
  <c r="Q759" i="58"/>
  <c r="R759" i="58"/>
  <c r="S759" i="58"/>
  <c r="T759" i="58"/>
  <c r="U759" i="58"/>
  <c r="V759" i="58"/>
  <c r="Z759" i="58"/>
  <c r="AA759" i="58"/>
  <c r="Q761" i="58"/>
  <c r="R761" i="58"/>
  <c r="S761" i="58"/>
  <c r="T761" i="58"/>
  <c r="U761" i="58"/>
  <c r="V761" i="58"/>
  <c r="Z761" i="58"/>
  <c r="AA761" i="58"/>
  <c r="Q762" i="58"/>
  <c r="R762" i="58"/>
  <c r="S762" i="58"/>
  <c r="T762" i="58"/>
  <c r="U762" i="58"/>
  <c r="V762" i="58"/>
  <c r="Z762" i="58"/>
  <c r="AA762" i="58"/>
  <c r="Q763" i="58"/>
  <c r="R763" i="58"/>
  <c r="S763" i="58"/>
  <c r="T763" i="58"/>
  <c r="U763" i="58"/>
  <c r="V763" i="58"/>
  <c r="Z763" i="58"/>
  <c r="AA763" i="58"/>
  <c r="Q764" i="58"/>
  <c r="R764" i="58"/>
  <c r="S764" i="58"/>
  <c r="T764" i="58"/>
  <c r="U764" i="58"/>
  <c r="V764" i="58"/>
  <c r="Z764" i="58"/>
  <c r="AA764" i="58"/>
  <c r="Q765" i="58"/>
  <c r="R765" i="58"/>
  <c r="S765" i="58"/>
  <c r="T765" i="58"/>
  <c r="U765" i="58"/>
  <c r="V765" i="58"/>
  <c r="Z765" i="58"/>
  <c r="AA765" i="58"/>
  <c r="Q766" i="58"/>
  <c r="R766" i="58"/>
  <c r="S766" i="58"/>
  <c r="T766" i="58"/>
  <c r="U766" i="58"/>
  <c r="V766" i="58"/>
  <c r="Z766" i="58"/>
  <c r="AA766" i="58"/>
  <c r="Q767" i="58"/>
  <c r="R767" i="58"/>
  <c r="S767" i="58"/>
  <c r="T767" i="58"/>
  <c r="U767" i="58"/>
  <c r="V767" i="58"/>
  <c r="Z767" i="58"/>
  <c r="AA767" i="58"/>
  <c r="Q768" i="58"/>
  <c r="R768" i="58"/>
  <c r="S768" i="58"/>
  <c r="T768" i="58"/>
  <c r="U768" i="58"/>
  <c r="V768" i="58"/>
  <c r="Z768" i="58"/>
  <c r="AA768" i="58"/>
  <c r="Q769" i="58"/>
  <c r="R769" i="58"/>
  <c r="S769" i="58"/>
  <c r="T769" i="58"/>
  <c r="U769" i="58"/>
  <c r="V769" i="58"/>
  <c r="Z769" i="58"/>
  <c r="AA769" i="58"/>
  <c r="Q771" i="58"/>
  <c r="R771" i="58"/>
  <c r="S771" i="58"/>
  <c r="T771" i="58"/>
  <c r="U771" i="58"/>
  <c r="V771" i="58"/>
  <c r="Z771" i="58"/>
  <c r="AA771" i="58"/>
  <c r="Q772" i="58"/>
  <c r="R772" i="58"/>
  <c r="S772" i="58"/>
  <c r="T772" i="58"/>
  <c r="U772" i="58"/>
  <c r="V772" i="58"/>
  <c r="Z772" i="58"/>
  <c r="AA772" i="58"/>
  <c r="Q773" i="58"/>
  <c r="R773" i="58"/>
  <c r="S773" i="58"/>
  <c r="T773" i="58"/>
  <c r="U773" i="58"/>
  <c r="V773" i="58"/>
  <c r="Z773" i="58"/>
  <c r="AA773" i="58"/>
  <c r="Q774" i="58"/>
  <c r="R774" i="58"/>
  <c r="S774" i="58"/>
  <c r="T774" i="58"/>
  <c r="U774" i="58"/>
  <c r="V774" i="58"/>
  <c r="Z774" i="58"/>
  <c r="AA774" i="58"/>
  <c r="Q775" i="58"/>
  <c r="R775" i="58"/>
  <c r="S775" i="58"/>
  <c r="T775" i="58"/>
  <c r="U775" i="58"/>
  <c r="V775" i="58"/>
  <c r="Z775" i="58"/>
  <c r="AA775" i="58"/>
  <c r="Q776" i="58"/>
  <c r="R776" i="58"/>
  <c r="S776" i="58"/>
  <c r="T776" i="58"/>
  <c r="U776" i="58"/>
  <c r="V776" i="58"/>
  <c r="Z776" i="58"/>
  <c r="AA776" i="58"/>
  <c r="Q777" i="58"/>
  <c r="R777" i="58"/>
  <c r="S777" i="58"/>
  <c r="T777" i="58"/>
  <c r="U777" i="58"/>
  <c r="V777" i="58"/>
  <c r="Z777" i="58"/>
  <c r="AA777" i="58"/>
  <c r="Q778" i="58"/>
  <c r="R778" i="58"/>
  <c r="S778" i="58"/>
  <c r="T778" i="58"/>
  <c r="U778" i="58"/>
  <c r="V778" i="58"/>
  <c r="Z778" i="58"/>
  <c r="AA778" i="58"/>
  <c r="Q779" i="58"/>
  <c r="R779" i="58"/>
  <c r="S779" i="58"/>
  <c r="T779" i="58"/>
  <c r="U779" i="58"/>
  <c r="V779" i="58"/>
  <c r="Z779" i="58"/>
  <c r="AA779" i="58"/>
  <c r="Q781" i="58"/>
  <c r="R781" i="58"/>
  <c r="S781" i="58"/>
  <c r="T781" i="58"/>
  <c r="U781" i="58"/>
  <c r="V781" i="58"/>
  <c r="Z781" i="58"/>
  <c r="AA781" i="58"/>
  <c r="Q782" i="58"/>
  <c r="R782" i="58"/>
  <c r="S782" i="58"/>
  <c r="T782" i="58"/>
  <c r="U782" i="58"/>
  <c r="V782" i="58"/>
  <c r="Z782" i="58"/>
  <c r="AA782" i="58"/>
  <c r="Q783" i="58"/>
  <c r="R783" i="58"/>
  <c r="S783" i="58"/>
  <c r="T783" i="58"/>
  <c r="U783" i="58"/>
  <c r="V783" i="58"/>
  <c r="Z783" i="58"/>
  <c r="AA783" i="58"/>
  <c r="Q784" i="58"/>
  <c r="R784" i="58"/>
  <c r="S784" i="58"/>
  <c r="T784" i="58"/>
  <c r="U784" i="58"/>
  <c r="V784" i="58"/>
  <c r="Z784" i="58"/>
  <c r="AA784" i="58"/>
  <c r="Q785" i="58"/>
  <c r="R785" i="58"/>
  <c r="S785" i="58"/>
  <c r="T785" i="58"/>
  <c r="U785" i="58"/>
  <c r="V785" i="58"/>
  <c r="Z785" i="58"/>
  <c r="AA785" i="58"/>
  <c r="Q786" i="58"/>
  <c r="R786" i="58"/>
  <c r="S786" i="58"/>
  <c r="T786" i="58"/>
  <c r="U786" i="58"/>
  <c r="V786" i="58"/>
  <c r="Z786" i="58"/>
  <c r="AA786" i="58"/>
  <c r="Q787" i="58"/>
  <c r="R787" i="58"/>
  <c r="S787" i="58"/>
  <c r="T787" i="58"/>
  <c r="U787" i="58"/>
  <c r="V787" i="58"/>
  <c r="Z787" i="58"/>
  <c r="AA787" i="58"/>
  <c r="Q788" i="58"/>
  <c r="R788" i="58"/>
  <c r="S788" i="58"/>
  <c r="T788" i="58"/>
  <c r="U788" i="58"/>
  <c r="V788" i="58"/>
  <c r="Z788" i="58"/>
  <c r="AA788" i="58"/>
  <c r="Q789" i="58"/>
  <c r="R789" i="58"/>
  <c r="S789" i="58"/>
  <c r="T789" i="58"/>
  <c r="U789" i="58"/>
  <c r="V789" i="58"/>
  <c r="Z789" i="58"/>
  <c r="AA789" i="58"/>
  <c r="Q791" i="58"/>
  <c r="R791" i="58"/>
  <c r="S791" i="58"/>
  <c r="T791" i="58"/>
  <c r="U791" i="58"/>
  <c r="V791" i="58"/>
  <c r="Z791" i="58"/>
  <c r="AA791" i="58"/>
  <c r="Q792" i="58"/>
  <c r="R792" i="58"/>
  <c r="S792" i="58"/>
  <c r="T792" i="58"/>
  <c r="U792" i="58"/>
  <c r="V792" i="58"/>
  <c r="Z792" i="58"/>
  <c r="AA792" i="58"/>
  <c r="Q793" i="58"/>
  <c r="R793" i="58"/>
  <c r="S793" i="58"/>
  <c r="T793" i="58"/>
  <c r="U793" i="58"/>
  <c r="V793" i="58"/>
  <c r="Z793" i="58"/>
  <c r="AA793" i="58"/>
  <c r="Q794" i="58"/>
  <c r="R794" i="58"/>
  <c r="S794" i="58"/>
  <c r="T794" i="58"/>
  <c r="U794" i="58"/>
  <c r="V794" i="58"/>
  <c r="Z794" i="58"/>
  <c r="AA794" i="58"/>
  <c r="Q795" i="58"/>
  <c r="R795" i="58"/>
  <c r="S795" i="58"/>
  <c r="T795" i="58"/>
  <c r="U795" i="58"/>
  <c r="V795" i="58"/>
  <c r="Z795" i="58"/>
  <c r="AA795" i="58"/>
  <c r="Q796" i="58"/>
  <c r="R796" i="58"/>
  <c r="S796" i="58"/>
  <c r="T796" i="58"/>
  <c r="U796" i="58"/>
  <c r="V796" i="58"/>
  <c r="Z796" i="58"/>
  <c r="AA796" i="58"/>
  <c r="Q797" i="58"/>
  <c r="R797" i="58"/>
  <c r="S797" i="58"/>
  <c r="T797" i="58"/>
  <c r="U797" i="58"/>
  <c r="V797" i="58"/>
  <c r="Z797" i="58"/>
  <c r="AA797" i="58"/>
  <c r="Q798" i="58"/>
  <c r="R798" i="58"/>
  <c r="S798" i="58"/>
  <c r="T798" i="58"/>
  <c r="U798" i="58"/>
  <c r="V798" i="58"/>
  <c r="Z798" i="58"/>
  <c r="AA798" i="58"/>
  <c r="Q799" i="58"/>
  <c r="R799" i="58"/>
  <c r="S799" i="58"/>
  <c r="T799" i="58"/>
  <c r="U799" i="58"/>
  <c r="V799" i="58"/>
  <c r="Z799" i="58"/>
  <c r="AA799" i="58"/>
  <c r="Q811" i="58"/>
  <c r="R811" i="58"/>
  <c r="S811" i="58"/>
  <c r="T811" i="58"/>
  <c r="U811" i="58"/>
  <c r="V811" i="58"/>
  <c r="Z811" i="58"/>
  <c r="AA811" i="58"/>
  <c r="Q812" i="58"/>
  <c r="R812" i="58"/>
  <c r="S812" i="58"/>
  <c r="T812" i="58"/>
  <c r="U812" i="58"/>
  <c r="V812" i="58"/>
  <c r="Z812" i="58"/>
  <c r="AA812" i="58"/>
  <c r="Q813" i="58"/>
  <c r="R813" i="58"/>
  <c r="S813" i="58"/>
  <c r="T813" i="58"/>
  <c r="U813" i="58"/>
  <c r="V813" i="58"/>
  <c r="Z813" i="58"/>
  <c r="AA813" i="58"/>
  <c r="Q814" i="58"/>
  <c r="R814" i="58"/>
  <c r="S814" i="58"/>
  <c r="T814" i="58"/>
  <c r="U814" i="58"/>
  <c r="V814" i="58"/>
  <c r="Z814" i="58"/>
  <c r="AA814" i="58"/>
  <c r="Q815" i="58"/>
  <c r="R815" i="58"/>
  <c r="S815" i="58"/>
  <c r="T815" i="58"/>
  <c r="U815" i="58"/>
  <c r="V815" i="58"/>
  <c r="Z815" i="58"/>
  <c r="AA815" i="58"/>
  <c r="Q816" i="58"/>
  <c r="R816" i="58"/>
  <c r="S816" i="58"/>
  <c r="T816" i="58"/>
  <c r="U816" i="58"/>
  <c r="V816" i="58"/>
  <c r="Z816" i="58"/>
  <c r="AA816" i="58"/>
  <c r="Q817" i="58"/>
  <c r="R817" i="58"/>
  <c r="S817" i="58"/>
  <c r="T817" i="58"/>
  <c r="U817" i="58"/>
  <c r="V817" i="58"/>
  <c r="Z817" i="58"/>
  <c r="AA817" i="58"/>
  <c r="Q818" i="58"/>
  <c r="R818" i="58"/>
  <c r="S818" i="58"/>
  <c r="T818" i="58"/>
  <c r="U818" i="58"/>
  <c r="V818" i="58"/>
  <c r="Z818" i="58"/>
  <c r="AA818" i="58"/>
  <c r="Q819" i="58"/>
  <c r="R819" i="58"/>
  <c r="S819" i="58"/>
  <c r="T819" i="58"/>
  <c r="U819" i="58"/>
  <c r="V819" i="58"/>
  <c r="Z819" i="58"/>
  <c r="AA819" i="58"/>
  <c r="Q821" i="58"/>
  <c r="R821" i="58"/>
  <c r="S821" i="58"/>
  <c r="T821" i="58"/>
  <c r="U821" i="58"/>
  <c r="V821" i="58"/>
  <c r="Z821" i="58"/>
  <c r="AA821" i="58"/>
  <c r="Q822" i="58"/>
  <c r="R822" i="58"/>
  <c r="S822" i="58"/>
  <c r="T822" i="58"/>
  <c r="U822" i="58"/>
  <c r="V822" i="58"/>
  <c r="Z822" i="58"/>
  <c r="AA822" i="58"/>
  <c r="Q823" i="58"/>
  <c r="R823" i="58"/>
  <c r="S823" i="58"/>
  <c r="T823" i="58"/>
  <c r="U823" i="58"/>
  <c r="V823" i="58"/>
  <c r="Z823" i="58"/>
  <c r="AA823" i="58"/>
  <c r="Q824" i="58"/>
  <c r="R824" i="58"/>
  <c r="S824" i="58"/>
  <c r="T824" i="58"/>
  <c r="U824" i="58"/>
  <c r="V824" i="58"/>
  <c r="Z824" i="58"/>
  <c r="AA824" i="58"/>
  <c r="Q825" i="58"/>
  <c r="R825" i="58"/>
  <c r="S825" i="58"/>
  <c r="T825" i="58"/>
  <c r="U825" i="58"/>
  <c r="V825" i="58"/>
  <c r="Z825" i="58"/>
  <c r="AA825" i="58"/>
  <c r="Q826" i="58"/>
  <c r="R826" i="58"/>
  <c r="S826" i="58"/>
  <c r="T826" i="58"/>
  <c r="U826" i="58"/>
  <c r="V826" i="58"/>
  <c r="Z826" i="58"/>
  <c r="AA826" i="58"/>
  <c r="Q827" i="58"/>
  <c r="R827" i="58"/>
  <c r="S827" i="58"/>
  <c r="T827" i="58"/>
  <c r="U827" i="58"/>
  <c r="V827" i="58"/>
  <c r="Z827" i="58"/>
  <c r="AA827" i="58"/>
  <c r="Q828" i="58"/>
  <c r="R828" i="58"/>
  <c r="S828" i="58"/>
  <c r="T828" i="58"/>
  <c r="U828" i="58"/>
  <c r="V828" i="58"/>
  <c r="Z828" i="58"/>
  <c r="AA828" i="58"/>
  <c r="Q829" i="58"/>
  <c r="R829" i="58"/>
  <c r="S829" i="58"/>
  <c r="T829" i="58"/>
  <c r="U829" i="58"/>
  <c r="V829" i="58"/>
  <c r="Z829" i="58"/>
  <c r="AA829" i="58"/>
  <c r="Q831" i="58"/>
  <c r="R831" i="58"/>
  <c r="S831" i="58"/>
  <c r="T831" i="58"/>
  <c r="U831" i="58"/>
  <c r="V831" i="58"/>
  <c r="Z831" i="58"/>
  <c r="AA831" i="58"/>
  <c r="Q832" i="58"/>
  <c r="R832" i="58"/>
  <c r="S832" i="58"/>
  <c r="T832" i="58"/>
  <c r="U832" i="58"/>
  <c r="V832" i="58"/>
  <c r="Z832" i="58"/>
  <c r="AA832" i="58"/>
  <c r="Q833" i="58"/>
  <c r="R833" i="58"/>
  <c r="S833" i="58"/>
  <c r="T833" i="58"/>
  <c r="U833" i="58"/>
  <c r="V833" i="58"/>
  <c r="Z833" i="58"/>
  <c r="AA833" i="58"/>
  <c r="Q834" i="58"/>
  <c r="R834" i="58"/>
  <c r="S834" i="58"/>
  <c r="T834" i="58"/>
  <c r="U834" i="58"/>
  <c r="V834" i="58"/>
  <c r="Z834" i="58"/>
  <c r="AA834" i="58"/>
  <c r="Q835" i="58"/>
  <c r="R835" i="58"/>
  <c r="S835" i="58"/>
  <c r="T835" i="58"/>
  <c r="U835" i="58"/>
  <c r="V835" i="58"/>
  <c r="Z835" i="58"/>
  <c r="AA835" i="58"/>
  <c r="Q836" i="58"/>
  <c r="R836" i="58"/>
  <c r="S836" i="58"/>
  <c r="T836" i="58"/>
  <c r="U836" i="58"/>
  <c r="V836" i="58"/>
  <c r="Z836" i="58"/>
  <c r="AA836" i="58"/>
  <c r="Q837" i="58"/>
  <c r="R837" i="58"/>
  <c r="S837" i="58"/>
  <c r="T837" i="58"/>
  <c r="U837" i="58"/>
  <c r="V837" i="58"/>
  <c r="Z837" i="58"/>
  <c r="AA837" i="58"/>
  <c r="Q838" i="58"/>
  <c r="R838" i="58"/>
  <c r="S838" i="58"/>
  <c r="T838" i="58"/>
  <c r="U838" i="58"/>
  <c r="V838" i="58"/>
  <c r="Z838" i="58"/>
  <c r="AA838" i="58"/>
  <c r="Q839" i="58"/>
  <c r="R839" i="58"/>
  <c r="S839" i="58"/>
  <c r="T839" i="58"/>
  <c r="U839" i="58"/>
  <c r="V839" i="58"/>
  <c r="Z839" i="58"/>
  <c r="AA839" i="58"/>
  <c r="Q841" i="58"/>
  <c r="R841" i="58"/>
  <c r="S841" i="58"/>
  <c r="T841" i="58"/>
  <c r="U841" i="58"/>
  <c r="V841" i="58"/>
  <c r="Z841" i="58"/>
  <c r="AA841" i="58"/>
  <c r="Q842" i="58"/>
  <c r="R842" i="58"/>
  <c r="S842" i="58"/>
  <c r="T842" i="58"/>
  <c r="U842" i="58"/>
  <c r="V842" i="58"/>
  <c r="Z842" i="58"/>
  <c r="AA842" i="58"/>
  <c r="Q843" i="58"/>
  <c r="R843" i="58"/>
  <c r="S843" i="58"/>
  <c r="T843" i="58"/>
  <c r="U843" i="58"/>
  <c r="V843" i="58"/>
  <c r="Z843" i="58"/>
  <c r="AA843" i="58"/>
  <c r="Q844" i="58"/>
  <c r="R844" i="58"/>
  <c r="S844" i="58"/>
  <c r="T844" i="58"/>
  <c r="U844" i="58"/>
  <c r="V844" i="58"/>
  <c r="Z844" i="58"/>
  <c r="AA844" i="58"/>
  <c r="Q845" i="58"/>
  <c r="R845" i="58"/>
  <c r="S845" i="58"/>
  <c r="T845" i="58"/>
  <c r="U845" i="58"/>
  <c r="V845" i="58"/>
  <c r="Z845" i="58"/>
  <c r="AA845" i="58"/>
  <c r="Q846" i="58"/>
  <c r="R846" i="58"/>
  <c r="S846" i="58"/>
  <c r="T846" i="58"/>
  <c r="U846" i="58"/>
  <c r="V846" i="58"/>
  <c r="Z846" i="58"/>
  <c r="AA846" i="58"/>
  <c r="Q847" i="58"/>
  <c r="R847" i="58"/>
  <c r="S847" i="58"/>
  <c r="T847" i="58"/>
  <c r="U847" i="58"/>
  <c r="V847" i="58"/>
  <c r="Z847" i="58"/>
  <c r="AA847" i="58"/>
  <c r="Q848" i="58"/>
  <c r="R848" i="58"/>
  <c r="S848" i="58"/>
  <c r="T848" i="58"/>
  <c r="U848" i="58"/>
  <c r="V848" i="58"/>
  <c r="Z848" i="58"/>
  <c r="AA848" i="58"/>
  <c r="Q849" i="58"/>
  <c r="R849" i="58"/>
  <c r="S849" i="58"/>
  <c r="T849" i="58"/>
  <c r="U849" i="58"/>
  <c r="V849" i="58"/>
  <c r="Z849" i="58"/>
  <c r="AA849" i="58"/>
  <c r="Q851" i="58"/>
  <c r="R851" i="58"/>
  <c r="S851" i="58"/>
  <c r="T851" i="58"/>
  <c r="U851" i="58"/>
  <c r="V851" i="58"/>
  <c r="Z851" i="58"/>
  <c r="AA851" i="58"/>
  <c r="Q852" i="58"/>
  <c r="R852" i="58"/>
  <c r="S852" i="58"/>
  <c r="T852" i="58"/>
  <c r="U852" i="58"/>
  <c r="V852" i="58"/>
  <c r="Z852" i="58"/>
  <c r="AA852" i="58"/>
  <c r="Q853" i="58"/>
  <c r="R853" i="58"/>
  <c r="S853" i="58"/>
  <c r="T853" i="58"/>
  <c r="U853" i="58"/>
  <c r="V853" i="58"/>
  <c r="Z853" i="58"/>
  <c r="AA853" i="58"/>
  <c r="Q854" i="58"/>
  <c r="R854" i="58"/>
  <c r="S854" i="58"/>
  <c r="T854" i="58"/>
  <c r="U854" i="58"/>
  <c r="V854" i="58"/>
  <c r="Z854" i="58"/>
  <c r="AA854" i="58"/>
  <c r="Q855" i="58"/>
  <c r="R855" i="58"/>
  <c r="S855" i="58"/>
  <c r="T855" i="58"/>
  <c r="U855" i="58"/>
  <c r="V855" i="58"/>
  <c r="Z855" i="58"/>
  <c r="AA855" i="58"/>
  <c r="Q856" i="58"/>
  <c r="R856" i="58"/>
  <c r="S856" i="58"/>
  <c r="T856" i="58"/>
  <c r="U856" i="58"/>
  <c r="V856" i="58"/>
  <c r="Z856" i="58"/>
  <c r="AA856" i="58"/>
  <c r="Q857" i="58"/>
  <c r="R857" i="58"/>
  <c r="S857" i="58"/>
  <c r="T857" i="58"/>
  <c r="U857" i="58"/>
  <c r="V857" i="58"/>
  <c r="Z857" i="58"/>
  <c r="AA857" i="58"/>
  <c r="Q858" i="58"/>
  <c r="R858" i="58"/>
  <c r="S858" i="58"/>
  <c r="T858" i="58"/>
  <c r="U858" i="58"/>
  <c r="V858" i="58"/>
  <c r="Z858" i="58"/>
  <c r="AA858" i="58"/>
  <c r="Q859" i="58"/>
  <c r="R859" i="58"/>
  <c r="S859" i="58"/>
  <c r="T859" i="58"/>
  <c r="U859" i="58"/>
  <c r="V859" i="58"/>
  <c r="Z859" i="58"/>
  <c r="AA859" i="58"/>
  <c r="Q861" i="58"/>
  <c r="R861" i="58"/>
  <c r="S861" i="58"/>
  <c r="T861" i="58"/>
  <c r="U861" i="58"/>
  <c r="V861" i="58"/>
  <c r="Z861" i="58"/>
  <c r="AA861" i="58"/>
  <c r="Q862" i="58"/>
  <c r="R862" i="58"/>
  <c r="S862" i="58"/>
  <c r="T862" i="58"/>
  <c r="U862" i="58"/>
  <c r="V862" i="58"/>
  <c r="Z862" i="58"/>
  <c r="AA862" i="58"/>
  <c r="R3" i="58"/>
  <c r="S3" i="58"/>
  <c r="T3" i="58"/>
  <c r="U3" i="58"/>
  <c r="V3" i="58"/>
  <c r="Z3" i="58"/>
  <c r="AA3" i="58"/>
  <c r="Q3" i="58"/>
  <c r="A4" i="58"/>
  <c r="B4" i="58"/>
  <c r="C4" i="58"/>
  <c r="D4" i="58"/>
  <c r="E4" i="58"/>
  <c r="F4" i="58"/>
  <c r="G4" i="58"/>
  <c r="I4" i="58"/>
  <c r="J4" i="58"/>
  <c r="K4" i="58"/>
  <c r="L4" i="58"/>
  <c r="A5" i="58"/>
  <c r="B5" i="58"/>
  <c r="C5" i="58"/>
  <c r="D5" i="58"/>
  <c r="E5" i="58"/>
  <c r="F5" i="58"/>
  <c r="G5" i="58"/>
  <c r="H5" i="58"/>
  <c r="I5" i="58"/>
  <c r="J5" i="58"/>
  <c r="K5" i="58"/>
  <c r="L5" i="58"/>
  <c r="A6" i="58"/>
  <c r="B6" i="58"/>
  <c r="C6" i="58"/>
  <c r="D6" i="58"/>
  <c r="E6" i="58"/>
  <c r="F6" i="58"/>
  <c r="G6" i="58"/>
  <c r="H6" i="58"/>
  <c r="I6" i="58"/>
  <c r="J6" i="58"/>
  <c r="K6" i="58"/>
  <c r="L6" i="58"/>
  <c r="A7" i="58"/>
  <c r="B7" i="58"/>
  <c r="C7" i="58"/>
  <c r="D7" i="58"/>
  <c r="E7" i="58"/>
  <c r="F7" i="58"/>
  <c r="G7" i="58"/>
  <c r="H7" i="58"/>
  <c r="I7" i="58"/>
  <c r="J7" i="58"/>
  <c r="K7" i="58"/>
  <c r="L7" i="58"/>
  <c r="A8" i="58"/>
  <c r="B8" i="58"/>
  <c r="C8" i="58"/>
  <c r="D8" i="58"/>
  <c r="E8" i="58"/>
  <c r="F8" i="58"/>
  <c r="G8" i="58"/>
  <c r="H8" i="58"/>
  <c r="I8" i="58"/>
  <c r="J8" i="58"/>
  <c r="K8" i="58"/>
  <c r="L8" i="58"/>
  <c r="A9" i="58"/>
  <c r="B9" i="58"/>
  <c r="C9" i="58"/>
  <c r="D9" i="58"/>
  <c r="E9" i="58"/>
  <c r="F9" i="58"/>
  <c r="G9" i="58"/>
  <c r="H9" i="58"/>
  <c r="I9" i="58"/>
  <c r="J9" i="58"/>
  <c r="K9" i="58"/>
  <c r="L9" i="58"/>
  <c r="A11" i="58"/>
  <c r="B11" i="58"/>
  <c r="C11" i="58"/>
  <c r="D11" i="58"/>
  <c r="E11" i="58"/>
  <c r="F11" i="58"/>
  <c r="G11" i="58"/>
  <c r="H11" i="58"/>
  <c r="I11" i="58"/>
  <c r="J11" i="58"/>
  <c r="K11" i="58"/>
  <c r="L11" i="58"/>
  <c r="A12" i="58"/>
  <c r="B12" i="58"/>
  <c r="C12" i="58"/>
  <c r="D12" i="58"/>
  <c r="E12" i="58"/>
  <c r="F12" i="58"/>
  <c r="G12" i="58"/>
  <c r="H12" i="58"/>
  <c r="I12" i="58"/>
  <c r="J12" i="58"/>
  <c r="K12" i="58"/>
  <c r="L12" i="58"/>
  <c r="A13" i="58"/>
  <c r="B13" i="58"/>
  <c r="C13" i="58"/>
  <c r="D13" i="58"/>
  <c r="E13" i="58"/>
  <c r="F13" i="58"/>
  <c r="G13" i="58"/>
  <c r="H13" i="58"/>
  <c r="I13" i="58"/>
  <c r="J13" i="58"/>
  <c r="K13" i="58"/>
  <c r="L13" i="58"/>
  <c r="A14" i="58"/>
  <c r="B14" i="58"/>
  <c r="C14" i="58"/>
  <c r="D14" i="58"/>
  <c r="E14" i="58"/>
  <c r="F14" i="58"/>
  <c r="G14" i="58"/>
  <c r="H14" i="58"/>
  <c r="I14" i="58"/>
  <c r="J14" i="58"/>
  <c r="K14" i="58"/>
  <c r="L14" i="58"/>
  <c r="A15" i="58"/>
  <c r="B15" i="58"/>
  <c r="C15" i="58"/>
  <c r="D15" i="58"/>
  <c r="E15" i="58"/>
  <c r="F15" i="58"/>
  <c r="G15" i="58"/>
  <c r="H15" i="58"/>
  <c r="I15" i="58"/>
  <c r="J15" i="58"/>
  <c r="K15" i="58"/>
  <c r="L15" i="58"/>
  <c r="A16" i="58"/>
  <c r="B16" i="58"/>
  <c r="C16" i="58"/>
  <c r="D16" i="58"/>
  <c r="E16" i="58"/>
  <c r="F16" i="58"/>
  <c r="G16" i="58"/>
  <c r="H16" i="58"/>
  <c r="I16" i="58"/>
  <c r="J16" i="58"/>
  <c r="K16" i="58"/>
  <c r="L16" i="58"/>
  <c r="A17" i="58"/>
  <c r="B17" i="58"/>
  <c r="C17" i="58"/>
  <c r="D17" i="58"/>
  <c r="E17" i="58"/>
  <c r="F17" i="58"/>
  <c r="G17" i="58"/>
  <c r="H17" i="58"/>
  <c r="I17" i="58"/>
  <c r="J17" i="58"/>
  <c r="K17" i="58"/>
  <c r="L17" i="58"/>
  <c r="A18" i="58"/>
  <c r="B18" i="58"/>
  <c r="C18" i="58"/>
  <c r="D18" i="58"/>
  <c r="E18" i="58"/>
  <c r="F18" i="58"/>
  <c r="G18" i="58"/>
  <c r="H18" i="58"/>
  <c r="I18" i="58"/>
  <c r="J18" i="58"/>
  <c r="K18" i="58"/>
  <c r="L18" i="58"/>
  <c r="A19" i="58"/>
  <c r="B19" i="58"/>
  <c r="C19" i="58"/>
  <c r="D19" i="58"/>
  <c r="E19" i="58"/>
  <c r="F19" i="58"/>
  <c r="G19" i="58"/>
  <c r="H19" i="58"/>
  <c r="I19" i="58"/>
  <c r="J19" i="58"/>
  <c r="K19" i="58"/>
  <c r="L19" i="58"/>
  <c r="A21" i="58"/>
  <c r="B21" i="58"/>
  <c r="C21" i="58"/>
  <c r="D21" i="58"/>
  <c r="E21" i="58"/>
  <c r="F21" i="58"/>
  <c r="G21" i="58"/>
  <c r="H21" i="58"/>
  <c r="I21" i="58"/>
  <c r="J21" i="58"/>
  <c r="K21" i="58"/>
  <c r="L21" i="58"/>
  <c r="A22" i="58"/>
  <c r="B22" i="58"/>
  <c r="C22" i="58"/>
  <c r="D22" i="58"/>
  <c r="E22" i="58"/>
  <c r="F22" i="58"/>
  <c r="G22" i="58"/>
  <c r="H22" i="58"/>
  <c r="I22" i="58"/>
  <c r="J22" i="58"/>
  <c r="K22" i="58"/>
  <c r="L22" i="58"/>
  <c r="A23" i="58"/>
  <c r="B23" i="58"/>
  <c r="C23" i="58"/>
  <c r="D23" i="58"/>
  <c r="E23" i="58"/>
  <c r="F23" i="58"/>
  <c r="G23" i="58"/>
  <c r="H23" i="58"/>
  <c r="I23" i="58"/>
  <c r="J23" i="58"/>
  <c r="K23" i="58"/>
  <c r="L23" i="58"/>
  <c r="A24" i="58"/>
  <c r="B24" i="58"/>
  <c r="C24" i="58"/>
  <c r="D24" i="58"/>
  <c r="E24" i="58"/>
  <c r="F24" i="58"/>
  <c r="G24" i="58"/>
  <c r="H24" i="58"/>
  <c r="I24" i="58"/>
  <c r="J24" i="58"/>
  <c r="K24" i="58"/>
  <c r="L24" i="58"/>
  <c r="A25" i="58"/>
  <c r="B25" i="58"/>
  <c r="C25" i="58"/>
  <c r="D25" i="58"/>
  <c r="E25" i="58"/>
  <c r="F25" i="58"/>
  <c r="G25" i="58"/>
  <c r="H25" i="58"/>
  <c r="I25" i="58"/>
  <c r="J25" i="58"/>
  <c r="K25" i="58"/>
  <c r="L25" i="58"/>
  <c r="A26" i="58"/>
  <c r="B26" i="58"/>
  <c r="C26" i="58"/>
  <c r="D26" i="58"/>
  <c r="E26" i="58"/>
  <c r="F26" i="58"/>
  <c r="G26" i="58"/>
  <c r="H26" i="58"/>
  <c r="I26" i="58"/>
  <c r="J26" i="58"/>
  <c r="K26" i="58"/>
  <c r="L26" i="58"/>
  <c r="A27" i="58"/>
  <c r="B27" i="58"/>
  <c r="C27" i="58"/>
  <c r="D27" i="58"/>
  <c r="E27" i="58"/>
  <c r="F27" i="58"/>
  <c r="G27" i="58"/>
  <c r="H27" i="58"/>
  <c r="I27" i="58"/>
  <c r="J27" i="58"/>
  <c r="K27" i="58"/>
  <c r="L27" i="58"/>
  <c r="A28" i="58"/>
  <c r="B28" i="58"/>
  <c r="C28" i="58"/>
  <c r="D28" i="58"/>
  <c r="E28" i="58"/>
  <c r="F28" i="58"/>
  <c r="G28" i="58"/>
  <c r="H28" i="58"/>
  <c r="I28" i="58"/>
  <c r="J28" i="58"/>
  <c r="K28" i="58"/>
  <c r="L28" i="58"/>
  <c r="A29" i="58"/>
  <c r="B29" i="58"/>
  <c r="C29" i="58"/>
  <c r="D29" i="58"/>
  <c r="E29" i="58"/>
  <c r="F29" i="58"/>
  <c r="G29" i="58"/>
  <c r="H29" i="58"/>
  <c r="I29" i="58"/>
  <c r="J29" i="58"/>
  <c r="K29" i="58"/>
  <c r="L29" i="58"/>
  <c r="A31" i="58"/>
  <c r="B31" i="58"/>
  <c r="C31" i="58"/>
  <c r="D31" i="58"/>
  <c r="E31" i="58"/>
  <c r="F31" i="58"/>
  <c r="G31" i="58"/>
  <c r="H31" i="58"/>
  <c r="I31" i="58"/>
  <c r="J31" i="58"/>
  <c r="K31" i="58"/>
  <c r="L31" i="58"/>
  <c r="A32" i="58"/>
  <c r="B32" i="58"/>
  <c r="C32" i="58"/>
  <c r="D32" i="58"/>
  <c r="E32" i="58"/>
  <c r="F32" i="58"/>
  <c r="G32" i="58"/>
  <c r="H32" i="58"/>
  <c r="I32" i="58"/>
  <c r="J32" i="58"/>
  <c r="K32" i="58"/>
  <c r="L32" i="58"/>
  <c r="A33" i="58"/>
  <c r="B33" i="58"/>
  <c r="C33" i="58"/>
  <c r="D33" i="58"/>
  <c r="E33" i="58"/>
  <c r="F33" i="58"/>
  <c r="G33" i="58"/>
  <c r="H33" i="58"/>
  <c r="I33" i="58"/>
  <c r="J33" i="58"/>
  <c r="K33" i="58"/>
  <c r="L33" i="58"/>
  <c r="A34" i="58"/>
  <c r="B34" i="58"/>
  <c r="C34" i="58"/>
  <c r="D34" i="58"/>
  <c r="E34" i="58"/>
  <c r="F34" i="58"/>
  <c r="G34" i="58"/>
  <c r="H34" i="58"/>
  <c r="I34" i="58"/>
  <c r="J34" i="58"/>
  <c r="K34" i="58"/>
  <c r="L34" i="58"/>
  <c r="A35" i="58"/>
  <c r="B35" i="58"/>
  <c r="C35" i="58"/>
  <c r="D35" i="58"/>
  <c r="E35" i="58"/>
  <c r="F35" i="58"/>
  <c r="G35" i="58"/>
  <c r="H35" i="58"/>
  <c r="I35" i="58"/>
  <c r="J35" i="58"/>
  <c r="K35" i="58"/>
  <c r="L35" i="58"/>
  <c r="A36" i="58"/>
  <c r="B36" i="58"/>
  <c r="C36" i="58"/>
  <c r="D36" i="58"/>
  <c r="E36" i="58"/>
  <c r="F36" i="58"/>
  <c r="G36" i="58"/>
  <c r="H36" i="58"/>
  <c r="I36" i="58"/>
  <c r="J36" i="58"/>
  <c r="K36" i="58"/>
  <c r="L36" i="58"/>
  <c r="A37" i="58"/>
  <c r="B37" i="58"/>
  <c r="C37" i="58"/>
  <c r="D37" i="58"/>
  <c r="E37" i="58"/>
  <c r="F37" i="58"/>
  <c r="G37" i="58"/>
  <c r="H37" i="58"/>
  <c r="I37" i="58"/>
  <c r="J37" i="58"/>
  <c r="K37" i="58"/>
  <c r="L37" i="58"/>
  <c r="A38" i="58"/>
  <c r="B38" i="58"/>
  <c r="C38" i="58"/>
  <c r="D38" i="58"/>
  <c r="E38" i="58"/>
  <c r="F38" i="58"/>
  <c r="G38" i="58"/>
  <c r="H38" i="58"/>
  <c r="I38" i="58"/>
  <c r="J38" i="58"/>
  <c r="K38" i="58"/>
  <c r="L38" i="58"/>
  <c r="A39" i="58"/>
  <c r="B39" i="58"/>
  <c r="C39" i="58"/>
  <c r="D39" i="58"/>
  <c r="E39" i="58"/>
  <c r="F39" i="58"/>
  <c r="G39" i="58"/>
  <c r="H39" i="58"/>
  <c r="I39" i="58"/>
  <c r="J39" i="58"/>
  <c r="K39" i="58"/>
  <c r="L39" i="58"/>
  <c r="A41" i="58"/>
  <c r="B41" i="58"/>
  <c r="C41" i="58"/>
  <c r="D41" i="58"/>
  <c r="E41" i="58"/>
  <c r="F41" i="58"/>
  <c r="G41" i="58"/>
  <c r="H41" i="58"/>
  <c r="I41" i="58"/>
  <c r="J41" i="58"/>
  <c r="K41" i="58"/>
  <c r="L41" i="58"/>
  <c r="A42" i="58"/>
  <c r="B42" i="58"/>
  <c r="C42" i="58"/>
  <c r="D42" i="58"/>
  <c r="E42" i="58"/>
  <c r="F42" i="58"/>
  <c r="G42" i="58"/>
  <c r="H42" i="58"/>
  <c r="I42" i="58"/>
  <c r="J42" i="58"/>
  <c r="K42" i="58"/>
  <c r="L42" i="58"/>
  <c r="A43" i="58"/>
  <c r="B43" i="58"/>
  <c r="C43" i="58"/>
  <c r="D43" i="58"/>
  <c r="E43" i="58"/>
  <c r="F43" i="58"/>
  <c r="G43" i="58"/>
  <c r="H43" i="58"/>
  <c r="I43" i="58"/>
  <c r="J43" i="58"/>
  <c r="K43" i="58"/>
  <c r="L43" i="58"/>
  <c r="A44" i="58"/>
  <c r="B44" i="58"/>
  <c r="C44" i="58"/>
  <c r="D44" i="58"/>
  <c r="E44" i="58"/>
  <c r="F44" i="58"/>
  <c r="G44" i="58"/>
  <c r="H44" i="58"/>
  <c r="I44" i="58"/>
  <c r="J44" i="58"/>
  <c r="K44" i="58"/>
  <c r="L44" i="58"/>
  <c r="A45" i="58"/>
  <c r="B45" i="58"/>
  <c r="C45" i="58"/>
  <c r="D45" i="58"/>
  <c r="E45" i="58"/>
  <c r="F45" i="58"/>
  <c r="G45" i="58"/>
  <c r="H45" i="58"/>
  <c r="I45" i="58"/>
  <c r="J45" i="58"/>
  <c r="K45" i="58"/>
  <c r="L45" i="58"/>
  <c r="A46" i="58"/>
  <c r="B46" i="58"/>
  <c r="C46" i="58"/>
  <c r="D46" i="58"/>
  <c r="E46" i="58"/>
  <c r="F46" i="58"/>
  <c r="G46" i="58"/>
  <c r="H46" i="58"/>
  <c r="I46" i="58"/>
  <c r="J46" i="58"/>
  <c r="K46" i="58"/>
  <c r="L46" i="58"/>
  <c r="A47" i="58"/>
  <c r="B47" i="58"/>
  <c r="C47" i="58"/>
  <c r="D47" i="58"/>
  <c r="E47" i="58"/>
  <c r="F47" i="58"/>
  <c r="G47" i="58"/>
  <c r="H47" i="58"/>
  <c r="I47" i="58"/>
  <c r="J47" i="58"/>
  <c r="K47" i="58"/>
  <c r="L47" i="58"/>
  <c r="A48" i="58"/>
  <c r="B48" i="58"/>
  <c r="C48" i="58"/>
  <c r="D48" i="58"/>
  <c r="E48" i="58"/>
  <c r="F48" i="58"/>
  <c r="G48" i="58"/>
  <c r="H48" i="58"/>
  <c r="I48" i="58"/>
  <c r="J48" i="58"/>
  <c r="K48" i="58"/>
  <c r="L48" i="58"/>
  <c r="A49" i="58"/>
  <c r="B49" i="58"/>
  <c r="C49" i="58"/>
  <c r="D49" i="58"/>
  <c r="E49" i="58"/>
  <c r="F49" i="58"/>
  <c r="G49" i="58"/>
  <c r="H49" i="58"/>
  <c r="I49" i="58"/>
  <c r="J49" i="58"/>
  <c r="K49" i="58"/>
  <c r="L49" i="58"/>
  <c r="A51" i="58"/>
  <c r="B51" i="58"/>
  <c r="C51" i="58"/>
  <c r="D51" i="58"/>
  <c r="E51" i="58"/>
  <c r="F51" i="58"/>
  <c r="G51" i="58"/>
  <c r="H51" i="58"/>
  <c r="I51" i="58"/>
  <c r="J51" i="58"/>
  <c r="K51" i="58"/>
  <c r="L51" i="58"/>
  <c r="A52" i="58"/>
  <c r="B52" i="58"/>
  <c r="C52" i="58"/>
  <c r="D52" i="58"/>
  <c r="E52" i="58"/>
  <c r="F52" i="58"/>
  <c r="G52" i="58"/>
  <c r="H52" i="58"/>
  <c r="I52" i="58"/>
  <c r="J52" i="58"/>
  <c r="K52" i="58"/>
  <c r="L52" i="58"/>
  <c r="A53" i="58"/>
  <c r="B53" i="58"/>
  <c r="C53" i="58"/>
  <c r="D53" i="58"/>
  <c r="E53" i="58"/>
  <c r="F53" i="58"/>
  <c r="G53" i="58"/>
  <c r="H53" i="58"/>
  <c r="I53" i="58"/>
  <c r="J53" i="58"/>
  <c r="K53" i="58"/>
  <c r="L53" i="58"/>
  <c r="A54" i="58"/>
  <c r="B54" i="58"/>
  <c r="C54" i="58"/>
  <c r="D54" i="58"/>
  <c r="E54" i="58"/>
  <c r="F54" i="58"/>
  <c r="G54" i="58"/>
  <c r="H54" i="58"/>
  <c r="I54" i="58"/>
  <c r="J54" i="58"/>
  <c r="K54" i="58"/>
  <c r="L54" i="58"/>
  <c r="A55" i="58"/>
  <c r="B55" i="58"/>
  <c r="C55" i="58"/>
  <c r="D55" i="58"/>
  <c r="E55" i="58"/>
  <c r="F55" i="58"/>
  <c r="G55" i="58"/>
  <c r="H55" i="58"/>
  <c r="I55" i="58"/>
  <c r="J55" i="58"/>
  <c r="K55" i="58"/>
  <c r="L55" i="58"/>
  <c r="A56" i="58"/>
  <c r="B56" i="58"/>
  <c r="C56" i="58"/>
  <c r="D56" i="58"/>
  <c r="E56" i="58"/>
  <c r="F56" i="58"/>
  <c r="G56" i="58"/>
  <c r="H56" i="58"/>
  <c r="I56" i="58"/>
  <c r="J56" i="58"/>
  <c r="K56" i="58"/>
  <c r="L56" i="58"/>
  <c r="A57" i="58"/>
  <c r="B57" i="58"/>
  <c r="C57" i="58"/>
  <c r="D57" i="58"/>
  <c r="E57" i="58"/>
  <c r="F57" i="58"/>
  <c r="G57" i="58"/>
  <c r="H57" i="58"/>
  <c r="I57" i="58"/>
  <c r="J57" i="58"/>
  <c r="K57" i="58"/>
  <c r="L57" i="58"/>
  <c r="A58" i="58"/>
  <c r="B58" i="58"/>
  <c r="C58" i="58"/>
  <c r="D58" i="58"/>
  <c r="E58" i="58"/>
  <c r="F58" i="58"/>
  <c r="G58" i="58"/>
  <c r="H58" i="58"/>
  <c r="I58" i="58"/>
  <c r="J58" i="58"/>
  <c r="K58" i="58"/>
  <c r="L58" i="58"/>
  <c r="A59" i="58"/>
  <c r="B59" i="58"/>
  <c r="C59" i="58"/>
  <c r="D59" i="58"/>
  <c r="E59" i="58"/>
  <c r="F59" i="58"/>
  <c r="G59" i="58"/>
  <c r="H59" i="58"/>
  <c r="I59" i="58"/>
  <c r="J59" i="58"/>
  <c r="K59" i="58"/>
  <c r="L59" i="58"/>
  <c r="A61" i="58"/>
  <c r="B61" i="58"/>
  <c r="C61" i="58"/>
  <c r="D61" i="58"/>
  <c r="E61" i="58"/>
  <c r="F61" i="58"/>
  <c r="G61" i="58"/>
  <c r="H61" i="58"/>
  <c r="I61" i="58"/>
  <c r="J61" i="58"/>
  <c r="K61" i="58"/>
  <c r="L61" i="58"/>
  <c r="A62" i="58"/>
  <c r="B62" i="58"/>
  <c r="C62" i="58"/>
  <c r="D62" i="58"/>
  <c r="E62" i="58"/>
  <c r="F62" i="58"/>
  <c r="G62" i="58"/>
  <c r="H62" i="58"/>
  <c r="I62" i="58"/>
  <c r="J62" i="58"/>
  <c r="K62" i="58"/>
  <c r="L62" i="58"/>
  <c r="A63" i="58"/>
  <c r="B63" i="58"/>
  <c r="C63" i="58"/>
  <c r="D63" i="58"/>
  <c r="E63" i="58"/>
  <c r="F63" i="58"/>
  <c r="G63" i="58"/>
  <c r="H63" i="58"/>
  <c r="I63" i="58"/>
  <c r="J63" i="58"/>
  <c r="K63" i="58"/>
  <c r="L63" i="58"/>
  <c r="A64" i="58"/>
  <c r="B64" i="58"/>
  <c r="C64" i="58"/>
  <c r="D64" i="58"/>
  <c r="E64" i="58"/>
  <c r="F64" i="58"/>
  <c r="G64" i="58"/>
  <c r="H64" i="58"/>
  <c r="I64" i="58"/>
  <c r="J64" i="58"/>
  <c r="K64" i="58"/>
  <c r="L64" i="58"/>
  <c r="A65" i="58"/>
  <c r="B65" i="58"/>
  <c r="C65" i="58"/>
  <c r="D65" i="58"/>
  <c r="E65" i="58"/>
  <c r="F65" i="58"/>
  <c r="G65" i="58"/>
  <c r="H65" i="58"/>
  <c r="I65" i="58"/>
  <c r="J65" i="58"/>
  <c r="K65" i="58"/>
  <c r="L65" i="58"/>
  <c r="A66" i="58"/>
  <c r="B66" i="58"/>
  <c r="C66" i="58"/>
  <c r="D66" i="58"/>
  <c r="E66" i="58"/>
  <c r="F66" i="58"/>
  <c r="G66" i="58"/>
  <c r="H66" i="58"/>
  <c r="I66" i="58"/>
  <c r="J66" i="58"/>
  <c r="K66" i="58"/>
  <c r="L66" i="58"/>
  <c r="A67" i="58"/>
  <c r="B67" i="58"/>
  <c r="C67" i="58"/>
  <c r="D67" i="58"/>
  <c r="E67" i="58"/>
  <c r="F67" i="58"/>
  <c r="G67" i="58"/>
  <c r="H67" i="58"/>
  <c r="I67" i="58"/>
  <c r="J67" i="58"/>
  <c r="K67" i="58"/>
  <c r="L67" i="58"/>
  <c r="A68" i="58"/>
  <c r="B68" i="58"/>
  <c r="C68" i="58"/>
  <c r="D68" i="58"/>
  <c r="E68" i="58"/>
  <c r="F68" i="58"/>
  <c r="G68" i="58"/>
  <c r="H68" i="58"/>
  <c r="I68" i="58"/>
  <c r="J68" i="58"/>
  <c r="K68" i="58"/>
  <c r="L68" i="58"/>
  <c r="A69" i="58"/>
  <c r="B69" i="58"/>
  <c r="C69" i="58"/>
  <c r="D69" i="58"/>
  <c r="E69" i="58"/>
  <c r="F69" i="58"/>
  <c r="G69" i="58"/>
  <c r="H69" i="58"/>
  <c r="I69" i="58"/>
  <c r="J69" i="58"/>
  <c r="K69" i="58"/>
  <c r="L69" i="58"/>
  <c r="A71" i="58"/>
  <c r="B71" i="58"/>
  <c r="C71" i="58"/>
  <c r="D71" i="58"/>
  <c r="E71" i="58"/>
  <c r="F71" i="58"/>
  <c r="G71" i="58"/>
  <c r="H71" i="58"/>
  <c r="I71" i="58"/>
  <c r="J71" i="58"/>
  <c r="K71" i="58"/>
  <c r="L71" i="58"/>
  <c r="A72" i="58"/>
  <c r="B72" i="58"/>
  <c r="C72" i="58"/>
  <c r="D72" i="58"/>
  <c r="E72" i="58"/>
  <c r="F72" i="58"/>
  <c r="G72" i="58"/>
  <c r="H72" i="58"/>
  <c r="I72" i="58"/>
  <c r="J72" i="58"/>
  <c r="K72" i="58"/>
  <c r="L72" i="58"/>
  <c r="A73" i="58"/>
  <c r="B73" i="58"/>
  <c r="C73" i="58"/>
  <c r="D73" i="58"/>
  <c r="E73" i="58"/>
  <c r="F73" i="58"/>
  <c r="G73" i="58"/>
  <c r="H73" i="58"/>
  <c r="I73" i="58"/>
  <c r="J73" i="58"/>
  <c r="K73" i="58"/>
  <c r="L73" i="58"/>
  <c r="A74" i="58"/>
  <c r="B74" i="58"/>
  <c r="C74" i="58"/>
  <c r="D74" i="58"/>
  <c r="E74" i="58"/>
  <c r="F74" i="58"/>
  <c r="G74" i="58"/>
  <c r="H74" i="58"/>
  <c r="I74" i="58"/>
  <c r="J74" i="58"/>
  <c r="K74" i="58"/>
  <c r="L74" i="58"/>
  <c r="A75" i="58"/>
  <c r="B75" i="58"/>
  <c r="C75" i="58"/>
  <c r="D75" i="58"/>
  <c r="E75" i="58"/>
  <c r="F75" i="58"/>
  <c r="G75" i="58"/>
  <c r="H75" i="58"/>
  <c r="I75" i="58"/>
  <c r="J75" i="58"/>
  <c r="K75" i="58"/>
  <c r="L75" i="58"/>
  <c r="A76" i="58"/>
  <c r="B76" i="58"/>
  <c r="C76" i="58"/>
  <c r="D76" i="58"/>
  <c r="E76" i="58"/>
  <c r="F76" i="58"/>
  <c r="G76" i="58"/>
  <c r="H76" i="58"/>
  <c r="I76" i="58"/>
  <c r="J76" i="58"/>
  <c r="K76" i="58"/>
  <c r="L76" i="58"/>
  <c r="A77" i="58"/>
  <c r="B77" i="58"/>
  <c r="C77" i="58"/>
  <c r="D77" i="58"/>
  <c r="E77" i="58"/>
  <c r="F77" i="58"/>
  <c r="G77" i="58"/>
  <c r="H77" i="58"/>
  <c r="I77" i="58"/>
  <c r="J77" i="58"/>
  <c r="K77" i="58"/>
  <c r="L77" i="58"/>
  <c r="A78" i="58"/>
  <c r="B78" i="58"/>
  <c r="C78" i="58"/>
  <c r="D78" i="58"/>
  <c r="E78" i="58"/>
  <c r="F78" i="58"/>
  <c r="G78" i="58"/>
  <c r="H78" i="58"/>
  <c r="I78" i="58"/>
  <c r="J78" i="58"/>
  <c r="K78" i="58"/>
  <c r="L78" i="58"/>
  <c r="A79" i="58"/>
  <c r="B79" i="58"/>
  <c r="C79" i="58"/>
  <c r="D79" i="58"/>
  <c r="E79" i="58"/>
  <c r="F79" i="58"/>
  <c r="G79" i="58"/>
  <c r="H79" i="58"/>
  <c r="I79" i="58"/>
  <c r="J79" i="58"/>
  <c r="K79" i="58"/>
  <c r="L79" i="58"/>
  <c r="A81" i="58"/>
  <c r="B81" i="58"/>
  <c r="C81" i="58"/>
  <c r="D81" i="58"/>
  <c r="E81" i="58"/>
  <c r="F81" i="58"/>
  <c r="G81" i="58"/>
  <c r="H81" i="58"/>
  <c r="I81" i="58"/>
  <c r="J81" i="58"/>
  <c r="K81" i="58"/>
  <c r="L81" i="58"/>
  <c r="A82" i="58"/>
  <c r="B82" i="58"/>
  <c r="C82" i="58"/>
  <c r="D82" i="58"/>
  <c r="E82" i="58"/>
  <c r="F82" i="58"/>
  <c r="G82" i="58"/>
  <c r="H82" i="58"/>
  <c r="I82" i="58"/>
  <c r="J82" i="58"/>
  <c r="K82" i="58"/>
  <c r="L82" i="58"/>
  <c r="A83" i="58"/>
  <c r="B83" i="58"/>
  <c r="C83" i="58"/>
  <c r="D83" i="58"/>
  <c r="E83" i="58"/>
  <c r="F83" i="58"/>
  <c r="G83" i="58"/>
  <c r="H83" i="58"/>
  <c r="I83" i="58"/>
  <c r="J83" i="58"/>
  <c r="K83" i="58"/>
  <c r="L83" i="58"/>
  <c r="A84" i="58"/>
  <c r="B84" i="58"/>
  <c r="C84" i="58"/>
  <c r="D84" i="58"/>
  <c r="E84" i="58"/>
  <c r="F84" i="58"/>
  <c r="G84" i="58"/>
  <c r="H84" i="58"/>
  <c r="I84" i="58"/>
  <c r="J84" i="58"/>
  <c r="K84" i="58"/>
  <c r="L84" i="58"/>
  <c r="A85" i="58"/>
  <c r="B85" i="58"/>
  <c r="C85" i="58"/>
  <c r="D85" i="58"/>
  <c r="E85" i="58"/>
  <c r="F85" i="58"/>
  <c r="G85" i="58"/>
  <c r="H85" i="58"/>
  <c r="I85" i="58"/>
  <c r="J85" i="58"/>
  <c r="K85" i="58"/>
  <c r="L85" i="58"/>
  <c r="A86" i="58"/>
  <c r="B86" i="58"/>
  <c r="C86" i="58"/>
  <c r="D86" i="58"/>
  <c r="E86" i="58"/>
  <c r="F86" i="58"/>
  <c r="G86" i="58"/>
  <c r="H86" i="58"/>
  <c r="I86" i="58"/>
  <c r="J86" i="58"/>
  <c r="K86" i="58"/>
  <c r="L86" i="58"/>
  <c r="A87" i="58"/>
  <c r="B87" i="58"/>
  <c r="C87" i="58"/>
  <c r="D87" i="58"/>
  <c r="E87" i="58"/>
  <c r="F87" i="58"/>
  <c r="G87" i="58"/>
  <c r="H87" i="58"/>
  <c r="I87" i="58"/>
  <c r="J87" i="58"/>
  <c r="K87" i="58"/>
  <c r="L87" i="58"/>
  <c r="A88" i="58"/>
  <c r="B88" i="58"/>
  <c r="C88" i="58"/>
  <c r="D88" i="58"/>
  <c r="E88" i="58"/>
  <c r="F88" i="58"/>
  <c r="G88" i="58"/>
  <c r="H88" i="58"/>
  <c r="I88" i="58"/>
  <c r="J88" i="58"/>
  <c r="K88" i="58"/>
  <c r="L88" i="58"/>
  <c r="A89" i="58"/>
  <c r="B89" i="58"/>
  <c r="C89" i="58"/>
  <c r="D89" i="58"/>
  <c r="E89" i="58"/>
  <c r="F89" i="58"/>
  <c r="G89" i="58"/>
  <c r="H89" i="58"/>
  <c r="I89" i="58"/>
  <c r="J89" i="58"/>
  <c r="K89" i="58"/>
  <c r="L89" i="58"/>
  <c r="A91" i="58"/>
  <c r="B91" i="58"/>
  <c r="C91" i="58"/>
  <c r="D91" i="58"/>
  <c r="E91" i="58"/>
  <c r="F91" i="58"/>
  <c r="G91" i="58"/>
  <c r="H91" i="58"/>
  <c r="I91" i="58"/>
  <c r="J91" i="58"/>
  <c r="K91" i="58"/>
  <c r="L91" i="58"/>
  <c r="A92" i="58"/>
  <c r="B92" i="58"/>
  <c r="C92" i="58"/>
  <c r="D92" i="58"/>
  <c r="E92" i="58"/>
  <c r="F92" i="58"/>
  <c r="G92" i="58"/>
  <c r="H92" i="58"/>
  <c r="I92" i="58"/>
  <c r="J92" i="58"/>
  <c r="K92" i="58"/>
  <c r="L92" i="58"/>
  <c r="A93" i="58"/>
  <c r="B93" i="58"/>
  <c r="C93" i="58"/>
  <c r="D93" i="58"/>
  <c r="E93" i="58"/>
  <c r="F93" i="58"/>
  <c r="G93" i="58"/>
  <c r="H93" i="58"/>
  <c r="I93" i="58"/>
  <c r="J93" i="58"/>
  <c r="K93" i="58"/>
  <c r="L93" i="58"/>
  <c r="A94" i="58"/>
  <c r="B94" i="58"/>
  <c r="C94" i="58"/>
  <c r="D94" i="58"/>
  <c r="E94" i="58"/>
  <c r="F94" i="58"/>
  <c r="G94" i="58"/>
  <c r="H94" i="58"/>
  <c r="I94" i="58"/>
  <c r="J94" i="58"/>
  <c r="K94" i="58"/>
  <c r="L94" i="58"/>
  <c r="A95" i="58"/>
  <c r="B95" i="58"/>
  <c r="C95" i="58"/>
  <c r="D95" i="58"/>
  <c r="E95" i="58"/>
  <c r="F95" i="58"/>
  <c r="G95" i="58"/>
  <c r="H95" i="58"/>
  <c r="I95" i="58"/>
  <c r="J95" i="58"/>
  <c r="K95" i="58"/>
  <c r="L95" i="58"/>
  <c r="A96" i="58"/>
  <c r="B96" i="58"/>
  <c r="C96" i="58"/>
  <c r="D96" i="58"/>
  <c r="E96" i="58"/>
  <c r="F96" i="58"/>
  <c r="G96" i="58"/>
  <c r="H96" i="58"/>
  <c r="I96" i="58"/>
  <c r="J96" i="58"/>
  <c r="K96" i="58"/>
  <c r="L96" i="58"/>
  <c r="A97" i="58"/>
  <c r="B97" i="58"/>
  <c r="C97" i="58"/>
  <c r="D97" i="58"/>
  <c r="E97" i="58"/>
  <c r="F97" i="58"/>
  <c r="G97" i="58"/>
  <c r="H97" i="58"/>
  <c r="I97" i="58"/>
  <c r="J97" i="58"/>
  <c r="K97" i="58"/>
  <c r="L97" i="58"/>
  <c r="A98" i="58"/>
  <c r="B98" i="58"/>
  <c r="C98" i="58"/>
  <c r="D98" i="58"/>
  <c r="E98" i="58"/>
  <c r="F98" i="58"/>
  <c r="G98" i="58"/>
  <c r="H98" i="58"/>
  <c r="I98" i="58"/>
  <c r="J98" i="58"/>
  <c r="K98" i="58"/>
  <c r="L98" i="58"/>
  <c r="A99" i="58"/>
  <c r="B99" i="58"/>
  <c r="C99" i="58"/>
  <c r="D99" i="58"/>
  <c r="E99" i="58"/>
  <c r="F99" i="58"/>
  <c r="G99" i="58"/>
  <c r="H99" i="58"/>
  <c r="I99" i="58"/>
  <c r="J99" i="58"/>
  <c r="K99" i="58"/>
  <c r="L99" i="58"/>
  <c r="A111" i="58"/>
  <c r="B111" i="58"/>
  <c r="C111" i="58"/>
  <c r="D111" i="58"/>
  <c r="E111" i="58"/>
  <c r="F111" i="58"/>
  <c r="G111" i="58"/>
  <c r="H111" i="58"/>
  <c r="I111" i="58"/>
  <c r="J111" i="58"/>
  <c r="K111" i="58"/>
  <c r="L111" i="58"/>
  <c r="A112" i="58"/>
  <c r="B112" i="58"/>
  <c r="C112" i="58"/>
  <c r="D112" i="58"/>
  <c r="E112" i="58"/>
  <c r="F112" i="58"/>
  <c r="G112" i="58"/>
  <c r="H112" i="58"/>
  <c r="I112" i="58"/>
  <c r="J112" i="58"/>
  <c r="K112" i="58"/>
  <c r="L112" i="58"/>
  <c r="A113" i="58"/>
  <c r="B113" i="58"/>
  <c r="C113" i="58"/>
  <c r="D113" i="58"/>
  <c r="E113" i="58"/>
  <c r="F113" i="58"/>
  <c r="G113" i="58"/>
  <c r="H113" i="58"/>
  <c r="I113" i="58"/>
  <c r="J113" i="58"/>
  <c r="K113" i="58"/>
  <c r="L113" i="58"/>
  <c r="A114" i="58"/>
  <c r="B114" i="58"/>
  <c r="C114" i="58"/>
  <c r="D114" i="58"/>
  <c r="E114" i="58"/>
  <c r="F114" i="58"/>
  <c r="G114" i="58"/>
  <c r="H114" i="58"/>
  <c r="I114" i="58"/>
  <c r="J114" i="58"/>
  <c r="K114" i="58"/>
  <c r="L114" i="58"/>
  <c r="A115" i="58"/>
  <c r="B115" i="58"/>
  <c r="C115" i="58"/>
  <c r="D115" i="58"/>
  <c r="E115" i="58"/>
  <c r="F115" i="58"/>
  <c r="G115" i="58"/>
  <c r="H115" i="58"/>
  <c r="I115" i="58"/>
  <c r="J115" i="58"/>
  <c r="K115" i="58"/>
  <c r="L115" i="58"/>
  <c r="A116" i="58"/>
  <c r="B116" i="58"/>
  <c r="C116" i="58"/>
  <c r="D116" i="58"/>
  <c r="E116" i="58"/>
  <c r="F116" i="58"/>
  <c r="G116" i="58"/>
  <c r="H116" i="58"/>
  <c r="I116" i="58"/>
  <c r="J116" i="58"/>
  <c r="K116" i="58"/>
  <c r="L116" i="58"/>
  <c r="A117" i="58"/>
  <c r="B117" i="58"/>
  <c r="C117" i="58"/>
  <c r="D117" i="58"/>
  <c r="E117" i="58"/>
  <c r="F117" i="58"/>
  <c r="G117" i="58"/>
  <c r="H117" i="58"/>
  <c r="I117" i="58"/>
  <c r="J117" i="58"/>
  <c r="K117" i="58"/>
  <c r="L117" i="58"/>
  <c r="A118" i="58"/>
  <c r="B118" i="58"/>
  <c r="C118" i="58"/>
  <c r="D118" i="58"/>
  <c r="E118" i="58"/>
  <c r="F118" i="58"/>
  <c r="G118" i="58"/>
  <c r="H118" i="58"/>
  <c r="I118" i="58"/>
  <c r="J118" i="58"/>
  <c r="K118" i="58"/>
  <c r="L118" i="58"/>
  <c r="A119" i="58"/>
  <c r="B119" i="58"/>
  <c r="C119" i="58"/>
  <c r="D119" i="58"/>
  <c r="E119" i="58"/>
  <c r="F119" i="58"/>
  <c r="G119" i="58"/>
  <c r="H119" i="58"/>
  <c r="I119" i="58"/>
  <c r="J119" i="58"/>
  <c r="K119" i="58"/>
  <c r="L119" i="58"/>
  <c r="A121" i="58"/>
  <c r="B121" i="58"/>
  <c r="C121" i="58"/>
  <c r="D121" i="58"/>
  <c r="E121" i="58"/>
  <c r="F121" i="58"/>
  <c r="G121" i="58"/>
  <c r="H121" i="58"/>
  <c r="I121" i="58"/>
  <c r="J121" i="58"/>
  <c r="K121" i="58"/>
  <c r="L121" i="58"/>
  <c r="A122" i="58"/>
  <c r="B122" i="58"/>
  <c r="C122" i="58"/>
  <c r="D122" i="58"/>
  <c r="E122" i="58"/>
  <c r="F122" i="58"/>
  <c r="G122" i="58"/>
  <c r="H122" i="58"/>
  <c r="I122" i="58"/>
  <c r="J122" i="58"/>
  <c r="K122" i="58"/>
  <c r="L122" i="58"/>
  <c r="A123" i="58"/>
  <c r="B123" i="58"/>
  <c r="C123" i="58"/>
  <c r="D123" i="58"/>
  <c r="E123" i="58"/>
  <c r="F123" i="58"/>
  <c r="G123" i="58"/>
  <c r="H123" i="58"/>
  <c r="I123" i="58"/>
  <c r="J123" i="58"/>
  <c r="K123" i="58"/>
  <c r="L123" i="58"/>
  <c r="A124" i="58"/>
  <c r="B124" i="58"/>
  <c r="C124" i="58"/>
  <c r="D124" i="58"/>
  <c r="E124" i="58"/>
  <c r="F124" i="58"/>
  <c r="G124" i="58"/>
  <c r="H124" i="58"/>
  <c r="I124" i="58"/>
  <c r="J124" i="58"/>
  <c r="K124" i="58"/>
  <c r="L124" i="58"/>
  <c r="A125" i="58"/>
  <c r="B125" i="58"/>
  <c r="C125" i="58"/>
  <c r="D125" i="58"/>
  <c r="E125" i="58"/>
  <c r="F125" i="58"/>
  <c r="G125" i="58"/>
  <c r="H125" i="58"/>
  <c r="I125" i="58"/>
  <c r="J125" i="58"/>
  <c r="K125" i="58"/>
  <c r="L125" i="58"/>
  <c r="A126" i="58"/>
  <c r="B126" i="58"/>
  <c r="C126" i="58"/>
  <c r="D126" i="58"/>
  <c r="E126" i="58"/>
  <c r="F126" i="58"/>
  <c r="G126" i="58"/>
  <c r="H126" i="58"/>
  <c r="I126" i="58"/>
  <c r="J126" i="58"/>
  <c r="K126" i="58"/>
  <c r="L126" i="58"/>
  <c r="A127" i="58"/>
  <c r="B127" i="58"/>
  <c r="C127" i="58"/>
  <c r="D127" i="58"/>
  <c r="E127" i="58"/>
  <c r="F127" i="58"/>
  <c r="G127" i="58"/>
  <c r="H127" i="58"/>
  <c r="I127" i="58"/>
  <c r="J127" i="58"/>
  <c r="K127" i="58"/>
  <c r="L127" i="58"/>
  <c r="A128" i="58"/>
  <c r="B128" i="58"/>
  <c r="C128" i="58"/>
  <c r="D128" i="58"/>
  <c r="E128" i="58"/>
  <c r="F128" i="58"/>
  <c r="G128" i="58"/>
  <c r="H128" i="58"/>
  <c r="I128" i="58"/>
  <c r="J128" i="58"/>
  <c r="K128" i="58"/>
  <c r="L128" i="58"/>
  <c r="A129" i="58"/>
  <c r="B129" i="58"/>
  <c r="C129" i="58"/>
  <c r="D129" i="58"/>
  <c r="E129" i="58"/>
  <c r="F129" i="58"/>
  <c r="G129" i="58"/>
  <c r="H129" i="58"/>
  <c r="I129" i="58"/>
  <c r="J129" i="58"/>
  <c r="K129" i="58"/>
  <c r="L129" i="58"/>
  <c r="A131" i="58"/>
  <c r="B131" i="58"/>
  <c r="C131" i="58"/>
  <c r="D131" i="58"/>
  <c r="E131" i="58"/>
  <c r="F131" i="58"/>
  <c r="G131" i="58"/>
  <c r="H131" i="58"/>
  <c r="I131" i="58"/>
  <c r="J131" i="58"/>
  <c r="K131" i="58"/>
  <c r="L131" i="58"/>
  <c r="A132" i="58"/>
  <c r="B132" i="58"/>
  <c r="C132" i="58"/>
  <c r="D132" i="58"/>
  <c r="E132" i="58"/>
  <c r="F132" i="58"/>
  <c r="G132" i="58"/>
  <c r="H132" i="58"/>
  <c r="I132" i="58"/>
  <c r="J132" i="58"/>
  <c r="K132" i="58"/>
  <c r="L132" i="58"/>
  <c r="A133" i="58"/>
  <c r="B133" i="58"/>
  <c r="C133" i="58"/>
  <c r="D133" i="58"/>
  <c r="E133" i="58"/>
  <c r="F133" i="58"/>
  <c r="G133" i="58"/>
  <c r="H133" i="58"/>
  <c r="I133" i="58"/>
  <c r="J133" i="58"/>
  <c r="K133" i="58"/>
  <c r="L133" i="58"/>
  <c r="A134" i="58"/>
  <c r="B134" i="58"/>
  <c r="C134" i="58"/>
  <c r="D134" i="58"/>
  <c r="E134" i="58"/>
  <c r="F134" i="58"/>
  <c r="G134" i="58"/>
  <c r="H134" i="58"/>
  <c r="I134" i="58"/>
  <c r="J134" i="58"/>
  <c r="K134" i="58"/>
  <c r="L134" i="58"/>
  <c r="A135" i="58"/>
  <c r="B135" i="58"/>
  <c r="C135" i="58"/>
  <c r="D135" i="58"/>
  <c r="E135" i="58"/>
  <c r="F135" i="58"/>
  <c r="G135" i="58"/>
  <c r="H135" i="58"/>
  <c r="I135" i="58"/>
  <c r="J135" i="58"/>
  <c r="K135" i="58"/>
  <c r="L135" i="58"/>
  <c r="A136" i="58"/>
  <c r="B136" i="58"/>
  <c r="C136" i="58"/>
  <c r="D136" i="58"/>
  <c r="E136" i="58"/>
  <c r="F136" i="58"/>
  <c r="G136" i="58"/>
  <c r="H136" i="58"/>
  <c r="I136" i="58"/>
  <c r="J136" i="58"/>
  <c r="K136" i="58"/>
  <c r="L136" i="58"/>
  <c r="A137" i="58"/>
  <c r="B137" i="58"/>
  <c r="C137" i="58"/>
  <c r="D137" i="58"/>
  <c r="E137" i="58"/>
  <c r="F137" i="58"/>
  <c r="G137" i="58"/>
  <c r="H137" i="58"/>
  <c r="I137" i="58"/>
  <c r="J137" i="58"/>
  <c r="K137" i="58"/>
  <c r="L137" i="58"/>
  <c r="A138" i="58"/>
  <c r="B138" i="58"/>
  <c r="C138" i="58"/>
  <c r="D138" i="58"/>
  <c r="E138" i="58"/>
  <c r="F138" i="58"/>
  <c r="G138" i="58"/>
  <c r="H138" i="58"/>
  <c r="I138" i="58"/>
  <c r="J138" i="58"/>
  <c r="K138" i="58"/>
  <c r="L138" i="58"/>
  <c r="A139" i="58"/>
  <c r="B139" i="58"/>
  <c r="C139" i="58"/>
  <c r="D139" i="58"/>
  <c r="E139" i="58"/>
  <c r="F139" i="58"/>
  <c r="G139" i="58"/>
  <c r="H139" i="58"/>
  <c r="I139" i="58"/>
  <c r="J139" i="58"/>
  <c r="K139" i="58"/>
  <c r="L139" i="58"/>
  <c r="A141" i="58"/>
  <c r="B141" i="58"/>
  <c r="C141" i="58"/>
  <c r="D141" i="58"/>
  <c r="E141" i="58"/>
  <c r="F141" i="58"/>
  <c r="G141" i="58"/>
  <c r="H141" i="58"/>
  <c r="I141" i="58"/>
  <c r="J141" i="58"/>
  <c r="K141" i="58"/>
  <c r="L141" i="58"/>
  <c r="A142" i="58"/>
  <c r="B142" i="58"/>
  <c r="C142" i="58"/>
  <c r="D142" i="58"/>
  <c r="E142" i="58"/>
  <c r="F142" i="58"/>
  <c r="G142" i="58"/>
  <c r="H142" i="58"/>
  <c r="I142" i="58"/>
  <c r="J142" i="58"/>
  <c r="K142" i="58"/>
  <c r="L142" i="58"/>
  <c r="A143" i="58"/>
  <c r="B143" i="58"/>
  <c r="C143" i="58"/>
  <c r="D143" i="58"/>
  <c r="E143" i="58"/>
  <c r="F143" i="58"/>
  <c r="G143" i="58"/>
  <c r="H143" i="58"/>
  <c r="I143" i="58"/>
  <c r="J143" i="58"/>
  <c r="K143" i="58"/>
  <c r="L143" i="58"/>
  <c r="A144" i="58"/>
  <c r="B144" i="58"/>
  <c r="C144" i="58"/>
  <c r="D144" i="58"/>
  <c r="E144" i="58"/>
  <c r="F144" i="58"/>
  <c r="G144" i="58"/>
  <c r="H144" i="58"/>
  <c r="I144" i="58"/>
  <c r="J144" i="58"/>
  <c r="K144" i="58"/>
  <c r="L144" i="58"/>
  <c r="A145" i="58"/>
  <c r="B145" i="58"/>
  <c r="C145" i="58"/>
  <c r="D145" i="58"/>
  <c r="E145" i="58"/>
  <c r="F145" i="58"/>
  <c r="G145" i="58"/>
  <c r="H145" i="58"/>
  <c r="I145" i="58"/>
  <c r="J145" i="58"/>
  <c r="K145" i="58"/>
  <c r="L145" i="58"/>
  <c r="A146" i="58"/>
  <c r="B146" i="58"/>
  <c r="C146" i="58"/>
  <c r="D146" i="58"/>
  <c r="E146" i="58"/>
  <c r="F146" i="58"/>
  <c r="G146" i="58"/>
  <c r="H146" i="58"/>
  <c r="I146" i="58"/>
  <c r="J146" i="58"/>
  <c r="K146" i="58"/>
  <c r="L146" i="58"/>
  <c r="A147" i="58"/>
  <c r="B147" i="58"/>
  <c r="C147" i="58"/>
  <c r="D147" i="58"/>
  <c r="E147" i="58"/>
  <c r="F147" i="58"/>
  <c r="G147" i="58"/>
  <c r="H147" i="58"/>
  <c r="I147" i="58"/>
  <c r="J147" i="58"/>
  <c r="K147" i="58"/>
  <c r="L147" i="58"/>
  <c r="A148" i="58"/>
  <c r="B148" i="58"/>
  <c r="C148" i="58"/>
  <c r="D148" i="58"/>
  <c r="E148" i="58"/>
  <c r="F148" i="58"/>
  <c r="G148" i="58"/>
  <c r="H148" i="58"/>
  <c r="I148" i="58"/>
  <c r="J148" i="58"/>
  <c r="K148" i="58"/>
  <c r="L148" i="58"/>
  <c r="A149" i="58"/>
  <c r="B149" i="58"/>
  <c r="C149" i="58"/>
  <c r="D149" i="58"/>
  <c r="E149" i="58"/>
  <c r="F149" i="58"/>
  <c r="G149" i="58"/>
  <c r="H149" i="58"/>
  <c r="I149" i="58"/>
  <c r="J149" i="58"/>
  <c r="K149" i="58"/>
  <c r="L149" i="58"/>
  <c r="A151" i="58"/>
  <c r="B151" i="58"/>
  <c r="C151" i="58"/>
  <c r="D151" i="58"/>
  <c r="E151" i="58"/>
  <c r="F151" i="58"/>
  <c r="G151" i="58"/>
  <c r="H151" i="58"/>
  <c r="I151" i="58"/>
  <c r="J151" i="58"/>
  <c r="K151" i="58"/>
  <c r="L151" i="58"/>
  <c r="A152" i="58"/>
  <c r="B152" i="58"/>
  <c r="C152" i="58"/>
  <c r="D152" i="58"/>
  <c r="E152" i="58"/>
  <c r="F152" i="58"/>
  <c r="G152" i="58"/>
  <c r="H152" i="58"/>
  <c r="I152" i="58"/>
  <c r="J152" i="58"/>
  <c r="K152" i="58"/>
  <c r="L152" i="58"/>
  <c r="A153" i="58"/>
  <c r="B153" i="58"/>
  <c r="C153" i="58"/>
  <c r="D153" i="58"/>
  <c r="E153" i="58"/>
  <c r="F153" i="58"/>
  <c r="G153" i="58"/>
  <c r="H153" i="58"/>
  <c r="I153" i="58"/>
  <c r="J153" i="58"/>
  <c r="K153" i="58"/>
  <c r="L153" i="58"/>
  <c r="A154" i="58"/>
  <c r="B154" i="58"/>
  <c r="C154" i="58"/>
  <c r="D154" i="58"/>
  <c r="E154" i="58"/>
  <c r="F154" i="58"/>
  <c r="G154" i="58"/>
  <c r="H154" i="58"/>
  <c r="I154" i="58"/>
  <c r="J154" i="58"/>
  <c r="K154" i="58"/>
  <c r="L154" i="58"/>
  <c r="A155" i="58"/>
  <c r="B155" i="58"/>
  <c r="C155" i="58"/>
  <c r="D155" i="58"/>
  <c r="E155" i="58"/>
  <c r="F155" i="58"/>
  <c r="G155" i="58"/>
  <c r="H155" i="58"/>
  <c r="I155" i="58"/>
  <c r="J155" i="58"/>
  <c r="K155" i="58"/>
  <c r="L155" i="58"/>
  <c r="A156" i="58"/>
  <c r="B156" i="58"/>
  <c r="C156" i="58"/>
  <c r="D156" i="58"/>
  <c r="E156" i="58"/>
  <c r="F156" i="58"/>
  <c r="G156" i="58"/>
  <c r="H156" i="58"/>
  <c r="I156" i="58"/>
  <c r="J156" i="58"/>
  <c r="K156" i="58"/>
  <c r="L156" i="58"/>
  <c r="A157" i="58"/>
  <c r="B157" i="58"/>
  <c r="C157" i="58"/>
  <c r="D157" i="58"/>
  <c r="E157" i="58"/>
  <c r="F157" i="58"/>
  <c r="G157" i="58"/>
  <c r="H157" i="58"/>
  <c r="I157" i="58"/>
  <c r="J157" i="58"/>
  <c r="K157" i="58"/>
  <c r="L157" i="58"/>
  <c r="A158" i="58"/>
  <c r="B158" i="58"/>
  <c r="C158" i="58"/>
  <c r="D158" i="58"/>
  <c r="E158" i="58"/>
  <c r="F158" i="58"/>
  <c r="G158" i="58"/>
  <c r="H158" i="58"/>
  <c r="I158" i="58"/>
  <c r="J158" i="58"/>
  <c r="K158" i="58"/>
  <c r="L158" i="58"/>
  <c r="A159" i="58"/>
  <c r="B159" i="58"/>
  <c r="C159" i="58"/>
  <c r="D159" i="58"/>
  <c r="E159" i="58"/>
  <c r="F159" i="58"/>
  <c r="G159" i="58"/>
  <c r="H159" i="58"/>
  <c r="I159" i="58"/>
  <c r="J159" i="58"/>
  <c r="K159" i="58"/>
  <c r="L159" i="58"/>
  <c r="A161" i="58"/>
  <c r="B161" i="58"/>
  <c r="C161" i="58"/>
  <c r="D161" i="58"/>
  <c r="E161" i="58"/>
  <c r="F161" i="58"/>
  <c r="G161" i="58"/>
  <c r="H161" i="58"/>
  <c r="I161" i="58"/>
  <c r="J161" i="58"/>
  <c r="K161" i="58"/>
  <c r="L161" i="58"/>
  <c r="A162" i="58"/>
  <c r="B162" i="58"/>
  <c r="C162" i="58"/>
  <c r="D162" i="58"/>
  <c r="E162" i="58"/>
  <c r="F162" i="58"/>
  <c r="G162" i="58"/>
  <c r="H162" i="58"/>
  <c r="I162" i="58"/>
  <c r="J162" i="58"/>
  <c r="K162" i="58"/>
  <c r="L162" i="58"/>
  <c r="A163" i="58"/>
  <c r="B163" i="58"/>
  <c r="C163" i="58"/>
  <c r="D163" i="58"/>
  <c r="E163" i="58"/>
  <c r="F163" i="58"/>
  <c r="G163" i="58"/>
  <c r="H163" i="58"/>
  <c r="I163" i="58"/>
  <c r="J163" i="58"/>
  <c r="K163" i="58"/>
  <c r="L163" i="58"/>
  <c r="A164" i="58"/>
  <c r="B164" i="58"/>
  <c r="C164" i="58"/>
  <c r="D164" i="58"/>
  <c r="E164" i="58"/>
  <c r="F164" i="58"/>
  <c r="G164" i="58"/>
  <c r="H164" i="58"/>
  <c r="I164" i="58"/>
  <c r="J164" i="58"/>
  <c r="K164" i="58"/>
  <c r="L164" i="58"/>
  <c r="A165" i="58"/>
  <c r="B165" i="58"/>
  <c r="C165" i="58"/>
  <c r="D165" i="58"/>
  <c r="E165" i="58"/>
  <c r="F165" i="58"/>
  <c r="G165" i="58"/>
  <c r="H165" i="58"/>
  <c r="I165" i="58"/>
  <c r="J165" i="58"/>
  <c r="K165" i="58"/>
  <c r="L165" i="58"/>
  <c r="A166" i="58"/>
  <c r="B166" i="58"/>
  <c r="C166" i="58"/>
  <c r="D166" i="58"/>
  <c r="E166" i="58"/>
  <c r="F166" i="58"/>
  <c r="G166" i="58"/>
  <c r="H166" i="58"/>
  <c r="I166" i="58"/>
  <c r="J166" i="58"/>
  <c r="K166" i="58"/>
  <c r="L166" i="58"/>
  <c r="A167" i="58"/>
  <c r="B167" i="58"/>
  <c r="C167" i="58"/>
  <c r="D167" i="58"/>
  <c r="E167" i="58"/>
  <c r="F167" i="58"/>
  <c r="G167" i="58"/>
  <c r="H167" i="58"/>
  <c r="I167" i="58"/>
  <c r="J167" i="58"/>
  <c r="K167" i="58"/>
  <c r="L167" i="58"/>
  <c r="A168" i="58"/>
  <c r="B168" i="58"/>
  <c r="C168" i="58"/>
  <c r="D168" i="58"/>
  <c r="E168" i="58"/>
  <c r="F168" i="58"/>
  <c r="G168" i="58"/>
  <c r="H168" i="58"/>
  <c r="I168" i="58"/>
  <c r="J168" i="58"/>
  <c r="K168" i="58"/>
  <c r="L168" i="58"/>
  <c r="A169" i="58"/>
  <c r="B169" i="58"/>
  <c r="C169" i="58"/>
  <c r="D169" i="58"/>
  <c r="E169" i="58"/>
  <c r="F169" i="58"/>
  <c r="G169" i="58"/>
  <c r="H169" i="58"/>
  <c r="I169" i="58"/>
  <c r="J169" i="58"/>
  <c r="K169" i="58"/>
  <c r="L169" i="58"/>
  <c r="A171" i="58"/>
  <c r="B171" i="58"/>
  <c r="C171" i="58"/>
  <c r="D171" i="58"/>
  <c r="E171" i="58"/>
  <c r="F171" i="58"/>
  <c r="G171" i="58"/>
  <c r="H171" i="58"/>
  <c r="I171" i="58"/>
  <c r="J171" i="58"/>
  <c r="K171" i="58"/>
  <c r="L171" i="58"/>
  <c r="A172" i="58"/>
  <c r="B172" i="58"/>
  <c r="C172" i="58"/>
  <c r="D172" i="58"/>
  <c r="E172" i="58"/>
  <c r="F172" i="58"/>
  <c r="G172" i="58"/>
  <c r="H172" i="58"/>
  <c r="I172" i="58"/>
  <c r="J172" i="58"/>
  <c r="K172" i="58"/>
  <c r="L172" i="58"/>
  <c r="A173" i="58"/>
  <c r="B173" i="58"/>
  <c r="C173" i="58"/>
  <c r="D173" i="58"/>
  <c r="E173" i="58"/>
  <c r="F173" i="58"/>
  <c r="G173" i="58"/>
  <c r="H173" i="58"/>
  <c r="I173" i="58"/>
  <c r="J173" i="58"/>
  <c r="K173" i="58"/>
  <c r="L173" i="58"/>
  <c r="A174" i="58"/>
  <c r="B174" i="58"/>
  <c r="C174" i="58"/>
  <c r="D174" i="58"/>
  <c r="E174" i="58"/>
  <c r="F174" i="58"/>
  <c r="G174" i="58"/>
  <c r="H174" i="58"/>
  <c r="I174" i="58"/>
  <c r="J174" i="58"/>
  <c r="K174" i="58"/>
  <c r="L174" i="58"/>
  <c r="A175" i="58"/>
  <c r="B175" i="58"/>
  <c r="C175" i="58"/>
  <c r="D175" i="58"/>
  <c r="E175" i="58"/>
  <c r="F175" i="58"/>
  <c r="G175" i="58"/>
  <c r="H175" i="58"/>
  <c r="I175" i="58"/>
  <c r="J175" i="58"/>
  <c r="K175" i="58"/>
  <c r="L175" i="58"/>
  <c r="A176" i="58"/>
  <c r="B176" i="58"/>
  <c r="C176" i="58"/>
  <c r="D176" i="58"/>
  <c r="E176" i="58"/>
  <c r="F176" i="58"/>
  <c r="G176" i="58"/>
  <c r="H176" i="58"/>
  <c r="I176" i="58"/>
  <c r="J176" i="58"/>
  <c r="K176" i="58"/>
  <c r="L176" i="58"/>
  <c r="A177" i="58"/>
  <c r="B177" i="58"/>
  <c r="C177" i="58"/>
  <c r="D177" i="58"/>
  <c r="E177" i="58"/>
  <c r="F177" i="58"/>
  <c r="G177" i="58"/>
  <c r="H177" i="58"/>
  <c r="I177" i="58"/>
  <c r="J177" i="58"/>
  <c r="K177" i="58"/>
  <c r="L177" i="58"/>
  <c r="A178" i="58"/>
  <c r="B178" i="58"/>
  <c r="C178" i="58"/>
  <c r="D178" i="58"/>
  <c r="E178" i="58"/>
  <c r="F178" i="58"/>
  <c r="G178" i="58"/>
  <c r="H178" i="58"/>
  <c r="I178" i="58"/>
  <c r="J178" i="58"/>
  <c r="K178" i="58"/>
  <c r="L178" i="58"/>
  <c r="A179" i="58"/>
  <c r="B179" i="58"/>
  <c r="C179" i="58"/>
  <c r="D179" i="58"/>
  <c r="E179" i="58"/>
  <c r="F179" i="58"/>
  <c r="G179" i="58"/>
  <c r="H179" i="58"/>
  <c r="I179" i="58"/>
  <c r="J179" i="58"/>
  <c r="K179" i="58"/>
  <c r="L179" i="58"/>
  <c r="A181" i="58"/>
  <c r="B181" i="58"/>
  <c r="C181" i="58"/>
  <c r="D181" i="58"/>
  <c r="E181" i="58"/>
  <c r="F181" i="58"/>
  <c r="G181" i="58"/>
  <c r="H181" i="58"/>
  <c r="I181" i="58"/>
  <c r="J181" i="58"/>
  <c r="K181" i="58"/>
  <c r="L181" i="58"/>
  <c r="A182" i="58"/>
  <c r="B182" i="58"/>
  <c r="C182" i="58"/>
  <c r="D182" i="58"/>
  <c r="E182" i="58"/>
  <c r="F182" i="58"/>
  <c r="G182" i="58"/>
  <c r="H182" i="58"/>
  <c r="I182" i="58"/>
  <c r="J182" i="58"/>
  <c r="K182" i="58"/>
  <c r="L182" i="58"/>
  <c r="A183" i="58"/>
  <c r="B183" i="58"/>
  <c r="C183" i="58"/>
  <c r="D183" i="58"/>
  <c r="E183" i="58"/>
  <c r="F183" i="58"/>
  <c r="G183" i="58"/>
  <c r="H183" i="58"/>
  <c r="I183" i="58"/>
  <c r="J183" i="58"/>
  <c r="K183" i="58"/>
  <c r="L183" i="58"/>
  <c r="A184" i="58"/>
  <c r="B184" i="58"/>
  <c r="C184" i="58"/>
  <c r="D184" i="58"/>
  <c r="E184" i="58"/>
  <c r="F184" i="58"/>
  <c r="G184" i="58"/>
  <c r="H184" i="58"/>
  <c r="I184" i="58"/>
  <c r="J184" i="58"/>
  <c r="K184" i="58"/>
  <c r="L184" i="58"/>
  <c r="A185" i="58"/>
  <c r="B185" i="58"/>
  <c r="C185" i="58"/>
  <c r="D185" i="58"/>
  <c r="E185" i="58"/>
  <c r="F185" i="58"/>
  <c r="G185" i="58"/>
  <c r="H185" i="58"/>
  <c r="I185" i="58"/>
  <c r="J185" i="58"/>
  <c r="K185" i="58"/>
  <c r="L185" i="58"/>
  <c r="A186" i="58"/>
  <c r="B186" i="58"/>
  <c r="C186" i="58"/>
  <c r="D186" i="58"/>
  <c r="E186" i="58"/>
  <c r="F186" i="58"/>
  <c r="G186" i="58"/>
  <c r="H186" i="58"/>
  <c r="I186" i="58"/>
  <c r="J186" i="58"/>
  <c r="K186" i="58"/>
  <c r="L186" i="58"/>
  <c r="A187" i="58"/>
  <c r="B187" i="58"/>
  <c r="C187" i="58"/>
  <c r="D187" i="58"/>
  <c r="E187" i="58"/>
  <c r="F187" i="58"/>
  <c r="G187" i="58"/>
  <c r="H187" i="58"/>
  <c r="I187" i="58"/>
  <c r="J187" i="58"/>
  <c r="K187" i="58"/>
  <c r="L187" i="58"/>
  <c r="A188" i="58"/>
  <c r="B188" i="58"/>
  <c r="C188" i="58"/>
  <c r="D188" i="58"/>
  <c r="E188" i="58"/>
  <c r="F188" i="58"/>
  <c r="G188" i="58"/>
  <c r="H188" i="58"/>
  <c r="I188" i="58"/>
  <c r="J188" i="58"/>
  <c r="K188" i="58"/>
  <c r="L188" i="58"/>
  <c r="A189" i="58"/>
  <c r="B189" i="58"/>
  <c r="C189" i="58"/>
  <c r="D189" i="58"/>
  <c r="E189" i="58"/>
  <c r="F189" i="58"/>
  <c r="G189" i="58"/>
  <c r="H189" i="58"/>
  <c r="I189" i="58"/>
  <c r="J189" i="58"/>
  <c r="K189" i="58"/>
  <c r="L189" i="58"/>
  <c r="A191" i="58"/>
  <c r="B191" i="58"/>
  <c r="C191" i="58"/>
  <c r="D191" i="58"/>
  <c r="E191" i="58"/>
  <c r="F191" i="58"/>
  <c r="G191" i="58"/>
  <c r="H191" i="58"/>
  <c r="I191" i="58"/>
  <c r="J191" i="58"/>
  <c r="K191" i="58"/>
  <c r="L191" i="58"/>
  <c r="A192" i="58"/>
  <c r="B192" i="58"/>
  <c r="C192" i="58"/>
  <c r="D192" i="58"/>
  <c r="E192" i="58"/>
  <c r="F192" i="58"/>
  <c r="G192" i="58"/>
  <c r="H192" i="58"/>
  <c r="I192" i="58"/>
  <c r="J192" i="58"/>
  <c r="K192" i="58"/>
  <c r="L192" i="58"/>
  <c r="A193" i="58"/>
  <c r="B193" i="58"/>
  <c r="C193" i="58"/>
  <c r="D193" i="58"/>
  <c r="E193" i="58"/>
  <c r="F193" i="58"/>
  <c r="G193" i="58"/>
  <c r="H193" i="58"/>
  <c r="I193" i="58"/>
  <c r="J193" i="58"/>
  <c r="K193" i="58"/>
  <c r="L193" i="58"/>
  <c r="A194" i="58"/>
  <c r="B194" i="58"/>
  <c r="C194" i="58"/>
  <c r="D194" i="58"/>
  <c r="E194" i="58"/>
  <c r="F194" i="58"/>
  <c r="G194" i="58"/>
  <c r="H194" i="58"/>
  <c r="I194" i="58"/>
  <c r="J194" i="58"/>
  <c r="K194" i="58"/>
  <c r="L194" i="58"/>
  <c r="A195" i="58"/>
  <c r="B195" i="58"/>
  <c r="C195" i="58"/>
  <c r="D195" i="58"/>
  <c r="E195" i="58"/>
  <c r="F195" i="58"/>
  <c r="G195" i="58"/>
  <c r="H195" i="58"/>
  <c r="I195" i="58"/>
  <c r="J195" i="58"/>
  <c r="K195" i="58"/>
  <c r="L195" i="58"/>
  <c r="A196" i="58"/>
  <c r="B196" i="58"/>
  <c r="C196" i="58"/>
  <c r="D196" i="58"/>
  <c r="E196" i="58"/>
  <c r="F196" i="58"/>
  <c r="G196" i="58"/>
  <c r="H196" i="58"/>
  <c r="I196" i="58"/>
  <c r="J196" i="58"/>
  <c r="K196" i="58"/>
  <c r="L196" i="58"/>
  <c r="A197" i="58"/>
  <c r="B197" i="58"/>
  <c r="C197" i="58"/>
  <c r="D197" i="58"/>
  <c r="E197" i="58"/>
  <c r="F197" i="58"/>
  <c r="G197" i="58"/>
  <c r="H197" i="58"/>
  <c r="I197" i="58"/>
  <c r="J197" i="58"/>
  <c r="K197" i="58"/>
  <c r="L197" i="58"/>
  <c r="A198" i="58"/>
  <c r="B198" i="58"/>
  <c r="C198" i="58"/>
  <c r="D198" i="58"/>
  <c r="E198" i="58"/>
  <c r="F198" i="58"/>
  <c r="G198" i="58"/>
  <c r="H198" i="58"/>
  <c r="I198" i="58"/>
  <c r="J198" i="58"/>
  <c r="K198" i="58"/>
  <c r="L198" i="58"/>
  <c r="A199" i="58"/>
  <c r="B199" i="58"/>
  <c r="C199" i="58"/>
  <c r="D199" i="58"/>
  <c r="E199" i="58"/>
  <c r="F199" i="58"/>
  <c r="G199" i="58"/>
  <c r="H199" i="58"/>
  <c r="I199" i="58"/>
  <c r="J199" i="58"/>
  <c r="K199" i="58"/>
  <c r="L199" i="58"/>
  <c r="A211" i="58"/>
  <c r="B211" i="58"/>
  <c r="C211" i="58"/>
  <c r="D211" i="58"/>
  <c r="E211" i="58"/>
  <c r="F211" i="58"/>
  <c r="G211" i="58"/>
  <c r="H211" i="58"/>
  <c r="I211" i="58"/>
  <c r="J211" i="58"/>
  <c r="K211" i="58"/>
  <c r="L211" i="58"/>
  <c r="A212" i="58"/>
  <c r="B212" i="58"/>
  <c r="C212" i="58"/>
  <c r="D212" i="58"/>
  <c r="E212" i="58"/>
  <c r="F212" i="58"/>
  <c r="G212" i="58"/>
  <c r="H212" i="58"/>
  <c r="I212" i="58"/>
  <c r="J212" i="58"/>
  <c r="K212" i="58"/>
  <c r="L212" i="58"/>
  <c r="A213" i="58"/>
  <c r="B213" i="58"/>
  <c r="C213" i="58"/>
  <c r="D213" i="58"/>
  <c r="E213" i="58"/>
  <c r="F213" i="58"/>
  <c r="G213" i="58"/>
  <c r="H213" i="58"/>
  <c r="I213" i="58"/>
  <c r="J213" i="58"/>
  <c r="K213" i="58"/>
  <c r="L213" i="58"/>
  <c r="A214" i="58"/>
  <c r="B214" i="58"/>
  <c r="C214" i="58"/>
  <c r="D214" i="58"/>
  <c r="E214" i="58"/>
  <c r="F214" i="58"/>
  <c r="G214" i="58"/>
  <c r="H214" i="58"/>
  <c r="I214" i="58"/>
  <c r="J214" i="58"/>
  <c r="K214" i="58"/>
  <c r="L214" i="58"/>
  <c r="A215" i="58"/>
  <c r="B215" i="58"/>
  <c r="C215" i="58"/>
  <c r="D215" i="58"/>
  <c r="E215" i="58"/>
  <c r="F215" i="58"/>
  <c r="G215" i="58"/>
  <c r="H215" i="58"/>
  <c r="I215" i="58"/>
  <c r="J215" i="58"/>
  <c r="K215" i="58"/>
  <c r="L215" i="58"/>
  <c r="A216" i="58"/>
  <c r="B216" i="58"/>
  <c r="C216" i="58"/>
  <c r="D216" i="58"/>
  <c r="E216" i="58"/>
  <c r="F216" i="58"/>
  <c r="G216" i="58"/>
  <c r="H216" i="58"/>
  <c r="I216" i="58"/>
  <c r="J216" i="58"/>
  <c r="K216" i="58"/>
  <c r="L216" i="58"/>
  <c r="A217" i="58"/>
  <c r="B217" i="58"/>
  <c r="C217" i="58"/>
  <c r="D217" i="58"/>
  <c r="E217" i="58"/>
  <c r="F217" i="58"/>
  <c r="G217" i="58"/>
  <c r="H217" i="58"/>
  <c r="I217" i="58"/>
  <c r="J217" i="58"/>
  <c r="K217" i="58"/>
  <c r="L217" i="58"/>
  <c r="A218" i="58"/>
  <c r="B218" i="58"/>
  <c r="C218" i="58"/>
  <c r="D218" i="58"/>
  <c r="E218" i="58"/>
  <c r="F218" i="58"/>
  <c r="G218" i="58"/>
  <c r="H218" i="58"/>
  <c r="I218" i="58"/>
  <c r="J218" i="58"/>
  <c r="K218" i="58"/>
  <c r="L218" i="58"/>
  <c r="A219" i="58"/>
  <c r="B219" i="58"/>
  <c r="C219" i="58"/>
  <c r="D219" i="58"/>
  <c r="E219" i="58"/>
  <c r="F219" i="58"/>
  <c r="G219" i="58"/>
  <c r="H219" i="58"/>
  <c r="I219" i="58"/>
  <c r="J219" i="58"/>
  <c r="K219" i="58"/>
  <c r="L219" i="58"/>
  <c r="A221" i="58"/>
  <c r="B221" i="58"/>
  <c r="C221" i="58"/>
  <c r="D221" i="58"/>
  <c r="E221" i="58"/>
  <c r="F221" i="58"/>
  <c r="G221" i="58"/>
  <c r="H221" i="58"/>
  <c r="I221" i="58"/>
  <c r="J221" i="58"/>
  <c r="K221" i="58"/>
  <c r="L221" i="58"/>
  <c r="A222" i="58"/>
  <c r="B222" i="58"/>
  <c r="C222" i="58"/>
  <c r="D222" i="58"/>
  <c r="E222" i="58"/>
  <c r="F222" i="58"/>
  <c r="G222" i="58"/>
  <c r="H222" i="58"/>
  <c r="I222" i="58"/>
  <c r="J222" i="58"/>
  <c r="K222" i="58"/>
  <c r="L222" i="58"/>
  <c r="A223" i="58"/>
  <c r="B223" i="58"/>
  <c r="C223" i="58"/>
  <c r="D223" i="58"/>
  <c r="E223" i="58"/>
  <c r="F223" i="58"/>
  <c r="G223" i="58"/>
  <c r="H223" i="58"/>
  <c r="I223" i="58"/>
  <c r="J223" i="58"/>
  <c r="K223" i="58"/>
  <c r="L223" i="58"/>
  <c r="A224" i="58"/>
  <c r="B224" i="58"/>
  <c r="C224" i="58"/>
  <c r="D224" i="58"/>
  <c r="E224" i="58"/>
  <c r="F224" i="58"/>
  <c r="G224" i="58"/>
  <c r="H224" i="58"/>
  <c r="I224" i="58"/>
  <c r="J224" i="58"/>
  <c r="K224" i="58"/>
  <c r="L224" i="58"/>
  <c r="A225" i="58"/>
  <c r="B225" i="58"/>
  <c r="C225" i="58"/>
  <c r="D225" i="58"/>
  <c r="E225" i="58"/>
  <c r="F225" i="58"/>
  <c r="G225" i="58"/>
  <c r="H225" i="58"/>
  <c r="I225" i="58"/>
  <c r="J225" i="58"/>
  <c r="K225" i="58"/>
  <c r="L225" i="58"/>
  <c r="A226" i="58"/>
  <c r="B226" i="58"/>
  <c r="C226" i="58"/>
  <c r="D226" i="58"/>
  <c r="E226" i="58"/>
  <c r="F226" i="58"/>
  <c r="G226" i="58"/>
  <c r="H226" i="58"/>
  <c r="I226" i="58"/>
  <c r="J226" i="58"/>
  <c r="K226" i="58"/>
  <c r="L226" i="58"/>
  <c r="A227" i="58"/>
  <c r="B227" i="58"/>
  <c r="C227" i="58"/>
  <c r="D227" i="58"/>
  <c r="E227" i="58"/>
  <c r="F227" i="58"/>
  <c r="G227" i="58"/>
  <c r="H227" i="58"/>
  <c r="I227" i="58"/>
  <c r="J227" i="58"/>
  <c r="K227" i="58"/>
  <c r="L227" i="58"/>
  <c r="A228" i="58"/>
  <c r="B228" i="58"/>
  <c r="C228" i="58"/>
  <c r="D228" i="58"/>
  <c r="E228" i="58"/>
  <c r="F228" i="58"/>
  <c r="G228" i="58"/>
  <c r="H228" i="58"/>
  <c r="I228" i="58"/>
  <c r="J228" i="58"/>
  <c r="K228" i="58"/>
  <c r="L228" i="58"/>
  <c r="A229" i="58"/>
  <c r="B229" i="58"/>
  <c r="C229" i="58"/>
  <c r="D229" i="58"/>
  <c r="E229" i="58"/>
  <c r="F229" i="58"/>
  <c r="G229" i="58"/>
  <c r="H229" i="58"/>
  <c r="I229" i="58"/>
  <c r="J229" i="58"/>
  <c r="K229" i="58"/>
  <c r="L229" i="58"/>
  <c r="A231" i="58"/>
  <c r="B231" i="58"/>
  <c r="C231" i="58"/>
  <c r="D231" i="58"/>
  <c r="E231" i="58"/>
  <c r="F231" i="58"/>
  <c r="G231" i="58"/>
  <c r="H231" i="58"/>
  <c r="I231" i="58"/>
  <c r="J231" i="58"/>
  <c r="K231" i="58"/>
  <c r="L231" i="58"/>
  <c r="A232" i="58"/>
  <c r="B232" i="58"/>
  <c r="C232" i="58"/>
  <c r="D232" i="58"/>
  <c r="E232" i="58"/>
  <c r="F232" i="58"/>
  <c r="G232" i="58"/>
  <c r="H232" i="58"/>
  <c r="I232" i="58"/>
  <c r="J232" i="58"/>
  <c r="K232" i="58"/>
  <c r="L232" i="58"/>
  <c r="A233" i="58"/>
  <c r="B233" i="58"/>
  <c r="C233" i="58"/>
  <c r="D233" i="58"/>
  <c r="E233" i="58"/>
  <c r="F233" i="58"/>
  <c r="G233" i="58"/>
  <c r="H233" i="58"/>
  <c r="I233" i="58"/>
  <c r="J233" i="58"/>
  <c r="K233" i="58"/>
  <c r="L233" i="58"/>
  <c r="A234" i="58"/>
  <c r="B234" i="58"/>
  <c r="C234" i="58"/>
  <c r="D234" i="58"/>
  <c r="E234" i="58"/>
  <c r="F234" i="58"/>
  <c r="G234" i="58"/>
  <c r="H234" i="58"/>
  <c r="I234" i="58"/>
  <c r="J234" i="58"/>
  <c r="K234" i="58"/>
  <c r="L234" i="58"/>
  <c r="A235" i="58"/>
  <c r="B235" i="58"/>
  <c r="C235" i="58"/>
  <c r="D235" i="58"/>
  <c r="E235" i="58"/>
  <c r="F235" i="58"/>
  <c r="G235" i="58"/>
  <c r="H235" i="58"/>
  <c r="I235" i="58"/>
  <c r="J235" i="58"/>
  <c r="K235" i="58"/>
  <c r="L235" i="58"/>
  <c r="A236" i="58"/>
  <c r="B236" i="58"/>
  <c r="C236" i="58"/>
  <c r="D236" i="58"/>
  <c r="E236" i="58"/>
  <c r="F236" i="58"/>
  <c r="G236" i="58"/>
  <c r="H236" i="58"/>
  <c r="I236" i="58"/>
  <c r="J236" i="58"/>
  <c r="K236" i="58"/>
  <c r="L236" i="58"/>
  <c r="A237" i="58"/>
  <c r="B237" i="58"/>
  <c r="C237" i="58"/>
  <c r="D237" i="58"/>
  <c r="E237" i="58"/>
  <c r="F237" i="58"/>
  <c r="G237" i="58"/>
  <c r="H237" i="58"/>
  <c r="I237" i="58"/>
  <c r="J237" i="58"/>
  <c r="K237" i="58"/>
  <c r="L237" i="58"/>
  <c r="A238" i="58"/>
  <c r="B238" i="58"/>
  <c r="C238" i="58"/>
  <c r="D238" i="58"/>
  <c r="E238" i="58"/>
  <c r="F238" i="58"/>
  <c r="G238" i="58"/>
  <c r="H238" i="58"/>
  <c r="I238" i="58"/>
  <c r="J238" i="58"/>
  <c r="K238" i="58"/>
  <c r="L238" i="58"/>
  <c r="A239" i="58"/>
  <c r="B239" i="58"/>
  <c r="C239" i="58"/>
  <c r="D239" i="58"/>
  <c r="E239" i="58"/>
  <c r="F239" i="58"/>
  <c r="G239" i="58"/>
  <c r="H239" i="58"/>
  <c r="I239" i="58"/>
  <c r="J239" i="58"/>
  <c r="K239" i="58"/>
  <c r="L239" i="58"/>
  <c r="A241" i="58"/>
  <c r="B241" i="58"/>
  <c r="C241" i="58"/>
  <c r="D241" i="58"/>
  <c r="E241" i="58"/>
  <c r="F241" i="58"/>
  <c r="G241" i="58"/>
  <c r="H241" i="58"/>
  <c r="I241" i="58"/>
  <c r="J241" i="58"/>
  <c r="K241" i="58"/>
  <c r="L241" i="58"/>
  <c r="A242" i="58"/>
  <c r="B242" i="58"/>
  <c r="C242" i="58"/>
  <c r="D242" i="58"/>
  <c r="E242" i="58"/>
  <c r="F242" i="58"/>
  <c r="G242" i="58"/>
  <c r="H242" i="58"/>
  <c r="I242" i="58"/>
  <c r="J242" i="58"/>
  <c r="K242" i="58"/>
  <c r="L242" i="58"/>
  <c r="A243" i="58"/>
  <c r="B243" i="58"/>
  <c r="C243" i="58"/>
  <c r="D243" i="58"/>
  <c r="E243" i="58"/>
  <c r="F243" i="58"/>
  <c r="G243" i="58"/>
  <c r="H243" i="58"/>
  <c r="I243" i="58"/>
  <c r="J243" i="58"/>
  <c r="K243" i="58"/>
  <c r="L243" i="58"/>
  <c r="A244" i="58"/>
  <c r="B244" i="58"/>
  <c r="C244" i="58"/>
  <c r="D244" i="58"/>
  <c r="E244" i="58"/>
  <c r="F244" i="58"/>
  <c r="G244" i="58"/>
  <c r="H244" i="58"/>
  <c r="I244" i="58"/>
  <c r="J244" i="58"/>
  <c r="K244" i="58"/>
  <c r="L244" i="58"/>
  <c r="A245" i="58"/>
  <c r="B245" i="58"/>
  <c r="C245" i="58"/>
  <c r="D245" i="58"/>
  <c r="E245" i="58"/>
  <c r="F245" i="58"/>
  <c r="G245" i="58"/>
  <c r="H245" i="58"/>
  <c r="I245" i="58"/>
  <c r="J245" i="58"/>
  <c r="K245" i="58"/>
  <c r="L245" i="58"/>
  <c r="A246" i="58"/>
  <c r="B246" i="58"/>
  <c r="C246" i="58"/>
  <c r="D246" i="58"/>
  <c r="E246" i="58"/>
  <c r="F246" i="58"/>
  <c r="G246" i="58"/>
  <c r="H246" i="58"/>
  <c r="I246" i="58"/>
  <c r="J246" i="58"/>
  <c r="K246" i="58"/>
  <c r="L246" i="58"/>
  <c r="A247" i="58"/>
  <c r="B247" i="58"/>
  <c r="C247" i="58"/>
  <c r="D247" i="58"/>
  <c r="E247" i="58"/>
  <c r="F247" i="58"/>
  <c r="G247" i="58"/>
  <c r="H247" i="58"/>
  <c r="I247" i="58"/>
  <c r="J247" i="58"/>
  <c r="K247" i="58"/>
  <c r="L247" i="58"/>
  <c r="A248" i="58"/>
  <c r="B248" i="58"/>
  <c r="C248" i="58"/>
  <c r="D248" i="58"/>
  <c r="E248" i="58"/>
  <c r="F248" i="58"/>
  <c r="G248" i="58"/>
  <c r="H248" i="58"/>
  <c r="I248" i="58"/>
  <c r="J248" i="58"/>
  <c r="K248" i="58"/>
  <c r="L248" i="58"/>
  <c r="A249" i="58"/>
  <c r="B249" i="58"/>
  <c r="C249" i="58"/>
  <c r="D249" i="58"/>
  <c r="E249" i="58"/>
  <c r="F249" i="58"/>
  <c r="G249" i="58"/>
  <c r="H249" i="58"/>
  <c r="I249" i="58"/>
  <c r="J249" i="58"/>
  <c r="K249" i="58"/>
  <c r="L249" i="58"/>
  <c r="A251" i="58"/>
  <c r="B251" i="58"/>
  <c r="C251" i="58"/>
  <c r="D251" i="58"/>
  <c r="E251" i="58"/>
  <c r="F251" i="58"/>
  <c r="G251" i="58"/>
  <c r="H251" i="58"/>
  <c r="I251" i="58"/>
  <c r="J251" i="58"/>
  <c r="K251" i="58"/>
  <c r="L251" i="58"/>
  <c r="A252" i="58"/>
  <c r="B252" i="58"/>
  <c r="C252" i="58"/>
  <c r="D252" i="58"/>
  <c r="E252" i="58"/>
  <c r="F252" i="58"/>
  <c r="G252" i="58"/>
  <c r="H252" i="58"/>
  <c r="I252" i="58"/>
  <c r="J252" i="58"/>
  <c r="K252" i="58"/>
  <c r="L252" i="58"/>
  <c r="A253" i="58"/>
  <c r="B253" i="58"/>
  <c r="C253" i="58"/>
  <c r="D253" i="58"/>
  <c r="E253" i="58"/>
  <c r="F253" i="58"/>
  <c r="G253" i="58"/>
  <c r="H253" i="58"/>
  <c r="I253" i="58"/>
  <c r="J253" i="58"/>
  <c r="K253" i="58"/>
  <c r="L253" i="58"/>
  <c r="A254" i="58"/>
  <c r="B254" i="58"/>
  <c r="C254" i="58"/>
  <c r="D254" i="58"/>
  <c r="E254" i="58"/>
  <c r="F254" i="58"/>
  <c r="G254" i="58"/>
  <c r="H254" i="58"/>
  <c r="I254" i="58"/>
  <c r="J254" i="58"/>
  <c r="K254" i="58"/>
  <c r="L254" i="58"/>
  <c r="A255" i="58"/>
  <c r="B255" i="58"/>
  <c r="C255" i="58"/>
  <c r="D255" i="58"/>
  <c r="E255" i="58"/>
  <c r="F255" i="58"/>
  <c r="G255" i="58"/>
  <c r="H255" i="58"/>
  <c r="I255" i="58"/>
  <c r="J255" i="58"/>
  <c r="K255" i="58"/>
  <c r="L255" i="58"/>
  <c r="A256" i="58"/>
  <c r="B256" i="58"/>
  <c r="C256" i="58"/>
  <c r="D256" i="58"/>
  <c r="E256" i="58"/>
  <c r="F256" i="58"/>
  <c r="G256" i="58"/>
  <c r="H256" i="58"/>
  <c r="I256" i="58"/>
  <c r="J256" i="58"/>
  <c r="K256" i="58"/>
  <c r="L256" i="58"/>
  <c r="A257" i="58"/>
  <c r="B257" i="58"/>
  <c r="C257" i="58"/>
  <c r="D257" i="58"/>
  <c r="E257" i="58"/>
  <c r="F257" i="58"/>
  <c r="G257" i="58"/>
  <c r="H257" i="58"/>
  <c r="I257" i="58"/>
  <c r="J257" i="58"/>
  <c r="K257" i="58"/>
  <c r="L257" i="58"/>
  <c r="A258" i="58"/>
  <c r="B258" i="58"/>
  <c r="C258" i="58"/>
  <c r="D258" i="58"/>
  <c r="E258" i="58"/>
  <c r="F258" i="58"/>
  <c r="G258" i="58"/>
  <c r="H258" i="58"/>
  <c r="I258" i="58"/>
  <c r="J258" i="58"/>
  <c r="K258" i="58"/>
  <c r="L258" i="58"/>
  <c r="A259" i="58"/>
  <c r="B259" i="58"/>
  <c r="C259" i="58"/>
  <c r="D259" i="58"/>
  <c r="E259" i="58"/>
  <c r="F259" i="58"/>
  <c r="G259" i="58"/>
  <c r="H259" i="58"/>
  <c r="I259" i="58"/>
  <c r="J259" i="58"/>
  <c r="K259" i="58"/>
  <c r="L259" i="58"/>
  <c r="A261" i="58"/>
  <c r="B261" i="58"/>
  <c r="C261" i="58"/>
  <c r="D261" i="58"/>
  <c r="E261" i="58"/>
  <c r="F261" i="58"/>
  <c r="G261" i="58"/>
  <c r="H261" i="58"/>
  <c r="I261" i="58"/>
  <c r="J261" i="58"/>
  <c r="K261" i="58"/>
  <c r="L261" i="58"/>
  <c r="A262" i="58"/>
  <c r="B262" i="58"/>
  <c r="C262" i="58"/>
  <c r="D262" i="58"/>
  <c r="E262" i="58"/>
  <c r="F262" i="58"/>
  <c r="G262" i="58"/>
  <c r="H262" i="58"/>
  <c r="I262" i="58"/>
  <c r="J262" i="58"/>
  <c r="K262" i="58"/>
  <c r="L262" i="58"/>
  <c r="A263" i="58"/>
  <c r="B263" i="58"/>
  <c r="C263" i="58"/>
  <c r="D263" i="58"/>
  <c r="E263" i="58"/>
  <c r="F263" i="58"/>
  <c r="G263" i="58"/>
  <c r="H263" i="58"/>
  <c r="I263" i="58"/>
  <c r="J263" i="58"/>
  <c r="K263" i="58"/>
  <c r="L263" i="58"/>
  <c r="A264" i="58"/>
  <c r="B264" i="58"/>
  <c r="C264" i="58"/>
  <c r="D264" i="58"/>
  <c r="E264" i="58"/>
  <c r="F264" i="58"/>
  <c r="G264" i="58"/>
  <c r="H264" i="58"/>
  <c r="I264" i="58"/>
  <c r="J264" i="58"/>
  <c r="K264" i="58"/>
  <c r="L264" i="58"/>
  <c r="A265" i="58"/>
  <c r="B265" i="58"/>
  <c r="C265" i="58"/>
  <c r="D265" i="58"/>
  <c r="E265" i="58"/>
  <c r="F265" i="58"/>
  <c r="G265" i="58"/>
  <c r="H265" i="58"/>
  <c r="I265" i="58"/>
  <c r="J265" i="58"/>
  <c r="K265" i="58"/>
  <c r="L265" i="58"/>
  <c r="A266" i="58"/>
  <c r="B266" i="58"/>
  <c r="C266" i="58"/>
  <c r="D266" i="58"/>
  <c r="E266" i="58"/>
  <c r="F266" i="58"/>
  <c r="G266" i="58"/>
  <c r="H266" i="58"/>
  <c r="I266" i="58"/>
  <c r="J266" i="58"/>
  <c r="K266" i="58"/>
  <c r="L266" i="58"/>
  <c r="A267" i="58"/>
  <c r="B267" i="58"/>
  <c r="C267" i="58"/>
  <c r="D267" i="58"/>
  <c r="E267" i="58"/>
  <c r="F267" i="58"/>
  <c r="G267" i="58"/>
  <c r="H267" i="58"/>
  <c r="I267" i="58"/>
  <c r="J267" i="58"/>
  <c r="K267" i="58"/>
  <c r="L267" i="58"/>
  <c r="A268" i="58"/>
  <c r="B268" i="58"/>
  <c r="C268" i="58"/>
  <c r="D268" i="58"/>
  <c r="E268" i="58"/>
  <c r="F268" i="58"/>
  <c r="G268" i="58"/>
  <c r="H268" i="58"/>
  <c r="I268" i="58"/>
  <c r="J268" i="58"/>
  <c r="K268" i="58"/>
  <c r="L268" i="58"/>
  <c r="A269" i="58"/>
  <c r="B269" i="58"/>
  <c r="C269" i="58"/>
  <c r="D269" i="58"/>
  <c r="E269" i="58"/>
  <c r="F269" i="58"/>
  <c r="G269" i="58"/>
  <c r="H269" i="58"/>
  <c r="I269" i="58"/>
  <c r="J269" i="58"/>
  <c r="K269" i="58"/>
  <c r="L269" i="58"/>
  <c r="A271" i="58"/>
  <c r="B271" i="58"/>
  <c r="C271" i="58"/>
  <c r="D271" i="58"/>
  <c r="E271" i="58"/>
  <c r="F271" i="58"/>
  <c r="G271" i="58"/>
  <c r="H271" i="58"/>
  <c r="I271" i="58"/>
  <c r="J271" i="58"/>
  <c r="K271" i="58"/>
  <c r="L271" i="58"/>
  <c r="A272" i="58"/>
  <c r="B272" i="58"/>
  <c r="C272" i="58"/>
  <c r="D272" i="58"/>
  <c r="E272" i="58"/>
  <c r="F272" i="58"/>
  <c r="G272" i="58"/>
  <c r="H272" i="58"/>
  <c r="I272" i="58"/>
  <c r="J272" i="58"/>
  <c r="K272" i="58"/>
  <c r="L272" i="58"/>
  <c r="A273" i="58"/>
  <c r="B273" i="58"/>
  <c r="C273" i="58"/>
  <c r="D273" i="58"/>
  <c r="E273" i="58"/>
  <c r="F273" i="58"/>
  <c r="G273" i="58"/>
  <c r="H273" i="58"/>
  <c r="I273" i="58"/>
  <c r="J273" i="58"/>
  <c r="K273" i="58"/>
  <c r="L273" i="58"/>
  <c r="A274" i="58"/>
  <c r="B274" i="58"/>
  <c r="C274" i="58"/>
  <c r="D274" i="58"/>
  <c r="E274" i="58"/>
  <c r="F274" i="58"/>
  <c r="G274" i="58"/>
  <c r="H274" i="58"/>
  <c r="I274" i="58"/>
  <c r="J274" i="58"/>
  <c r="K274" i="58"/>
  <c r="L274" i="58"/>
  <c r="A275" i="58"/>
  <c r="B275" i="58"/>
  <c r="C275" i="58"/>
  <c r="D275" i="58"/>
  <c r="E275" i="58"/>
  <c r="F275" i="58"/>
  <c r="G275" i="58"/>
  <c r="H275" i="58"/>
  <c r="I275" i="58"/>
  <c r="J275" i="58"/>
  <c r="K275" i="58"/>
  <c r="L275" i="58"/>
  <c r="A276" i="58"/>
  <c r="B276" i="58"/>
  <c r="C276" i="58"/>
  <c r="D276" i="58"/>
  <c r="E276" i="58"/>
  <c r="F276" i="58"/>
  <c r="G276" i="58"/>
  <c r="H276" i="58"/>
  <c r="I276" i="58"/>
  <c r="J276" i="58"/>
  <c r="K276" i="58"/>
  <c r="L276" i="58"/>
  <c r="A277" i="58"/>
  <c r="B277" i="58"/>
  <c r="C277" i="58"/>
  <c r="D277" i="58"/>
  <c r="E277" i="58"/>
  <c r="F277" i="58"/>
  <c r="G277" i="58"/>
  <c r="H277" i="58"/>
  <c r="I277" i="58"/>
  <c r="J277" i="58"/>
  <c r="K277" i="58"/>
  <c r="L277" i="58"/>
  <c r="A278" i="58"/>
  <c r="B278" i="58"/>
  <c r="C278" i="58"/>
  <c r="D278" i="58"/>
  <c r="E278" i="58"/>
  <c r="F278" i="58"/>
  <c r="G278" i="58"/>
  <c r="H278" i="58"/>
  <c r="I278" i="58"/>
  <c r="J278" i="58"/>
  <c r="K278" i="58"/>
  <c r="L278" i="58"/>
  <c r="A279" i="58"/>
  <c r="B279" i="58"/>
  <c r="C279" i="58"/>
  <c r="D279" i="58"/>
  <c r="E279" i="58"/>
  <c r="F279" i="58"/>
  <c r="G279" i="58"/>
  <c r="H279" i="58"/>
  <c r="I279" i="58"/>
  <c r="J279" i="58"/>
  <c r="K279" i="58"/>
  <c r="L279" i="58"/>
  <c r="A281" i="58"/>
  <c r="B281" i="58"/>
  <c r="C281" i="58"/>
  <c r="D281" i="58"/>
  <c r="E281" i="58"/>
  <c r="F281" i="58"/>
  <c r="G281" i="58"/>
  <c r="H281" i="58"/>
  <c r="I281" i="58"/>
  <c r="J281" i="58"/>
  <c r="K281" i="58"/>
  <c r="L281" i="58"/>
  <c r="A282" i="58"/>
  <c r="B282" i="58"/>
  <c r="C282" i="58"/>
  <c r="D282" i="58"/>
  <c r="E282" i="58"/>
  <c r="F282" i="58"/>
  <c r="G282" i="58"/>
  <c r="H282" i="58"/>
  <c r="I282" i="58"/>
  <c r="J282" i="58"/>
  <c r="K282" i="58"/>
  <c r="L282" i="58"/>
  <c r="A283" i="58"/>
  <c r="B283" i="58"/>
  <c r="C283" i="58"/>
  <c r="D283" i="58"/>
  <c r="E283" i="58"/>
  <c r="F283" i="58"/>
  <c r="G283" i="58"/>
  <c r="H283" i="58"/>
  <c r="I283" i="58"/>
  <c r="J283" i="58"/>
  <c r="K283" i="58"/>
  <c r="L283" i="58"/>
  <c r="A284" i="58"/>
  <c r="B284" i="58"/>
  <c r="C284" i="58"/>
  <c r="D284" i="58"/>
  <c r="E284" i="58"/>
  <c r="F284" i="58"/>
  <c r="G284" i="58"/>
  <c r="H284" i="58"/>
  <c r="I284" i="58"/>
  <c r="J284" i="58"/>
  <c r="K284" i="58"/>
  <c r="L284" i="58"/>
  <c r="A285" i="58"/>
  <c r="B285" i="58"/>
  <c r="C285" i="58"/>
  <c r="D285" i="58"/>
  <c r="E285" i="58"/>
  <c r="F285" i="58"/>
  <c r="G285" i="58"/>
  <c r="H285" i="58"/>
  <c r="I285" i="58"/>
  <c r="J285" i="58"/>
  <c r="K285" i="58"/>
  <c r="L285" i="58"/>
  <c r="A286" i="58"/>
  <c r="B286" i="58"/>
  <c r="C286" i="58"/>
  <c r="D286" i="58"/>
  <c r="E286" i="58"/>
  <c r="F286" i="58"/>
  <c r="G286" i="58"/>
  <c r="H286" i="58"/>
  <c r="I286" i="58"/>
  <c r="J286" i="58"/>
  <c r="K286" i="58"/>
  <c r="L286" i="58"/>
  <c r="A287" i="58"/>
  <c r="B287" i="58"/>
  <c r="C287" i="58"/>
  <c r="D287" i="58"/>
  <c r="E287" i="58"/>
  <c r="F287" i="58"/>
  <c r="G287" i="58"/>
  <c r="H287" i="58"/>
  <c r="I287" i="58"/>
  <c r="J287" i="58"/>
  <c r="K287" i="58"/>
  <c r="L287" i="58"/>
  <c r="A288" i="58"/>
  <c r="B288" i="58"/>
  <c r="C288" i="58"/>
  <c r="D288" i="58"/>
  <c r="E288" i="58"/>
  <c r="F288" i="58"/>
  <c r="G288" i="58"/>
  <c r="H288" i="58"/>
  <c r="I288" i="58"/>
  <c r="J288" i="58"/>
  <c r="K288" i="58"/>
  <c r="L288" i="58"/>
  <c r="A289" i="58"/>
  <c r="B289" i="58"/>
  <c r="C289" i="58"/>
  <c r="D289" i="58"/>
  <c r="E289" i="58"/>
  <c r="F289" i="58"/>
  <c r="G289" i="58"/>
  <c r="H289" i="58"/>
  <c r="I289" i="58"/>
  <c r="J289" i="58"/>
  <c r="K289" i="58"/>
  <c r="L289" i="58"/>
  <c r="A291" i="58"/>
  <c r="B291" i="58"/>
  <c r="C291" i="58"/>
  <c r="D291" i="58"/>
  <c r="E291" i="58"/>
  <c r="F291" i="58"/>
  <c r="G291" i="58"/>
  <c r="H291" i="58"/>
  <c r="I291" i="58"/>
  <c r="J291" i="58"/>
  <c r="K291" i="58"/>
  <c r="L291" i="58"/>
  <c r="A292" i="58"/>
  <c r="B292" i="58"/>
  <c r="C292" i="58"/>
  <c r="D292" i="58"/>
  <c r="E292" i="58"/>
  <c r="F292" i="58"/>
  <c r="G292" i="58"/>
  <c r="H292" i="58"/>
  <c r="I292" i="58"/>
  <c r="J292" i="58"/>
  <c r="K292" i="58"/>
  <c r="L292" i="58"/>
  <c r="A293" i="58"/>
  <c r="B293" i="58"/>
  <c r="C293" i="58"/>
  <c r="D293" i="58"/>
  <c r="E293" i="58"/>
  <c r="F293" i="58"/>
  <c r="G293" i="58"/>
  <c r="H293" i="58"/>
  <c r="I293" i="58"/>
  <c r="J293" i="58"/>
  <c r="K293" i="58"/>
  <c r="L293" i="58"/>
  <c r="A294" i="58"/>
  <c r="B294" i="58"/>
  <c r="C294" i="58"/>
  <c r="D294" i="58"/>
  <c r="E294" i="58"/>
  <c r="F294" i="58"/>
  <c r="G294" i="58"/>
  <c r="H294" i="58"/>
  <c r="I294" i="58"/>
  <c r="J294" i="58"/>
  <c r="K294" i="58"/>
  <c r="L294" i="58"/>
  <c r="A295" i="58"/>
  <c r="B295" i="58"/>
  <c r="C295" i="58"/>
  <c r="D295" i="58"/>
  <c r="E295" i="58"/>
  <c r="F295" i="58"/>
  <c r="G295" i="58"/>
  <c r="H295" i="58"/>
  <c r="I295" i="58"/>
  <c r="J295" i="58"/>
  <c r="K295" i="58"/>
  <c r="L295" i="58"/>
  <c r="A296" i="58"/>
  <c r="B296" i="58"/>
  <c r="C296" i="58"/>
  <c r="D296" i="58"/>
  <c r="E296" i="58"/>
  <c r="F296" i="58"/>
  <c r="G296" i="58"/>
  <c r="H296" i="58"/>
  <c r="I296" i="58"/>
  <c r="J296" i="58"/>
  <c r="K296" i="58"/>
  <c r="L296" i="58"/>
  <c r="A297" i="58"/>
  <c r="B297" i="58"/>
  <c r="C297" i="58"/>
  <c r="D297" i="58"/>
  <c r="E297" i="58"/>
  <c r="F297" i="58"/>
  <c r="G297" i="58"/>
  <c r="H297" i="58"/>
  <c r="I297" i="58"/>
  <c r="J297" i="58"/>
  <c r="K297" i="58"/>
  <c r="L297" i="58"/>
  <c r="A298" i="58"/>
  <c r="B298" i="58"/>
  <c r="C298" i="58"/>
  <c r="D298" i="58"/>
  <c r="E298" i="58"/>
  <c r="F298" i="58"/>
  <c r="G298" i="58"/>
  <c r="H298" i="58"/>
  <c r="I298" i="58"/>
  <c r="J298" i="58"/>
  <c r="K298" i="58"/>
  <c r="L298" i="58"/>
  <c r="A299" i="58"/>
  <c r="B299" i="58"/>
  <c r="C299" i="58"/>
  <c r="D299" i="58"/>
  <c r="E299" i="58"/>
  <c r="F299" i="58"/>
  <c r="G299" i="58"/>
  <c r="H299" i="58"/>
  <c r="I299" i="58"/>
  <c r="J299" i="58"/>
  <c r="K299" i="58"/>
  <c r="L299" i="58"/>
  <c r="A311" i="58"/>
  <c r="B311" i="58"/>
  <c r="C311" i="58"/>
  <c r="D311" i="58"/>
  <c r="E311" i="58"/>
  <c r="F311" i="58"/>
  <c r="G311" i="58"/>
  <c r="H311" i="58"/>
  <c r="I311" i="58"/>
  <c r="J311" i="58"/>
  <c r="K311" i="58"/>
  <c r="L311" i="58"/>
  <c r="A312" i="58"/>
  <c r="B312" i="58"/>
  <c r="C312" i="58"/>
  <c r="D312" i="58"/>
  <c r="E312" i="58"/>
  <c r="F312" i="58"/>
  <c r="G312" i="58"/>
  <c r="H312" i="58"/>
  <c r="I312" i="58"/>
  <c r="J312" i="58"/>
  <c r="K312" i="58"/>
  <c r="L312" i="58"/>
  <c r="A313" i="58"/>
  <c r="B313" i="58"/>
  <c r="C313" i="58"/>
  <c r="D313" i="58"/>
  <c r="E313" i="58"/>
  <c r="F313" i="58"/>
  <c r="G313" i="58"/>
  <c r="H313" i="58"/>
  <c r="I313" i="58"/>
  <c r="J313" i="58"/>
  <c r="K313" i="58"/>
  <c r="L313" i="58"/>
  <c r="A314" i="58"/>
  <c r="B314" i="58"/>
  <c r="C314" i="58"/>
  <c r="D314" i="58"/>
  <c r="E314" i="58"/>
  <c r="F314" i="58"/>
  <c r="G314" i="58"/>
  <c r="H314" i="58"/>
  <c r="I314" i="58"/>
  <c r="J314" i="58"/>
  <c r="K314" i="58"/>
  <c r="L314" i="58"/>
  <c r="A315" i="58"/>
  <c r="B315" i="58"/>
  <c r="C315" i="58"/>
  <c r="D315" i="58"/>
  <c r="E315" i="58"/>
  <c r="F315" i="58"/>
  <c r="G315" i="58"/>
  <c r="H315" i="58"/>
  <c r="I315" i="58"/>
  <c r="J315" i="58"/>
  <c r="K315" i="58"/>
  <c r="L315" i="58"/>
  <c r="A316" i="58"/>
  <c r="B316" i="58"/>
  <c r="C316" i="58"/>
  <c r="D316" i="58"/>
  <c r="E316" i="58"/>
  <c r="F316" i="58"/>
  <c r="G316" i="58"/>
  <c r="H316" i="58"/>
  <c r="I316" i="58"/>
  <c r="J316" i="58"/>
  <c r="K316" i="58"/>
  <c r="L316" i="58"/>
  <c r="A317" i="58"/>
  <c r="B317" i="58"/>
  <c r="C317" i="58"/>
  <c r="D317" i="58"/>
  <c r="E317" i="58"/>
  <c r="F317" i="58"/>
  <c r="G317" i="58"/>
  <c r="H317" i="58"/>
  <c r="I317" i="58"/>
  <c r="J317" i="58"/>
  <c r="K317" i="58"/>
  <c r="L317" i="58"/>
  <c r="A318" i="58"/>
  <c r="B318" i="58"/>
  <c r="C318" i="58"/>
  <c r="D318" i="58"/>
  <c r="E318" i="58"/>
  <c r="F318" i="58"/>
  <c r="G318" i="58"/>
  <c r="H318" i="58"/>
  <c r="I318" i="58"/>
  <c r="J318" i="58"/>
  <c r="K318" i="58"/>
  <c r="L318" i="58"/>
  <c r="A319" i="58"/>
  <c r="B319" i="58"/>
  <c r="C319" i="58"/>
  <c r="D319" i="58"/>
  <c r="E319" i="58"/>
  <c r="F319" i="58"/>
  <c r="G319" i="58"/>
  <c r="H319" i="58"/>
  <c r="I319" i="58"/>
  <c r="J319" i="58"/>
  <c r="K319" i="58"/>
  <c r="L319" i="58"/>
  <c r="A321" i="58"/>
  <c r="B321" i="58"/>
  <c r="C321" i="58"/>
  <c r="D321" i="58"/>
  <c r="E321" i="58"/>
  <c r="F321" i="58"/>
  <c r="G321" i="58"/>
  <c r="H321" i="58"/>
  <c r="I321" i="58"/>
  <c r="J321" i="58"/>
  <c r="K321" i="58"/>
  <c r="L321" i="58"/>
  <c r="A322" i="58"/>
  <c r="B322" i="58"/>
  <c r="C322" i="58"/>
  <c r="D322" i="58"/>
  <c r="E322" i="58"/>
  <c r="F322" i="58"/>
  <c r="G322" i="58"/>
  <c r="H322" i="58"/>
  <c r="I322" i="58"/>
  <c r="J322" i="58"/>
  <c r="K322" i="58"/>
  <c r="L322" i="58"/>
  <c r="A323" i="58"/>
  <c r="B323" i="58"/>
  <c r="C323" i="58"/>
  <c r="D323" i="58"/>
  <c r="E323" i="58"/>
  <c r="F323" i="58"/>
  <c r="G323" i="58"/>
  <c r="H323" i="58"/>
  <c r="I323" i="58"/>
  <c r="J323" i="58"/>
  <c r="K323" i="58"/>
  <c r="L323" i="58"/>
  <c r="A324" i="58"/>
  <c r="B324" i="58"/>
  <c r="C324" i="58"/>
  <c r="D324" i="58"/>
  <c r="E324" i="58"/>
  <c r="F324" i="58"/>
  <c r="G324" i="58"/>
  <c r="H324" i="58"/>
  <c r="I324" i="58"/>
  <c r="J324" i="58"/>
  <c r="K324" i="58"/>
  <c r="L324" i="58"/>
  <c r="A325" i="58"/>
  <c r="B325" i="58"/>
  <c r="C325" i="58"/>
  <c r="D325" i="58"/>
  <c r="E325" i="58"/>
  <c r="F325" i="58"/>
  <c r="G325" i="58"/>
  <c r="H325" i="58"/>
  <c r="I325" i="58"/>
  <c r="J325" i="58"/>
  <c r="K325" i="58"/>
  <c r="L325" i="58"/>
  <c r="A326" i="58"/>
  <c r="B326" i="58"/>
  <c r="C326" i="58"/>
  <c r="D326" i="58"/>
  <c r="E326" i="58"/>
  <c r="F326" i="58"/>
  <c r="G326" i="58"/>
  <c r="H326" i="58"/>
  <c r="I326" i="58"/>
  <c r="J326" i="58"/>
  <c r="K326" i="58"/>
  <c r="L326" i="58"/>
  <c r="A327" i="58"/>
  <c r="B327" i="58"/>
  <c r="C327" i="58"/>
  <c r="D327" i="58"/>
  <c r="E327" i="58"/>
  <c r="F327" i="58"/>
  <c r="G327" i="58"/>
  <c r="H327" i="58"/>
  <c r="I327" i="58"/>
  <c r="J327" i="58"/>
  <c r="K327" i="58"/>
  <c r="L327" i="58"/>
  <c r="A328" i="58"/>
  <c r="B328" i="58"/>
  <c r="C328" i="58"/>
  <c r="D328" i="58"/>
  <c r="E328" i="58"/>
  <c r="F328" i="58"/>
  <c r="G328" i="58"/>
  <c r="H328" i="58"/>
  <c r="I328" i="58"/>
  <c r="J328" i="58"/>
  <c r="K328" i="58"/>
  <c r="L328" i="58"/>
  <c r="A329" i="58"/>
  <c r="B329" i="58"/>
  <c r="C329" i="58"/>
  <c r="D329" i="58"/>
  <c r="E329" i="58"/>
  <c r="F329" i="58"/>
  <c r="G329" i="58"/>
  <c r="H329" i="58"/>
  <c r="I329" i="58"/>
  <c r="J329" i="58"/>
  <c r="K329" i="58"/>
  <c r="L329" i="58"/>
  <c r="A331" i="58"/>
  <c r="B331" i="58"/>
  <c r="C331" i="58"/>
  <c r="D331" i="58"/>
  <c r="E331" i="58"/>
  <c r="F331" i="58"/>
  <c r="G331" i="58"/>
  <c r="H331" i="58"/>
  <c r="I331" i="58"/>
  <c r="J331" i="58"/>
  <c r="K331" i="58"/>
  <c r="L331" i="58"/>
  <c r="A332" i="58"/>
  <c r="B332" i="58"/>
  <c r="C332" i="58"/>
  <c r="D332" i="58"/>
  <c r="E332" i="58"/>
  <c r="F332" i="58"/>
  <c r="G332" i="58"/>
  <c r="H332" i="58"/>
  <c r="I332" i="58"/>
  <c r="J332" i="58"/>
  <c r="K332" i="58"/>
  <c r="L332" i="58"/>
  <c r="A333" i="58"/>
  <c r="B333" i="58"/>
  <c r="C333" i="58"/>
  <c r="D333" i="58"/>
  <c r="E333" i="58"/>
  <c r="F333" i="58"/>
  <c r="G333" i="58"/>
  <c r="H333" i="58"/>
  <c r="I333" i="58"/>
  <c r="J333" i="58"/>
  <c r="K333" i="58"/>
  <c r="L333" i="58"/>
  <c r="A334" i="58"/>
  <c r="B334" i="58"/>
  <c r="C334" i="58"/>
  <c r="D334" i="58"/>
  <c r="E334" i="58"/>
  <c r="F334" i="58"/>
  <c r="G334" i="58"/>
  <c r="H334" i="58"/>
  <c r="I334" i="58"/>
  <c r="J334" i="58"/>
  <c r="K334" i="58"/>
  <c r="L334" i="58"/>
  <c r="A335" i="58"/>
  <c r="B335" i="58"/>
  <c r="C335" i="58"/>
  <c r="D335" i="58"/>
  <c r="E335" i="58"/>
  <c r="F335" i="58"/>
  <c r="G335" i="58"/>
  <c r="H335" i="58"/>
  <c r="I335" i="58"/>
  <c r="J335" i="58"/>
  <c r="K335" i="58"/>
  <c r="L335" i="58"/>
  <c r="A336" i="58"/>
  <c r="B336" i="58"/>
  <c r="C336" i="58"/>
  <c r="D336" i="58"/>
  <c r="E336" i="58"/>
  <c r="F336" i="58"/>
  <c r="G336" i="58"/>
  <c r="H336" i="58"/>
  <c r="I336" i="58"/>
  <c r="J336" i="58"/>
  <c r="K336" i="58"/>
  <c r="L336" i="58"/>
  <c r="A337" i="58"/>
  <c r="B337" i="58"/>
  <c r="C337" i="58"/>
  <c r="D337" i="58"/>
  <c r="E337" i="58"/>
  <c r="F337" i="58"/>
  <c r="G337" i="58"/>
  <c r="H337" i="58"/>
  <c r="I337" i="58"/>
  <c r="J337" i="58"/>
  <c r="K337" i="58"/>
  <c r="L337" i="58"/>
  <c r="A338" i="58"/>
  <c r="B338" i="58"/>
  <c r="C338" i="58"/>
  <c r="D338" i="58"/>
  <c r="E338" i="58"/>
  <c r="F338" i="58"/>
  <c r="G338" i="58"/>
  <c r="H338" i="58"/>
  <c r="I338" i="58"/>
  <c r="J338" i="58"/>
  <c r="K338" i="58"/>
  <c r="L338" i="58"/>
  <c r="A339" i="58"/>
  <c r="B339" i="58"/>
  <c r="C339" i="58"/>
  <c r="D339" i="58"/>
  <c r="E339" i="58"/>
  <c r="F339" i="58"/>
  <c r="G339" i="58"/>
  <c r="H339" i="58"/>
  <c r="I339" i="58"/>
  <c r="J339" i="58"/>
  <c r="K339" i="58"/>
  <c r="L339" i="58"/>
  <c r="A341" i="58"/>
  <c r="B341" i="58"/>
  <c r="C341" i="58"/>
  <c r="D341" i="58"/>
  <c r="E341" i="58"/>
  <c r="F341" i="58"/>
  <c r="G341" i="58"/>
  <c r="H341" i="58"/>
  <c r="I341" i="58"/>
  <c r="J341" i="58"/>
  <c r="K341" i="58"/>
  <c r="L341" i="58"/>
  <c r="A342" i="58"/>
  <c r="B342" i="58"/>
  <c r="C342" i="58"/>
  <c r="D342" i="58"/>
  <c r="E342" i="58"/>
  <c r="F342" i="58"/>
  <c r="G342" i="58"/>
  <c r="H342" i="58"/>
  <c r="I342" i="58"/>
  <c r="J342" i="58"/>
  <c r="K342" i="58"/>
  <c r="L342" i="58"/>
  <c r="A343" i="58"/>
  <c r="B343" i="58"/>
  <c r="C343" i="58"/>
  <c r="D343" i="58"/>
  <c r="E343" i="58"/>
  <c r="F343" i="58"/>
  <c r="G343" i="58"/>
  <c r="H343" i="58"/>
  <c r="I343" i="58"/>
  <c r="J343" i="58"/>
  <c r="K343" i="58"/>
  <c r="L343" i="58"/>
  <c r="A344" i="58"/>
  <c r="B344" i="58"/>
  <c r="C344" i="58"/>
  <c r="D344" i="58"/>
  <c r="E344" i="58"/>
  <c r="F344" i="58"/>
  <c r="G344" i="58"/>
  <c r="H344" i="58"/>
  <c r="I344" i="58"/>
  <c r="J344" i="58"/>
  <c r="K344" i="58"/>
  <c r="L344" i="58"/>
  <c r="A345" i="58"/>
  <c r="B345" i="58"/>
  <c r="C345" i="58"/>
  <c r="D345" i="58"/>
  <c r="E345" i="58"/>
  <c r="F345" i="58"/>
  <c r="G345" i="58"/>
  <c r="H345" i="58"/>
  <c r="I345" i="58"/>
  <c r="J345" i="58"/>
  <c r="K345" i="58"/>
  <c r="L345" i="58"/>
  <c r="A346" i="58"/>
  <c r="B346" i="58"/>
  <c r="C346" i="58"/>
  <c r="D346" i="58"/>
  <c r="E346" i="58"/>
  <c r="F346" i="58"/>
  <c r="G346" i="58"/>
  <c r="H346" i="58"/>
  <c r="I346" i="58"/>
  <c r="J346" i="58"/>
  <c r="K346" i="58"/>
  <c r="L346" i="58"/>
  <c r="A347" i="58"/>
  <c r="B347" i="58"/>
  <c r="C347" i="58"/>
  <c r="D347" i="58"/>
  <c r="E347" i="58"/>
  <c r="F347" i="58"/>
  <c r="G347" i="58"/>
  <c r="H347" i="58"/>
  <c r="I347" i="58"/>
  <c r="J347" i="58"/>
  <c r="K347" i="58"/>
  <c r="L347" i="58"/>
  <c r="A348" i="58"/>
  <c r="B348" i="58"/>
  <c r="C348" i="58"/>
  <c r="D348" i="58"/>
  <c r="E348" i="58"/>
  <c r="F348" i="58"/>
  <c r="G348" i="58"/>
  <c r="H348" i="58"/>
  <c r="I348" i="58"/>
  <c r="J348" i="58"/>
  <c r="K348" i="58"/>
  <c r="L348" i="58"/>
  <c r="A349" i="58"/>
  <c r="B349" i="58"/>
  <c r="C349" i="58"/>
  <c r="D349" i="58"/>
  <c r="E349" i="58"/>
  <c r="F349" i="58"/>
  <c r="G349" i="58"/>
  <c r="H349" i="58"/>
  <c r="I349" i="58"/>
  <c r="J349" i="58"/>
  <c r="K349" i="58"/>
  <c r="L349" i="58"/>
  <c r="A351" i="58"/>
  <c r="B351" i="58"/>
  <c r="C351" i="58"/>
  <c r="D351" i="58"/>
  <c r="E351" i="58"/>
  <c r="F351" i="58"/>
  <c r="G351" i="58"/>
  <c r="H351" i="58"/>
  <c r="I351" i="58"/>
  <c r="J351" i="58"/>
  <c r="K351" i="58"/>
  <c r="L351" i="58"/>
  <c r="A352" i="58"/>
  <c r="B352" i="58"/>
  <c r="C352" i="58"/>
  <c r="D352" i="58"/>
  <c r="E352" i="58"/>
  <c r="F352" i="58"/>
  <c r="G352" i="58"/>
  <c r="H352" i="58"/>
  <c r="I352" i="58"/>
  <c r="J352" i="58"/>
  <c r="K352" i="58"/>
  <c r="L352" i="58"/>
  <c r="A353" i="58"/>
  <c r="B353" i="58"/>
  <c r="C353" i="58"/>
  <c r="D353" i="58"/>
  <c r="E353" i="58"/>
  <c r="F353" i="58"/>
  <c r="G353" i="58"/>
  <c r="H353" i="58"/>
  <c r="I353" i="58"/>
  <c r="J353" i="58"/>
  <c r="K353" i="58"/>
  <c r="L353" i="58"/>
  <c r="A354" i="58"/>
  <c r="B354" i="58"/>
  <c r="C354" i="58"/>
  <c r="D354" i="58"/>
  <c r="E354" i="58"/>
  <c r="F354" i="58"/>
  <c r="G354" i="58"/>
  <c r="H354" i="58"/>
  <c r="I354" i="58"/>
  <c r="J354" i="58"/>
  <c r="K354" i="58"/>
  <c r="L354" i="58"/>
  <c r="A355" i="58"/>
  <c r="B355" i="58"/>
  <c r="C355" i="58"/>
  <c r="D355" i="58"/>
  <c r="E355" i="58"/>
  <c r="F355" i="58"/>
  <c r="G355" i="58"/>
  <c r="H355" i="58"/>
  <c r="I355" i="58"/>
  <c r="J355" i="58"/>
  <c r="K355" i="58"/>
  <c r="L355" i="58"/>
  <c r="A356" i="58"/>
  <c r="B356" i="58"/>
  <c r="C356" i="58"/>
  <c r="D356" i="58"/>
  <c r="E356" i="58"/>
  <c r="F356" i="58"/>
  <c r="G356" i="58"/>
  <c r="H356" i="58"/>
  <c r="I356" i="58"/>
  <c r="J356" i="58"/>
  <c r="K356" i="58"/>
  <c r="L356" i="58"/>
  <c r="A357" i="58"/>
  <c r="B357" i="58"/>
  <c r="C357" i="58"/>
  <c r="D357" i="58"/>
  <c r="E357" i="58"/>
  <c r="F357" i="58"/>
  <c r="G357" i="58"/>
  <c r="H357" i="58"/>
  <c r="I357" i="58"/>
  <c r="J357" i="58"/>
  <c r="K357" i="58"/>
  <c r="L357" i="58"/>
  <c r="A358" i="58"/>
  <c r="B358" i="58"/>
  <c r="C358" i="58"/>
  <c r="D358" i="58"/>
  <c r="E358" i="58"/>
  <c r="F358" i="58"/>
  <c r="G358" i="58"/>
  <c r="H358" i="58"/>
  <c r="I358" i="58"/>
  <c r="J358" i="58"/>
  <c r="K358" i="58"/>
  <c r="L358" i="58"/>
  <c r="A359" i="58"/>
  <c r="B359" i="58"/>
  <c r="C359" i="58"/>
  <c r="D359" i="58"/>
  <c r="E359" i="58"/>
  <c r="F359" i="58"/>
  <c r="G359" i="58"/>
  <c r="H359" i="58"/>
  <c r="I359" i="58"/>
  <c r="J359" i="58"/>
  <c r="K359" i="58"/>
  <c r="L359" i="58"/>
  <c r="A361" i="58"/>
  <c r="B361" i="58"/>
  <c r="C361" i="58"/>
  <c r="D361" i="58"/>
  <c r="E361" i="58"/>
  <c r="F361" i="58"/>
  <c r="G361" i="58"/>
  <c r="H361" i="58"/>
  <c r="I361" i="58"/>
  <c r="J361" i="58"/>
  <c r="K361" i="58"/>
  <c r="L361" i="58"/>
  <c r="A362" i="58"/>
  <c r="B362" i="58"/>
  <c r="C362" i="58"/>
  <c r="D362" i="58"/>
  <c r="E362" i="58"/>
  <c r="F362" i="58"/>
  <c r="G362" i="58"/>
  <c r="H362" i="58"/>
  <c r="I362" i="58"/>
  <c r="J362" i="58"/>
  <c r="K362" i="58"/>
  <c r="L362" i="58"/>
  <c r="A363" i="58"/>
  <c r="B363" i="58"/>
  <c r="C363" i="58"/>
  <c r="D363" i="58"/>
  <c r="E363" i="58"/>
  <c r="F363" i="58"/>
  <c r="G363" i="58"/>
  <c r="H363" i="58"/>
  <c r="I363" i="58"/>
  <c r="J363" i="58"/>
  <c r="K363" i="58"/>
  <c r="L363" i="58"/>
  <c r="A364" i="58"/>
  <c r="B364" i="58"/>
  <c r="C364" i="58"/>
  <c r="D364" i="58"/>
  <c r="E364" i="58"/>
  <c r="F364" i="58"/>
  <c r="G364" i="58"/>
  <c r="H364" i="58"/>
  <c r="I364" i="58"/>
  <c r="J364" i="58"/>
  <c r="K364" i="58"/>
  <c r="L364" i="58"/>
  <c r="A365" i="58"/>
  <c r="B365" i="58"/>
  <c r="C365" i="58"/>
  <c r="D365" i="58"/>
  <c r="E365" i="58"/>
  <c r="F365" i="58"/>
  <c r="G365" i="58"/>
  <c r="H365" i="58"/>
  <c r="I365" i="58"/>
  <c r="J365" i="58"/>
  <c r="K365" i="58"/>
  <c r="L365" i="58"/>
  <c r="A366" i="58"/>
  <c r="B366" i="58"/>
  <c r="C366" i="58"/>
  <c r="D366" i="58"/>
  <c r="E366" i="58"/>
  <c r="F366" i="58"/>
  <c r="G366" i="58"/>
  <c r="H366" i="58"/>
  <c r="I366" i="58"/>
  <c r="J366" i="58"/>
  <c r="K366" i="58"/>
  <c r="L366" i="58"/>
  <c r="A367" i="58"/>
  <c r="B367" i="58"/>
  <c r="C367" i="58"/>
  <c r="D367" i="58"/>
  <c r="E367" i="58"/>
  <c r="F367" i="58"/>
  <c r="G367" i="58"/>
  <c r="H367" i="58"/>
  <c r="I367" i="58"/>
  <c r="J367" i="58"/>
  <c r="K367" i="58"/>
  <c r="L367" i="58"/>
  <c r="A368" i="58"/>
  <c r="B368" i="58"/>
  <c r="C368" i="58"/>
  <c r="D368" i="58"/>
  <c r="E368" i="58"/>
  <c r="F368" i="58"/>
  <c r="G368" i="58"/>
  <c r="H368" i="58"/>
  <c r="I368" i="58"/>
  <c r="J368" i="58"/>
  <c r="K368" i="58"/>
  <c r="L368" i="58"/>
  <c r="A369" i="58"/>
  <c r="B369" i="58"/>
  <c r="C369" i="58"/>
  <c r="D369" i="58"/>
  <c r="E369" i="58"/>
  <c r="F369" i="58"/>
  <c r="G369" i="58"/>
  <c r="H369" i="58"/>
  <c r="I369" i="58"/>
  <c r="J369" i="58"/>
  <c r="K369" i="58"/>
  <c r="L369" i="58"/>
  <c r="A371" i="58"/>
  <c r="B371" i="58"/>
  <c r="C371" i="58"/>
  <c r="D371" i="58"/>
  <c r="E371" i="58"/>
  <c r="F371" i="58"/>
  <c r="G371" i="58"/>
  <c r="H371" i="58"/>
  <c r="I371" i="58"/>
  <c r="J371" i="58"/>
  <c r="K371" i="58"/>
  <c r="L371" i="58"/>
  <c r="A372" i="58"/>
  <c r="B372" i="58"/>
  <c r="C372" i="58"/>
  <c r="D372" i="58"/>
  <c r="E372" i="58"/>
  <c r="F372" i="58"/>
  <c r="G372" i="58"/>
  <c r="H372" i="58"/>
  <c r="I372" i="58"/>
  <c r="J372" i="58"/>
  <c r="K372" i="58"/>
  <c r="L372" i="58"/>
  <c r="A373" i="58"/>
  <c r="B373" i="58"/>
  <c r="C373" i="58"/>
  <c r="D373" i="58"/>
  <c r="E373" i="58"/>
  <c r="F373" i="58"/>
  <c r="G373" i="58"/>
  <c r="H373" i="58"/>
  <c r="I373" i="58"/>
  <c r="J373" i="58"/>
  <c r="K373" i="58"/>
  <c r="L373" i="58"/>
  <c r="A374" i="58"/>
  <c r="B374" i="58"/>
  <c r="C374" i="58"/>
  <c r="D374" i="58"/>
  <c r="E374" i="58"/>
  <c r="F374" i="58"/>
  <c r="G374" i="58"/>
  <c r="H374" i="58"/>
  <c r="I374" i="58"/>
  <c r="J374" i="58"/>
  <c r="K374" i="58"/>
  <c r="L374" i="58"/>
  <c r="A375" i="58"/>
  <c r="B375" i="58"/>
  <c r="C375" i="58"/>
  <c r="D375" i="58"/>
  <c r="E375" i="58"/>
  <c r="F375" i="58"/>
  <c r="G375" i="58"/>
  <c r="H375" i="58"/>
  <c r="I375" i="58"/>
  <c r="J375" i="58"/>
  <c r="K375" i="58"/>
  <c r="L375" i="58"/>
  <c r="A376" i="58"/>
  <c r="B376" i="58"/>
  <c r="C376" i="58"/>
  <c r="D376" i="58"/>
  <c r="E376" i="58"/>
  <c r="F376" i="58"/>
  <c r="G376" i="58"/>
  <c r="H376" i="58"/>
  <c r="I376" i="58"/>
  <c r="J376" i="58"/>
  <c r="K376" i="58"/>
  <c r="L376" i="58"/>
  <c r="A377" i="58"/>
  <c r="B377" i="58"/>
  <c r="C377" i="58"/>
  <c r="D377" i="58"/>
  <c r="E377" i="58"/>
  <c r="F377" i="58"/>
  <c r="G377" i="58"/>
  <c r="H377" i="58"/>
  <c r="I377" i="58"/>
  <c r="J377" i="58"/>
  <c r="K377" i="58"/>
  <c r="L377" i="58"/>
  <c r="A378" i="58"/>
  <c r="B378" i="58"/>
  <c r="C378" i="58"/>
  <c r="D378" i="58"/>
  <c r="E378" i="58"/>
  <c r="F378" i="58"/>
  <c r="G378" i="58"/>
  <c r="H378" i="58"/>
  <c r="I378" i="58"/>
  <c r="J378" i="58"/>
  <c r="K378" i="58"/>
  <c r="L378" i="58"/>
  <c r="A379" i="58"/>
  <c r="B379" i="58"/>
  <c r="C379" i="58"/>
  <c r="D379" i="58"/>
  <c r="E379" i="58"/>
  <c r="F379" i="58"/>
  <c r="G379" i="58"/>
  <c r="H379" i="58"/>
  <c r="I379" i="58"/>
  <c r="J379" i="58"/>
  <c r="K379" i="58"/>
  <c r="L379" i="58"/>
  <c r="A381" i="58"/>
  <c r="B381" i="58"/>
  <c r="C381" i="58"/>
  <c r="D381" i="58"/>
  <c r="E381" i="58"/>
  <c r="F381" i="58"/>
  <c r="G381" i="58"/>
  <c r="H381" i="58"/>
  <c r="I381" i="58"/>
  <c r="J381" i="58"/>
  <c r="K381" i="58"/>
  <c r="L381" i="58"/>
  <c r="A382" i="58"/>
  <c r="B382" i="58"/>
  <c r="C382" i="58"/>
  <c r="D382" i="58"/>
  <c r="E382" i="58"/>
  <c r="F382" i="58"/>
  <c r="G382" i="58"/>
  <c r="H382" i="58"/>
  <c r="I382" i="58"/>
  <c r="J382" i="58"/>
  <c r="K382" i="58"/>
  <c r="L382" i="58"/>
  <c r="A383" i="58"/>
  <c r="B383" i="58"/>
  <c r="C383" i="58"/>
  <c r="D383" i="58"/>
  <c r="E383" i="58"/>
  <c r="F383" i="58"/>
  <c r="G383" i="58"/>
  <c r="H383" i="58"/>
  <c r="I383" i="58"/>
  <c r="J383" i="58"/>
  <c r="K383" i="58"/>
  <c r="L383" i="58"/>
  <c r="A384" i="58"/>
  <c r="B384" i="58"/>
  <c r="C384" i="58"/>
  <c r="D384" i="58"/>
  <c r="E384" i="58"/>
  <c r="F384" i="58"/>
  <c r="G384" i="58"/>
  <c r="H384" i="58"/>
  <c r="I384" i="58"/>
  <c r="J384" i="58"/>
  <c r="K384" i="58"/>
  <c r="L384" i="58"/>
  <c r="A385" i="58"/>
  <c r="B385" i="58"/>
  <c r="C385" i="58"/>
  <c r="D385" i="58"/>
  <c r="E385" i="58"/>
  <c r="F385" i="58"/>
  <c r="G385" i="58"/>
  <c r="H385" i="58"/>
  <c r="I385" i="58"/>
  <c r="J385" i="58"/>
  <c r="K385" i="58"/>
  <c r="L385" i="58"/>
  <c r="A386" i="58"/>
  <c r="B386" i="58"/>
  <c r="C386" i="58"/>
  <c r="D386" i="58"/>
  <c r="E386" i="58"/>
  <c r="F386" i="58"/>
  <c r="G386" i="58"/>
  <c r="H386" i="58"/>
  <c r="I386" i="58"/>
  <c r="J386" i="58"/>
  <c r="K386" i="58"/>
  <c r="L386" i="58"/>
  <c r="A387" i="58"/>
  <c r="B387" i="58"/>
  <c r="C387" i="58"/>
  <c r="D387" i="58"/>
  <c r="E387" i="58"/>
  <c r="F387" i="58"/>
  <c r="G387" i="58"/>
  <c r="H387" i="58"/>
  <c r="I387" i="58"/>
  <c r="J387" i="58"/>
  <c r="K387" i="58"/>
  <c r="L387" i="58"/>
  <c r="A388" i="58"/>
  <c r="B388" i="58"/>
  <c r="C388" i="58"/>
  <c r="D388" i="58"/>
  <c r="E388" i="58"/>
  <c r="F388" i="58"/>
  <c r="G388" i="58"/>
  <c r="H388" i="58"/>
  <c r="I388" i="58"/>
  <c r="J388" i="58"/>
  <c r="K388" i="58"/>
  <c r="L388" i="58"/>
  <c r="A389" i="58"/>
  <c r="B389" i="58"/>
  <c r="C389" i="58"/>
  <c r="D389" i="58"/>
  <c r="E389" i="58"/>
  <c r="F389" i="58"/>
  <c r="G389" i="58"/>
  <c r="H389" i="58"/>
  <c r="I389" i="58"/>
  <c r="J389" i="58"/>
  <c r="K389" i="58"/>
  <c r="L389" i="58"/>
  <c r="A391" i="58"/>
  <c r="B391" i="58"/>
  <c r="C391" i="58"/>
  <c r="D391" i="58"/>
  <c r="E391" i="58"/>
  <c r="F391" i="58"/>
  <c r="G391" i="58"/>
  <c r="H391" i="58"/>
  <c r="I391" i="58"/>
  <c r="J391" i="58"/>
  <c r="K391" i="58"/>
  <c r="L391" i="58"/>
  <c r="A392" i="58"/>
  <c r="B392" i="58"/>
  <c r="C392" i="58"/>
  <c r="D392" i="58"/>
  <c r="E392" i="58"/>
  <c r="F392" i="58"/>
  <c r="G392" i="58"/>
  <c r="H392" i="58"/>
  <c r="I392" i="58"/>
  <c r="J392" i="58"/>
  <c r="K392" i="58"/>
  <c r="L392" i="58"/>
  <c r="A393" i="58"/>
  <c r="B393" i="58"/>
  <c r="C393" i="58"/>
  <c r="D393" i="58"/>
  <c r="E393" i="58"/>
  <c r="F393" i="58"/>
  <c r="G393" i="58"/>
  <c r="H393" i="58"/>
  <c r="I393" i="58"/>
  <c r="J393" i="58"/>
  <c r="K393" i="58"/>
  <c r="L393" i="58"/>
  <c r="A394" i="58"/>
  <c r="B394" i="58"/>
  <c r="C394" i="58"/>
  <c r="D394" i="58"/>
  <c r="E394" i="58"/>
  <c r="F394" i="58"/>
  <c r="G394" i="58"/>
  <c r="H394" i="58"/>
  <c r="I394" i="58"/>
  <c r="J394" i="58"/>
  <c r="K394" i="58"/>
  <c r="L394" i="58"/>
  <c r="A395" i="58"/>
  <c r="B395" i="58"/>
  <c r="C395" i="58"/>
  <c r="D395" i="58"/>
  <c r="E395" i="58"/>
  <c r="F395" i="58"/>
  <c r="G395" i="58"/>
  <c r="H395" i="58"/>
  <c r="I395" i="58"/>
  <c r="J395" i="58"/>
  <c r="K395" i="58"/>
  <c r="L395" i="58"/>
  <c r="A396" i="58"/>
  <c r="B396" i="58"/>
  <c r="C396" i="58"/>
  <c r="D396" i="58"/>
  <c r="E396" i="58"/>
  <c r="F396" i="58"/>
  <c r="G396" i="58"/>
  <c r="H396" i="58"/>
  <c r="I396" i="58"/>
  <c r="J396" i="58"/>
  <c r="K396" i="58"/>
  <c r="L396" i="58"/>
  <c r="A397" i="58"/>
  <c r="B397" i="58"/>
  <c r="C397" i="58"/>
  <c r="D397" i="58"/>
  <c r="E397" i="58"/>
  <c r="F397" i="58"/>
  <c r="G397" i="58"/>
  <c r="H397" i="58"/>
  <c r="I397" i="58"/>
  <c r="J397" i="58"/>
  <c r="K397" i="58"/>
  <c r="L397" i="58"/>
  <c r="A398" i="58"/>
  <c r="B398" i="58"/>
  <c r="C398" i="58"/>
  <c r="D398" i="58"/>
  <c r="E398" i="58"/>
  <c r="F398" i="58"/>
  <c r="G398" i="58"/>
  <c r="H398" i="58"/>
  <c r="I398" i="58"/>
  <c r="J398" i="58"/>
  <c r="K398" i="58"/>
  <c r="L398" i="58"/>
  <c r="A399" i="58"/>
  <c r="B399" i="58"/>
  <c r="C399" i="58"/>
  <c r="D399" i="58"/>
  <c r="E399" i="58"/>
  <c r="F399" i="58"/>
  <c r="G399" i="58"/>
  <c r="H399" i="58"/>
  <c r="I399" i="58"/>
  <c r="J399" i="58"/>
  <c r="K399" i="58"/>
  <c r="L399" i="58"/>
  <c r="A411" i="58"/>
  <c r="B411" i="58"/>
  <c r="C411" i="58"/>
  <c r="D411" i="58"/>
  <c r="E411" i="58"/>
  <c r="F411" i="58"/>
  <c r="G411" i="58"/>
  <c r="H411" i="58"/>
  <c r="I411" i="58"/>
  <c r="J411" i="58"/>
  <c r="K411" i="58"/>
  <c r="L411" i="58"/>
  <c r="A412" i="58"/>
  <c r="B412" i="58"/>
  <c r="C412" i="58"/>
  <c r="D412" i="58"/>
  <c r="E412" i="58"/>
  <c r="F412" i="58"/>
  <c r="G412" i="58"/>
  <c r="H412" i="58"/>
  <c r="I412" i="58"/>
  <c r="J412" i="58"/>
  <c r="K412" i="58"/>
  <c r="L412" i="58"/>
  <c r="A413" i="58"/>
  <c r="B413" i="58"/>
  <c r="C413" i="58"/>
  <c r="D413" i="58"/>
  <c r="E413" i="58"/>
  <c r="F413" i="58"/>
  <c r="G413" i="58"/>
  <c r="H413" i="58"/>
  <c r="I413" i="58"/>
  <c r="J413" i="58"/>
  <c r="K413" i="58"/>
  <c r="L413" i="58"/>
  <c r="A414" i="58"/>
  <c r="B414" i="58"/>
  <c r="C414" i="58"/>
  <c r="D414" i="58"/>
  <c r="E414" i="58"/>
  <c r="F414" i="58"/>
  <c r="G414" i="58"/>
  <c r="H414" i="58"/>
  <c r="I414" i="58"/>
  <c r="J414" i="58"/>
  <c r="K414" i="58"/>
  <c r="L414" i="58"/>
  <c r="A415" i="58"/>
  <c r="B415" i="58"/>
  <c r="C415" i="58"/>
  <c r="D415" i="58"/>
  <c r="E415" i="58"/>
  <c r="F415" i="58"/>
  <c r="G415" i="58"/>
  <c r="H415" i="58"/>
  <c r="I415" i="58"/>
  <c r="J415" i="58"/>
  <c r="K415" i="58"/>
  <c r="L415" i="58"/>
  <c r="A416" i="58"/>
  <c r="B416" i="58"/>
  <c r="C416" i="58"/>
  <c r="D416" i="58"/>
  <c r="E416" i="58"/>
  <c r="F416" i="58"/>
  <c r="G416" i="58"/>
  <c r="H416" i="58"/>
  <c r="I416" i="58"/>
  <c r="J416" i="58"/>
  <c r="K416" i="58"/>
  <c r="L416" i="58"/>
  <c r="A417" i="58"/>
  <c r="B417" i="58"/>
  <c r="C417" i="58"/>
  <c r="D417" i="58"/>
  <c r="E417" i="58"/>
  <c r="F417" i="58"/>
  <c r="G417" i="58"/>
  <c r="H417" i="58"/>
  <c r="I417" i="58"/>
  <c r="J417" i="58"/>
  <c r="K417" i="58"/>
  <c r="L417" i="58"/>
  <c r="A418" i="58"/>
  <c r="B418" i="58"/>
  <c r="C418" i="58"/>
  <c r="D418" i="58"/>
  <c r="E418" i="58"/>
  <c r="F418" i="58"/>
  <c r="G418" i="58"/>
  <c r="H418" i="58"/>
  <c r="I418" i="58"/>
  <c r="J418" i="58"/>
  <c r="K418" i="58"/>
  <c r="L418" i="58"/>
  <c r="A419" i="58"/>
  <c r="B419" i="58"/>
  <c r="C419" i="58"/>
  <c r="D419" i="58"/>
  <c r="E419" i="58"/>
  <c r="F419" i="58"/>
  <c r="G419" i="58"/>
  <c r="H419" i="58"/>
  <c r="I419" i="58"/>
  <c r="J419" i="58"/>
  <c r="K419" i="58"/>
  <c r="L419" i="58"/>
  <c r="A421" i="58"/>
  <c r="B421" i="58"/>
  <c r="C421" i="58"/>
  <c r="D421" i="58"/>
  <c r="E421" i="58"/>
  <c r="F421" i="58"/>
  <c r="G421" i="58"/>
  <c r="H421" i="58"/>
  <c r="I421" i="58"/>
  <c r="J421" i="58"/>
  <c r="K421" i="58"/>
  <c r="L421" i="58"/>
  <c r="A422" i="58"/>
  <c r="B422" i="58"/>
  <c r="C422" i="58"/>
  <c r="D422" i="58"/>
  <c r="E422" i="58"/>
  <c r="F422" i="58"/>
  <c r="G422" i="58"/>
  <c r="H422" i="58"/>
  <c r="I422" i="58"/>
  <c r="J422" i="58"/>
  <c r="K422" i="58"/>
  <c r="L422" i="58"/>
  <c r="A423" i="58"/>
  <c r="B423" i="58"/>
  <c r="C423" i="58"/>
  <c r="D423" i="58"/>
  <c r="E423" i="58"/>
  <c r="F423" i="58"/>
  <c r="G423" i="58"/>
  <c r="H423" i="58"/>
  <c r="I423" i="58"/>
  <c r="J423" i="58"/>
  <c r="K423" i="58"/>
  <c r="L423" i="58"/>
  <c r="A424" i="58"/>
  <c r="B424" i="58"/>
  <c r="C424" i="58"/>
  <c r="D424" i="58"/>
  <c r="E424" i="58"/>
  <c r="F424" i="58"/>
  <c r="G424" i="58"/>
  <c r="H424" i="58"/>
  <c r="I424" i="58"/>
  <c r="J424" i="58"/>
  <c r="K424" i="58"/>
  <c r="L424" i="58"/>
  <c r="A425" i="58"/>
  <c r="B425" i="58"/>
  <c r="C425" i="58"/>
  <c r="D425" i="58"/>
  <c r="E425" i="58"/>
  <c r="F425" i="58"/>
  <c r="G425" i="58"/>
  <c r="H425" i="58"/>
  <c r="I425" i="58"/>
  <c r="J425" i="58"/>
  <c r="K425" i="58"/>
  <c r="L425" i="58"/>
  <c r="A426" i="58"/>
  <c r="B426" i="58"/>
  <c r="C426" i="58"/>
  <c r="D426" i="58"/>
  <c r="E426" i="58"/>
  <c r="F426" i="58"/>
  <c r="G426" i="58"/>
  <c r="H426" i="58"/>
  <c r="I426" i="58"/>
  <c r="J426" i="58"/>
  <c r="K426" i="58"/>
  <c r="L426" i="58"/>
  <c r="A427" i="58"/>
  <c r="B427" i="58"/>
  <c r="C427" i="58"/>
  <c r="D427" i="58"/>
  <c r="E427" i="58"/>
  <c r="F427" i="58"/>
  <c r="G427" i="58"/>
  <c r="H427" i="58"/>
  <c r="I427" i="58"/>
  <c r="J427" i="58"/>
  <c r="K427" i="58"/>
  <c r="L427" i="58"/>
  <c r="A428" i="58"/>
  <c r="B428" i="58"/>
  <c r="C428" i="58"/>
  <c r="D428" i="58"/>
  <c r="E428" i="58"/>
  <c r="F428" i="58"/>
  <c r="G428" i="58"/>
  <c r="H428" i="58"/>
  <c r="I428" i="58"/>
  <c r="J428" i="58"/>
  <c r="K428" i="58"/>
  <c r="L428" i="58"/>
  <c r="A429" i="58"/>
  <c r="B429" i="58"/>
  <c r="C429" i="58"/>
  <c r="D429" i="58"/>
  <c r="E429" i="58"/>
  <c r="F429" i="58"/>
  <c r="G429" i="58"/>
  <c r="H429" i="58"/>
  <c r="I429" i="58"/>
  <c r="J429" i="58"/>
  <c r="K429" i="58"/>
  <c r="L429" i="58"/>
  <c r="A431" i="58"/>
  <c r="B431" i="58"/>
  <c r="C431" i="58"/>
  <c r="D431" i="58"/>
  <c r="E431" i="58"/>
  <c r="F431" i="58"/>
  <c r="G431" i="58"/>
  <c r="H431" i="58"/>
  <c r="I431" i="58"/>
  <c r="J431" i="58"/>
  <c r="K431" i="58"/>
  <c r="L431" i="58"/>
  <c r="A432" i="58"/>
  <c r="B432" i="58"/>
  <c r="C432" i="58"/>
  <c r="D432" i="58"/>
  <c r="E432" i="58"/>
  <c r="F432" i="58"/>
  <c r="G432" i="58"/>
  <c r="H432" i="58"/>
  <c r="I432" i="58"/>
  <c r="J432" i="58"/>
  <c r="K432" i="58"/>
  <c r="L432" i="58"/>
  <c r="A433" i="58"/>
  <c r="B433" i="58"/>
  <c r="C433" i="58"/>
  <c r="D433" i="58"/>
  <c r="E433" i="58"/>
  <c r="F433" i="58"/>
  <c r="G433" i="58"/>
  <c r="H433" i="58"/>
  <c r="I433" i="58"/>
  <c r="J433" i="58"/>
  <c r="K433" i="58"/>
  <c r="L433" i="58"/>
  <c r="A434" i="58"/>
  <c r="B434" i="58"/>
  <c r="C434" i="58"/>
  <c r="D434" i="58"/>
  <c r="E434" i="58"/>
  <c r="F434" i="58"/>
  <c r="G434" i="58"/>
  <c r="H434" i="58"/>
  <c r="I434" i="58"/>
  <c r="J434" i="58"/>
  <c r="K434" i="58"/>
  <c r="L434" i="58"/>
  <c r="A435" i="58"/>
  <c r="B435" i="58"/>
  <c r="C435" i="58"/>
  <c r="D435" i="58"/>
  <c r="E435" i="58"/>
  <c r="F435" i="58"/>
  <c r="G435" i="58"/>
  <c r="H435" i="58"/>
  <c r="I435" i="58"/>
  <c r="J435" i="58"/>
  <c r="K435" i="58"/>
  <c r="L435" i="58"/>
  <c r="A436" i="58"/>
  <c r="B436" i="58"/>
  <c r="C436" i="58"/>
  <c r="D436" i="58"/>
  <c r="E436" i="58"/>
  <c r="F436" i="58"/>
  <c r="G436" i="58"/>
  <c r="H436" i="58"/>
  <c r="I436" i="58"/>
  <c r="J436" i="58"/>
  <c r="K436" i="58"/>
  <c r="L436" i="58"/>
  <c r="A437" i="58"/>
  <c r="B437" i="58"/>
  <c r="C437" i="58"/>
  <c r="D437" i="58"/>
  <c r="E437" i="58"/>
  <c r="F437" i="58"/>
  <c r="G437" i="58"/>
  <c r="H437" i="58"/>
  <c r="I437" i="58"/>
  <c r="J437" i="58"/>
  <c r="K437" i="58"/>
  <c r="L437" i="58"/>
  <c r="A438" i="58"/>
  <c r="B438" i="58"/>
  <c r="C438" i="58"/>
  <c r="D438" i="58"/>
  <c r="E438" i="58"/>
  <c r="F438" i="58"/>
  <c r="G438" i="58"/>
  <c r="H438" i="58"/>
  <c r="I438" i="58"/>
  <c r="J438" i="58"/>
  <c r="K438" i="58"/>
  <c r="L438" i="58"/>
  <c r="A439" i="58"/>
  <c r="B439" i="58"/>
  <c r="C439" i="58"/>
  <c r="D439" i="58"/>
  <c r="E439" i="58"/>
  <c r="F439" i="58"/>
  <c r="G439" i="58"/>
  <c r="H439" i="58"/>
  <c r="I439" i="58"/>
  <c r="J439" i="58"/>
  <c r="K439" i="58"/>
  <c r="L439" i="58"/>
  <c r="A441" i="58"/>
  <c r="B441" i="58"/>
  <c r="C441" i="58"/>
  <c r="D441" i="58"/>
  <c r="E441" i="58"/>
  <c r="F441" i="58"/>
  <c r="G441" i="58"/>
  <c r="H441" i="58"/>
  <c r="I441" i="58"/>
  <c r="J441" i="58"/>
  <c r="K441" i="58"/>
  <c r="L441" i="58"/>
  <c r="A442" i="58"/>
  <c r="B442" i="58"/>
  <c r="C442" i="58"/>
  <c r="D442" i="58"/>
  <c r="E442" i="58"/>
  <c r="F442" i="58"/>
  <c r="G442" i="58"/>
  <c r="H442" i="58"/>
  <c r="I442" i="58"/>
  <c r="J442" i="58"/>
  <c r="K442" i="58"/>
  <c r="L442" i="58"/>
  <c r="A443" i="58"/>
  <c r="B443" i="58"/>
  <c r="C443" i="58"/>
  <c r="D443" i="58"/>
  <c r="E443" i="58"/>
  <c r="F443" i="58"/>
  <c r="G443" i="58"/>
  <c r="H443" i="58"/>
  <c r="I443" i="58"/>
  <c r="J443" i="58"/>
  <c r="K443" i="58"/>
  <c r="L443" i="58"/>
  <c r="A444" i="58"/>
  <c r="B444" i="58"/>
  <c r="C444" i="58"/>
  <c r="D444" i="58"/>
  <c r="E444" i="58"/>
  <c r="F444" i="58"/>
  <c r="G444" i="58"/>
  <c r="H444" i="58"/>
  <c r="I444" i="58"/>
  <c r="J444" i="58"/>
  <c r="K444" i="58"/>
  <c r="L444" i="58"/>
  <c r="A445" i="58"/>
  <c r="B445" i="58"/>
  <c r="C445" i="58"/>
  <c r="D445" i="58"/>
  <c r="E445" i="58"/>
  <c r="F445" i="58"/>
  <c r="G445" i="58"/>
  <c r="H445" i="58"/>
  <c r="I445" i="58"/>
  <c r="J445" i="58"/>
  <c r="K445" i="58"/>
  <c r="L445" i="58"/>
  <c r="A446" i="58"/>
  <c r="B446" i="58"/>
  <c r="C446" i="58"/>
  <c r="D446" i="58"/>
  <c r="E446" i="58"/>
  <c r="F446" i="58"/>
  <c r="G446" i="58"/>
  <c r="H446" i="58"/>
  <c r="I446" i="58"/>
  <c r="J446" i="58"/>
  <c r="K446" i="58"/>
  <c r="L446" i="58"/>
  <c r="A447" i="58"/>
  <c r="B447" i="58"/>
  <c r="C447" i="58"/>
  <c r="D447" i="58"/>
  <c r="E447" i="58"/>
  <c r="F447" i="58"/>
  <c r="G447" i="58"/>
  <c r="H447" i="58"/>
  <c r="I447" i="58"/>
  <c r="J447" i="58"/>
  <c r="K447" i="58"/>
  <c r="L447" i="58"/>
  <c r="A448" i="58"/>
  <c r="B448" i="58"/>
  <c r="C448" i="58"/>
  <c r="D448" i="58"/>
  <c r="E448" i="58"/>
  <c r="F448" i="58"/>
  <c r="G448" i="58"/>
  <c r="H448" i="58"/>
  <c r="I448" i="58"/>
  <c r="J448" i="58"/>
  <c r="K448" i="58"/>
  <c r="L448" i="58"/>
  <c r="A449" i="58"/>
  <c r="B449" i="58"/>
  <c r="C449" i="58"/>
  <c r="D449" i="58"/>
  <c r="E449" i="58"/>
  <c r="F449" i="58"/>
  <c r="G449" i="58"/>
  <c r="H449" i="58"/>
  <c r="I449" i="58"/>
  <c r="J449" i="58"/>
  <c r="K449" i="58"/>
  <c r="L449" i="58"/>
  <c r="A451" i="58"/>
  <c r="B451" i="58"/>
  <c r="C451" i="58"/>
  <c r="D451" i="58"/>
  <c r="E451" i="58"/>
  <c r="F451" i="58"/>
  <c r="G451" i="58"/>
  <c r="H451" i="58"/>
  <c r="I451" i="58"/>
  <c r="J451" i="58"/>
  <c r="K451" i="58"/>
  <c r="L451" i="58"/>
  <c r="A452" i="58"/>
  <c r="B452" i="58"/>
  <c r="C452" i="58"/>
  <c r="D452" i="58"/>
  <c r="E452" i="58"/>
  <c r="F452" i="58"/>
  <c r="G452" i="58"/>
  <c r="H452" i="58"/>
  <c r="I452" i="58"/>
  <c r="J452" i="58"/>
  <c r="K452" i="58"/>
  <c r="L452" i="58"/>
  <c r="A453" i="58"/>
  <c r="B453" i="58"/>
  <c r="C453" i="58"/>
  <c r="D453" i="58"/>
  <c r="E453" i="58"/>
  <c r="F453" i="58"/>
  <c r="G453" i="58"/>
  <c r="H453" i="58"/>
  <c r="I453" i="58"/>
  <c r="J453" i="58"/>
  <c r="K453" i="58"/>
  <c r="L453" i="58"/>
  <c r="A454" i="58"/>
  <c r="B454" i="58"/>
  <c r="C454" i="58"/>
  <c r="D454" i="58"/>
  <c r="E454" i="58"/>
  <c r="F454" i="58"/>
  <c r="G454" i="58"/>
  <c r="H454" i="58"/>
  <c r="I454" i="58"/>
  <c r="J454" i="58"/>
  <c r="K454" i="58"/>
  <c r="L454" i="58"/>
  <c r="A455" i="58"/>
  <c r="B455" i="58"/>
  <c r="C455" i="58"/>
  <c r="D455" i="58"/>
  <c r="E455" i="58"/>
  <c r="F455" i="58"/>
  <c r="G455" i="58"/>
  <c r="H455" i="58"/>
  <c r="I455" i="58"/>
  <c r="J455" i="58"/>
  <c r="K455" i="58"/>
  <c r="L455" i="58"/>
  <c r="A456" i="58"/>
  <c r="B456" i="58"/>
  <c r="C456" i="58"/>
  <c r="D456" i="58"/>
  <c r="E456" i="58"/>
  <c r="F456" i="58"/>
  <c r="G456" i="58"/>
  <c r="H456" i="58"/>
  <c r="I456" i="58"/>
  <c r="J456" i="58"/>
  <c r="K456" i="58"/>
  <c r="L456" i="58"/>
  <c r="A457" i="58"/>
  <c r="B457" i="58"/>
  <c r="C457" i="58"/>
  <c r="D457" i="58"/>
  <c r="E457" i="58"/>
  <c r="F457" i="58"/>
  <c r="G457" i="58"/>
  <c r="H457" i="58"/>
  <c r="I457" i="58"/>
  <c r="J457" i="58"/>
  <c r="K457" i="58"/>
  <c r="L457" i="58"/>
  <c r="A458" i="58"/>
  <c r="B458" i="58"/>
  <c r="C458" i="58"/>
  <c r="D458" i="58"/>
  <c r="E458" i="58"/>
  <c r="F458" i="58"/>
  <c r="G458" i="58"/>
  <c r="H458" i="58"/>
  <c r="I458" i="58"/>
  <c r="J458" i="58"/>
  <c r="K458" i="58"/>
  <c r="L458" i="58"/>
  <c r="A459" i="58"/>
  <c r="B459" i="58"/>
  <c r="C459" i="58"/>
  <c r="D459" i="58"/>
  <c r="E459" i="58"/>
  <c r="F459" i="58"/>
  <c r="G459" i="58"/>
  <c r="H459" i="58"/>
  <c r="I459" i="58"/>
  <c r="J459" i="58"/>
  <c r="K459" i="58"/>
  <c r="L459" i="58"/>
  <c r="A461" i="58"/>
  <c r="B461" i="58"/>
  <c r="C461" i="58"/>
  <c r="D461" i="58"/>
  <c r="E461" i="58"/>
  <c r="F461" i="58"/>
  <c r="G461" i="58"/>
  <c r="H461" i="58"/>
  <c r="I461" i="58"/>
  <c r="J461" i="58"/>
  <c r="K461" i="58"/>
  <c r="L461" i="58"/>
  <c r="A462" i="58"/>
  <c r="B462" i="58"/>
  <c r="C462" i="58"/>
  <c r="D462" i="58"/>
  <c r="E462" i="58"/>
  <c r="F462" i="58"/>
  <c r="G462" i="58"/>
  <c r="H462" i="58"/>
  <c r="I462" i="58"/>
  <c r="J462" i="58"/>
  <c r="K462" i="58"/>
  <c r="L462" i="58"/>
  <c r="A463" i="58"/>
  <c r="B463" i="58"/>
  <c r="C463" i="58"/>
  <c r="D463" i="58"/>
  <c r="E463" i="58"/>
  <c r="F463" i="58"/>
  <c r="G463" i="58"/>
  <c r="H463" i="58"/>
  <c r="I463" i="58"/>
  <c r="J463" i="58"/>
  <c r="K463" i="58"/>
  <c r="L463" i="58"/>
  <c r="A464" i="58"/>
  <c r="B464" i="58"/>
  <c r="C464" i="58"/>
  <c r="D464" i="58"/>
  <c r="E464" i="58"/>
  <c r="F464" i="58"/>
  <c r="G464" i="58"/>
  <c r="H464" i="58"/>
  <c r="I464" i="58"/>
  <c r="J464" i="58"/>
  <c r="K464" i="58"/>
  <c r="L464" i="58"/>
  <c r="A465" i="58"/>
  <c r="B465" i="58"/>
  <c r="C465" i="58"/>
  <c r="D465" i="58"/>
  <c r="E465" i="58"/>
  <c r="F465" i="58"/>
  <c r="G465" i="58"/>
  <c r="H465" i="58"/>
  <c r="I465" i="58"/>
  <c r="J465" i="58"/>
  <c r="K465" i="58"/>
  <c r="L465" i="58"/>
  <c r="A466" i="58"/>
  <c r="B466" i="58"/>
  <c r="C466" i="58"/>
  <c r="D466" i="58"/>
  <c r="E466" i="58"/>
  <c r="F466" i="58"/>
  <c r="G466" i="58"/>
  <c r="H466" i="58"/>
  <c r="I466" i="58"/>
  <c r="J466" i="58"/>
  <c r="K466" i="58"/>
  <c r="L466" i="58"/>
  <c r="A467" i="58"/>
  <c r="B467" i="58"/>
  <c r="C467" i="58"/>
  <c r="D467" i="58"/>
  <c r="E467" i="58"/>
  <c r="F467" i="58"/>
  <c r="G467" i="58"/>
  <c r="H467" i="58"/>
  <c r="I467" i="58"/>
  <c r="J467" i="58"/>
  <c r="K467" i="58"/>
  <c r="L467" i="58"/>
  <c r="A468" i="58"/>
  <c r="B468" i="58"/>
  <c r="C468" i="58"/>
  <c r="D468" i="58"/>
  <c r="E468" i="58"/>
  <c r="F468" i="58"/>
  <c r="G468" i="58"/>
  <c r="H468" i="58"/>
  <c r="I468" i="58"/>
  <c r="J468" i="58"/>
  <c r="K468" i="58"/>
  <c r="L468" i="58"/>
  <c r="A469" i="58"/>
  <c r="B469" i="58"/>
  <c r="C469" i="58"/>
  <c r="D469" i="58"/>
  <c r="E469" i="58"/>
  <c r="F469" i="58"/>
  <c r="G469" i="58"/>
  <c r="H469" i="58"/>
  <c r="I469" i="58"/>
  <c r="J469" i="58"/>
  <c r="K469" i="58"/>
  <c r="L469" i="58"/>
  <c r="A471" i="58"/>
  <c r="B471" i="58"/>
  <c r="C471" i="58"/>
  <c r="D471" i="58"/>
  <c r="E471" i="58"/>
  <c r="F471" i="58"/>
  <c r="G471" i="58"/>
  <c r="H471" i="58"/>
  <c r="I471" i="58"/>
  <c r="J471" i="58"/>
  <c r="K471" i="58"/>
  <c r="L471" i="58"/>
  <c r="A472" i="58"/>
  <c r="B472" i="58"/>
  <c r="C472" i="58"/>
  <c r="D472" i="58"/>
  <c r="E472" i="58"/>
  <c r="F472" i="58"/>
  <c r="G472" i="58"/>
  <c r="H472" i="58"/>
  <c r="I472" i="58"/>
  <c r="J472" i="58"/>
  <c r="K472" i="58"/>
  <c r="L472" i="58"/>
  <c r="A473" i="58"/>
  <c r="B473" i="58"/>
  <c r="C473" i="58"/>
  <c r="D473" i="58"/>
  <c r="E473" i="58"/>
  <c r="F473" i="58"/>
  <c r="G473" i="58"/>
  <c r="H473" i="58"/>
  <c r="I473" i="58"/>
  <c r="J473" i="58"/>
  <c r="K473" i="58"/>
  <c r="L473" i="58"/>
  <c r="A474" i="58"/>
  <c r="B474" i="58"/>
  <c r="C474" i="58"/>
  <c r="D474" i="58"/>
  <c r="E474" i="58"/>
  <c r="F474" i="58"/>
  <c r="G474" i="58"/>
  <c r="H474" i="58"/>
  <c r="I474" i="58"/>
  <c r="J474" i="58"/>
  <c r="K474" i="58"/>
  <c r="L474" i="58"/>
  <c r="A475" i="58"/>
  <c r="B475" i="58"/>
  <c r="C475" i="58"/>
  <c r="D475" i="58"/>
  <c r="E475" i="58"/>
  <c r="F475" i="58"/>
  <c r="G475" i="58"/>
  <c r="H475" i="58"/>
  <c r="I475" i="58"/>
  <c r="J475" i="58"/>
  <c r="K475" i="58"/>
  <c r="L475" i="58"/>
  <c r="A476" i="58"/>
  <c r="B476" i="58"/>
  <c r="C476" i="58"/>
  <c r="D476" i="58"/>
  <c r="E476" i="58"/>
  <c r="F476" i="58"/>
  <c r="G476" i="58"/>
  <c r="H476" i="58"/>
  <c r="I476" i="58"/>
  <c r="J476" i="58"/>
  <c r="K476" i="58"/>
  <c r="L476" i="58"/>
  <c r="A477" i="58"/>
  <c r="B477" i="58"/>
  <c r="C477" i="58"/>
  <c r="D477" i="58"/>
  <c r="E477" i="58"/>
  <c r="F477" i="58"/>
  <c r="G477" i="58"/>
  <c r="H477" i="58"/>
  <c r="I477" i="58"/>
  <c r="J477" i="58"/>
  <c r="K477" i="58"/>
  <c r="L477" i="58"/>
  <c r="A478" i="58"/>
  <c r="B478" i="58"/>
  <c r="C478" i="58"/>
  <c r="D478" i="58"/>
  <c r="E478" i="58"/>
  <c r="F478" i="58"/>
  <c r="G478" i="58"/>
  <c r="H478" i="58"/>
  <c r="I478" i="58"/>
  <c r="J478" i="58"/>
  <c r="K478" i="58"/>
  <c r="L478" i="58"/>
  <c r="A479" i="58"/>
  <c r="B479" i="58"/>
  <c r="C479" i="58"/>
  <c r="D479" i="58"/>
  <c r="E479" i="58"/>
  <c r="F479" i="58"/>
  <c r="G479" i="58"/>
  <c r="H479" i="58"/>
  <c r="I479" i="58"/>
  <c r="J479" i="58"/>
  <c r="K479" i="58"/>
  <c r="L479" i="58"/>
  <c r="A481" i="58"/>
  <c r="B481" i="58"/>
  <c r="C481" i="58"/>
  <c r="D481" i="58"/>
  <c r="E481" i="58"/>
  <c r="F481" i="58"/>
  <c r="G481" i="58"/>
  <c r="H481" i="58"/>
  <c r="I481" i="58"/>
  <c r="J481" i="58"/>
  <c r="K481" i="58"/>
  <c r="L481" i="58"/>
  <c r="A482" i="58"/>
  <c r="B482" i="58"/>
  <c r="C482" i="58"/>
  <c r="D482" i="58"/>
  <c r="E482" i="58"/>
  <c r="F482" i="58"/>
  <c r="G482" i="58"/>
  <c r="H482" i="58"/>
  <c r="I482" i="58"/>
  <c r="J482" i="58"/>
  <c r="K482" i="58"/>
  <c r="L482" i="58"/>
  <c r="A483" i="58"/>
  <c r="B483" i="58"/>
  <c r="C483" i="58"/>
  <c r="D483" i="58"/>
  <c r="E483" i="58"/>
  <c r="F483" i="58"/>
  <c r="G483" i="58"/>
  <c r="H483" i="58"/>
  <c r="I483" i="58"/>
  <c r="J483" i="58"/>
  <c r="K483" i="58"/>
  <c r="L483" i="58"/>
  <c r="A484" i="58"/>
  <c r="B484" i="58"/>
  <c r="C484" i="58"/>
  <c r="D484" i="58"/>
  <c r="E484" i="58"/>
  <c r="F484" i="58"/>
  <c r="G484" i="58"/>
  <c r="H484" i="58"/>
  <c r="I484" i="58"/>
  <c r="J484" i="58"/>
  <c r="K484" i="58"/>
  <c r="L484" i="58"/>
  <c r="A485" i="58"/>
  <c r="B485" i="58"/>
  <c r="C485" i="58"/>
  <c r="D485" i="58"/>
  <c r="E485" i="58"/>
  <c r="F485" i="58"/>
  <c r="G485" i="58"/>
  <c r="H485" i="58"/>
  <c r="I485" i="58"/>
  <c r="J485" i="58"/>
  <c r="K485" i="58"/>
  <c r="L485" i="58"/>
  <c r="A486" i="58"/>
  <c r="B486" i="58"/>
  <c r="C486" i="58"/>
  <c r="D486" i="58"/>
  <c r="E486" i="58"/>
  <c r="F486" i="58"/>
  <c r="G486" i="58"/>
  <c r="H486" i="58"/>
  <c r="I486" i="58"/>
  <c r="J486" i="58"/>
  <c r="K486" i="58"/>
  <c r="L486" i="58"/>
  <c r="A487" i="58"/>
  <c r="B487" i="58"/>
  <c r="C487" i="58"/>
  <c r="D487" i="58"/>
  <c r="E487" i="58"/>
  <c r="F487" i="58"/>
  <c r="G487" i="58"/>
  <c r="H487" i="58"/>
  <c r="I487" i="58"/>
  <c r="J487" i="58"/>
  <c r="K487" i="58"/>
  <c r="L487" i="58"/>
  <c r="A488" i="58"/>
  <c r="B488" i="58"/>
  <c r="C488" i="58"/>
  <c r="D488" i="58"/>
  <c r="E488" i="58"/>
  <c r="F488" i="58"/>
  <c r="G488" i="58"/>
  <c r="H488" i="58"/>
  <c r="I488" i="58"/>
  <c r="J488" i="58"/>
  <c r="K488" i="58"/>
  <c r="L488" i="58"/>
  <c r="A489" i="58"/>
  <c r="B489" i="58"/>
  <c r="C489" i="58"/>
  <c r="D489" i="58"/>
  <c r="E489" i="58"/>
  <c r="F489" i="58"/>
  <c r="G489" i="58"/>
  <c r="H489" i="58"/>
  <c r="I489" i="58"/>
  <c r="J489" i="58"/>
  <c r="K489" i="58"/>
  <c r="L489" i="58"/>
  <c r="A491" i="58"/>
  <c r="B491" i="58"/>
  <c r="C491" i="58"/>
  <c r="D491" i="58"/>
  <c r="E491" i="58"/>
  <c r="F491" i="58"/>
  <c r="G491" i="58"/>
  <c r="H491" i="58"/>
  <c r="I491" i="58"/>
  <c r="J491" i="58"/>
  <c r="K491" i="58"/>
  <c r="L491" i="58"/>
  <c r="A492" i="58"/>
  <c r="B492" i="58"/>
  <c r="C492" i="58"/>
  <c r="D492" i="58"/>
  <c r="E492" i="58"/>
  <c r="F492" i="58"/>
  <c r="G492" i="58"/>
  <c r="H492" i="58"/>
  <c r="I492" i="58"/>
  <c r="J492" i="58"/>
  <c r="K492" i="58"/>
  <c r="L492" i="58"/>
  <c r="A493" i="58"/>
  <c r="B493" i="58"/>
  <c r="C493" i="58"/>
  <c r="D493" i="58"/>
  <c r="E493" i="58"/>
  <c r="F493" i="58"/>
  <c r="G493" i="58"/>
  <c r="H493" i="58"/>
  <c r="I493" i="58"/>
  <c r="J493" i="58"/>
  <c r="K493" i="58"/>
  <c r="L493" i="58"/>
  <c r="A494" i="58"/>
  <c r="B494" i="58"/>
  <c r="C494" i="58"/>
  <c r="D494" i="58"/>
  <c r="E494" i="58"/>
  <c r="F494" i="58"/>
  <c r="G494" i="58"/>
  <c r="H494" i="58"/>
  <c r="I494" i="58"/>
  <c r="J494" i="58"/>
  <c r="K494" i="58"/>
  <c r="L494" i="58"/>
  <c r="A495" i="58"/>
  <c r="B495" i="58"/>
  <c r="C495" i="58"/>
  <c r="D495" i="58"/>
  <c r="E495" i="58"/>
  <c r="F495" i="58"/>
  <c r="G495" i="58"/>
  <c r="H495" i="58"/>
  <c r="I495" i="58"/>
  <c r="J495" i="58"/>
  <c r="K495" i="58"/>
  <c r="L495" i="58"/>
  <c r="A496" i="58"/>
  <c r="B496" i="58"/>
  <c r="C496" i="58"/>
  <c r="D496" i="58"/>
  <c r="E496" i="58"/>
  <c r="F496" i="58"/>
  <c r="G496" i="58"/>
  <c r="H496" i="58"/>
  <c r="I496" i="58"/>
  <c r="J496" i="58"/>
  <c r="K496" i="58"/>
  <c r="L496" i="58"/>
  <c r="A497" i="58"/>
  <c r="B497" i="58"/>
  <c r="C497" i="58"/>
  <c r="D497" i="58"/>
  <c r="E497" i="58"/>
  <c r="F497" i="58"/>
  <c r="G497" i="58"/>
  <c r="H497" i="58"/>
  <c r="I497" i="58"/>
  <c r="J497" i="58"/>
  <c r="K497" i="58"/>
  <c r="L497" i="58"/>
  <c r="A498" i="58"/>
  <c r="B498" i="58"/>
  <c r="C498" i="58"/>
  <c r="D498" i="58"/>
  <c r="E498" i="58"/>
  <c r="F498" i="58"/>
  <c r="G498" i="58"/>
  <c r="H498" i="58"/>
  <c r="I498" i="58"/>
  <c r="J498" i="58"/>
  <c r="K498" i="58"/>
  <c r="L498" i="58"/>
  <c r="A499" i="58"/>
  <c r="B499" i="58"/>
  <c r="C499" i="58"/>
  <c r="D499" i="58"/>
  <c r="E499" i="58"/>
  <c r="F499" i="58"/>
  <c r="G499" i="58"/>
  <c r="H499" i="58"/>
  <c r="I499" i="58"/>
  <c r="J499" i="58"/>
  <c r="K499" i="58"/>
  <c r="L499" i="58"/>
  <c r="A511" i="58"/>
  <c r="B511" i="58"/>
  <c r="C511" i="58"/>
  <c r="D511" i="58"/>
  <c r="E511" i="58"/>
  <c r="F511" i="58"/>
  <c r="G511" i="58"/>
  <c r="H511" i="58"/>
  <c r="I511" i="58"/>
  <c r="J511" i="58"/>
  <c r="K511" i="58"/>
  <c r="L511" i="58"/>
  <c r="A512" i="58"/>
  <c r="B512" i="58"/>
  <c r="C512" i="58"/>
  <c r="D512" i="58"/>
  <c r="E512" i="58"/>
  <c r="F512" i="58"/>
  <c r="G512" i="58"/>
  <c r="H512" i="58"/>
  <c r="I512" i="58"/>
  <c r="J512" i="58"/>
  <c r="K512" i="58"/>
  <c r="L512" i="58"/>
  <c r="A513" i="58"/>
  <c r="B513" i="58"/>
  <c r="C513" i="58"/>
  <c r="D513" i="58"/>
  <c r="E513" i="58"/>
  <c r="F513" i="58"/>
  <c r="G513" i="58"/>
  <c r="H513" i="58"/>
  <c r="I513" i="58"/>
  <c r="J513" i="58"/>
  <c r="K513" i="58"/>
  <c r="L513" i="58"/>
  <c r="A514" i="58"/>
  <c r="B514" i="58"/>
  <c r="C514" i="58"/>
  <c r="D514" i="58"/>
  <c r="E514" i="58"/>
  <c r="F514" i="58"/>
  <c r="G514" i="58"/>
  <c r="H514" i="58"/>
  <c r="I514" i="58"/>
  <c r="J514" i="58"/>
  <c r="K514" i="58"/>
  <c r="L514" i="58"/>
  <c r="A515" i="58"/>
  <c r="B515" i="58"/>
  <c r="C515" i="58"/>
  <c r="D515" i="58"/>
  <c r="E515" i="58"/>
  <c r="F515" i="58"/>
  <c r="G515" i="58"/>
  <c r="H515" i="58"/>
  <c r="I515" i="58"/>
  <c r="J515" i="58"/>
  <c r="K515" i="58"/>
  <c r="L515" i="58"/>
  <c r="A516" i="58"/>
  <c r="B516" i="58"/>
  <c r="C516" i="58"/>
  <c r="D516" i="58"/>
  <c r="E516" i="58"/>
  <c r="F516" i="58"/>
  <c r="G516" i="58"/>
  <c r="H516" i="58"/>
  <c r="I516" i="58"/>
  <c r="J516" i="58"/>
  <c r="K516" i="58"/>
  <c r="L516" i="58"/>
  <c r="A517" i="58"/>
  <c r="B517" i="58"/>
  <c r="C517" i="58"/>
  <c r="D517" i="58"/>
  <c r="E517" i="58"/>
  <c r="F517" i="58"/>
  <c r="G517" i="58"/>
  <c r="H517" i="58"/>
  <c r="I517" i="58"/>
  <c r="J517" i="58"/>
  <c r="K517" i="58"/>
  <c r="L517" i="58"/>
  <c r="A518" i="58"/>
  <c r="B518" i="58"/>
  <c r="C518" i="58"/>
  <c r="D518" i="58"/>
  <c r="E518" i="58"/>
  <c r="F518" i="58"/>
  <c r="G518" i="58"/>
  <c r="H518" i="58"/>
  <c r="I518" i="58"/>
  <c r="J518" i="58"/>
  <c r="K518" i="58"/>
  <c r="L518" i="58"/>
  <c r="A519" i="58"/>
  <c r="B519" i="58"/>
  <c r="C519" i="58"/>
  <c r="D519" i="58"/>
  <c r="E519" i="58"/>
  <c r="F519" i="58"/>
  <c r="G519" i="58"/>
  <c r="H519" i="58"/>
  <c r="I519" i="58"/>
  <c r="J519" i="58"/>
  <c r="K519" i="58"/>
  <c r="L519" i="58"/>
  <c r="A521" i="58"/>
  <c r="B521" i="58"/>
  <c r="C521" i="58"/>
  <c r="D521" i="58"/>
  <c r="E521" i="58"/>
  <c r="F521" i="58"/>
  <c r="G521" i="58"/>
  <c r="H521" i="58"/>
  <c r="I521" i="58"/>
  <c r="J521" i="58"/>
  <c r="K521" i="58"/>
  <c r="L521" i="58"/>
  <c r="A522" i="58"/>
  <c r="B522" i="58"/>
  <c r="C522" i="58"/>
  <c r="D522" i="58"/>
  <c r="E522" i="58"/>
  <c r="F522" i="58"/>
  <c r="G522" i="58"/>
  <c r="H522" i="58"/>
  <c r="I522" i="58"/>
  <c r="J522" i="58"/>
  <c r="K522" i="58"/>
  <c r="L522" i="58"/>
  <c r="A523" i="58"/>
  <c r="B523" i="58"/>
  <c r="C523" i="58"/>
  <c r="D523" i="58"/>
  <c r="E523" i="58"/>
  <c r="F523" i="58"/>
  <c r="G523" i="58"/>
  <c r="H523" i="58"/>
  <c r="I523" i="58"/>
  <c r="J523" i="58"/>
  <c r="K523" i="58"/>
  <c r="L523" i="58"/>
  <c r="A524" i="58"/>
  <c r="B524" i="58"/>
  <c r="C524" i="58"/>
  <c r="D524" i="58"/>
  <c r="E524" i="58"/>
  <c r="F524" i="58"/>
  <c r="G524" i="58"/>
  <c r="H524" i="58"/>
  <c r="I524" i="58"/>
  <c r="J524" i="58"/>
  <c r="K524" i="58"/>
  <c r="L524" i="58"/>
  <c r="A525" i="58"/>
  <c r="B525" i="58"/>
  <c r="C525" i="58"/>
  <c r="D525" i="58"/>
  <c r="E525" i="58"/>
  <c r="F525" i="58"/>
  <c r="G525" i="58"/>
  <c r="H525" i="58"/>
  <c r="I525" i="58"/>
  <c r="J525" i="58"/>
  <c r="K525" i="58"/>
  <c r="L525" i="58"/>
  <c r="A526" i="58"/>
  <c r="B526" i="58"/>
  <c r="C526" i="58"/>
  <c r="D526" i="58"/>
  <c r="E526" i="58"/>
  <c r="F526" i="58"/>
  <c r="G526" i="58"/>
  <c r="H526" i="58"/>
  <c r="I526" i="58"/>
  <c r="J526" i="58"/>
  <c r="K526" i="58"/>
  <c r="L526" i="58"/>
  <c r="A527" i="58"/>
  <c r="B527" i="58"/>
  <c r="C527" i="58"/>
  <c r="D527" i="58"/>
  <c r="E527" i="58"/>
  <c r="F527" i="58"/>
  <c r="G527" i="58"/>
  <c r="H527" i="58"/>
  <c r="I527" i="58"/>
  <c r="J527" i="58"/>
  <c r="K527" i="58"/>
  <c r="L527" i="58"/>
  <c r="A528" i="58"/>
  <c r="B528" i="58"/>
  <c r="C528" i="58"/>
  <c r="D528" i="58"/>
  <c r="E528" i="58"/>
  <c r="F528" i="58"/>
  <c r="G528" i="58"/>
  <c r="H528" i="58"/>
  <c r="I528" i="58"/>
  <c r="J528" i="58"/>
  <c r="K528" i="58"/>
  <c r="L528" i="58"/>
  <c r="A529" i="58"/>
  <c r="B529" i="58"/>
  <c r="C529" i="58"/>
  <c r="D529" i="58"/>
  <c r="E529" i="58"/>
  <c r="F529" i="58"/>
  <c r="G529" i="58"/>
  <c r="H529" i="58"/>
  <c r="I529" i="58"/>
  <c r="J529" i="58"/>
  <c r="K529" i="58"/>
  <c r="L529" i="58"/>
  <c r="A531" i="58"/>
  <c r="B531" i="58"/>
  <c r="C531" i="58"/>
  <c r="D531" i="58"/>
  <c r="E531" i="58"/>
  <c r="F531" i="58"/>
  <c r="G531" i="58"/>
  <c r="H531" i="58"/>
  <c r="I531" i="58"/>
  <c r="J531" i="58"/>
  <c r="K531" i="58"/>
  <c r="L531" i="58"/>
  <c r="A532" i="58"/>
  <c r="B532" i="58"/>
  <c r="C532" i="58"/>
  <c r="D532" i="58"/>
  <c r="E532" i="58"/>
  <c r="F532" i="58"/>
  <c r="AB532" i="58" s="1"/>
  <c r="G532" i="58"/>
  <c r="H532" i="58"/>
  <c r="I532" i="58"/>
  <c r="J532" i="58"/>
  <c r="K532" i="58"/>
  <c r="L532" i="58"/>
  <c r="A533" i="58"/>
  <c r="B533" i="58"/>
  <c r="C533" i="58"/>
  <c r="D533" i="58"/>
  <c r="E533" i="58"/>
  <c r="F533" i="58"/>
  <c r="AB533" i="58" s="1"/>
  <c r="G533" i="58"/>
  <c r="H533" i="58"/>
  <c r="I533" i="58"/>
  <c r="J533" i="58"/>
  <c r="K533" i="58"/>
  <c r="L533" i="58"/>
  <c r="A534" i="58"/>
  <c r="B534" i="58"/>
  <c r="C534" i="58"/>
  <c r="D534" i="58"/>
  <c r="E534" i="58"/>
  <c r="F534" i="58"/>
  <c r="AB534" i="58" s="1"/>
  <c r="G534" i="58"/>
  <c r="H534" i="58"/>
  <c r="I534" i="58"/>
  <c r="J534" i="58"/>
  <c r="K534" i="58"/>
  <c r="L534" i="58"/>
  <c r="A535" i="58"/>
  <c r="B535" i="58"/>
  <c r="C535" i="58"/>
  <c r="D535" i="58"/>
  <c r="E535" i="58"/>
  <c r="F535" i="58"/>
  <c r="G535" i="58"/>
  <c r="H535" i="58"/>
  <c r="I535" i="58"/>
  <c r="J535" i="58"/>
  <c r="K535" i="58"/>
  <c r="L535" i="58"/>
  <c r="A536" i="58"/>
  <c r="B536" i="58"/>
  <c r="C536" i="58"/>
  <c r="D536" i="58"/>
  <c r="E536" i="58"/>
  <c r="F536" i="58"/>
  <c r="G536" i="58"/>
  <c r="H536" i="58"/>
  <c r="I536" i="58"/>
  <c r="J536" i="58"/>
  <c r="K536" i="58"/>
  <c r="L536" i="58"/>
  <c r="A537" i="58"/>
  <c r="B537" i="58"/>
  <c r="C537" i="58"/>
  <c r="D537" i="58"/>
  <c r="E537" i="58"/>
  <c r="F537" i="58"/>
  <c r="AB537" i="58" s="1"/>
  <c r="G537" i="58"/>
  <c r="H537" i="58"/>
  <c r="I537" i="58"/>
  <c r="J537" i="58"/>
  <c r="K537" i="58"/>
  <c r="L537" i="58"/>
  <c r="A538" i="58"/>
  <c r="B538" i="58"/>
  <c r="C538" i="58"/>
  <c r="D538" i="58"/>
  <c r="E538" i="58"/>
  <c r="F538" i="58"/>
  <c r="AB538" i="58" s="1"/>
  <c r="G538" i="58"/>
  <c r="H538" i="58"/>
  <c r="I538" i="58"/>
  <c r="J538" i="58"/>
  <c r="K538" i="58"/>
  <c r="L538" i="58"/>
  <c r="A539" i="58"/>
  <c r="B539" i="58"/>
  <c r="C539" i="58"/>
  <c r="D539" i="58"/>
  <c r="E539" i="58"/>
  <c r="F539" i="58"/>
  <c r="G539" i="58"/>
  <c r="H539" i="58"/>
  <c r="I539" i="58"/>
  <c r="J539" i="58"/>
  <c r="K539" i="58"/>
  <c r="L539" i="58"/>
  <c r="A541" i="58"/>
  <c r="B541" i="58"/>
  <c r="C541" i="58"/>
  <c r="D541" i="58"/>
  <c r="E541" i="58"/>
  <c r="F541" i="58"/>
  <c r="G541" i="58"/>
  <c r="H541" i="58"/>
  <c r="I541" i="58"/>
  <c r="J541" i="58"/>
  <c r="K541" i="58"/>
  <c r="L541" i="58"/>
  <c r="A542" i="58"/>
  <c r="B542" i="58"/>
  <c r="C542" i="58"/>
  <c r="D542" i="58"/>
  <c r="E542" i="58"/>
  <c r="F542" i="58"/>
  <c r="G542" i="58"/>
  <c r="H542" i="58"/>
  <c r="I542" i="58"/>
  <c r="J542" i="58"/>
  <c r="K542" i="58"/>
  <c r="L542" i="58"/>
  <c r="A543" i="58"/>
  <c r="B543" i="58"/>
  <c r="C543" i="58"/>
  <c r="D543" i="58"/>
  <c r="E543" i="58"/>
  <c r="F543" i="58"/>
  <c r="AB543" i="58" s="1"/>
  <c r="G543" i="58"/>
  <c r="H543" i="58"/>
  <c r="I543" i="58"/>
  <c r="J543" i="58"/>
  <c r="K543" i="58"/>
  <c r="L543" i="58"/>
  <c r="A544" i="58"/>
  <c r="B544" i="58"/>
  <c r="C544" i="58"/>
  <c r="D544" i="58"/>
  <c r="E544" i="58"/>
  <c r="F544" i="58"/>
  <c r="G544" i="58"/>
  <c r="H544" i="58"/>
  <c r="I544" i="58"/>
  <c r="J544" i="58"/>
  <c r="K544" i="58"/>
  <c r="L544" i="58"/>
  <c r="A545" i="58"/>
  <c r="B545" i="58"/>
  <c r="C545" i="58"/>
  <c r="D545" i="58"/>
  <c r="E545" i="58"/>
  <c r="F545" i="58"/>
  <c r="G545" i="58"/>
  <c r="H545" i="58"/>
  <c r="I545" i="58"/>
  <c r="J545" i="58"/>
  <c r="K545" i="58"/>
  <c r="L545" i="58"/>
  <c r="A546" i="58"/>
  <c r="B546" i="58"/>
  <c r="C546" i="58"/>
  <c r="D546" i="58"/>
  <c r="E546" i="58"/>
  <c r="F546" i="58"/>
  <c r="AB546" i="58" s="1"/>
  <c r="G546" i="58"/>
  <c r="H546" i="58"/>
  <c r="I546" i="58"/>
  <c r="J546" i="58"/>
  <c r="K546" i="58"/>
  <c r="L546" i="58"/>
  <c r="A547" i="58"/>
  <c r="B547" i="58"/>
  <c r="C547" i="58"/>
  <c r="D547" i="58"/>
  <c r="E547" i="58"/>
  <c r="F547" i="58"/>
  <c r="AB547" i="58" s="1"/>
  <c r="G547" i="58"/>
  <c r="H547" i="58"/>
  <c r="I547" i="58"/>
  <c r="J547" i="58"/>
  <c r="K547" i="58"/>
  <c r="L547" i="58"/>
  <c r="A548" i="58"/>
  <c r="B548" i="58"/>
  <c r="C548" i="58"/>
  <c r="D548" i="58"/>
  <c r="E548" i="58"/>
  <c r="F548" i="58"/>
  <c r="AB548" i="58" s="1"/>
  <c r="G548" i="58"/>
  <c r="H548" i="58"/>
  <c r="I548" i="58"/>
  <c r="J548" i="58"/>
  <c r="K548" i="58"/>
  <c r="L548" i="58"/>
  <c r="A549" i="58"/>
  <c r="B549" i="58"/>
  <c r="C549" i="58"/>
  <c r="D549" i="58"/>
  <c r="E549" i="58"/>
  <c r="F549" i="58"/>
  <c r="AB549" i="58" s="1"/>
  <c r="G549" i="58"/>
  <c r="H549" i="58"/>
  <c r="I549" i="58"/>
  <c r="J549" i="58"/>
  <c r="K549" i="58"/>
  <c r="L549" i="58"/>
  <c r="A551" i="58"/>
  <c r="B551" i="58"/>
  <c r="C551" i="58"/>
  <c r="D551" i="58"/>
  <c r="E551" i="58"/>
  <c r="F551" i="58"/>
  <c r="AB551" i="58" s="1"/>
  <c r="G551" i="58"/>
  <c r="H551" i="58"/>
  <c r="I551" i="58"/>
  <c r="J551" i="58"/>
  <c r="K551" i="58"/>
  <c r="L551" i="58"/>
  <c r="A552" i="58"/>
  <c r="B552" i="58"/>
  <c r="C552" i="58"/>
  <c r="D552" i="58"/>
  <c r="E552" i="58"/>
  <c r="F552" i="58"/>
  <c r="AB552" i="58" s="1"/>
  <c r="G552" i="58"/>
  <c r="H552" i="58"/>
  <c r="I552" i="58"/>
  <c r="J552" i="58"/>
  <c r="K552" i="58"/>
  <c r="L552" i="58"/>
  <c r="A553" i="58"/>
  <c r="B553" i="58"/>
  <c r="C553" i="58"/>
  <c r="D553" i="58"/>
  <c r="E553" i="58"/>
  <c r="F553" i="58"/>
  <c r="AB553" i="58" s="1"/>
  <c r="G553" i="58"/>
  <c r="H553" i="58"/>
  <c r="I553" i="58"/>
  <c r="J553" i="58"/>
  <c r="K553" i="58"/>
  <c r="L553" i="58"/>
  <c r="A554" i="58"/>
  <c r="B554" i="58"/>
  <c r="C554" i="58"/>
  <c r="D554" i="58"/>
  <c r="E554" i="58"/>
  <c r="F554" i="58"/>
  <c r="AB554" i="58" s="1"/>
  <c r="G554" i="58"/>
  <c r="H554" i="58"/>
  <c r="I554" i="58"/>
  <c r="J554" i="58"/>
  <c r="K554" i="58"/>
  <c r="L554" i="58"/>
  <c r="A555" i="58"/>
  <c r="B555" i="58"/>
  <c r="C555" i="58"/>
  <c r="D555" i="58"/>
  <c r="E555" i="58"/>
  <c r="F555" i="58"/>
  <c r="G555" i="58"/>
  <c r="H555" i="58"/>
  <c r="I555" i="58"/>
  <c r="J555" i="58"/>
  <c r="K555" i="58"/>
  <c r="L555" i="58"/>
  <c r="A556" i="58"/>
  <c r="B556" i="58"/>
  <c r="C556" i="58"/>
  <c r="D556" i="58"/>
  <c r="E556" i="58"/>
  <c r="F556" i="58"/>
  <c r="AB556" i="58" s="1"/>
  <c r="G556" i="58"/>
  <c r="H556" i="58"/>
  <c r="I556" i="58"/>
  <c r="J556" i="58"/>
  <c r="K556" i="58"/>
  <c r="L556" i="58"/>
  <c r="A557" i="58"/>
  <c r="B557" i="58"/>
  <c r="C557" i="58"/>
  <c r="D557" i="58"/>
  <c r="E557" i="58"/>
  <c r="F557" i="58"/>
  <c r="G557" i="58"/>
  <c r="H557" i="58"/>
  <c r="I557" i="58"/>
  <c r="J557" i="58"/>
  <c r="K557" i="58"/>
  <c r="L557" i="58"/>
  <c r="A558" i="58"/>
  <c r="B558" i="58"/>
  <c r="C558" i="58"/>
  <c r="D558" i="58"/>
  <c r="E558" i="58"/>
  <c r="F558" i="58"/>
  <c r="G558" i="58"/>
  <c r="H558" i="58"/>
  <c r="I558" i="58"/>
  <c r="J558" i="58"/>
  <c r="K558" i="58"/>
  <c r="L558" i="58"/>
  <c r="A559" i="58"/>
  <c r="B559" i="58"/>
  <c r="C559" i="58"/>
  <c r="D559" i="58"/>
  <c r="E559" i="58"/>
  <c r="F559" i="58"/>
  <c r="G559" i="58"/>
  <c r="H559" i="58"/>
  <c r="I559" i="58"/>
  <c r="J559" i="58"/>
  <c r="K559" i="58"/>
  <c r="L559" i="58"/>
  <c r="A561" i="58"/>
  <c r="B561" i="58"/>
  <c r="C561" i="58"/>
  <c r="D561" i="58"/>
  <c r="E561" i="58"/>
  <c r="F561" i="58"/>
  <c r="G561" i="58"/>
  <c r="H561" i="58"/>
  <c r="I561" i="58"/>
  <c r="J561" i="58"/>
  <c r="K561" i="58"/>
  <c r="L561" i="58"/>
  <c r="A562" i="58"/>
  <c r="B562" i="58"/>
  <c r="C562" i="58"/>
  <c r="D562" i="58"/>
  <c r="E562" i="58"/>
  <c r="F562" i="58"/>
  <c r="G562" i="58"/>
  <c r="H562" i="58"/>
  <c r="I562" i="58"/>
  <c r="J562" i="58"/>
  <c r="K562" i="58"/>
  <c r="L562" i="58"/>
  <c r="A563" i="58"/>
  <c r="B563" i="58"/>
  <c r="C563" i="58"/>
  <c r="D563" i="58"/>
  <c r="E563" i="58"/>
  <c r="F563" i="58"/>
  <c r="AB563" i="58" s="1"/>
  <c r="G563" i="58"/>
  <c r="H563" i="58"/>
  <c r="I563" i="58"/>
  <c r="J563" i="58"/>
  <c r="K563" i="58"/>
  <c r="L563" i="58"/>
  <c r="A564" i="58"/>
  <c r="B564" i="58"/>
  <c r="C564" i="58"/>
  <c r="D564" i="58"/>
  <c r="E564" i="58"/>
  <c r="F564" i="58"/>
  <c r="AB564" i="58" s="1"/>
  <c r="G564" i="58"/>
  <c r="H564" i="58"/>
  <c r="I564" i="58"/>
  <c r="J564" i="58"/>
  <c r="K564" i="58"/>
  <c r="L564" i="58"/>
  <c r="A565" i="58"/>
  <c r="B565" i="58"/>
  <c r="C565" i="58"/>
  <c r="D565" i="58"/>
  <c r="E565" i="58"/>
  <c r="F565" i="58"/>
  <c r="AB565" i="58" s="1"/>
  <c r="G565" i="58"/>
  <c r="H565" i="58"/>
  <c r="I565" i="58"/>
  <c r="J565" i="58"/>
  <c r="K565" i="58"/>
  <c r="L565" i="58"/>
  <c r="A566" i="58"/>
  <c r="B566" i="58"/>
  <c r="C566" i="58"/>
  <c r="D566" i="58"/>
  <c r="E566" i="58"/>
  <c r="F566" i="58"/>
  <c r="AB566" i="58" s="1"/>
  <c r="G566" i="58"/>
  <c r="H566" i="58"/>
  <c r="I566" i="58"/>
  <c r="J566" i="58"/>
  <c r="K566" i="58"/>
  <c r="L566" i="58"/>
  <c r="A567" i="58"/>
  <c r="B567" i="58"/>
  <c r="C567" i="58"/>
  <c r="D567" i="58"/>
  <c r="E567" i="58"/>
  <c r="F567" i="58"/>
  <c r="AB567" i="58" s="1"/>
  <c r="G567" i="58"/>
  <c r="H567" i="58"/>
  <c r="I567" i="58"/>
  <c r="J567" i="58"/>
  <c r="K567" i="58"/>
  <c r="L567" i="58"/>
  <c r="A568" i="58"/>
  <c r="B568" i="58"/>
  <c r="C568" i="58"/>
  <c r="D568" i="58"/>
  <c r="E568" i="58"/>
  <c r="F568" i="58"/>
  <c r="G568" i="58"/>
  <c r="H568" i="58"/>
  <c r="I568" i="58"/>
  <c r="J568" i="58"/>
  <c r="K568" i="58"/>
  <c r="L568" i="58"/>
  <c r="A569" i="58"/>
  <c r="B569" i="58"/>
  <c r="C569" i="58"/>
  <c r="D569" i="58"/>
  <c r="E569" i="58"/>
  <c r="F569" i="58"/>
  <c r="AB569" i="58" s="1"/>
  <c r="G569" i="58"/>
  <c r="H569" i="58"/>
  <c r="I569" i="58"/>
  <c r="J569" i="58"/>
  <c r="K569" i="58"/>
  <c r="L569" i="58"/>
  <c r="A571" i="58"/>
  <c r="B571" i="58"/>
  <c r="C571" i="58"/>
  <c r="D571" i="58"/>
  <c r="E571" i="58"/>
  <c r="F571" i="58"/>
  <c r="AB571" i="58" s="1"/>
  <c r="G571" i="58"/>
  <c r="H571" i="58"/>
  <c r="I571" i="58"/>
  <c r="J571" i="58"/>
  <c r="K571" i="58"/>
  <c r="L571" i="58"/>
  <c r="A572" i="58"/>
  <c r="B572" i="58"/>
  <c r="C572" i="58"/>
  <c r="D572" i="58"/>
  <c r="E572" i="58"/>
  <c r="F572" i="58"/>
  <c r="AB572" i="58" s="1"/>
  <c r="G572" i="58"/>
  <c r="H572" i="58"/>
  <c r="I572" i="58"/>
  <c r="J572" i="58"/>
  <c r="K572" i="58"/>
  <c r="L572" i="58"/>
  <c r="A573" i="58"/>
  <c r="B573" i="58"/>
  <c r="C573" i="58"/>
  <c r="D573" i="58"/>
  <c r="E573" i="58"/>
  <c r="F573" i="58"/>
  <c r="AB573" i="58" s="1"/>
  <c r="G573" i="58"/>
  <c r="H573" i="58"/>
  <c r="I573" i="58"/>
  <c r="J573" i="58"/>
  <c r="K573" i="58"/>
  <c r="L573" i="58"/>
  <c r="A574" i="58"/>
  <c r="B574" i="58"/>
  <c r="C574" i="58"/>
  <c r="D574" i="58"/>
  <c r="E574" i="58"/>
  <c r="F574" i="58"/>
  <c r="AB574" i="58" s="1"/>
  <c r="G574" i="58"/>
  <c r="H574" i="58"/>
  <c r="I574" i="58"/>
  <c r="J574" i="58"/>
  <c r="K574" i="58"/>
  <c r="L574" i="58"/>
  <c r="A575" i="58"/>
  <c r="B575" i="58"/>
  <c r="C575" i="58"/>
  <c r="D575" i="58"/>
  <c r="E575" i="58"/>
  <c r="F575" i="58"/>
  <c r="AB575" i="58" s="1"/>
  <c r="G575" i="58"/>
  <c r="H575" i="58"/>
  <c r="I575" i="58"/>
  <c r="J575" i="58"/>
  <c r="K575" i="58"/>
  <c r="L575" i="58"/>
  <c r="A576" i="58"/>
  <c r="B576" i="58"/>
  <c r="C576" i="58"/>
  <c r="D576" i="58"/>
  <c r="E576" i="58"/>
  <c r="F576" i="58"/>
  <c r="AB576" i="58" s="1"/>
  <c r="G576" i="58"/>
  <c r="H576" i="58"/>
  <c r="I576" i="58"/>
  <c r="J576" i="58"/>
  <c r="K576" i="58"/>
  <c r="L576" i="58"/>
  <c r="A577" i="58"/>
  <c r="B577" i="58"/>
  <c r="C577" i="58"/>
  <c r="D577" i="58"/>
  <c r="E577" i="58"/>
  <c r="F577" i="58"/>
  <c r="AB577" i="58" s="1"/>
  <c r="G577" i="58"/>
  <c r="H577" i="58"/>
  <c r="I577" i="58"/>
  <c r="J577" i="58"/>
  <c r="K577" i="58"/>
  <c r="L577" i="58"/>
  <c r="A578" i="58"/>
  <c r="B578" i="58"/>
  <c r="C578" i="58"/>
  <c r="D578" i="58"/>
  <c r="E578" i="58"/>
  <c r="F578" i="58"/>
  <c r="AB578" i="58" s="1"/>
  <c r="G578" i="58"/>
  <c r="H578" i="58"/>
  <c r="I578" i="58"/>
  <c r="J578" i="58"/>
  <c r="K578" i="58"/>
  <c r="L578" i="58"/>
  <c r="A579" i="58"/>
  <c r="B579" i="58"/>
  <c r="C579" i="58"/>
  <c r="D579" i="58"/>
  <c r="E579" i="58"/>
  <c r="F579" i="58"/>
  <c r="AB579" i="58" s="1"/>
  <c r="G579" i="58"/>
  <c r="H579" i="58"/>
  <c r="I579" i="58"/>
  <c r="J579" i="58"/>
  <c r="K579" i="58"/>
  <c r="L579" i="58"/>
  <c r="A581" i="58"/>
  <c r="B581" i="58"/>
  <c r="C581" i="58"/>
  <c r="D581" i="58"/>
  <c r="E581" i="58"/>
  <c r="F581" i="58"/>
  <c r="AB581" i="58" s="1"/>
  <c r="G581" i="58"/>
  <c r="H581" i="58"/>
  <c r="I581" i="58"/>
  <c r="J581" i="58"/>
  <c r="K581" i="58"/>
  <c r="L581" i="58"/>
  <c r="A582" i="58"/>
  <c r="B582" i="58"/>
  <c r="C582" i="58"/>
  <c r="D582" i="58"/>
  <c r="E582" i="58"/>
  <c r="F582" i="58"/>
  <c r="G582" i="58"/>
  <c r="H582" i="58"/>
  <c r="I582" i="58"/>
  <c r="J582" i="58"/>
  <c r="K582" i="58"/>
  <c r="L582" i="58"/>
  <c r="A583" i="58"/>
  <c r="B583" i="58"/>
  <c r="C583" i="58"/>
  <c r="D583" i="58"/>
  <c r="E583" i="58"/>
  <c r="F583" i="58"/>
  <c r="AB583" i="58" s="1"/>
  <c r="G583" i="58"/>
  <c r="H583" i="58"/>
  <c r="I583" i="58"/>
  <c r="J583" i="58"/>
  <c r="K583" i="58"/>
  <c r="L583" i="58"/>
  <c r="A584" i="58"/>
  <c r="B584" i="58"/>
  <c r="C584" i="58"/>
  <c r="D584" i="58"/>
  <c r="E584" i="58"/>
  <c r="F584" i="58"/>
  <c r="AB584" i="58" s="1"/>
  <c r="G584" i="58"/>
  <c r="H584" i="58"/>
  <c r="I584" i="58"/>
  <c r="J584" i="58"/>
  <c r="K584" i="58"/>
  <c r="L584" i="58"/>
  <c r="A585" i="58"/>
  <c r="B585" i="58"/>
  <c r="C585" i="58"/>
  <c r="D585" i="58"/>
  <c r="E585" i="58"/>
  <c r="F585" i="58"/>
  <c r="AB585" i="58" s="1"/>
  <c r="G585" i="58"/>
  <c r="H585" i="58"/>
  <c r="I585" i="58"/>
  <c r="J585" i="58"/>
  <c r="K585" i="58"/>
  <c r="L585" i="58"/>
  <c r="A586" i="58"/>
  <c r="B586" i="58"/>
  <c r="C586" i="58"/>
  <c r="D586" i="58"/>
  <c r="E586" i="58"/>
  <c r="F586" i="58"/>
  <c r="AB586" i="58" s="1"/>
  <c r="G586" i="58"/>
  <c r="H586" i="58"/>
  <c r="I586" i="58"/>
  <c r="J586" i="58"/>
  <c r="K586" i="58"/>
  <c r="L586" i="58"/>
  <c r="A587" i="58"/>
  <c r="B587" i="58"/>
  <c r="C587" i="58"/>
  <c r="D587" i="58"/>
  <c r="E587" i="58"/>
  <c r="F587" i="58"/>
  <c r="AB587" i="58" s="1"/>
  <c r="G587" i="58"/>
  <c r="H587" i="58"/>
  <c r="I587" i="58"/>
  <c r="J587" i="58"/>
  <c r="K587" i="58"/>
  <c r="L587" i="58"/>
  <c r="A588" i="58"/>
  <c r="B588" i="58"/>
  <c r="C588" i="58"/>
  <c r="D588" i="58"/>
  <c r="E588" i="58"/>
  <c r="F588" i="58"/>
  <c r="AB588" i="58" s="1"/>
  <c r="G588" i="58"/>
  <c r="H588" i="58"/>
  <c r="I588" i="58"/>
  <c r="J588" i="58"/>
  <c r="K588" i="58"/>
  <c r="L588" i="58"/>
  <c r="A589" i="58"/>
  <c r="B589" i="58"/>
  <c r="C589" i="58"/>
  <c r="D589" i="58"/>
  <c r="E589" i="58"/>
  <c r="F589" i="58"/>
  <c r="G589" i="58"/>
  <c r="H589" i="58"/>
  <c r="I589" i="58"/>
  <c r="J589" i="58"/>
  <c r="K589" i="58"/>
  <c r="L589" i="58"/>
  <c r="A591" i="58"/>
  <c r="B591" i="58"/>
  <c r="C591" i="58"/>
  <c r="D591" i="58"/>
  <c r="E591" i="58"/>
  <c r="F591" i="58"/>
  <c r="AB591" i="58" s="1"/>
  <c r="G591" i="58"/>
  <c r="H591" i="58"/>
  <c r="I591" i="58"/>
  <c r="J591" i="58"/>
  <c r="K591" i="58"/>
  <c r="L591" i="58"/>
  <c r="A592" i="58"/>
  <c r="B592" i="58"/>
  <c r="C592" i="58"/>
  <c r="D592" i="58"/>
  <c r="E592" i="58"/>
  <c r="F592" i="58"/>
  <c r="AB592" i="58" s="1"/>
  <c r="G592" i="58"/>
  <c r="H592" i="58"/>
  <c r="I592" i="58"/>
  <c r="J592" i="58"/>
  <c r="K592" i="58"/>
  <c r="L592" i="58"/>
  <c r="A593" i="58"/>
  <c r="B593" i="58"/>
  <c r="C593" i="58"/>
  <c r="D593" i="58"/>
  <c r="E593" i="58"/>
  <c r="F593" i="58"/>
  <c r="AB593" i="58" s="1"/>
  <c r="G593" i="58"/>
  <c r="H593" i="58"/>
  <c r="I593" i="58"/>
  <c r="J593" i="58"/>
  <c r="K593" i="58"/>
  <c r="L593" i="58"/>
  <c r="A594" i="58"/>
  <c r="B594" i="58"/>
  <c r="C594" i="58"/>
  <c r="D594" i="58"/>
  <c r="E594" i="58"/>
  <c r="F594" i="58"/>
  <c r="AB594" i="58" s="1"/>
  <c r="G594" i="58"/>
  <c r="H594" i="58"/>
  <c r="I594" i="58"/>
  <c r="J594" i="58"/>
  <c r="K594" i="58"/>
  <c r="L594" i="58"/>
  <c r="A595" i="58"/>
  <c r="B595" i="58"/>
  <c r="C595" i="58"/>
  <c r="D595" i="58"/>
  <c r="E595" i="58"/>
  <c r="F595" i="58"/>
  <c r="AB595" i="58" s="1"/>
  <c r="G595" i="58"/>
  <c r="H595" i="58"/>
  <c r="I595" i="58"/>
  <c r="J595" i="58"/>
  <c r="K595" i="58"/>
  <c r="L595" i="58"/>
  <c r="A596" i="58"/>
  <c r="B596" i="58"/>
  <c r="C596" i="58"/>
  <c r="D596" i="58"/>
  <c r="E596" i="58"/>
  <c r="F596" i="58"/>
  <c r="AB596" i="58" s="1"/>
  <c r="G596" i="58"/>
  <c r="H596" i="58"/>
  <c r="I596" i="58"/>
  <c r="J596" i="58"/>
  <c r="K596" i="58"/>
  <c r="L596" i="58"/>
  <c r="A597" i="58"/>
  <c r="B597" i="58"/>
  <c r="C597" i="58"/>
  <c r="D597" i="58"/>
  <c r="E597" i="58"/>
  <c r="F597" i="58"/>
  <c r="AB597" i="58" s="1"/>
  <c r="G597" i="58"/>
  <c r="H597" i="58"/>
  <c r="I597" i="58"/>
  <c r="J597" i="58"/>
  <c r="K597" i="58"/>
  <c r="L597" i="58"/>
  <c r="A598" i="58"/>
  <c r="B598" i="58"/>
  <c r="C598" i="58"/>
  <c r="D598" i="58"/>
  <c r="E598" i="58"/>
  <c r="F598" i="58"/>
  <c r="G598" i="58"/>
  <c r="H598" i="58"/>
  <c r="I598" i="58"/>
  <c r="J598" i="58"/>
  <c r="K598" i="58"/>
  <c r="L598" i="58"/>
  <c r="A599" i="58"/>
  <c r="B599" i="58"/>
  <c r="C599" i="58"/>
  <c r="D599" i="58"/>
  <c r="E599" i="58"/>
  <c r="F599" i="58"/>
  <c r="G599" i="58"/>
  <c r="H599" i="58"/>
  <c r="I599" i="58"/>
  <c r="J599" i="58"/>
  <c r="K599" i="58"/>
  <c r="L599" i="58"/>
  <c r="A611" i="58"/>
  <c r="B611" i="58"/>
  <c r="C611" i="58"/>
  <c r="D611" i="58"/>
  <c r="E611" i="58"/>
  <c r="F611" i="58"/>
  <c r="G611" i="58"/>
  <c r="H611" i="58"/>
  <c r="I611" i="58"/>
  <c r="J611" i="58"/>
  <c r="K611" i="58"/>
  <c r="L611" i="58"/>
  <c r="A612" i="58"/>
  <c r="B612" i="58"/>
  <c r="C612" i="58"/>
  <c r="D612" i="58"/>
  <c r="E612" i="58"/>
  <c r="F612" i="58"/>
  <c r="G612" i="58"/>
  <c r="H612" i="58"/>
  <c r="I612" i="58"/>
  <c r="J612" i="58"/>
  <c r="K612" i="58"/>
  <c r="L612" i="58"/>
  <c r="A613" i="58"/>
  <c r="B613" i="58"/>
  <c r="C613" i="58"/>
  <c r="D613" i="58"/>
  <c r="E613" i="58"/>
  <c r="F613" i="58"/>
  <c r="AB613" i="58" s="1"/>
  <c r="G613" i="58"/>
  <c r="H613" i="58"/>
  <c r="I613" i="58"/>
  <c r="J613" i="58"/>
  <c r="K613" i="58"/>
  <c r="L613" i="58"/>
  <c r="A614" i="58"/>
  <c r="B614" i="58"/>
  <c r="C614" i="58"/>
  <c r="D614" i="58"/>
  <c r="E614" i="58"/>
  <c r="F614" i="58"/>
  <c r="AB614" i="58" s="1"/>
  <c r="G614" i="58"/>
  <c r="H614" i="58"/>
  <c r="I614" i="58"/>
  <c r="J614" i="58"/>
  <c r="K614" i="58"/>
  <c r="L614" i="58"/>
  <c r="A615" i="58"/>
  <c r="B615" i="58"/>
  <c r="C615" i="58"/>
  <c r="D615" i="58"/>
  <c r="E615" i="58"/>
  <c r="F615" i="58"/>
  <c r="AB615" i="58" s="1"/>
  <c r="G615" i="58"/>
  <c r="H615" i="58"/>
  <c r="I615" i="58"/>
  <c r="J615" i="58"/>
  <c r="K615" i="58"/>
  <c r="L615" i="58"/>
  <c r="A616" i="58"/>
  <c r="B616" i="58"/>
  <c r="C616" i="58"/>
  <c r="D616" i="58"/>
  <c r="E616" i="58"/>
  <c r="F616" i="58"/>
  <c r="G616" i="58"/>
  <c r="H616" i="58"/>
  <c r="I616" i="58"/>
  <c r="J616" i="58"/>
  <c r="K616" i="58"/>
  <c r="L616" i="58"/>
  <c r="A617" i="58"/>
  <c r="B617" i="58"/>
  <c r="C617" i="58"/>
  <c r="D617" i="58"/>
  <c r="E617" i="58"/>
  <c r="F617" i="58"/>
  <c r="G617" i="58"/>
  <c r="H617" i="58"/>
  <c r="I617" i="58"/>
  <c r="J617" i="58"/>
  <c r="K617" i="58"/>
  <c r="L617" i="58"/>
  <c r="A618" i="58"/>
  <c r="B618" i="58"/>
  <c r="C618" i="58"/>
  <c r="D618" i="58"/>
  <c r="E618" i="58"/>
  <c r="F618" i="58"/>
  <c r="G618" i="58"/>
  <c r="H618" i="58"/>
  <c r="I618" i="58"/>
  <c r="J618" i="58"/>
  <c r="K618" i="58"/>
  <c r="L618" i="58"/>
  <c r="A619" i="58"/>
  <c r="B619" i="58"/>
  <c r="C619" i="58"/>
  <c r="D619" i="58"/>
  <c r="E619" i="58"/>
  <c r="F619" i="58"/>
  <c r="AB619" i="58" s="1"/>
  <c r="G619" i="58"/>
  <c r="H619" i="58"/>
  <c r="I619" i="58"/>
  <c r="J619" i="58"/>
  <c r="K619" i="58"/>
  <c r="L619" i="58"/>
  <c r="A621" i="58"/>
  <c r="B621" i="58"/>
  <c r="C621" i="58"/>
  <c r="D621" i="58"/>
  <c r="E621" i="58"/>
  <c r="F621" i="58"/>
  <c r="AB621" i="58" s="1"/>
  <c r="G621" i="58"/>
  <c r="H621" i="58"/>
  <c r="I621" i="58"/>
  <c r="J621" i="58"/>
  <c r="K621" i="58"/>
  <c r="L621" i="58"/>
  <c r="A622" i="58"/>
  <c r="B622" i="58"/>
  <c r="C622" i="58"/>
  <c r="D622" i="58"/>
  <c r="E622" i="58"/>
  <c r="F622" i="58"/>
  <c r="AB622" i="58" s="1"/>
  <c r="G622" i="58"/>
  <c r="H622" i="58"/>
  <c r="I622" i="58"/>
  <c r="J622" i="58"/>
  <c r="K622" i="58"/>
  <c r="L622" i="58"/>
  <c r="A623" i="58"/>
  <c r="B623" i="58"/>
  <c r="C623" i="58"/>
  <c r="D623" i="58"/>
  <c r="E623" i="58"/>
  <c r="F623" i="58"/>
  <c r="AB623" i="58" s="1"/>
  <c r="G623" i="58"/>
  <c r="H623" i="58"/>
  <c r="I623" i="58"/>
  <c r="J623" i="58"/>
  <c r="K623" i="58"/>
  <c r="L623" i="58"/>
  <c r="A624" i="58"/>
  <c r="B624" i="58"/>
  <c r="C624" i="58"/>
  <c r="D624" i="58"/>
  <c r="E624" i="58"/>
  <c r="F624" i="58"/>
  <c r="AB624" i="58" s="1"/>
  <c r="G624" i="58"/>
  <c r="H624" i="58"/>
  <c r="I624" i="58"/>
  <c r="J624" i="58"/>
  <c r="K624" i="58"/>
  <c r="L624" i="58"/>
  <c r="A625" i="58"/>
  <c r="B625" i="58"/>
  <c r="C625" i="58"/>
  <c r="D625" i="58"/>
  <c r="E625" i="58"/>
  <c r="F625" i="58"/>
  <c r="AB625" i="58" s="1"/>
  <c r="G625" i="58"/>
  <c r="H625" i="58"/>
  <c r="I625" i="58"/>
  <c r="J625" i="58"/>
  <c r="K625" i="58"/>
  <c r="L625" i="58"/>
  <c r="A626" i="58"/>
  <c r="B626" i="58"/>
  <c r="C626" i="58"/>
  <c r="D626" i="58"/>
  <c r="E626" i="58"/>
  <c r="F626" i="58"/>
  <c r="AB626" i="58" s="1"/>
  <c r="G626" i="58"/>
  <c r="H626" i="58"/>
  <c r="I626" i="58"/>
  <c r="J626" i="58"/>
  <c r="K626" i="58"/>
  <c r="L626" i="58"/>
  <c r="A627" i="58"/>
  <c r="B627" i="58"/>
  <c r="C627" i="58"/>
  <c r="D627" i="58"/>
  <c r="E627" i="58"/>
  <c r="F627" i="58"/>
  <c r="AB627" i="58" s="1"/>
  <c r="G627" i="58"/>
  <c r="H627" i="58"/>
  <c r="I627" i="58"/>
  <c r="J627" i="58"/>
  <c r="K627" i="58"/>
  <c r="L627" i="58"/>
  <c r="A628" i="58"/>
  <c r="B628" i="58"/>
  <c r="C628" i="58"/>
  <c r="D628" i="58"/>
  <c r="E628" i="58"/>
  <c r="F628" i="58"/>
  <c r="AB628" i="58" s="1"/>
  <c r="G628" i="58"/>
  <c r="H628" i="58"/>
  <c r="I628" i="58"/>
  <c r="J628" i="58"/>
  <c r="K628" i="58"/>
  <c r="L628" i="58"/>
  <c r="A629" i="58"/>
  <c r="B629" i="58"/>
  <c r="C629" i="58"/>
  <c r="D629" i="58"/>
  <c r="E629" i="58"/>
  <c r="F629" i="58"/>
  <c r="AB629" i="58" s="1"/>
  <c r="G629" i="58"/>
  <c r="H629" i="58"/>
  <c r="I629" i="58"/>
  <c r="J629" i="58"/>
  <c r="K629" i="58"/>
  <c r="L629" i="58"/>
  <c r="A631" i="58"/>
  <c r="B631" i="58"/>
  <c r="C631" i="58"/>
  <c r="D631" i="58"/>
  <c r="E631" i="58"/>
  <c r="F631" i="58"/>
  <c r="AB631" i="58" s="1"/>
  <c r="G631" i="58"/>
  <c r="H631" i="58"/>
  <c r="I631" i="58"/>
  <c r="J631" i="58"/>
  <c r="K631" i="58"/>
  <c r="L631" i="58"/>
  <c r="A632" i="58"/>
  <c r="B632" i="58"/>
  <c r="C632" i="58"/>
  <c r="D632" i="58"/>
  <c r="E632" i="58"/>
  <c r="F632" i="58"/>
  <c r="AB632" i="58" s="1"/>
  <c r="G632" i="58"/>
  <c r="H632" i="58"/>
  <c r="I632" i="58"/>
  <c r="J632" i="58"/>
  <c r="K632" i="58"/>
  <c r="L632" i="58"/>
  <c r="A633" i="58"/>
  <c r="B633" i="58"/>
  <c r="C633" i="58"/>
  <c r="D633" i="58"/>
  <c r="E633" i="58"/>
  <c r="F633" i="58"/>
  <c r="AB633" i="58" s="1"/>
  <c r="G633" i="58"/>
  <c r="H633" i="58"/>
  <c r="I633" i="58"/>
  <c r="J633" i="58"/>
  <c r="K633" i="58"/>
  <c r="L633" i="58"/>
  <c r="A634" i="58"/>
  <c r="B634" i="58"/>
  <c r="C634" i="58"/>
  <c r="D634" i="58"/>
  <c r="E634" i="58"/>
  <c r="F634" i="58"/>
  <c r="AB634" i="58" s="1"/>
  <c r="G634" i="58"/>
  <c r="H634" i="58"/>
  <c r="I634" i="58"/>
  <c r="J634" i="58"/>
  <c r="K634" i="58"/>
  <c r="L634" i="58"/>
  <c r="A635" i="58"/>
  <c r="B635" i="58"/>
  <c r="C635" i="58"/>
  <c r="D635" i="58"/>
  <c r="E635" i="58"/>
  <c r="F635" i="58"/>
  <c r="AB635" i="58" s="1"/>
  <c r="G635" i="58"/>
  <c r="H635" i="58"/>
  <c r="I635" i="58"/>
  <c r="J635" i="58"/>
  <c r="K635" i="58"/>
  <c r="L635" i="58"/>
  <c r="A636" i="58"/>
  <c r="B636" i="58"/>
  <c r="C636" i="58"/>
  <c r="D636" i="58"/>
  <c r="E636" i="58"/>
  <c r="F636" i="58"/>
  <c r="AB636" i="58" s="1"/>
  <c r="G636" i="58"/>
  <c r="H636" i="58"/>
  <c r="I636" i="58"/>
  <c r="J636" i="58"/>
  <c r="K636" i="58"/>
  <c r="L636" i="58"/>
  <c r="A637" i="58"/>
  <c r="B637" i="58"/>
  <c r="C637" i="58"/>
  <c r="D637" i="58"/>
  <c r="E637" i="58"/>
  <c r="F637" i="58"/>
  <c r="AB637" i="58" s="1"/>
  <c r="G637" i="58"/>
  <c r="H637" i="58"/>
  <c r="I637" i="58"/>
  <c r="J637" i="58"/>
  <c r="K637" i="58"/>
  <c r="L637" i="58"/>
  <c r="A638" i="58"/>
  <c r="B638" i="58"/>
  <c r="C638" i="58"/>
  <c r="D638" i="58"/>
  <c r="E638" i="58"/>
  <c r="F638" i="58"/>
  <c r="AB638" i="58" s="1"/>
  <c r="G638" i="58"/>
  <c r="H638" i="58"/>
  <c r="I638" i="58"/>
  <c r="J638" i="58"/>
  <c r="K638" i="58"/>
  <c r="L638" i="58"/>
  <c r="A639" i="58"/>
  <c r="B639" i="58"/>
  <c r="C639" i="58"/>
  <c r="D639" i="58"/>
  <c r="E639" i="58"/>
  <c r="F639" i="58"/>
  <c r="AB639" i="58" s="1"/>
  <c r="G639" i="58"/>
  <c r="H639" i="58"/>
  <c r="I639" i="58"/>
  <c r="J639" i="58"/>
  <c r="K639" i="58"/>
  <c r="L639" i="58"/>
  <c r="A641" i="58"/>
  <c r="B641" i="58"/>
  <c r="C641" i="58"/>
  <c r="D641" i="58"/>
  <c r="E641" i="58"/>
  <c r="F641" i="58"/>
  <c r="AB641" i="58" s="1"/>
  <c r="G641" i="58"/>
  <c r="H641" i="58"/>
  <c r="I641" i="58"/>
  <c r="J641" i="58"/>
  <c r="K641" i="58"/>
  <c r="L641" i="58"/>
  <c r="A642" i="58"/>
  <c r="B642" i="58"/>
  <c r="C642" i="58"/>
  <c r="D642" i="58"/>
  <c r="E642" i="58"/>
  <c r="F642" i="58"/>
  <c r="AB642" i="58" s="1"/>
  <c r="G642" i="58"/>
  <c r="H642" i="58"/>
  <c r="I642" i="58"/>
  <c r="J642" i="58"/>
  <c r="K642" i="58"/>
  <c r="L642" i="58"/>
  <c r="A643" i="58"/>
  <c r="B643" i="58"/>
  <c r="C643" i="58"/>
  <c r="D643" i="58"/>
  <c r="E643" i="58"/>
  <c r="F643" i="58"/>
  <c r="AB643" i="58" s="1"/>
  <c r="G643" i="58"/>
  <c r="H643" i="58"/>
  <c r="I643" i="58"/>
  <c r="J643" i="58"/>
  <c r="K643" i="58"/>
  <c r="L643" i="58"/>
  <c r="A644" i="58"/>
  <c r="B644" i="58"/>
  <c r="C644" i="58"/>
  <c r="D644" i="58"/>
  <c r="E644" i="58"/>
  <c r="F644" i="58"/>
  <c r="AB644" i="58" s="1"/>
  <c r="G644" i="58"/>
  <c r="H644" i="58"/>
  <c r="I644" i="58"/>
  <c r="J644" i="58"/>
  <c r="K644" i="58"/>
  <c r="L644" i="58"/>
  <c r="A645" i="58"/>
  <c r="B645" i="58"/>
  <c r="C645" i="58"/>
  <c r="D645" i="58"/>
  <c r="E645" i="58"/>
  <c r="F645" i="58"/>
  <c r="AB645" i="58" s="1"/>
  <c r="G645" i="58"/>
  <c r="H645" i="58"/>
  <c r="I645" i="58"/>
  <c r="J645" i="58"/>
  <c r="K645" i="58"/>
  <c r="L645" i="58"/>
  <c r="A646" i="58"/>
  <c r="B646" i="58"/>
  <c r="C646" i="58"/>
  <c r="D646" i="58"/>
  <c r="E646" i="58"/>
  <c r="F646" i="58"/>
  <c r="AB646" i="58" s="1"/>
  <c r="G646" i="58"/>
  <c r="H646" i="58"/>
  <c r="I646" i="58"/>
  <c r="J646" i="58"/>
  <c r="K646" i="58"/>
  <c r="L646" i="58"/>
  <c r="A647" i="58"/>
  <c r="B647" i="58"/>
  <c r="C647" i="58"/>
  <c r="D647" i="58"/>
  <c r="E647" i="58"/>
  <c r="F647" i="58"/>
  <c r="AB647" i="58" s="1"/>
  <c r="G647" i="58"/>
  <c r="H647" i="58"/>
  <c r="I647" i="58"/>
  <c r="J647" i="58"/>
  <c r="K647" i="58"/>
  <c r="L647" i="58"/>
  <c r="A648" i="58"/>
  <c r="B648" i="58"/>
  <c r="C648" i="58"/>
  <c r="D648" i="58"/>
  <c r="E648" i="58"/>
  <c r="F648" i="58"/>
  <c r="AB648" i="58" s="1"/>
  <c r="G648" i="58"/>
  <c r="H648" i="58"/>
  <c r="I648" i="58"/>
  <c r="J648" i="58"/>
  <c r="K648" i="58"/>
  <c r="L648" i="58"/>
  <c r="A649" i="58"/>
  <c r="B649" i="58"/>
  <c r="C649" i="58"/>
  <c r="D649" i="58"/>
  <c r="E649" i="58"/>
  <c r="F649" i="58"/>
  <c r="AB649" i="58" s="1"/>
  <c r="G649" i="58"/>
  <c r="H649" i="58"/>
  <c r="I649" i="58"/>
  <c r="J649" i="58"/>
  <c r="K649" i="58"/>
  <c r="L649" i="58"/>
  <c r="A651" i="58"/>
  <c r="B651" i="58"/>
  <c r="C651" i="58"/>
  <c r="D651" i="58"/>
  <c r="E651" i="58"/>
  <c r="F651" i="58"/>
  <c r="G651" i="58"/>
  <c r="H651" i="58"/>
  <c r="I651" i="58"/>
  <c r="J651" i="58"/>
  <c r="K651" i="58"/>
  <c r="L651" i="58"/>
  <c r="A652" i="58"/>
  <c r="B652" i="58"/>
  <c r="C652" i="58"/>
  <c r="D652" i="58"/>
  <c r="E652" i="58"/>
  <c r="F652" i="58"/>
  <c r="G652" i="58"/>
  <c r="H652" i="58"/>
  <c r="I652" i="58"/>
  <c r="J652" i="58"/>
  <c r="K652" i="58"/>
  <c r="L652" i="58"/>
  <c r="A653" i="58"/>
  <c r="B653" i="58"/>
  <c r="C653" i="58"/>
  <c r="D653" i="58"/>
  <c r="E653" i="58"/>
  <c r="F653" i="58"/>
  <c r="G653" i="58"/>
  <c r="H653" i="58"/>
  <c r="I653" i="58"/>
  <c r="J653" i="58"/>
  <c r="K653" i="58"/>
  <c r="L653" i="58"/>
  <c r="A654" i="58"/>
  <c r="B654" i="58"/>
  <c r="C654" i="58"/>
  <c r="D654" i="58"/>
  <c r="E654" i="58"/>
  <c r="F654" i="58"/>
  <c r="G654" i="58"/>
  <c r="H654" i="58"/>
  <c r="I654" i="58"/>
  <c r="J654" i="58"/>
  <c r="K654" i="58"/>
  <c r="L654" i="58"/>
  <c r="A655" i="58"/>
  <c r="B655" i="58"/>
  <c r="C655" i="58"/>
  <c r="D655" i="58"/>
  <c r="E655" i="58"/>
  <c r="F655" i="58"/>
  <c r="G655" i="58"/>
  <c r="H655" i="58"/>
  <c r="I655" i="58"/>
  <c r="J655" i="58"/>
  <c r="K655" i="58"/>
  <c r="L655" i="58"/>
  <c r="A656" i="58"/>
  <c r="B656" i="58"/>
  <c r="C656" i="58"/>
  <c r="D656" i="58"/>
  <c r="E656" i="58"/>
  <c r="F656" i="58"/>
  <c r="G656" i="58"/>
  <c r="H656" i="58"/>
  <c r="I656" i="58"/>
  <c r="J656" i="58"/>
  <c r="K656" i="58"/>
  <c r="L656" i="58"/>
  <c r="A657" i="58"/>
  <c r="B657" i="58"/>
  <c r="C657" i="58"/>
  <c r="D657" i="58"/>
  <c r="E657" i="58"/>
  <c r="F657" i="58"/>
  <c r="G657" i="58"/>
  <c r="H657" i="58"/>
  <c r="I657" i="58"/>
  <c r="J657" i="58"/>
  <c r="K657" i="58"/>
  <c r="L657" i="58"/>
  <c r="A658" i="58"/>
  <c r="B658" i="58"/>
  <c r="C658" i="58"/>
  <c r="D658" i="58"/>
  <c r="E658" i="58"/>
  <c r="F658" i="58"/>
  <c r="AB658" i="58" s="1"/>
  <c r="G658" i="58"/>
  <c r="H658" i="58"/>
  <c r="I658" i="58"/>
  <c r="J658" i="58"/>
  <c r="K658" i="58"/>
  <c r="L658" i="58"/>
  <c r="A659" i="58"/>
  <c r="B659" i="58"/>
  <c r="C659" i="58"/>
  <c r="D659" i="58"/>
  <c r="E659" i="58"/>
  <c r="F659" i="58"/>
  <c r="AB659" i="58" s="1"/>
  <c r="G659" i="58"/>
  <c r="H659" i="58"/>
  <c r="I659" i="58"/>
  <c r="J659" i="58"/>
  <c r="K659" i="58"/>
  <c r="L659" i="58"/>
  <c r="A661" i="58"/>
  <c r="B661" i="58"/>
  <c r="C661" i="58"/>
  <c r="D661" i="58"/>
  <c r="E661" i="58"/>
  <c r="F661" i="58"/>
  <c r="AB661" i="58" s="1"/>
  <c r="G661" i="58"/>
  <c r="H661" i="58"/>
  <c r="I661" i="58"/>
  <c r="J661" i="58"/>
  <c r="K661" i="58"/>
  <c r="L661" i="58"/>
  <c r="A662" i="58"/>
  <c r="B662" i="58"/>
  <c r="C662" i="58"/>
  <c r="D662" i="58"/>
  <c r="E662" i="58"/>
  <c r="F662" i="58"/>
  <c r="AB662" i="58" s="1"/>
  <c r="G662" i="58"/>
  <c r="H662" i="58"/>
  <c r="I662" i="58"/>
  <c r="J662" i="58"/>
  <c r="K662" i="58"/>
  <c r="L662" i="58"/>
  <c r="A663" i="58"/>
  <c r="B663" i="58"/>
  <c r="C663" i="58"/>
  <c r="D663" i="58"/>
  <c r="E663" i="58"/>
  <c r="F663" i="58"/>
  <c r="AB663" i="58" s="1"/>
  <c r="G663" i="58"/>
  <c r="H663" i="58"/>
  <c r="I663" i="58"/>
  <c r="J663" i="58"/>
  <c r="K663" i="58"/>
  <c r="L663" i="58"/>
  <c r="A664" i="58"/>
  <c r="B664" i="58"/>
  <c r="C664" i="58"/>
  <c r="D664" i="58"/>
  <c r="E664" i="58"/>
  <c r="F664" i="58"/>
  <c r="AB664" i="58" s="1"/>
  <c r="G664" i="58"/>
  <c r="H664" i="58"/>
  <c r="I664" i="58"/>
  <c r="J664" i="58"/>
  <c r="K664" i="58"/>
  <c r="L664" i="58"/>
  <c r="A665" i="58"/>
  <c r="B665" i="58"/>
  <c r="C665" i="58"/>
  <c r="D665" i="58"/>
  <c r="E665" i="58"/>
  <c r="F665" i="58"/>
  <c r="AB665" i="58" s="1"/>
  <c r="G665" i="58"/>
  <c r="H665" i="58"/>
  <c r="I665" i="58"/>
  <c r="J665" i="58"/>
  <c r="K665" i="58"/>
  <c r="L665" i="58"/>
  <c r="A666" i="58"/>
  <c r="B666" i="58"/>
  <c r="C666" i="58"/>
  <c r="D666" i="58"/>
  <c r="E666" i="58"/>
  <c r="F666" i="58"/>
  <c r="AB666" i="58" s="1"/>
  <c r="G666" i="58"/>
  <c r="H666" i="58"/>
  <c r="I666" i="58"/>
  <c r="J666" i="58"/>
  <c r="K666" i="58"/>
  <c r="L666" i="58"/>
  <c r="A667" i="58"/>
  <c r="B667" i="58"/>
  <c r="C667" i="58"/>
  <c r="D667" i="58"/>
  <c r="E667" i="58"/>
  <c r="F667" i="58"/>
  <c r="AB667" i="58" s="1"/>
  <c r="G667" i="58"/>
  <c r="H667" i="58"/>
  <c r="I667" i="58"/>
  <c r="J667" i="58"/>
  <c r="K667" i="58"/>
  <c r="L667" i="58"/>
  <c r="A668" i="58"/>
  <c r="B668" i="58"/>
  <c r="C668" i="58"/>
  <c r="D668" i="58"/>
  <c r="E668" i="58"/>
  <c r="F668" i="58"/>
  <c r="AB668" i="58" s="1"/>
  <c r="G668" i="58"/>
  <c r="H668" i="58"/>
  <c r="I668" i="58"/>
  <c r="J668" i="58"/>
  <c r="K668" i="58"/>
  <c r="L668" i="58"/>
  <c r="A669" i="58"/>
  <c r="B669" i="58"/>
  <c r="C669" i="58"/>
  <c r="D669" i="58"/>
  <c r="E669" i="58"/>
  <c r="F669" i="58"/>
  <c r="G669" i="58"/>
  <c r="H669" i="58"/>
  <c r="I669" i="58"/>
  <c r="J669" i="58"/>
  <c r="K669" i="58"/>
  <c r="L669" i="58"/>
  <c r="A671" i="58"/>
  <c r="B671" i="58"/>
  <c r="C671" i="58"/>
  <c r="D671" i="58"/>
  <c r="E671" i="58"/>
  <c r="F671" i="58"/>
  <c r="AB671" i="58" s="1"/>
  <c r="G671" i="58"/>
  <c r="H671" i="58"/>
  <c r="I671" i="58"/>
  <c r="J671" i="58"/>
  <c r="K671" i="58"/>
  <c r="L671" i="58"/>
  <c r="A672" i="58"/>
  <c r="B672" i="58"/>
  <c r="C672" i="58"/>
  <c r="D672" i="58"/>
  <c r="E672" i="58"/>
  <c r="F672" i="58"/>
  <c r="AB672" i="58" s="1"/>
  <c r="G672" i="58"/>
  <c r="H672" i="58"/>
  <c r="I672" i="58"/>
  <c r="J672" i="58"/>
  <c r="K672" i="58"/>
  <c r="L672" i="58"/>
  <c r="A673" i="58"/>
  <c r="B673" i="58"/>
  <c r="C673" i="58"/>
  <c r="D673" i="58"/>
  <c r="E673" i="58"/>
  <c r="F673" i="58"/>
  <c r="AB673" i="58" s="1"/>
  <c r="G673" i="58"/>
  <c r="H673" i="58"/>
  <c r="I673" i="58"/>
  <c r="J673" i="58"/>
  <c r="K673" i="58"/>
  <c r="L673" i="58"/>
  <c r="A674" i="58"/>
  <c r="B674" i="58"/>
  <c r="C674" i="58"/>
  <c r="D674" i="58"/>
  <c r="E674" i="58"/>
  <c r="F674" i="58"/>
  <c r="AB674" i="58" s="1"/>
  <c r="G674" i="58"/>
  <c r="H674" i="58"/>
  <c r="I674" i="58"/>
  <c r="J674" i="58"/>
  <c r="K674" i="58"/>
  <c r="L674" i="58"/>
  <c r="A675" i="58"/>
  <c r="B675" i="58"/>
  <c r="C675" i="58"/>
  <c r="D675" i="58"/>
  <c r="E675" i="58"/>
  <c r="F675" i="58"/>
  <c r="AB675" i="58" s="1"/>
  <c r="G675" i="58"/>
  <c r="H675" i="58"/>
  <c r="I675" i="58"/>
  <c r="J675" i="58"/>
  <c r="K675" i="58"/>
  <c r="L675" i="58"/>
  <c r="A676" i="58"/>
  <c r="B676" i="58"/>
  <c r="C676" i="58"/>
  <c r="D676" i="58"/>
  <c r="E676" i="58"/>
  <c r="F676" i="58"/>
  <c r="AB676" i="58" s="1"/>
  <c r="G676" i="58"/>
  <c r="H676" i="58"/>
  <c r="I676" i="58"/>
  <c r="J676" i="58"/>
  <c r="K676" i="58"/>
  <c r="L676" i="58"/>
  <c r="A677" i="58"/>
  <c r="B677" i="58"/>
  <c r="C677" i="58"/>
  <c r="D677" i="58"/>
  <c r="E677" i="58"/>
  <c r="F677" i="58"/>
  <c r="AB677" i="58" s="1"/>
  <c r="G677" i="58"/>
  <c r="H677" i="58"/>
  <c r="I677" i="58"/>
  <c r="J677" i="58"/>
  <c r="K677" i="58"/>
  <c r="L677" i="58"/>
  <c r="A678" i="58"/>
  <c r="B678" i="58"/>
  <c r="C678" i="58"/>
  <c r="D678" i="58"/>
  <c r="E678" i="58"/>
  <c r="F678" i="58"/>
  <c r="AB678" i="58" s="1"/>
  <c r="G678" i="58"/>
  <c r="H678" i="58"/>
  <c r="I678" i="58"/>
  <c r="J678" i="58"/>
  <c r="K678" i="58"/>
  <c r="L678" i="58"/>
  <c r="A679" i="58"/>
  <c r="B679" i="58"/>
  <c r="C679" i="58"/>
  <c r="D679" i="58"/>
  <c r="E679" i="58"/>
  <c r="F679" i="58"/>
  <c r="AB679" i="58" s="1"/>
  <c r="G679" i="58"/>
  <c r="H679" i="58"/>
  <c r="I679" i="58"/>
  <c r="J679" i="58"/>
  <c r="K679" i="58"/>
  <c r="L679" i="58"/>
  <c r="A681" i="58"/>
  <c r="B681" i="58"/>
  <c r="C681" i="58"/>
  <c r="D681" i="58"/>
  <c r="E681" i="58"/>
  <c r="F681" i="58"/>
  <c r="AB681" i="58" s="1"/>
  <c r="G681" i="58"/>
  <c r="H681" i="58"/>
  <c r="I681" i="58"/>
  <c r="J681" i="58"/>
  <c r="K681" i="58"/>
  <c r="L681" i="58"/>
  <c r="A682" i="58"/>
  <c r="B682" i="58"/>
  <c r="C682" i="58"/>
  <c r="D682" i="58"/>
  <c r="E682" i="58"/>
  <c r="F682" i="58"/>
  <c r="AB682" i="58" s="1"/>
  <c r="G682" i="58"/>
  <c r="H682" i="58"/>
  <c r="I682" i="58"/>
  <c r="J682" i="58"/>
  <c r="K682" i="58"/>
  <c r="L682" i="58"/>
  <c r="A683" i="58"/>
  <c r="B683" i="58"/>
  <c r="C683" i="58"/>
  <c r="D683" i="58"/>
  <c r="E683" i="58"/>
  <c r="F683" i="58"/>
  <c r="AB683" i="58" s="1"/>
  <c r="G683" i="58"/>
  <c r="H683" i="58"/>
  <c r="I683" i="58"/>
  <c r="J683" i="58"/>
  <c r="K683" i="58"/>
  <c r="L683" i="58"/>
  <c r="A684" i="58"/>
  <c r="B684" i="58"/>
  <c r="C684" i="58"/>
  <c r="D684" i="58"/>
  <c r="E684" i="58"/>
  <c r="F684" i="58"/>
  <c r="AB684" i="58" s="1"/>
  <c r="G684" i="58"/>
  <c r="H684" i="58"/>
  <c r="I684" i="58"/>
  <c r="J684" i="58"/>
  <c r="K684" i="58"/>
  <c r="L684" i="58"/>
  <c r="A685" i="58"/>
  <c r="B685" i="58"/>
  <c r="C685" i="58"/>
  <c r="D685" i="58"/>
  <c r="E685" i="58"/>
  <c r="F685" i="58"/>
  <c r="AB685" i="58" s="1"/>
  <c r="G685" i="58"/>
  <c r="H685" i="58"/>
  <c r="I685" i="58"/>
  <c r="J685" i="58"/>
  <c r="K685" i="58"/>
  <c r="L685" i="58"/>
  <c r="A686" i="58"/>
  <c r="B686" i="58"/>
  <c r="C686" i="58"/>
  <c r="D686" i="58"/>
  <c r="E686" i="58"/>
  <c r="F686" i="58"/>
  <c r="AB686" i="58" s="1"/>
  <c r="G686" i="58"/>
  <c r="H686" i="58"/>
  <c r="I686" i="58"/>
  <c r="J686" i="58"/>
  <c r="K686" i="58"/>
  <c r="L686" i="58"/>
  <c r="A687" i="58"/>
  <c r="B687" i="58"/>
  <c r="C687" i="58"/>
  <c r="D687" i="58"/>
  <c r="E687" i="58"/>
  <c r="F687" i="58"/>
  <c r="AB687" i="58" s="1"/>
  <c r="G687" i="58"/>
  <c r="H687" i="58"/>
  <c r="I687" i="58"/>
  <c r="J687" i="58"/>
  <c r="K687" i="58"/>
  <c r="L687" i="58"/>
  <c r="A688" i="58"/>
  <c r="B688" i="58"/>
  <c r="C688" i="58"/>
  <c r="D688" i="58"/>
  <c r="E688" i="58"/>
  <c r="F688" i="58"/>
  <c r="AB688" i="58" s="1"/>
  <c r="G688" i="58"/>
  <c r="H688" i="58"/>
  <c r="I688" i="58"/>
  <c r="J688" i="58"/>
  <c r="K688" i="58"/>
  <c r="L688" i="58"/>
  <c r="A689" i="58"/>
  <c r="B689" i="58"/>
  <c r="C689" i="58"/>
  <c r="D689" i="58"/>
  <c r="E689" i="58"/>
  <c r="F689" i="58"/>
  <c r="AB689" i="58" s="1"/>
  <c r="G689" i="58"/>
  <c r="H689" i="58"/>
  <c r="I689" i="58"/>
  <c r="J689" i="58"/>
  <c r="K689" i="58"/>
  <c r="L689" i="58"/>
  <c r="A691" i="58"/>
  <c r="B691" i="58"/>
  <c r="C691" i="58"/>
  <c r="D691" i="58"/>
  <c r="E691" i="58"/>
  <c r="F691" i="58"/>
  <c r="AB691" i="58" s="1"/>
  <c r="G691" i="58"/>
  <c r="H691" i="58"/>
  <c r="I691" i="58"/>
  <c r="J691" i="58"/>
  <c r="K691" i="58"/>
  <c r="L691" i="58"/>
  <c r="A692" i="58"/>
  <c r="B692" i="58"/>
  <c r="C692" i="58"/>
  <c r="D692" i="58"/>
  <c r="E692" i="58"/>
  <c r="F692" i="58"/>
  <c r="G692" i="58"/>
  <c r="H692" i="58"/>
  <c r="I692" i="58"/>
  <c r="J692" i="58"/>
  <c r="K692" i="58"/>
  <c r="L692" i="58"/>
  <c r="A693" i="58"/>
  <c r="B693" i="58"/>
  <c r="C693" i="58"/>
  <c r="D693" i="58"/>
  <c r="E693" i="58"/>
  <c r="F693" i="58"/>
  <c r="AB693" i="58" s="1"/>
  <c r="G693" i="58"/>
  <c r="H693" i="58"/>
  <c r="I693" i="58"/>
  <c r="J693" i="58"/>
  <c r="K693" i="58"/>
  <c r="L693" i="58"/>
  <c r="A694" i="58"/>
  <c r="B694" i="58"/>
  <c r="C694" i="58"/>
  <c r="D694" i="58"/>
  <c r="E694" i="58"/>
  <c r="F694" i="58"/>
  <c r="AB694" i="58" s="1"/>
  <c r="G694" i="58"/>
  <c r="H694" i="58"/>
  <c r="I694" i="58"/>
  <c r="J694" i="58"/>
  <c r="K694" i="58"/>
  <c r="L694" i="58"/>
  <c r="A695" i="58"/>
  <c r="B695" i="58"/>
  <c r="C695" i="58"/>
  <c r="D695" i="58"/>
  <c r="E695" i="58"/>
  <c r="F695" i="58"/>
  <c r="AB695" i="58" s="1"/>
  <c r="G695" i="58"/>
  <c r="H695" i="58"/>
  <c r="I695" i="58"/>
  <c r="J695" i="58"/>
  <c r="K695" i="58"/>
  <c r="L695" i="58"/>
  <c r="A696" i="58"/>
  <c r="B696" i="58"/>
  <c r="C696" i="58"/>
  <c r="D696" i="58"/>
  <c r="E696" i="58"/>
  <c r="F696" i="58"/>
  <c r="AB696" i="58" s="1"/>
  <c r="G696" i="58"/>
  <c r="H696" i="58"/>
  <c r="I696" i="58"/>
  <c r="J696" i="58"/>
  <c r="K696" i="58"/>
  <c r="L696" i="58"/>
  <c r="A697" i="58"/>
  <c r="B697" i="58"/>
  <c r="C697" i="58"/>
  <c r="D697" i="58"/>
  <c r="E697" i="58"/>
  <c r="F697" i="58"/>
  <c r="AB697" i="58" s="1"/>
  <c r="G697" i="58"/>
  <c r="H697" i="58"/>
  <c r="I697" i="58"/>
  <c r="J697" i="58"/>
  <c r="K697" i="58"/>
  <c r="L697" i="58"/>
  <c r="A698" i="58"/>
  <c r="B698" i="58"/>
  <c r="C698" i="58"/>
  <c r="D698" i="58"/>
  <c r="E698" i="58"/>
  <c r="F698" i="58"/>
  <c r="AB698" i="58" s="1"/>
  <c r="G698" i="58"/>
  <c r="H698" i="58"/>
  <c r="I698" i="58"/>
  <c r="J698" i="58"/>
  <c r="K698" i="58"/>
  <c r="L698" i="58"/>
  <c r="A699" i="58"/>
  <c r="B699" i="58"/>
  <c r="C699" i="58"/>
  <c r="D699" i="58"/>
  <c r="E699" i="58"/>
  <c r="F699" i="58"/>
  <c r="AB699" i="58" s="1"/>
  <c r="G699" i="58"/>
  <c r="H699" i="58"/>
  <c r="I699" i="58"/>
  <c r="J699" i="58"/>
  <c r="K699" i="58"/>
  <c r="L699" i="58"/>
  <c r="A711" i="58"/>
  <c r="B711" i="58"/>
  <c r="C711" i="58"/>
  <c r="D711" i="58"/>
  <c r="E711" i="58"/>
  <c r="F711" i="58"/>
  <c r="AB711" i="58" s="1"/>
  <c r="G711" i="58"/>
  <c r="H711" i="58"/>
  <c r="I711" i="58"/>
  <c r="J711" i="58"/>
  <c r="K711" i="58"/>
  <c r="L711" i="58"/>
  <c r="A712" i="58"/>
  <c r="B712" i="58"/>
  <c r="C712" i="58"/>
  <c r="D712" i="58"/>
  <c r="E712" i="58"/>
  <c r="F712" i="58"/>
  <c r="AB712" i="58" s="1"/>
  <c r="G712" i="58"/>
  <c r="H712" i="58"/>
  <c r="I712" i="58"/>
  <c r="J712" i="58"/>
  <c r="K712" i="58"/>
  <c r="L712" i="58"/>
  <c r="A713" i="58"/>
  <c r="B713" i="58"/>
  <c r="C713" i="58"/>
  <c r="D713" i="58"/>
  <c r="E713" i="58"/>
  <c r="F713" i="58"/>
  <c r="G713" i="58"/>
  <c r="H713" i="58"/>
  <c r="I713" i="58"/>
  <c r="J713" i="58"/>
  <c r="K713" i="58"/>
  <c r="L713" i="58"/>
  <c r="A714" i="58"/>
  <c r="B714" i="58"/>
  <c r="C714" i="58"/>
  <c r="D714" i="58"/>
  <c r="E714" i="58"/>
  <c r="F714" i="58"/>
  <c r="G714" i="58"/>
  <c r="H714" i="58"/>
  <c r="I714" i="58"/>
  <c r="J714" i="58"/>
  <c r="K714" i="58"/>
  <c r="L714" i="58"/>
  <c r="A715" i="58"/>
  <c r="B715" i="58"/>
  <c r="C715" i="58"/>
  <c r="D715" i="58"/>
  <c r="E715" i="58"/>
  <c r="F715" i="58"/>
  <c r="AB715" i="58" s="1"/>
  <c r="G715" i="58"/>
  <c r="H715" i="58"/>
  <c r="I715" i="58"/>
  <c r="J715" i="58"/>
  <c r="K715" i="58"/>
  <c r="L715" i="58"/>
  <c r="A716" i="58"/>
  <c r="B716" i="58"/>
  <c r="C716" i="58"/>
  <c r="D716" i="58"/>
  <c r="E716" i="58"/>
  <c r="F716" i="58"/>
  <c r="AB716" i="58" s="1"/>
  <c r="G716" i="58"/>
  <c r="H716" i="58"/>
  <c r="I716" i="58"/>
  <c r="J716" i="58"/>
  <c r="K716" i="58"/>
  <c r="L716" i="58"/>
  <c r="A717" i="58"/>
  <c r="B717" i="58"/>
  <c r="C717" i="58"/>
  <c r="D717" i="58"/>
  <c r="E717" i="58"/>
  <c r="F717" i="58"/>
  <c r="AB717" i="58" s="1"/>
  <c r="G717" i="58"/>
  <c r="H717" i="58"/>
  <c r="I717" i="58"/>
  <c r="J717" i="58"/>
  <c r="K717" i="58"/>
  <c r="L717" i="58"/>
  <c r="A718" i="58"/>
  <c r="B718" i="58"/>
  <c r="C718" i="58"/>
  <c r="D718" i="58"/>
  <c r="E718" i="58"/>
  <c r="F718" i="58"/>
  <c r="AB718" i="58" s="1"/>
  <c r="G718" i="58"/>
  <c r="H718" i="58"/>
  <c r="I718" i="58"/>
  <c r="J718" i="58"/>
  <c r="K718" i="58"/>
  <c r="L718" i="58"/>
  <c r="A719" i="58"/>
  <c r="B719" i="58"/>
  <c r="C719" i="58"/>
  <c r="D719" i="58"/>
  <c r="E719" i="58"/>
  <c r="F719" i="58"/>
  <c r="AB719" i="58" s="1"/>
  <c r="G719" i="58"/>
  <c r="H719" i="58"/>
  <c r="I719" i="58"/>
  <c r="J719" i="58"/>
  <c r="K719" i="58"/>
  <c r="L719" i="58"/>
  <c r="A721" i="58"/>
  <c r="B721" i="58"/>
  <c r="C721" i="58"/>
  <c r="D721" i="58"/>
  <c r="E721" i="58"/>
  <c r="F721" i="58"/>
  <c r="G721" i="58"/>
  <c r="H721" i="58"/>
  <c r="I721" i="58"/>
  <c r="J721" i="58"/>
  <c r="K721" i="58"/>
  <c r="L721" i="58"/>
  <c r="A722" i="58"/>
  <c r="B722" i="58"/>
  <c r="C722" i="58"/>
  <c r="D722" i="58"/>
  <c r="E722" i="58"/>
  <c r="F722" i="58"/>
  <c r="G722" i="58"/>
  <c r="H722" i="58"/>
  <c r="I722" i="58"/>
  <c r="J722" i="58"/>
  <c r="K722" i="58"/>
  <c r="L722" i="58"/>
  <c r="A723" i="58"/>
  <c r="B723" i="58"/>
  <c r="C723" i="58"/>
  <c r="D723" i="58"/>
  <c r="E723" i="58"/>
  <c r="F723" i="58"/>
  <c r="AB723" i="58" s="1"/>
  <c r="G723" i="58"/>
  <c r="H723" i="58"/>
  <c r="I723" i="58"/>
  <c r="J723" i="58"/>
  <c r="K723" i="58"/>
  <c r="L723" i="58"/>
  <c r="A724" i="58"/>
  <c r="B724" i="58"/>
  <c r="C724" i="58"/>
  <c r="D724" i="58"/>
  <c r="E724" i="58"/>
  <c r="F724" i="58"/>
  <c r="AB724" i="58" s="1"/>
  <c r="G724" i="58"/>
  <c r="H724" i="58"/>
  <c r="I724" i="58"/>
  <c r="J724" i="58"/>
  <c r="K724" i="58"/>
  <c r="L724" i="58"/>
  <c r="A725" i="58"/>
  <c r="B725" i="58"/>
  <c r="C725" i="58"/>
  <c r="D725" i="58"/>
  <c r="E725" i="58"/>
  <c r="F725" i="58"/>
  <c r="AB725" i="58" s="1"/>
  <c r="G725" i="58"/>
  <c r="H725" i="58"/>
  <c r="I725" i="58"/>
  <c r="J725" i="58"/>
  <c r="K725" i="58"/>
  <c r="L725" i="58"/>
  <c r="A726" i="58"/>
  <c r="B726" i="58"/>
  <c r="C726" i="58"/>
  <c r="D726" i="58"/>
  <c r="E726" i="58"/>
  <c r="F726" i="58"/>
  <c r="AB726" i="58" s="1"/>
  <c r="G726" i="58"/>
  <c r="H726" i="58"/>
  <c r="I726" i="58"/>
  <c r="J726" i="58"/>
  <c r="K726" i="58"/>
  <c r="L726" i="58"/>
  <c r="A727" i="58"/>
  <c r="B727" i="58"/>
  <c r="C727" i="58"/>
  <c r="D727" i="58"/>
  <c r="E727" i="58"/>
  <c r="F727" i="58"/>
  <c r="AB727" i="58" s="1"/>
  <c r="G727" i="58"/>
  <c r="H727" i="58"/>
  <c r="I727" i="58"/>
  <c r="J727" i="58"/>
  <c r="K727" i="58"/>
  <c r="L727" i="58"/>
  <c r="A728" i="58"/>
  <c r="B728" i="58"/>
  <c r="C728" i="58"/>
  <c r="D728" i="58"/>
  <c r="E728" i="58"/>
  <c r="F728" i="58"/>
  <c r="AB728" i="58" s="1"/>
  <c r="G728" i="58"/>
  <c r="H728" i="58"/>
  <c r="I728" i="58"/>
  <c r="J728" i="58"/>
  <c r="K728" i="58"/>
  <c r="L728" i="58"/>
  <c r="A729" i="58"/>
  <c r="B729" i="58"/>
  <c r="C729" i="58"/>
  <c r="D729" i="58"/>
  <c r="E729" i="58"/>
  <c r="F729" i="58"/>
  <c r="AB729" i="58" s="1"/>
  <c r="G729" i="58"/>
  <c r="H729" i="58"/>
  <c r="I729" i="58"/>
  <c r="J729" i="58"/>
  <c r="K729" i="58"/>
  <c r="L729" i="58"/>
  <c r="A731" i="58"/>
  <c r="B731" i="58"/>
  <c r="C731" i="58"/>
  <c r="D731" i="58"/>
  <c r="E731" i="58"/>
  <c r="F731" i="58"/>
  <c r="AB731" i="58" s="1"/>
  <c r="G731" i="58"/>
  <c r="H731" i="58"/>
  <c r="I731" i="58"/>
  <c r="J731" i="58"/>
  <c r="K731" i="58"/>
  <c r="L731" i="58"/>
  <c r="A732" i="58"/>
  <c r="B732" i="58"/>
  <c r="C732" i="58"/>
  <c r="D732" i="58"/>
  <c r="E732" i="58"/>
  <c r="F732" i="58"/>
  <c r="AB732" i="58" s="1"/>
  <c r="G732" i="58"/>
  <c r="H732" i="58"/>
  <c r="I732" i="58"/>
  <c r="J732" i="58"/>
  <c r="K732" i="58"/>
  <c r="L732" i="58"/>
  <c r="A733" i="58"/>
  <c r="B733" i="58"/>
  <c r="C733" i="58"/>
  <c r="D733" i="58"/>
  <c r="E733" i="58"/>
  <c r="F733" i="58"/>
  <c r="AB733" i="58" s="1"/>
  <c r="G733" i="58"/>
  <c r="H733" i="58"/>
  <c r="I733" i="58"/>
  <c r="J733" i="58"/>
  <c r="K733" i="58"/>
  <c r="L733" i="58"/>
  <c r="A734" i="58"/>
  <c r="B734" i="58"/>
  <c r="C734" i="58"/>
  <c r="D734" i="58"/>
  <c r="E734" i="58"/>
  <c r="F734" i="58"/>
  <c r="AB734" i="58" s="1"/>
  <c r="G734" i="58"/>
  <c r="H734" i="58"/>
  <c r="I734" i="58"/>
  <c r="J734" i="58"/>
  <c r="K734" i="58"/>
  <c r="L734" i="58"/>
  <c r="A735" i="58"/>
  <c r="B735" i="58"/>
  <c r="C735" i="58"/>
  <c r="D735" i="58"/>
  <c r="E735" i="58"/>
  <c r="F735" i="58"/>
  <c r="AB735" i="58" s="1"/>
  <c r="G735" i="58"/>
  <c r="H735" i="58"/>
  <c r="I735" i="58"/>
  <c r="J735" i="58"/>
  <c r="K735" i="58"/>
  <c r="L735" i="58"/>
  <c r="A736" i="58"/>
  <c r="B736" i="58"/>
  <c r="C736" i="58"/>
  <c r="D736" i="58"/>
  <c r="E736" i="58"/>
  <c r="F736" i="58"/>
  <c r="AB736" i="58" s="1"/>
  <c r="G736" i="58"/>
  <c r="H736" i="58"/>
  <c r="I736" i="58"/>
  <c r="J736" i="58"/>
  <c r="K736" i="58"/>
  <c r="L736" i="58"/>
  <c r="A737" i="58"/>
  <c r="B737" i="58"/>
  <c r="C737" i="58"/>
  <c r="D737" i="58"/>
  <c r="E737" i="58"/>
  <c r="F737" i="58"/>
  <c r="AB737" i="58" s="1"/>
  <c r="G737" i="58"/>
  <c r="H737" i="58"/>
  <c r="I737" i="58"/>
  <c r="J737" i="58"/>
  <c r="K737" i="58"/>
  <c r="L737" i="58"/>
  <c r="A738" i="58"/>
  <c r="B738" i="58"/>
  <c r="C738" i="58"/>
  <c r="D738" i="58"/>
  <c r="E738" i="58"/>
  <c r="F738" i="58"/>
  <c r="AB738" i="58" s="1"/>
  <c r="G738" i="58"/>
  <c r="H738" i="58"/>
  <c r="I738" i="58"/>
  <c r="J738" i="58"/>
  <c r="K738" i="58"/>
  <c r="L738" i="58"/>
  <c r="A739" i="58"/>
  <c r="B739" i="58"/>
  <c r="C739" i="58"/>
  <c r="D739" i="58"/>
  <c r="E739" i="58"/>
  <c r="F739" i="58"/>
  <c r="AB739" i="58" s="1"/>
  <c r="G739" i="58"/>
  <c r="H739" i="58"/>
  <c r="I739" i="58"/>
  <c r="J739" i="58"/>
  <c r="K739" i="58"/>
  <c r="L739" i="58"/>
  <c r="A741" i="58"/>
  <c r="B741" i="58"/>
  <c r="C741" i="58"/>
  <c r="D741" i="58"/>
  <c r="E741" i="58"/>
  <c r="F741" i="58"/>
  <c r="AB741" i="58" s="1"/>
  <c r="G741" i="58"/>
  <c r="H741" i="58"/>
  <c r="I741" i="58"/>
  <c r="J741" i="58"/>
  <c r="K741" i="58"/>
  <c r="L741" i="58"/>
  <c r="A742" i="58"/>
  <c r="B742" i="58"/>
  <c r="C742" i="58"/>
  <c r="D742" i="58"/>
  <c r="E742" i="58"/>
  <c r="F742" i="58"/>
  <c r="AB742" i="58" s="1"/>
  <c r="G742" i="58"/>
  <c r="H742" i="58"/>
  <c r="I742" i="58"/>
  <c r="J742" i="58"/>
  <c r="K742" i="58"/>
  <c r="L742" i="58"/>
  <c r="A743" i="58"/>
  <c r="B743" i="58"/>
  <c r="C743" i="58"/>
  <c r="D743" i="58"/>
  <c r="E743" i="58"/>
  <c r="F743" i="58"/>
  <c r="AB743" i="58" s="1"/>
  <c r="G743" i="58"/>
  <c r="H743" i="58"/>
  <c r="I743" i="58"/>
  <c r="J743" i="58"/>
  <c r="K743" i="58"/>
  <c r="L743" i="58"/>
  <c r="A744" i="58"/>
  <c r="B744" i="58"/>
  <c r="C744" i="58"/>
  <c r="D744" i="58"/>
  <c r="E744" i="58"/>
  <c r="F744" i="58"/>
  <c r="AB744" i="58" s="1"/>
  <c r="G744" i="58"/>
  <c r="H744" i="58"/>
  <c r="I744" i="58"/>
  <c r="J744" i="58"/>
  <c r="K744" i="58"/>
  <c r="L744" i="58"/>
  <c r="A745" i="58"/>
  <c r="B745" i="58"/>
  <c r="C745" i="58"/>
  <c r="D745" i="58"/>
  <c r="E745" i="58"/>
  <c r="F745" i="58"/>
  <c r="AB745" i="58" s="1"/>
  <c r="G745" i="58"/>
  <c r="H745" i="58"/>
  <c r="I745" i="58"/>
  <c r="J745" i="58"/>
  <c r="K745" i="58"/>
  <c r="L745" i="58"/>
  <c r="A746" i="58"/>
  <c r="B746" i="58"/>
  <c r="C746" i="58"/>
  <c r="D746" i="58"/>
  <c r="E746" i="58"/>
  <c r="F746" i="58"/>
  <c r="AB746" i="58" s="1"/>
  <c r="G746" i="58"/>
  <c r="H746" i="58"/>
  <c r="I746" i="58"/>
  <c r="J746" i="58"/>
  <c r="K746" i="58"/>
  <c r="L746" i="58"/>
  <c r="A747" i="58"/>
  <c r="B747" i="58"/>
  <c r="C747" i="58"/>
  <c r="D747" i="58"/>
  <c r="E747" i="58"/>
  <c r="F747" i="58"/>
  <c r="AB747" i="58" s="1"/>
  <c r="G747" i="58"/>
  <c r="H747" i="58"/>
  <c r="I747" i="58"/>
  <c r="J747" i="58"/>
  <c r="K747" i="58"/>
  <c r="L747" i="58"/>
  <c r="A748" i="58"/>
  <c r="B748" i="58"/>
  <c r="C748" i="58"/>
  <c r="D748" i="58"/>
  <c r="E748" i="58"/>
  <c r="F748" i="58"/>
  <c r="AB748" i="58" s="1"/>
  <c r="G748" i="58"/>
  <c r="H748" i="58"/>
  <c r="I748" i="58"/>
  <c r="J748" i="58"/>
  <c r="K748" i="58"/>
  <c r="L748" i="58"/>
  <c r="A749" i="58"/>
  <c r="B749" i="58"/>
  <c r="C749" i="58"/>
  <c r="D749" i="58"/>
  <c r="E749" i="58"/>
  <c r="F749" i="58"/>
  <c r="AB749" i="58" s="1"/>
  <c r="G749" i="58"/>
  <c r="H749" i="58"/>
  <c r="I749" i="58"/>
  <c r="J749" i="58"/>
  <c r="K749" i="58"/>
  <c r="L749" i="58"/>
  <c r="A751" i="58"/>
  <c r="B751" i="58"/>
  <c r="C751" i="58"/>
  <c r="D751" i="58"/>
  <c r="E751" i="58"/>
  <c r="F751" i="58"/>
  <c r="G751" i="58"/>
  <c r="H751" i="58"/>
  <c r="I751" i="58"/>
  <c r="J751" i="58"/>
  <c r="K751" i="58"/>
  <c r="L751" i="58"/>
  <c r="A752" i="58"/>
  <c r="B752" i="58"/>
  <c r="C752" i="58"/>
  <c r="D752" i="58"/>
  <c r="E752" i="58"/>
  <c r="F752" i="58"/>
  <c r="G752" i="58"/>
  <c r="H752" i="58"/>
  <c r="I752" i="58"/>
  <c r="J752" i="58"/>
  <c r="K752" i="58"/>
  <c r="L752" i="58"/>
  <c r="A753" i="58"/>
  <c r="B753" i="58"/>
  <c r="C753" i="58"/>
  <c r="D753" i="58"/>
  <c r="E753" i="58"/>
  <c r="F753" i="58"/>
  <c r="G753" i="58"/>
  <c r="H753" i="58"/>
  <c r="I753" i="58"/>
  <c r="J753" i="58"/>
  <c r="K753" i="58"/>
  <c r="L753" i="58"/>
  <c r="A754" i="58"/>
  <c r="B754" i="58"/>
  <c r="C754" i="58"/>
  <c r="D754" i="58"/>
  <c r="E754" i="58"/>
  <c r="F754" i="58"/>
  <c r="G754" i="58"/>
  <c r="H754" i="58"/>
  <c r="I754" i="58"/>
  <c r="J754" i="58"/>
  <c r="K754" i="58"/>
  <c r="L754" i="58"/>
  <c r="A755" i="58"/>
  <c r="B755" i="58"/>
  <c r="C755" i="58"/>
  <c r="D755" i="58"/>
  <c r="E755" i="58"/>
  <c r="F755" i="58"/>
  <c r="G755" i="58"/>
  <c r="H755" i="58"/>
  <c r="I755" i="58"/>
  <c r="J755" i="58"/>
  <c r="K755" i="58"/>
  <c r="L755" i="58"/>
  <c r="A756" i="58"/>
  <c r="B756" i="58"/>
  <c r="C756" i="58"/>
  <c r="D756" i="58"/>
  <c r="E756" i="58"/>
  <c r="F756" i="58"/>
  <c r="G756" i="58"/>
  <c r="H756" i="58"/>
  <c r="I756" i="58"/>
  <c r="J756" i="58"/>
  <c r="K756" i="58"/>
  <c r="L756" i="58"/>
  <c r="A757" i="58"/>
  <c r="B757" i="58"/>
  <c r="C757" i="58"/>
  <c r="D757" i="58"/>
  <c r="E757" i="58"/>
  <c r="F757" i="58"/>
  <c r="G757" i="58"/>
  <c r="H757" i="58"/>
  <c r="I757" i="58"/>
  <c r="J757" i="58"/>
  <c r="K757" i="58"/>
  <c r="L757" i="58"/>
  <c r="A758" i="58"/>
  <c r="B758" i="58"/>
  <c r="C758" i="58"/>
  <c r="D758" i="58"/>
  <c r="E758" i="58"/>
  <c r="F758" i="58"/>
  <c r="G758" i="58"/>
  <c r="H758" i="58"/>
  <c r="I758" i="58"/>
  <c r="J758" i="58"/>
  <c r="K758" i="58"/>
  <c r="L758" i="58"/>
  <c r="A759" i="58"/>
  <c r="B759" i="58"/>
  <c r="C759" i="58"/>
  <c r="D759" i="58"/>
  <c r="E759" i="58"/>
  <c r="F759" i="58"/>
  <c r="G759" i="58"/>
  <c r="H759" i="58"/>
  <c r="I759" i="58"/>
  <c r="J759" i="58"/>
  <c r="K759" i="58"/>
  <c r="L759" i="58"/>
  <c r="A761" i="58"/>
  <c r="B761" i="58"/>
  <c r="C761" i="58"/>
  <c r="D761" i="58"/>
  <c r="E761" i="58"/>
  <c r="F761" i="58"/>
  <c r="AB761" i="58" s="1"/>
  <c r="G761" i="58"/>
  <c r="H761" i="58"/>
  <c r="I761" i="58"/>
  <c r="J761" i="58"/>
  <c r="K761" i="58"/>
  <c r="L761" i="58"/>
  <c r="A762" i="58"/>
  <c r="B762" i="58"/>
  <c r="C762" i="58"/>
  <c r="D762" i="58"/>
  <c r="E762" i="58"/>
  <c r="F762" i="58"/>
  <c r="AB762" i="58" s="1"/>
  <c r="G762" i="58"/>
  <c r="H762" i="58"/>
  <c r="I762" i="58"/>
  <c r="J762" i="58"/>
  <c r="K762" i="58"/>
  <c r="L762" i="58"/>
  <c r="A763" i="58"/>
  <c r="B763" i="58"/>
  <c r="C763" i="58"/>
  <c r="D763" i="58"/>
  <c r="E763" i="58"/>
  <c r="F763" i="58"/>
  <c r="AB763" i="58" s="1"/>
  <c r="G763" i="58"/>
  <c r="H763" i="58"/>
  <c r="I763" i="58"/>
  <c r="J763" i="58"/>
  <c r="K763" i="58"/>
  <c r="L763" i="58"/>
  <c r="A764" i="58"/>
  <c r="B764" i="58"/>
  <c r="C764" i="58"/>
  <c r="D764" i="58"/>
  <c r="E764" i="58"/>
  <c r="F764" i="58"/>
  <c r="AB764" i="58" s="1"/>
  <c r="G764" i="58"/>
  <c r="H764" i="58"/>
  <c r="I764" i="58"/>
  <c r="J764" i="58"/>
  <c r="K764" i="58"/>
  <c r="L764" i="58"/>
  <c r="A765" i="58"/>
  <c r="B765" i="58"/>
  <c r="C765" i="58"/>
  <c r="D765" i="58"/>
  <c r="E765" i="58"/>
  <c r="F765" i="58"/>
  <c r="AB765" i="58" s="1"/>
  <c r="G765" i="58"/>
  <c r="H765" i="58"/>
  <c r="I765" i="58"/>
  <c r="J765" i="58"/>
  <c r="K765" i="58"/>
  <c r="L765" i="58"/>
  <c r="A766" i="58"/>
  <c r="B766" i="58"/>
  <c r="C766" i="58"/>
  <c r="D766" i="58"/>
  <c r="E766" i="58"/>
  <c r="F766" i="58"/>
  <c r="AB766" i="58" s="1"/>
  <c r="G766" i="58"/>
  <c r="H766" i="58"/>
  <c r="I766" i="58"/>
  <c r="J766" i="58"/>
  <c r="K766" i="58"/>
  <c r="L766" i="58"/>
  <c r="A767" i="58"/>
  <c r="B767" i="58"/>
  <c r="C767" i="58"/>
  <c r="D767" i="58"/>
  <c r="E767" i="58"/>
  <c r="F767" i="58"/>
  <c r="AB767" i="58" s="1"/>
  <c r="G767" i="58"/>
  <c r="H767" i="58"/>
  <c r="I767" i="58"/>
  <c r="J767" i="58"/>
  <c r="K767" i="58"/>
  <c r="L767" i="58"/>
  <c r="A768" i="58"/>
  <c r="B768" i="58"/>
  <c r="C768" i="58"/>
  <c r="D768" i="58"/>
  <c r="E768" i="58"/>
  <c r="F768" i="58"/>
  <c r="AB768" i="58" s="1"/>
  <c r="G768" i="58"/>
  <c r="H768" i="58"/>
  <c r="I768" i="58"/>
  <c r="J768" i="58"/>
  <c r="K768" i="58"/>
  <c r="L768" i="58"/>
  <c r="A769" i="58"/>
  <c r="B769" i="58"/>
  <c r="C769" i="58"/>
  <c r="D769" i="58"/>
  <c r="E769" i="58"/>
  <c r="F769" i="58"/>
  <c r="AB769" i="58" s="1"/>
  <c r="G769" i="58"/>
  <c r="H769" i="58"/>
  <c r="I769" i="58"/>
  <c r="J769" i="58"/>
  <c r="K769" i="58"/>
  <c r="L769" i="58"/>
  <c r="A771" i="58"/>
  <c r="B771" i="58"/>
  <c r="C771" i="58"/>
  <c r="D771" i="58"/>
  <c r="E771" i="58"/>
  <c r="F771" i="58"/>
  <c r="AB771" i="58" s="1"/>
  <c r="G771" i="58"/>
  <c r="H771" i="58"/>
  <c r="I771" i="58"/>
  <c r="J771" i="58"/>
  <c r="K771" i="58"/>
  <c r="L771" i="58"/>
  <c r="A772" i="58"/>
  <c r="B772" i="58"/>
  <c r="C772" i="58"/>
  <c r="D772" i="58"/>
  <c r="E772" i="58"/>
  <c r="F772" i="58"/>
  <c r="AB772" i="58" s="1"/>
  <c r="G772" i="58"/>
  <c r="H772" i="58"/>
  <c r="I772" i="58"/>
  <c r="J772" i="58"/>
  <c r="K772" i="58"/>
  <c r="L772" i="58"/>
  <c r="A773" i="58"/>
  <c r="B773" i="58"/>
  <c r="C773" i="58"/>
  <c r="D773" i="58"/>
  <c r="E773" i="58"/>
  <c r="F773" i="58"/>
  <c r="G773" i="58"/>
  <c r="H773" i="58"/>
  <c r="I773" i="58"/>
  <c r="J773" i="58"/>
  <c r="K773" i="58"/>
  <c r="L773" i="58"/>
  <c r="A774" i="58"/>
  <c r="B774" i="58"/>
  <c r="C774" i="58"/>
  <c r="D774" i="58"/>
  <c r="E774" i="58"/>
  <c r="F774" i="58"/>
  <c r="AB774" i="58" s="1"/>
  <c r="G774" i="58"/>
  <c r="H774" i="58"/>
  <c r="I774" i="58"/>
  <c r="J774" i="58"/>
  <c r="K774" i="58"/>
  <c r="L774" i="58"/>
  <c r="A775" i="58"/>
  <c r="B775" i="58"/>
  <c r="C775" i="58"/>
  <c r="D775" i="58"/>
  <c r="E775" i="58"/>
  <c r="F775" i="58"/>
  <c r="AB775" i="58" s="1"/>
  <c r="G775" i="58"/>
  <c r="H775" i="58"/>
  <c r="I775" i="58"/>
  <c r="J775" i="58"/>
  <c r="K775" i="58"/>
  <c r="L775" i="58"/>
  <c r="A776" i="58"/>
  <c r="B776" i="58"/>
  <c r="C776" i="58"/>
  <c r="D776" i="58"/>
  <c r="E776" i="58"/>
  <c r="F776" i="58"/>
  <c r="AB776" i="58" s="1"/>
  <c r="G776" i="58"/>
  <c r="H776" i="58"/>
  <c r="I776" i="58"/>
  <c r="J776" i="58"/>
  <c r="K776" i="58"/>
  <c r="L776" i="58"/>
  <c r="A777" i="58"/>
  <c r="B777" i="58"/>
  <c r="C777" i="58"/>
  <c r="D777" i="58"/>
  <c r="E777" i="58"/>
  <c r="F777" i="58"/>
  <c r="AB777" i="58" s="1"/>
  <c r="G777" i="58"/>
  <c r="H777" i="58"/>
  <c r="I777" i="58"/>
  <c r="J777" i="58"/>
  <c r="K777" i="58"/>
  <c r="L777" i="58"/>
  <c r="A778" i="58"/>
  <c r="B778" i="58"/>
  <c r="C778" i="58"/>
  <c r="D778" i="58"/>
  <c r="E778" i="58"/>
  <c r="F778" i="58"/>
  <c r="AB778" i="58" s="1"/>
  <c r="G778" i="58"/>
  <c r="H778" i="58"/>
  <c r="I778" i="58"/>
  <c r="J778" i="58"/>
  <c r="K778" i="58"/>
  <c r="L778" i="58"/>
  <c r="A779" i="58"/>
  <c r="B779" i="58"/>
  <c r="C779" i="58"/>
  <c r="D779" i="58"/>
  <c r="E779" i="58"/>
  <c r="F779" i="58"/>
  <c r="AB779" i="58" s="1"/>
  <c r="G779" i="58"/>
  <c r="H779" i="58"/>
  <c r="I779" i="58"/>
  <c r="J779" i="58"/>
  <c r="K779" i="58"/>
  <c r="L779" i="58"/>
  <c r="A781" i="58"/>
  <c r="B781" i="58"/>
  <c r="C781" i="58"/>
  <c r="D781" i="58"/>
  <c r="E781" i="58"/>
  <c r="F781" i="58"/>
  <c r="AB781" i="58" s="1"/>
  <c r="G781" i="58"/>
  <c r="H781" i="58"/>
  <c r="I781" i="58"/>
  <c r="J781" i="58"/>
  <c r="K781" i="58"/>
  <c r="L781" i="58"/>
  <c r="A782" i="58"/>
  <c r="B782" i="58"/>
  <c r="C782" i="58"/>
  <c r="D782" i="58"/>
  <c r="E782" i="58"/>
  <c r="F782" i="58"/>
  <c r="AB782" i="58" s="1"/>
  <c r="G782" i="58"/>
  <c r="H782" i="58"/>
  <c r="I782" i="58"/>
  <c r="J782" i="58"/>
  <c r="K782" i="58"/>
  <c r="L782" i="58"/>
  <c r="A783" i="58"/>
  <c r="B783" i="58"/>
  <c r="C783" i="58"/>
  <c r="D783" i="58"/>
  <c r="E783" i="58"/>
  <c r="F783" i="58"/>
  <c r="AB783" i="58" s="1"/>
  <c r="G783" i="58"/>
  <c r="H783" i="58"/>
  <c r="I783" i="58"/>
  <c r="J783" i="58"/>
  <c r="K783" i="58"/>
  <c r="L783" i="58"/>
  <c r="A784" i="58"/>
  <c r="B784" i="58"/>
  <c r="C784" i="58"/>
  <c r="D784" i="58"/>
  <c r="E784" i="58"/>
  <c r="F784" i="58"/>
  <c r="AB784" i="58" s="1"/>
  <c r="G784" i="58"/>
  <c r="H784" i="58"/>
  <c r="I784" i="58"/>
  <c r="J784" i="58"/>
  <c r="K784" i="58"/>
  <c r="L784" i="58"/>
  <c r="A785" i="58"/>
  <c r="B785" i="58"/>
  <c r="C785" i="58"/>
  <c r="D785" i="58"/>
  <c r="E785" i="58"/>
  <c r="F785" i="58"/>
  <c r="AB785" i="58" s="1"/>
  <c r="G785" i="58"/>
  <c r="H785" i="58"/>
  <c r="I785" i="58"/>
  <c r="J785" i="58"/>
  <c r="K785" i="58"/>
  <c r="L785" i="58"/>
  <c r="A786" i="58"/>
  <c r="B786" i="58"/>
  <c r="C786" i="58"/>
  <c r="D786" i="58"/>
  <c r="E786" i="58"/>
  <c r="F786" i="58"/>
  <c r="AB786" i="58" s="1"/>
  <c r="G786" i="58"/>
  <c r="H786" i="58"/>
  <c r="I786" i="58"/>
  <c r="J786" i="58"/>
  <c r="K786" i="58"/>
  <c r="L786" i="58"/>
  <c r="A787" i="58"/>
  <c r="B787" i="58"/>
  <c r="C787" i="58"/>
  <c r="D787" i="58"/>
  <c r="E787" i="58"/>
  <c r="F787" i="58"/>
  <c r="AB787" i="58" s="1"/>
  <c r="G787" i="58"/>
  <c r="H787" i="58"/>
  <c r="I787" i="58"/>
  <c r="J787" i="58"/>
  <c r="K787" i="58"/>
  <c r="L787" i="58"/>
  <c r="A788" i="58"/>
  <c r="B788" i="58"/>
  <c r="C788" i="58"/>
  <c r="D788" i="58"/>
  <c r="E788" i="58"/>
  <c r="F788" i="58"/>
  <c r="AB788" i="58" s="1"/>
  <c r="G788" i="58"/>
  <c r="H788" i="58"/>
  <c r="I788" i="58"/>
  <c r="J788" i="58"/>
  <c r="K788" i="58"/>
  <c r="L788" i="58"/>
  <c r="A789" i="58"/>
  <c r="B789" i="58"/>
  <c r="C789" i="58"/>
  <c r="D789" i="58"/>
  <c r="E789" i="58"/>
  <c r="F789" i="58"/>
  <c r="AB789" i="58" s="1"/>
  <c r="G789" i="58"/>
  <c r="H789" i="58"/>
  <c r="I789" i="58"/>
  <c r="J789" i="58"/>
  <c r="K789" i="58"/>
  <c r="L789" i="58"/>
  <c r="A791" i="58"/>
  <c r="B791" i="58"/>
  <c r="C791" i="58"/>
  <c r="D791" i="58"/>
  <c r="E791" i="58"/>
  <c r="F791" i="58"/>
  <c r="AB791" i="58" s="1"/>
  <c r="G791" i="58"/>
  <c r="H791" i="58"/>
  <c r="I791" i="58"/>
  <c r="J791" i="58"/>
  <c r="K791" i="58"/>
  <c r="L791" i="58"/>
  <c r="A792" i="58"/>
  <c r="B792" i="58"/>
  <c r="C792" i="58"/>
  <c r="D792" i="58"/>
  <c r="E792" i="58"/>
  <c r="F792" i="58"/>
  <c r="AB792" i="58" s="1"/>
  <c r="G792" i="58"/>
  <c r="H792" i="58"/>
  <c r="I792" i="58"/>
  <c r="J792" i="58"/>
  <c r="K792" i="58"/>
  <c r="L792" i="58"/>
  <c r="A793" i="58"/>
  <c r="B793" i="58"/>
  <c r="C793" i="58"/>
  <c r="D793" i="58"/>
  <c r="E793" i="58"/>
  <c r="F793" i="58"/>
  <c r="AB793" i="58" s="1"/>
  <c r="G793" i="58"/>
  <c r="H793" i="58"/>
  <c r="I793" i="58"/>
  <c r="J793" i="58"/>
  <c r="K793" i="58"/>
  <c r="L793" i="58"/>
  <c r="A794" i="58"/>
  <c r="B794" i="58"/>
  <c r="C794" i="58"/>
  <c r="D794" i="58"/>
  <c r="E794" i="58"/>
  <c r="F794" i="58"/>
  <c r="AB794" i="58" s="1"/>
  <c r="G794" i="58"/>
  <c r="H794" i="58"/>
  <c r="I794" i="58"/>
  <c r="J794" i="58"/>
  <c r="K794" i="58"/>
  <c r="L794" i="58"/>
  <c r="A795" i="58"/>
  <c r="B795" i="58"/>
  <c r="C795" i="58"/>
  <c r="D795" i="58"/>
  <c r="E795" i="58"/>
  <c r="F795" i="58"/>
  <c r="AB795" i="58" s="1"/>
  <c r="G795" i="58"/>
  <c r="H795" i="58"/>
  <c r="I795" i="58"/>
  <c r="J795" i="58"/>
  <c r="K795" i="58"/>
  <c r="L795" i="58"/>
  <c r="A796" i="58"/>
  <c r="B796" i="58"/>
  <c r="C796" i="58"/>
  <c r="D796" i="58"/>
  <c r="E796" i="58"/>
  <c r="F796" i="58"/>
  <c r="AB796" i="58" s="1"/>
  <c r="G796" i="58"/>
  <c r="H796" i="58"/>
  <c r="I796" i="58"/>
  <c r="J796" i="58"/>
  <c r="K796" i="58"/>
  <c r="L796" i="58"/>
  <c r="A797" i="58"/>
  <c r="B797" i="58"/>
  <c r="C797" i="58"/>
  <c r="D797" i="58"/>
  <c r="E797" i="58"/>
  <c r="F797" i="58"/>
  <c r="AB797" i="58" s="1"/>
  <c r="G797" i="58"/>
  <c r="H797" i="58"/>
  <c r="I797" i="58"/>
  <c r="J797" i="58"/>
  <c r="K797" i="58"/>
  <c r="L797" i="58"/>
  <c r="A798" i="58"/>
  <c r="B798" i="58"/>
  <c r="C798" i="58"/>
  <c r="D798" i="58"/>
  <c r="E798" i="58"/>
  <c r="F798" i="58"/>
  <c r="AB798" i="58" s="1"/>
  <c r="G798" i="58"/>
  <c r="H798" i="58"/>
  <c r="I798" i="58"/>
  <c r="J798" i="58"/>
  <c r="K798" i="58"/>
  <c r="L798" i="58"/>
  <c r="A799" i="58"/>
  <c r="B799" i="58"/>
  <c r="C799" i="58"/>
  <c r="D799" i="58"/>
  <c r="E799" i="58"/>
  <c r="F799" i="58"/>
  <c r="AB799" i="58" s="1"/>
  <c r="G799" i="58"/>
  <c r="H799" i="58"/>
  <c r="I799" i="58"/>
  <c r="J799" i="58"/>
  <c r="K799" i="58"/>
  <c r="L799" i="58"/>
  <c r="A811" i="58"/>
  <c r="B811" i="58"/>
  <c r="C811" i="58"/>
  <c r="D811" i="58"/>
  <c r="E811" i="58"/>
  <c r="F811" i="58"/>
  <c r="AB811" i="58" s="1"/>
  <c r="G811" i="58"/>
  <c r="H811" i="58"/>
  <c r="I811" i="58"/>
  <c r="J811" i="58"/>
  <c r="K811" i="58"/>
  <c r="L811" i="58"/>
  <c r="A812" i="58"/>
  <c r="B812" i="58"/>
  <c r="C812" i="58"/>
  <c r="D812" i="58"/>
  <c r="E812" i="58"/>
  <c r="F812" i="58"/>
  <c r="AB812" i="58" s="1"/>
  <c r="G812" i="58"/>
  <c r="H812" i="58"/>
  <c r="I812" i="58"/>
  <c r="J812" i="58"/>
  <c r="K812" i="58"/>
  <c r="L812" i="58"/>
  <c r="A813" i="58"/>
  <c r="B813" i="58"/>
  <c r="C813" i="58"/>
  <c r="D813" i="58"/>
  <c r="E813" i="58"/>
  <c r="F813" i="58"/>
  <c r="AB813" i="58" s="1"/>
  <c r="G813" i="58"/>
  <c r="H813" i="58"/>
  <c r="I813" i="58"/>
  <c r="J813" i="58"/>
  <c r="K813" i="58"/>
  <c r="L813" i="58"/>
  <c r="A814" i="58"/>
  <c r="B814" i="58"/>
  <c r="C814" i="58"/>
  <c r="D814" i="58"/>
  <c r="E814" i="58"/>
  <c r="F814" i="58"/>
  <c r="AB814" i="58" s="1"/>
  <c r="G814" i="58"/>
  <c r="H814" i="58"/>
  <c r="I814" i="58"/>
  <c r="J814" i="58"/>
  <c r="K814" i="58"/>
  <c r="L814" i="58"/>
  <c r="A815" i="58"/>
  <c r="B815" i="58"/>
  <c r="C815" i="58"/>
  <c r="D815" i="58"/>
  <c r="E815" i="58"/>
  <c r="F815" i="58"/>
  <c r="AB815" i="58" s="1"/>
  <c r="G815" i="58"/>
  <c r="H815" i="58"/>
  <c r="I815" i="58"/>
  <c r="J815" i="58"/>
  <c r="K815" i="58"/>
  <c r="L815" i="58"/>
  <c r="A816" i="58"/>
  <c r="B816" i="58"/>
  <c r="C816" i="58"/>
  <c r="D816" i="58"/>
  <c r="E816" i="58"/>
  <c r="F816" i="58"/>
  <c r="AB816" i="58" s="1"/>
  <c r="G816" i="58"/>
  <c r="H816" i="58"/>
  <c r="I816" i="58"/>
  <c r="J816" i="58"/>
  <c r="K816" i="58"/>
  <c r="L816" i="58"/>
  <c r="A817" i="58"/>
  <c r="B817" i="58"/>
  <c r="C817" i="58"/>
  <c r="D817" i="58"/>
  <c r="E817" i="58"/>
  <c r="F817" i="58"/>
  <c r="AB817" i="58" s="1"/>
  <c r="G817" i="58"/>
  <c r="H817" i="58"/>
  <c r="I817" i="58"/>
  <c r="J817" i="58"/>
  <c r="K817" i="58"/>
  <c r="L817" i="58"/>
  <c r="A818" i="58"/>
  <c r="B818" i="58"/>
  <c r="C818" i="58"/>
  <c r="D818" i="58"/>
  <c r="E818" i="58"/>
  <c r="F818" i="58"/>
  <c r="AB818" i="58" s="1"/>
  <c r="G818" i="58"/>
  <c r="H818" i="58"/>
  <c r="I818" i="58"/>
  <c r="J818" i="58"/>
  <c r="K818" i="58"/>
  <c r="L818" i="58"/>
  <c r="A819" i="58"/>
  <c r="B819" i="58"/>
  <c r="C819" i="58"/>
  <c r="D819" i="58"/>
  <c r="E819" i="58"/>
  <c r="F819" i="58"/>
  <c r="G819" i="58"/>
  <c r="H819" i="58"/>
  <c r="I819" i="58"/>
  <c r="J819" i="58"/>
  <c r="K819" i="58"/>
  <c r="L819" i="58"/>
  <c r="A821" i="58"/>
  <c r="B821" i="58"/>
  <c r="C821" i="58"/>
  <c r="D821" i="58"/>
  <c r="E821" i="58"/>
  <c r="F821" i="58"/>
  <c r="G821" i="58"/>
  <c r="H821" i="58"/>
  <c r="I821" i="58"/>
  <c r="J821" i="58"/>
  <c r="K821" i="58"/>
  <c r="L821" i="58"/>
  <c r="A822" i="58"/>
  <c r="B822" i="58"/>
  <c r="C822" i="58"/>
  <c r="D822" i="58"/>
  <c r="E822" i="58"/>
  <c r="F822" i="58"/>
  <c r="AB822" i="58" s="1"/>
  <c r="G822" i="58"/>
  <c r="H822" i="58"/>
  <c r="I822" i="58"/>
  <c r="J822" i="58"/>
  <c r="K822" i="58"/>
  <c r="L822" i="58"/>
  <c r="A823" i="58"/>
  <c r="B823" i="58"/>
  <c r="C823" i="58"/>
  <c r="D823" i="58"/>
  <c r="E823" i="58"/>
  <c r="F823" i="58"/>
  <c r="AB823" i="58" s="1"/>
  <c r="G823" i="58"/>
  <c r="H823" i="58"/>
  <c r="I823" i="58"/>
  <c r="J823" i="58"/>
  <c r="K823" i="58"/>
  <c r="L823" i="58"/>
  <c r="A824" i="58"/>
  <c r="B824" i="58"/>
  <c r="C824" i="58"/>
  <c r="D824" i="58"/>
  <c r="E824" i="58"/>
  <c r="F824" i="58"/>
  <c r="AB824" i="58" s="1"/>
  <c r="G824" i="58"/>
  <c r="H824" i="58"/>
  <c r="I824" i="58"/>
  <c r="J824" i="58"/>
  <c r="K824" i="58"/>
  <c r="L824" i="58"/>
  <c r="A825" i="58"/>
  <c r="B825" i="58"/>
  <c r="C825" i="58"/>
  <c r="D825" i="58"/>
  <c r="E825" i="58"/>
  <c r="F825" i="58"/>
  <c r="AB825" i="58" s="1"/>
  <c r="G825" i="58"/>
  <c r="H825" i="58"/>
  <c r="I825" i="58"/>
  <c r="J825" i="58"/>
  <c r="K825" i="58"/>
  <c r="L825" i="58"/>
  <c r="A826" i="58"/>
  <c r="B826" i="58"/>
  <c r="C826" i="58"/>
  <c r="D826" i="58"/>
  <c r="E826" i="58"/>
  <c r="F826" i="58"/>
  <c r="AB826" i="58" s="1"/>
  <c r="G826" i="58"/>
  <c r="H826" i="58"/>
  <c r="I826" i="58"/>
  <c r="J826" i="58"/>
  <c r="K826" i="58"/>
  <c r="L826" i="58"/>
  <c r="A827" i="58"/>
  <c r="B827" i="58"/>
  <c r="C827" i="58"/>
  <c r="D827" i="58"/>
  <c r="E827" i="58"/>
  <c r="F827" i="58"/>
  <c r="AB827" i="58" s="1"/>
  <c r="G827" i="58"/>
  <c r="H827" i="58"/>
  <c r="I827" i="58"/>
  <c r="J827" i="58"/>
  <c r="K827" i="58"/>
  <c r="L827" i="58"/>
  <c r="A828" i="58"/>
  <c r="B828" i="58"/>
  <c r="C828" i="58"/>
  <c r="D828" i="58"/>
  <c r="E828" i="58"/>
  <c r="F828" i="58"/>
  <c r="AB828" i="58" s="1"/>
  <c r="G828" i="58"/>
  <c r="H828" i="58"/>
  <c r="I828" i="58"/>
  <c r="J828" i="58"/>
  <c r="K828" i="58"/>
  <c r="L828" i="58"/>
  <c r="A829" i="58"/>
  <c r="B829" i="58"/>
  <c r="C829" i="58"/>
  <c r="D829" i="58"/>
  <c r="E829" i="58"/>
  <c r="F829" i="58"/>
  <c r="AB829" i="58" s="1"/>
  <c r="G829" i="58"/>
  <c r="H829" i="58"/>
  <c r="I829" i="58"/>
  <c r="J829" i="58"/>
  <c r="K829" i="58"/>
  <c r="L829" i="58"/>
  <c r="A831" i="58"/>
  <c r="B831" i="58"/>
  <c r="C831" i="58"/>
  <c r="D831" i="58"/>
  <c r="E831" i="58"/>
  <c r="F831" i="58"/>
  <c r="AB831" i="58" s="1"/>
  <c r="G831" i="58"/>
  <c r="H831" i="58"/>
  <c r="I831" i="58"/>
  <c r="J831" i="58"/>
  <c r="K831" i="58"/>
  <c r="L831" i="58"/>
  <c r="A832" i="58"/>
  <c r="B832" i="58"/>
  <c r="C832" i="58"/>
  <c r="D832" i="58"/>
  <c r="E832" i="58"/>
  <c r="F832" i="58"/>
  <c r="AB832" i="58" s="1"/>
  <c r="G832" i="58"/>
  <c r="H832" i="58"/>
  <c r="I832" i="58"/>
  <c r="J832" i="58"/>
  <c r="K832" i="58"/>
  <c r="L832" i="58"/>
  <c r="A833" i="58"/>
  <c r="B833" i="58"/>
  <c r="C833" i="58"/>
  <c r="D833" i="58"/>
  <c r="E833" i="58"/>
  <c r="F833" i="58"/>
  <c r="AB833" i="58" s="1"/>
  <c r="G833" i="58"/>
  <c r="H833" i="58"/>
  <c r="I833" i="58"/>
  <c r="J833" i="58"/>
  <c r="K833" i="58"/>
  <c r="L833" i="58"/>
  <c r="A834" i="58"/>
  <c r="B834" i="58"/>
  <c r="C834" i="58"/>
  <c r="D834" i="58"/>
  <c r="E834" i="58"/>
  <c r="F834" i="58"/>
  <c r="AB834" i="58" s="1"/>
  <c r="G834" i="58"/>
  <c r="H834" i="58"/>
  <c r="I834" i="58"/>
  <c r="J834" i="58"/>
  <c r="K834" i="58"/>
  <c r="L834" i="58"/>
  <c r="A835" i="58"/>
  <c r="B835" i="58"/>
  <c r="C835" i="58"/>
  <c r="D835" i="58"/>
  <c r="E835" i="58"/>
  <c r="F835" i="58"/>
  <c r="AB835" i="58" s="1"/>
  <c r="G835" i="58"/>
  <c r="H835" i="58"/>
  <c r="I835" i="58"/>
  <c r="J835" i="58"/>
  <c r="K835" i="58"/>
  <c r="L835" i="58"/>
  <c r="A836" i="58"/>
  <c r="B836" i="58"/>
  <c r="C836" i="58"/>
  <c r="D836" i="58"/>
  <c r="E836" i="58"/>
  <c r="F836" i="58"/>
  <c r="AB836" i="58" s="1"/>
  <c r="G836" i="58"/>
  <c r="H836" i="58"/>
  <c r="I836" i="58"/>
  <c r="J836" i="58"/>
  <c r="K836" i="58"/>
  <c r="L836" i="58"/>
  <c r="A837" i="58"/>
  <c r="B837" i="58"/>
  <c r="C837" i="58"/>
  <c r="D837" i="58"/>
  <c r="E837" i="58"/>
  <c r="F837" i="58"/>
  <c r="G837" i="58"/>
  <c r="H837" i="58"/>
  <c r="I837" i="58"/>
  <c r="J837" i="58"/>
  <c r="K837" i="58"/>
  <c r="L837" i="58"/>
  <c r="A838" i="58"/>
  <c r="B838" i="58"/>
  <c r="C838" i="58"/>
  <c r="D838" i="58"/>
  <c r="E838" i="58"/>
  <c r="F838" i="58"/>
  <c r="AB838" i="58" s="1"/>
  <c r="G838" i="58"/>
  <c r="H838" i="58"/>
  <c r="I838" i="58"/>
  <c r="J838" i="58"/>
  <c r="K838" i="58"/>
  <c r="L838" i="58"/>
  <c r="A839" i="58"/>
  <c r="B839" i="58"/>
  <c r="C839" i="58"/>
  <c r="D839" i="58"/>
  <c r="E839" i="58"/>
  <c r="F839" i="58"/>
  <c r="AB839" i="58" s="1"/>
  <c r="G839" i="58"/>
  <c r="H839" i="58"/>
  <c r="I839" i="58"/>
  <c r="J839" i="58"/>
  <c r="K839" i="58"/>
  <c r="L839" i="58"/>
  <c r="A841" i="58"/>
  <c r="B841" i="58"/>
  <c r="C841" i="58"/>
  <c r="D841" i="58"/>
  <c r="E841" i="58"/>
  <c r="F841" i="58"/>
  <c r="AB841" i="58" s="1"/>
  <c r="G841" i="58"/>
  <c r="H841" i="58"/>
  <c r="I841" i="58"/>
  <c r="J841" i="58"/>
  <c r="K841" i="58"/>
  <c r="L841" i="58"/>
  <c r="A842" i="58"/>
  <c r="B842" i="58"/>
  <c r="C842" i="58"/>
  <c r="D842" i="58"/>
  <c r="E842" i="58"/>
  <c r="F842" i="58"/>
  <c r="AB842" i="58" s="1"/>
  <c r="G842" i="58"/>
  <c r="H842" i="58"/>
  <c r="I842" i="58"/>
  <c r="J842" i="58"/>
  <c r="K842" i="58"/>
  <c r="L842" i="58"/>
  <c r="A843" i="58"/>
  <c r="B843" i="58"/>
  <c r="C843" i="58"/>
  <c r="D843" i="58"/>
  <c r="E843" i="58"/>
  <c r="F843" i="58"/>
  <c r="AB843" i="58" s="1"/>
  <c r="G843" i="58"/>
  <c r="H843" i="58"/>
  <c r="I843" i="58"/>
  <c r="J843" i="58"/>
  <c r="K843" i="58"/>
  <c r="L843" i="58"/>
  <c r="A844" i="58"/>
  <c r="B844" i="58"/>
  <c r="C844" i="58"/>
  <c r="D844" i="58"/>
  <c r="E844" i="58"/>
  <c r="F844" i="58"/>
  <c r="AB844" i="58" s="1"/>
  <c r="G844" i="58"/>
  <c r="H844" i="58"/>
  <c r="I844" i="58"/>
  <c r="J844" i="58"/>
  <c r="K844" i="58"/>
  <c r="L844" i="58"/>
  <c r="A845" i="58"/>
  <c r="B845" i="58"/>
  <c r="C845" i="58"/>
  <c r="D845" i="58"/>
  <c r="E845" i="58"/>
  <c r="F845" i="58"/>
  <c r="AB845" i="58" s="1"/>
  <c r="G845" i="58"/>
  <c r="H845" i="58"/>
  <c r="I845" i="58"/>
  <c r="J845" i="58"/>
  <c r="K845" i="58"/>
  <c r="L845" i="58"/>
  <c r="A846" i="58"/>
  <c r="B846" i="58"/>
  <c r="C846" i="58"/>
  <c r="D846" i="58"/>
  <c r="E846" i="58"/>
  <c r="F846" i="58"/>
  <c r="AB846" i="58" s="1"/>
  <c r="G846" i="58"/>
  <c r="H846" i="58"/>
  <c r="I846" i="58"/>
  <c r="J846" i="58"/>
  <c r="K846" i="58"/>
  <c r="L846" i="58"/>
  <c r="A847" i="58"/>
  <c r="B847" i="58"/>
  <c r="C847" i="58"/>
  <c r="D847" i="58"/>
  <c r="E847" i="58"/>
  <c r="F847" i="58"/>
  <c r="AB847" i="58" s="1"/>
  <c r="G847" i="58"/>
  <c r="H847" i="58"/>
  <c r="I847" i="58"/>
  <c r="J847" i="58"/>
  <c r="K847" i="58"/>
  <c r="L847" i="58"/>
  <c r="A848" i="58"/>
  <c r="B848" i="58"/>
  <c r="C848" i="58"/>
  <c r="D848" i="58"/>
  <c r="E848" i="58"/>
  <c r="F848" i="58"/>
  <c r="AB848" i="58" s="1"/>
  <c r="G848" i="58"/>
  <c r="H848" i="58"/>
  <c r="I848" i="58"/>
  <c r="J848" i="58"/>
  <c r="K848" i="58"/>
  <c r="L848" i="58"/>
  <c r="A849" i="58"/>
  <c r="B849" i="58"/>
  <c r="C849" i="58"/>
  <c r="D849" i="58"/>
  <c r="E849" i="58"/>
  <c r="F849" i="58"/>
  <c r="AB849" i="58" s="1"/>
  <c r="G849" i="58"/>
  <c r="H849" i="58"/>
  <c r="I849" i="58"/>
  <c r="J849" i="58"/>
  <c r="K849" i="58"/>
  <c r="L849" i="58"/>
  <c r="A851" i="58"/>
  <c r="B851" i="58"/>
  <c r="C851" i="58"/>
  <c r="D851" i="58"/>
  <c r="E851" i="58"/>
  <c r="F851" i="58"/>
  <c r="AB851" i="58" s="1"/>
  <c r="G851" i="58"/>
  <c r="H851" i="58"/>
  <c r="I851" i="58"/>
  <c r="J851" i="58"/>
  <c r="K851" i="58"/>
  <c r="L851" i="58"/>
  <c r="A852" i="58"/>
  <c r="B852" i="58"/>
  <c r="C852" i="58"/>
  <c r="D852" i="58"/>
  <c r="E852" i="58"/>
  <c r="F852" i="58"/>
  <c r="AB852" i="58" s="1"/>
  <c r="G852" i="58"/>
  <c r="H852" i="58"/>
  <c r="I852" i="58"/>
  <c r="J852" i="58"/>
  <c r="K852" i="58"/>
  <c r="L852" i="58"/>
  <c r="A853" i="58"/>
  <c r="B853" i="58"/>
  <c r="C853" i="58"/>
  <c r="D853" i="58"/>
  <c r="E853" i="58"/>
  <c r="F853" i="58"/>
  <c r="AB853" i="58" s="1"/>
  <c r="G853" i="58"/>
  <c r="H853" i="58"/>
  <c r="I853" i="58"/>
  <c r="J853" i="58"/>
  <c r="K853" i="58"/>
  <c r="L853" i="58"/>
  <c r="A854" i="58"/>
  <c r="B854" i="58"/>
  <c r="C854" i="58"/>
  <c r="D854" i="58"/>
  <c r="E854" i="58"/>
  <c r="F854" i="58"/>
  <c r="AB854" i="58" s="1"/>
  <c r="G854" i="58"/>
  <c r="H854" i="58"/>
  <c r="I854" i="58"/>
  <c r="J854" i="58"/>
  <c r="K854" i="58"/>
  <c r="L854" i="58"/>
  <c r="A855" i="58"/>
  <c r="B855" i="58"/>
  <c r="C855" i="58"/>
  <c r="D855" i="58"/>
  <c r="E855" i="58"/>
  <c r="F855" i="58"/>
  <c r="G855" i="58"/>
  <c r="H855" i="58"/>
  <c r="I855" i="58"/>
  <c r="J855" i="58"/>
  <c r="K855" i="58"/>
  <c r="L855" i="58"/>
  <c r="A856" i="58"/>
  <c r="B856" i="58"/>
  <c r="C856" i="58"/>
  <c r="D856" i="58"/>
  <c r="E856" i="58"/>
  <c r="F856" i="58"/>
  <c r="G856" i="58"/>
  <c r="H856" i="58"/>
  <c r="I856" i="58"/>
  <c r="J856" i="58"/>
  <c r="K856" i="58"/>
  <c r="L856" i="58"/>
  <c r="A857" i="58"/>
  <c r="B857" i="58"/>
  <c r="C857" i="58"/>
  <c r="D857" i="58"/>
  <c r="E857" i="58"/>
  <c r="F857" i="58"/>
  <c r="AB857" i="58" s="1"/>
  <c r="G857" i="58"/>
  <c r="H857" i="58"/>
  <c r="I857" i="58"/>
  <c r="J857" i="58"/>
  <c r="K857" i="58"/>
  <c r="L857" i="58"/>
  <c r="A858" i="58"/>
  <c r="B858" i="58"/>
  <c r="C858" i="58"/>
  <c r="D858" i="58"/>
  <c r="E858" i="58"/>
  <c r="F858" i="58"/>
  <c r="AB858" i="58" s="1"/>
  <c r="G858" i="58"/>
  <c r="H858" i="58"/>
  <c r="I858" i="58"/>
  <c r="J858" i="58"/>
  <c r="K858" i="58"/>
  <c r="L858" i="58"/>
  <c r="A859" i="58"/>
  <c r="B859" i="58"/>
  <c r="C859" i="58"/>
  <c r="D859" i="58"/>
  <c r="E859" i="58"/>
  <c r="F859" i="58"/>
  <c r="G859" i="58"/>
  <c r="H859" i="58"/>
  <c r="I859" i="58"/>
  <c r="J859" i="58"/>
  <c r="K859" i="58"/>
  <c r="L859" i="58"/>
  <c r="A861" i="58"/>
  <c r="B861" i="58"/>
  <c r="C861" i="58"/>
  <c r="D861" i="58"/>
  <c r="E861" i="58"/>
  <c r="F861" i="58"/>
  <c r="AB861" i="58" s="1"/>
  <c r="G861" i="58"/>
  <c r="H861" i="58"/>
  <c r="I861" i="58"/>
  <c r="J861" i="58"/>
  <c r="K861" i="58"/>
  <c r="L861" i="58"/>
  <c r="A862" i="58"/>
  <c r="B862" i="58"/>
  <c r="C862" i="58"/>
  <c r="D862" i="58"/>
  <c r="E862" i="58"/>
  <c r="F862" i="58"/>
  <c r="G862" i="58"/>
  <c r="H862" i="58"/>
  <c r="I862" i="58"/>
  <c r="J862" i="58"/>
  <c r="K862" i="58"/>
  <c r="L862" i="58"/>
  <c r="B3" i="58"/>
  <c r="C3" i="58"/>
  <c r="D3" i="58"/>
  <c r="E3" i="58"/>
  <c r="G3" i="58"/>
  <c r="H3" i="58"/>
  <c r="I3" i="58"/>
  <c r="J3" i="58"/>
  <c r="K3" i="58"/>
  <c r="L3" i="58"/>
  <c r="A3" i="58"/>
  <c r="BO4" i="58"/>
  <c r="BO6" i="58"/>
  <c r="BO7" i="58"/>
  <c r="BO8" i="58"/>
  <c r="BO9" i="58"/>
  <c r="BO10" i="58"/>
  <c r="BO11" i="58"/>
  <c r="BO12" i="58"/>
  <c r="BO13" i="58"/>
  <c r="BO14" i="58"/>
  <c r="BO15" i="58"/>
  <c r="BO3" i="58"/>
  <c r="BN4" i="58"/>
  <c r="BN5" i="58"/>
  <c r="BN6" i="58"/>
  <c r="BN7" i="58"/>
  <c r="BN8" i="58"/>
  <c r="BN9" i="58"/>
  <c r="BN10" i="58"/>
  <c r="BN11" i="58"/>
  <c r="BN12" i="58"/>
  <c r="BN13" i="58"/>
  <c r="BN14" i="58"/>
  <c r="BN15" i="58"/>
  <c r="BN3" i="58"/>
  <c r="AL12" i="58"/>
  <c r="AO12" i="58"/>
  <c r="AP12" i="58"/>
  <c r="AS12" i="58"/>
  <c r="AT12" i="58"/>
  <c r="AW12" i="58"/>
  <c r="AX12" i="58"/>
  <c r="BA12" i="58"/>
  <c r="BB12" i="58"/>
  <c r="BE12" i="58"/>
  <c r="BF12" i="58"/>
  <c r="BI12" i="58"/>
  <c r="BJ12" i="58"/>
  <c r="AK12" i="58"/>
  <c r="AL11" i="58"/>
  <c r="AM11" i="58"/>
  <c r="AN11" i="58"/>
  <c r="AO11" i="58"/>
  <c r="AP11" i="58"/>
  <c r="AQ11" i="58"/>
  <c r="AR11" i="58"/>
  <c r="AS11" i="58"/>
  <c r="AT11" i="58"/>
  <c r="AU11" i="58"/>
  <c r="AV11" i="58"/>
  <c r="AW11" i="58"/>
  <c r="AX11" i="58"/>
  <c r="AY11" i="58"/>
  <c r="AZ11" i="58"/>
  <c r="BA11" i="58"/>
  <c r="BB11" i="58"/>
  <c r="BC11" i="58"/>
  <c r="BD11" i="58"/>
  <c r="BE11" i="58"/>
  <c r="BF11" i="58"/>
  <c r="BG11" i="58"/>
  <c r="BH11" i="58"/>
  <c r="BI11" i="58"/>
  <c r="BJ11" i="58"/>
  <c r="BK11" i="58"/>
  <c r="BL11" i="58"/>
  <c r="AK11" i="58"/>
  <c r="AP5" i="58"/>
  <c r="AS5" i="58"/>
  <c r="AT5" i="58"/>
  <c r="AW5" i="58"/>
  <c r="AX5" i="58"/>
  <c r="BA5" i="58"/>
  <c r="BB5" i="58"/>
  <c r="BE5" i="58"/>
  <c r="BF5" i="58"/>
  <c r="BI5" i="58"/>
  <c r="BJ5" i="58"/>
  <c r="AO5" i="58"/>
  <c r="AL5" i="58"/>
  <c r="AK5" i="58"/>
  <c r="AL4" i="58"/>
  <c r="AM4" i="58"/>
  <c r="AN4" i="58"/>
  <c r="AO4" i="58"/>
  <c r="AP4" i="58"/>
  <c r="AQ4" i="58"/>
  <c r="AR4" i="58"/>
  <c r="AS4" i="58"/>
  <c r="AT4" i="58"/>
  <c r="AU4" i="58"/>
  <c r="AV4" i="58"/>
  <c r="AW4" i="58"/>
  <c r="AX4" i="58"/>
  <c r="AY4" i="58"/>
  <c r="AZ4" i="58"/>
  <c r="BA4" i="58"/>
  <c r="BB4" i="58"/>
  <c r="BC4" i="58"/>
  <c r="BD4" i="58"/>
  <c r="BE4" i="58"/>
  <c r="BF4" i="58"/>
  <c r="BG4" i="58"/>
  <c r="BH4" i="58"/>
  <c r="BI4" i="58"/>
  <c r="BJ4" i="58"/>
  <c r="BK4" i="58"/>
  <c r="BL4" i="58"/>
  <c r="AK4" i="58"/>
  <c r="W7" i="58"/>
  <c r="W9" i="58"/>
  <c r="W10" i="58"/>
  <c r="W11" i="58"/>
  <c r="W12" i="58"/>
  <c r="W13" i="58"/>
  <c r="W15" i="58"/>
  <c r="W16" i="58"/>
  <c r="W17" i="58"/>
  <c r="W19" i="58"/>
  <c r="W20" i="58"/>
  <c r="W21" i="58"/>
  <c r="W23" i="58"/>
  <c r="W24" i="58"/>
  <c r="W25" i="58"/>
  <c r="W27" i="58"/>
  <c r="W30" i="58"/>
  <c r="W40" i="58"/>
  <c r="W41" i="58"/>
  <c r="W45" i="58"/>
  <c r="W49" i="58"/>
  <c r="W50" i="58"/>
  <c r="W52" i="58"/>
  <c r="W56" i="58"/>
  <c r="W60" i="58"/>
  <c r="W63" i="58"/>
  <c r="W67" i="58"/>
  <c r="P67" i="58" s="1"/>
  <c r="W70" i="58"/>
  <c r="W80" i="58"/>
  <c r="W81" i="58"/>
  <c r="W85" i="58"/>
  <c r="W89" i="58"/>
  <c r="W90" i="58"/>
  <c r="W91" i="58"/>
  <c r="W92" i="58"/>
  <c r="W93" i="58"/>
  <c r="W94" i="58"/>
  <c r="W95" i="58"/>
  <c r="W96" i="58"/>
  <c r="W97" i="58"/>
  <c r="W98" i="58"/>
  <c r="W99" i="58"/>
  <c r="W100" i="58"/>
  <c r="W101" i="58"/>
  <c r="W102" i="58"/>
  <c r="W103" i="58"/>
  <c r="W104" i="58"/>
  <c r="W105" i="58"/>
  <c r="W106" i="58"/>
  <c r="W107" i="58"/>
  <c r="W108" i="58"/>
  <c r="W109" i="58"/>
  <c r="W110" i="58"/>
  <c r="W111" i="58"/>
  <c r="W112" i="58"/>
  <c r="W113" i="58"/>
  <c r="W114" i="58"/>
  <c r="W115" i="58"/>
  <c r="W116" i="58"/>
  <c r="W117" i="58"/>
  <c r="W118" i="58"/>
  <c r="W119" i="58"/>
  <c r="W120" i="58"/>
  <c r="W121" i="58"/>
  <c r="W122" i="58"/>
  <c r="W123" i="58"/>
  <c r="W124" i="58"/>
  <c r="W125" i="58"/>
  <c r="W126" i="58"/>
  <c r="W127" i="58"/>
  <c r="W128" i="58"/>
  <c r="W129" i="58"/>
  <c r="W130" i="58"/>
  <c r="W131" i="58"/>
  <c r="P131" i="58" s="1"/>
  <c r="W132" i="58"/>
  <c r="W133" i="58"/>
  <c r="W134" i="58"/>
  <c r="W135" i="58"/>
  <c r="W136" i="58"/>
  <c r="W137" i="58"/>
  <c r="W138" i="58"/>
  <c r="W139" i="58"/>
  <c r="W140" i="58"/>
  <c r="W141" i="58"/>
  <c r="W142" i="58"/>
  <c r="W143" i="58"/>
  <c r="W144" i="58"/>
  <c r="W145" i="58"/>
  <c r="W146" i="58"/>
  <c r="W147" i="58"/>
  <c r="W148" i="58"/>
  <c r="W149" i="58"/>
  <c r="W150" i="58"/>
  <c r="W151" i="58"/>
  <c r="W152" i="58"/>
  <c r="W153" i="58"/>
  <c r="W154" i="58"/>
  <c r="W155" i="58"/>
  <c r="W156" i="58"/>
  <c r="W157" i="58"/>
  <c r="W158" i="58"/>
  <c r="W159" i="58"/>
  <c r="W160" i="58"/>
  <c r="W161" i="58"/>
  <c r="W162" i="58"/>
  <c r="W163" i="58"/>
  <c r="W164" i="58"/>
  <c r="W165" i="58"/>
  <c r="W166" i="58"/>
  <c r="W167" i="58"/>
  <c r="W168" i="58"/>
  <c r="W169" i="58"/>
  <c r="W170" i="58"/>
  <c r="W171" i="58"/>
  <c r="W172" i="58"/>
  <c r="W173" i="58"/>
  <c r="W174" i="58"/>
  <c r="W175" i="58"/>
  <c r="W176" i="58"/>
  <c r="W177" i="58"/>
  <c r="W178" i="58"/>
  <c r="W179" i="58"/>
  <c r="W180" i="58"/>
  <c r="W181" i="58"/>
  <c r="W182" i="58"/>
  <c r="W183" i="58"/>
  <c r="W184" i="58"/>
  <c r="W185" i="58"/>
  <c r="W186" i="58"/>
  <c r="W187" i="58"/>
  <c r="W188" i="58"/>
  <c r="W189" i="58"/>
  <c r="W190" i="58"/>
  <c r="W191" i="58"/>
  <c r="W192" i="58"/>
  <c r="W193" i="58"/>
  <c r="W194" i="58"/>
  <c r="W195" i="58"/>
  <c r="P195" i="58" s="1"/>
  <c r="W196" i="58"/>
  <c r="W197" i="58"/>
  <c r="W198" i="58"/>
  <c r="W199" i="58"/>
  <c r="W200" i="58"/>
  <c r="W201" i="58"/>
  <c r="W202" i="58"/>
  <c r="W203" i="58"/>
  <c r="W204" i="58"/>
  <c r="W205" i="58"/>
  <c r="W206" i="58"/>
  <c r="W207" i="58"/>
  <c r="W208" i="58"/>
  <c r="W209" i="58"/>
  <c r="W210" i="58"/>
  <c r="W211" i="58"/>
  <c r="W212" i="58"/>
  <c r="W213" i="58"/>
  <c r="W214" i="58"/>
  <c r="W215" i="58"/>
  <c r="W216" i="58"/>
  <c r="W217" i="58"/>
  <c r="W218" i="58"/>
  <c r="W219" i="58"/>
  <c r="W220" i="58"/>
  <c r="W221" i="58"/>
  <c r="W222" i="58"/>
  <c r="W223" i="58"/>
  <c r="W224" i="58"/>
  <c r="W225" i="58"/>
  <c r="W226" i="58"/>
  <c r="W227" i="58"/>
  <c r="W228" i="58"/>
  <c r="W229" i="58"/>
  <c r="W230" i="58"/>
  <c r="W231" i="58"/>
  <c r="W232" i="58"/>
  <c r="W233" i="58"/>
  <c r="W234" i="58"/>
  <c r="W235" i="58"/>
  <c r="W236" i="58"/>
  <c r="W237" i="58"/>
  <c r="W238" i="58"/>
  <c r="W239" i="58"/>
  <c r="W240" i="58"/>
  <c r="W241" i="58"/>
  <c r="W242" i="58"/>
  <c r="W243" i="58"/>
  <c r="W244" i="58"/>
  <c r="W245" i="58"/>
  <c r="W246" i="58"/>
  <c r="W247" i="58"/>
  <c r="W248" i="58"/>
  <c r="W249" i="58"/>
  <c r="W250" i="58"/>
  <c r="W251" i="58"/>
  <c r="W252" i="58"/>
  <c r="W253" i="58"/>
  <c r="W254" i="58"/>
  <c r="P254" i="58" s="1"/>
  <c r="W255" i="58"/>
  <c r="W256" i="58"/>
  <c r="W257" i="58"/>
  <c r="W258" i="58"/>
  <c r="W259" i="58"/>
  <c r="W260" i="58"/>
  <c r="W261" i="58"/>
  <c r="W262" i="58"/>
  <c r="W263" i="58"/>
  <c r="W264" i="58"/>
  <c r="W265" i="58"/>
  <c r="W266" i="58"/>
  <c r="W267" i="58"/>
  <c r="W268" i="58"/>
  <c r="W269" i="58"/>
  <c r="W270" i="58"/>
  <c r="W271" i="58"/>
  <c r="W272" i="58"/>
  <c r="W273" i="58"/>
  <c r="W274" i="58"/>
  <c r="W275" i="58"/>
  <c r="W276" i="58"/>
  <c r="W277" i="58"/>
  <c r="W278" i="58"/>
  <c r="W279" i="58"/>
  <c r="W280" i="58"/>
  <c r="W281" i="58"/>
  <c r="W282" i="58"/>
  <c r="W283" i="58"/>
  <c r="W284" i="58"/>
  <c r="W285" i="58"/>
  <c r="W286" i="58"/>
  <c r="P286" i="58" s="1"/>
  <c r="W287" i="58"/>
  <c r="W288" i="58"/>
  <c r="W289" i="58"/>
  <c r="W290" i="58"/>
  <c r="W291" i="58"/>
  <c r="W292" i="58"/>
  <c r="W293" i="58"/>
  <c r="W294" i="58"/>
  <c r="W295" i="58"/>
  <c r="W296" i="58"/>
  <c r="W297" i="58"/>
  <c r="W298" i="58"/>
  <c r="W299" i="58"/>
  <c r="W300" i="58"/>
  <c r="W301" i="58"/>
  <c r="W302" i="58"/>
  <c r="W303" i="58"/>
  <c r="W304" i="58"/>
  <c r="W305" i="58"/>
  <c r="W306" i="58"/>
  <c r="W307" i="58"/>
  <c r="W308" i="58"/>
  <c r="W309" i="58"/>
  <c r="W310" i="58"/>
  <c r="W311" i="58"/>
  <c r="W312" i="58"/>
  <c r="W313" i="58"/>
  <c r="W314" i="58"/>
  <c r="W315" i="58"/>
  <c r="W316" i="58"/>
  <c r="W317" i="58"/>
  <c r="W318" i="58"/>
  <c r="P318" i="58" s="1"/>
  <c r="W319" i="58"/>
  <c r="W320" i="58"/>
  <c r="W321" i="58"/>
  <c r="W322" i="58"/>
  <c r="W323" i="58"/>
  <c r="W324" i="58"/>
  <c r="W325" i="58"/>
  <c r="W326" i="58"/>
  <c r="W327" i="58"/>
  <c r="W328" i="58"/>
  <c r="W329" i="58"/>
  <c r="W330" i="58"/>
  <c r="W331" i="58"/>
  <c r="W332" i="58"/>
  <c r="W333" i="58"/>
  <c r="W334" i="58"/>
  <c r="W335" i="58"/>
  <c r="W336" i="58"/>
  <c r="W337" i="58"/>
  <c r="W338" i="58"/>
  <c r="W339" i="58"/>
  <c r="W340" i="58"/>
  <c r="W341" i="58"/>
  <c r="W342" i="58"/>
  <c r="W343" i="58"/>
  <c r="W344" i="58"/>
  <c r="W345" i="58"/>
  <c r="W346" i="58"/>
  <c r="W347" i="58"/>
  <c r="W348" i="58"/>
  <c r="W349" i="58"/>
  <c r="W350" i="58"/>
  <c r="W351" i="58"/>
  <c r="W352" i="58"/>
  <c r="W353" i="58"/>
  <c r="W354" i="58"/>
  <c r="W355" i="58"/>
  <c r="W356" i="58"/>
  <c r="W357" i="58"/>
  <c r="W358" i="58"/>
  <c r="W359" i="58"/>
  <c r="W360" i="58"/>
  <c r="W361" i="58"/>
  <c r="W362" i="58"/>
  <c r="W363" i="58"/>
  <c r="W364" i="58"/>
  <c r="W365" i="58"/>
  <c r="W366" i="58"/>
  <c r="W367" i="58"/>
  <c r="W368" i="58"/>
  <c r="W369" i="58"/>
  <c r="W370" i="58"/>
  <c r="W371" i="58"/>
  <c r="W372" i="58"/>
  <c r="W373" i="58"/>
  <c r="W374" i="58"/>
  <c r="W375" i="58"/>
  <c r="W376" i="58"/>
  <c r="W377" i="58"/>
  <c r="W378" i="58"/>
  <c r="W379" i="58"/>
  <c r="W380" i="58"/>
  <c r="W381" i="58"/>
  <c r="W382" i="58"/>
  <c r="W383" i="58"/>
  <c r="W384" i="58"/>
  <c r="W385" i="58"/>
  <c r="W386" i="58"/>
  <c r="W387" i="58"/>
  <c r="W388" i="58"/>
  <c r="W389" i="58"/>
  <c r="W390" i="58"/>
  <c r="W391" i="58"/>
  <c r="W392" i="58"/>
  <c r="W393" i="58"/>
  <c r="W394" i="58"/>
  <c r="W395" i="58"/>
  <c r="W396" i="58"/>
  <c r="W397" i="58"/>
  <c r="W398" i="58"/>
  <c r="W399" i="58"/>
  <c r="W400" i="58"/>
  <c r="W401" i="58"/>
  <c r="W402" i="58"/>
  <c r="W403" i="58"/>
  <c r="W404" i="58"/>
  <c r="W405" i="58"/>
  <c r="W406" i="58"/>
  <c r="W407" i="58"/>
  <c r="W408" i="58"/>
  <c r="W409" i="58"/>
  <c r="W410" i="58"/>
  <c r="W411" i="58"/>
  <c r="W412" i="58"/>
  <c r="W413" i="58"/>
  <c r="W414" i="58"/>
  <c r="W415" i="58"/>
  <c r="W416" i="58"/>
  <c r="W417" i="58"/>
  <c r="W418" i="58"/>
  <c r="W419" i="58"/>
  <c r="W420" i="58"/>
  <c r="W421" i="58"/>
  <c r="W422" i="58"/>
  <c r="W423" i="58"/>
  <c r="W424" i="58"/>
  <c r="W425" i="58"/>
  <c r="W426" i="58"/>
  <c r="W427" i="58"/>
  <c r="W428" i="58"/>
  <c r="W429" i="58"/>
  <c r="W430" i="58"/>
  <c r="W431" i="58"/>
  <c r="W432" i="58"/>
  <c r="W433" i="58"/>
  <c r="W434" i="58"/>
  <c r="W435" i="58"/>
  <c r="W436" i="58"/>
  <c r="W437" i="58"/>
  <c r="W438" i="58"/>
  <c r="W439" i="58"/>
  <c r="W440" i="58"/>
  <c r="W441" i="58"/>
  <c r="W442" i="58"/>
  <c r="W443" i="58"/>
  <c r="W444" i="58"/>
  <c r="W445" i="58"/>
  <c r="W446" i="58"/>
  <c r="W447" i="58"/>
  <c r="W448" i="58"/>
  <c r="W449" i="58"/>
  <c r="W450" i="58"/>
  <c r="W451" i="58"/>
  <c r="W452" i="58"/>
  <c r="W453" i="58"/>
  <c r="W454" i="58"/>
  <c r="W455" i="58"/>
  <c r="W456" i="58"/>
  <c r="W457" i="58"/>
  <c r="W458" i="58"/>
  <c r="W459" i="58"/>
  <c r="W460" i="58"/>
  <c r="W461" i="58"/>
  <c r="W462" i="58"/>
  <c r="W463" i="58"/>
  <c r="W464" i="58"/>
  <c r="W465" i="58"/>
  <c r="W466" i="58"/>
  <c r="W467" i="58"/>
  <c r="W468" i="58"/>
  <c r="W469" i="58"/>
  <c r="W470" i="58"/>
  <c r="W471" i="58"/>
  <c r="W472" i="58"/>
  <c r="W473" i="58"/>
  <c r="W474" i="58"/>
  <c r="W475" i="58"/>
  <c r="W476" i="58"/>
  <c r="W477" i="58"/>
  <c r="W478" i="58"/>
  <c r="W479" i="58"/>
  <c r="W480" i="58"/>
  <c r="W481" i="58"/>
  <c r="W482" i="58"/>
  <c r="W483" i="58"/>
  <c r="W484" i="58"/>
  <c r="W485" i="58"/>
  <c r="W486" i="58"/>
  <c r="W487" i="58"/>
  <c r="W488" i="58"/>
  <c r="W489" i="58"/>
  <c r="W490" i="58"/>
  <c r="W491" i="58"/>
  <c r="W492" i="58"/>
  <c r="W493" i="58"/>
  <c r="W494" i="58"/>
  <c r="W495" i="58"/>
  <c r="W496" i="58"/>
  <c r="W497" i="58"/>
  <c r="W498" i="58"/>
  <c r="W499" i="58"/>
  <c r="W500" i="58"/>
  <c r="W501" i="58"/>
  <c r="W502" i="58"/>
  <c r="W503" i="58"/>
  <c r="W504" i="58"/>
  <c r="P504" i="58" s="1"/>
  <c r="W505" i="58"/>
  <c r="W506" i="58"/>
  <c r="W507" i="58"/>
  <c r="W508" i="58"/>
  <c r="W509" i="58"/>
  <c r="W510" i="58"/>
  <c r="W511" i="58"/>
  <c r="W512" i="58"/>
  <c r="P512" i="58" s="1"/>
  <c r="W513" i="58"/>
  <c r="W514" i="58"/>
  <c r="W515" i="58"/>
  <c r="W516" i="58"/>
  <c r="W517" i="58"/>
  <c r="W518" i="58"/>
  <c r="W519" i="58"/>
  <c r="W520" i="58"/>
  <c r="P520" i="58" s="1"/>
  <c r="W521" i="58"/>
  <c r="W522" i="58"/>
  <c r="W523" i="58"/>
  <c r="W524" i="58"/>
  <c r="W525" i="58"/>
  <c r="W526" i="58"/>
  <c r="W527" i="58"/>
  <c r="W528" i="58"/>
  <c r="P528" i="58" s="1"/>
  <c r="W529" i="58"/>
  <c r="W530" i="58"/>
  <c r="W531" i="58"/>
  <c r="W532" i="58"/>
  <c r="W533" i="58"/>
  <c r="W534" i="58"/>
  <c r="W535" i="58"/>
  <c r="W536" i="58"/>
  <c r="P536" i="58" s="1"/>
  <c r="W537" i="58"/>
  <c r="W538" i="58"/>
  <c r="W539" i="58"/>
  <c r="W540" i="58"/>
  <c r="W541" i="58"/>
  <c r="W542" i="58"/>
  <c r="W543" i="58"/>
  <c r="W544" i="58"/>
  <c r="P544" i="58" s="1"/>
  <c r="W545" i="58"/>
  <c r="W546" i="58"/>
  <c r="W547" i="58"/>
  <c r="W548" i="58"/>
  <c r="W549" i="58"/>
  <c r="W550" i="58"/>
  <c r="W551" i="58"/>
  <c r="W552" i="58"/>
  <c r="P552" i="58" s="1"/>
  <c r="W553" i="58"/>
  <c r="W554" i="58"/>
  <c r="W555" i="58"/>
  <c r="W556" i="58"/>
  <c r="W557" i="58"/>
  <c r="W558" i="58"/>
  <c r="W559" i="58"/>
  <c r="W560" i="58"/>
  <c r="P560" i="58" s="1"/>
  <c r="W561" i="58"/>
  <c r="W562" i="58"/>
  <c r="W563" i="58"/>
  <c r="W564" i="58"/>
  <c r="W565" i="58"/>
  <c r="W566" i="58"/>
  <c r="W567" i="58"/>
  <c r="W568" i="58"/>
  <c r="P568" i="58" s="1"/>
  <c r="W569" i="58"/>
  <c r="W570" i="58"/>
  <c r="W571" i="58"/>
  <c r="W572" i="58"/>
  <c r="W573" i="58"/>
  <c r="W574" i="58"/>
  <c r="W575" i="58"/>
  <c r="W576" i="58"/>
  <c r="P576" i="58" s="1"/>
  <c r="W577" i="58"/>
  <c r="W578" i="58"/>
  <c r="W579" i="58"/>
  <c r="W580" i="58"/>
  <c r="W581" i="58"/>
  <c r="W582" i="58"/>
  <c r="W583" i="58"/>
  <c r="W584" i="58"/>
  <c r="W585" i="58"/>
  <c r="W586" i="58"/>
  <c r="W587" i="58"/>
  <c r="W588" i="58"/>
  <c r="W589" i="58"/>
  <c r="W590" i="58"/>
  <c r="W591" i="58"/>
  <c r="W592" i="58"/>
  <c r="P592" i="58" s="1"/>
  <c r="W593" i="58"/>
  <c r="W594" i="58"/>
  <c r="W595" i="58"/>
  <c r="W596" i="58"/>
  <c r="W597" i="58"/>
  <c r="W598" i="58"/>
  <c r="W599" i="58"/>
  <c r="W600" i="58"/>
  <c r="W601" i="58"/>
  <c r="W602" i="58"/>
  <c r="W603" i="58"/>
  <c r="W604" i="58"/>
  <c r="W605" i="58"/>
  <c r="W606" i="58"/>
  <c r="W607" i="58"/>
  <c r="P607" i="58" s="1"/>
  <c r="W608" i="58"/>
  <c r="W609" i="58"/>
  <c r="W610" i="58"/>
  <c r="W611" i="58"/>
  <c r="P611" i="58" s="1"/>
  <c r="W612" i="58"/>
  <c r="W613" i="58"/>
  <c r="W614" i="58"/>
  <c r="W615" i="58"/>
  <c r="P615" i="58" s="1"/>
  <c r="W616" i="58"/>
  <c r="W617" i="58"/>
  <c r="W618" i="58"/>
  <c r="W619" i="58"/>
  <c r="P619" i="58" s="1"/>
  <c r="W620" i="58"/>
  <c r="W621" i="58"/>
  <c r="W622" i="58"/>
  <c r="W623" i="58"/>
  <c r="P623" i="58" s="1"/>
  <c r="W624" i="58"/>
  <c r="W625" i="58"/>
  <c r="W626" i="58"/>
  <c r="W627" i="58"/>
  <c r="P627" i="58" s="1"/>
  <c r="W628" i="58"/>
  <c r="W629" i="58"/>
  <c r="W630" i="58"/>
  <c r="W631" i="58"/>
  <c r="P631" i="58" s="1"/>
  <c r="W632" i="58"/>
  <c r="W633" i="58"/>
  <c r="W634" i="58"/>
  <c r="W635" i="58"/>
  <c r="W636" i="58"/>
  <c r="W637" i="58"/>
  <c r="W638" i="58"/>
  <c r="W639" i="58"/>
  <c r="W640" i="58"/>
  <c r="W641" i="58"/>
  <c r="W642" i="58"/>
  <c r="W643" i="58"/>
  <c r="W644" i="58"/>
  <c r="W645" i="58"/>
  <c r="W646" i="58"/>
  <c r="W647" i="58"/>
  <c r="W648" i="58"/>
  <c r="W649" i="58"/>
  <c r="W650" i="58"/>
  <c r="W651" i="58"/>
  <c r="W652" i="58"/>
  <c r="W653" i="58"/>
  <c r="W654" i="58"/>
  <c r="W655" i="58"/>
  <c r="W656" i="58"/>
  <c r="W657" i="58"/>
  <c r="W658" i="58"/>
  <c r="W659" i="58"/>
  <c r="W660" i="58"/>
  <c r="W661" i="58"/>
  <c r="W662" i="58"/>
  <c r="W663" i="58"/>
  <c r="W664" i="58"/>
  <c r="W665" i="58"/>
  <c r="W666" i="58"/>
  <c r="W667" i="58"/>
  <c r="W668" i="58"/>
  <c r="W669" i="58"/>
  <c r="W670" i="58"/>
  <c r="W671" i="58"/>
  <c r="W672" i="58"/>
  <c r="W673" i="58"/>
  <c r="W674" i="58"/>
  <c r="W675" i="58"/>
  <c r="W676" i="58"/>
  <c r="W677" i="58"/>
  <c r="W678" i="58"/>
  <c r="W679" i="58"/>
  <c r="W680" i="58"/>
  <c r="W681" i="58"/>
  <c r="W682" i="58"/>
  <c r="W683" i="58"/>
  <c r="W684" i="58"/>
  <c r="W685" i="58"/>
  <c r="W686" i="58"/>
  <c r="W687" i="58"/>
  <c r="W688" i="58"/>
  <c r="W689" i="58"/>
  <c r="W690" i="58"/>
  <c r="W691" i="58"/>
  <c r="W692" i="58"/>
  <c r="W693" i="58"/>
  <c r="W694" i="58"/>
  <c r="W695" i="58"/>
  <c r="W696" i="58"/>
  <c r="W697" i="58"/>
  <c r="W698" i="58"/>
  <c r="W699" i="58"/>
  <c r="W700" i="58"/>
  <c r="W701" i="58"/>
  <c r="W702" i="58"/>
  <c r="W703" i="58"/>
  <c r="W704" i="58"/>
  <c r="W705" i="58"/>
  <c r="W706" i="58"/>
  <c r="W707" i="58"/>
  <c r="W708" i="58"/>
  <c r="W709" i="58"/>
  <c r="W710" i="58"/>
  <c r="W711" i="58"/>
  <c r="W712" i="58"/>
  <c r="W713" i="58"/>
  <c r="W714" i="58"/>
  <c r="W715" i="58"/>
  <c r="W716" i="58"/>
  <c r="W717" i="58"/>
  <c r="W718" i="58"/>
  <c r="W719" i="58"/>
  <c r="W720" i="58"/>
  <c r="W721" i="58"/>
  <c r="W722" i="58"/>
  <c r="W723" i="58"/>
  <c r="W724" i="58"/>
  <c r="W725" i="58"/>
  <c r="W726" i="58"/>
  <c r="W727" i="58"/>
  <c r="W728" i="58"/>
  <c r="W729" i="58"/>
  <c r="W730" i="58"/>
  <c r="W731" i="58"/>
  <c r="W732" i="58"/>
  <c r="W733" i="58"/>
  <c r="W734" i="58"/>
  <c r="W735" i="58"/>
  <c r="W736" i="58"/>
  <c r="W737" i="58"/>
  <c r="W738" i="58"/>
  <c r="W739" i="58"/>
  <c r="W740" i="58"/>
  <c r="W741" i="58"/>
  <c r="W742" i="58"/>
  <c r="W743" i="58"/>
  <c r="W744" i="58"/>
  <c r="W745" i="58"/>
  <c r="W746" i="58"/>
  <c r="W747" i="58"/>
  <c r="W748" i="58"/>
  <c r="W749" i="58"/>
  <c r="W750" i="58"/>
  <c r="W751" i="58"/>
  <c r="W752" i="58"/>
  <c r="W753" i="58"/>
  <c r="W754" i="58"/>
  <c r="W755" i="58"/>
  <c r="W756" i="58"/>
  <c r="W757" i="58"/>
  <c r="W758" i="58"/>
  <c r="W759" i="58"/>
  <c r="W760" i="58"/>
  <c r="W761" i="58"/>
  <c r="W762" i="58"/>
  <c r="W763" i="58"/>
  <c r="W764" i="58"/>
  <c r="W765" i="58"/>
  <c r="W766" i="58"/>
  <c r="W767" i="58"/>
  <c r="W768" i="58"/>
  <c r="W769" i="58"/>
  <c r="W770" i="58"/>
  <c r="W771" i="58"/>
  <c r="W772" i="58"/>
  <c r="W773" i="58"/>
  <c r="W774" i="58"/>
  <c r="W775" i="58"/>
  <c r="W776" i="58"/>
  <c r="W777" i="58"/>
  <c r="W778" i="58"/>
  <c r="W779" i="58"/>
  <c r="W780" i="58"/>
  <c r="W781" i="58"/>
  <c r="W782" i="58"/>
  <c r="W783" i="58"/>
  <c r="W784" i="58"/>
  <c r="W785" i="58"/>
  <c r="W786" i="58"/>
  <c r="W787" i="58"/>
  <c r="W788" i="58"/>
  <c r="W789" i="58"/>
  <c r="W790" i="58"/>
  <c r="W791" i="58"/>
  <c r="W792" i="58"/>
  <c r="W793" i="58"/>
  <c r="W794" i="58"/>
  <c r="W795" i="58"/>
  <c r="W796" i="58"/>
  <c r="W797" i="58"/>
  <c r="W798" i="58"/>
  <c r="W799" i="58"/>
  <c r="W800" i="58"/>
  <c r="W801" i="58"/>
  <c r="W802" i="58"/>
  <c r="W803" i="58"/>
  <c r="W804" i="58"/>
  <c r="W805" i="58"/>
  <c r="W806" i="58"/>
  <c r="W807" i="58"/>
  <c r="W808" i="58"/>
  <c r="W809" i="58"/>
  <c r="W810" i="58"/>
  <c r="W811" i="58"/>
  <c r="W812" i="58"/>
  <c r="W813" i="58"/>
  <c r="W814" i="58"/>
  <c r="W815" i="58"/>
  <c r="W816" i="58"/>
  <c r="W817" i="58"/>
  <c r="W818" i="58"/>
  <c r="W819" i="58"/>
  <c r="W820" i="58"/>
  <c r="W821" i="58"/>
  <c r="W822" i="58"/>
  <c r="W823" i="58"/>
  <c r="W824" i="58"/>
  <c r="W825" i="58"/>
  <c r="W826" i="58"/>
  <c r="W827" i="58"/>
  <c r="W828" i="58"/>
  <c r="W829" i="58"/>
  <c r="W830" i="58"/>
  <c r="W831" i="58"/>
  <c r="W832" i="58"/>
  <c r="W833" i="58"/>
  <c r="W834" i="58"/>
  <c r="W835" i="58"/>
  <c r="W836" i="58"/>
  <c r="W837" i="58"/>
  <c r="W838" i="58"/>
  <c r="W839" i="58"/>
  <c r="W840" i="58"/>
  <c r="W841" i="58"/>
  <c r="W842" i="58"/>
  <c r="W843" i="58"/>
  <c r="W844" i="58"/>
  <c r="W845" i="58"/>
  <c r="W846" i="58"/>
  <c r="W847" i="58"/>
  <c r="W848" i="58"/>
  <c r="W849" i="58"/>
  <c r="W850" i="58"/>
  <c r="W851" i="58"/>
  <c r="W852" i="58"/>
  <c r="W853" i="58"/>
  <c r="W854" i="58"/>
  <c r="W855" i="58"/>
  <c r="W856" i="58"/>
  <c r="W857" i="58"/>
  <c r="W858" i="58"/>
  <c r="W859" i="58"/>
  <c r="W860" i="58"/>
  <c r="W861" i="58"/>
  <c r="W862" i="58"/>
  <c r="AD473" i="58" l="1"/>
  <c r="AD471" i="58"/>
  <c r="AD468" i="58"/>
  <c r="AD466" i="58"/>
  <c r="AD464" i="58"/>
  <c r="AD462" i="58"/>
  <c r="AD474" i="58"/>
  <c r="AD472" i="58"/>
  <c r="AD469" i="58"/>
  <c r="AD467" i="58"/>
  <c r="AD465" i="58"/>
  <c r="AD463" i="58"/>
  <c r="AD861" i="58"/>
  <c r="AD858" i="58"/>
  <c r="AD856" i="58"/>
  <c r="AD854" i="58"/>
  <c r="AD853" i="58"/>
  <c r="AD849" i="58"/>
  <c r="AD847" i="58"/>
  <c r="AD845" i="58"/>
  <c r="AD843" i="58"/>
  <c r="AD841" i="58"/>
  <c r="AD838" i="58"/>
  <c r="AD836" i="58"/>
  <c r="AD834" i="58"/>
  <c r="AD832" i="58"/>
  <c r="AD829" i="58"/>
  <c r="AD827" i="58"/>
  <c r="AD825" i="58"/>
  <c r="AD823" i="58"/>
  <c r="AD821" i="58"/>
  <c r="AD818" i="58"/>
  <c r="AD816" i="58"/>
  <c r="AD814" i="58"/>
  <c r="AD812" i="58"/>
  <c r="AD798" i="58"/>
  <c r="AD796" i="58"/>
  <c r="AD794" i="58"/>
  <c r="AD792" i="58"/>
  <c r="AD789" i="58"/>
  <c r="AD787" i="58"/>
  <c r="AD785" i="58"/>
  <c r="AD783" i="58"/>
  <c r="AD781" i="58"/>
  <c r="AD778" i="58"/>
  <c r="AD776" i="58"/>
  <c r="AD773" i="58"/>
  <c r="AD771" i="58"/>
  <c r="AD768" i="58"/>
  <c r="AD766" i="58"/>
  <c r="AD764" i="58"/>
  <c r="AD762" i="58"/>
  <c r="AD759" i="58"/>
  <c r="AD758" i="58"/>
  <c r="AD756" i="58"/>
  <c r="AD753" i="58"/>
  <c r="AD751" i="58"/>
  <c r="AD749" i="58"/>
  <c r="AD747" i="58"/>
  <c r="AD745" i="58"/>
  <c r="AD743" i="58"/>
  <c r="AD741" i="58"/>
  <c r="AD739" i="58"/>
  <c r="AD737" i="58"/>
  <c r="AD736" i="58"/>
  <c r="AD734" i="58"/>
  <c r="AD733" i="58"/>
  <c r="AD731" i="58"/>
  <c r="AD728" i="58"/>
  <c r="AD727" i="58"/>
  <c r="AD725" i="58"/>
  <c r="AD723" i="58"/>
  <c r="AD721" i="58"/>
  <c r="AD718" i="58"/>
  <c r="AD717" i="58"/>
  <c r="AD715" i="58"/>
  <c r="AD713" i="58"/>
  <c r="AD711" i="58"/>
  <c r="AD698" i="58"/>
  <c r="AD696" i="58"/>
  <c r="AD694" i="58"/>
  <c r="AD685" i="58"/>
  <c r="AD862" i="58"/>
  <c r="AD859" i="58"/>
  <c r="AD857" i="58"/>
  <c r="AD855" i="58"/>
  <c r="AD852" i="58"/>
  <c r="AD851" i="58"/>
  <c r="AD848" i="58"/>
  <c r="AD846" i="58"/>
  <c r="AD844" i="58"/>
  <c r="AD842" i="58"/>
  <c r="AD839" i="58"/>
  <c r="AD837" i="58"/>
  <c r="AD835" i="58"/>
  <c r="AD833" i="58"/>
  <c r="AD831" i="58"/>
  <c r="AD828" i="58"/>
  <c r="AD826" i="58"/>
  <c r="AD824" i="58"/>
  <c r="AD822" i="58"/>
  <c r="AD819" i="58"/>
  <c r="AD817" i="58"/>
  <c r="AD815" i="58"/>
  <c r="AD813" i="58"/>
  <c r="AD811" i="58"/>
  <c r="AD799" i="58"/>
  <c r="AD797" i="58"/>
  <c r="AD795" i="58"/>
  <c r="AD793" i="58"/>
  <c r="AD791" i="58"/>
  <c r="AD788" i="58"/>
  <c r="AD786" i="58"/>
  <c r="AD784" i="58"/>
  <c r="AD782" i="58"/>
  <c r="AD779" i="58"/>
  <c r="AD777" i="58"/>
  <c r="AD775" i="58"/>
  <c r="AD774" i="58"/>
  <c r="AD772" i="58"/>
  <c r="AD769" i="58"/>
  <c r="AD767" i="58"/>
  <c r="AD765" i="58"/>
  <c r="AD763" i="58"/>
  <c r="AD761" i="58"/>
  <c r="AD757" i="58"/>
  <c r="AD755" i="58"/>
  <c r="AD754" i="58"/>
  <c r="AD752" i="58"/>
  <c r="AD748" i="58"/>
  <c r="AD746" i="58"/>
  <c r="AD744" i="58"/>
  <c r="AD742" i="58"/>
  <c r="AD738" i="58"/>
  <c r="AD735" i="58"/>
  <c r="AD732" i="58"/>
  <c r="AD729" i="58"/>
  <c r="AD726" i="58"/>
  <c r="AD724" i="58"/>
  <c r="AD722" i="58"/>
  <c r="AD719" i="58"/>
  <c r="AD716" i="58"/>
  <c r="AD714" i="58"/>
  <c r="AD712" i="58"/>
  <c r="AD699" i="58"/>
  <c r="AD697" i="58"/>
  <c r="AD695" i="58"/>
  <c r="AD693" i="58"/>
  <c r="AD692" i="58"/>
  <c r="AD691" i="58"/>
  <c r="AD689" i="58"/>
  <c r="AD688" i="58"/>
  <c r="AD687" i="58"/>
  <c r="AD686" i="58"/>
  <c r="AD684" i="58"/>
  <c r="AD683" i="58"/>
  <c r="AD681" i="58"/>
  <c r="AD678" i="58"/>
  <c r="AD676" i="58"/>
  <c r="AD674" i="58"/>
  <c r="AD672" i="58"/>
  <c r="AD669" i="58"/>
  <c r="AD667" i="58"/>
  <c r="AD665" i="58"/>
  <c r="AD663" i="58"/>
  <c r="AD661" i="58"/>
  <c r="AD658" i="58"/>
  <c r="AD656" i="58"/>
  <c r="AD654" i="58"/>
  <c r="AD652" i="58"/>
  <c r="AD649" i="58"/>
  <c r="AD647" i="58"/>
  <c r="AD645" i="58"/>
  <c r="AD643" i="58"/>
  <c r="AD641" i="58"/>
  <c r="AD638" i="58"/>
  <c r="AD636" i="58"/>
  <c r="AD634" i="58"/>
  <c r="AD632" i="58"/>
  <c r="AD629" i="58"/>
  <c r="AD627" i="58"/>
  <c r="AD625" i="58"/>
  <c r="AD623" i="58"/>
  <c r="AD621" i="58"/>
  <c r="AD618" i="58"/>
  <c r="AD616" i="58"/>
  <c r="AD613" i="58"/>
  <c r="AD612" i="58"/>
  <c r="AD599" i="58"/>
  <c r="AD597" i="58"/>
  <c r="AD595" i="58"/>
  <c r="AD593" i="58"/>
  <c r="AD591" i="58"/>
  <c r="AD588" i="58"/>
  <c r="AD586" i="58"/>
  <c r="AD584" i="58"/>
  <c r="AD582" i="58"/>
  <c r="AD579" i="58"/>
  <c r="AD577" i="58"/>
  <c r="AD575" i="58"/>
  <c r="AD573" i="58"/>
  <c r="AD571" i="58"/>
  <c r="AD568" i="58"/>
  <c r="AD565" i="58"/>
  <c r="AD563" i="58"/>
  <c r="AD561" i="58"/>
  <c r="AD558" i="58"/>
  <c r="AD556" i="58"/>
  <c r="AD554" i="58"/>
  <c r="AD552" i="58"/>
  <c r="AD549" i="58"/>
  <c r="AD547" i="58"/>
  <c r="AD545" i="58"/>
  <c r="AD543" i="58"/>
  <c r="AD541" i="58"/>
  <c r="AD538" i="58"/>
  <c r="AD536" i="58"/>
  <c r="AD534" i="58"/>
  <c r="AD532" i="58"/>
  <c r="AD529" i="58"/>
  <c r="AD527" i="58"/>
  <c r="AD525" i="58"/>
  <c r="AD523" i="58"/>
  <c r="AD521" i="58"/>
  <c r="AD517" i="58"/>
  <c r="AD515" i="58"/>
  <c r="AD513" i="58"/>
  <c r="AD511" i="58"/>
  <c r="AD498" i="58"/>
  <c r="AD496" i="58"/>
  <c r="AD493" i="58"/>
  <c r="AD491" i="58"/>
  <c r="AD488" i="58"/>
  <c r="AD486" i="58"/>
  <c r="AD484" i="58"/>
  <c r="AD482" i="58"/>
  <c r="AD481" i="58"/>
  <c r="AD479" i="58"/>
  <c r="AD477" i="58"/>
  <c r="AD476" i="58"/>
  <c r="AD475" i="58"/>
  <c r="AD461" i="58"/>
  <c r="AD459" i="58"/>
  <c r="AD458" i="58"/>
  <c r="AD457" i="58"/>
  <c r="AD456" i="58"/>
  <c r="AD455" i="58"/>
  <c r="AD454" i="58"/>
  <c r="AD453" i="58"/>
  <c r="AD452" i="58"/>
  <c r="AD451" i="58"/>
  <c r="AD449" i="58"/>
  <c r="AD448" i="58"/>
  <c r="AD447" i="58"/>
  <c r="AD446" i="58"/>
  <c r="AD445" i="58"/>
  <c r="AD444" i="58"/>
  <c r="AD443" i="58"/>
  <c r="AD441" i="58"/>
  <c r="AD439" i="58"/>
  <c r="AD438" i="58"/>
  <c r="AD437" i="58"/>
  <c r="AD436" i="58"/>
  <c r="AD435" i="58"/>
  <c r="AD434" i="58"/>
  <c r="AD433" i="58"/>
  <c r="AD432" i="58"/>
  <c r="AD431" i="58"/>
  <c r="AD429" i="58"/>
  <c r="AD428" i="58"/>
  <c r="AD427" i="58"/>
  <c r="AD426" i="58"/>
  <c r="AD425" i="58"/>
  <c r="AD424" i="58"/>
  <c r="AD423" i="58"/>
  <c r="AD422" i="58"/>
  <c r="AD421" i="58"/>
  <c r="AD419" i="58"/>
  <c r="AD418" i="58"/>
  <c r="AD417" i="58"/>
  <c r="AD416" i="58"/>
  <c r="AD415" i="58"/>
  <c r="AD414" i="58"/>
  <c r="AD413" i="58"/>
  <c r="AD412" i="58"/>
  <c r="AD411" i="58"/>
  <c r="AD399" i="58"/>
  <c r="AD398" i="58"/>
  <c r="AD397" i="58"/>
  <c r="AD396" i="58"/>
  <c r="AD395" i="58"/>
  <c r="AD394" i="58"/>
  <c r="AD393" i="58"/>
  <c r="AD392" i="58"/>
  <c r="AD391" i="58"/>
  <c r="AD389" i="58"/>
  <c r="AD388" i="58"/>
  <c r="AD387" i="58"/>
  <c r="AD386" i="58"/>
  <c r="AD385" i="58"/>
  <c r="AD384" i="58"/>
  <c r="AD383" i="58"/>
  <c r="AD382" i="58"/>
  <c r="AD381" i="58"/>
  <c r="AD379" i="58"/>
  <c r="AD378" i="58"/>
  <c r="AD377" i="58"/>
  <c r="AD376" i="58"/>
  <c r="AD375" i="58"/>
  <c r="AD374" i="58"/>
  <c r="AD373" i="58"/>
  <c r="AD372" i="58"/>
  <c r="AD371" i="58"/>
  <c r="AD369" i="58"/>
  <c r="AD368" i="58"/>
  <c r="AD367" i="58"/>
  <c r="AD366" i="58"/>
  <c r="AD365" i="58"/>
  <c r="AD682" i="58"/>
  <c r="AD679" i="58"/>
  <c r="AD677" i="58"/>
  <c r="AD675" i="58"/>
  <c r="AD673" i="58"/>
  <c r="AD671" i="58"/>
  <c r="AD668" i="58"/>
  <c r="AD666" i="58"/>
  <c r="AD664" i="58"/>
  <c r="AD662" i="58"/>
  <c r="AD659" i="58"/>
  <c r="AD657" i="58"/>
  <c r="AD655" i="58"/>
  <c r="AD653" i="58"/>
  <c r="AD651" i="58"/>
  <c r="AD648" i="58"/>
  <c r="AD646" i="58"/>
  <c r="AD644" i="58"/>
  <c r="AD642" i="58"/>
  <c r="AD639" i="58"/>
  <c r="AD637" i="58"/>
  <c r="AD635" i="58"/>
  <c r="AD633" i="58"/>
  <c r="AD631" i="58"/>
  <c r="AD628" i="58"/>
  <c r="AD626" i="58"/>
  <c r="AD624" i="58"/>
  <c r="AD622" i="58"/>
  <c r="AD619" i="58"/>
  <c r="AD617" i="58"/>
  <c r="AD615" i="58"/>
  <c r="AD614" i="58"/>
  <c r="AD611" i="58"/>
  <c r="AD598" i="58"/>
  <c r="AD596" i="58"/>
  <c r="AD594" i="58"/>
  <c r="AD592" i="58"/>
  <c r="AD589" i="58"/>
  <c r="AD587" i="58"/>
  <c r="AD585" i="58"/>
  <c r="AD583" i="58"/>
  <c r="AD581" i="58"/>
  <c r="AD578" i="58"/>
  <c r="AD576" i="58"/>
  <c r="AD574" i="58"/>
  <c r="AD572" i="58"/>
  <c r="AD569" i="58"/>
  <c r="AD567" i="58"/>
  <c r="AD566" i="58"/>
  <c r="AD564" i="58"/>
  <c r="AD562" i="58"/>
  <c r="AD559" i="58"/>
  <c r="AD557" i="58"/>
  <c r="AD555" i="58"/>
  <c r="AD553" i="58"/>
  <c r="AD551" i="58"/>
  <c r="AD548" i="58"/>
  <c r="AD546" i="58"/>
  <c r="AD544" i="58"/>
  <c r="AD542" i="58"/>
  <c r="AD539" i="58"/>
  <c r="AD537" i="58"/>
  <c r="AD535" i="58"/>
  <c r="AD533" i="58"/>
  <c r="AD531" i="58"/>
  <c r="AD528" i="58"/>
  <c r="AD526" i="58"/>
  <c r="AD524" i="58"/>
  <c r="AD522" i="58"/>
  <c r="AD519" i="58"/>
  <c r="AD518" i="58"/>
  <c r="AD516" i="58"/>
  <c r="AD514" i="58"/>
  <c r="AD512" i="58"/>
  <c r="AD499" i="58"/>
  <c r="AD497" i="58"/>
  <c r="AD495" i="58"/>
  <c r="AD494" i="58"/>
  <c r="AD492" i="58"/>
  <c r="AD489" i="58"/>
  <c r="AD487" i="58"/>
  <c r="AD485" i="58"/>
  <c r="AD483" i="58"/>
  <c r="AD478" i="58"/>
  <c r="AD442" i="58"/>
  <c r="AB531" i="58"/>
  <c r="AB528" i="58"/>
  <c r="AB527" i="58"/>
  <c r="AB525" i="58"/>
  <c r="AB524" i="58"/>
  <c r="AB523" i="58"/>
  <c r="AB522" i="58"/>
  <c r="AB521" i="58"/>
  <c r="AB517" i="58"/>
  <c r="AB516" i="58"/>
  <c r="AB515" i="58"/>
  <c r="AB514" i="58"/>
  <c r="AB513" i="58"/>
  <c r="AB512" i="58"/>
  <c r="AB499" i="58"/>
  <c r="AB495" i="58"/>
  <c r="AB494" i="58"/>
  <c r="AB493" i="58"/>
  <c r="AB492" i="58"/>
  <c r="AB491" i="58"/>
  <c r="AB489" i="58"/>
  <c r="AB488" i="58"/>
  <c r="AB486" i="58"/>
  <c r="AB485" i="58"/>
  <c r="AB484" i="58"/>
  <c r="AB483" i="58"/>
  <c r="AB482" i="58"/>
  <c r="AB473" i="58"/>
  <c r="AB464" i="58"/>
  <c r="AB447" i="58"/>
  <c r="AB446" i="58"/>
  <c r="AB445" i="58"/>
  <c r="AB433" i="58"/>
  <c r="AB427" i="58"/>
  <c r="AB426" i="58"/>
  <c r="AD270" i="58"/>
  <c r="AD300" i="58"/>
  <c r="AD303" i="58"/>
  <c r="AD306" i="58"/>
  <c r="AD309" i="58"/>
  <c r="AD330" i="58"/>
  <c r="AD360" i="58"/>
  <c r="AD390" i="58"/>
  <c r="AD402" i="58"/>
  <c r="AD405" i="58"/>
  <c r="AD408" i="58"/>
  <c r="AD420" i="58"/>
  <c r="AD450" i="58"/>
  <c r="AD480" i="58"/>
  <c r="AD501" i="58"/>
  <c r="AD504" i="58"/>
  <c r="AD507" i="58"/>
  <c r="AD510" i="58"/>
  <c r="AD540" i="58"/>
  <c r="AD570" i="58"/>
  <c r="AD600" i="58"/>
  <c r="AD603" i="58"/>
  <c r="AD606" i="58"/>
  <c r="AD609" i="58"/>
  <c r="AD630" i="58"/>
  <c r="AD660" i="58"/>
  <c r="AD690" i="58"/>
  <c r="AD702" i="58"/>
  <c r="AD705" i="58"/>
  <c r="AD708" i="58"/>
  <c r="AD720" i="58"/>
  <c r="AD750" i="58"/>
  <c r="AD780" i="58"/>
  <c r="AD801" i="58"/>
  <c r="AD804" i="58"/>
  <c r="AD807" i="58"/>
  <c r="AD810" i="58"/>
  <c r="AD840" i="58"/>
  <c r="AD290" i="58"/>
  <c r="AD302" i="58"/>
  <c r="AD305" i="58"/>
  <c r="AD308" i="58"/>
  <c r="AD320" i="58"/>
  <c r="AD350" i="58"/>
  <c r="AD380" i="58"/>
  <c r="AD401" i="58"/>
  <c r="AD404" i="58"/>
  <c r="AD407" i="58"/>
  <c r="AD410" i="58"/>
  <c r="AD440" i="58"/>
  <c r="AD470" i="58"/>
  <c r="AD500" i="58"/>
  <c r="AD503" i="58"/>
  <c r="AD506" i="58"/>
  <c r="AD509" i="58"/>
  <c r="AD530" i="58"/>
  <c r="AD560" i="58"/>
  <c r="AD590" i="58"/>
  <c r="AD602" i="58"/>
  <c r="AD605" i="58"/>
  <c r="AD608" i="58"/>
  <c r="AD620" i="58"/>
  <c r="AD650" i="58"/>
  <c r="AD680" i="58"/>
  <c r="AD701" i="58"/>
  <c r="AD704" i="58"/>
  <c r="AD707" i="58"/>
  <c r="AD710" i="58"/>
  <c r="AD740" i="58"/>
  <c r="AD770" i="58"/>
  <c r="AD800" i="58"/>
  <c r="AD803" i="58"/>
  <c r="AD806" i="58"/>
  <c r="AD809" i="58"/>
  <c r="AD830" i="58"/>
  <c r="AD860" i="58"/>
  <c r="AD364" i="58"/>
  <c r="AD363" i="58"/>
  <c r="AD362" i="58"/>
  <c r="AD361" i="58"/>
  <c r="AD359" i="58"/>
  <c r="AD358" i="58"/>
  <c r="AD357" i="58"/>
  <c r="AD356" i="58"/>
  <c r="AD355" i="58"/>
  <c r="AD354" i="58"/>
  <c r="AD353" i="58"/>
  <c r="AD352" i="58"/>
  <c r="AD351" i="58"/>
  <c r="AD349" i="58"/>
  <c r="AD348" i="58"/>
  <c r="AD347" i="58"/>
  <c r="AD346" i="58"/>
  <c r="AD345" i="58"/>
  <c r="AD344" i="58"/>
  <c r="AD343" i="58"/>
  <c r="AD342" i="58"/>
  <c r="AD341" i="58"/>
  <c r="AD339" i="58"/>
  <c r="AD338" i="58"/>
  <c r="AD337" i="58"/>
  <c r="AD336" i="58"/>
  <c r="AD335" i="58"/>
  <c r="AD334" i="58"/>
  <c r="AD333" i="58"/>
  <c r="AD332" i="58"/>
  <c r="AD331" i="58"/>
  <c r="AD329" i="58"/>
  <c r="AD328" i="58"/>
  <c r="AD327" i="58"/>
  <c r="AD326" i="58"/>
  <c r="AD325" i="58"/>
  <c r="AD324" i="58"/>
  <c r="AD323" i="58"/>
  <c r="AD322" i="58"/>
  <c r="AD321" i="58"/>
  <c r="AD319" i="58"/>
  <c r="AD318" i="58"/>
  <c r="AD317" i="58"/>
  <c r="AD316" i="58"/>
  <c r="AD315" i="58"/>
  <c r="AD314" i="58"/>
  <c r="AD313" i="58"/>
  <c r="AD312" i="58"/>
  <c r="AD311" i="58"/>
  <c r="AD299" i="58"/>
  <c r="AD298" i="58"/>
  <c r="AD297" i="58"/>
  <c r="AD296" i="58"/>
  <c r="AD295" i="58"/>
  <c r="AD294" i="58"/>
  <c r="AD293" i="58"/>
  <c r="AD292" i="58"/>
  <c r="AD291" i="58"/>
  <c r="AD289" i="58"/>
  <c r="AD288" i="58"/>
  <c r="AD287" i="58"/>
  <c r="AD286" i="58"/>
  <c r="AD285" i="58"/>
  <c r="AD284" i="58"/>
  <c r="AD283" i="58"/>
  <c r="AD282" i="58"/>
  <c r="AD281" i="58"/>
  <c r="AD279" i="58"/>
  <c r="AD278" i="58"/>
  <c r="AD277" i="58"/>
  <c r="AD276" i="58"/>
  <c r="AD275" i="58"/>
  <c r="AD274" i="58"/>
  <c r="AD273" i="58"/>
  <c r="AD272" i="58"/>
  <c r="AD271" i="58"/>
  <c r="AD269" i="58"/>
  <c r="AD268" i="58"/>
  <c r="AD267" i="58"/>
  <c r="AD266" i="58"/>
  <c r="AD265" i="58"/>
  <c r="AD264" i="58"/>
  <c r="AD263" i="58"/>
  <c r="AD262" i="58"/>
  <c r="AD261" i="58"/>
  <c r="AB421" i="58"/>
  <c r="AB387" i="58"/>
  <c r="AB383" i="58"/>
  <c r="AB376" i="58"/>
  <c r="AB365" i="58"/>
  <c r="AB362" i="58"/>
  <c r="AB358" i="58"/>
  <c r="AB357" i="58"/>
  <c r="AB356" i="58"/>
  <c r="AB355" i="58"/>
  <c r="AD280" i="58"/>
  <c r="AD301" i="58"/>
  <c r="AD304" i="58"/>
  <c r="AD307" i="58"/>
  <c r="AD310" i="58"/>
  <c r="AD340" i="58"/>
  <c r="AD370" i="58"/>
  <c r="AD400" i="58"/>
  <c r="AD403" i="58"/>
  <c r="AD406" i="58"/>
  <c r="AD409" i="58"/>
  <c r="AD430" i="58"/>
  <c r="AD460" i="58"/>
  <c r="AD490" i="58"/>
  <c r="AD502" i="58"/>
  <c r="AD505" i="58"/>
  <c r="AD508" i="58"/>
  <c r="AD520" i="58"/>
  <c r="AD550" i="58"/>
  <c r="AD580" i="58"/>
  <c r="AD601" i="58"/>
  <c r="AD604" i="58"/>
  <c r="AD607" i="58"/>
  <c r="AD610" i="58"/>
  <c r="AD640" i="58"/>
  <c r="AD670" i="58"/>
  <c r="AD700" i="58"/>
  <c r="AD703" i="58"/>
  <c r="AD706" i="58"/>
  <c r="AD709" i="58"/>
  <c r="AD730" i="58"/>
  <c r="AD760" i="58"/>
  <c r="AD790" i="58"/>
  <c r="AD802" i="58"/>
  <c r="AD805" i="58"/>
  <c r="AD808" i="58"/>
  <c r="AD820" i="58"/>
  <c r="AD850" i="58"/>
  <c r="AB859" i="58"/>
  <c r="AB855" i="58"/>
  <c r="AB837" i="58"/>
  <c r="AB773" i="58"/>
  <c r="AB759" i="58"/>
  <c r="AB757" i="58"/>
  <c r="AB755" i="58"/>
  <c r="AB753" i="58"/>
  <c r="AB751" i="58"/>
  <c r="AB721" i="58"/>
  <c r="AB714" i="58"/>
  <c r="AB692" i="58"/>
  <c r="AB669" i="58"/>
  <c r="AB656" i="58"/>
  <c r="AB654" i="58"/>
  <c r="AB652" i="58"/>
  <c r="AB618" i="58"/>
  <c r="AB611" i="58"/>
  <c r="AB582" i="58"/>
  <c r="AB559" i="58"/>
  <c r="AB557" i="58"/>
  <c r="AB555" i="58"/>
  <c r="AB544" i="58"/>
  <c r="AB542" i="58"/>
  <c r="AB536" i="58"/>
  <c r="AB529" i="58"/>
  <c r="AB518" i="58"/>
  <c r="AB511" i="58"/>
  <c r="AB498" i="58"/>
  <c r="AB496" i="58"/>
  <c r="AB478" i="58"/>
  <c r="AB474" i="58"/>
  <c r="AB469" i="58"/>
  <c r="AB466" i="58"/>
  <c r="AB462" i="58"/>
  <c r="AB459" i="58"/>
  <c r="AB457" i="58"/>
  <c r="AB455" i="58"/>
  <c r="AB449" i="58"/>
  <c r="AB862" i="58"/>
  <c r="AB856" i="58"/>
  <c r="AB821" i="58"/>
  <c r="AB819" i="58"/>
  <c r="AB758" i="58"/>
  <c r="AB756" i="58"/>
  <c r="AB754" i="58"/>
  <c r="AB752" i="58"/>
  <c r="AB722" i="58"/>
  <c r="AB713" i="58"/>
  <c r="AB657" i="58"/>
  <c r="AB655" i="58"/>
  <c r="AB653" i="58"/>
  <c r="AB651" i="58"/>
  <c r="AB617" i="58"/>
  <c r="AB616" i="58"/>
  <c r="AB612" i="58"/>
  <c r="AB599" i="58"/>
  <c r="AB598" i="58"/>
  <c r="AB589" i="58"/>
  <c r="AB568" i="58"/>
  <c r="AB562" i="58"/>
  <c r="AB561" i="58"/>
  <c r="AB558" i="58"/>
  <c r="AB545" i="58"/>
  <c r="AB541" i="58"/>
  <c r="AB539" i="58"/>
  <c r="AB535" i="58"/>
  <c r="AB526" i="58"/>
  <c r="AB519" i="58"/>
  <c r="AB497" i="58"/>
  <c r="AB487" i="58"/>
  <c r="AB481" i="58"/>
  <c r="AB479" i="58"/>
  <c r="AB477" i="58"/>
  <c r="AB476" i="58"/>
  <c r="AB475" i="58"/>
  <c r="AB472" i="58"/>
  <c r="AB471" i="58"/>
  <c r="AB468" i="58"/>
  <c r="AB467" i="58"/>
  <c r="AB465" i="58"/>
  <c r="AB463" i="58"/>
  <c r="AB461" i="58"/>
  <c r="AB458" i="58"/>
  <c r="AB456" i="58"/>
  <c r="AB454" i="58"/>
  <c r="AB453" i="58"/>
  <c r="AB452" i="58"/>
  <c r="AB451" i="58"/>
  <c r="AB3" i="58"/>
  <c r="AB444" i="58"/>
  <c r="AB441" i="58"/>
  <c r="AB439" i="58"/>
  <c r="AB438" i="58"/>
  <c r="AB436" i="58"/>
  <c r="AB384" i="58"/>
  <c r="AB382" i="58"/>
  <c r="AB379" i="58"/>
  <c r="AB377" i="58"/>
  <c r="AB375" i="58"/>
  <c r="AB373" i="58"/>
  <c r="AB369" i="58"/>
  <c r="AB366" i="58"/>
  <c r="AB363" i="58"/>
  <c r="AB354" i="58"/>
  <c r="AB352" i="58"/>
  <c r="AB349" i="58"/>
  <c r="AB347" i="58"/>
  <c r="AB345" i="58"/>
  <c r="AB343" i="58"/>
  <c r="AB339" i="58"/>
  <c r="AB337" i="58"/>
  <c r="AB335" i="58"/>
  <c r="AB332" i="58"/>
  <c r="AB328" i="58"/>
  <c r="AB322" i="58"/>
  <c r="AB317" i="58"/>
  <c r="AB315" i="58"/>
  <c r="AB312" i="58"/>
  <c r="AB299" i="58"/>
  <c r="AB297" i="58"/>
  <c r="AB295" i="58"/>
  <c r="AB292" i="58"/>
  <c r="AB289" i="58"/>
  <c r="AB287" i="58"/>
  <c r="AB285" i="58"/>
  <c r="AB283" i="58"/>
  <c r="AB281" i="58"/>
  <c r="AB278" i="58"/>
  <c r="AB276" i="58"/>
  <c r="AB274" i="58"/>
  <c r="AB273" i="58"/>
  <c r="AB271" i="58"/>
  <c r="AB269" i="58"/>
  <c r="AB268" i="58"/>
  <c r="AB267" i="58"/>
  <c r="AB266" i="58"/>
  <c r="AB265" i="58"/>
  <c r="AB264" i="58"/>
  <c r="AB263" i="58"/>
  <c r="AB262" i="58"/>
  <c r="AB261" i="58"/>
  <c r="AB259" i="58"/>
  <c r="AB258" i="58"/>
  <c r="AB257" i="58"/>
  <c r="AB256" i="58"/>
  <c r="AB255" i="58"/>
  <c r="AB254" i="58"/>
  <c r="AB253" i="58"/>
  <c r="AB252" i="58"/>
  <c r="AB251" i="58"/>
  <c r="AB249" i="58"/>
  <c r="AB248" i="58"/>
  <c r="AB247" i="58"/>
  <c r="AB246" i="58"/>
  <c r="AB245" i="58"/>
  <c r="AB244" i="58"/>
  <c r="AB243" i="58"/>
  <c r="AB241" i="58"/>
  <c r="AB239" i="58"/>
  <c r="AB238" i="58"/>
  <c r="AB237" i="58"/>
  <c r="AB236" i="58"/>
  <c r="AB235" i="58"/>
  <c r="AB234" i="58"/>
  <c r="AB233" i="58"/>
  <c r="AB232" i="58"/>
  <c r="AB231" i="58"/>
  <c r="AB229" i="58"/>
  <c r="AB228" i="58"/>
  <c r="AB227" i="58"/>
  <c r="AB226" i="58"/>
  <c r="AB225" i="58"/>
  <c r="AB224" i="58"/>
  <c r="AB223" i="58"/>
  <c r="AB222" i="58"/>
  <c r="AB221" i="58"/>
  <c r="AB219" i="58"/>
  <c r="AB218" i="58"/>
  <c r="AB217" i="58"/>
  <c r="AB216" i="58"/>
  <c r="AB215" i="58"/>
  <c r="AB214" i="58"/>
  <c r="AB448" i="58"/>
  <c r="AB443" i="58"/>
  <c r="AB442" i="58"/>
  <c r="AB437" i="58"/>
  <c r="AB435" i="58"/>
  <c r="AB434" i="58"/>
  <c r="AB432" i="58"/>
  <c r="AB431" i="58"/>
  <c r="AB429" i="58"/>
  <c r="AB428" i="58"/>
  <c r="AB425" i="58"/>
  <c r="AB424" i="58"/>
  <c r="AB423" i="58"/>
  <c r="AB422" i="58"/>
  <c r="AB419" i="58"/>
  <c r="AB418" i="58"/>
  <c r="AB417" i="58"/>
  <c r="AB416" i="58"/>
  <c r="AB415" i="58"/>
  <c r="AB414" i="58"/>
  <c r="AB413" i="58"/>
  <c r="AB412" i="58"/>
  <c r="AB411" i="58"/>
  <c r="AB399" i="58"/>
  <c r="AB398" i="58"/>
  <c r="AB397" i="58"/>
  <c r="AB396" i="58"/>
  <c r="AB395" i="58"/>
  <c r="AB394" i="58"/>
  <c r="AB393" i="58"/>
  <c r="AB392" i="58"/>
  <c r="AB391" i="58"/>
  <c r="AB389" i="58"/>
  <c r="AB388" i="58"/>
  <c r="AB386" i="58"/>
  <c r="AB385" i="58"/>
  <c r="AB381" i="58"/>
  <c r="AB378" i="58"/>
  <c r="AB374" i="58"/>
  <c r="AB372" i="58"/>
  <c r="AB371" i="58"/>
  <c r="AB368" i="58"/>
  <c r="AB367" i="58"/>
  <c r="AB364" i="58"/>
  <c r="AB361" i="58"/>
  <c r="AB359" i="58"/>
  <c r="AB353" i="58"/>
  <c r="AB351" i="58"/>
  <c r="AB348" i="58"/>
  <c r="AB346" i="58"/>
  <c r="AB344" i="58"/>
  <c r="AB342" i="58"/>
  <c r="AB341" i="58"/>
  <c r="AB338" i="58"/>
  <c r="AB336" i="58"/>
  <c r="AB334" i="58"/>
  <c r="AB333" i="58"/>
  <c r="AB331" i="58"/>
  <c r="AB329" i="58"/>
  <c r="AB327" i="58"/>
  <c r="AB326" i="58"/>
  <c r="AB325" i="58"/>
  <c r="AB324" i="58"/>
  <c r="AB323" i="58"/>
  <c r="AB321" i="58"/>
  <c r="AB319" i="58"/>
  <c r="AB318" i="58"/>
  <c r="AB316" i="58"/>
  <c r="AB314" i="58"/>
  <c r="AB313" i="58"/>
  <c r="AB311" i="58"/>
  <c r="AB298" i="58"/>
  <c r="AB296" i="58"/>
  <c r="AB294" i="58"/>
  <c r="AB293" i="58"/>
  <c r="AB291" i="58"/>
  <c r="AB288" i="58"/>
  <c r="AB286" i="58"/>
  <c r="AB284" i="58"/>
  <c r="AB282" i="58"/>
  <c r="AB279" i="58"/>
  <c r="AB277" i="58"/>
  <c r="AB275" i="58"/>
  <c r="AB272" i="58"/>
  <c r="AB242" i="58"/>
  <c r="AB213" i="58"/>
  <c r="AB212" i="58"/>
  <c r="AB211" i="58"/>
  <c r="AB199" i="58"/>
  <c r="AB198" i="58"/>
  <c r="AB197" i="58"/>
  <c r="AB196" i="58"/>
  <c r="AB195" i="58"/>
  <c r="AB194" i="58"/>
  <c r="AB193" i="58"/>
  <c r="AB192" i="58"/>
  <c r="AB191" i="58"/>
  <c r="AB189" i="58"/>
  <c r="AB188" i="58"/>
  <c r="AB187" i="58"/>
  <c r="AB186" i="58"/>
  <c r="AB185" i="58"/>
  <c r="AB184" i="58"/>
  <c r="AB183" i="58"/>
  <c r="AB182" i="58"/>
  <c r="AB181" i="58"/>
  <c r="AB179" i="58"/>
  <c r="AB178" i="58"/>
  <c r="AB177" i="58"/>
  <c r="AB176" i="58"/>
  <c r="AB175" i="58"/>
  <c r="AB174" i="58"/>
  <c r="AB173" i="58"/>
  <c r="AB172" i="58"/>
  <c r="AB171" i="58"/>
  <c r="AB169" i="58"/>
  <c r="AB168" i="58"/>
  <c r="AB167" i="58"/>
  <c r="AB166" i="58"/>
  <c r="AB165" i="58"/>
  <c r="AB164" i="58"/>
  <c r="AB163" i="58"/>
  <c r="AB162" i="58"/>
  <c r="AB161" i="58"/>
  <c r="AB159" i="58"/>
  <c r="AB158" i="58"/>
  <c r="AB157" i="58"/>
  <c r="AB156" i="58"/>
  <c r="AB155" i="58"/>
  <c r="AB154" i="58"/>
  <c r="AB153" i="58"/>
  <c r="AB152" i="58"/>
  <c r="AB151" i="58"/>
  <c r="AB149" i="58"/>
  <c r="AB148" i="58"/>
  <c r="AB147" i="58"/>
  <c r="AB146" i="58"/>
  <c r="AB145" i="58"/>
  <c r="AB144" i="58"/>
  <c r="AB143" i="58"/>
  <c r="AB142" i="58"/>
  <c r="AB141" i="58"/>
  <c r="AB139" i="58"/>
  <c r="AB138" i="58"/>
  <c r="AB137" i="58"/>
  <c r="AB136" i="58"/>
  <c r="AB135" i="58"/>
  <c r="AB134" i="58"/>
  <c r="AB133" i="58"/>
  <c r="AB132" i="58"/>
  <c r="AB131" i="58"/>
  <c r="AB129" i="58"/>
  <c r="AB128" i="58"/>
  <c r="AB127" i="58"/>
  <c r="AB126" i="58"/>
  <c r="AB125" i="58"/>
  <c r="AB124" i="58"/>
  <c r="AB123" i="58"/>
  <c r="AB122" i="58"/>
  <c r="AB121" i="58"/>
  <c r="AB119" i="58"/>
  <c r="AB118" i="58"/>
  <c r="AB117" i="58"/>
  <c r="AB116" i="58"/>
  <c r="AB115" i="58"/>
  <c r="AB114" i="58"/>
  <c r="AB113" i="58"/>
  <c r="AB112" i="58"/>
  <c r="AB111" i="58"/>
  <c r="AB99" i="58"/>
  <c r="AB20" i="58"/>
  <c r="AB50" i="58"/>
  <c r="AB80" i="58"/>
  <c r="AB101" i="58"/>
  <c r="AB104" i="58"/>
  <c r="AB107" i="58"/>
  <c r="AB110" i="58"/>
  <c r="AB140" i="58"/>
  <c r="AB170" i="58"/>
  <c r="AB200" i="58"/>
  <c r="AB203" i="58"/>
  <c r="AB206" i="58"/>
  <c r="AB209" i="58"/>
  <c r="AB230" i="58"/>
  <c r="AB260" i="58"/>
  <c r="AB290" i="58"/>
  <c r="AB302" i="58"/>
  <c r="AB305" i="58"/>
  <c r="AB308" i="58"/>
  <c r="AB320" i="58"/>
  <c r="AB350" i="58"/>
  <c r="AB380" i="58"/>
  <c r="AB401" i="58"/>
  <c r="AB404" i="58"/>
  <c r="AB407" i="58"/>
  <c r="AB410" i="58"/>
  <c r="AB440" i="58"/>
  <c r="AB470" i="58"/>
  <c r="AB500" i="58"/>
  <c r="AB503" i="58"/>
  <c r="AB506" i="58"/>
  <c r="AB509" i="58"/>
  <c r="AB530" i="58"/>
  <c r="AB560" i="58"/>
  <c r="AB590" i="58"/>
  <c r="AB602" i="58"/>
  <c r="AB605" i="58"/>
  <c r="AB608" i="58"/>
  <c r="AB620" i="58"/>
  <c r="AB650" i="58"/>
  <c r="AB680" i="58"/>
  <c r="AB701" i="58"/>
  <c r="AB704" i="58"/>
  <c r="AB707" i="58"/>
  <c r="AB710" i="58"/>
  <c r="AB740" i="58"/>
  <c r="AB770" i="58"/>
  <c r="AB800" i="58"/>
  <c r="AB803" i="58"/>
  <c r="AB806" i="58"/>
  <c r="AB809" i="58"/>
  <c r="AB830" i="58"/>
  <c r="AB860" i="58"/>
  <c r="AB10" i="58"/>
  <c r="AB40" i="58"/>
  <c r="AB70" i="58"/>
  <c r="AB100" i="58"/>
  <c r="AB103" i="58"/>
  <c r="AB106" i="58"/>
  <c r="AB109" i="58"/>
  <c r="AB130" i="58"/>
  <c r="AB160" i="58"/>
  <c r="AB190" i="58"/>
  <c r="AB202" i="58"/>
  <c r="AB205" i="58"/>
  <c r="AB208" i="58"/>
  <c r="AB220" i="58"/>
  <c r="AB250" i="58"/>
  <c r="AB280" i="58"/>
  <c r="AB301" i="58"/>
  <c r="AB304" i="58"/>
  <c r="AB307" i="58"/>
  <c r="AB310" i="58"/>
  <c r="AB340" i="58"/>
  <c r="AB370" i="58"/>
  <c r="AB400" i="58"/>
  <c r="AB403" i="58"/>
  <c r="AB406" i="58"/>
  <c r="AB409" i="58"/>
  <c r="AB430" i="58"/>
  <c r="AB460" i="58"/>
  <c r="AB490" i="58"/>
  <c r="AB502" i="58"/>
  <c r="AB505" i="58"/>
  <c r="AB508" i="58"/>
  <c r="AB520" i="58"/>
  <c r="AB550" i="58"/>
  <c r="AB580" i="58"/>
  <c r="AB601" i="58"/>
  <c r="AB604" i="58"/>
  <c r="AB607" i="58"/>
  <c r="AB610" i="58"/>
  <c r="AB640" i="58"/>
  <c r="AB670" i="58"/>
  <c r="AB700" i="58"/>
  <c r="AB703" i="58"/>
  <c r="AB706" i="58"/>
  <c r="AB709" i="58"/>
  <c r="AB730" i="58"/>
  <c r="AB760" i="58"/>
  <c r="AB790" i="58"/>
  <c r="AB802" i="58"/>
  <c r="AB805" i="58"/>
  <c r="AB808" i="58"/>
  <c r="AB820" i="58"/>
  <c r="AB850" i="58"/>
  <c r="AB4" i="58"/>
  <c r="AB98" i="58"/>
  <c r="AB97" i="58"/>
  <c r="AB96" i="58"/>
  <c r="AB95" i="58"/>
  <c r="AB94" i="58"/>
  <c r="AB93" i="58"/>
  <c r="AB92" i="58"/>
  <c r="AB91" i="58"/>
  <c r="AB89" i="58"/>
  <c r="AB88" i="58"/>
  <c r="AB87" i="58"/>
  <c r="AB86" i="58"/>
  <c r="AB85" i="58"/>
  <c r="AB84" i="58"/>
  <c r="AB83" i="58"/>
  <c r="AB82" i="58"/>
  <c r="AB81" i="58"/>
  <c r="AB79" i="58"/>
  <c r="AB78" i="58"/>
  <c r="AB77" i="58"/>
  <c r="AB76" i="58"/>
  <c r="AB75" i="58"/>
  <c r="AB74" i="58"/>
  <c r="AB73" i="58"/>
  <c r="AB72" i="58"/>
  <c r="AB71" i="58"/>
  <c r="AB69" i="58"/>
  <c r="AB68" i="58"/>
  <c r="AB67" i="58"/>
  <c r="AB66" i="58"/>
  <c r="AB65" i="58"/>
  <c r="AB64" i="58"/>
  <c r="AB63" i="58"/>
  <c r="AB62" i="58"/>
  <c r="AB61" i="58"/>
  <c r="AB59" i="58"/>
  <c r="AB58" i="58"/>
  <c r="AB57" i="58"/>
  <c r="AB56" i="58"/>
  <c r="AB55" i="58"/>
  <c r="AB54" i="58"/>
  <c r="AB53" i="58"/>
  <c r="AB52" i="58"/>
  <c r="AB51" i="58"/>
  <c r="AB49" i="58"/>
  <c r="AB48" i="58"/>
  <c r="AB47" i="58"/>
  <c r="AB46" i="58"/>
  <c r="AB45" i="58"/>
  <c r="AB44" i="58"/>
  <c r="AB43" i="58"/>
  <c r="AB42" i="58"/>
  <c r="AB41" i="58"/>
  <c r="AB39" i="58"/>
  <c r="AB38" i="58"/>
  <c r="AB37" i="58"/>
  <c r="AB36" i="58"/>
  <c r="AB35" i="58"/>
  <c r="AB34" i="58"/>
  <c r="AB33" i="58"/>
  <c r="AB32" i="58"/>
  <c r="AB31" i="58"/>
  <c r="AB29" i="58"/>
  <c r="AB28" i="58"/>
  <c r="AB27" i="58"/>
  <c r="AB26" i="58"/>
  <c r="AB25" i="58"/>
  <c r="AB24" i="58"/>
  <c r="AB23" i="58"/>
  <c r="AB22" i="58"/>
  <c r="AB21" i="58"/>
  <c r="AB19" i="58"/>
  <c r="AB18" i="58"/>
  <c r="AB17" i="58"/>
  <c r="AB16" i="58"/>
  <c r="AB15" i="58"/>
  <c r="AB14" i="58"/>
  <c r="AB13" i="58"/>
  <c r="AB12" i="58"/>
  <c r="AB11" i="58"/>
  <c r="AB9" i="58"/>
  <c r="AB8" i="58"/>
  <c r="AB7" i="58"/>
  <c r="AB6" i="58"/>
  <c r="AB5" i="58"/>
  <c r="AB30" i="58"/>
  <c r="AB60" i="58"/>
  <c r="AB90" i="58"/>
  <c r="AB102" i="58"/>
  <c r="AB105" i="58"/>
  <c r="AB108" i="58"/>
  <c r="AB120" i="58"/>
  <c r="AB150" i="58"/>
  <c r="AB180" i="58"/>
  <c r="AB201" i="58"/>
  <c r="AB204" i="58"/>
  <c r="AB207" i="58"/>
  <c r="AB210" i="58"/>
  <c r="AB240" i="58"/>
  <c r="AB270" i="58"/>
  <c r="AB300" i="58"/>
  <c r="AB303" i="58"/>
  <c r="AB306" i="58"/>
  <c r="AB309" i="58"/>
  <c r="AB330" i="58"/>
  <c r="AB360" i="58"/>
  <c r="AB390" i="58"/>
  <c r="AB402" i="58"/>
  <c r="AB405" i="58"/>
  <c r="AB408" i="58"/>
  <c r="AB420" i="58"/>
  <c r="AB450" i="58"/>
  <c r="AB480" i="58"/>
  <c r="AB501" i="58"/>
  <c r="AB504" i="58"/>
  <c r="AB507" i="58"/>
  <c r="AB510" i="58"/>
  <c r="AB540" i="58"/>
  <c r="AB570" i="58"/>
  <c r="AB600" i="58"/>
  <c r="AB603" i="58"/>
  <c r="AB606" i="58"/>
  <c r="AB609" i="58"/>
  <c r="AB630" i="58"/>
  <c r="AB660" i="58"/>
  <c r="AB690" i="58"/>
  <c r="AB702" i="58"/>
  <c r="AB705" i="58"/>
  <c r="AB708" i="58"/>
  <c r="AB720" i="58"/>
  <c r="AB750" i="58"/>
  <c r="AB780" i="58"/>
  <c r="AB801" i="58"/>
  <c r="AB804" i="58"/>
  <c r="AB807" i="58"/>
  <c r="AB810" i="58"/>
  <c r="AB840" i="58"/>
  <c r="AD3" i="58"/>
  <c r="AD23" i="58"/>
  <c r="AD35" i="58"/>
  <c r="AD47" i="58"/>
  <c r="AD59" i="58"/>
  <c r="AD71" i="58"/>
  <c r="AD83" i="58"/>
  <c r="AD95" i="58"/>
  <c r="AD107" i="58"/>
  <c r="AD119" i="58"/>
  <c r="AD131" i="58"/>
  <c r="AD143" i="58"/>
  <c r="AD155" i="58"/>
  <c r="AD167" i="58"/>
  <c r="AD179" i="58"/>
  <c r="AD191" i="58"/>
  <c r="AD203" i="58"/>
  <c r="AD215" i="58"/>
  <c r="AD227" i="58"/>
  <c r="AD239" i="58"/>
  <c r="AD251" i="58"/>
  <c r="AD5" i="58"/>
  <c r="AC9" i="58"/>
  <c r="AC21" i="58"/>
  <c r="AC33" i="58"/>
  <c r="AC45" i="58"/>
  <c r="AC57" i="58"/>
  <c r="AC69" i="58"/>
  <c r="AC81" i="58"/>
  <c r="AC93" i="58"/>
  <c r="AC105" i="58"/>
  <c r="AC117" i="58"/>
  <c r="AC129" i="58"/>
  <c r="AC141" i="58"/>
  <c r="AC153" i="58"/>
  <c r="AC165" i="58"/>
  <c r="AC177" i="58"/>
  <c r="AC189" i="58"/>
  <c r="AC201" i="58"/>
  <c r="AC213" i="58"/>
  <c r="AC225" i="58"/>
  <c r="AC237" i="58"/>
  <c r="AC249" i="58"/>
  <c r="AC261" i="58"/>
  <c r="AC273" i="58"/>
  <c r="AC285" i="58"/>
  <c r="AC297" i="58"/>
  <c r="AC309" i="58"/>
  <c r="AC321" i="58"/>
  <c r="AC333" i="58"/>
  <c r="AC345" i="58"/>
  <c r="AC357" i="58"/>
  <c r="AC369" i="58"/>
  <c r="AC381" i="58"/>
  <c r="AC393" i="58"/>
  <c r="AC405" i="58"/>
  <c r="AC417" i="58"/>
  <c r="AC429" i="58"/>
  <c r="AC441" i="58"/>
  <c r="AC453" i="58"/>
  <c r="AC465" i="58"/>
  <c r="AC477" i="58"/>
  <c r="AC489" i="58"/>
  <c r="AC501" i="58"/>
  <c r="AC513" i="58"/>
  <c r="AC525" i="58"/>
  <c r="AC537" i="58"/>
  <c r="AC549" i="58"/>
  <c r="AC561" i="58"/>
  <c r="AC573" i="58"/>
  <c r="AC585" i="58"/>
  <c r="AD12" i="58"/>
  <c r="AD24" i="58"/>
  <c r="AD36" i="58"/>
  <c r="AD48" i="58"/>
  <c r="AD60" i="58"/>
  <c r="AD72" i="58"/>
  <c r="AD84" i="58"/>
  <c r="AD96" i="58"/>
  <c r="AD108" i="58"/>
  <c r="AD120" i="58"/>
  <c r="AD132" i="58"/>
  <c r="AD144" i="58"/>
  <c r="AD156" i="58"/>
  <c r="AD168" i="58"/>
  <c r="AD180" i="58"/>
  <c r="AD192" i="58"/>
  <c r="AD204" i="58"/>
  <c r="AD216" i="58"/>
  <c r="AD228" i="58"/>
  <c r="AD240" i="58"/>
  <c r="AD252" i="58"/>
  <c r="AD6" i="58"/>
  <c r="AC10" i="58"/>
  <c r="AC22" i="58"/>
  <c r="AC34" i="58"/>
  <c r="AC46" i="58"/>
  <c r="AC58" i="58"/>
  <c r="AC70" i="58"/>
  <c r="AC82" i="58"/>
  <c r="AC94" i="58"/>
  <c r="AC106" i="58"/>
  <c r="AC118" i="58"/>
  <c r="AC130" i="58"/>
  <c r="AC142" i="58"/>
  <c r="AC154" i="58"/>
  <c r="AC166" i="58"/>
  <c r="AC178" i="58"/>
  <c r="AC190" i="58"/>
  <c r="AC202" i="58"/>
  <c r="AC214" i="58"/>
  <c r="AC226" i="58"/>
  <c r="AC238" i="58"/>
  <c r="AC250" i="58"/>
  <c r="AC262" i="58"/>
  <c r="AC274" i="58"/>
  <c r="AC286" i="58"/>
  <c r="AC298" i="58"/>
  <c r="AC310" i="58"/>
  <c r="AC322" i="58"/>
  <c r="AC334" i="58"/>
  <c r="AC346" i="58"/>
  <c r="AC358" i="58"/>
  <c r="AC370" i="58"/>
  <c r="AC382" i="58"/>
  <c r="AC394" i="58"/>
  <c r="AC406" i="58"/>
  <c r="AC418" i="58"/>
  <c r="AC430" i="58"/>
  <c r="AC442" i="58"/>
  <c r="AC454" i="58"/>
  <c r="AC466" i="58"/>
  <c r="AC478" i="58"/>
  <c r="AC490" i="58"/>
  <c r="AC502" i="58"/>
  <c r="AC514" i="58"/>
  <c r="AC526" i="58"/>
  <c r="AC538" i="58"/>
  <c r="AD13" i="58"/>
  <c r="AD25" i="58"/>
  <c r="AD37" i="58"/>
  <c r="AD49" i="58"/>
  <c r="AD61" i="58"/>
  <c r="AD73" i="58"/>
  <c r="AD85" i="58"/>
  <c r="AD97" i="58"/>
  <c r="AD109" i="58"/>
  <c r="AD121" i="58"/>
  <c r="AD133" i="58"/>
  <c r="AD145" i="58"/>
  <c r="AD157" i="58"/>
  <c r="AD169" i="58"/>
  <c r="AD181" i="58"/>
  <c r="AD193" i="58"/>
  <c r="AD205" i="58"/>
  <c r="AD217" i="58"/>
  <c r="AD229" i="58"/>
  <c r="AD241" i="58"/>
  <c r="AD253" i="58"/>
  <c r="AD7" i="58"/>
  <c r="AC11" i="58"/>
  <c r="AC23" i="58"/>
  <c r="AC35" i="58"/>
  <c r="AC47" i="58"/>
  <c r="AC59" i="58"/>
  <c r="AC71" i="58"/>
  <c r="AC83" i="58"/>
  <c r="AC95" i="58"/>
  <c r="AC107" i="58"/>
  <c r="AC119" i="58"/>
  <c r="AC131" i="58"/>
  <c r="AC143" i="58"/>
  <c r="AC155" i="58"/>
  <c r="AC167" i="58"/>
  <c r="AC179" i="58"/>
  <c r="AC191" i="58"/>
  <c r="AC203" i="58"/>
  <c r="AC215" i="58"/>
  <c r="AC227" i="58"/>
  <c r="AC239" i="58"/>
  <c r="AC251" i="58"/>
  <c r="AC263" i="58"/>
  <c r="AC275" i="58"/>
  <c r="AC287" i="58"/>
  <c r="AC299" i="58"/>
  <c r="AC311" i="58"/>
  <c r="AC323" i="58"/>
  <c r="AC335" i="58"/>
  <c r="AC347" i="58"/>
  <c r="AC359" i="58"/>
  <c r="AC371" i="58"/>
  <c r="AC383" i="58"/>
  <c r="AC395" i="58"/>
  <c r="AC407" i="58"/>
  <c r="AC419" i="58"/>
  <c r="AC431" i="58"/>
  <c r="AC443" i="58"/>
  <c r="AC455" i="58"/>
  <c r="AC467" i="58"/>
  <c r="AC479" i="58"/>
  <c r="AC491" i="58"/>
  <c r="AC503" i="58"/>
  <c r="AC515" i="58"/>
  <c r="AC527" i="58"/>
  <c r="AC539" i="58"/>
  <c r="AC551" i="58"/>
  <c r="AC563" i="58"/>
  <c r="AC575" i="58"/>
  <c r="AC587" i="58"/>
  <c r="AC599" i="58"/>
  <c r="AC611" i="58"/>
  <c r="AC623" i="58"/>
  <c r="AD14" i="58"/>
  <c r="AD26" i="58"/>
  <c r="AD38" i="58"/>
  <c r="AD50" i="58"/>
  <c r="AD62" i="58"/>
  <c r="AD74" i="58"/>
  <c r="AD86" i="58"/>
  <c r="AD98" i="58"/>
  <c r="AD110" i="58"/>
  <c r="AD122" i="58"/>
  <c r="AD134" i="58"/>
  <c r="AD146" i="58"/>
  <c r="AD158" i="58"/>
  <c r="AD170" i="58"/>
  <c r="AD182" i="58"/>
  <c r="AD194" i="58"/>
  <c r="AD206" i="58"/>
  <c r="AD218" i="58"/>
  <c r="AD230" i="58"/>
  <c r="AD242" i="58"/>
  <c r="AD254" i="58"/>
  <c r="AD8" i="58"/>
  <c r="AC12" i="58"/>
  <c r="AC24" i="58"/>
  <c r="AC36" i="58"/>
  <c r="AC48" i="58"/>
  <c r="AC60" i="58"/>
  <c r="AC72" i="58"/>
  <c r="AC84" i="58"/>
  <c r="AC96" i="58"/>
  <c r="AC108" i="58"/>
  <c r="AC120" i="58"/>
  <c r="AC132" i="58"/>
  <c r="AC144" i="58"/>
  <c r="AC156" i="58"/>
  <c r="AC168" i="58"/>
  <c r="AC180" i="58"/>
  <c r="AC192" i="58"/>
  <c r="AC204" i="58"/>
  <c r="AC216" i="58"/>
  <c r="AC228" i="58"/>
  <c r="AC240" i="58"/>
  <c r="AC252" i="58"/>
  <c r="AC264" i="58"/>
  <c r="AC276" i="58"/>
  <c r="AC288" i="58"/>
  <c r="AC300" i="58"/>
  <c r="AC312" i="58"/>
  <c r="AC324" i="58"/>
  <c r="AC336" i="58"/>
  <c r="AC348" i="58"/>
  <c r="AC360" i="58"/>
  <c r="AC372" i="58"/>
  <c r="AC384" i="58"/>
  <c r="AC396" i="58"/>
  <c r="AC408" i="58"/>
  <c r="AC420" i="58"/>
  <c r="AC432" i="58"/>
  <c r="AC444" i="58"/>
  <c r="AC456" i="58"/>
  <c r="AC468" i="58"/>
  <c r="AC480" i="58"/>
  <c r="AC492" i="58"/>
  <c r="AC504" i="58"/>
  <c r="AC516" i="58"/>
  <c r="AC528" i="58"/>
  <c r="AC540" i="58"/>
  <c r="AC552" i="58"/>
  <c r="AC564" i="58"/>
  <c r="AC576" i="58"/>
  <c r="AC588" i="58"/>
  <c r="AC600" i="58"/>
  <c r="AC612" i="58"/>
  <c r="AC624" i="58"/>
  <c r="AD15" i="58"/>
  <c r="AD27" i="58"/>
  <c r="AD39" i="58"/>
  <c r="AD51" i="58"/>
  <c r="AD63" i="58"/>
  <c r="AD75" i="58"/>
  <c r="AD87" i="58"/>
  <c r="AD99" i="58"/>
  <c r="AD111" i="58"/>
  <c r="AD123" i="58"/>
  <c r="AD135" i="58"/>
  <c r="AD147" i="58"/>
  <c r="AD159" i="58"/>
  <c r="AD171" i="58"/>
  <c r="AD183" i="58"/>
  <c r="AD195" i="58"/>
  <c r="AD207" i="58"/>
  <c r="AD219" i="58"/>
  <c r="AD231" i="58"/>
  <c r="AD243" i="58"/>
  <c r="AD255" i="58"/>
  <c r="AD9" i="58"/>
  <c r="AC13" i="58"/>
  <c r="AC25" i="58"/>
  <c r="AC37" i="58"/>
  <c r="AC49" i="58"/>
  <c r="AC61" i="58"/>
  <c r="AC73" i="58"/>
  <c r="AC85" i="58"/>
  <c r="AC97" i="58"/>
  <c r="AC109" i="58"/>
  <c r="AC121" i="58"/>
  <c r="AC133" i="58"/>
  <c r="AC145" i="58"/>
  <c r="AC157" i="58"/>
  <c r="AC169" i="58"/>
  <c r="AC181" i="58"/>
  <c r="AC193" i="58"/>
  <c r="AC205" i="58"/>
  <c r="AC217" i="58"/>
  <c r="AC229" i="58"/>
  <c r="AC241" i="58"/>
  <c r="AC253" i="58"/>
  <c r="AC265" i="58"/>
  <c r="AC277" i="58"/>
  <c r="AC289" i="58"/>
  <c r="AC301" i="58"/>
  <c r="AC313" i="58"/>
  <c r="AC325" i="58"/>
  <c r="AC337" i="58"/>
  <c r="AC349" i="58"/>
  <c r="AC361" i="58"/>
  <c r="AC373" i="58"/>
  <c r="AC385" i="58"/>
  <c r="AC397" i="58"/>
  <c r="AC409" i="58"/>
  <c r="AC421" i="58"/>
  <c r="AC433" i="58"/>
  <c r="AC445" i="58"/>
  <c r="AC457" i="58"/>
  <c r="AC469" i="58"/>
  <c r="AC481" i="58"/>
  <c r="AC493" i="58"/>
  <c r="AC505" i="58"/>
  <c r="AC517" i="58"/>
  <c r="AC529" i="58"/>
  <c r="AC541" i="58"/>
  <c r="AC553" i="58"/>
  <c r="AC565" i="58"/>
  <c r="AC577" i="58"/>
  <c r="AD16" i="58"/>
  <c r="AD28" i="58"/>
  <c r="AD40" i="58"/>
  <c r="AD52" i="58"/>
  <c r="AD64" i="58"/>
  <c r="AD76" i="58"/>
  <c r="AD88" i="58"/>
  <c r="AD100" i="58"/>
  <c r="AD112" i="58"/>
  <c r="AD124" i="58"/>
  <c r="AD136" i="58"/>
  <c r="AD148" i="58"/>
  <c r="AD160" i="58"/>
  <c r="AD172" i="58"/>
  <c r="AD184" i="58"/>
  <c r="AD196" i="58"/>
  <c r="AD208" i="58"/>
  <c r="AD220" i="58"/>
  <c r="AD232" i="58"/>
  <c r="AD244" i="58"/>
  <c r="AD256" i="58"/>
  <c r="AD10" i="58"/>
  <c r="AC14" i="58"/>
  <c r="AC26" i="58"/>
  <c r="AC38" i="58"/>
  <c r="AC50" i="58"/>
  <c r="AC62" i="58"/>
  <c r="AC74" i="58"/>
  <c r="AC86" i="58"/>
  <c r="AC98" i="58"/>
  <c r="AC110" i="58"/>
  <c r="AC122" i="58"/>
  <c r="AC134" i="58"/>
  <c r="AC146" i="58"/>
  <c r="AC158" i="58"/>
  <c r="AC170" i="58"/>
  <c r="AC182" i="58"/>
  <c r="AC194" i="58"/>
  <c r="AC206" i="58"/>
  <c r="AC218" i="58"/>
  <c r="AC230" i="58"/>
  <c r="AC242" i="58"/>
  <c r="AC254" i="58"/>
  <c r="AC266" i="58"/>
  <c r="AC278" i="58"/>
  <c r="AC290" i="58"/>
  <c r="AC302" i="58"/>
  <c r="AC314" i="58"/>
  <c r="AC326" i="58"/>
  <c r="AC338" i="58"/>
  <c r="AC350" i="58"/>
  <c r="AC362" i="58"/>
  <c r="AC374" i="58"/>
  <c r="AC386" i="58"/>
  <c r="AC398" i="58"/>
  <c r="AC410" i="58"/>
  <c r="AC422" i="58"/>
  <c r="AC434" i="58"/>
  <c r="AC446" i="58"/>
  <c r="AC458" i="58"/>
  <c r="AC470" i="58"/>
  <c r="AC482" i="58"/>
  <c r="AC494" i="58"/>
  <c r="AC506" i="58"/>
  <c r="AC518" i="58"/>
  <c r="AC530" i="58"/>
  <c r="AC542" i="58"/>
  <c r="AC554" i="58"/>
  <c r="AC566" i="58"/>
  <c r="AC578" i="58"/>
  <c r="AD17" i="58"/>
  <c r="AD29" i="58"/>
  <c r="AD41" i="58"/>
  <c r="AD53" i="58"/>
  <c r="AD65" i="58"/>
  <c r="AD77" i="58"/>
  <c r="AD89" i="58"/>
  <c r="AD101" i="58"/>
  <c r="AD113" i="58"/>
  <c r="AD125" i="58"/>
  <c r="AD137" i="58"/>
  <c r="AD149" i="58"/>
  <c r="AD161" i="58"/>
  <c r="AD173" i="58"/>
  <c r="AD185" i="58"/>
  <c r="AD197" i="58"/>
  <c r="AD209" i="58"/>
  <c r="AD221" i="58"/>
  <c r="AD233" i="58"/>
  <c r="AD245" i="58"/>
  <c r="AD257" i="58"/>
  <c r="AD11" i="58"/>
  <c r="AC15" i="58"/>
  <c r="AC27" i="58"/>
  <c r="AC39" i="58"/>
  <c r="AC51" i="58"/>
  <c r="AC63" i="58"/>
  <c r="AC75" i="58"/>
  <c r="AC87" i="58"/>
  <c r="AC99" i="58"/>
  <c r="AC111" i="58"/>
  <c r="AC123" i="58"/>
  <c r="AC135" i="58"/>
  <c r="AC147" i="58"/>
  <c r="AC159" i="58"/>
  <c r="AC171" i="58"/>
  <c r="AC183" i="58"/>
  <c r="AC195" i="58"/>
  <c r="AC207" i="58"/>
  <c r="AC219" i="58"/>
  <c r="AC231" i="58"/>
  <c r="AC243" i="58"/>
  <c r="AC255" i="58"/>
  <c r="AC267" i="58"/>
  <c r="AC279" i="58"/>
  <c r="AC291" i="58"/>
  <c r="AC303" i="58"/>
  <c r="AC315" i="58"/>
  <c r="AC327" i="58"/>
  <c r="AC339" i="58"/>
  <c r="AC351" i="58"/>
  <c r="AC363" i="58"/>
  <c r="AC375" i="58"/>
  <c r="AC387" i="58"/>
  <c r="AC399" i="58"/>
  <c r="AC411" i="58"/>
  <c r="AC423" i="58"/>
  <c r="AC435" i="58"/>
  <c r="AC447" i="58"/>
  <c r="AC459" i="58"/>
  <c r="AC471" i="58"/>
  <c r="AC483" i="58"/>
  <c r="AC495" i="58"/>
  <c r="AC507" i="58"/>
  <c r="AC519" i="58"/>
  <c r="AC531" i="58"/>
  <c r="AC543" i="58"/>
  <c r="AC555" i="58"/>
  <c r="AC567" i="58"/>
  <c r="AC579" i="58"/>
  <c r="AD18" i="58"/>
  <c r="AD30" i="58"/>
  <c r="AD42" i="58"/>
  <c r="AD54" i="58"/>
  <c r="AD66" i="58"/>
  <c r="AD78" i="58"/>
  <c r="AD90" i="58"/>
  <c r="AD102" i="58"/>
  <c r="AD114" i="58"/>
  <c r="AD126" i="58"/>
  <c r="AD138" i="58"/>
  <c r="AD150" i="58"/>
  <c r="AD162" i="58"/>
  <c r="AD174" i="58"/>
  <c r="AD186" i="58"/>
  <c r="AD198" i="58"/>
  <c r="AD210" i="58"/>
  <c r="AD222" i="58"/>
  <c r="AD234" i="58"/>
  <c r="AD246" i="58"/>
  <c r="AD258" i="58"/>
  <c r="AC4" i="58"/>
  <c r="AC16" i="58"/>
  <c r="AC28" i="58"/>
  <c r="AC40" i="58"/>
  <c r="AC52" i="58"/>
  <c r="AC64" i="58"/>
  <c r="AC76" i="58"/>
  <c r="AC88" i="58"/>
  <c r="AC100" i="58"/>
  <c r="AC112" i="58"/>
  <c r="AC124" i="58"/>
  <c r="AC136" i="58"/>
  <c r="AC148" i="58"/>
  <c r="AC160" i="58"/>
  <c r="AC172" i="58"/>
  <c r="AC184" i="58"/>
  <c r="AC196" i="58"/>
  <c r="AC208" i="58"/>
  <c r="AC220" i="58"/>
  <c r="AC232" i="58"/>
  <c r="AC244" i="58"/>
  <c r="AC256" i="58"/>
  <c r="AC268" i="58"/>
  <c r="AC280" i="58"/>
  <c r="AC292" i="58"/>
  <c r="AC304" i="58"/>
  <c r="AC316" i="58"/>
  <c r="AC328" i="58"/>
  <c r="AC340" i="58"/>
  <c r="AC352" i="58"/>
  <c r="AC364" i="58"/>
  <c r="AC376" i="58"/>
  <c r="AC388" i="58"/>
  <c r="AC400" i="58"/>
  <c r="AC412" i="58"/>
  <c r="AC424" i="58"/>
  <c r="AC436" i="58"/>
  <c r="AC448" i="58"/>
  <c r="AC460" i="58"/>
  <c r="AC472" i="58"/>
  <c r="AC484" i="58"/>
  <c r="AC496" i="58"/>
  <c r="AC508" i="58"/>
  <c r="AC520" i="58"/>
  <c r="AC532" i="58"/>
  <c r="AC544" i="58"/>
  <c r="AC556" i="58"/>
  <c r="AD19" i="58"/>
  <c r="AD31" i="58"/>
  <c r="AD43" i="58"/>
  <c r="AD55" i="58"/>
  <c r="AD67" i="58"/>
  <c r="AD79" i="58"/>
  <c r="AD91" i="58"/>
  <c r="AD103" i="58"/>
  <c r="AD115" i="58"/>
  <c r="AD127" i="58"/>
  <c r="AD139" i="58"/>
  <c r="AD151" i="58"/>
  <c r="AD163" i="58"/>
  <c r="AD175" i="58"/>
  <c r="AD187" i="58"/>
  <c r="AD199" i="58"/>
  <c r="AD211" i="58"/>
  <c r="AD223" i="58"/>
  <c r="AD235" i="58"/>
  <c r="AD247" i="58"/>
  <c r="AD259" i="58"/>
  <c r="AC5" i="58"/>
  <c r="AC17" i="58"/>
  <c r="AC29" i="58"/>
  <c r="AC41" i="58"/>
  <c r="AC53" i="58"/>
  <c r="AC65" i="58"/>
  <c r="AC77" i="58"/>
  <c r="AC89" i="58"/>
  <c r="AC101" i="58"/>
  <c r="AC113" i="58"/>
  <c r="AC125" i="58"/>
  <c r="AC137" i="58"/>
  <c r="AC149" i="58"/>
  <c r="AC161" i="58"/>
  <c r="AC173" i="58"/>
  <c r="AC185" i="58"/>
  <c r="AC197" i="58"/>
  <c r="AC209" i="58"/>
  <c r="AC221" i="58"/>
  <c r="AC233" i="58"/>
  <c r="AC245" i="58"/>
  <c r="AC257" i="58"/>
  <c r="AC269" i="58"/>
  <c r="AC281" i="58"/>
  <c r="AC293" i="58"/>
  <c r="AC305" i="58"/>
  <c r="AC317" i="58"/>
  <c r="AC329" i="58"/>
  <c r="AC341" i="58"/>
  <c r="AC353" i="58"/>
  <c r="AC365" i="58"/>
  <c r="AC377" i="58"/>
  <c r="AC389" i="58"/>
  <c r="AC401" i="58"/>
  <c r="AC413" i="58"/>
  <c r="AC425" i="58"/>
  <c r="AC437" i="58"/>
  <c r="AC449" i="58"/>
  <c r="AC461" i="58"/>
  <c r="AC473" i="58"/>
  <c r="AC485" i="58"/>
  <c r="AC497" i="58"/>
  <c r="AC509" i="58"/>
  <c r="AC521" i="58"/>
  <c r="AC533" i="58"/>
  <c r="AC545" i="58"/>
  <c r="AC557" i="58"/>
  <c r="AC569" i="58"/>
  <c r="AD20" i="58"/>
  <c r="AD32" i="58"/>
  <c r="AD44" i="58"/>
  <c r="AD56" i="58"/>
  <c r="AD68" i="58"/>
  <c r="AD80" i="58"/>
  <c r="AD92" i="58"/>
  <c r="AD104" i="58"/>
  <c r="AD116" i="58"/>
  <c r="AD128" i="58"/>
  <c r="AD140" i="58"/>
  <c r="AD152" i="58"/>
  <c r="AD164" i="58"/>
  <c r="AD176" i="58"/>
  <c r="AD188" i="58"/>
  <c r="AD200" i="58"/>
  <c r="AD212" i="58"/>
  <c r="AD224" i="58"/>
  <c r="AD236" i="58"/>
  <c r="AD248" i="58"/>
  <c r="AD260" i="58"/>
  <c r="AC6" i="58"/>
  <c r="AC18" i="58"/>
  <c r="AC30" i="58"/>
  <c r="AC42" i="58"/>
  <c r="AC54" i="58"/>
  <c r="AC66" i="58"/>
  <c r="AC78" i="58"/>
  <c r="AC90" i="58"/>
  <c r="AC102" i="58"/>
  <c r="AC114" i="58"/>
  <c r="AC126" i="58"/>
  <c r="AC138" i="58"/>
  <c r="AC150" i="58"/>
  <c r="AC162" i="58"/>
  <c r="AC174" i="58"/>
  <c r="AC186" i="58"/>
  <c r="AC198" i="58"/>
  <c r="AC210" i="58"/>
  <c r="AC222" i="58"/>
  <c r="AC234" i="58"/>
  <c r="AC246" i="58"/>
  <c r="AC258" i="58"/>
  <c r="AC270" i="58"/>
  <c r="AC282" i="58"/>
  <c r="AC294" i="58"/>
  <c r="AC306" i="58"/>
  <c r="AC318" i="58"/>
  <c r="AC330" i="58"/>
  <c r="AC342" i="58"/>
  <c r="AC354" i="58"/>
  <c r="AC366" i="58"/>
  <c r="AC378" i="58"/>
  <c r="AC390" i="58"/>
  <c r="AC402" i="58"/>
  <c r="AC414" i="58"/>
  <c r="AC426" i="58"/>
  <c r="AC438" i="58"/>
  <c r="AC450" i="58"/>
  <c r="AC462" i="58"/>
  <c r="AC474" i="58"/>
  <c r="AC486" i="58"/>
  <c r="AC498" i="58"/>
  <c r="AC510" i="58"/>
  <c r="AC522" i="58"/>
  <c r="AC534" i="58"/>
  <c r="AC546" i="58"/>
  <c r="AC558" i="58"/>
  <c r="AC570" i="58"/>
  <c r="AC582" i="58"/>
  <c r="AC594" i="58"/>
  <c r="AC606" i="58"/>
  <c r="AC618" i="58"/>
  <c r="AC630" i="58"/>
  <c r="AD21" i="58"/>
  <c r="AD33" i="58"/>
  <c r="AD45" i="58"/>
  <c r="AD57" i="58"/>
  <c r="AD69" i="58"/>
  <c r="AD81" i="58"/>
  <c r="AD93" i="58"/>
  <c r="AD105" i="58"/>
  <c r="AD117" i="58"/>
  <c r="AD129" i="58"/>
  <c r="AD141" i="58"/>
  <c r="AD153" i="58"/>
  <c r="AD165" i="58"/>
  <c r="AD177" i="58"/>
  <c r="AD189" i="58"/>
  <c r="AD201" i="58"/>
  <c r="AD213" i="58"/>
  <c r="AD225" i="58"/>
  <c r="AD237" i="58"/>
  <c r="AD249" i="58"/>
  <c r="AC7" i="58"/>
  <c r="AC19" i="58"/>
  <c r="AC31" i="58"/>
  <c r="AC43" i="58"/>
  <c r="AC55" i="58"/>
  <c r="AC67" i="58"/>
  <c r="AC79" i="58"/>
  <c r="AC91" i="58"/>
  <c r="AC103" i="58"/>
  <c r="AC115" i="58"/>
  <c r="AC127" i="58"/>
  <c r="AC139" i="58"/>
  <c r="AC151" i="58"/>
  <c r="AC163" i="58"/>
  <c r="AC175" i="58"/>
  <c r="AC187" i="58"/>
  <c r="AC199" i="58"/>
  <c r="AC211" i="58"/>
  <c r="AC223" i="58"/>
  <c r="AC235" i="58"/>
  <c r="AC247" i="58"/>
  <c r="AC259" i="58"/>
  <c r="AC271" i="58"/>
  <c r="AC283" i="58"/>
  <c r="AC295" i="58"/>
  <c r="AC307" i="58"/>
  <c r="AC319" i="58"/>
  <c r="AC331" i="58"/>
  <c r="AC343" i="58"/>
  <c r="AC355" i="58"/>
  <c r="AC367" i="58"/>
  <c r="AC379" i="58"/>
  <c r="AC391" i="58"/>
  <c r="AC403" i="58"/>
  <c r="AC415" i="58"/>
  <c r="AC427" i="58"/>
  <c r="AC439" i="58"/>
  <c r="AC451" i="58"/>
  <c r="AC463" i="58"/>
  <c r="AC475" i="58"/>
  <c r="AC487" i="58"/>
  <c r="AC499" i="58"/>
  <c r="AC511" i="58"/>
  <c r="AC523" i="58"/>
  <c r="AC535" i="58"/>
  <c r="AD22" i="58"/>
  <c r="AD166" i="58"/>
  <c r="AC56" i="58"/>
  <c r="AC200" i="58"/>
  <c r="AC344" i="58"/>
  <c r="AC488" i="58"/>
  <c r="AC571" i="58"/>
  <c r="AC593" i="58"/>
  <c r="AC609" i="58"/>
  <c r="AC626" i="58"/>
  <c r="AC639" i="58"/>
  <c r="AC651" i="58"/>
  <c r="AC663" i="58"/>
  <c r="AC675" i="58"/>
  <c r="AC687" i="58"/>
  <c r="AC699" i="58"/>
  <c r="AC711" i="58"/>
  <c r="AC723" i="58"/>
  <c r="AC735" i="58"/>
  <c r="AC747" i="58"/>
  <c r="AC759" i="58"/>
  <c r="AC771" i="58"/>
  <c r="AC783" i="58"/>
  <c r="AC795" i="58"/>
  <c r="AC807" i="58"/>
  <c r="AC819" i="58"/>
  <c r="AC831" i="58"/>
  <c r="AC843" i="58"/>
  <c r="AC855" i="58"/>
  <c r="AC844" i="58"/>
  <c r="AC856" i="58"/>
  <c r="AC857" i="58"/>
  <c r="AC823" i="58"/>
  <c r="AC824" i="58"/>
  <c r="AC850" i="58"/>
  <c r="AC792" i="58"/>
  <c r="AC32" i="58"/>
  <c r="AC649" i="58"/>
  <c r="AC757" i="58"/>
  <c r="AC806" i="58"/>
  <c r="AD34" i="58"/>
  <c r="AD178" i="58"/>
  <c r="AC68" i="58"/>
  <c r="AC212" i="58"/>
  <c r="AC356" i="58"/>
  <c r="AC500" i="58"/>
  <c r="AC572" i="58"/>
  <c r="AC595" i="58"/>
  <c r="AC610" i="58"/>
  <c r="AC627" i="58"/>
  <c r="AC640" i="58"/>
  <c r="AC652" i="58"/>
  <c r="AC664" i="58"/>
  <c r="AC676" i="58"/>
  <c r="AC688" i="58"/>
  <c r="AC700" i="58"/>
  <c r="AC712" i="58"/>
  <c r="AC724" i="58"/>
  <c r="AC736" i="58"/>
  <c r="AC748" i="58"/>
  <c r="AC760" i="58"/>
  <c r="AC772" i="58"/>
  <c r="AC784" i="58"/>
  <c r="AC796" i="58"/>
  <c r="AC808" i="58"/>
  <c r="AC820" i="58"/>
  <c r="AC832" i="58"/>
  <c r="AC858" i="58"/>
  <c r="AC835" i="58"/>
  <c r="AC859" i="58"/>
  <c r="AC848" i="58"/>
  <c r="AC861" i="58"/>
  <c r="AC851" i="58"/>
  <c r="AC562" i="58"/>
  <c r="AC685" i="58"/>
  <c r="AC781" i="58"/>
  <c r="AC842" i="58"/>
  <c r="AD46" i="58"/>
  <c r="AD190" i="58"/>
  <c r="AC80" i="58"/>
  <c r="AC224" i="58"/>
  <c r="AC368" i="58"/>
  <c r="AC512" i="58"/>
  <c r="AC574" i="58"/>
  <c r="AC596" i="58"/>
  <c r="AC613" i="58"/>
  <c r="AC628" i="58"/>
  <c r="AC641" i="58"/>
  <c r="AC653" i="58"/>
  <c r="AC665" i="58"/>
  <c r="AC677" i="58"/>
  <c r="AC689" i="58"/>
  <c r="AC701" i="58"/>
  <c r="AC713" i="58"/>
  <c r="AC725" i="58"/>
  <c r="AC737" i="58"/>
  <c r="AC749" i="58"/>
  <c r="AC761" i="58"/>
  <c r="AC773" i="58"/>
  <c r="AC785" i="58"/>
  <c r="AC797" i="58"/>
  <c r="AC809" i="58"/>
  <c r="AC821" i="58"/>
  <c r="AC833" i="58"/>
  <c r="AC845" i="58"/>
  <c r="AC799" i="58"/>
  <c r="AC847" i="58"/>
  <c r="AC836" i="58"/>
  <c r="AC826" i="58"/>
  <c r="AC839" i="58"/>
  <c r="AC320" i="58"/>
  <c r="AC673" i="58"/>
  <c r="AC841" i="58"/>
  <c r="AD58" i="58"/>
  <c r="AD202" i="58"/>
  <c r="AC92" i="58"/>
  <c r="AC236" i="58"/>
  <c r="AC380" i="58"/>
  <c r="AC524" i="58"/>
  <c r="AC580" i="58"/>
  <c r="AC597" i="58"/>
  <c r="AC614" i="58"/>
  <c r="AC629" i="58"/>
  <c r="AC642" i="58"/>
  <c r="AC654" i="58"/>
  <c r="AC666" i="58"/>
  <c r="AC678" i="58"/>
  <c r="AC690" i="58"/>
  <c r="AC702" i="58"/>
  <c r="AC714" i="58"/>
  <c r="AC726" i="58"/>
  <c r="AC738" i="58"/>
  <c r="AC750" i="58"/>
  <c r="AC762" i="58"/>
  <c r="AC774" i="58"/>
  <c r="AC786" i="58"/>
  <c r="AC798" i="58"/>
  <c r="AC810" i="58"/>
  <c r="AC822" i="58"/>
  <c r="AC834" i="58"/>
  <c r="AC846" i="58"/>
  <c r="AC787" i="58"/>
  <c r="AC812" i="58"/>
  <c r="AC814" i="58"/>
  <c r="AC3" i="58"/>
  <c r="AC852" i="58"/>
  <c r="AC176" i="58"/>
  <c r="AC709" i="58"/>
  <c r="AC853" i="58"/>
  <c r="AD70" i="58"/>
  <c r="AD214" i="58"/>
  <c r="AC104" i="58"/>
  <c r="AC248" i="58"/>
  <c r="AC392" i="58"/>
  <c r="AC536" i="58"/>
  <c r="AC581" i="58"/>
  <c r="AC598" i="58"/>
  <c r="AC615" i="58"/>
  <c r="AC631" i="58"/>
  <c r="AC643" i="58"/>
  <c r="AC655" i="58"/>
  <c r="AC667" i="58"/>
  <c r="AC679" i="58"/>
  <c r="AC691" i="58"/>
  <c r="AC703" i="58"/>
  <c r="AC715" i="58"/>
  <c r="AC727" i="58"/>
  <c r="AC739" i="58"/>
  <c r="AC751" i="58"/>
  <c r="AC763" i="58"/>
  <c r="AC775" i="58"/>
  <c r="AC811" i="58"/>
  <c r="AC849" i="58"/>
  <c r="AC838" i="58"/>
  <c r="AC804" i="58"/>
  <c r="AC464" i="58"/>
  <c r="AC697" i="58"/>
  <c r="AC817" i="58"/>
  <c r="AD82" i="58"/>
  <c r="AD226" i="58"/>
  <c r="AC116" i="58"/>
  <c r="AC260" i="58"/>
  <c r="AC404" i="58"/>
  <c r="AC547" i="58"/>
  <c r="AC583" i="58"/>
  <c r="AC601" i="58"/>
  <c r="AC616" i="58"/>
  <c r="AC632" i="58"/>
  <c r="AC644" i="58"/>
  <c r="AC656" i="58"/>
  <c r="AC668" i="58"/>
  <c r="AC680" i="58"/>
  <c r="AC692" i="58"/>
  <c r="AC704" i="58"/>
  <c r="AC716" i="58"/>
  <c r="AC728" i="58"/>
  <c r="AC740" i="58"/>
  <c r="AC752" i="58"/>
  <c r="AC764" i="58"/>
  <c r="AC776" i="58"/>
  <c r="AC788" i="58"/>
  <c r="AC800" i="58"/>
  <c r="AC860" i="58"/>
  <c r="AC815" i="58"/>
  <c r="AC622" i="58"/>
  <c r="AC745" i="58"/>
  <c r="AC818" i="58"/>
  <c r="AD94" i="58"/>
  <c r="AD238" i="58"/>
  <c r="AC128" i="58"/>
  <c r="AC272" i="58"/>
  <c r="AC416" i="58"/>
  <c r="AC548" i="58"/>
  <c r="AC584" i="58"/>
  <c r="AC602" i="58"/>
  <c r="AC617" i="58"/>
  <c r="AC633" i="58"/>
  <c r="AC645" i="58"/>
  <c r="AC657" i="58"/>
  <c r="AC669" i="58"/>
  <c r="AC681" i="58"/>
  <c r="AC693" i="58"/>
  <c r="AC705" i="58"/>
  <c r="AC717" i="58"/>
  <c r="AC729" i="58"/>
  <c r="AC741" i="58"/>
  <c r="AC753" i="58"/>
  <c r="AC765" i="58"/>
  <c r="AC777" i="58"/>
  <c r="AC789" i="58"/>
  <c r="AC801" i="58"/>
  <c r="AC813" i="58"/>
  <c r="AC825" i="58"/>
  <c r="AC837" i="58"/>
  <c r="AC827" i="58"/>
  <c r="AC840" i="58"/>
  <c r="AC607" i="58"/>
  <c r="AC733" i="58"/>
  <c r="AC829" i="58"/>
  <c r="AD106" i="58"/>
  <c r="AD250" i="58"/>
  <c r="AD4" i="58"/>
  <c r="AC140" i="58"/>
  <c r="AC284" i="58"/>
  <c r="AC428" i="58"/>
  <c r="AC550" i="58"/>
  <c r="AC586" i="58"/>
  <c r="AC603" i="58"/>
  <c r="AC619" i="58"/>
  <c r="AC634" i="58"/>
  <c r="AC646" i="58"/>
  <c r="AC658" i="58"/>
  <c r="AC670" i="58"/>
  <c r="AC682" i="58"/>
  <c r="AC694" i="58"/>
  <c r="AC706" i="58"/>
  <c r="AC718" i="58"/>
  <c r="AC730" i="58"/>
  <c r="AC742" i="58"/>
  <c r="AC754" i="58"/>
  <c r="AC766" i="58"/>
  <c r="AC778" i="58"/>
  <c r="AC790" i="58"/>
  <c r="AC802" i="58"/>
  <c r="AC862" i="58"/>
  <c r="AC828" i="58"/>
  <c r="AD142" i="58"/>
  <c r="AC661" i="58"/>
  <c r="AC805" i="58"/>
  <c r="AD118" i="58"/>
  <c r="AC8" i="58"/>
  <c r="AC152" i="58"/>
  <c r="AC296" i="58"/>
  <c r="AC440" i="58"/>
  <c r="AC559" i="58"/>
  <c r="AC589" i="58"/>
  <c r="AC604" i="58"/>
  <c r="AC620" i="58"/>
  <c r="AC635" i="58"/>
  <c r="AC647" i="58"/>
  <c r="AC659" i="58"/>
  <c r="AC671" i="58"/>
  <c r="AC683" i="58"/>
  <c r="AC695" i="58"/>
  <c r="AC707" i="58"/>
  <c r="AC719" i="58"/>
  <c r="AC731" i="58"/>
  <c r="AC743" i="58"/>
  <c r="AC755" i="58"/>
  <c r="AC767" i="58"/>
  <c r="AC779" i="58"/>
  <c r="AC791" i="58"/>
  <c r="AC803" i="58"/>
  <c r="AC591" i="58"/>
  <c r="AC769" i="58"/>
  <c r="AD130" i="58"/>
  <c r="AC20" i="58"/>
  <c r="AC164" i="58"/>
  <c r="AC308" i="58"/>
  <c r="AC452" i="58"/>
  <c r="AC560" i="58"/>
  <c r="AC590" i="58"/>
  <c r="AC605" i="58"/>
  <c r="AC621" i="58"/>
  <c r="AC636" i="58"/>
  <c r="AC648" i="58"/>
  <c r="AC660" i="58"/>
  <c r="AC672" i="58"/>
  <c r="AC684" i="58"/>
  <c r="AC696" i="58"/>
  <c r="AC708" i="58"/>
  <c r="AC720" i="58"/>
  <c r="AC732" i="58"/>
  <c r="AC744" i="58"/>
  <c r="AC756" i="58"/>
  <c r="AC768" i="58"/>
  <c r="AC780" i="58"/>
  <c r="AC816" i="58"/>
  <c r="AC637" i="58"/>
  <c r="AC721" i="58"/>
  <c r="AC793" i="58"/>
  <c r="AC854" i="58"/>
  <c r="AD154" i="58"/>
  <c r="AC44" i="58"/>
  <c r="AC188" i="58"/>
  <c r="AC332" i="58"/>
  <c r="AC476" i="58"/>
  <c r="AC568" i="58"/>
  <c r="AC592" i="58"/>
  <c r="AC608" i="58"/>
  <c r="AC625" i="58"/>
  <c r="AC638" i="58"/>
  <c r="AC650" i="58"/>
  <c r="AC662" i="58"/>
  <c r="AC674" i="58"/>
  <c r="AC686" i="58"/>
  <c r="AC698" i="58"/>
  <c r="AC710" i="58"/>
  <c r="AC722" i="58"/>
  <c r="AC734" i="58"/>
  <c r="AC746" i="58"/>
  <c r="AC758" i="58"/>
  <c r="AC770" i="58"/>
  <c r="AC782" i="58"/>
  <c r="AC794" i="58"/>
  <c r="AC830" i="58"/>
  <c r="M840" i="58"/>
  <c r="M862" i="58"/>
  <c r="M861" i="58"/>
  <c r="M859" i="58"/>
  <c r="M858" i="58"/>
  <c r="M857" i="58"/>
  <c r="M856" i="58"/>
  <c r="M855" i="58"/>
  <c r="M854" i="58"/>
  <c r="M853" i="58"/>
  <c r="M852" i="58"/>
  <c r="M851" i="58"/>
  <c r="M849" i="58"/>
  <c r="M848" i="58"/>
  <c r="M847" i="58"/>
  <c r="M846" i="58"/>
  <c r="M845" i="58"/>
  <c r="M844" i="58"/>
  <c r="M843" i="58"/>
  <c r="M842" i="58"/>
  <c r="M841" i="58"/>
  <c r="M839" i="58"/>
  <c r="M838" i="58"/>
  <c r="M837" i="58"/>
  <c r="M836" i="58"/>
  <c r="M835" i="58"/>
  <c r="M834" i="58"/>
  <c r="M833" i="58"/>
  <c r="M832" i="58"/>
  <c r="M831" i="58"/>
  <c r="M829" i="58"/>
  <c r="M828" i="58"/>
  <c r="M827" i="58"/>
  <c r="M826" i="58"/>
  <c r="M825" i="58"/>
  <c r="M824" i="58"/>
  <c r="M823" i="58"/>
  <c r="M822" i="58"/>
  <c r="M821" i="58"/>
  <c r="M819" i="58"/>
  <c r="M818" i="58"/>
  <c r="M817" i="58"/>
  <c r="M816" i="58"/>
  <c r="M815" i="58"/>
  <c r="M814" i="58"/>
  <c r="M813" i="58"/>
  <c r="M812" i="58"/>
  <c r="M811" i="58"/>
  <c r="M799" i="58"/>
  <c r="M798" i="58"/>
  <c r="M797" i="58"/>
  <c r="M796" i="58"/>
  <c r="M795" i="58"/>
  <c r="M794" i="58"/>
  <c r="M793" i="58"/>
  <c r="M792" i="58"/>
  <c r="M791" i="58"/>
  <c r="M789" i="58"/>
  <c r="M788" i="58"/>
  <c r="M787" i="58"/>
  <c r="M786" i="58"/>
  <c r="M785" i="58"/>
  <c r="M784" i="58"/>
  <c r="M783" i="58"/>
  <c r="M782" i="58"/>
  <c r="M781" i="58"/>
  <c r="M779" i="58"/>
  <c r="M778" i="58"/>
  <c r="M777" i="58"/>
  <c r="M776" i="58"/>
  <c r="M775" i="58"/>
  <c r="M774" i="58"/>
  <c r="M773" i="58"/>
  <c r="M772" i="58"/>
  <c r="M771" i="58"/>
  <c r="M769" i="58"/>
  <c r="M768" i="58"/>
  <c r="M767" i="58"/>
  <c r="M766" i="58"/>
  <c r="M765" i="58"/>
  <c r="M764" i="58"/>
  <c r="M763" i="58"/>
  <c r="M762" i="58"/>
  <c r="M761" i="58"/>
  <c r="M759" i="58"/>
  <c r="M758" i="58"/>
  <c r="M757" i="58"/>
  <c r="M756" i="58"/>
  <c r="M755" i="58"/>
  <c r="M754" i="58"/>
  <c r="M753" i="58"/>
  <c r="M752" i="58"/>
  <c r="M751" i="58"/>
  <c r="M749" i="58"/>
  <c r="M748" i="58"/>
  <c r="M747" i="58"/>
  <c r="M746" i="58"/>
  <c r="M745" i="58"/>
  <c r="M744" i="58"/>
  <c r="M743" i="58"/>
  <c r="M742" i="58"/>
  <c r="M741" i="58"/>
  <c r="M739" i="58"/>
  <c r="M738" i="58"/>
  <c r="M737" i="58"/>
  <c r="M736" i="58"/>
  <c r="M735" i="58"/>
  <c r="M734" i="58"/>
  <c r="M733" i="58"/>
  <c r="M732" i="58"/>
  <c r="M731" i="58"/>
  <c r="M729" i="58"/>
  <c r="M728" i="58"/>
  <c r="M727" i="58"/>
  <c r="M726" i="58"/>
  <c r="M725" i="58"/>
  <c r="M724" i="58"/>
  <c r="M723" i="58"/>
  <c r="M722" i="58"/>
  <c r="M721" i="58"/>
  <c r="M719" i="58"/>
  <c r="M718" i="58"/>
  <c r="M717" i="58"/>
  <c r="M716" i="58"/>
  <c r="M715" i="58"/>
  <c r="M714" i="58"/>
  <c r="M713" i="58"/>
  <c r="M712" i="58"/>
  <c r="M711" i="58"/>
  <c r="M699" i="58"/>
  <c r="M698" i="58"/>
  <c r="M697" i="58"/>
  <c r="M696" i="58"/>
  <c r="M695" i="58"/>
  <c r="M694" i="58"/>
  <c r="M693" i="58"/>
  <c r="M692" i="58"/>
  <c r="M691" i="58"/>
  <c r="M689" i="58"/>
  <c r="M688" i="58"/>
  <c r="M687" i="58"/>
  <c r="M686" i="58"/>
  <c r="M685" i="58"/>
  <c r="M684" i="58"/>
  <c r="M683" i="58"/>
  <c r="M682" i="58"/>
  <c r="M681" i="58"/>
  <c r="M679" i="58"/>
  <c r="M678" i="58"/>
  <c r="M677" i="58"/>
  <c r="M676" i="58"/>
  <c r="M675" i="58"/>
  <c r="M674" i="58"/>
  <c r="M673" i="58"/>
  <c r="M672" i="58"/>
  <c r="M671" i="58"/>
  <c r="M669" i="58"/>
  <c r="M668" i="58"/>
  <c r="M667" i="58"/>
  <c r="M666" i="58"/>
  <c r="M665" i="58"/>
  <c r="M664" i="58"/>
  <c r="M663" i="58"/>
  <c r="M662" i="58"/>
  <c r="M661" i="58"/>
  <c r="M659" i="58"/>
  <c r="M658" i="58"/>
  <c r="M657" i="58"/>
  <c r="M656" i="58"/>
  <c r="M655" i="58"/>
  <c r="M654" i="58"/>
  <c r="M653" i="58"/>
  <c r="M652" i="58"/>
  <c r="M651" i="58"/>
  <c r="M649" i="58"/>
  <c r="M648" i="58"/>
  <c r="M647" i="58"/>
  <c r="M646" i="58"/>
  <c r="M645" i="58"/>
  <c r="M644" i="58"/>
  <c r="M643" i="58"/>
  <c r="M642" i="58"/>
  <c r="M641" i="58"/>
  <c r="M639" i="58"/>
  <c r="M638" i="58"/>
  <c r="M637" i="58"/>
  <c r="M636" i="58"/>
  <c r="M635" i="58"/>
  <c r="M634" i="58"/>
  <c r="M633" i="58"/>
  <c r="M632" i="58"/>
  <c r="M631" i="58"/>
  <c r="M629" i="58"/>
  <c r="M628" i="58"/>
  <c r="M627" i="58"/>
  <c r="M626" i="58"/>
  <c r="M625" i="58"/>
  <c r="M624" i="58"/>
  <c r="M623" i="58"/>
  <c r="M622" i="58"/>
  <c r="M621" i="58"/>
  <c r="M619" i="58"/>
  <c r="M618" i="58"/>
  <c r="M617" i="58"/>
  <c r="M616" i="58"/>
  <c r="M615" i="58"/>
  <c r="M614" i="58"/>
  <c r="M613" i="58"/>
  <c r="M612" i="58"/>
  <c r="M611" i="58"/>
  <c r="M599" i="58"/>
  <c r="M598" i="58"/>
  <c r="M597" i="58"/>
  <c r="M596" i="58"/>
  <c r="M595" i="58"/>
  <c r="M594" i="58"/>
  <c r="M593" i="58"/>
  <c r="M592" i="58"/>
  <c r="M591" i="58"/>
  <c r="M589" i="58"/>
  <c r="M588" i="58"/>
  <c r="M587" i="58"/>
  <c r="M586" i="58"/>
  <c r="M585" i="58"/>
  <c r="M584" i="58"/>
  <c r="M583" i="58"/>
  <c r="M582" i="58"/>
  <c r="M581" i="58"/>
  <c r="M579" i="58"/>
  <c r="M578" i="58"/>
  <c r="M577" i="58"/>
  <c r="M576" i="58"/>
  <c r="M575" i="58"/>
  <c r="M574" i="58"/>
  <c r="M573" i="58"/>
  <c r="M572" i="58"/>
  <c r="M571" i="58"/>
  <c r="M569" i="58"/>
  <c r="M568" i="58"/>
  <c r="M567" i="58"/>
  <c r="M566" i="58"/>
  <c r="M565" i="58"/>
  <c r="M564" i="58"/>
  <c r="M563" i="58"/>
  <c r="M562" i="58"/>
  <c r="M561" i="58"/>
  <c r="M559" i="58"/>
  <c r="M558" i="58"/>
  <c r="M557" i="58"/>
  <c r="M556" i="58"/>
  <c r="M555" i="58"/>
  <c r="M554" i="58"/>
  <c r="M553" i="58"/>
  <c r="M552" i="58"/>
  <c r="M551" i="58"/>
  <c r="M549" i="58"/>
  <c r="M548" i="58"/>
  <c r="M547" i="58"/>
  <c r="M546" i="58"/>
  <c r="M545" i="58"/>
  <c r="M544" i="58"/>
  <c r="M543" i="58"/>
  <c r="M542" i="58"/>
  <c r="M541" i="58"/>
  <c r="M539" i="58"/>
  <c r="M538" i="58"/>
  <c r="M537" i="58"/>
  <c r="M536" i="58"/>
  <c r="M535" i="58"/>
  <c r="M534" i="58"/>
  <c r="M533" i="58"/>
  <c r="M532" i="58"/>
  <c r="M531" i="58"/>
  <c r="M529" i="58"/>
  <c r="M528" i="58"/>
  <c r="M527" i="58"/>
  <c r="M526" i="58"/>
  <c r="M525" i="58"/>
  <c r="M524" i="58"/>
  <c r="M523" i="58"/>
  <c r="M522" i="58"/>
  <c r="M521" i="58"/>
  <c r="M519" i="58"/>
  <c r="M518" i="58"/>
  <c r="M517" i="58"/>
  <c r="M516" i="58"/>
  <c r="M515" i="58"/>
  <c r="M514" i="58"/>
  <c r="M513" i="58"/>
  <c r="M512" i="58"/>
  <c r="M511" i="58"/>
  <c r="M499" i="58"/>
  <c r="M498" i="58"/>
  <c r="M497" i="58"/>
  <c r="M496" i="58"/>
  <c r="M495" i="58"/>
  <c r="M494" i="58"/>
  <c r="M493" i="58"/>
  <c r="M492" i="58"/>
  <c r="M491" i="58"/>
  <c r="M489" i="58"/>
  <c r="M488" i="58"/>
  <c r="M487" i="58"/>
  <c r="M486" i="58"/>
  <c r="M485" i="58"/>
  <c r="M484" i="58"/>
  <c r="M483" i="58"/>
  <c r="M482" i="58"/>
  <c r="M481" i="58"/>
  <c r="M479" i="58"/>
  <c r="M478" i="58"/>
  <c r="M477" i="58"/>
  <c r="M476" i="58"/>
  <c r="M475" i="58"/>
  <c r="M474" i="58"/>
  <c r="M473" i="58"/>
  <c r="M472" i="58"/>
  <c r="M471" i="58"/>
  <c r="M469" i="58"/>
  <c r="M468" i="58"/>
  <c r="M467" i="58"/>
  <c r="M466" i="58"/>
  <c r="M465" i="58"/>
  <c r="M464" i="58"/>
  <c r="M463" i="58"/>
  <c r="M462" i="58"/>
  <c r="M461" i="58"/>
  <c r="M459" i="58"/>
  <c r="M458" i="58"/>
  <c r="M457" i="58"/>
  <c r="M456" i="58"/>
  <c r="M455" i="58"/>
  <c r="M454" i="58"/>
  <c r="M453" i="58"/>
  <c r="M452" i="58"/>
  <c r="M451" i="58"/>
  <c r="M449" i="58"/>
  <c r="M448" i="58"/>
  <c r="M447" i="58"/>
  <c r="M446" i="58"/>
  <c r="M445" i="58"/>
  <c r="M444" i="58"/>
  <c r="M443" i="58"/>
  <c r="M442" i="58"/>
  <c r="M441" i="58"/>
  <c r="M439" i="58"/>
  <c r="M438" i="58"/>
  <c r="M437" i="58"/>
  <c r="M436" i="58"/>
  <c r="M435" i="58"/>
  <c r="M434" i="58"/>
  <c r="M433" i="58"/>
  <c r="M432" i="58"/>
  <c r="M431" i="58"/>
  <c r="M429" i="58"/>
  <c r="M428" i="58"/>
  <c r="M427" i="58"/>
  <c r="M426" i="58"/>
  <c r="M425" i="58"/>
  <c r="M424" i="58"/>
  <c r="M423" i="58"/>
  <c r="M422" i="58"/>
  <c r="M421" i="58"/>
  <c r="M419" i="58"/>
  <c r="M418" i="58"/>
  <c r="M417" i="58"/>
  <c r="M416" i="58"/>
  <c r="M415" i="58"/>
  <c r="M414" i="58"/>
  <c r="M413" i="58"/>
  <c r="M412" i="58"/>
  <c r="M411" i="58"/>
  <c r="M399" i="58"/>
  <c r="M398" i="58"/>
  <c r="M397" i="58"/>
  <c r="M396" i="58"/>
  <c r="M395" i="58"/>
  <c r="M394" i="58"/>
  <c r="M393" i="58"/>
  <c r="M392" i="58"/>
  <c r="M391" i="58"/>
  <c r="M389" i="58"/>
  <c r="M388" i="58"/>
  <c r="M387" i="58"/>
  <c r="M386" i="58"/>
  <c r="M385" i="58"/>
  <c r="M384" i="58"/>
  <c r="M383" i="58"/>
  <c r="M382" i="58"/>
  <c r="M381" i="58"/>
  <c r="M379" i="58"/>
  <c r="M378" i="58"/>
  <c r="M377" i="58"/>
  <c r="M376" i="58"/>
  <c r="M375" i="58"/>
  <c r="M374" i="58"/>
  <c r="M373" i="58"/>
  <c r="M372" i="58"/>
  <c r="M371" i="58"/>
  <c r="M369" i="58"/>
  <c r="M368" i="58"/>
  <c r="M367" i="58"/>
  <c r="M366" i="58"/>
  <c r="M365" i="58"/>
  <c r="M364" i="58"/>
  <c r="M363" i="58"/>
  <c r="M362" i="58"/>
  <c r="M361" i="58"/>
  <c r="M359" i="58"/>
  <c r="M358" i="58"/>
  <c r="M357" i="58"/>
  <c r="M356" i="58"/>
  <c r="M355" i="58"/>
  <c r="M354" i="58"/>
  <c r="M353" i="58"/>
  <c r="M352" i="58"/>
  <c r="M351" i="58"/>
  <c r="M349" i="58"/>
  <c r="M348" i="58"/>
  <c r="M347" i="58"/>
  <c r="M346" i="58"/>
  <c r="M345" i="58"/>
  <c r="M344" i="58"/>
  <c r="M343" i="58"/>
  <c r="M342" i="58"/>
  <c r="M341" i="58"/>
  <c r="M339" i="58"/>
  <c r="M338" i="58"/>
  <c r="M337" i="58"/>
  <c r="M336" i="58"/>
  <c r="M335" i="58"/>
  <c r="M334" i="58"/>
  <c r="M333" i="58"/>
  <c r="M332" i="58"/>
  <c r="M331" i="58"/>
  <c r="M329" i="58"/>
  <c r="M328" i="58"/>
  <c r="M327" i="58"/>
  <c r="M326" i="58"/>
  <c r="M325" i="58"/>
  <c r="M324" i="58"/>
  <c r="M323" i="58"/>
  <c r="M322" i="58"/>
  <c r="M321" i="58"/>
  <c r="M319" i="58"/>
  <c r="M318" i="58"/>
  <c r="M317" i="58"/>
  <c r="M316" i="58"/>
  <c r="M315" i="58"/>
  <c r="M314" i="58"/>
  <c r="M313" i="58"/>
  <c r="M312" i="58"/>
  <c r="M311" i="58"/>
  <c r="M299" i="58"/>
  <c r="M298" i="58"/>
  <c r="M297" i="58"/>
  <c r="M296" i="58"/>
  <c r="M295" i="58"/>
  <c r="M294" i="58"/>
  <c r="M293" i="58"/>
  <c r="M292" i="58"/>
  <c r="M291" i="58"/>
  <c r="M289" i="58"/>
  <c r="M288" i="58"/>
  <c r="M287" i="58"/>
  <c r="M286" i="58"/>
  <c r="M285" i="58"/>
  <c r="M284" i="58"/>
  <c r="M283" i="58"/>
  <c r="M282" i="58"/>
  <c r="M281" i="58"/>
  <c r="M279" i="58"/>
  <c r="M278" i="58"/>
  <c r="M277" i="58"/>
  <c r="M276" i="58"/>
  <c r="M275" i="58"/>
  <c r="M274" i="58"/>
  <c r="M273" i="58"/>
  <c r="M272" i="58"/>
  <c r="M271" i="58"/>
  <c r="M269" i="58"/>
  <c r="M268" i="58"/>
  <c r="M267" i="58"/>
  <c r="M266" i="58"/>
  <c r="M265" i="58"/>
  <c r="M264" i="58"/>
  <c r="M263" i="58"/>
  <c r="M262" i="58"/>
  <c r="M261" i="58"/>
  <c r="M259" i="58"/>
  <c r="M258" i="58"/>
  <c r="M257" i="58"/>
  <c r="M256" i="58"/>
  <c r="M255" i="58"/>
  <c r="M254" i="58"/>
  <c r="M253" i="58"/>
  <c r="M252" i="58"/>
  <c r="M251" i="58"/>
  <c r="M249" i="58"/>
  <c r="M248" i="58"/>
  <c r="M247" i="58"/>
  <c r="M246" i="58"/>
  <c r="M245" i="58"/>
  <c r="M244" i="58"/>
  <c r="M243" i="58"/>
  <c r="M242" i="58"/>
  <c r="M241" i="58"/>
  <c r="M239" i="58"/>
  <c r="M238" i="58"/>
  <c r="M237" i="58"/>
  <c r="M236" i="58"/>
  <c r="M235" i="58"/>
  <c r="M234" i="58"/>
  <c r="M233" i="58"/>
  <c r="M232" i="58"/>
  <c r="M231" i="58"/>
  <c r="M229" i="58"/>
  <c r="M228" i="58"/>
  <c r="M227" i="58"/>
  <c r="M226" i="58"/>
  <c r="M225" i="58"/>
  <c r="M224" i="58"/>
  <c r="M223" i="58"/>
  <c r="M222" i="58"/>
  <c r="M221" i="58"/>
  <c r="M219" i="58"/>
  <c r="M218" i="58"/>
  <c r="M217" i="58"/>
  <c r="M216" i="58"/>
  <c r="M215" i="58"/>
  <c r="M214" i="58"/>
  <c r="M213" i="58"/>
  <c r="M212" i="58"/>
  <c r="M211" i="58"/>
  <c r="M199" i="58"/>
  <c r="M198" i="58"/>
  <c r="M197" i="58"/>
  <c r="M196" i="58"/>
  <c r="M195" i="58"/>
  <c r="M194" i="58"/>
  <c r="M193" i="58"/>
  <c r="M192" i="58"/>
  <c r="M191" i="58"/>
  <c r="M189" i="58"/>
  <c r="M188" i="58"/>
  <c r="M187" i="58"/>
  <c r="M186" i="58"/>
  <c r="M185" i="58"/>
  <c r="M184" i="58"/>
  <c r="M183" i="58"/>
  <c r="M182" i="58"/>
  <c r="M181" i="58"/>
  <c r="M179" i="58"/>
  <c r="M178" i="58"/>
  <c r="M177" i="58"/>
  <c r="M176" i="58"/>
  <c r="M175" i="58"/>
  <c r="M174" i="58"/>
  <c r="M173" i="58"/>
  <c r="M172" i="58"/>
  <c r="M171" i="58"/>
  <c r="M169" i="58"/>
  <c r="M168" i="58"/>
  <c r="M167" i="58"/>
  <c r="M166" i="58"/>
  <c r="M165" i="58"/>
  <c r="M164" i="58"/>
  <c r="M163" i="58"/>
  <c r="M162" i="58"/>
  <c r="M161" i="58"/>
  <c r="M159" i="58"/>
  <c r="M158" i="58"/>
  <c r="M157" i="58"/>
  <c r="M156" i="58"/>
  <c r="M155" i="58"/>
  <c r="M154" i="58"/>
  <c r="M153" i="58"/>
  <c r="M152" i="58"/>
  <c r="M151" i="58"/>
  <c r="M149" i="58"/>
  <c r="M148" i="58"/>
  <c r="M147" i="58"/>
  <c r="M146" i="58"/>
  <c r="M145" i="58"/>
  <c r="M144" i="58"/>
  <c r="M143" i="58"/>
  <c r="M142" i="58"/>
  <c r="M141" i="58"/>
  <c r="M139" i="58"/>
  <c r="M138" i="58"/>
  <c r="M137" i="58"/>
  <c r="M136" i="58"/>
  <c r="M135" i="58"/>
  <c r="M134" i="58"/>
  <c r="M133" i="58"/>
  <c r="M132" i="58"/>
  <c r="M131" i="58"/>
  <c r="M129" i="58"/>
  <c r="M128" i="58"/>
  <c r="M127" i="58"/>
  <c r="M126" i="58"/>
  <c r="M125" i="58"/>
  <c r="M124" i="58"/>
  <c r="M123" i="58"/>
  <c r="M122" i="58"/>
  <c r="M121" i="58"/>
  <c r="M119" i="58"/>
  <c r="M118" i="58"/>
  <c r="M117" i="58"/>
  <c r="M116" i="58"/>
  <c r="M115" i="58"/>
  <c r="M114" i="58"/>
  <c r="M113" i="58"/>
  <c r="M112" i="58"/>
  <c r="M111" i="58"/>
  <c r="M99" i="58"/>
  <c r="M98" i="58"/>
  <c r="M97" i="58"/>
  <c r="M96" i="58"/>
  <c r="M95" i="58"/>
  <c r="M94" i="58"/>
  <c r="M93" i="58"/>
  <c r="M92" i="58"/>
  <c r="M91" i="58"/>
  <c r="M89" i="58"/>
  <c r="M88" i="58"/>
  <c r="M87" i="58"/>
  <c r="M86" i="58"/>
  <c r="M85" i="58"/>
  <c r="M84" i="58"/>
  <c r="M83" i="58"/>
  <c r="M82" i="58"/>
  <c r="M81" i="58"/>
  <c r="M79" i="58"/>
  <c r="M78" i="58"/>
  <c r="M77" i="58"/>
  <c r="M76" i="58"/>
  <c r="M75" i="58"/>
  <c r="M74" i="58"/>
  <c r="M73" i="58"/>
  <c r="M72" i="58"/>
  <c r="M71" i="58"/>
  <c r="M69" i="58"/>
  <c r="M68" i="58"/>
  <c r="M67" i="58"/>
  <c r="M66" i="58"/>
  <c r="M65" i="58"/>
  <c r="M64" i="58"/>
  <c r="M63" i="58"/>
  <c r="M62" i="58"/>
  <c r="M61" i="58"/>
  <c r="M59" i="58"/>
  <c r="M58" i="58"/>
  <c r="M57" i="58"/>
  <c r="M56" i="58"/>
  <c r="M55" i="58"/>
  <c r="M54" i="58"/>
  <c r="M53" i="58"/>
  <c r="M52" i="58"/>
  <c r="M51" i="58"/>
  <c r="M49" i="58"/>
  <c r="M48" i="58"/>
  <c r="M47" i="58"/>
  <c r="M46" i="58"/>
  <c r="M45" i="58"/>
  <c r="M44" i="58"/>
  <c r="M43" i="58"/>
  <c r="M42" i="58"/>
  <c r="M41" i="58"/>
  <c r="M39" i="58"/>
  <c r="M38" i="58"/>
  <c r="M37" i="58"/>
  <c r="M36" i="58"/>
  <c r="M35" i="58"/>
  <c r="M34" i="58"/>
  <c r="M33" i="58"/>
  <c r="M32" i="58"/>
  <c r="M31" i="58"/>
  <c r="M29" i="58"/>
  <c r="M28" i="58"/>
  <c r="M27" i="58"/>
  <c r="M26" i="58"/>
  <c r="M25" i="58"/>
  <c r="M24" i="58"/>
  <c r="M23" i="58"/>
  <c r="M22" i="58"/>
  <c r="M21" i="58"/>
  <c r="M19" i="58"/>
  <c r="M18" i="58"/>
  <c r="M17" i="58"/>
  <c r="M16" i="58"/>
  <c r="M15" i="58"/>
  <c r="M14" i="58"/>
  <c r="M13" i="58"/>
  <c r="M12" i="58"/>
  <c r="M11" i="58"/>
  <c r="M9" i="58"/>
  <c r="M8" i="58"/>
  <c r="M7" i="58"/>
  <c r="M6" i="58"/>
  <c r="M5" i="58"/>
  <c r="M4" i="58"/>
  <c r="M850" i="58"/>
  <c r="M860" i="58"/>
  <c r="M3" i="58"/>
  <c r="M10" i="58"/>
  <c r="M20" i="58"/>
  <c r="M30" i="58"/>
  <c r="M40" i="58"/>
  <c r="M50" i="58"/>
  <c r="M60" i="58"/>
  <c r="M70" i="58"/>
  <c r="M80" i="58"/>
  <c r="M90" i="58"/>
  <c r="M100" i="58"/>
  <c r="M101" i="58"/>
  <c r="M102" i="58"/>
  <c r="M103" i="58"/>
  <c r="M104" i="58"/>
  <c r="M105" i="58"/>
  <c r="M106" i="58"/>
  <c r="M107" i="58"/>
  <c r="M108" i="58"/>
  <c r="M109" i="58"/>
  <c r="M110" i="58"/>
  <c r="M120" i="58"/>
  <c r="M130" i="58"/>
  <c r="M140" i="58"/>
  <c r="M150" i="58"/>
  <c r="M160" i="58"/>
  <c r="M170" i="58"/>
  <c r="M180" i="58"/>
  <c r="M190" i="58"/>
  <c r="M200" i="58"/>
  <c r="M201" i="58"/>
  <c r="M202" i="58"/>
  <c r="M203" i="58"/>
  <c r="M204" i="58"/>
  <c r="M205" i="58"/>
  <c r="M206" i="58"/>
  <c r="M207" i="58"/>
  <c r="M208" i="58"/>
  <c r="M209" i="58"/>
  <c r="M210" i="58"/>
  <c r="M220" i="58"/>
  <c r="M230" i="58"/>
  <c r="M240" i="58"/>
  <c r="M250" i="58"/>
  <c r="M260" i="58"/>
  <c r="M270" i="58"/>
  <c r="M280" i="58"/>
  <c r="M290" i="58"/>
  <c r="M300" i="58"/>
  <c r="M301" i="58"/>
  <c r="M302" i="58"/>
  <c r="M303" i="58"/>
  <c r="M304" i="58"/>
  <c r="M305" i="58"/>
  <c r="M306" i="58"/>
  <c r="M307" i="58"/>
  <c r="M308" i="58"/>
  <c r="M309" i="58"/>
  <c r="M310" i="58"/>
  <c r="M320" i="58"/>
  <c r="M330" i="58"/>
  <c r="M340" i="58"/>
  <c r="M350" i="58"/>
  <c r="M360" i="58"/>
  <c r="M370" i="58"/>
  <c r="M380" i="58"/>
  <c r="M390" i="58"/>
  <c r="M400" i="58"/>
  <c r="M401" i="58"/>
  <c r="M402" i="58"/>
  <c r="M403" i="58"/>
  <c r="M404" i="58"/>
  <c r="M405" i="58"/>
  <c r="M406" i="58"/>
  <c r="M407" i="58"/>
  <c r="M408" i="58"/>
  <c r="M409" i="58"/>
  <c r="M410" i="58"/>
  <c r="M420" i="58"/>
  <c r="M430" i="58"/>
  <c r="M440" i="58"/>
  <c r="M450" i="58"/>
  <c r="M460" i="58"/>
  <c r="M470" i="58"/>
  <c r="M480" i="58"/>
  <c r="M490" i="58"/>
  <c r="M500" i="58"/>
  <c r="M501" i="58"/>
  <c r="M502" i="58"/>
  <c r="M503" i="58"/>
  <c r="M504" i="58"/>
  <c r="M505" i="58"/>
  <c r="M506" i="58"/>
  <c r="M507" i="58"/>
  <c r="M508" i="58"/>
  <c r="M509" i="58"/>
  <c r="M510" i="58"/>
  <c r="M520" i="58"/>
  <c r="M530" i="58"/>
  <c r="M540" i="58"/>
  <c r="M550" i="58"/>
  <c r="M560" i="58"/>
  <c r="M570" i="58"/>
  <c r="M580" i="58"/>
  <c r="M590" i="58"/>
  <c r="M600" i="58"/>
  <c r="M601" i="58"/>
  <c r="M602" i="58"/>
  <c r="M603" i="58"/>
  <c r="M604" i="58"/>
  <c r="M605" i="58"/>
  <c r="M606" i="58"/>
  <c r="M607" i="58"/>
  <c r="M608" i="58"/>
  <c r="M609" i="58"/>
  <c r="M610" i="58"/>
  <c r="M620" i="58"/>
  <c r="M630" i="58"/>
  <c r="M640" i="58"/>
  <c r="M650" i="58"/>
  <c r="M660" i="58"/>
  <c r="M670" i="58"/>
  <c r="M680" i="58"/>
  <c r="M690" i="58"/>
  <c r="M700" i="58"/>
  <c r="M701" i="58"/>
  <c r="M702" i="58"/>
  <c r="M703" i="58"/>
  <c r="M704" i="58"/>
  <c r="M705" i="58"/>
  <c r="M706" i="58"/>
  <c r="M707" i="58"/>
  <c r="M708" i="58"/>
  <c r="M709" i="58"/>
  <c r="M710" i="58"/>
  <c r="M720" i="58"/>
  <c r="M730" i="58"/>
  <c r="M740" i="58"/>
  <c r="M750" i="58"/>
  <c r="M760" i="58"/>
  <c r="M770" i="58"/>
  <c r="M780" i="58"/>
  <c r="M790" i="58"/>
  <c r="M800" i="58"/>
  <c r="M801" i="58"/>
  <c r="M802" i="58"/>
  <c r="M803" i="58"/>
  <c r="M804" i="58"/>
  <c r="M805" i="58"/>
  <c r="M806" i="58"/>
  <c r="M807" i="58"/>
  <c r="M808" i="58"/>
  <c r="M809" i="58"/>
  <c r="M810" i="58"/>
  <c r="M820" i="58"/>
  <c r="M830" i="58"/>
  <c r="N861" i="58"/>
  <c r="P861" i="58"/>
  <c r="N857" i="58"/>
  <c r="P857" i="58"/>
  <c r="N853" i="58"/>
  <c r="P853" i="58"/>
  <c r="N849" i="58"/>
  <c r="P849" i="58"/>
  <c r="N845" i="58"/>
  <c r="P845" i="58"/>
  <c r="N841" i="58"/>
  <c r="P841" i="58"/>
  <c r="N837" i="58"/>
  <c r="P837" i="58"/>
  <c r="N833" i="58"/>
  <c r="P833" i="58"/>
  <c r="N829" i="58"/>
  <c r="P829" i="58"/>
  <c r="N825" i="58"/>
  <c r="P825" i="58"/>
  <c r="N821" i="58"/>
  <c r="P821" i="58"/>
  <c r="O817" i="58"/>
  <c r="P817" i="58"/>
  <c r="O813" i="58"/>
  <c r="P813" i="58"/>
  <c r="O809" i="58"/>
  <c r="P809" i="58"/>
  <c r="O805" i="58"/>
  <c r="P805" i="58"/>
  <c r="O801" i="58"/>
  <c r="P801" i="58"/>
  <c r="O797" i="58"/>
  <c r="P797" i="58"/>
  <c r="O793" i="58"/>
  <c r="P793" i="58"/>
  <c r="O789" i="58"/>
  <c r="P789" i="58"/>
  <c r="O785" i="58"/>
  <c r="P785" i="58"/>
  <c r="O781" i="58"/>
  <c r="P781" i="58"/>
  <c r="O777" i="58"/>
  <c r="P777" i="58"/>
  <c r="O773" i="58"/>
  <c r="P773" i="58"/>
  <c r="O769" i="58"/>
  <c r="P769" i="58"/>
  <c r="O765" i="58"/>
  <c r="P765" i="58"/>
  <c r="O761" i="58"/>
  <c r="P761" i="58"/>
  <c r="O757" i="58"/>
  <c r="P757" i="58"/>
  <c r="O753" i="58"/>
  <c r="P753" i="58"/>
  <c r="O749" i="58"/>
  <c r="P749" i="58"/>
  <c r="O745" i="58"/>
  <c r="P745" i="58"/>
  <c r="O741" i="58"/>
  <c r="P741" i="58"/>
  <c r="O737" i="58"/>
  <c r="P737" i="58"/>
  <c r="O733" i="58"/>
  <c r="P733" i="58"/>
  <c r="O729" i="58"/>
  <c r="P729" i="58"/>
  <c r="O725" i="58"/>
  <c r="P725" i="58"/>
  <c r="O721" i="58"/>
  <c r="P721" i="58"/>
  <c r="O717" i="58"/>
  <c r="P717" i="58"/>
  <c r="O713" i="58"/>
  <c r="P713" i="58"/>
  <c r="O709" i="58"/>
  <c r="P709" i="58"/>
  <c r="O705" i="58"/>
  <c r="P705" i="58"/>
  <c r="O701" i="58"/>
  <c r="P701" i="58"/>
  <c r="O697" i="58"/>
  <c r="P697" i="58"/>
  <c r="O693" i="58"/>
  <c r="P693" i="58"/>
  <c r="O689" i="58"/>
  <c r="P689" i="58"/>
  <c r="O685" i="58"/>
  <c r="P685" i="58"/>
  <c r="O681" i="58"/>
  <c r="P681" i="58"/>
  <c r="O677" i="58"/>
  <c r="P677" i="58"/>
  <c r="O673" i="58"/>
  <c r="P673" i="58"/>
  <c r="O669" i="58"/>
  <c r="P669" i="58"/>
  <c r="O665" i="58"/>
  <c r="P665" i="58"/>
  <c r="O661" i="58"/>
  <c r="P661" i="58"/>
  <c r="O657" i="58"/>
  <c r="P657" i="58"/>
  <c r="O653" i="58"/>
  <c r="P653" i="58"/>
  <c r="O649" i="58"/>
  <c r="P649" i="58"/>
  <c r="O645" i="58"/>
  <c r="P645" i="58"/>
  <c r="O641" i="58"/>
  <c r="P641" i="58"/>
  <c r="O637" i="58"/>
  <c r="P637" i="58"/>
  <c r="O633" i="58"/>
  <c r="P633" i="58"/>
  <c r="O629" i="58"/>
  <c r="P629" i="58"/>
  <c r="O625" i="58"/>
  <c r="P625" i="58"/>
  <c r="O621" i="58"/>
  <c r="P621" i="58"/>
  <c r="O617" i="58"/>
  <c r="P617" i="58"/>
  <c r="O613" i="58"/>
  <c r="P613" i="58"/>
  <c r="O609" i="58"/>
  <c r="P609" i="58"/>
  <c r="O605" i="58"/>
  <c r="P605" i="58"/>
  <c r="O601" i="58"/>
  <c r="P601" i="58"/>
  <c r="N597" i="58"/>
  <c r="P597" i="58"/>
  <c r="O593" i="58"/>
  <c r="P593" i="58"/>
  <c r="O589" i="58"/>
  <c r="P589" i="58"/>
  <c r="O585" i="58"/>
  <c r="P585" i="58"/>
  <c r="N581" i="58"/>
  <c r="P581" i="58"/>
  <c r="O577" i="58"/>
  <c r="P577" i="58"/>
  <c r="O573" i="58"/>
  <c r="P573" i="58"/>
  <c r="O569" i="58"/>
  <c r="P569" i="58"/>
  <c r="O565" i="58"/>
  <c r="P565" i="58"/>
  <c r="O561" i="58"/>
  <c r="P561" i="58"/>
  <c r="O557" i="58"/>
  <c r="P557" i="58"/>
  <c r="O553" i="58"/>
  <c r="P553" i="58"/>
  <c r="O549" i="58"/>
  <c r="P549" i="58"/>
  <c r="O545" i="58"/>
  <c r="P545" i="58"/>
  <c r="O541" i="58"/>
  <c r="P541" i="58"/>
  <c r="O537" i="58"/>
  <c r="P537" i="58"/>
  <c r="O533" i="58"/>
  <c r="P533" i="58"/>
  <c r="O529" i="58"/>
  <c r="P529" i="58"/>
  <c r="O525" i="58"/>
  <c r="P525" i="58"/>
  <c r="O521" i="58"/>
  <c r="P521" i="58"/>
  <c r="O517" i="58"/>
  <c r="P517" i="58"/>
  <c r="O513" i="58"/>
  <c r="P513" i="58"/>
  <c r="O509" i="58"/>
  <c r="P509" i="58"/>
  <c r="O505" i="58"/>
  <c r="P505" i="58"/>
  <c r="O501" i="58"/>
  <c r="P501" i="58"/>
  <c r="O497" i="58"/>
  <c r="P497" i="58"/>
  <c r="O493" i="58"/>
  <c r="P493" i="58"/>
  <c r="O489" i="58"/>
  <c r="P489" i="58"/>
  <c r="O485" i="58"/>
  <c r="P485" i="58"/>
  <c r="O481" i="58"/>
  <c r="P481" i="58"/>
  <c r="O477" i="58"/>
  <c r="P477" i="58"/>
  <c r="O473" i="58"/>
  <c r="P473" i="58"/>
  <c r="O469" i="58"/>
  <c r="P469" i="58"/>
  <c r="O465" i="58"/>
  <c r="P465" i="58"/>
  <c r="O461" i="58"/>
  <c r="P461" i="58"/>
  <c r="O457" i="58"/>
  <c r="P457" i="58"/>
  <c r="O453" i="58"/>
  <c r="P453" i="58"/>
  <c r="O449" i="58"/>
  <c r="P449" i="58"/>
  <c r="O445" i="58"/>
  <c r="P445" i="58"/>
  <c r="O441" i="58"/>
  <c r="P441" i="58"/>
  <c r="O437" i="58"/>
  <c r="P437" i="58"/>
  <c r="O433" i="58"/>
  <c r="P433" i="58"/>
  <c r="O429" i="58"/>
  <c r="P429" i="58"/>
  <c r="O425" i="58"/>
  <c r="P425" i="58"/>
  <c r="O421" i="58"/>
  <c r="P421" i="58"/>
  <c r="O417" i="58"/>
  <c r="P417" i="58"/>
  <c r="O413" i="58"/>
  <c r="P413" i="58"/>
  <c r="O409" i="58"/>
  <c r="P409" i="58"/>
  <c r="O405" i="58"/>
  <c r="P405" i="58"/>
  <c r="O401" i="58"/>
  <c r="P401" i="58"/>
  <c r="O397" i="58"/>
  <c r="P397" i="58"/>
  <c r="O393" i="58"/>
  <c r="P393" i="58"/>
  <c r="O389" i="58"/>
  <c r="P389" i="58"/>
  <c r="O385" i="58"/>
  <c r="P385" i="58"/>
  <c r="O381" i="58"/>
  <c r="P381" i="58"/>
  <c r="O377" i="58"/>
  <c r="P377" i="58"/>
  <c r="O373" i="58"/>
  <c r="P373" i="58"/>
  <c r="O369" i="58"/>
  <c r="P369" i="58"/>
  <c r="O365" i="58"/>
  <c r="P365" i="58"/>
  <c r="O361" i="58"/>
  <c r="P361" i="58"/>
  <c r="O357" i="58"/>
  <c r="P357" i="58"/>
  <c r="O353" i="58"/>
  <c r="P353" i="58"/>
  <c r="O349" i="58"/>
  <c r="P349" i="58"/>
  <c r="O345" i="58"/>
  <c r="P345" i="58"/>
  <c r="O341" i="58"/>
  <c r="P341" i="58"/>
  <c r="O337" i="58"/>
  <c r="P337" i="58"/>
  <c r="O333" i="58"/>
  <c r="P333" i="58"/>
  <c r="O329" i="58"/>
  <c r="P329" i="58"/>
  <c r="O325" i="58"/>
  <c r="P325" i="58"/>
  <c r="O321" i="58"/>
  <c r="P321" i="58"/>
  <c r="O317" i="58"/>
  <c r="P317" i="58"/>
  <c r="O313" i="58"/>
  <c r="P313" i="58"/>
  <c r="O309" i="58"/>
  <c r="P309" i="58"/>
  <c r="O305" i="58"/>
  <c r="P305" i="58"/>
  <c r="O301" i="58"/>
  <c r="P301" i="58"/>
  <c r="O297" i="58"/>
  <c r="P297" i="58"/>
  <c r="O293" i="58"/>
  <c r="P293" i="58"/>
  <c r="O289" i="58"/>
  <c r="P289" i="58"/>
  <c r="O285" i="58"/>
  <c r="P285" i="58"/>
  <c r="O281" i="58"/>
  <c r="P281" i="58"/>
  <c r="O277" i="58"/>
  <c r="P277" i="58"/>
  <c r="O273" i="58"/>
  <c r="P273" i="58"/>
  <c r="O269" i="58"/>
  <c r="P269" i="58"/>
  <c r="O265" i="58"/>
  <c r="P265" i="58"/>
  <c r="O261" i="58"/>
  <c r="P261" i="58"/>
  <c r="O257" i="58"/>
  <c r="P257" i="58"/>
  <c r="O253" i="58"/>
  <c r="P253" i="58"/>
  <c r="O249" i="58"/>
  <c r="P249" i="58"/>
  <c r="O245" i="58"/>
  <c r="P245" i="58"/>
  <c r="O241" i="58"/>
  <c r="P241" i="58"/>
  <c r="O237" i="58"/>
  <c r="P237" i="58"/>
  <c r="O233" i="58"/>
  <c r="P233" i="58"/>
  <c r="O229" i="58"/>
  <c r="P229" i="58"/>
  <c r="O225" i="58"/>
  <c r="P225" i="58"/>
  <c r="O221" i="58"/>
  <c r="P221" i="58"/>
  <c r="O217" i="58"/>
  <c r="P217" i="58"/>
  <c r="O213" i="58"/>
  <c r="P213" i="58"/>
  <c r="O209" i="58"/>
  <c r="P209" i="58"/>
  <c r="O205" i="58"/>
  <c r="P205" i="58"/>
  <c r="O201" i="58"/>
  <c r="P201" i="58"/>
  <c r="O197" i="58"/>
  <c r="P197" i="58"/>
  <c r="O193" i="58"/>
  <c r="P193" i="58"/>
  <c r="O189" i="58"/>
  <c r="P189" i="58"/>
  <c r="O856" i="58"/>
  <c r="P856" i="58"/>
  <c r="O852" i="58"/>
  <c r="P852" i="58"/>
  <c r="O848" i="58"/>
  <c r="P848" i="58"/>
  <c r="O844" i="58"/>
  <c r="P844" i="58"/>
  <c r="O840" i="58"/>
  <c r="P840" i="58"/>
  <c r="O836" i="58"/>
  <c r="P836" i="58"/>
  <c r="O832" i="58"/>
  <c r="P832" i="58"/>
  <c r="O828" i="58"/>
  <c r="P828" i="58"/>
  <c r="O824" i="58"/>
  <c r="P824" i="58"/>
  <c r="O820" i="58"/>
  <c r="P820" i="58"/>
  <c r="O816" i="58"/>
  <c r="P816" i="58"/>
  <c r="O812" i="58"/>
  <c r="P812" i="58"/>
  <c r="O808" i="58"/>
  <c r="P808" i="58"/>
  <c r="O804" i="58"/>
  <c r="P804" i="58"/>
  <c r="O800" i="58"/>
  <c r="P800" i="58"/>
  <c r="O796" i="58"/>
  <c r="P796" i="58"/>
  <c r="O792" i="58"/>
  <c r="P792" i="58"/>
  <c r="O788" i="58"/>
  <c r="P788" i="58"/>
  <c r="O784" i="58"/>
  <c r="P784" i="58"/>
  <c r="O780" i="58"/>
  <c r="P780" i="58"/>
  <c r="O776" i="58"/>
  <c r="P776" i="58"/>
  <c r="O772" i="58"/>
  <c r="P772" i="58"/>
  <c r="O768" i="58"/>
  <c r="P768" i="58"/>
  <c r="O764" i="58"/>
  <c r="P764" i="58"/>
  <c r="O760" i="58"/>
  <c r="P760" i="58"/>
  <c r="O756" i="58"/>
  <c r="P756" i="58"/>
  <c r="O752" i="58"/>
  <c r="P752" i="58"/>
  <c r="O748" i="58"/>
  <c r="P748" i="58"/>
  <c r="O744" i="58"/>
  <c r="P744" i="58"/>
  <c r="O740" i="58"/>
  <c r="P740" i="58"/>
  <c r="O736" i="58"/>
  <c r="P736" i="58"/>
  <c r="O732" i="58"/>
  <c r="P732" i="58"/>
  <c r="O728" i="58"/>
  <c r="P728" i="58"/>
  <c r="O724" i="58"/>
  <c r="P724" i="58"/>
  <c r="O720" i="58"/>
  <c r="P720" i="58"/>
  <c r="O716" i="58"/>
  <c r="P716" i="58"/>
  <c r="O712" i="58"/>
  <c r="P712" i="58"/>
  <c r="O708" i="58"/>
  <c r="P708" i="58"/>
  <c r="O704" i="58"/>
  <c r="P704" i="58"/>
  <c r="O700" i="58"/>
  <c r="P700" i="58"/>
  <c r="O696" i="58"/>
  <c r="P696" i="58"/>
  <c r="O692" i="58"/>
  <c r="P692" i="58"/>
  <c r="O688" i="58"/>
  <c r="P688" i="58"/>
  <c r="O684" i="58"/>
  <c r="P684" i="58"/>
  <c r="O680" i="58"/>
  <c r="P680" i="58"/>
  <c r="O676" i="58"/>
  <c r="P676" i="58"/>
  <c r="O672" i="58"/>
  <c r="P672" i="58"/>
  <c r="O668" i="58"/>
  <c r="P668" i="58"/>
  <c r="O664" i="58"/>
  <c r="P664" i="58"/>
  <c r="O660" i="58"/>
  <c r="P660" i="58"/>
  <c r="O656" i="58"/>
  <c r="P656" i="58"/>
  <c r="O652" i="58"/>
  <c r="P652" i="58"/>
  <c r="O648" i="58"/>
  <c r="P648" i="58"/>
  <c r="O644" i="58"/>
  <c r="P644" i="58"/>
  <c r="O640" i="58"/>
  <c r="P640" i="58"/>
  <c r="O636" i="58"/>
  <c r="P636" i="58"/>
  <c r="O632" i="58"/>
  <c r="P632" i="58"/>
  <c r="O628" i="58"/>
  <c r="P628" i="58"/>
  <c r="O624" i="58"/>
  <c r="P624" i="58"/>
  <c r="O620" i="58"/>
  <c r="P620" i="58"/>
  <c r="O616" i="58"/>
  <c r="P616" i="58"/>
  <c r="O612" i="58"/>
  <c r="P612" i="58"/>
  <c r="O608" i="58"/>
  <c r="P608" i="58"/>
  <c r="O604" i="58"/>
  <c r="P604" i="58"/>
  <c r="O600" i="58"/>
  <c r="P600" i="58"/>
  <c r="O596" i="58"/>
  <c r="P596" i="58"/>
  <c r="O588" i="58"/>
  <c r="P588" i="58"/>
  <c r="O584" i="58"/>
  <c r="P584" i="58"/>
  <c r="O580" i="58"/>
  <c r="P580" i="58"/>
  <c r="O572" i="58"/>
  <c r="P572" i="58"/>
  <c r="O564" i="58"/>
  <c r="P564" i="58"/>
  <c r="O556" i="58"/>
  <c r="P556" i="58"/>
  <c r="O548" i="58"/>
  <c r="P548" i="58"/>
  <c r="O540" i="58"/>
  <c r="P540" i="58"/>
  <c r="O532" i="58"/>
  <c r="P532" i="58"/>
  <c r="O524" i="58"/>
  <c r="P524" i="58"/>
  <c r="O516" i="58"/>
  <c r="P516" i="58"/>
  <c r="O508" i="58"/>
  <c r="P508" i="58"/>
  <c r="O500" i="58"/>
  <c r="P500" i="58"/>
  <c r="O496" i="58"/>
  <c r="P496" i="58"/>
  <c r="O492" i="58"/>
  <c r="P492" i="58"/>
  <c r="O488" i="58"/>
  <c r="P488" i="58"/>
  <c r="O484" i="58"/>
  <c r="P484" i="58"/>
  <c r="O480" i="58"/>
  <c r="P480" i="58"/>
  <c r="O476" i="58"/>
  <c r="P476" i="58"/>
  <c r="O472" i="58"/>
  <c r="P472" i="58"/>
  <c r="O468" i="58"/>
  <c r="P468" i="58"/>
  <c r="O464" i="58"/>
  <c r="P464" i="58"/>
  <c r="O460" i="58"/>
  <c r="P460" i="58"/>
  <c r="O456" i="58"/>
  <c r="P456" i="58"/>
  <c r="O452" i="58"/>
  <c r="P452" i="58"/>
  <c r="O448" i="58"/>
  <c r="P448" i="58"/>
  <c r="O444" i="58"/>
  <c r="P444" i="58"/>
  <c r="O440" i="58"/>
  <c r="P440" i="58"/>
  <c r="O436" i="58"/>
  <c r="P436" i="58"/>
  <c r="O432" i="58"/>
  <c r="P432" i="58"/>
  <c r="O428" i="58"/>
  <c r="P428" i="58"/>
  <c r="O424" i="58"/>
  <c r="P424" i="58"/>
  <c r="O420" i="58"/>
  <c r="P420" i="58"/>
  <c r="O416" i="58"/>
  <c r="P416" i="58"/>
  <c r="O412" i="58"/>
  <c r="P412" i="58"/>
  <c r="O408" i="58"/>
  <c r="P408" i="58"/>
  <c r="O404" i="58"/>
  <c r="P404" i="58"/>
  <c r="O400" i="58"/>
  <c r="P400" i="58"/>
  <c r="O396" i="58"/>
  <c r="P396" i="58"/>
  <c r="O392" i="58"/>
  <c r="P392" i="58"/>
  <c r="O388" i="58"/>
  <c r="P388" i="58"/>
  <c r="O384" i="58"/>
  <c r="P384" i="58"/>
  <c r="O380" i="58"/>
  <c r="P380" i="58"/>
  <c r="O376" i="58"/>
  <c r="P376" i="58"/>
  <c r="O372" i="58"/>
  <c r="P372" i="58"/>
  <c r="O368" i="58"/>
  <c r="P368" i="58"/>
  <c r="O364" i="58"/>
  <c r="P364" i="58"/>
  <c r="O360" i="58"/>
  <c r="P360" i="58"/>
  <c r="O356" i="58"/>
  <c r="P356" i="58"/>
  <c r="O352" i="58"/>
  <c r="P352" i="58"/>
  <c r="O348" i="58"/>
  <c r="P348" i="58"/>
  <c r="O344" i="58"/>
  <c r="P344" i="58"/>
  <c r="O340" i="58"/>
  <c r="P340" i="58"/>
  <c r="O336" i="58"/>
  <c r="P336" i="58"/>
  <c r="O332" i="58"/>
  <c r="P332" i="58"/>
  <c r="O328" i="58"/>
  <c r="P328" i="58"/>
  <c r="O324" i="58"/>
  <c r="P324" i="58"/>
  <c r="O320" i="58"/>
  <c r="P320" i="58"/>
  <c r="O316" i="58"/>
  <c r="P316" i="58"/>
  <c r="O312" i="58"/>
  <c r="P312" i="58"/>
  <c r="O308" i="58"/>
  <c r="P308" i="58"/>
  <c r="O304" i="58"/>
  <c r="P304" i="58"/>
  <c r="O300" i="58"/>
  <c r="P300" i="58"/>
  <c r="O296" i="58"/>
  <c r="P296" i="58"/>
  <c r="O292" i="58"/>
  <c r="P292" i="58"/>
  <c r="O288" i="58"/>
  <c r="P288" i="58"/>
  <c r="O284" i="58"/>
  <c r="P284" i="58"/>
  <c r="O280" i="58"/>
  <c r="P280" i="58"/>
  <c r="O276" i="58"/>
  <c r="P276" i="58"/>
  <c r="O272" i="58"/>
  <c r="P272" i="58"/>
  <c r="O268" i="58"/>
  <c r="P268" i="58"/>
  <c r="O264" i="58"/>
  <c r="P264" i="58"/>
  <c r="O260" i="58"/>
  <c r="P260" i="58"/>
  <c r="O256" i="58"/>
  <c r="P256" i="58"/>
  <c r="O252" i="58"/>
  <c r="P252" i="58"/>
  <c r="O248" i="58"/>
  <c r="P248" i="58"/>
  <c r="O244" i="58"/>
  <c r="P244" i="58"/>
  <c r="O240" i="58"/>
  <c r="P240" i="58"/>
  <c r="O236" i="58"/>
  <c r="P236" i="58"/>
  <c r="O232" i="58"/>
  <c r="P232" i="58"/>
  <c r="O228" i="58"/>
  <c r="P228" i="58"/>
  <c r="O224" i="58"/>
  <c r="P224" i="58"/>
  <c r="O220" i="58"/>
  <c r="P220" i="58"/>
  <c r="O216" i="58"/>
  <c r="P216" i="58"/>
  <c r="O212" i="58"/>
  <c r="P212" i="58"/>
  <c r="O208" i="58"/>
  <c r="P208" i="58"/>
  <c r="O204" i="58"/>
  <c r="P204" i="58"/>
  <c r="O200" i="58"/>
  <c r="P200" i="58"/>
  <c r="O196" i="58"/>
  <c r="P196" i="58"/>
  <c r="O192" i="58"/>
  <c r="P192" i="58"/>
  <c r="O188" i="58"/>
  <c r="P188" i="58"/>
  <c r="O184" i="58"/>
  <c r="P184" i="58"/>
  <c r="O860" i="58"/>
  <c r="P860" i="58"/>
  <c r="N855" i="58"/>
  <c r="P855" i="58"/>
  <c r="N851" i="58"/>
  <c r="P851" i="58"/>
  <c r="N847" i="58"/>
  <c r="P847" i="58"/>
  <c r="N843" i="58"/>
  <c r="P843" i="58"/>
  <c r="N839" i="58"/>
  <c r="P839" i="58"/>
  <c r="N835" i="58"/>
  <c r="P835" i="58"/>
  <c r="N831" i="58"/>
  <c r="P831" i="58"/>
  <c r="N827" i="58"/>
  <c r="P827" i="58"/>
  <c r="N823" i="58"/>
  <c r="P823" i="58"/>
  <c r="N819" i="58"/>
  <c r="P819" i="58"/>
  <c r="N815" i="58"/>
  <c r="P815" i="58"/>
  <c r="N811" i="58"/>
  <c r="P811" i="58"/>
  <c r="N807" i="58"/>
  <c r="P807" i="58"/>
  <c r="N803" i="58"/>
  <c r="P803" i="58"/>
  <c r="N799" i="58"/>
  <c r="P799" i="58"/>
  <c r="N795" i="58"/>
  <c r="P795" i="58"/>
  <c r="N791" i="58"/>
  <c r="P791" i="58"/>
  <c r="N787" i="58"/>
  <c r="P787" i="58"/>
  <c r="N783" i="58"/>
  <c r="P783" i="58"/>
  <c r="N779" i="58"/>
  <c r="P779" i="58"/>
  <c r="N775" i="58"/>
  <c r="P775" i="58"/>
  <c r="N771" i="58"/>
  <c r="P771" i="58"/>
  <c r="N767" i="58"/>
  <c r="P767" i="58"/>
  <c r="N763" i="58"/>
  <c r="P763" i="58"/>
  <c r="N759" i="58"/>
  <c r="P759" i="58"/>
  <c r="N755" i="58"/>
  <c r="P755" i="58"/>
  <c r="N751" i="58"/>
  <c r="P751" i="58"/>
  <c r="N747" i="58"/>
  <c r="P747" i="58"/>
  <c r="N743" i="58"/>
  <c r="P743" i="58"/>
  <c r="N739" i="58"/>
  <c r="P739" i="58"/>
  <c r="N735" i="58"/>
  <c r="P735" i="58"/>
  <c r="N731" i="58"/>
  <c r="P731" i="58"/>
  <c r="N727" i="58"/>
  <c r="P727" i="58"/>
  <c r="N723" i="58"/>
  <c r="P723" i="58"/>
  <c r="N719" i="58"/>
  <c r="P719" i="58"/>
  <c r="N715" i="58"/>
  <c r="P715" i="58"/>
  <c r="N711" i="58"/>
  <c r="P711" i="58"/>
  <c r="N707" i="58"/>
  <c r="P707" i="58"/>
  <c r="N703" i="58"/>
  <c r="P703" i="58"/>
  <c r="N699" i="58"/>
  <c r="P699" i="58"/>
  <c r="N695" i="58"/>
  <c r="P695" i="58"/>
  <c r="N691" i="58"/>
  <c r="P691" i="58"/>
  <c r="N687" i="58"/>
  <c r="P687" i="58"/>
  <c r="N683" i="58"/>
  <c r="P683" i="58"/>
  <c r="N679" i="58"/>
  <c r="P679" i="58"/>
  <c r="N675" i="58"/>
  <c r="P675" i="58"/>
  <c r="N671" i="58"/>
  <c r="P671" i="58"/>
  <c r="N667" i="58"/>
  <c r="P667" i="58"/>
  <c r="N663" i="58"/>
  <c r="P663" i="58"/>
  <c r="N659" i="58"/>
  <c r="P659" i="58"/>
  <c r="N655" i="58"/>
  <c r="P655" i="58"/>
  <c r="N651" i="58"/>
  <c r="P651" i="58"/>
  <c r="N647" i="58"/>
  <c r="P647" i="58"/>
  <c r="N643" i="58"/>
  <c r="P643" i="58"/>
  <c r="N639" i="58"/>
  <c r="P639" i="58"/>
  <c r="N635" i="58"/>
  <c r="P635" i="58"/>
  <c r="O603" i="58"/>
  <c r="P603" i="58"/>
  <c r="O599" i="58"/>
  <c r="P599" i="58"/>
  <c r="O595" i="58"/>
  <c r="P595" i="58"/>
  <c r="O591" i="58"/>
  <c r="P591" i="58"/>
  <c r="O587" i="58"/>
  <c r="P587" i="58"/>
  <c r="O583" i="58"/>
  <c r="P583" i="58"/>
  <c r="O579" i="58"/>
  <c r="P579" i="58"/>
  <c r="O575" i="58"/>
  <c r="P575" i="58"/>
  <c r="O571" i="58"/>
  <c r="P571" i="58"/>
  <c r="O567" i="58"/>
  <c r="P567" i="58"/>
  <c r="O563" i="58"/>
  <c r="P563" i="58"/>
  <c r="O559" i="58"/>
  <c r="P559" i="58"/>
  <c r="O555" i="58"/>
  <c r="P555" i="58"/>
  <c r="O551" i="58"/>
  <c r="P551" i="58"/>
  <c r="O547" i="58"/>
  <c r="P547" i="58"/>
  <c r="O543" i="58"/>
  <c r="P543" i="58"/>
  <c r="O539" i="58"/>
  <c r="P539" i="58"/>
  <c r="O535" i="58"/>
  <c r="P535" i="58"/>
  <c r="O531" i="58"/>
  <c r="P531" i="58"/>
  <c r="O527" i="58"/>
  <c r="P527" i="58"/>
  <c r="O523" i="58"/>
  <c r="P523" i="58"/>
  <c r="O519" i="58"/>
  <c r="P519" i="58"/>
  <c r="O515" i="58"/>
  <c r="P515" i="58"/>
  <c r="O511" i="58"/>
  <c r="P511" i="58"/>
  <c r="O507" i="58"/>
  <c r="P507" i="58"/>
  <c r="O503" i="58"/>
  <c r="P503" i="58"/>
  <c r="O499" i="58"/>
  <c r="P499" i="58"/>
  <c r="O495" i="58"/>
  <c r="P495" i="58"/>
  <c r="O491" i="58"/>
  <c r="P491" i="58"/>
  <c r="O487" i="58"/>
  <c r="P487" i="58"/>
  <c r="O483" i="58"/>
  <c r="P483" i="58"/>
  <c r="O479" i="58"/>
  <c r="P479" i="58"/>
  <c r="O475" i="58"/>
  <c r="P475" i="58"/>
  <c r="O471" i="58"/>
  <c r="P471" i="58"/>
  <c r="O467" i="58"/>
  <c r="P467" i="58"/>
  <c r="O463" i="58"/>
  <c r="P463" i="58"/>
  <c r="O459" i="58"/>
  <c r="P459" i="58"/>
  <c r="O455" i="58"/>
  <c r="P455" i="58"/>
  <c r="O451" i="58"/>
  <c r="P451" i="58"/>
  <c r="O447" i="58"/>
  <c r="P447" i="58"/>
  <c r="O443" i="58"/>
  <c r="P443" i="58"/>
  <c r="O439" i="58"/>
  <c r="P439" i="58"/>
  <c r="O435" i="58"/>
  <c r="P435" i="58"/>
  <c r="O431" i="58"/>
  <c r="P431" i="58"/>
  <c r="O427" i="58"/>
  <c r="P427" i="58"/>
  <c r="O423" i="58"/>
  <c r="P423" i="58"/>
  <c r="O419" i="58"/>
  <c r="P419" i="58"/>
  <c r="O415" i="58"/>
  <c r="P415" i="58"/>
  <c r="O411" i="58"/>
  <c r="P411" i="58"/>
  <c r="O407" i="58"/>
  <c r="P407" i="58"/>
  <c r="O403" i="58"/>
  <c r="P403" i="58"/>
  <c r="O399" i="58"/>
  <c r="P399" i="58"/>
  <c r="O395" i="58"/>
  <c r="P395" i="58"/>
  <c r="O391" i="58"/>
  <c r="P391" i="58"/>
  <c r="O387" i="58"/>
  <c r="P387" i="58"/>
  <c r="O383" i="58"/>
  <c r="P383" i="58"/>
  <c r="O379" i="58"/>
  <c r="P379" i="58"/>
  <c r="O375" i="58"/>
  <c r="P375" i="58"/>
  <c r="O371" i="58"/>
  <c r="P371" i="58"/>
  <c r="O367" i="58"/>
  <c r="P367" i="58"/>
  <c r="O363" i="58"/>
  <c r="P363" i="58"/>
  <c r="O359" i="58"/>
  <c r="P359" i="58"/>
  <c r="O355" i="58"/>
  <c r="P355" i="58"/>
  <c r="O351" i="58"/>
  <c r="P351" i="58"/>
  <c r="O347" i="58"/>
  <c r="P347" i="58"/>
  <c r="O343" i="58"/>
  <c r="P343" i="58"/>
  <c r="O339" i="58"/>
  <c r="P339" i="58"/>
  <c r="O335" i="58"/>
  <c r="P335" i="58"/>
  <c r="O331" i="58"/>
  <c r="P331" i="58"/>
  <c r="O327" i="58"/>
  <c r="P327" i="58"/>
  <c r="O323" i="58"/>
  <c r="P323" i="58"/>
  <c r="O319" i="58"/>
  <c r="P319" i="58"/>
  <c r="O315" i="58"/>
  <c r="P315" i="58"/>
  <c r="O311" i="58"/>
  <c r="P311" i="58"/>
  <c r="O307" i="58"/>
  <c r="P307" i="58"/>
  <c r="O303" i="58"/>
  <c r="P303" i="58"/>
  <c r="O299" i="58"/>
  <c r="P299" i="58"/>
  <c r="O295" i="58"/>
  <c r="P295" i="58"/>
  <c r="O291" i="58"/>
  <c r="P291" i="58"/>
  <c r="O287" i="58"/>
  <c r="P287" i="58"/>
  <c r="O283" i="58"/>
  <c r="P283" i="58"/>
  <c r="O279" i="58"/>
  <c r="P279" i="58"/>
  <c r="O275" i="58"/>
  <c r="P275" i="58"/>
  <c r="O271" i="58"/>
  <c r="P271" i="58"/>
  <c r="O267" i="58"/>
  <c r="P267" i="58"/>
  <c r="O263" i="58"/>
  <c r="P263" i="58"/>
  <c r="O259" i="58"/>
  <c r="P259" i="58"/>
  <c r="O255" i="58"/>
  <c r="P255" i="58"/>
  <c r="O251" i="58"/>
  <c r="P251" i="58"/>
  <c r="O247" i="58"/>
  <c r="P247" i="58"/>
  <c r="O243" i="58"/>
  <c r="P243" i="58"/>
  <c r="O239" i="58"/>
  <c r="P239" i="58"/>
  <c r="O235" i="58"/>
  <c r="P235" i="58"/>
  <c r="O231" i="58"/>
  <c r="P231" i="58"/>
  <c r="O227" i="58"/>
  <c r="P227" i="58"/>
  <c r="O223" i="58"/>
  <c r="P223" i="58"/>
  <c r="O219" i="58"/>
  <c r="P219" i="58"/>
  <c r="O215" i="58"/>
  <c r="P215" i="58"/>
  <c r="O211" i="58"/>
  <c r="P211" i="58"/>
  <c r="O207" i="58"/>
  <c r="P207" i="58"/>
  <c r="O203" i="58"/>
  <c r="P203" i="58"/>
  <c r="O199" i="58"/>
  <c r="P199" i="58"/>
  <c r="O191" i="58"/>
  <c r="P191" i="58"/>
  <c r="O187" i="58"/>
  <c r="P187" i="58"/>
  <c r="O183" i="58"/>
  <c r="P183" i="58"/>
  <c r="N859" i="58"/>
  <c r="P859" i="58"/>
  <c r="O862" i="58"/>
  <c r="P862" i="58"/>
  <c r="O858" i="58"/>
  <c r="P858" i="58"/>
  <c r="O854" i="58"/>
  <c r="P854" i="58"/>
  <c r="O850" i="58"/>
  <c r="P850" i="58"/>
  <c r="O846" i="58"/>
  <c r="P846" i="58"/>
  <c r="O842" i="58"/>
  <c r="P842" i="58"/>
  <c r="O838" i="58"/>
  <c r="P838" i="58"/>
  <c r="O834" i="58"/>
  <c r="P834" i="58"/>
  <c r="O830" i="58"/>
  <c r="P830" i="58"/>
  <c r="O826" i="58"/>
  <c r="P826" i="58"/>
  <c r="O822" i="58"/>
  <c r="P822" i="58"/>
  <c r="O818" i="58"/>
  <c r="P818" i="58"/>
  <c r="O814" i="58"/>
  <c r="P814" i="58"/>
  <c r="O810" i="58"/>
  <c r="P810" i="58"/>
  <c r="O806" i="58"/>
  <c r="P806" i="58"/>
  <c r="O802" i="58"/>
  <c r="P802" i="58"/>
  <c r="O798" i="58"/>
  <c r="P798" i="58"/>
  <c r="O794" i="58"/>
  <c r="P794" i="58"/>
  <c r="O790" i="58"/>
  <c r="P790" i="58"/>
  <c r="O786" i="58"/>
  <c r="P786" i="58"/>
  <c r="O782" i="58"/>
  <c r="P782" i="58"/>
  <c r="O778" i="58"/>
  <c r="P778" i="58"/>
  <c r="O774" i="58"/>
  <c r="P774" i="58"/>
  <c r="O770" i="58"/>
  <c r="P770" i="58"/>
  <c r="O766" i="58"/>
  <c r="P766" i="58"/>
  <c r="O762" i="58"/>
  <c r="P762" i="58"/>
  <c r="O758" i="58"/>
  <c r="P758" i="58"/>
  <c r="O754" i="58"/>
  <c r="P754" i="58"/>
  <c r="O750" i="58"/>
  <c r="P750" i="58"/>
  <c r="O746" i="58"/>
  <c r="P746" i="58"/>
  <c r="O742" i="58"/>
  <c r="P742" i="58"/>
  <c r="O738" i="58"/>
  <c r="P738" i="58"/>
  <c r="O734" i="58"/>
  <c r="P734" i="58"/>
  <c r="O730" i="58"/>
  <c r="P730" i="58"/>
  <c r="O726" i="58"/>
  <c r="P726" i="58"/>
  <c r="O722" i="58"/>
  <c r="P722" i="58"/>
  <c r="O718" i="58"/>
  <c r="P718" i="58"/>
  <c r="O714" i="58"/>
  <c r="P714" i="58"/>
  <c r="O710" i="58"/>
  <c r="P710" i="58"/>
  <c r="O706" i="58"/>
  <c r="P706" i="58"/>
  <c r="O702" i="58"/>
  <c r="P702" i="58"/>
  <c r="O698" i="58"/>
  <c r="P698" i="58"/>
  <c r="O694" i="58"/>
  <c r="P694" i="58"/>
  <c r="O690" i="58"/>
  <c r="P690" i="58"/>
  <c r="O686" i="58"/>
  <c r="P686" i="58"/>
  <c r="O682" i="58"/>
  <c r="P682" i="58"/>
  <c r="O678" i="58"/>
  <c r="P678" i="58"/>
  <c r="O674" i="58"/>
  <c r="P674" i="58"/>
  <c r="O670" i="58"/>
  <c r="P670" i="58"/>
  <c r="O666" i="58"/>
  <c r="P666" i="58"/>
  <c r="O662" i="58"/>
  <c r="P662" i="58"/>
  <c r="O658" i="58"/>
  <c r="P658" i="58"/>
  <c r="O654" i="58"/>
  <c r="P654" i="58"/>
  <c r="O650" i="58"/>
  <c r="P650" i="58"/>
  <c r="O646" i="58"/>
  <c r="P646" i="58"/>
  <c r="O642" i="58"/>
  <c r="P642" i="58"/>
  <c r="O638" i="58"/>
  <c r="P638" i="58"/>
  <c r="O634" i="58"/>
  <c r="P634" i="58"/>
  <c r="O630" i="58"/>
  <c r="P630" i="58"/>
  <c r="O626" i="58"/>
  <c r="P626" i="58"/>
  <c r="O622" i="58"/>
  <c r="P622" i="58"/>
  <c r="O618" i="58"/>
  <c r="P618" i="58"/>
  <c r="O614" i="58"/>
  <c r="P614" i="58"/>
  <c r="O610" i="58"/>
  <c r="P610" i="58"/>
  <c r="O606" i="58"/>
  <c r="P606" i="58"/>
  <c r="N602" i="58"/>
  <c r="P602" i="58"/>
  <c r="O598" i="58"/>
  <c r="P598" i="58"/>
  <c r="O594" i="58"/>
  <c r="P594" i="58"/>
  <c r="O590" i="58"/>
  <c r="P590" i="58"/>
  <c r="N586" i="58"/>
  <c r="P586" i="58"/>
  <c r="O582" i="58"/>
  <c r="P582" i="58"/>
  <c r="O578" i="58"/>
  <c r="P578" i="58"/>
  <c r="O574" i="58"/>
  <c r="P574" i="58"/>
  <c r="O570" i="58"/>
  <c r="P570" i="58"/>
  <c r="O566" i="58"/>
  <c r="P566" i="58"/>
  <c r="O562" i="58"/>
  <c r="P562" i="58"/>
  <c r="O558" i="58"/>
  <c r="P558" i="58"/>
  <c r="O554" i="58"/>
  <c r="P554" i="58"/>
  <c r="O550" i="58"/>
  <c r="P550" i="58"/>
  <c r="O546" i="58"/>
  <c r="P546" i="58"/>
  <c r="O542" i="58"/>
  <c r="P542" i="58"/>
  <c r="O538" i="58"/>
  <c r="P538" i="58"/>
  <c r="O534" i="58"/>
  <c r="P534" i="58"/>
  <c r="O530" i="58"/>
  <c r="P530" i="58"/>
  <c r="O526" i="58"/>
  <c r="P526" i="58"/>
  <c r="O522" i="58"/>
  <c r="P522" i="58"/>
  <c r="O518" i="58"/>
  <c r="P518" i="58"/>
  <c r="O514" i="58"/>
  <c r="P514" i="58"/>
  <c r="O510" i="58"/>
  <c r="P510" i="58"/>
  <c r="O506" i="58"/>
  <c r="P506" i="58"/>
  <c r="O502" i="58"/>
  <c r="P502" i="58"/>
  <c r="O498" i="58"/>
  <c r="P498" i="58"/>
  <c r="O494" i="58"/>
  <c r="P494" i="58"/>
  <c r="N490" i="58"/>
  <c r="P490" i="58"/>
  <c r="O486" i="58"/>
  <c r="P486" i="58"/>
  <c r="O482" i="58"/>
  <c r="P482" i="58"/>
  <c r="O478" i="58"/>
  <c r="P478" i="58"/>
  <c r="N474" i="58"/>
  <c r="P474" i="58"/>
  <c r="O470" i="58"/>
  <c r="P470" i="58"/>
  <c r="O466" i="58"/>
  <c r="P466" i="58"/>
  <c r="O462" i="58"/>
  <c r="P462" i="58"/>
  <c r="N458" i="58"/>
  <c r="P458" i="58"/>
  <c r="O454" i="58"/>
  <c r="P454" i="58"/>
  <c r="O450" i="58"/>
  <c r="P450" i="58"/>
  <c r="O446" i="58"/>
  <c r="P446" i="58"/>
  <c r="N442" i="58"/>
  <c r="P442" i="58"/>
  <c r="O438" i="58"/>
  <c r="P438" i="58"/>
  <c r="O434" i="58"/>
  <c r="P434" i="58"/>
  <c r="O430" i="58"/>
  <c r="P430" i="58"/>
  <c r="N426" i="58"/>
  <c r="P426" i="58"/>
  <c r="O422" i="58"/>
  <c r="P422" i="58"/>
  <c r="O418" i="58"/>
  <c r="P418" i="58"/>
  <c r="O414" i="58"/>
  <c r="P414" i="58"/>
  <c r="N410" i="58"/>
  <c r="P410" i="58"/>
  <c r="O406" i="58"/>
  <c r="P406" i="58"/>
  <c r="O402" i="58"/>
  <c r="P402" i="58"/>
  <c r="O398" i="58"/>
  <c r="P398" i="58"/>
  <c r="N394" i="58"/>
  <c r="P394" i="58"/>
  <c r="O390" i="58"/>
  <c r="P390" i="58"/>
  <c r="O386" i="58"/>
  <c r="P386" i="58"/>
  <c r="O382" i="58"/>
  <c r="P382" i="58"/>
  <c r="N378" i="58"/>
  <c r="P378" i="58"/>
  <c r="O374" i="58"/>
  <c r="P374" i="58"/>
  <c r="O370" i="58"/>
  <c r="P370" i="58"/>
  <c r="O366" i="58"/>
  <c r="P366" i="58"/>
  <c r="N362" i="58"/>
  <c r="P362" i="58"/>
  <c r="O358" i="58"/>
  <c r="P358" i="58"/>
  <c r="O354" i="58"/>
  <c r="P354" i="58"/>
  <c r="O350" i="58"/>
  <c r="P350" i="58"/>
  <c r="N346" i="58"/>
  <c r="P346" i="58"/>
  <c r="O342" i="58"/>
  <c r="P342" i="58"/>
  <c r="O338" i="58"/>
  <c r="P338" i="58"/>
  <c r="O334" i="58"/>
  <c r="P334" i="58"/>
  <c r="O330" i="58"/>
  <c r="P330" i="58"/>
  <c r="O326" i="58"/>
  <c r="P326" i="58"/>
  <c r="O322" i="58"/>
  <c r="P322" i="58"/>
  <c r="O314" i="58"/>
  <c r="P314" i="58"/>
  <c r="O310" i="58"/>
  <c r="P310" i="58"/>
  <c r="O306" i="58"/>
  <c r="P306" i="58"/>
  <c r="O302" i="58"/>
  <c r="P302" i="58"/>
  <c r="O298" i="58"/>
  <c r="P298" i="58"/>
  <c r="O294" i="58"/>
  <c r="P294" i="58"/>
  <c r="O290" i="58"/>
  <c r="P290" i="58"/>
  <c r="O282" i="58"/>
  <c r="P282" i="58"/>
  <c r="O278" i="58"/>
  <c r="P278" i="58"/>
  <c r="O274" i="58"/>
  <c r="P274" i="58"/>
  <c r="O270" i="58"/>
  <c r="P270" i="58"/>
  <c r="O266" i="58"/>
  <c r="P266" i="58"/>
  <c r="O262" i="58"/>
  <c r="P262" i="58"/>
  <c r="O258" i="58"/>
  <c r="P258" i="58"/>
  <c r="O250" i="58"/>
  <c r="P250" i="58"/>
  <c r="O246" i="58"/>
  <c r="P246" i="58"/>
  <c r="O242" i="58"/>
  <c r="P242" i="58"/>
  <c r="O238" i="58"/>
  <c r="P238" i="58"/>
  <c r="O234" i="58"/>
  <c r="P234" i="58"/>
  <c r="O230" i="58"/>
  <c r="P230" i="58"/>
  <c r="O226" i="58"/>
  <c r="P226" i="58"/>
  <c r="O222" i="58"/>
  <c r="P222" i="58"/>
  <c r="O218" i="58"/>
  <c r="P218" i="58"/>
  <c r="O214" i="58"/>
  <c r="P214" i="58"/>
  <c r="O210" i="58"/>
  <c r="P210" i="58"/>
  <c r="O206" i="58"/>
  <c r="P206" i="58"/>
  <c r="O202" i="58"/>
  <c r="P202" i="58"/>
  <c r="O198" i="58"/>
  <c r="P198" i="58"/>
  <c r="O194" i="58"/>
  <c r="P194" i="58"/>
  <c r="O179" i="58"/>
  <c r="P179" i="58"/>
  <c r="O175" i="58"/>
  <c r="P175" i="58"/>
  <c r="O171" i="58"/>
  <c r="P171" i="58"/>
  <c r="O167" i="58"/>
  <c r="P167" i="58"/>
  <c r="O163" i="58"/>
  <c r="P163" i="58"/>
  <c r="O159" i="58"/>
  <c r="P159" i="58"/>
  <c r="O155" i="58"/>
  <c r="P155" i="58"/>
  <c r="O151" i="58"/>
  <c r="P151" i="58"/>
  <c r="O147" i="58"/>
  <c r="P147" i="58"/>
  <c r="O143" i="58"/>
  <c r="P143" i="58"/>
  <c r="O139" i="58"/>
  <c r="P139" i="58"/>
  <c r="O135" i="58"/>
  <c r="P135" i="58"/>
  <c r="O127" i="58"/>
  <c r="P127" i="58"/>
  <c r="O123" i="58"/>
  <c r="P123" i="58"/>
  <c r="O119" i="58"/>
  <c r="P119" i="58"/>
  <c r="O115" i="58"/>
  <c r="P115" i="58"/>
  <c r="O111" i="58"/>
  <c r="P111" i="58"/>
  <c r="O107" i="58"/>
  <c r="P107" i="58"/>
  <c r="O103" i="58"/>
  <c r="P103" i="58"/>
  <c r="O99" i="58"/>
  <c r="P99" i="58"/>
  <c r="O95" i="58"/>
  <c r="P95" i="58"/>
  <c r="O91" i="58"/>
  <c r="P91" i="58"/>
  <c r="O63" i="58"/>
  <c r="P63" i="58"/>
  <c r="O27" i="58"/>
  <c r="P27" i="58"/>
  <c r="O23" i="58"/>
  <c r="P23" i="58"/>
  <c r="O19" i="58"/>
  <c r="P19" i="58"/>
  <c r="O15" i="58"/>
  <c r="P15" i="58"/>
  <c r="O11" i="58"/>
  <c r="P11" i="58"/>
  <c r="O7" i="58"/>
  <c r="P7" i="58"/>
  <c r="O190" i="58"/>
  <c r="P190" i="58"/>
  <c r="O186" i="58"/>
  <c r="P186" i="58"/>
  <c r="O182" i="58"/>
  <c r="P182" i="58"/>
  <c r="O178" i="58"/>
  <c r="P178" i="58"/>
  <c r="O174" i="58"/>
  <c r="P174" i="58"/>
  <c r="O170" i="58"/>
  <c r="P170" i="58"/>
  <c r="O166" i="58"/>
  <c r="P166" i="58"/>
  <c r="O162" i="58"/>
  <c r="P162" i="58"/>
  <c r="O158" i="58"/>
  <c r="P158" i="58"/>
  <c r="O154" i="58"/>
  <c r="P154" i="58"/>
  <c r="O150" i="58"/>
  <c r="P150" i="58"/>
  <c r="O146" i="58"/>
  <c r="P146" i="58"/>
  <c r="O142" i="58"/>
  <c r="P142" i="58"/>
  <c r="O138" i="58"/>
  <c r="P138" i="58"/>
  <c r="O134" i="58"/>
  <c r="P134" i="58"/>
  <c r="O130" i="58"/>
  <c r="P130" i="58"/>
  <c r="O126" i="58"/>
  <c r="P126" i="58"/>
  <c r="O122" i="58"/>
  <c r="P122" i="58"/>
  <c r="O118" i="58"/>
  <c r="P118" i="58"/>
  <c r="O114" i="58"/>
  <c r="P114" i="58"/>
  <c r="O110" i="58"/>
  <c r="P110" i="58"/>
  <c r="O106" i="58"/>
  <c r="P106" i="58"/>
  <c r="O102" i="58"/>
  <c r="P102" i="58"/>
  <c r="O98" i="58"/>
  <c r="P98" i="58"/>
  <c r="O94" i="58"/>
  <c r="P94" i="58"/>
  <c r="O90" i="58"/>
  <c r="P90" i="58"/>
  <c r="O70" i="58"/>
  <c r="P70" i="58"/>
  <c r="O50" i="58"/>
  <c r="P50" i="58"/>
  <c r="O30" i="58"/>
  <c r="P30" i="58"/>
  <c r="O10" i="58"/>
  <c r="P10" i="58"/>
  <c r="O185" i="58"/>
  <c r="P185" i="58"/>
  <c r="O181" i="58"/>
  <c r="P181" i="58"/>
  <c r="O177" i="58"/>
  <c r="P177" i="58"/>
  <c r="O173" i="58"/>
  <c r="P173" i="58"/>
  <c r="O169" i="58"/>
  <c r="P169" i="58"/>
  <c r="O165" i="58"/>
  <c r="P165" i="58"/>
  <c r="O161" i="58"/>
  <c r="P161" i="58"/>
  <c r="O157" i="58"/>
  <c r="P157" i="58"/>
  <c r="O153" i="58"/>
  <c r="P153" i="58"/>
  <c r="O149" i="58"/>
  <c r="P149" i="58"/>
  <c r="O145" i="58"/>
  <c r="P145" i="58"/>
  <c r="O141" i="58"/>
  <c r="P141" i="58"/>
  <c r="O137" i="58"/>
  <c r="P137" i="58"/>
  <c r="O133" i="58"/>
  <c r="P133" i="58"/>
  <c r="O129" i="58"/>
  <c r="P129" i="58"/>
  <c r="O125" i="58"/>
  <c r="P125" i="58"/>
  <c r="O121" i="58"/>
  <c r="P121" i="58"/>
  <c r="O117" i="58"/>
  <c r="P117" i="58"/>
  <c r="O113" i="58"/>
  <c r="P113" i="58"/>
  <c r="O109" i="58"/>
  <c r="P109" i="58"/>
  <c r="O105" i="58"/>
  <c r="P105" i="58"/>
  <c r="O101" i="58"/>
  <c r="P101" i="58"/>
  <c r="O97" i="58"/>
  <c r="P97" i="58"/>
  <c r="O93" i="58"/>
  <c r="P93" i="58"/>
  <c r="O89" i="58"/>
  <c r="P89" i="58"/>
  <c r="O85" i="58"/>
  <c r="P85" i="58"/>
  <c r="O81" i="58"/>
  <c r="P81" i="58"/>
  <c r="O49" i="58"/>
  <c r="P49" i="58"/>
  <c r="O45" i="58"/>
  <c r="P45" i="58"/>
  <c r="O41" i="58"/>
  <c r="P41" i="58"/>
  <c r="O25" i="58"/>
  <c r="P25" i="58"/>
  <c r="O21" i="58"/>
  <c r="P21" i="58"/>
  <c r="O17" i="58"/>
  <c r="P17" i="58"/>
  <c r="O13" i="58"/>
  <c r="P13" i="58"/>
  <c r="O9" i="58"/>
  <c r="P9" i="58"/>
  <c r="O180" i="58"/>
  <c r="P180" i="58"/>
  <c r="O176" i="58"/>
  <c r="P176" i="58"/>
  <c r="O172" i="58"/>
  <c r="P172" i="58"/>
  <c r="O168" i="58"/>
  <c r="P168" i="58"/>
  <c r="O164" i="58"/>
  <c r="P164" i="58"/>
  <c r="O160" i="58"/>
  <c r="P160" i="58"/>
  <c r="O156" i="58"/>
  <c r="P156" i="58"/>
  <c r="O152" i="58"/>
  <c r="P152" i="58"/>
  <c r="O148" i="58"/>
  <c r="P148" i="58"/>
  <c r="O144" i="58"/>
  <c r="P144" i="58"/>
  <c r="O140" i="58"/>
  <c r="P140" i="58"/>
  <c r="O136" i="58"/>
  <c r="P136" i="58"/>
  <c r="O132" i="58"/>
  <c r="P132" i="58"/>
  <c r="O128" i="58"/>
  <c r="P128" i="58"/>
  <c r="O124" i="58"/>
  <c r="P124" i="58"/>
  <c r="O120" i="58"/>
  <c r="P120" i="58"/>
  <c r="O116" i="58"/>
  <c r="P116" i="58"/>
  <c r="O112" i="58"/>
  <c r="P112" i="58"/>
  <c r="O108" i="58"/>
  <c r="P108" i="58"/>
  <c r="O104" i="58"/>
  <c r="P104" i="58"/>
  <c r="O100" i="58"/>
  <c r="P100" i="58"/>
  <c r="O96" i="58"/>
  <c r="P96" i="58"/>
  <c r="O92" i="58"/>
  <c r="P92" i="58"/>
  <c r="O80" i="58"/>
  <c r="P80" i="58"/>
  <c r="O60" i="58"/>
  <c r="P60" i="58"/>
  <c r="O56" i="58"/>
  <c r="P56" i="58"/>
  <c r="O52" i="58"/>
  <c r="P52" i="58"/>
  <c r="O40" i="58"/>
  <c r="P40" i="58"/>
  <c r="O24" i="58"/>
  <c r="P24" i="58"/>
  <c r="O20" i="58"/>
  <c r="P20" i="58"/>
  <c r="O16" i="58"/>
  <c r="P16" i="58"/>
  <c r="O12" i="58"/>
  <c r="P12" i="58"/>
  <c r="O855" i="58"/>
  <c r="O839" i="58"/>
  <c r="O823" i="58"/>
  <c r="O807" i="58"/>
  <c r="O791" i="58"/>
  <c r="O775" i="58"/>
  <c r="O759" i="58"/>
  <c r="O743" i="58"/>
  <c r="O727" i="58"/>
  <c r="O711" i="58"/>
  <c r="O695" i="58"/>
  <c r="O679" i="58"/>
  <c r="O663" i="58"/>
  <c r="O647" i="58"/>
  <c r="O597" i="58"/>
  <c r="O851" i="58"/>
  <c r="O835" i="58"/>
  <c r="O819" i="58"/>
  <c r="O803" i="58"/>
  <c r="O787" i="58"/>
  <c r="O771" i="58"/>
  <c r="O755" i="58"/>
  <c r="O739" i="58"/>
  <c r="O723" i="58"/>
  <c r="O707" i="58"/>
  <c r="O691" i="58"/>
  <c r="O675" i="58"/>
  <c r="O659" i="58"/>
  <c r="O643" i="58"/>
  <c r="O847" i="58"/>
  <c r="O831" i="58"/>
  <c r="O815" i="58"/>
  <c r="O799" i="58"/>
  <c r="O783" i="58"/>
  <c r="O767" i="58"/>
  <c r="O751" i="58"/>
  <c r="O735" i="58"/>
  <c r="O719" i="58"/>
  <c r="O703" i="58"/>
  <c r="O687" i="58"/>
  <c r="O671" i="58"/>
  <c r="O655" i="58"/>
  <c r="O639" i="58"/>
  <c r="O581" i="58"/>
  <c r="O843" i="58"/>
  <c r="O827" i="58"/>
  <c r="O811" i="58"/>
  <c r="O795" i="58"/>
  <c r="O779" i="58"/>
  <c r="O763" i="58"/>
  <c r="O747" i="58"/>
  <c r="O731" i="58"/>
  <c r="O715" i="58"/>
  <c r="O699" i="58"/>
  <c r="O683" i="58"/>
  <c r="O667" i="58"/>
  <c r="O651" i="58"/>
  <c r="O635" i="58"/>
  <c r="N318" i="58"/>
  <c r="O318" i="58"/>
  <c r="N286" i="58"/>
  <c r="O286" i="58"/>
  <c r="N254" i="58"/>
  <c r="O254" i="58"/>
  <c r="O859" i="58"/>
  <c r="O602" i="58"/>
  <c r="O586" i="58"/>
  <c r="N592" i="58"/>
  <c r="O592" i="58"/>
  <c r="N576" i="58"/>
  <c r="O576" i="58"/>
  <c r="N568" i="58"/>
  <c r="O568" i="58"/>
  <c r="N560" i="58"/>
  <c r="O560" i="58"/>
  <c r="N552" i="58"/>
  <c r="O552" i="58"/>
  <c r="N544" i="58"/>
  <c r="O544" i="58"/>
  <c r="N536" i="58"/>
  <c r="O536" i="58"/>
  <c r="N528" i="58"/>
  <c r="O528" i="58"/>
  <c r="N520" i="58"/>
  <c r="O520" i="58"/>
  <c r="N512" i="58"/>
  <c r="O512" i="58"/>
  <c r="N504" i="58"/>
  <c r="O504" i="58"/>
  <c r="O861" i="58"/>
  <c r="O857" i="58"/>
  <c r="O853" i="58"/>
  <c r="O849" i="58"/>
  <c r="O845" i="58"/>
  <c r="O841" i="58"/>
  <c r="O837" i="58"/>
  <c r="O833" i="58"/>
  <c r="O829" i="58"/>
  <c r="O825" i="58"/>
  <c r="O821" i="58"/>
  <c r="N631" i="58"/>
  <c r="O631" i="58"/>
  <c r="N627" i="58"/>
  <c r="O627" i="58"/>
  <c r="N623" i="58"/>
  <c r="O623" i="58"/>
  <c r="N619" i="58"/>
  <c r="O619" i="58"/>
  <c r="N615" i="58"/>
  <c r="O615" i="58"/>
  <c r="N611" i="58"/>
  <c r="O611" i="58"/>
  <c r="N607" i="58"/>
  <c r="O607" i="58"/>
  <c r="N195" i="58"/>
  <c r="O195" i="58"/>
  <c r="N131" i="58"/>
  <c r="O131" i="58"/>
  <c r="N67" i="58"/>
  <c r="O67" i="58"/>
  <c r="O490" i="58"/>
  <c r="O474" i="58"/>
  <c r="O458" i="58"/>
  <c r="O442" i="58"/>
  <c r="O426" i="58"/>
  <c r="O410" i="58"/>
  <c r="O394" i="58"/>
  <c r="O378" i="58"/>
  <c r="O362" i="58"/>
  <c r="O346" i="58"/>
  <c r="N595" i="58"/>
  <c r="N583" i="58"/>
  <c r="N575" i="58"/>
  <c r="N563" i="58"/>
  <c r="N551" i="58"/>
  <c r="N539" i="58"/>
  <c r="N531" i="58"/>
  <c r="N519" i="58"/>
  <c r="N507" i="58"/>
  <c r="N495" i="58"/>
  <c r="N479" i="58"/>
  <c r="N471" i="58"/>
  <c r="N459" i="58"/>
  <c r="N443" i="58"/>
  <c r="N435" i="58"/>
  <c r="N423" i="58"/>
  <c r="N415" i="58"/>
  <c r="N403" i="58"/>
  <c r="N391" i="58"/>
  <c r="N379" i="58"/>
  <c r="N371" i="58"/>
  <c r="N363" i="58"/>
  <c r="N347" i="58"/>
  <c r="N339" i="58"/>
  <c r="N335" i="58"/>
  <c r="N323" i="58"/>
  <c r="N319" i="58"/>
  <c r="N311" i="58"/>
  <c r="N303" i="58"/>
  <c r="N295" i="58"/>
  <c r="N287" i="58"/>
  <c r="N279" i="58"/>
  <c r="N267" i="58"/>
  <c r="N259" i="58"/>
  <c r="N247" i="58"/>
  <c r="N239" i="58"/>
  <c r="N231" i="58"/>
  <c r="N223" i="58"/>
  <c r="N215" i="58"/>
  <c r="N207" i="58"/>
  <c r="N199" i="58"/>
  <c r="N187" i="58"/>
  <c r="N179" i="58"/>
  <c r="N171" i="58"/>
  <c r="N163" i="58"/>
  <c r="N155" i="58"/>
  <c r="N147" i="58"/>
  <c r="N139" i="58"/>
  <c r="N123" i="58"/>
  <c r="N115" i="58"/>
  <c r="N107" i="58"/>
  <c r="N99" i="58"/>
  <c r="N91" i="58"/>
  <c r="N63" i="58"/>
  <c r="N27" i="58"/>
  <c r="N15" i="58"/>
  <c r="N7" i="58"/>
  <c r="N862" i="58"/>
  <c r="N858" i="58"/>
  <c r="N854" i="58"/>
  <c r="N850" i="58"/>
  <c r="N846" i="58"/>
  <c r="N842" i="58"/>
  <c r="N838" i="58"/>
  <c r="N834" i="58"/>
  <c r="N830" i="58"/>
  <c r="N826" i="58"/>
  <c r="N822" i="58"/>
  <c r="N818" i="58"/>
  <c r="N814" i="58"/>
  <c r="N810" i="58"/>
  <c r="N806" i="58"/>
  <c r="N802" i="58"/>
  <c r="N798" i="58"/>
  <c r="N794" i="58"/>
  <c r="N790" i="58"/>
  <c r="N786" i="58"/>
  <c r="N782" i="58"/>
  <c r="N778" i="58"/>
  <c r="N774" i="58"/>
  <c r="N770" i="58"/>
  <c r="N766" i="58"/>
  <c r="N762" i="58"/>
  <c r="N758" i="58"/>
  <c r="N754" i="58"/>
  <c r="N750" i="58"/>
  <c r="N746" i="58"/>
  <c r="N742" i="58"/>
  <c r="N738" i="58"/>
  <c r="N734" i="58"/>
  <c r="N730" i="58"/>
  <c r="N726" i="58"/>
  <c r="N722" i="58"/>
  <c r="N718" i="58"/>
  <c r="N714" i="58"/>
  <c r="N710" i="58"/>
  <c r="N706" i="58"/>
  <c r="N702" i="58"/>
  <c r="N698" i="58"/>
  <c r="N694" i="58"/>
  <c r="N690" i="58"/>
  <c r="N686" i="58"/>
  <c r="N682" i="58"/>
  <c r="N678" i="58"/>
  <c r="N674" i="58"/>
  <c r="N670" i="58"/>
  <c r="N666" i="58"/>
  <c r="N662" i="58"/>
  <c r="N658" i="58"/>
  <c r="N654" i="58"/>
  <c r="N650" i="58"/>
  <c r="N646" i="58"/>
  <c r="N642" i="58"/>
  <c r="N638" i="58"/>
  <c r="N634" i="58"/>
  <c r="N630" i="58"/>
  <c r="N626" i="58"/>
  <c r="N622" i="58"/>
  <c r="N618" i="58"/>
  <c r="N614" i="58"/>
  <c r="N610" i="58"/>
  <c r="N606" i="58"/>
  <c r="N598" i="58"/>
  <c r="N594" i="58"/>
  <c r="N590" i="58"/>
  <c r="N582" i="58"/>
  <c r="N578" i="58"/>
  <c r="N574" i="58"/>
  <c r="N570" i="58"/>
  <c r="N566" i="58"/>
  <c r="N562" i="58"/>
  <c r="N558" i="58"/>
  <c r="N554" i="58"/>
  <c r="N550" i="58"/>
  <c r="N546" i="58"/>
  <c r="N542" i="58"/>
  <c r="N538" i="58"/>
  <c r="N534" i="58"/>
  <c r="N530" i="58"/>
  <c r="N526" i="58"/>
  <c r="N522" i="58"/>
  <c r="N518" i="58"/>
  <c r="N514" i="58"/>
  <c r="N510" i="58"/>
  <c r="N506" i="58"/>
  <c r="N502" i="58"/>
  <c r="N498" i="58"/>
  <c r="N494" i="58"/>
  <c r="N486" i="58"/>
  <c r="N482" i="58"/>
  <c r="N478" i="58"/>
  <c r="N470" i="58"/>
  <c r="N466" i="58"/>
  <c r="N462" i="58"/>
  <c r="N454" i="58"/>
  <c r="N450" i="58"/>
  <c r="N446" i="58"/>
  <c r="N438" i="58"/>
  <c r="N434" i="58"/>
  <c r="N430" i="58"/>
  <c r="N422" i="58"/>
  <c r="N418" i="58"/>
  <c r="N414" i="58"/>
  <c r="N406" i="58"/>
  <c r="N402" i="58"/>
  <c r="N398" i="58"/>
  <c r="N390" i="58"/>
  <c r="N386" i="58"/>
  <c r="N382" i="58"/>
  <c r="N374" i="58"/>
  <c r="N370" i="58"/>
  <c r="N366" i="58"/>
  <c r="N358" i="58"/>
  <c r="N354" i="58"/>
  <c r="N350" i="58"/>
  <c r="N342" i="58"/>
  <c r="N338" i="58"/>
  <c r="N334" i="58"/>
  <c r="N330" i="58"/>
  <c r="N326" i="58"/>
  <c r="N322" i="58"/>
  <c r="N314" i="58"/>
  <c r="N310" i="58"/>
  <c r="N306" i="58"/>
  <c r="N302" i="58"/>
  <c r="N298" i="58"/>
  <c r="N294" i="58"/>
  <c r="N290" i="58"/>
  <c r="N282" i="58"/>
  <c r="N278" i="58"/>
  <c r="N274" i="58"/>
  <c r="N270" i="58"/>
  <c r="N266" i="58"/>
  <c r="N262" i="58"/>
  <c r="N258" i="58"/>
  <c r="N250" i="58"/>
  <c r="N246" i="58"/>
  <c r="N242" i="58"/>
  <c r="N238" i="58"/>
  <c r="N234" i="58"/>
  <c r="N230" i="58"/>
  <c r="N226" i="58"/>
  <c r="N222" i="58"/>
  <c r="N218" i="58"/>
  <c r="N214" i="58"/>
  <c r="N210" i="58"/>
  <c r="N206" i="58"/>
  <c r="N202" i="58"/>
  <c r="N198" i="58"/>
  <c r="N194" i="58"/>
  <c r="N190" i="58"/>
  <c r="N186" i="58"/>
  <c r="N182" i="58"/>
  <c r="N178" i="58"/>
  <c r="N174" i="58"/>
  <c r="N170" i="58"/>
  <c r="N166" i="58"/>
  <c r="N162" i="58"/>
  <c r="N158" i="58"/>
  <c r="N154" i="58"/>
  <c r="N150" i="58"/>
  <c r="N146" i="58"/>
  <c r="N142" i="58"/>
  <c r="N138" i="58"/>
  <c r="N134" i="58"/>
  <c r="N130" i="58"/>
  <c r="N126" i="58"/>
  <c r="N122" i="58"/>
  <c r="N118" i="58"/>
  <c r="N114" i="58"/>
  <c r="N110" i="58"/>
  <c r="N106" i="58"/>
  <c r="N102" i="58"/>
  <c r="N98" i="58"/>
  <c r="N94" i="58"/>
  <c r="N90" i="58"/>
  <c r="N70" i="58"/>
  <c r="N50" i="58"/>
  <c r="N30" i="58"/>
  <c r="N10" i="58"/>
  <c r="N599" i="58"/>
  <c r="N587" i="58"/>
  <c r="N571" i="58"/>
  <c r="N555" i="58"/>
  <c r="N543" i="58"/>
  <c r="N523" i="58"/>
  <c r="N511" i="58"/>
  <c r="N499" i="58"/>
  <c r="N483" i="58"/>
  <c r="N467" i="58"/>
  <c r="N451" i="58"/>
  <c r="N439" i="58"/>
  <c r="N427" i="58"/>
  <c r="N407" i="58"/>
  <c r="N395" i="58"/>
  <c r="N383" i="58"/>
  <c r="N355" i="58"/>
  <c r="N255" i="58"/>
  <c r="N817" i="58"/>
  <c r="N805" i="58"/>
  <c r="N793" i="58"/>
  <c r="N789" i="58"/>
  <c r="N785" i="58"/>
  <c r="N781" i="58"/>
  <c r="N777" i="58"/>
  <c r="N773" i="58"/>
  <c r="N769" i="58"/>
  <c r="N765" i="58"/>
  <c r="N761" i="58"/>
  <c r="N757" i="58"/>
  <c r="N753" i="58"/>
  <c r="N749" i="58"/>
  <c r="N745" i="58"/>
  <c r="N741" i="58"/>
  <c r="N737" i="58"/>
  <c r="N733" i="58"/>
  <c r="N729" i="58"/>
  <c r="N725" i="58"/>
  <c r="N721" i="58"/>
  <c r="N717" i="58"/>
  <c r="N713" i="58"/>
  <c r="N709" i="58"/>
  <c r="N705" i="58"/>
  <c r="N701" i="58"/>
  <c r="N697" i="58"/>
  <c r="N693" i="58"/>
  <c r="N689" i="58"/>
  <c r="N685" i="58"/>
  <c r="N681" i="58"/>
  <c r="N677" i="58"/>
  <c r="N673" i="58"/>
  <c r="N669" i="58"/>
  <c r="N665" i="58"/>
  <c r="N661" i="58"/>
  <c r="N657" i="58"/>
  <c r="N653" i="58"/>
  <c r="N649" i="58"/>
  <c r="N645" i="58"/>
  <c r="N641" i="58"/>
  <c r="N637" i="58"/>
  <c r="N633" i="58"/>
  <c r="N629" i="58"/>
  <c r="N625" i="58"/>
  <c r="N621" i="58"/>
  <c r="N617" i="58"/>
  <c r="N613" i="58"/>
  <c r="N609" i="58"/>
  <c r="N605" i="58"/>
  <c r="N601" i="58"/>
  <c r="N593" i="58"/>
  <c r="N589" i="58"/>
  <c r="N585" i="58"/>
  <c r="N577" i="58"/>
  <c r="N573" i="58"/>
  <c r="N569" i="58"/>
  <c r="N565" i="58"/>
  <c r="N561" i="58"/>
  <c r="N557" i="58"/>
  <c r="N553" i="58"/>
  <c r="N549" i="58"/>
  <c r="N545" i="58"/>
  <c r="N541" i="58"/>
  <c r="N537" i="58"/>
  <c r="N533" i="58"/>
  <c r="N529" i="58"/>
  <c r="N525" i="58"/>
  <c r="N521" i="58"/>
  <c r="N517" i="58"/>
  <c r="N513" i="58"/>
  <c r="N509" i="58"/>
  <c r="N505" i="58"/>
  <c r="N501" i="58"/>
  <c r="N497" i="58"/>
  <c r="N493" i="58"/>
  <c r="N489" i="58"/>
  <c r="N485" i="58"/>
  <c r="N481" i="58"/>
  <c r="N477" i="58"/>
  <c r="N473" i="58"/>
  <c r="N469" i="58"/>
  <c r="N465" i="58"/>
  <c r="N461" i="58"/>
  <c r="N457" i="58"/>
  <c r="N453" i="58"/>
  <c r="N449" i="58"/>
  <c r="N445" i="58"/>
  <c r="N441" i="58"/>
  <c r="N437" i="58"/>
  <c r="N433" i="58"/>
  <c r="N429" i="58"/>
  <c r="N425" i="58"/>
  <c r="N421" i="58"/>
  <c r="N417" i="58"/>
  <c r="N413" i="58"/>
  <c r="N409" i="58"/>
  <c r="N405" i="58"/>
  <c r="N401" i="58"/>
  <c r="N397" i="58"/>
  <c r="N393" i="58"/>
  <c r="N389" i="58"/>
  <c r="N385" i="58"/>
  <c r="N381" i="58"/>
  <c r="N377" i="58"/>
  <c r="N373" i="58"/>
  <c r="N369" i="58"/>
  <c r="N365" i="58"/>
  <c r="N361" i="58"/>
  <c r="N357" i="58"/>
  <c r="N353" i="58"/>
  <c r="N349" i="58"/>
  <c r="N345" i="58"/>
  <c r="N341" i="58"/>
  <c r="N337" i="58"/>
  <c r="N333" i="58"/>
  <c r="N329" i="58"/>
  <c r="N325" i="58"/>
  <c r="N321" i="58"/>
  <c r="N317" i="58"/>
  <c r="N313" i="58"/>
  <c r="N309" i="58"/>
  <c r="N305" i="58"/>
  <c r="N301" i="58"/>
  <c r="N297" i="58"/>
  <c r="N293" i="58"/>
  <c r="N289" i="58"/>
  <c r="N285" i="58"/>
  <c r="N281" i="58"/>
  <c r="N277" i="58"/>
  <c r="N273" i="58"/>
  <c r="N269" i="58"/>
  <c r="N265" i="58"/>
  <c r="N261" i="58"/>
  <c r="N257" i="58"/>
  <c r="N253" i="58"/>
  <c r="N249" i="58"/>
  <c r="N245" i="58"/>
  <c r="N241" i="58"/>
  <c r="N237" i="58"/>
  <c r="N233" i="58"/>
  <c r="N229" i="58"/>
  <c r="N225" i="58"/>
  <c r="N221" i="58"/>
  <c r="N217" i="58"/>
  <c r="N213" i="58"/>
  <c r="N209" i="58"/>
  <c r="N205" i="58"/>
  <c r="N201" i="58"/>
  <c r="N197" i="58"/>
  <c r="N193" i="58"/>
  <c r="N189" i="58"/>
  <c r="N185" i="58"/>
  <c r="N181" i="58"/>
  <c r="N177" i="58"/>
  <c r="N173" i="58"/>
  <c r="N169" i="58"/>
  <c r="N165" i="58"/>
  <c r="N161" i="58"/>
  <c r="N157" i="58"/>
  <c r="N153" i="58"/>
  <c r="N149" i="58"/>
  <c r="N145" i="58"/>
  <c r="N141" i="58"/>
  <c r="N137" i="58"/>
  <c r="N133" i="58"/>
  <c r="N129" i="58"/>
  <c r="N125" i="58"/>
  <c r="N121" i="58"/>
  <c r="N117" i="58"/>
  <c r="N113" i="58"/>
  <c r="N109" i="58"/>
  <c r="N105" i="58"/>
  <c r="N101" i="58"/>
  <c r="N97" i="58"/>
  <c r="N93" i="58"/>
  <c r="N89" i="58"/>
  <c r="N85" i="58"/>
  <c r="N81" i="58"/>
  <c r="N49" i="58"/>
  <c r="N45" i="58"/>
  <c r="N41" i="58"/>
  <c r="N25" i="58"/>
  <c r="N21" i="58"/>
  <c r="N17" i="58"/>
  <c r="N13" i="58"/>
  <c r="N9" i="58"/>
  <c r="N603" i="58"/>
  <c r="N591" i="58"/>
  <c r="N579" i="58"/>
  <c r="N567" i="58"/>
  <c r="N559" i="58"/>
  <c r="N547" i="58"/>
  <c r="N535" i="58"/>
  <c r="N527" i="58"/>
  <c r="N515" i="58"/>
  <c r="N503" i="58"/>
  <c r="N491" i="58"/>
  <c r="N487" i="58"/>
  <c r="N475" i="58"/>
  <c r="N463" i="58"/>
  <c r="N455" i="58"/>
  <c r="N447" i="58"/>
  <c r="N431" i="58"/>
  <c r="N419" i="58"/>
  <c r="N411" i="58"/>
  <c r="N399" i="58"/>
  <c r="N387" i="58"/>
  <c r="N375" i="58"/>
  <c r="N367" i="58"/>
  <c r="N359" i="58"/>
  <c r="N351" i="58"/>
  <c r="N343" i="58"/>
  <c r="N331" i="58"/>
  <c r="N327" i="58"/>
  <c r="N315" i="58"/>
  <c r="N307" i="58"/>
  <c r="N299" i="58"/>
  <c r="N291" i="58"/>
  <c r="N283" i="58"/>
  <c r="N275" i="58"/>
  <c r="N271" i="58"/>
  <c r="N263" i="58"/>
  <c r="N251" i="58"/>
  <c r="N243" i="58"/>
  <c r="N235" i="58"/>
  <c r="N227" i="58"/>
  <c r="N219" i="58"/>
  <c r="N211" i="58"/>
  <c r="N203" i="58"/>
  <c r="N191" i="58"/>
  <c r="N183" i="58"/>
  <c r="N175" i="58"/>
  <c r="N167" i="58"/>
  <c r="N159" i="58"/>
  <c r="N151" i="58"/>
  <c r="N143" i="58"/>
  <c r="N135" i="58"/>
  <c r="N127" i="58"/>
  <c r="N119" i="58"/>
  <c r="N111" i="58"/>
  <c r="N103" i="58"/>
  <c r="N95" i="58"/>
  <c r="N23" i="58"/>
  <c r="N19" i="58"/>
  <c r="N11" i="58"/>
  <c r="N813" i="58"/>
  <c r="N809" i="58"/>
  <c r="N801" i="58"/>
  <c r="N797" i="58"/>
  <c r="N860" i="58"/>
  <c r="N856" i="58"/>
  <c r="N852" i="58"/>
  <c r="N848" i="58"/>
  <c r="N844" i="58"/>
  <c r="N840" i="58"/>
  <c r="N836" i="58"/>
  <c r="N832" i="58"/>
  <c r="N828" i="58"/>
  <c r="N824" i="58"/>
  <c r="N820" i="58"/>
  <c r="N816" i="58"/>
  <c r="N812" i="58"/>
  <c r="N808" i="58"/>
  <c r="N804" i="58"/>
  <c r="N800" i="58"/>
  <c r="N796" i="58"/>
  <c r="N792" i="58"/>
  <c r="N788" i="58"/>
  <c r="N784" i="58"/>
  <c r="N780" i="58"/>
  <c r="N776" i="58"/>
  <c r="N772" i="58"/>
  <c r="N768" i="58"/>
  <c r="N764" i="58"/>
  <c r="N760" i="58"/>
  <c r="N756" i="58"/>
  <c r="N752" i="58"/>
  <c r="N748" i="58"/>
  <c r="N744" i="58"/>
  <c r="N740" i="58"/>
  <c r="N736" i="58"/>
  <c r="N732" i="58"/>
  <c r="N728" i="58"/>
  <c r="N724" i="58"/>
  <c r="N720" i="58"/>
  <c r="N716" i="58"/>
  <c r="N712" i="58"/>
  <c r="N708" i="58"/>
  <c r="N704" i="58"/>
  <c r="N700" i="58"/>
  <c r="N696" i="58"/>
  <c r="N692" i="58"/>
  <c r="N688" i="58"/>
  <c r="N684" i="58"/>
  <c r="N680" i="58"/>
  <c r="N676" i="58"/>
  <c r="N672" i="58"/>
  <c r="N668" i="58"/>
  <c r="N664" i="58"/>
  <c r="N660" i="58"/>
  <c r="N656" i="58"/>
  <c r="N652" i="58"/>
  <c r="N648" i="58"/>
  <c r="N644" i="58"/>
  <c r="N640" i="58"/>
  <c r="N636" i="58"/>
  <c r="N632" i="58"/>
  <c r="N628" i="58"/>
  <c r="N624" i="58"/>
  <c r="N620" i="58"/>
  <c r="N616" i="58"/>
  <c r="N612" i="58"/>
  <c r="N608" i="58"/>
  <c r="N604" i="58"/>
  <c r="N600" i="58"/>
  <c r="N596" i="58"/>
  <c r="N588" i="58"/>
  <c r="N584" i="58"/>
  <c r="N580" i="58"/>
  <c r="N572" i="58"/>
  <c r="N564" i="58"/>
  <c r="N556" i="58"/>
  <c r="N548" i="58"/>
  <c r="N540" i="58"/>
  <c r="N532" i="58"/>
  <c r="N524" i="58"/>
  <c r="N516" i="58"/>
  <c r="N508" i="58"/>
  <c r="N500" i="58"/>
  <c r="N496" i="58"/>
  <c r="N492" i="58"/>
  <c r="N488" i="58"/>
  <c r="N484" i="58"/>
  <c r="N480" i="58"/>
  <c r="N476" i="58"/>
  <c r="N472" i="58"/>
  <c r="N468" i="58"/>
  <c r="N464" i="58"/>
  <c r="N460" i="58"/>
  <c r="N456" i="58"/>
  <c r="N452" i="58"/>
  <c r="N448" i="58"/>
  <c r="N444" i="58"/>
  <c r="N440" i="58"/>
  <c r="N436" i="58"/>
  <c r="N432" i="58"/>
  <c r="N428" i="58"/>
  <c r="N424" i="58"/>
  <c r="N420" i="58"/>
  <c r="N416" i="58"/>
  <c r="N412" i="58"/>
  <c r="N408" i="58"/>
  <c r="N404" i="58"/>
  <c r="N400" i="58"/>
  <c r="N396" i="58"/>
  <c r="N392" i="58"/>
  <c r="N388" i="58"/>
  <c r="N384" i="58"/>
  <c r="N380" i="58"/>
  <c r="N376" i="58"/>
  <c r="N372" i="58"/>
  <c r="N368" i="58"/>
  <c r="N364" i="58"/>
  <c r="N360" i="58"/>
  <c r="N356" i="58"/>
  <c r="N352" i="58"/>
  <c r="N348" i="58"/>
  <c r="N344" i="58"/>
  <c r="N340" i="58"/>
  <c r="N336" i="58"/>
  <c r="N332" i="58"/>
  <c r="N328" i="58"/>
  <c r="N324" i="58"/>
  <c r="N320" i="58"/>
  <c r="N316" i="58"/>
  <c r="N312" i="58"/>
  <c r="N308" i="58"/>
  <c r="N304" i="58"/>
  <c r="N300" i="58"/>
  <c r="N296" i="58"/>
  <c r="N292" i="58"/>
  <c r="N288" i="58"/>
  <c r="N284" i="58"/>
  <c r="N280" i="58"/>
  <c r="N276" i="58"/>
  <c r="N272" i="58"/>
  <c r="N268" i="58"/>
  <c r="N264" i="58"/>
  <c r="N260" i="58"/>
  <c r="N256" i="58"/>
  <c r="N252" i="58"/>
  <c r="N248" i="58"/>
  <c r="N244" i="58"/>
  <c r="N240" i="58"/>
  <c r="N236" i="58"/>
  <c r="N232" i="58"/>
  <c r="N228" i="58"/>
  <c r="N224" i="58"/>
  <c r="N220" i="58"/>
  <c r="N216" i="58"/>
  <c r="N212" i="58"/>
  <c r="N208" i="58"/>
  <c r="N204" i="58"/>
  <c r="N200" i="58"/>
  <c r="N196" i="58"/>
  <c r="N192" i="58"/>
  <c r="N188" i="58"/>
  <c r="N184" i="58"/>
  <c r="N180" i="58"/>
  <c r="N176" i="58"/>
  <c r="N172" i="58"/>
  <c r="N168" i="58"/>
  <c r="N164" i="58"/>
  <c r="N160" i="58"/>
  <c r="N156" i="58"/>
  <c r="N152" i="58"/>
  <c r="N148" i="58"/>
  <c r="N144" i="58"/>
  <c r="N140" i="58"/>
  <c r="N136" i="58"/>
  <c r="N132" i="58"/>
  <c r="N128" i="58"/>
  <c r="N124" i="58"/>
  <c r="N120" i="58"/>
  <c r="N116" i="58"/>
  <c r="N112" i="58"/>
  <c r="N108" i="58"/>
  <c r="N104" i="58"/>
  <c r="N100" i="58"/>
  <c r="N96" i="58"/>
  <c r="N92" i="58"/>
  <c r="N80" i="58"/>
  <c r="N60" i="58"/>
  <c r="N56" i="58"/>
  <c r="N52" i="58"/>
  <c r="N40" i="58"/>
  <c r="N24" i="58"/>
  <c r="N20" i="58"/>
  <c r="N16" i="58"/>
  <c r="N12" i="58"/>
  <c r="W86" i="58"/>
  <c r="W82" i="58"/>
  <c r="W78" i="58"/>
  <c r="W74" i="58"/>
  <c r="W66" i="58"/>
  <c r="W62" i="58"/>
  <c r="W58" i="58"/>
  <c r="W54" i="58"/>
  <c r="W46" i="58"/>
  <c r="W42" i="58"/>
  <c r="W38" i="58"/>
  <c r="W34" i="58"/>
  <c r="W26" i="58"/>
  <c r="W22" i="58"/>
  <c r="W18" i="58"/>
  <c r="W14" i="58"/>
  <c r="W6" i="58"/>
  <c r="W77" i="58"/>
  <c r="W73" i="58"/>
  <c r="W69" i="58"/>
  <c r="W65" i="58"/>
  <c r="W61" i="58"/>
  <c r="W57" i="58"/>
  <c r="W53" i="58"/>
  <c r="W37" i="58"/>
  <c r="W33" i="58"/>
  <c r="W29" i="58"/>
  <c r="W5" i="58"/>
  <c r="W88" i="58"/>
  <c r="W84" i="58"/>
  <c r="W76" i="58"/>
  <c r="W72" i="58"/>
  <c r="W68" i="58"/>
  <c r="W64" i="58"/>
  <c r="W48" i="58"/>
  <c r="W44" i="58"/>
  <c r="W36" i="58"/>
  <c r="W32" i="58"/>
  <c r="W28" i="58"/>
  <c r="W8" i="58"/>
  <c r="W4" i="58"/>
  <c r="X3" i="58"/>
  <c r="W87" i="58"/>
  <c r="W83" i="58"/>
  <c r="W79" i="58"/>
  <c r="W75" i="58"/>
  <c r="W71" i="58"/>
  <c r="W59" i="58"/>
  <c r="W55" i="58"/>
  <c r="W51" i="58"/>
  <c r="W47" i="58"/>
  <c r="W43" i="58"/>
  <c r="W39" i="58"/>
  <c r="W35" i="58"/>
  <c r="W31" i="58"/>
  <c r="W3" i="58"/>
  <c r="X858" i="58"/>
  <c r="Y858" i="58"/>
  <c r="X859" i="58"/>
  <c r="Y859" i="58"/>
  <c r="X855" i="58"/>
  <c r="Y855" i="58"/>
  <c r="X851" i="58"/>
  <c r="Y851" i="58"/>
  <c r="X847" i="58"/>
  <c r="Y847" i="58"/>
  <c r="X843" i="58"/>
  <c r="Y843" i="58"/>
  <c r="X839" i="58"/>
  <c r="Y839" i="58"/>
  <c r="X835" i="58"/>
  <c r="Y835" i="58"/>
  <c r="X831" i="58"/>
  <c r="Y831" i="58"/>
  <c r="X827" i="58"/>
  <c r="Y827" i="58"/>
  <c r="X823" i="58"/>
  <c r="Y823" i="58"/>
  <c r="X819" i="58"/>
  <c r="Y819" i="58"/>
  <c r="X815" i="58"/>
  <c r="Y815" i="58"/>
  <c r="X811" i="58"/>
  <c r="Y811" i="58"/>
  <c r="X807" i="58"/>
  <c r="Y807" i="58"/>
  <c r="X803" i="58"/>
  <c r="Y803" i="58"/>
  <c r="X799" i="58"/>
  <c r="Y799" i="58"/>
  <c r="X795" i="58"/>
  <c r="Y795" i="58"/>
  <c r="X791" i="58"/>
  <c r="Y791" i="58"/>
  <c r="X787" i="58"/>
  <c r="Y787" i="58"/>
  <c r="X783" i="58"/>
  <c r="Y783" i="58"/>
  <c r="X779" i="58"/>
  <c r="Y779" i="58"/>
  <c r="X775" i="58"/>
  <c r="Y775" i="58"/>
  <c r="X771" i="58"/>
  <c r="Y771" i="58"/>
  <c r="X767" i="58"/>
  <c r="Y767" i="58"/>
  <c r="X763" i="58"/>
  <c r="Y763" i="58"/>
  <c r="X759" i="58"/>
  <c r="Y759" i="58"/>
  <c r="X755" i="58"/>
  <c r="Y755" i="58"/>
  <c r="X751" i="58"/>
  <c r="Y751" i="58"/>
  <c r="X747" i="58"/>
  <c r="Y747" i="58"/>
  <c r="X743" i="58"/>
  <c r="Y743" i="58"/>
  <c r="X739" i="58"/>
  <c r="Y739" i="58"/>
  <c r="X735" i="58"/>
  <c r="Y735" i="58"/>
  <c r="X731" i="58"/>
  <c r="Y731" i="58"/>
  <c r="X727" i="58"/>
  <c r="Y727" i="58"/>
  <c r="X723" i="58"/>
  <c r="Y723" i="58"/>
  <c r="X719" i="58"/>
  <c r="Y719" i="58"/>
  <c r="X715" i="58"/>
  <c r="Y715" i="58"/>
  <c r="X711" i="58"/>
  <c r="Y711" i="58"/>
  <c r="X707" i="58"/>
  <c r="Y707" i="58"/>
  <c r="X703" i="58"/>
  <c r="Y703" i="58"/>
  <c r="X699" i="58"/>
  <c r="Y699" i="58"/>
  <c r="X695" i="58"/>
  <c r="Y695" i="58"/>
  <c r="X691" i="58"/>
  <c r="Y691" i="58"/>
  <c r="X687" i="58"/>
  <c r="Y687" i="58"/>
  <c r="X683" i="58"/>
  <c r="Y683" i="58"/>
  <c r="X679" i="58"/>
  <c r="Y679" i="58"/>
  <c r="X675" i="58"/>
  <c r="Y675" i="58"/>
  <c r="X671" i="58"/>
  <c r="Y671" i="58"/>
  <c r="X667" i="58"/>
  <c r="Y667" i="58"/>
  <c r="X663" i="58"/>
  <c r="Y663" i="58"/>
  <c r="X659" i="58"/>
  <c r="Y659" i="58"/>
  <c r="X655" i="58"/>
  <c r="Y655" i="58"/>
  <c r="X651" i="58"/>
  <c r="Y651" i="58"/>
  <c r="X647" i="58"/>
  <c r="Y647" i="58"/>
  <c r="X643" i="58"/>
  <c r="Y643" i="58"/>
  <c r="X639" i="58"/>
  <c r="Y639" i="58"/>
  <c r="X635" i="58"/>
  <c r="Y635" i="58"/>
  <c r="X631" i="58"/>
  <c r="Y631" i="58"/>
  <c r="X627" i="58"/>
  <c r="Y627" i="58"/>
  <c r="X623" i="58"/>
  <c r="Y623" i="58"/>
  <c r="X619" i="58"/>
  <c r="Y619" i="58"/>
  <c r="X615" i="58"/>
  <c r="Y615" i="58"/>
  <c r="X611" i="58"/>
  <c r="Y611" i="58"/>
  <c r="X607" i="58"/>
  <c r="Y607" i="58"/>
  <c r="X603" i="58"/>
  <c r="Y603" i="58"/>
  <c r="X599" i="58"/>
  <c r="Y599" i="58"/>
  <c r="X595" i="58"/>
  <c r="Y595" i="58"/>
  <c r="X591" i="58"/>
  <c r="Y591" i="58"/>
  <c r="X587" i="58"/>
  <c r="Y587" i="58"/>
  <c r="X583" i="58"/>
  <c r="Y583" i="58"/>
  <c r="X579" i="58"/>
  <c r="Y579" i="58"/>
  <c r="X575" i="58"/>
  <c r="Y575" i="58"/>
  <c r="X571" i="58"/>
  <c r="Y571" i="58"/>
  <c r="X567" i="58"/>
  <c r="Y567" i="58"/>
  <c r="X563" i="58"/>
  <c r="Y563" i="58"/>
  <c r="X559" i="58"/>
  <c r="Y559" i="58"/>
  <c r="X555" i="58"/>
  <c r="Y555" i="58"/>
  <c r="X551" i="58"/>
  <c r="Y551" i="58"/>
  <c r="X547" i="58"/>
  <c r="Y547" i="58"/>
  <c r="X543" i="58"/>
  <c r="Y543" i="58"/>
  <c r="X539" i="58"/>
  <c r="Y539" i="58"/>
  <c r="X535" i="58"/>
  <c r="Y535" i="58"/>
  <c r="X531" i="58"/>
  <c r="Y531" i="58"/>
  <c r="X527" i="58"/>
  <c r="Y527" i="58"/>
  <c r="X523" i="58"/>
  <c r="Y523" i="58"/>
  <c r="X519" i="58"/>
  <c r="Y519" i="58"/>
  <c r="X515" i="58"/>
  <c r="Y515" i="58"/>
  <c r="X511" i="58"/>
  <c r="Y511" i="58"/>
  <c r="X507" i="58"/>
  <c r="Y507" i="58"/>
  <c r="X503" i="58"/>
  <c r="Y503" i="58"/>
  <c r="X499" i="58"/>
  <c r="Y499" i="58"/>
  <c r="X495" i="58"/>
  <c r="Y495" i="58"/>
  <c r="X491" i="58"/>
  <c r="Y491" i="58"/>
  <c r="X487" i="58"/>
  <c r="Y487" i="58"/>
  <c r="X483" i="58"/>
  <c r="Y483" i="58"/>
  <c r="X479" i="58"/>
  <c r="Y479" i="58"/>
  <c r="X475" i="58"/>
  <c r="Y475" i="58"/>
  <c r="X471" i="58"/>
  <c r="Y471" i="58"/>
  <c r="X467" i="58"/>
  <c r="Y467" i="58"/>
  <c r="X463" i="58"/>
  <c r="Y463" i="58"/>
  <c r="X459" i="58"/>
  <c r="Y459" i="58"/>
  <c r="X455" i="58"/>
  <c r="Y455" i="58"/>
  <c r="X451" i="58"/>
  <c r="Y451" i="58"/>
  <c r="X447" i="58"/>
  <c r="Y447" i="58"/>
  <c r="X443" i="58"/>
  <c r="Y443" i="58"/>
  <c r="X439" i="58"/>
  <c r="Y439" i="58"/>
  <c r="X435" i="58"/>
  <c r="Y435" i="58"/>
  <c r="X431" i="58"/>
  <c r="Y431" i="58"/>
  <c r="X427" i="58"/>
  <c r="Y427" i="58"/>
  <c r="X423" i="58"/>
  <c r="Y423" i="58"/>
  <c r="X419" i="58"/>
  <c r="Y419" i="58"/>
  <c r="X415" i="58"/>
  <c r="Y415" i="58"/>
  <c r="X411" i="58"/>
  <c r="Y411" i="58"/>
  <c r="X407" i="58"/>
  <c r="Y407" i="58"/>
  <c r="X403" i="58"/>
  <c r="Y403" i="58"/>
  <c r="X399" i="58"/>
  <c r="Y399" i="58"/>
  <c r="X395" i="58"/>
  <c r="Y395" i="58"/>
  <c r="X391" i="58"/>
  <c r="Y391" i="58"/>
  <c r="X387" i="58"/>
  <c r="Y387" i="58"/>
  <c r="X383" i="58"/>
  <c r="Y383" i="58"/>
  <c r="X379" i="58"/>
  <c r="Y379" i="58"/>
  <c r="X375" i="58"/>
  <c r="Y375" i="58"/>
  <c r="X371" i="58"/>
  <c r="Y371" i="58"/>
  <c r="X367" i="58"/>
  <c r="Y367" i="58"/>
  <c r="X363" i="58"/>
  <c r="Y363" i="58"/>
  <c r="X359" i="58"/>
  <c r="Y359" i="58"/>
  <c r="X355" i="58"/>
  <c r="Y355" i="58"/>
  <c r="X351" i="58"/>
  <c r="Y351" i="58"/>
  <c r="X347" i="58"/>
  <c r="Y347" i="58"/>
  <c r="X343" i="58"/>
  <c r="Y343" i="58"/>
  <c r="X339" i="58"/>
  <c r="Y339" i="58"/>
  <c r="X335" i="58"/>
  <c r="Y335" i="58"/>
  <c r="X331" i="58"/>
  <c r="Y331" i="58"/>
  <c r="X327" i="58"/>
  <c r="Y327" i="58"/>
  <c r="X323" i="58"/>
  <c r="Y323" i="58"/>
  <c r="X319" i="58"/>
  <c r="Y319" i="58"/>
  <c r="X315" i="58"/>
  <c r="Y315" i="58"/>
  <c r="X311" i="58"/>
  <c r="Y311" i="58"/>
  <c r="X307" i="58"/>
  <c r="Y307" i="58"/>
  <c r="X303" i="58"/>
  <c r="Y303" i="58"/>
  <c r="X299" i="58"/>
  <c r="Y299" i="58"/>
  <c r="X295" i="58"/>
  <c r="Y295" i="58"/>
  <c r="X291" i="58"/>
  <c r="Y291" i="58"/>
  <c r="X287" i="58"/>
  <c r="Y287" i="58"/>
  <c r="X283" i="58"/>
  <c r="Y283" i="58"/>
  <c r="X279" i="58"/>
  <c r="Y279" i="58"/>
  <c r="X275" i="58"/>
  <c r="Y275" i="58"/>
  <c r="X271" i="58"/>
  <c r="Y271" i="58"/>
  <c r="X267" i="58"/>
  <c r="Y267" i="58"/>
  <c r="X263" i="58"/>
  <c r="Y263" i="58"/>
  <c r="X259" i="58"/>
  <c r="Y259" i="58"/>
  <c r="X255" i="58"/>
  <c r="Y255" i="58"/>
  <c r="X251" i="58"/>
  <c r="Y251" i="58"/>
  <c r="X247" i="58"/>
  <c r="Y247" i="58"/>
  <c r="X243" i="58"/>
  <c r="Y243" i="58"/>
  <c r="X239" i="58"/>
  <c r="Y239" i="58"/>
  <c r="X235" i="58"/>
  <c r="Y235" i="58"/>
  <c r="X231" i="58"/>
  <c r="Y231" i="58"/>
  <c r="X227" i="58"/>
  <c r="Y227" i="58"/>
  <c r="X223" i="58"/>
  <c r="Y223" i="58"/>
  <c r="X219" i="58"/>
  <c r="Y219" i="58"/>
  <c r="X215" i="58"/>
  <c r="Y215" i="58"/>
  <c r="X211" i="58"/>
  <c r="Y211" i="58"/>
  <c r="X207" i="58"/>
  <c r="Y207" i="58"/>
  <c r="X203" i="58"/>
  <c r="Y203" i="58"/>
  <c r="X199" i="58"/>
  <c r="Y199" i="58"/>
  <c r="X195" i="58"/>
  <c r="Y195" i="58"/>
  <c r="X191" i="58"/>
  <c r="Y191" i="58"/>
  <c r="X187" i="58"/>
  <c r="Y187" i="58"/>
  <c r="X183" i="58"/>
  <c r="Y183" i="58"/>
  <c r="X179" i="58"/>
  <c r="Y179" i="58"/>
  <c r="X175" i="58"/>
  <c r="Y175" i="58"/>
  <c r="X171" i="58"/>
  <c r="Y171" i="58"/>
  <c r="X167" i="58"/>
  <c r="Y167" i="58"/>
  <c r="X163" i="58"/>
  <c r="Y163" i="58"/>
  <c r="X159" i="58"/>
  <c r="Y159" i="58"/>
  <c r="X155" i="58"/>
  <c r="Y155" i="58"/>
  <c r="X151" i="58"/>
  <c r="Y151" i="58"/>
  <c r="X147" i="58"/>
  <c r="Y147" i="58"/>
  <c r="X143" i="58"/>
  <c r="Y143" i="58"/>
  <c r="X139" i="58"/>
  <c r="Y139" i="58"/>
  <c r="X135" i="58"/>
  <c r="Y135" i="58"/>
  <c r="X131" i="58"/>
  <c r="Y131" i="58"/>
  <c r="X127" i="58"/>
  <c r="Y127" i="58"/>
  <c r="X123" i="58"/>
  <c r="Y123" i="58"/>
  <c r="X119" i="58"/>
  <c r="Y119" i="58"/>
  <c r="X115" i="58"/>
  <c r="Y115" i="58"/>
  <c r="X111" i="58"/>
  <c r="Y111" i="58"/>
  <c r="X107" i="58"/>
  <c r="Y107" i="58"/>
  <c r="X103" i="58"/>
  <c r="Y103" i="58"/>
  <c r="X99" i="58"/>
  <c r="Y99" i="58"/>
  <c r="X95" i="58"/>
  <c r="Y95" i="58"/>
  <c r="X91" i="58"/>
  <c r="Y91" i="58"/>
  <c r="X862" i="58"/>
  <c r="Y862" i="58"/>
  <c r="X846" i="58"/>
  <c r="Y846" i="58"/>
  <c r="X834" i="58"/>
  <c r="Y834" i="58"/>
  <c r="X830" i="58"/>
  <c r="Y830" i="58"/>
  <c r="X826" i="58"/>
  <c r="Y826" i="58"/>
  <c r="X822" i="58"/>
  <c r="Y822" i="58"/>
  <c r="X818" i="58"/>
  <c r="Y818" i="58"/>
  <c r="X814" i="58"/>
  <c r="Y814" i="58"/>
  <c r="X810" i="58"/>
  <c r="Y810" i="58"/>
  <c r="X806" i="58"/>
  <c r="Y806" i="58"/>
  <c r="X802" i="58"/>
  <c r="Y802" i="58"/>
  <c r="X798" i="58"/>
  <c r="Y798" i="58"/>
  <c r="X794" i="58"/>
  <c r="Y794" i="58"/>
  <c r="X790" i="58"/>
  <c r="Y790" i="58"/>
  <c r="X786" i="58"/>
  <c r="Y786" i="58"/>
  <c r="X782" i="58"/>
  <c r="Y782" i="58"/>
  <c r="X778" i="58"/>
  <c r="Y778" i="58"/>
  <c r="X774" i="58"/>
  <c r="Y774" i="58"/>
  <c r="X770" i="58"/>
  <c r="Y770" i="58"/>
  <c r="X766" i="58"/>
  <c r="Y766" i="58"/>
  <c r="X762" i="58"/>
  <c r="Y762" i="58"/>
  <c r="X758" i="58"/>
  <c r="Y758" i="58"/>
  <c r="X754" i="58"/>
  <c r="Y754" i="58"/>
  <c r="X750" i="58"/>
  <c r="Y750" i="58"/>
  <c r="X746" i="58"/>
  <c r="Y746" i="58"/>
  <c r="X742" i="58"/>
  <c r="Y742" i="58"/>
  <c r="X738" i="58"/>
  <c r="Y738" i="58"/>
  <c r="X734" i="58"/>
  <c r="Y734" i="58"/>
  <c r="X730" i="58"/>
  <c r="Y730" i="58"/>
  <c r="X726" i="58"/>
  <c r="Y726" i="58"/>
  <c r="X722" i="58"/>
  <c r="Y722" i="58"/>
  <c r="X718" i="58"/>
  <c r="Y718" i="58"/>
  <c r="X714" i="58"/>
  <c r="Y714" i="58"/>
  <c r="X710" i="58"/>
  <c r="Y710" i="58"/>
  <c r="X706" i="58"/>
  <c r="Y706" i="58"/>
  <c r="X702" i="58"/>
  <c r="Y702" i="58"/>
  <c r="X698" i="58"/>
  <c r="Y698" i="58"/>
  <c r="X694" i="58"/>
  <c r="Y694" i="58"/>
  <c r="X690" i="58"/>
  <c r="Y690" i="58"/>
  <c r="X686" i="58"/>
  <c r="Y686" i="58"/>
  <c r="X682" i="58"/>
  <c r="Y682" i="58"/>
  <c r="X678" i="58"/>
  <c r="Y678" i="58"/>
  <c r="X674" i="58"/>
  <c r="Y674" i="58"/>
  <c r="X670" i="58"/>
  <c r="Y670" i="58"/>
  <c r="X666" i="58"/>
  <c r="Y666" i="58"/>
  <c r="X662" i="58"/>
  <c r="Y662" i="58"/>
  <c r="X658" i="58"/>
  <c r="Y658" i="58"/>
  <c r="X654" i="58"/>
  <c r="Y654" i="58"/>
  <c r="X650" i="58"/>
  <c r="Y650" i="58"/>
  <c r="X646" i="58"/>
  <c r="Y646" i="58"/>
  <c r="X642" i="58"/>
  <c r="Y642" i="58"/>
  <c r="X638" i="58"/>
  <c r="Y638" i="58"/>
  <c r="X634" i="58"/>
  <c r="Y634" i="58"/>
  <c r="X630" i="58"/>
  <c r="Y630" i="58"/>
  <c r="X626" i="58"/>
  <c r="Y626" i="58"/>
  <c r="X622" i="58"/>
  <c r="Y622" i="58"/>
  <c r="X618" i="58"/>
  <c r="Y618" i="58"/>
  <c r="X614" i="58"/>
  <c r="Y614" i="58"/>
  <c r="X610" i="58"/>
  <c r="Y610" i="58"/>
  <c r="X606" i="58"/>
  <c r="Y606" i="58"/>
  <c r="X602" i="58"/>
  <c r="Y602" i="58"/>
  <c r="X598" i="58"/>
  <c r="Y598" i="58"/>
  <c r="X594" i="58"/>
  <c r="Y594" i="58"/>
  <c r="X590" i="58"/>
  <c r="Y590" i="58"/>
  <c r="X586" i="58"/>
  <c r="Y586" i="58"/>
  <c r="X582" i="58"/>
  <c r="Y582" i="58"/>
  <c r="X578" i="58"/>
  <c r="Y578" i="58"/>
  <c r="X574" i="58"/>
  <c r="Y574" i="58"/>
  <c r="X570" i="58"/>
  <c r="Y570" i="58"/>
  <c r="X566" i="58"/>
  <c r="Y566" i="58"/>
  <c r="X562" i="58"/>
  <c r="Y562" i="58"/>
  <c r="X558" i="58"/>
  <c r="Y558" i="58"/>
  <c r="X554" i="58"/>
  <c r="Y554" i="58"/>
  <c r="X550" i="58"/>
  <c r="Y550" i="58"/>
  <c r="X546" i="58"/>
  <c r="Y546" i="58"/>
  <c r="X542" i="58"/>
  <c r="Y542" i="58"/>
  <c r="X538" i="58"/>
  <c r="Y538" i="58"/>
  <c r="X534" i="58"/>
  <c r="Y534" i="58"/>
  <c r="X530" i="58"/>
  <c r="Y530" i="58"/>
  <c r="X526" i="58"/>
  <c r="Y526" i="58"/>
  <c r="X522" i="58"/>
  <c r="Y522" i="58"/>
  <c r="X518" i="58"/>
  <c r="Y518" i="58"/>
  <c r="X514" i="58"/>
  <c r="Y514" i="58"/>
  <c r="X510" i="58"/>
  <c r="Y510" i="58"/>
  <c r="X506" i="58"/>
  <c r="Y506" i="58"/>
  <c r="X502" i="58"/>
  <c r="Y502" i="58"/>
  <c r="X498" i="58"/>
  <c r="Y498" i="58"/>
  <c r="X494" i="58"/>
  <c r="Y494" i="58"/>
  <c r="X490" i="58"/>
  <c r="Y490" i="58"/>
  <c r="X486" i="58"/>
  <c r="Y486" i="58"/>
  <c r="X482" i="58"/>
  <c r="Y482" i="58"/>
  <c r="X478" i="58"/>
  <c r="Y478" i="58"/>
  <c r="X474" i="58"/>
  <c r="Y474" i="58"/>
  <c r="X470" i="58"/>
  <c r="Y470" i="58"/>
  <c r="X466" i="58"/>
  <c r="Y466" i="58"/>
  <c r="X462" i="58"/>
  <c r="Y462" i="58"/>
  <c r="X458" i="58"/>
  <c r="Y458" i="58"/>
  <c r="X454" i="58"/>
  <c r="Y454" i="58"/>
  <c r="X450" i="58"/>
  <c r="Y450" i="58"/>
  <c r="X446" i="58"/>
  <c r="Y446" i="58"/>
  <c r="X442" i="58"/>
  <c r="Y442" i="58"/>
  <c r="X438" i="58"/>
  <c r="Y438" i="58"/>
  <c r="X434" i="58"/>
  <c r="Y434" i="58"/>
  <c r="X430" i="58"/>
  <c r="Y430" i="58"/>
  <c r="X426" i="58"/>
  <c r="Y426" i="58"/>
  <c r="X422" i="58"/>
  <c r="Y422" i="58"/>
  <c r="X418" i="58"/>
  <c r="Y418" i="58"/>
  <c r="X414" i="58"/>
  <c r="Y414" i="58"/>
  <c r="X410" i="58"/>
  <c r="Y410" i="58"/>
  <c r="X406" i="58"/>
  <c r="Y406" i="58"/>
  <c r="X402" i="58"/>
  <c r="Y402" i="58"/>
  <c r="X398" i="58"/>
  <c r="Y398" i="58"/>
  <c r="X394" i="58"/>
  <c r="Y394" i="58"/>
  <c r="X390" i="58"/>
  <c r="Y390" i="58"/>
  <c r="X386" i="58"/>
  <c r="Y386" i="58"/>
  <c r="X382" i="58"/>
  <c r="Y382" i="58"/>
  <c r="X378" i="58"/>
  <c r="Y378" i="58"/>
  <c r="X374" i="58"/>
  <c r="Y374" i="58"/>
  <c r="X370" i="58"/>
  <c r="Y370" i="58"/>
  <c r="X366" i="58"/>
  <c r="Y366" i="58"/>
  <c r="X362" i="58"/>
  <c r="Y362" i="58"/>
  <c r="X358" i="58"/>
  <c r="Y358" i="58"/>
  <c r="X354" i="58"/>
  <c r="Y354" i="58"/>
  <c r="X350" i="58"/>
  <c r="Y350" i="58"/>
  <c r="X346" i="58"/>
  <c r="Y346" i="58"/>
  <c r="X342" i="58"/>
  <c r="Y342" i="58"/>
  <c r="X338" i="58"/>
  <c r="Y338" i="58"/>
  <c r="X334" i="58"/>
  <c r="Y334" i="58"/>
  <c r="X330" i="58"/>
  <c r="Y330" i="58"/>
  <c r="X326" i="58"/>
  <c r="Y326" i="58"/>
  <c r="X322" i="58"/>
  <c r="Y322" i="58"/>
  <c r="X318" i="58"/>
  <c r="Y318" i="58"/>
  <c r="X314" i="58"/>
  <c r="Y314" i="58"/>
  <c r="X310" i="58"/>
  <c r="Y310" i="58"/>
  <c r="X306" i="58"/>
  <c r="Y306" i="58"/>
  <c r="X302" i="58"/>
  <c r="Y302" i="58"/>
  <c r="X298" i="58"/>
  <c r="Y298" i="58"/>
  <c r="X294" i="58"/>
  <c r="Y294" i="58"/>
  <c r="X290" i="58"/>
  <c r="Y290" i="58"/>
  <c r="X286" i="58"/>
  <c r="Y286" i="58"/>
  <c r="X282" i="58"/>
  <c r="Y282" i="58"/>
  <c r="X278" i="58"/>
  <c r="Y278" i="58"/>
  <c r="X274" i="58"/>
  <c r="Y274" i="58"/>
  <c r="X270" i="58"/>
  <c r="Y270" i="58"/>
  <c r="X266" i="58"/>
  <c r="Y266" i="58"/>
  <c r="X262" i="58"/>
  <c r="Y262" i="58"/>
  <c r="X258" i="58"/>
  <c r="Y258" i="58"/>
  <c r="X254" i="58"/>
  <c r="Y254" i="58"/>
  <c r="X250" i="58"/>
  <c r="Y250" i="58"/>
  <c r="X246" i="58"/>
  <c r="Y246" i="58"/>
  <c r="X242" i="58"/>
  <c r="Y242" i="58"/>
  <c r="X238" i="58"/>
  <c r="Y238" i="58"/>
  <c r="X234" i="58"/>
  <c r="Y234" i="58"/>
  <c r="X230" i="58"/>
  <c r="Y230" i="58"/>
  <c r="X226" i="58"/>
  <c r="Y226" i="58"/>
  <c r="X222" i="58"/>
  <c r="Y222" i="58"/>
  <c r="X218" i="58"/>
  <c r="Y218" i="58"/>
  <c r="X214" i="58"/>
  <c r="Y214" i="58"/>
  <c r="X210" i="58"/>
  <c r="Y210" i="58"/>
  <c r="X206" i="58"/>
  <c r="Y206" i="58"/>
  <c r="X202" i="58"/>
  <c r="Y202" i="58"/>
  <c r="X198" i="58"/>
  <c r="Y198" i="58"/>
  <c r="X194" i="58"/>
  <c r="Y194" i="58"/>
  <c r="X190" i="58"/>
  <c r="Y190" i="58"/>
  <c r="X186" i="58"/>
  <c r="Y186" i="58"/>
  <c r="X182" i="58"/>
  <c r="Y182" i="58"/>
  <c r="X178" i="58"/>
  <c r="Y178" i="58"/>
  <c r="X174" i="58"/>
  <c r="Y174" i="58"/>
  <c r="X170" i="58"/>
  <c r="Y170" i="58"/>
  <c r="X166" i="58"/>
  <c r="Y166" i="58"/>
  <c r="X162" i="58"/>
  <c r="Y162" i="58"/>
  <c r="X158" i="58"/>
  <c r="Y158" i="58"/>
  <c r="X154" i="58"/>
  <c r="Y154" i="58"/>
  <c r="X150" i="58"/>
  <c r="Y150" i="58"/>
  <c r="X146" i="58"/>
  <c r="Y146" i="58"/>
  <c r="X142" i="58"/>
  <c r="Y142" i="58"/>
  <c r="X138" i="58"/>
  <c r="Y138" i="58"/>
  <c r="X134" i="58"/>
  <c r="Y134" i="58"/>
  <c r="X130" i="58"/>
  <c r="Y130" i="58"/>
  <c r="X126" i="58"/>
  <c r="Y126" i="58"/>
  <c r="X122" i="58"/>
  <c r="Y122" i="58"/>
  <c r="X118" i="58"/>
  <c r="Y118" i="58"/>
  <c r="X114" i="58"/>
  <c r="Y114" i="58"/>
  <c r="X110" i="58"/>
  <c r="Y110" i="58"/>
  <c r="X106" i="58"/>
  <c r="Y106" i="58"/>
  <c r="X102" i="58"/>
  <c r="Y102" i="58"/>
  <c r="X98" i="58"/>
  <c r="Y98" i="58"/>
  <c r="X94" i="58"/>
  <c r="Y94" i="58"/>
  <c r="X90" i="58"/>
  <c r="Y90" i="58"/>
  <c r="X70" i="58"/>
  <c r="Y70" i="58"/>
  <c r="X50" i="58"/>
  <c r="Y50" i="58"/>
  <c r="X854" i="58"/>
  <c r="Y854" i="58"/>
  <c r="X842" i="58"/>
  <c r="Y842" i="58"/>
  <c r="X861" i="58"/>
  <c r="Y861" i="58"/>
  <c r="X857" i="58"/>
  <c r="Y857" i="58"/>
  <c r="X845" i="58"/>
  <c r="Y845" i="58"/>
  <c r="X837" i="58"/>
  <c r="Y837" i="58"/>
  <c r="X833" i="58"/>
  <c r="Y833" i="58"/>
  <c r="X829" i="58"/>
  <c r="Y829" i="58"/>
  <c r="X825" i="58"/>
  <c r="Y825" i="58"/>
  <c r="X821" i="58"/>
  <c r="Y821" i="58"/>
  <c r="X817" i="58"/>
  <c r="Y817" i="58"/>
  <c r="X813" i="58"/>
  <c r="Y813" i="58"/>
  <c r="X809" i="58"/>
  <c r="Y809" i="58"/>
  <c r="X805" i="58"/>
  <c r="Y805" i="58"/>
  <c r="X801" i="58"/>
  <c r="Y801" i="58"/>
  <c r="X797" i="58"/>
  <c r="Y797" i="58"/>
  <c r="X793" i="58"/>
  <c r="Y793" i="58"/>
  <c r="X789" i="58"/>
  <c r="Y789" i="58"/>
  <c r="X785" i="58"/>
  <c r="Y785" i="58"/>
  <c r="X781" i="58"/>
  <c r="Y781" i="58"/>
  <c r="X777" i="58"/>
  <c r="Y777" i="58"/>
  <c r="X773" i="58"/>
  <c r="Y773" i="58"/>
  <c r="X769" i="58"/>
  <c r="Y769" i="58"/>
  <c r="X765" i="58"/>
  <c r="Y765" i="58"/>
  <c r="X761" i="58"/>
  <c r="Y761" i="58"/>
  <c r="X757" i="58"/>
  <c r="Y757" i="58"/>
  <c r="X753" i="58"/>
  <c r="Y753" i="58"/>
  <c r="X749" i="58"/>
  <c r="Y749" i="58"/>
  <c r="X745" i="58"/>
  <c r="Y745" i="58"/>
  <c r="X741" i="58"/>
  <c r="Y741" i="58"/>
  <c r="X737" i="58"/>
  <c r="Y737" i="58"/>
  <c r="X733" i="58"/>
  <c r="Y733" i="58"/>
  <c r="X729" i="58"/>
  <c r="Y729" i="58"/>
  <c r="X725" i="58"/>
  <c r="Y725" i="58"/>
  <c r="X721" i="58"/>
  <c r="Y721" i="58"/>
  <c r="X717" i="58"/>
  <c r="Y717" i="58"/>
  <c r="X713" i="58"/>
  <c r="Y713" i="58"/>
  <c r="X709" i="58"/>
  <c r="Y709" i="58"/>
  <c r="X705" i="58"/>
  <c r="Y705" i="58"/>
  <c r="X701" i="58"/>
  <c r="Y701" i="58"/>
  <c r="X697" i="58"/>
  <c r="Y697" i="58"/>
  <c r="X693" i="58"/>
  <c r="Y693" i="58"/>
  <c r="X689" i="58"/>
  <c r="Y689" i="58"/>
  <c r="X685" i="58"/>
  <c r="Y685" i="58"/>
  <c r="X681" i="58"/>
  <c r="Y681" i="58"/>
  <c r="X677" i="58"/>
  <c r="Y677" i="58"/>
  <c r="X673" i="58"/>
  <c r="Y673" i="58"/>
  <c r="X669" i="58"/>
  <c r="Y669" i="58"/>
  <c r="X665" i="58"/>
  <c r="Y665" i="58"/>
  <c r="X661" i="58"/>
  <c r="Y661" i="58"/>
  <c r="X657" i="58"/>
  <c r="Y657" i="58"/>
  <c r="X653" i="58"/>
  <c r="Y653" i="58"/>
  <c r="X649" i="58"/>
  <c r="Y649" i="58"/>
  <c r="X645" i="58"/>
  <c r="Y645" i="58"/>
  <c r="X641" i="58"/>
  <c r="Y641" i="58"/>
  <c r="X637" i="58"/>
  <c r="Y637" i="58"/>
  <c r="X633" i="58"/>
  <c r="Y633" i="58"/>
  <c r="X629" i="58"/>
  <c r="Y629" i="58"/>
  <c r="X625" i="58"/>
  <c r="Y625" i="58"/>
  <c r="X621" i="58"/>
  <c r="Y621" i="58"/>
  <c r="X617" i="58"/>
  <c r="Y617" i="58"/>
  <c r="X613" i="58"/>
  <c r="Y613" i="58"/>
  <c r="X609" i="58"/>
  <c r="Y609" i="58"/>
  <c r="X605" i="58"/>
  <c r="Y605" i="58"/>
  <c r="X601" i="58"/>
  <c r="Y601" i="58"/>
  <c r="X597" i="58"/>
  <c r="Y597" i="58"/>
  <c r="X593" i="58"/>
  <c r="Y593" i="58"/>
  <c r="X589" i="58"/>
  <c r="Y589" i="58"/>
  <c r="X585" i="58"/>
  <c r="Y585" i="58"/>
  <c r="X581" i="58"/>
  <c r="Y581" i="58"/>
  <c r="X577" i="58"/>
  <c r="Y577" i="58"/>
  <c r="X573" i="58"/>
  <c r="Y573" i="58"/>
  <c r="X569" i="58"/>
  <c r="Y569" i="58"/>
  <c r="X565" i="58"/>
  <c r="Y565" i="58"/>
  <c r="X561" i="58"/>
  <c r="Y561" i="58"/>
  <c r="X557" i="58"/>
  <c r="Y557" i="58"/>
  <c r="X553" i="58"/>
  <c r="Y553" i="58"/>
  <c r="X549" i="58"/>
  <c r="Y549" i="58"/>
  <c r="X545" i="58"/>
  <c r="Y545" i="58"/>
  <c r="X541" i="58"/>
  <c r="Y541" i="58"/>
  <c r="X537" i="58"/>
  <c r="Y537" i="58"/>
  <c r="X533" i="58"/>
  <c r="Y533" i="58"/>
  <c r="X529" i="58"/>
  <c r="Y529" i="58"/>
  <c r="X525" i="58"/>
  <c r="Y525" i="58"/>
  <c r="X521" i="58"/>
  <c r="Y521" i="58"/>
  <c r="X517" i="58"/>
  <c r="Y517" i="58"/>
  <c r="X513" i="58"/>
  <c r="Y513" i="58"/>
  <c r="X509" i="58"/>
  <c r="Y509" i="58"/>
  <c r="X505" i="58"/>
  <c r="Y505" i="58"/>
  <c r="X501" i="58"/>
  <c r="Y501" i="58"/>
  <c r="X497" i="58"/>
  <c r="Y497" i="58"/>
  <c r="X493" i="58"/>
  <c r="Y493" i="58"/>
  <c r="X489" i="58"/>
  <c r="Y489" i="58"/>
  <c r="X485" i="58"/>
  <c r="Y485" i="58"/>
  <c r="X481" i="58"/>
  <c r="Y481" i="58"/>
  <c r="X477" i="58"/>
  <c r="Y477" i="58"/>
  <c r="X473" i="58"/>
  <c r="Y473" i="58"/>
  <c r="X469" i="58"/>
  <c r="Y469" i="58"/>
  <c r="X465" i="58"/>
  <c r="Y465" i="58"/>
  <c r="X461" i="58"/>
  <c r="Y461" i="58"/>
  <c r="X457" i="58"/>
  <c r="Y457" i="58"/>
  <c r="X453" i="58"/>
  <c r="Y453" i="58"/>
  <c r="X449" i="58"/>
  <c r="Y449" i="58"/>
  <c r="X445" i="58"/>
  <c r="Y445" i="58"/>
  <c r="X441" i="58"/>
  <c r="Y441" i="58"/>
  <c r="X437" i="58"/>
  <c r="Y437" i="58"/>
  <c r="X433" i="58"/>
  <c r="Y433" i="58"/>
  <c r="X429" i="58"/>
  <c r="Y429" i="58"/>
  <c r="X425" i="58"/>
  <c r="Y425" i="58"/>
  <c r="X421" i="58"/>
  <c r="Y421" i="58"/>
  <c r="X417" i="58"/>
  <c r="Y417" i="58"/>
  <c r="X413" i="58"/>
  <c r="Y413" i="58"/>
  <c r="X409" i="58"/>
  <c r="Y409" i="58"/>
  <c r="X405" i="58"/>
  <c r="Y405" i="58"/>
  <c r="X401" i="58"/>
  <c r="Y401" i="58"/>
  <c r="X397" i="58"/>
  <c r="Y397" i="58"/>
  <c r="X393" i="58"/>
  <c r="Y393" i="58"/>
  <c r="X389" i="58"/>
  <c r="Y389" i="58"/>
  <c r="X385" i="58"/>
  <c r="Y385" i="58"/>
  <c r="X381" i="58"/>
  <c r="Y381" i="58"/>
  <c r="X377" i="58"/>
  <c r="Y377" i="58"/>
  <c r="X373" i="58"/>
  <c r="Y373" i="58"/>
  <c r="X369" i="58"/>
  <c r="Y369" i="58"/>
  <c r="X365" i="58"/>
  <c r="Y365" i="58"/>
  <c r="X361" i="58"/>
  <c r="Y361" i="58"/>
  <c r="X357" i="58"/>
  <c r="Y357" i="58"/>
  <c r="X353" i="58"/>
  <c r="Y353" i="58"/>
  <c r="X349" i="58"/>
  <c r="Y349" i="58"/>
  <c r="X345" i="58"/>
  <c r="Y345" i="58"/>
  <c r="X341" i="58"/>
  <c r="Y341" i="58"/>
  <c r="X337" i="58"/>
  <c r="Y337" i="58"/>
  <c r="X333" i="58"/>
  <c r="Y333" i="58"/>
  <c r="X329" i="58"/>
  <c r="Y329" i="58"/>
  <c r="X325" i="58"/>
  <c r="Y325" i="58"/>
  <c r="X321" i="58"/>
  <c r="Y321" i="58"/>
  <c r="X317" i="58"/>
  <c r="Y317" i="58"/>
  <c r="X313" i="58"/>
  <c r="Y313" i="58"/>
  <c r="X309" i="58"/>
  <c r="Y309" i="58"/>
  <c r="X305" i="58"/>
  <c r="Y305" i="58"/>
  <c r="X301" i="58"/>
  <c r="Y301" i="58"/>
  <c r="X297" i="58"/>
  <c r="Y297" i="58"/>
  <c r="X293" i="58"/>
  <c r="Y293" i="58"/>
  <c r="X289" i="58"/>
  <c r="Y289" i="58"/>
  <c r="X285" i="58"/>
  <c r="Y285" i="58"/>
  <c r="X281" i="58"/>
  <c r="Y281" i="58"/>
  <c r="X277" i="58"/>
  <c r="Y277" i="58"/>
  <c r="X273" i="58"/>
  <c r="Y273" i="58"/>
  <c r="X269" i="58"/>
  <c r="Y269" i="58"/>
  <c r="X265" i="58"/>
  <c r="Y265" i="58"/>
  <c r="X261" i="58"/>
  <c r="Y261" i="58"/>
  <c r="X257" i="58"/>
  <c r="Y257" i="58"/>
  <c r="X253" i="58"/>
  <c r="Y253" i="58"/>
  <c r="X249" i="58"/>
  <c r="Y249" i="58"/>
  <c r="X245" i="58"/>
  <c r="Y245" i="58"/>
  <c r="X241" i="58"/>
  <c r="Y241" i="58"/>
  <c r="X237" i="58"/>
  <c r="Y237" i="58"/>
  <c r="X233" i="58"/>
  <c r="Y233" i="58"/>
  <c r="X229" i="58"/>
  <c r="Y229" i="58"/>
  <c r="X225" i="58"/>
  <c r="Y225" i="58"/>
  <c r="X221" i="58"/>
  <c r="Y221" i="58"/>
  <c r="X217" i="58"/>
  <c r="Y217" i="58"/>
  <c r="X213" i="58"/>
  <c r="Y213" i="58"/>
  <c r="X209" i="58"/>
  <c r="Y209" i="58"/>
  <c r="X205" i="58"/>
  <c r="Y205" i="58"/>
  <c r="X201" i="58"/>
  <c r="Y201" i="58"/>
  <c r="X197" i="58"/>
  <c r="Y197" i="58"/>
  <c r="X193" i="58"/>
  <c r="Y193" i="58"/>
  <c r="X189" i="58"/>
  <c r="Y189" i="58"/>
  <c r="X185" i="58"/>
  <c r="Y185" i="58"/>
  <c r="X181" i="58"/>
  <c r="Y181" i="58"/>
  <c r="X177" i="58"/>
  <c r="Y177" i="58"/>
  <c r="X173" i="58"/>
  <c r="Y173" i="58"/>
  <c r="X169" i="58"/>
  <c r="Y169" i="58"/>
  <c r="X165" i="58"/>
  <c r="Y165" i="58"/>
  <c r="X161" i="58"/>
  <c r="Y161" i="58"/>
  <c r="X157" i="58"/>
  <c r="Y157" i="58"/>
  <c r="X153" i="58"/>
  <c r="Y153" i="58"/>
  <c r="X149" i="58"/>
  <c r="Y149" i="58"/>
  <c r="X145" i="58"/>
  <c r="Y145" i="58"/>
  <c r="X141" i="58"/>
  <c r="Y141" i="58"/>
  <c r="X137" i="58"/>
  <c r="Y137" i="58"/>
  <c r="X133" i="58"/>
  <c r="Y133" i="58"/>
  <c r="X129" i="58"/>
  <c r="Y129" i="58"/>
  <c r="X125" i="58"/>
  <c r="Y125" i="58"/>
  <c r="X121" i="58"/>
  <c r="Y121" i="58"/>
  <c r="X117" i="58"/>
  <c r="Y117" i="58"/>
  <c r="X113" i="58"/>
  <c r="Y113" i="58"/>
  <c r="X109" i="58"/>
  <c r="Y109" i="58"/>
  <c r="X105" i="58"/>
  <c r="Y105" i="58"/>
  <c r="X101" i="58"/>
  <c r="Y101" i="58"/>
  <c r="X97" i="58"/>
  <c r="Y97" i="58"/>
  <c r="X93" i="58"/>
  <c r="Y93" i="58"/>
  <c r="X850" i="58"/>
  <c r="Y850" i="58"/>
  <c r="X838" i="58"/>
  <c r="Y838" i="58"/>
  <c r="X853" i="58"/>
  <c r="Y853" i="58"/>
  <c r="X849" i="58"/>
  <c r="Y849" i="58"/>
  <c r="X841" i="58"/>
  <c r="Y841" i="58"/>
  <c r="X860" i="58"/>
  <c r="Y860" i="58"/>
  <c r="X856" i="58"/>
  <c r="Y856" i="58"/>
  <c r="X852" i="58"/>
  <c r="Y852" i="58"/>
  <c r="X848" i="58"/>
  <c r="Y848" i="58"/>
  <c r="X844" i="58"/>
  <c r="Y844" i="58"/>
  <c r="X840" i="58"/>
  <c r="Y840" i="58"/>
  <c r="X836" i="58"/>
  <c r="Y836" i="58"/>
  <c r="X832" i="58"/>
  <c r="Y832" i="58"/>
  <c r="X828" i="58"/>
  <c r="Y828" i="58"/>
  <c r="X824" i="58"/>
  <c r="Y824" i="58"/>
  <c r="X820" i="58"/>
  <c r="Y820" i="58"/>
  <c r="X816" i="58"/>
  <c r="Y816" i="58"/>
  <c r="X812" i="58"/>
  <c r="Y812" i="58"/>
  <c r="X808" i="58"/>
  <c r="Y808" i="58"/>
  <c r="X804" i="58"/>
  <c r="Y804" i="58"/>
  <c r="X800" i="58"/>
  <c r="Y800" i="58"/>
  <c r="X796" i="58"/>
  <c r="Y796" i="58"/>
  <c r="X792" i="58"/>
  <c r="Y792" i="58"/>
  <c r="X788" i="58"/>
  <c r="Y788" i="58"/>
  <c r="X784" i="58"/>
  <c r="Y784" i="58"/>
  <c r="X780" i="58"/>
  <c r="Y780" i="58"/>
  <c r="X776" i="58"/>
  <c r="Y776" i="58"/>
  <c r="X772" i="58"/>
  <c r="Y772" i="58"/>
  <c r="X768" i="58"/>
  <c r="Y768" i="58"/>
  <c r="X764" i="58"/>
  <c r="Y764" i="58"/>
  <c r="X760" i="58"/>
  <c r="Y760" i="58"/>
  <c r="X756" i="58"/>
  <c r="Y756" i="58"/>
  <c r="X752" i="58"/>
  <c r="Y752" i="58"/>
  <c r="X748" i="58"/>
  <c r="Y748" i="58"/>
  <c r="X744" i="58"/>
  <c r="Y744" i="58"/>
  <c r="X740" i="58"/>
  <c r="Y740" i="58"/>
  <c r="X736" i="58"/>
  <c r="Y736" i="58"/>
  <c r="X732" i="58"/>
  <c r="Y732" i="58"/>
  <c r="X728" i="58"/>
  <c r="Y728" i="58"/>
  <c r="X724" i="58"/>
  <c r="Y724" i="58"/>
  <c r="X720" i="58"/>
  <c r="Y720" i="58"/>
  <c r="X716" i="58"/>
  <c r="Y716" i="58"/>
  <c r="X712" i="58"/>
  <c r="Y712" i="58"/>
  <c r="X708" i="58"/>
  <c r="Y708" i="58"/>
  <c r="X704" i="58"/>
  <c r="Y704" i="58"/>
  <c r="X700" i="58"/>
  <c r="Y700" i="58"/>
  <c r="X696" i="58"/>
  <c r="Y696" i="58"/>
  <c r="X692" i="58"/>
  <c r="Y692" i="58"/>
  <c r="X688" i="58"/>
  <c r="Y688" i="58"/>
  <c r="X684" i="58"/>
  <c r="Y684" i="58"/>
  <c r="X680" i="58"/>
  <c r="Y680" i="58"/>
  <c r="X676" i="58"/>
  <c r="Y676" i="58"/>
  <c r="X672" i="58"/>
  <c r="Y672" i="58"/>
  <c r="X668" i="58"/>
  <c r="Y668" i="58"/>
  <c r="X664" i="58"/>
  <c r="Y664" i="58"/>
  <c r="X660" i="58"/>
  <c r="Y660" i="58"/>
  <c r="X656" i="58"/>
  <c r="Y656" i="58"/>
  <c r="X652" i="58"/>
  <c r="Y652" i="58"/>
  <c r="X648" i="58"/>
  <c r="Y648" i="58"/>
  <c r="X644" i="58"/>
  <c r="Y644" i="58"/>
  <c r="X640" i="58"/>
  <c r="Y640" i="58"/>
  <c r="X636" i="58"/>
  <c r="Y636" i="58"/>
  <c r="X632" i="58"/>
  <c r="Y632" i="58"/>
  <c r="X628" i="58"/>
  <c r="Y628" i="58"/>
  <c r="X624" i="58"/>
  <c r="Y624" i="58"/>
  <c r="X620" i="58"/>
  <c r="Y620" i="58"/>
  <c r="X616" i="58"/>
  <c r="Y616" i="58"/>
  <c r="X612" i="58"/>
  <c r="Y612" i="58"/>
  <c r="X608" i="58"/>
  <c r="Y608" i="58"/>
  <c r="X604" i="58"/>
  <c r="Y604" i="58"/>
  <c r="X600" i="58"/>
  <c r="Y600" i="58"/>
  <c r="X596" i="58"/>
  <c r="Y596" i="58"/>
  <c r="X592" i="58"/>
  <c r="Y592" i="58"/>
  <c r="X588" i="58"/>
  <c r="Y588" i="58"/>
  <c r="X584" i="58"/>
  <c r="Y584" i="58"/>
  <c r="X580" i="58"/>
  <c r="Y580" i="58"/>
  <c r="X576" i="58"/>
  <c r="Y576" i="58"/>
  <c r="X572" i="58"/>
  <c r="Y572" i="58"/>
  <c r="X568" i="58"/>
  <c r="Y568" i="58"/>
  <c r="X564" i="58"/>
  <c r="Y564" i="58"/>
  <c r="X560" i="58"/>
  <c r="Y560" i="58"/>
  <c r="X556" i="58"/>
  <c r="Y556" i="58"/>
  <c r="X552" i="58"/>
  <c r="Y552" i="58"/>
  <c r="X548" i="58"/>
  <c r="Y548" i="58"/>
  <c r="X544" i="58"/>
  <c r="Y544" i="58"/>
  <c r="X540" i="58"/>
  <c r="Y540" i="58"/>
  <c r="X536" i="58"/>
  <c r="Y536" i="58"/>
  <c r="X532" i="58"/>
  <c r="Y532" i="58"/>
  <c r="X528" i="58"/>
  <c r="Y528" i="58"/>
  <c r="X524" i="58"/>
  <c r="Y524" i="58"/>
  <c r="X520" i="58"/>
  <c r="Y520" i="58"/>
  <c r="X516" i="58"/>
  <c r="Y516" i="58"/>
  <c r="X512" i="58"/>
  <c r="Y512" i="58"/>
  <c r="X508" i="58"/>
  <c r="Y508" i="58"/>
  <c r="X504" i="58"/>
  <c r="Y504" i="58"/>
  <c r="X500" i="58"/>
  <c r="Y500" i="58"/>
  <c r="X496" i="58"/>
  <c r="Y496" i="58"/>
  <c r="X492" i="58"/>
  <c r="Y492" i="58"/>
  <c r="X488" i="58"/>
  <c r="Y488" i="58"/>
  <c r="X484" i="58"/>
  <c r="Y484" i="58"/>
  <c r="X480" i="58"/>
  <c r="Y480" i="58"/>
  <c r="X476" i="58"/>
  <c r="Y476" i="58"/>
  <c r="X472" i="58"/>
  <c r="Y472" i="58"/>
  <c r="X468" i="58"/>
  <c r="Y468" i="58"/>
  <c r="X464" i="58"/>
  <c r="Y464" i="58"/>
  <c r="X460" i="58"/>
  <c r="Y460" i="58"/>
  <c r="X456" i="58"/>
  <c r="Y456" i="58"/>
  <c r="X452" i="58"/>
  <c r="Y452" i="58"/>
  <c r="X448" i="58"/>
  <c r="Y448" i="58"/>
  <c r="X444" i="58"/>
  <c r="Y444" i="58"/>
  <c r="X440" i="58"/>
  <c r="Y440" i="58"/>
  <c r="X436" i="58"/>
  <c r="Y436" i="58"/>
  <c r="X432" i="58"/>
  <c r="Y432" i="58"/>
  <c r="X428" i="58"/>
  <c r="Y428" i="58"/>
  <c r="X424" i="58"/>
  <c r="Y424" i="58"/>
  <c r="X420" i="58"/>
  <c r="Y420" i="58"/>
  <c r="X416" i="58"/>
  <c r="Y416" i="58"/>
  <c r="X412" i="58"/>
  <c r="Y412" i="58"/>
  <c r="X408" i="58"/>
  <c r="Y408" i="58"/>
  <c r="X404" i="58"/>
  <c r="Y404" i="58"/>
  <c r="X400" i="58"/>
  <c r="Y400" i="58"/>
  <c r="X396" i="58"/>
  <c r="Y396" i="58"/>
  <c r="X392" i="58"/>
  <c r="Y392" i="58"/>
  <c r="X388" i="58"/>
  <c r="Y388" i="58"/>
  <c r="X384" i="58"/>
  <c r="Y384" i="58"/>
  <c r="X380" i="58"/>
  <c r="Y380" i="58"/>
  <c r="X376" i="58"/>
  <c r="Y376" i="58"/>
  <c r="X372" i="58"/>
  <c r="Y372" i="58"/>
  <c r="X368" i="58"/>
  <c r="Y368" i="58"/>
  <c r="X364" i="58"/>
  <c r="Y364" i="58"/>
  <c r="X360" i="58"/>
  <c r="Y360" i="58"/>
  <c r="X356" i="58"/>
  <c r="Y356" i="58"/>
  <c r="X352" i="58"/>
  <c r="Y352" i="58"/>
  <c r="X348" i="58"/>
  <c r="Y348" i="58"/>
  <c r="X344" i="58"/>
  <c r="Y344" i="58"/>
  <c r="X340" i="58"/>
  <c r="Y340" i="58"/>
  <c r="X336" i="58"/>
  <c r="Y336" i="58"/>
  <c r="X332" i="58"/>
  <c r="Y332" i="58"/>
  <c r="X328" i="58"/>
  <c r="Y328" i="58"/>
  <c r="X324" i="58"/>
  <c r="Y324" i="58"/>
  <c r="X320" i="58"/>
  <c r="Y320" i="58"/>
  <c r="X316" i="58"/>
  <c r="Y316" i="58"/>
  <c r="X312" i="58"/>
  <c r="Y312" i="58"/>
  <c r="X308" i="58"/>
  <c r="Y308" i="58"/>
  <c r="X304" i="58"/>
  <c r="Y304" i="58"/>
  <c r="X300" i="58"/>
  <c r="Y300" i="58"/>
  <c r="X296" i="58"/>
  <c r="Y296" i="58"/>
  <c r="X292" i="58"/>
  <c r="Y292" i="58"/>
  <c r="X288" i="58"/>
  <c r="Y288" i="58"/>
  <c r="X284" i="58"/>
  <c r="Y284" i="58"/>
  <c r="X280" i="58"/>
  <c r="Y280" i="58"/>
  <c r="X276" i="58"/>
  <c r="Y276" i="58"/>
  <c r="X272" i="58"/>
  <c r="Y272" i="58"/>
  <c r="X268" i="58"/>
  <c r="Y268" i="58"/>
  <c r="X264" i="58"/>
  <c r="Y264" i="58"/>
  <c r="X260" i="58"/>
  <c r="Y260" i="58"/>
  <c r="X256" i="58"/>
  <c r="Y256" i="58"/>
  <c r="X252" i="58"/>
  <c r="Y252" i="58"/>
  <c r="X248" i="58"/>
  <c r="Y248" i="58"/>
  <c r="X244" i="58"/>
  <c r="Y244" i="58"/>
  <c r="X240" i="58"/>
  <c r="Y240" i="58"/>
  <c r="X236" i="58"/>
  <c r="Y236" i="58"/>
  <c r="X232" i="58"/>
  <c r="Y232" i="58"/>
  <c r="X228" i="58"/>
  <c r="Y228" i="58"/>
  <c r="X224" i="58"/>
  <c r="Y224" i="58"/>
  <c r="X220" i="58"/>
  <c r="Y220" i="58"/>
  <c r="X216" i="58"/>
  <c r="Y216" i="58"/>
  <c r="X212" i="58"/>
  <c r="Y212" i="58"/>
  <c r="X208" i="58"/>
  <c r="Y208" i="58"/>
  <c r="X204" i="58"/>
  <c r="Y204" i="58"/>
  <c r="X200" i="58"/>
  <c r="Y200" i="58"/>
  <c r="X196" i="58"/>
  <c r="Y196" i="58"/>
  <c r="X192" i="58"/>
  <c r="Y192" i="58"/>
  <c r="X188" i="58"/>
  <c r="Y188" i="58"/>
  <c r="X184" i="58"/>
  <c r="Y184" i="58"/>
  <c r="X180" i="58"/>
  <c r="Y180" i="58"/>
  <c r="X176" i="58"/>
  <c r="Y176" i="58"/>
  <c r="X172" i="58"/>
  <c r="Y172" i="58"/>
  <c r="X168" i="58"/>
  <c r="Y168" i="58"/>
  <c r="X164" i="58"/>
  <c r="Y164" i="58"/>
  <c r="X160" i="58"/>
  <c r="Y160" i="58"/>
  <c r="X156" i="58"/>
  <c r="Y156" i="58"/>
  <c r="X152" i="58"/>
  <c r="Y152" i="58"/>
  <c r="X148" i="58"/>
  <c r="Y148" i="58"/>
  <c r="X144" i="58"/>
  <c r="Y144" i="58"/>
  <c r="X140" i="58"/>
  <c r="Y140" i="58"/>
  <c r="X136" i="58"/>
  <c r="Y136" i="58"/>
  <c r="X132" i="58"/>
  <c r="Y132" i="58"/>
  <c r="X128" i="58"/>
  <c r="Y128" i="58"/>
  <c r="X124" i="58"/>
  <c r="Y124" i="58"/>
  <c r="X120" i="58"/>
  <c r="Y120" i="58"/>
  <c r="X116" i="58"/>
  <c r="Y116" i="58"/>
  <c r="X112" i="58"/>
  <c r="Y112" i="58"/>
  <c r="X108" i="58"/>
  <c r="Y108" i="58"/>
  <c r="X104" i="58"/>
  <c r="Y104" i="58"/>
  <c r="X100" i="58"/>
  <c r="Y100" i="58"/>
  <c r="X96" i="58"/>
  <c r="Y96" i="58"/>
  <c r="X92" i="58"/>
  <c r="Y92" i="58"/>
  <c r="X80" i="58"/>
  <c r="Y80" i="58"/>
  <c r="X60" i="58"/>
  <c r="Y60" i="58"/>
  <c r="X40" i="58"/>
  <c r="Y40" i="58"/>
  <c r="X20" i="58"/>
  <c r="Y20" i="58"/>
  <c r="X30" i="58"/>
  <c r="Y30" i="58"/>
  <c r="X10" i="58"/>
  <c r="Y10" i="58"/>
  <c r="AE272" i="58" l="1"/>
  <c r="AF272" i="58" s="1"/>
  <c r="AE336" i="58"/>
  <c r="AF336" i="58" s="1"/>
  <c r="AE368" i="58"/>
  <c r="AF368" i="58" s="1"/>
  <c r="AE432" i="58"/>
  <c r="AF432" i="58" s="1"/>
  <c r="AE604" i="58"/>
  <c r="AF604" i="58" s="1"/>
  <c r="AE317" i="58"/>
  <c r="AF317" i="58" s="1"/>
  <c r="AE413" i="58"/>
  <c r="AF413" i="58" s="1"/>
  <c r="AE288" i="58"/>
  <c r="AF288" i="58" s="1"/>
  <c r="AE320" i="58"/>
  <c r="AF320" i="58" s="1"/>
  <c r="AE384" i="58"/>
  <c r="AF384" i="58" s="1"/>
  <c r="AE416" i="58"/>
  <c r="AF416" i="58" s="1"/>
  <c r="AE844" i="58"/>
  <c r="AF844" i="58" s="1"/>
  <c r="AE813" i="58"/>
  <c r="AF813" i="58" s="1"/>
  <c r="AE327" i="58"/>
  <c r="AF327" i="58" s="1"/>
  <c r="AE585" i="58"/>
  <c r="AF585" i="58" s="1"/>
  <c r="AE240" i="58"/>
  <c r="AF240" i="58" s="1"/>
  <c r="AE796" i="58"/>
  <c r="AF796" i="58" s="1"/>
  <c r="AE464" i="58"/>
  <c r="AF464" i="58" s="1"/>
  <c r="AE556" i="58"/>
  <c r="AF556" i="58" s="1"/>
  <c r="AE764" i="58"/>
  <c r="AF764" i="58" s="1"/>
  <c r="AE681" i="58"/>
  <c r="AF681" i="58" s="1"/>
  <c r="AE777" i="58"/>
  <c r="AF777" i="58" s="1"/>
  <c r="AE567" i="58"/>
  <c r="AF567" i="58" s="1"/>
  <c r="AE251" i="58"/>
  <c r="AF251" i="58" s="1"/>
  <c r="AE221" i="58"/>
  <c r="AF221" i="58" s="1"/>
  <c r="AE509" i="58"/>
  <c r="AF509" i="58" s="1"/>
  <c r="AE224" i="58"/>
  <c r="AF224" i="58" s="1"/>
  <c r="AE480" i="58"/>
  <c r="AF480" i="58" s="1"/>
  <c r="AE524" i="58"/>
  <c r="AF524" i="58" s="1"/>
  <c r="AE620" i="58"/>
  <c r="AF620" i="58" s="1"/>
  <c r="AE652" i="58"/>
  <c r="AF652" i="58" s="1"/>
  <c r="AE716" i="58"/>
  <c r="AF716" i="58" s="1"/>
  <c r="AE748" i="58"/>
  <c r="AF748" i="58" s="1"/>
  <c r="AE812" i="58"/>
  <c r="AF812" i="58" s="1"/>
  <c r="AE203" i="58"/>
  <c r="AF203" i="58" s="1"/>
  <c r="AE621" i="58"/>
  <c r="AF621" i="58" s="1"/>
  <c r="AE653" i="58"/>
  <c r="AF653" i="58" s="1"/>
  <c r="AE717" i="58"/>
  <c r="AF717" i="58" s="1"/>
  <c r="AE749" i="58"/>
  <c r="AF749" i="58" s="1"/>
  <c r="AE252" i="58"/>
  <c r="AF252" i="58" s="1"/>
  <c r="AE316" i="58"/>
  <c r="AF316" i="58" s="1"/>
  <c r="AE348" i="58"/>
  <c r="AF348" i="58" s="1"/>
  <c r="AE412" i="58"/>
  <c r="AF412" i="58" s="1"/>
  <c r="AE444" i="58"/>
  <c r="AF444" i="58" s="1"/>
  <c r="AE516" i="58"/>
  <c r="AF516" i="58" s="1"/>
  <c r="AE580" i="58"/>
  <c r="AF580" i="58" s="1"/>
  <c r="AE648" i="58"/>
  <c r="AF648" i="58" s="1"/>
  <c r="AE680" i="58"/>
  <c r="AF680" i="58" s="1"/>
  <c r="AE744" i="58"/>
  <c r="AF744" i="58" s="1"/>
  <c r="AE776" i="58"/>
  <c r="AF776" i="58" s="1"/>
  <c r="AE840" i="58"/>
  <c r="AF840" i="58" s="1"/>
  <c r="AE119" i="58"/>
  <c r="AF119" i="58" s="1"/>
  <c r="AE125" i="58"/>
  <c r="AF125" i="58" s="1"/>
  <c r="AE159" i="58"/>
  <c r="AF159" i="58" s="1"/>
  <c r="AE633" i="58"/>
  <c r="AF633" i="58" s="1"/>
  <c r="AE729" i="58"/>
  <c r="AF729" i="58" s="1"/>
  <c r="AE143" i="58"/>
  <c r="AF143" i="58" s="1"/>
  <c r="AE201" i="58"/>
  <c r="AF201" i="58" s="1"/>
  <c r="AE265" i="58"/>
  <c r="AF265" i="58" s="1"/>
  <c r="AE297" i="58"/>
  <c r="AF297" i="58" s="1"/>
  <c r="AE361" i="58"/>
  <c r="AF361" i="58" s="1"/>
  <c r="AE393" i="58"/>
  <c r="AF393" i="58" s="1"/>
  <c r="AE457" i="58"/>
  <c r="AF457" i="58" s="1"/>
  <c r="AE395" i="58"/>
  <c r="AF395" i="58" s="1"/>
  <c r="AE204" i="58"/>
  <c r="AF204" i="58" s="1"/>
  <c r="AE300" i="58"/>
  <c r="AF300" i="58" s="1"/>
  <c r="AE364" i="58"/>
  <c r="AF364" i="58" s="1"/>
  <c r="AE396" i="58"/>
  <c r="AF396" i="58" s="1"/>
  <c r="AE460" i="58"/>
  <c r="AF460" i="58" s="1"/>
  <c r="AE492" i="58"/>
  <c r="AF492" i="58" s="1"/>
  <c r="AE600" i="58"/>
  <c r="AF600" i="58" s="1"/>
  <c r="AE632" i="58"/>
  <c r="AF632" i="58" s="1"/>
  <c r="AE696" i="58"/>
  <c r="AF696" i="58" s="1"/>
  <c r="AE728" i="58"/>
  <c r="AF728" i="58" s="1"/>
  <c r="AE824" i="58"/>
  <c r="AF824" i="58" s="1"/>
  <c r="AE49" i="58"/>
  <c r="AF49" i="58" s="1"/>
  <c r="AE173" i="58"/>
  <c r="AF173" i="58" s="1"/>
  <c r="AE269" i="58"/>
  <c r="AF269" i="58" s="1"/>
  <c r="AE365" i="58"/>
  <c r="AF365" i="58" s="1"/>
  <c r="AE461" i="58"/>
  <c r="AF461" i="58" s="1"/>
  <c r="AE557" i="58"/>
  <c r="AF557" i="58" s="1"/>
  <c r="AE482" i="58"/>
  <c r="AF482" i="58" s="1"/>
  <c r="AE539" i="58"/>
  <c r="AF539" i="58" s="1"/>
  <c r="AE797" i="58"/>
  <c r="AF797" i="58" s="1"/>
  <c r="AE299" i="58"/>
  <c r="AF299" i="58" s="1"/>
  <c r="AE535" i="58"/>
  <c r="AF535" i="58" s="1"/>
  <c r="AE605" i="58"/>
  <c r="AF605" i="58" s="1"/>
  <c r="AE669" i="58"/>
  <c r="AF669" i="58" s="1"/>
  <c r="AE765" i="58"/>
  <c r="AF765" i="58" s="1"/>
  <c r="AE801" i="58"/>
  <c r="AF801" i="58" s="1"/>
  <c r="AE217" i="58"/>
  <c r="AF217" i="58" s="1"/>
  <c r="AE249" i="58"/>
  <c r="AF249" i="58" s="1"/>
  <c r="AE313" i="58"/>
  <c r="AF313" i="58" s="1"/>
  <c r="AE441" i="58"/>
  <c r="AF441" i="58" s="1"/>
  <c r="AE505" i="58"/>
  <c r="AF505" i="58" s="1"/>
  <c r="AE537" i="58"/>
  <c r="AF537" i="58" s="1"/>
  <c r="AE609" i="58"/>
  <c r="AF609" i="58" s="1"/>
  <c r="AE705" i="58"/>
  <c r="AF705" i="58" s="1"/>
  <c r="AE817" i="58"/>
  <c r="AF817" i="58" s="1"/>
  <c r="AE330" i="58"/>
  <c r="AF330" i="58" s="1"/>
  <c r="AE598" i="58"/>
  <c r="AF598" i="58" s="1"/>
  <c r="AE666" i="58"/>
  <c r="AF666" i="58" s="1"/>
  <c r="AE762" i="58"/>
  <c r="AF762" i="58" s="1"/>
  <c r="AE858" i="58"/>
  <c r="AF858" i="58" s="1"/>
  <c r="AE247" i="58"/>
  <c r="AF247" i="58" s="1"/>
  <c r="AE92" i="58"/>
  <c r="AF92" i="58" s="1"/>
  <c r="AE559" i="58"/>
  <c r="AF559" i="58" s="1"/>
  <c r="AE255" i="58"/>
  <c r="AF255" i="58" s="1"/>
  <c r="AE225" i="58"/>
  <c r="AF225" i="58" s="1"/>
  <c r="AE321" i="58"/>
  <c r="AF321" i="58" s="1"/>
  <c r="AE417" i="58"/>
  <c r="AF417" i="58" s="1"/>
  <c r="AE513" i="58"/>
  <c r="AF513" i="58" s="1"/>
  <c r="AE196" i="58"/>
  <c r="AF196" i="58" s="1"/>
  <c r="AE292" i="58"/>
  <c r="AF292" i="58" s="1"/>
  <c r="AE324" i="58"/>
  <c r="AF324" i="58" s="1"/>
  <c r="AE388" i="58"/>
  <c r="AF388" i="58" s="1"/>
  <c r="AE420" i="58"/>
  <c r="AF420" i="58" s="1"/>
  <c r="AE484" i="58"/>
  <c r="AF484" i="58" s="1"/>
  <c r="AE532" i="58"/>
  <c r="AF532" i="58" s="1"/>
  <c r="AE624" i="58"/>
  <c r="AF624" i="58" s="1"/>
  <c r="AE656" i="58"/>
  <c r="AF656" i="58" s="1"/>
  <c r="AE720" i="58"/>
  <c r="AF720" i="58" s="1"/>
  <c r="AE752" i="58"/>
  <c r="AF752" i="58" s="1"/>
  <c r="AE816" i="58"/>
  <c r="AF816" i="58" s="1"/>
  <c r="AE591" i="58"/>
  <c r="AF591" i="58" s="1"/>
  <c r="AE657" i="58"/>
  <c r="AF657" i="58" s="1"/>
  <c r="AE753" i="58"/>
  <c r="AF753" i="58" s="1"/>
  <c r="AE274" i="58"/>
  <c r="AF274" i="58" s="1"/>
  <c r="AE618" i="58"/>
  <c r="AF618" i="58" s="1"/>
  <c r="AE714" i="58"/>
  <c r="AF714" i="58" s="1"/>
  <c r="AE810" i="58"/>
  <c r="AF810" i="58" s="1"/>
  <c r="AE140" i="58"/>
  <c r="AF140" i="58" s="1"/>
  <c r="AE351" i="58"/>
  <c r="AF351" i="58" s="1"/>
  <c r="AE860" i="58"/>
  <c r="AF860" i="58" s="1"/>
  <c r="AE447" i="58"/>
  <c r="AF447" i="58" s="1"/>
  <c r="AE273" i="58"/>
  <c r="AF273" i="58" s="1"/>
  <c r="AE369" i="58"/>
  <c r="AF369" i="58" s="1"/>
  <c r="AE465" i="58"/>
  <c r="AF465" i="58" s="1"/>
  <c r="AE561" i="58"/>
  <c r="AF561" i="58" s="1"/>
  <c r="AE543" i="58"/>
  <c r="AF543" i="58" s="1"/>
  <c r="AE303" i="58"/>
  <c r="AF303" i="58" s="1"/>
  <c r="AE244" i="58"/>
  <c r="AF244" i="58" s="1"/>
  <c r="AE276" i="58"/>
  <c r="AF276" i="58" s="1"/>
  <c r="AE340" i="58"/>
  <c r="AF340" i="58" s="1"/>
  <c r="AE436" i="58"/>
  <c r="AF436" i="58" s="1"/>
  <c r="AE468" i="58"/>
  <c r="AF468" i="58" s="1"/>
  <c r="AE564" i="58"/>
  <c r="AF564" i="58" s="1"/>
  <c r="AE672" i="58"/>
  <c r="AF672" i="58" s="1"/>
  <c r="AE704" i="58"/>
  <c r="AF704" i="58" s="1"/>
  <c r="AE768" i="58"/>
  <c r="AF768" i="58" s="1"/>
  <c r="AE800" i="58"/>
  <c r="AF800" i="58" s="1"/>
  <c r="AE677" i="58"/>
  <c r="AF677" i="58" s="1"/>
  <c r="AE773" i="58"/>
  <c r="AF773" i="58" s="1"/>
  <c r="AE467" i="58"/>
  <c r="AF467" i="58" s="1"/>
  <c r="AE226" i="58"/>
  <c r="AF226" i="58" s="1"/>
  <c r="AE334" i="58"/>
  <c r="AF334" i="58" s="1"/>
  <c r="AE670" i="58"/>
  <c r="AF670" i="58" s="1"/>
  <c r="AE766" i="58"/>
  <c r="AF766" i="58" s="1"/>
  <c r="AE135" i="58"/>
  <c r="AF135" i="58" s="1"/>
  <c r="AE579" i="58"/>
  <c r="AF579" i="58" s="1"/>
  <c r="AE296" i="58"/>
  <c r="AF296" i="58" s="1"/>
  <c r="AE392" i="58"/>
  <c r="AF392" i="58" s="1"/>
  <c r="AE724" i="58"/>
  <c r="AF724" i="58" s="1"/>
  <c r="AE820" i="58"/>
  <c r="AF820" i="58" s="1"/>
  <c r="AE515" i="58"/>
  <c r="AF515" i="58" s="1"/>
  <c r="AE725" i="58"/>
  <c r="AF725" i="58" s="1"/>
  <c r="AE278" i="58"/>
  <c r="AF278" i="58" s="1"/>
  <c r="AE622" i="58"/>
  <c r="AF622" i="58" s="1"/>
  <c r="AE814" i="58"/>
  <c r="AF814" i="58" s="1"/>
  <c r="AE227" i="58"/>
  <c r="AF227" i="58" s="1"/>
  <c r="AE248" i="58"/>
  <c r="AF248" i="58" s="1"/>
  <c r="AE344" i="58"/>
  <c r="AF344" i="58" s="1"/>
  <c r="AE440" i="58"/>
  <c r="AF440" i="58" s="1"/>
  <c r="AE572" i="58"/>
  <c r="AF572" i="58" s="1"/>
  <c r="AE676" i="58"/>
  <c r="AF676" i="58" s="1"/>
  <c r="AE690" i="58"/>
  <c r="AF690" i="58" s="1"/>
  <c r="AE738" i="58"/>
  <c r="AF738" i="58" s="1"/>
  <c r="AE786" i="58"/>
  <c r="AF786" i="58" s="1"/>
  <c r="AE834" i="58"/>
  <c r="AF834" i="58" s="1"/>
  <c r="AE199" i="58"/>
  <c r="AF199" i="58" s="1"/>
  <c r="AE415" i="58"/>
  <c r="AF415" i="58" s="1"/>
  <c r="AE343" i="58"/>
  <c r="AF343" i="58" s="1"/>
  <c r="AE463" i="58"/>
  <c r="AF463" i="58" s="1"/>
  <c r="AE625" i="58"/>
  <c r="AF625" i="58" s="1"/>
  <c r="AE673" i="58"/>
  <c r="AF673" i="58" s="1"/>
  <c r="AE721" i="58"/>
  <c r="AF721" i="58" s="1"/>
  <c r="AE769" i="58"/>
  <c r="AF769" i="58" s="1"/>
  <c r="AE498" i="58"/>
  <c r="AF498" i="58" s="1"/>
  <c r="AE546" i="58"/>
  <c r="AF546" i="58" s="1"/>
  <c r="AE319" i="58"/>
  <c r="AF319" i="58" s="1"/>
  <c r="AE583" i="58"/>
  <c r="AF583" i="58" s="1"/>
  <c r="AE487" i="58"/>
  <c r="AF487" i="58" s="1"/>
  <c r="AE193" i="58"/>
  <c r="AF193" i="58" s="1"/>
  <c r="AE241" i="58"/>
  <c r="AF241" i="58" s="1"/>
  <c r="AE289" i="58"/>
  <c r="AF289" i="58" s="1"/>
  <c r="AE337" i="58"/>
  <c r="AF337" i="58" s="1"/>
  <c r="AE433" i="58"/>
  <c r="AF433" i="58" s="1"/>
  <c r="AE481" i="58"/>
  <c r="AF481" i="58" s="1"/>
  <c r="AE529" i="58"/>
  <c r="AF529" i="58" s="1"/>
  <c r="AE577" i="58"/>
  <c r="AF577" i="58" s="1"/>
  <c r="AE271" i="58"/>
  <c r="AF271" i="58" s="1"/>
  <c r="AE367" i="58"/>
  <c r="AF367" i="58" s="1"/>
  <c r="AE439" i="58"/>
  <c r="AF439" i="58" s="1"/>
  <c r="AE792" i="58"/>
  <c r="AF792" i="58" s="1"/>
  <c r="AE601" i="58"/>
  <c r="AF601" i="58" s="1"/>
  <c r="AE649" i="58"/>
  <c r="AF649" i="58" s="1"/>
  <c r="AE697" i="58"/>
  <c r="AF697" i="58" s="1"/>
  <c r="AE793" i="58"/>
  <c r="AF793" i="58" s="1"/>
  <c r="AE111" i="58"/>
  <c r="AF111" i="58" s="1"/>
  <c r="AE511" i="58"/>
  <c r="AF511" i="58" s="1"/>
  <c r="AE206" i="58"/>
  <c r="AF206" i="58" s="1"/>
  <c r="AE258" i="58"/>
  <c r="AF258" i="58" s="1"/>
  <c r="AE310" i="58"/>
  <c r="AF310" i="58" s="1"/>
  <c r="AE434" i="58"/>
  <c r="AF434" i="58" s="1"/>
  <c r="AE650" i="58"/>
  <c r="AF650" i="58" s="1"/>
  <c r="AE698" i="58"/>
  <c r="AF698" i="58" s="1"/>
  <c r="AE746" i="58"/>
  <c r="AF746" i="58" s="1"/>
  <c r="AE794" i="58"/>
  <c r="AF794" i="58" s="1"/>
  <c r="AE842" i="58"/>
  <c r="AF842" i="58" s="1"/>
  <c r="AE375" i="58"/>
  <c r="AF375" i="58" s="1"/>
  <c r="AE100" i="58"/>
  <c r="AF100" i="58" s="1"/>
  <c r="AE148" i="58"/>
  <c r="AF148" i="58" s="1"/>
  <c r="AE455" i="58"/>
  <c r="AF455" i="58" s="1"/>
  <c r="AE594" i="58"/>
  <c r="AF594" i="58" s="1"/>
  <c r="AE207" i="58"/>
  <c r="AF207" i="58" s="1"/>
  <c r="AE16" i="58"/>
  <c r="AF16" i="58" s="1"/>
  <c r="AE108" i="58"/>
  <c r="AF108" i="58" s="1"/>
  <c r="AE156" i="58"/>
  <c r="AF156" i="58" s="1"/>
  <c r="AE93" i="58"/>
  <c r="AF93" i="58" s="1"/>
  <c r="AE141" i="58"/>
  <c r="AF141" i="58" s="1"/>
  <c r="AE223" i="58"/>
  <c r="AF223" i="58" s="1"/>
  <c r="AE231" i="58"/>
  <c r="AF231" i="58" s="1"/>
  <c r="AE495" i="58"/>
  <c r="AF495" i="58" s="1"/>
  <c r="AE95" i="58"/>
  <c r="AF95" i="58" s="1"/>
  <c r="AE399" i="58"/>
  <c r="AF399" i="58" s="1"/>
  <c r="AE338" i="58"/>
  <c r="AF338" i="58" s="1"/>
  <c r="AE522" i="58"/>
  <c r="AF522" i="58" s="1"/>
  <c r="AE570" i="58"/>
  <c r="AF570" i="58" s="1"/>
  <c r="AE626" i="58"/>
  <c r="AF626" i="58" s="1"/>
  <c r="AE674" i="58"/>
  <c r="AF674" i="58" s="1"/>
  <c r="AE722" i="58"/>
  <c r="AF722" i="58" s="1"/>
  <c r="AE770" i="58"/>
  <c r="AF770" i="58" s="1"/>
  <c r="AE818" i="58"/>
  <c r="AF818" i="58" s="1"/>
  <c r="AE60" i="58"/>
  <c r="AF60" i="58" s="1"/>
  <c r="AE132" i="58"/>
  <c r="AF132" i="58" s="1"/>
  <c r="AE180" i="58"/>
  <c r="AF180" i="58" s="1"/>
  <c r="AE279" i="58"/>
  <c r="AF279" i="58" s="1"/>
  <c r="AE519" i="58"/>
  <c r="AF519" i="58" s="1"/>
  <c r="AE10" i="58"/>
  <c r="AF10" i="58" s="1"/>
  <c r="AE122" i="58"/>
  <c r="AF122" i="58" s="1"/>
  <c r="AE170" i="58"/>
  <c r="AF170" i="58" s="1"/>
  <c r="AE154" i="58"/>
  <c r="AF154" i="58" s="1"/>
  <c r="AE506" i="58"/>
  <c r="AF506" i="58" s="1"/>
  <c r="AE554" i="58"/>
  <c r="AF554" i="58" s="1"/>
  <c r="AE24" i="58"/>
  <c r="AF24" i="58" s="1"/>
  <c r="AE116" i="58"/>
  <c r="AF116" i="58" s="1"/>
  <c r="AE164" i="58"/>
  <c r="AF164" i="58" s="1"/>
  <c r="AE130" i="58"/>
  <c r="AF130" i="58" s="1"/>
  <c r="AE144" i="58"/>
  <c r="AF144" i="58" s="1"/>
  <c r="AE355" i="58"/>
  <c r="AF355" i="58" s="1"/>
  <c r="AE486" i="58"/>
  <c r="AF486" i="58" s="1"/>
  <c r="AE85" i="58"/>
  <c r="AF85" i="58" s="1"/>
  <c r="AE133" i="58"/>
  <c r="AF133" i="58" s="1"/>
  <c r="AE181" i="58"/>
  <c r="AF181" i="58" s="1"/>
  <c r="AE383" i="58"/>
  <c r="AF383" i="58" s="1"/>
  <c r="AE555" i="58"/>
  <c r="AF555" i="58" s="1"/>
  <c r="AE106" i="58"/>
  <c r="AF106" i="58" s="1"/>
  <c r="AE202" i="58"/>
  <c r="AF202" i="58" s="1"/>
  <c r="AE250" i="58"/>
  <c r="AF250" i="58" s="1"/>
  <c r="AE306" i="58"/>
  <c r="AF306" i="58" s="1"/>
  <c r="AE430" i="58"/>
  <c r="AF430" i="58" s="1"/>
  <c r="AE494" i="58"/>
  <c r="AF494" i="58" s="1"/>
  <c r="AE542" i="58"/>
  <c r="AF542" i="58" s="1"/>
  <c r="AE646" i="58"/>
  <c r="AF646" i="58" s="1"/>
  <c r="AE694" i="58"/>
  <c r="AF694" i="58" s="1"/>
  <c r="AE742" i="58"/>
  <c r="AF742" i="58" s="1"/>
  <c r="AE790" i="58"/>
  <c r="AF790" i="58" s="1"/>
  <c r="AE838" i="58"/>
  <c r="AF838" i="58" s="1"/>
  <c r="AE311" i="58"/>
  <c r="AF311" i="58" s="1"/>
  <c r="AE423" i="58"/>
  <c r="AF423" i="58" s="1"/>
  <c r="AE563" i="58"/>
  <c r="AF563" i="58" s="1"/>
  <c r="AE96" i="58"/>
  <c r="AF96" i="58" s="1"/>
  <c r="AE129" i="58"/>
  <c r="AF129" i="58" s="1"/>
  <c r="AE642" i="58"/>
  <c r="AF642" i="58" s="1"/>
  <c r="AE200" i="58"/>
  <c r="AF200" i="58" s="1"/>
  <c r="AE488" i="58"/>
  <c r="AF488" i="58" s="1"/>
  <c r="AE628" i="58"/>
  <c r="AF628" i="58" s="1"/>
  <c r="AE772" i="58"/>
  <c r="AF772" i="58" s="1"/>
  <c r="AE629" i="58"/>
  <c r="AF629" i="58" s="1"/>
  <c r="AE587" i="58"/>
  <c r="AF587" i="58" s="1"/>
  <c r="AE502" i="58"/>
  <c r="AF502" i="58" s="1"/>
  <c r="AE550" i="58"/>
  <c r="AF550" i="58" s="1"/>
  <c r="AE323" i="58"/>
  <c r="AF323" i="58" s="1"/>
  <c r="AE443" i="58"/>
  <c r="AF443" i="58" s="1"/>
  <c r="AE385" i="58"/>
  <c r="AF385" i="58" s="1"/>
  <c r="AE668" i="58"/>
  <c r="AF668" i="58" s="1"/>
  <c r="AE11" i="58"/>
  <c r="AF11" i="58" s="1"/>
  <c r="AE167" i="58"/>
  <c r="AF167" i="58" s="1"/>
  <c r="AE491" i="58"/>
  <c r="AF491" i="58" s="1"/>
  <c r="AE13" i="58"/>
  <c r="AF13" i="58" s="1"/>
  <c r="AE101" i="58"/>
  <c r="AF101" i="58" s="1"/>
  <c r="AE149" i="58"/>
  <c r="AF149" i="58" s="1"/>
  <c r="AE197" i="58"/>
  <c r="AF197" i="58" s="1"/>
  <c r="AE245" i="58"/>
  <c r="AF245" i="58" s="1"/>
  <c r="AE293" i="58"/>
  <c r="AF293" i="58" s="1"/>
  <c r="AE341" i="58"/>
  <c r="AF341" i="58" s="1"/>
  <c r="AE389" i="58"/>
  <c r="AF389" i="58" s="1"/>
  <c r="AE437" i="58"/>
  <c r="AF437" i="58" s="1"/>
  <c r="AE485" i="58"/>
  <c r="AF485" i="58" s="1"/>
  <c r="AE533" i="58"/>
  <c r="AF533" i="58" s="1"/>
  <c r="AE386" i="58"/>
  <c r="AF386" i="58" s="1"/>
  <c r="AE450" i="58"/>
  <c r="AF450" i="58" s="1"/>
  <c r="AE471" i="58"/>
  <c r="AF471" i="58" s="1"/>
  <c r="AE275" i="58"/>
  <c r="AF275" i="58" s="1"/>
  <c r="AE345" i="58"/>
  <c r="AF345" i="58" s="1"/>
  <c r="AE489" i="58"/>
  <c r="AF489" i="58" s="1"/>
  <c r="AE192" i="58"/>
  <c r="AF192" i="58" s="1"/>
  <c r="AE81" i="58"/>
  <c r="AF81" i="58" s="1"/>
  <c r="AE220" i="58"/>
  <c r="AF220" i="58" s="1"/>
  <c r="AE268" i="58"/>
  <c r="AF268" i="58" s="1"/>
  <c r="AE50" i="58"/>
  <c r="AF50" i="58" s="1"/>
  <c r="AE178" i="58"/>
  <c r="AF178" i="58" s="1"/>
  <c r="AE718" i="58"/>
  <c r="AF718" i="58" s="1"/>
  <c r="AE862" i="58"/>
  <c r="AF862" i="58" s="1"/>
  <c r="AE700" i="58"/>
  <c r="AF700" i="58" s="1"/>
  <c r="AE745" i="58"/>
  <c r="AF745" i="58" s="1"/>
  <c r="AE230" i="58"/>
  <c r="AF230" i="58" s="1"/>
  <c r="AE282" i="58"/>
  <c r="AF282" i="58" s="1"/>
  <c r="AE228" i="58"/>
  <c r="AF228" i="58" s="1"/>
  <c r="AE372" i="58"/>
  <c r="AF372" i="58" s="1"/>
  <c r="AE608" i="58"/>
  <c r="AF608" i="58" s="1"/>
  <c r="AE848" i="58"/>
  <c r="AF848" i="58" s="1"/>
  <c r="AE701" i="58"/>
  <c r="AF701" i="58" s="1"/>
  <c r="AE526" i="58"/>
  <c r="AF526" i="58" s="1"/>
  <c r="AE419" i="58"/>
  <c r="AF419" i="58" s="1"/>
  <c r="AE409" i="58"/>
  <c r="AF409" i="58" s="1"/>
  <c r="AE553" i="58"/>
  <c r="AF553" i="58" s="1"/>
  <c r="AE530" i="58"/>
  <c r="AF530" i="58" s="1"/>
  <c r="AE578" i="58"/>
  <c r="AF578" i="58" s="1"/>
  <c r="AE139" i="58"/>
  <c r="AF139" i="58" s="1"/>
  <c r="AE45" i="58"/>
  <c r="AF45" i="58" s="1"/>
  <c r="AE121" i="58"/>
  <c r="AF121" i="58" s="1"/>
  <c r="AE169" i="58"/>
  <c r="AF169" i="58" s="1"/>
  <c r="AE115" i="58"/>
  <c r="AF115" i="58" s="1"/>
  <c r="AE20" i="58"/>
  <c r="AF20" i="58" s="1"/>
  <c r="AE112" i="58"/>
  <c r="AF112" i="58" s="1"/>
  <c r="AE160" i="58"/>
  <c r="AF160" i="58" s="1"/>
  <c r="AE574" i="58"/>
  <c r="AF574" i="58" s="1"/>
  <c r="AE80" i="58"/>
  <c r="AF80" i="58" s="1"/>
  <c r="AE136" i="58"/>
  <c r="AF136" i="58" s="1"/>
  <c r="AE478" i="58"/>
  <c r="AF478" i="58" s="1"/>
  <c r="AE222" i="58"/>
  <c r="AF222" i="58" s="1"/>
  <c r="AE406" i="58"/>
  <c r="AF406" i="58" s="1"/>
  <c r="AE391" i="58"/>
  <c r="AF391" i="58" s="1"/>
  <c r="AE177" i="58"/>
  <c r="AF177" i="58" s="1"/>
  <c r="AE102" i="58"/>
  <c r="AF102" i="58" s="1"/>
  <c r="AE150" i="58"/>
  <c r="AF150" i="58" s="1"/>
  <c r="AE358" i="58"/>
  <c r="AF358" i="58" s="1"/>
  <c r="AE9" i="58"/>
  <c r="AF9" i="58" s="1"/>
  <c r="AE97" i="58"/>
  <c r="AF97" i="58" s="1"/>
  <c r="AE145" i="58"/>
  <c r="AF145" i="58" s="1"/>
  <c r="AE382" i="58"/>
  <c r="AF382" i="58" s="1"/>
  <c r="AE30" i="58"/>
  <c r="AF30" i="58" s="1"/>
  <c r="AE126" i="58"/>
  <c r="AF126" i="58" s="1"/>
  <c r="AE174" i="58"/>
  <c r="AF174" i="58" s="1"/>
  <c r="AE454" i="58"/>
  <c r="AF454" i="58" s="1"/>
  <c r="AE147" i="58"/>
  <c r="AF147" i="58" s="1"/>
  <c r="AE347" i="58"/>
  <c r="AF347" i="58" s="1"/>
  <c r="AE371" i="58"/>
  <c r="AF371" i="58" s="1"/>
  <c r="AE118" i="58"/>
  <c r="AF118" i="58" s="1"/>
  <c r="AE166" i="58"/>
  <c r="AF166" i="58" s="1"/>
  <c r="AE446" i="58"/>
  <c r="AF446" i="58" s="1"/>
  <c r="AE459" i="58"/>
  <c r="AF459" i="58" s="1"/>
  <c r="AE41" i="58"/>
  <c r="AF41" i="58" s="1"/>
  <c r="AE117" i="58"/>
  <c r="AF117" i="58" s="1"/>
  <c r="AE165" i="58"/>
  <c r="AF165" i="58" s="1"/>
  <c r="AE15" i="58"/>
  <c r="AF15" i="58" s="1"/>
  <c r="AE171" i="58"/>
  <c r="AF171" i="58" s="1"/>
  <c r="AE98" i="58"/>
  <c r="AF98" i="58" s="1"/>
  <c r="AE146" i="58"/>
  <c r="AF146" i="58" s="1"/>
  <c r="AE354" i="58"/>
  <c r="AF354" i="58" s="1"/>
  <c r="AE295" i="58"/>
  <c r="AF295" i="58" s="1"/>
  <c r="AE12" i="58"/>
  <c r="AF12" i="58" s="1"/>
  <c r="AE104" i="58"/>
  <c r="AF104" i="58" s="1"/>
  <c r="AE152" i="58"/>
  <c r="AF152" i="58" s="1"/>
  <c r="AE243" i="58"/>
  <c r="AF243" i="58" s="1"/>
  <c r="AE89" i="58"/>
  <c r="AF89" i="58" s="1"/>
  <c r="AE137" i="58"/>
  <c r="AF137" i="58" s="1"/>
  <c r="AE185" i="58"/>
  <c r="AF185" i="58" s="1"/>
  <c r="AE107" i="58"/>
  <c r="AF107" i="58" s="1"/>
  <c r="AE435" i="58"/>
  <c r="AF435" i="58" s="1"/>
  <c r="AE603" i="58"/>
  <c r="AF603" i="58" s="1"/>
  <c r="AE189" i="58"/>
  <c r="AF189" i="58" s="1"/>
  <c r="AE237" i="58"/>
  <c r="AF237" i="58" s="1"/>
  <c r="AE285" i="58"/>
  <c r="AF285" i="58" s="1"/>
  <c r="AE333" i="58"/>
  <c r="AF333" i="58" s="1"/>
  <c r="AE381" i="58"/>
  <c r="AF381" i="58" s="1"/>
  <c r="AE429" i="58"/>
  <c r="AF429" i="58" s="1"/>
  <c r="AE477" i="58"/>
  <c r="AF477" i="58" s="1"/>
  <c r="AE525" i="58"/>
  <c r="AF525" i="58" s="1"/>
  <c r="AE573" i="58"/>
  <c r="AF573" i="58" s="1"/>
  <c r="AE374" i="58"/>
  <c r="AF374" i="58" s="1"/>
  <c r="AE218" i="58"/>
  <c r="AF218" i="58" s="1"/>
  <c r="AE270" i="58"/>
  <c r="AF270" i="58" s="1"/>
  <c r="AE326" i="58"/>
  <c r="AF326" i="58" s="1"/>
  <c r="AE614" i="58"/>
  <c r="AF614" i="58" s="1"/>
  <c r="AE662" i="58"/>
  <c r="AF662" i="58" s="1"/>
  <c r="AE710" i="58"/>
  <c r="AF710" i="58" s="1"/>
  <c r="AE758" i="58"/>
  <c r="AF758" i="58" s="1"/>
  <c r="AE806" i="58"/>
  <c r="AF806" i="58" s="1"/>
  <c r="AE854" i="58"/>
  <c r="AF854" i="58" s="1"/>
  <c r="AE339" i="58"/>
  <c r="AF339" i="58" s="1"/>
  <c r="AE216" i="58"/>
  <c r="AF216" i="58" s="1"/>
  <c r="AE264" i="58"/>
  <c r="AF264" i="58" s="1"/>
  <c r="AE312" i="58"/>
  <c r="AF312" i="58" s="1"/>
  <c r="AE360" i="58"/>
  <c r="AF360" i="58" s="1"/>
  <c r="AE408" i="58"/>
  <c r="AF408" i="58" s="1"/>
  <c r="AE456" i="58"/>
  <c r="AF456" i="58" s="1"/>
  <c r="AE508" i="58"/>
  <c r="AF508" i="58" s="1"/>
  <c r="AE596" i="58"/>
  <c r="AF596" i="58" s="1"/>
  <c r="AE644" i="58"/>
  <c r="AF644" i="58" s="1"/>
  <c r="AE692" i="58"/>
  <c r="AF692" i="58" s="1"/>
  <c r="AE740" i="58"/>
  <c r="AF740" i="58" s="1"/>
  <c r="AE788" i="58"/>
  <c r="AF788" i="58" s="1"/>
  <c r="AE836" i="58"/>
  <c r="AF836" i="58" s="1"/>
  <c r="AE387" i="58"/>
  <c r="AF387" i="58" s="1"/>
  <c r="AE645" i="58"/>
  <c r="AF645" i="58" s="1"/>
  <c r="AE693" i="58"/>
  <c r="AF693" i="58" s="1"/>
  <c r="AE741" i="58"/>
  <c r="AF741" i="58" s="1"/>
  <c r="AE789" i="58"/>
  <c r="AF789" i="58" s="1"/>
  <c r="AE398" i="58"/>
  <c r="AF398" i="58" s="1"/>
  <c r="AE518" i="58"/>
  <c r="AF518" i="58" s="1"/>
  <c r="AE566" i="58"/>
  <c r="AF566" i="58" s="1"/>
  <c r="AE363" i="58"/>
  <c r="AF363" i="58" s="1"/>
  <c r="AE56" i="58"/>
  <c r="AF56" i="58" s="1"/>
  <c r="AE128" i="58"/>
  <c r="AF128" i="58" s="1"/>
  <c r="AE176" i="58"/>
  <c r="AF176" i="58" s="1"/>
  <c r="AE191" i="58"/>
  <c r="AF191" i="58" s="1"/>
  <c r="AE291" i="58"/>
  <c r="AF291" i="58" s="1"/>
  <c r="AE25" i="58"/>
  <c r="AF25" i="58" s="1"/>
  <c r="AE113" i="58"/>
  <c r="AF113" i="58" s="1"/>
  <c r="AE161" i="58"/>
  <c r="AF161" i="58" s="1"/>
  <c r="AE483" i="58"/>
  <c r="AF483" i="58" s="1"/>
  <c r="AE507" i="58"/>
  <c r="AF507" i="58" s="1"/>
  <c r="AE411" i="58"/>
  <c r="AF411" i="58" s="1"/>
  <c r="AE213" i="58"/>
  <c r="AF213" i="58" s="1"/>
  <c r="AE261" i="58"/>
  <c r="AF261" i="58" s="1"/>
  <c r="AE309" i="58"/>
  <c r="AF309" i="58" s="1"/>
  <c r="AE357" i="58"/>
  <c r="AF357" i="58" s="1"/>
  <c r="AE405" i="58"/>
  <c r="AF405" i="58" s="1"/>
  <c r="AE453" i="58"/>
  <c r="AF453" i="58" s="1"/>
  <c r="AE501" i="58"/>
  <c r="AF501" i="58" s="1"/>
  <c r="AE549" i="58"/>
  <c r="AF549" i="58" s="1"/>
  <c r="AE470" i="58"/>
  <c r="AF470" i="58" s="1"/>
  <c r="AE94" i="58"/>
  <c r="AF94" i="58" s="1"/>
  <c r="AE142" i="58"/>
  <c r="AF142" i="58" s="1"/>
  <c r="AE190" i="58"/>
  <c r="AF190" i="58" s="1"/>
  <c r="AE350" i="58"/>
  <c r="AF350" i="58" s="1"/>
  <c r="AE27" i="58"/>
  <c r="AF27" i="58" s="1"/>
  <c r="AE531" i="58"/>
  <c r="AF531" i="58" s="1"/>
  <c r="AE219" i="58"/>
  <c r="AF219" i="58" s="1"/>
  <c r="AE315" i="58"/>
  <c r="AF315" i="58" s="1"/>
  <c r="AE194" i="58"/>
  <c r="AF194" i="58" s="1"/>
  <c r="AE242" i="58"/>
  <c r="AF242" i="58" s="1"/>
  <c r="AE298" i="58"/>
  <c r="AF298" i="58" s="1"/>
  <c r="AE638" i="58"/>
  <c r="AF638" i="58" s="1"/>
  <c r="AE686" i="58"/>
  <c r="AF686" i="58" s="1"/>
  <c r="AE734" i="58"/>
  <c r="AF734" i="58" s="1"/>
  <c r="AE782" i="58"/>
  <c r="AF782" i="58" s="1"/>
  <c r="AE830" i="58"/>
  <c r="AF830" i="58" s="1"/>
  <c r="AE63" i="58"/>
  <c r="AF63" i="58" s="1"/>
  <c r="AE235" i="58"/>
  <c r="AF235" i="58" s="1"/>
  <c r="AE331" i="58"/>
  <c r="AF331" i="58" s="1"/>
  <c r="AE229" i="58"/>
  <c r="AF229" i="58" s="1"/>
  <c r="AE277" i="58"/>
  <c r="AF277" i="58" s="1"/>
  <c r="AE325" i="58"/>
  <c r="AF325" i="58" s="1"/>
  <c r="AE373" i="58"/>
  <c r="AF373" i="58" s="1"/>
  <c r="AE421" i="58"/>
  <c r="AF421" i="58" s="1"/>
  <c r="AE469" i="58"/>
  <c r="AF469" i="58" s="1"/>
  <c r="AE517" i="58"/>
  <c r="AF517" i="58" s="1"/>
  <c r="AE565" i="58"/>
  <c r="AF565" i="58" s="1"/>
  <c r="AE366" i="58"/>
  <c r="AF366" i="58" s="1"/>
  <c r="AE99" i="58"/>
  <c r="AF99" i="58" s="1"/>
  <c r="AE512" i="58"/>
  <c r="AF512" i="58" s="1"/>
  <c r="AE560" i="58"/>
  <c r="AF560" i="58" s="1"/>
  <c r="AE571" i="58"/>
  <c r="AF571" i="58" s="1"/>
  <c r="AE110" i="58"/>
  <c r="AF110" i="58" s="1"/>
  <c r="AE158" i="58"/>
  <c r="AF158" i="58" s="1"/>
  <c r="AE151" i="58"/>
  <c r="AF151" i="58" s="1"/>
  <c r="AE475" i="58"/>
  <c r="AF475" i="58" s="1"/>
  <c r="AE210" i="58"/>
  <c r="AF210" i="58" s="1"/>
  <c r="AE262" i="58"/>
  <c r="AF262" i="58" s="1"/>
  <c r="AE314" i="58"/>
  <c r="AF314" i="58" s="1"/>
  <c r="AE438" i="58"/>
  <c r="AF438" i="58" s="1"/>
  <c r="AE606" i="58"/>
  <c r="AF606" i="58" s="1"/>
  <c r="AE654" i="58"/>
  <c r="AF654" i="58" s="1"/>
  <c r="AE702" i="58"/>
  <c r="AF702" i="58" s="1"/>
  <c r="AE750" i="58"/>
  <c r="AF750" i="58" s="1"/>
  <c r="AE798" i="58"/>
  <c r="AF798" i="58" s="1"/>
  <c r="AE846" i="58"/>
  <c r="AF846" i="58" s="1"/>
  <c r="AE208" i="58"/>
  <c r="AF208" i="58" s="1"/>
  <c r="AE256" i="58"/>
  <c r="AF256" i="58" s="1"/>
  <c r="AE304" i="58"/>
  <c r="AF304" i="58" s="1"/>
  <c r="AE352" i="58"/>
  <c r="AF352" i="58" s="1"/>
  <c r="AE400" i="58"/>
  <c r="AF400" i="58" s="1"/>
  <c r="AE448" i="58"/>
  <c r="AF448" i="58" s="1"/>
  <c r="AE496" i="58"/>
  <c r="AF496" i="58" s="1"/>
  <c r="AE584" i="58"/>
  <c r="AF584" i="58" s="1"/>
  <c r="AE636" i="58"/>
  <c r="AF636" i="58" s="1"/>
  <c r="AE684" i="58"/>
  <c r="AF684" i="58" s="1"/>
  <c r="AE732" i="58"/>
  <c r="AF732" i="58" s="1"/>
  <c r="AE780" i="58"/>
  <c r="AF780" i="58" s="1"/>
  <c r="AE828" i="58"/>
  <c r="AF828" i="58" s="1"/>
  <c r="AE427" i="58"/>
  <c r="AF427" i="58" s="1"/>
  <c r="AE123" i="58"/>
  <c r="AF123" i="58" s="1"/>
  <c r="AE595" i="58"/>
  <c r="AF595" i="58" s="1"/>
  <c r="AE318" i="58"/>
  <c r="AF318" i="58" s="1"/>
  <c r="AE637" i="58"/>
  <c r="AF637" i="58" s="1"/>
  <c r="AE685" i="58"/>
  <c r="AF685" i="58" s="1"/>
  <c r="AE733" i="58"/>
  <c r="AF733" i="58" s="1"/>
  <c r="AE781" i="58"/>
  <c r="AF781" i="58" s="1"/>
  <c r="AE510" i="58"/>
  <c r="AF510" i="58" s="1"/>
  <c r="AE558" i="58"/>
  <c r="AF558" i="58" s="1"/>
  <c r="AE40" i="58"/>
  <c r="AF40" i="58" s="1"/>
  <c r="AE120" i="58"/>
  <c r="AF120" i="58" s="1"/>
  <c r="AE168" i="58"/>
  <c r="AF168" i="58" s="1"/>
  <c r="AE19" i="58"/>
  <c r="AF19" i="58" s="1"/>
  <c r="AE175" i="58"/>
  <c r="AF175" i="58" s="1"/>
  <c r="AE17" i="58"/>
  <c r="AF17" i="58" s="1"/>
  <c r="AE105" i="58"/>
  <c r="AF105" i="58" s="1"/>
  <c r="AE153" i="58"/>
  <c r="AF153" i="58" s="1"/>
  <c r="AE589" i="58"/>
  <c r="AF589" i="58" s="1"/>
  <c r="AE451" i="58"/>
  <c r="AF451" i="58" s="1"/>
  <c r="AE390" i="58"/>
  <c r="AF390" i="58" s="1"/>
  <c r="AE131" i="58"/>
  <c r="AF131" i="58" s="1"/>
  <c r="AE623" i="58"/>
  <c r="AF623" i="58" s="1"/>
  <c r="AE183" i="58"/>
  <c r="AF183" i="58" s="1"/>
  <c r="AE283" i="58"/>
  <c r="AF283" i="58" s="1"/>
  <c r="AE205" i="58"/>
  <c r="AF205" i="58" s="1"/>
  <c r="AE253" i="58"/>
  <c r="AF253" i="58" s="1"/>
  <c r="AE301" i="58"/>
  <c r="AF301" i="58" s="1"/>
  <c r="AE349" i="58"/>
  <c r="AF349" i="58" s="1"/>
  <c r="AE397" i="58"/>
  <c r="AF397" i="58" s="1"/>
  <c r="AE445" i="58"/>
  <c r="AF445" i="58" s="1"/>
  <c r="AE493" i="58"/>
  <c r="AF493" i="58" s="1"/>
  <c r="AE541" i="58"/>
  <c r="AF541" i="58" s="1"/>
  <c r="AE462" i="58"/>
  <c r="AF462" i="58" s="1"/>
  <c r="AE259" i="58"/>
  <c r="AF259" i="58" s="1"/>
  <c r="AE70" i="58"/>
  <c r="AF70" i="58" s="1"/>
  <c r="AE134" i="58"/>
  <c r="AF134" i="58" s="1"/>
  <c r="AE182" i="58"/>
  <c r="AF182" i="58" s="1"/>
  <c r="AE805" i="58"/>
  <c r="AF805" i="58" s="1"/>
  <c r="AE499" i="58"/>
  <c r="AF499" i="58" s="1"/>
  <c r="AE234" i="58"/>
  <c r="AF234" i="58" s="1"/>
  <c r="AE290" i="58"/>
  <c r="AF290" i="58" s="1"/>
  <c r="AE342" i="58"/>
  <c r="AF342" i="58" s="1"/>
  <c r="AE630" i="58"/>
  <c r="AF630" i="58" s="1"/>
  <c r="AE678" i="58"/>
  <c r="AF678" i="58" s="1"/>
  <c r="AE726" i="58"/>
  <c r="AF726" i="58" s="1"/>
  <c r="AE774" i="58"/>
  <c r="AF774" i="58" s="1"/>
  <c r="AE822" i="58"/>
  <c r="AF822" i="58" s="1"/>
  <c r="AE379" i="58"/>
  <c r="AF379" i="58" s="1"/>
  <c r="AE544" i="58"/>
  <c r="AF544" i="58" s="1"/>
  <c r="AE184" i="58"/>
  <c r="AF184" i="58" s="1"/>
  <c r="AE232" i="58"/>
  <c r="AF232" i="58" s="1"/>
  <c r="AE280" i="58"/>
  <c r="AF280" i="58" s="1"/>
  <c r="AE328" i="58"/>
  <c r="AF328" i="58" s="1"/>
  <c r="AE376" i="58"/>
  <c r="AF376" i="58" s="1"/>
  <c r="AE424" i="58"/>
  <c r="AF424" i="58" s="1"/>
  <c r="AE472" i="58"/>
  <c r="AF472" i="58" s="1"/>
  <c r="AE540" i="58"/>
  <c r="AF540" i="58" s="1"/>
  <c r="AE612" i="58"/>
  <c r="AF612" i="58" s="1"/>
  <c r="AE660" i="58"/>
  <c r="AF660" i="58" s="1"/>
  <c r="AE708" i="58"/>
  <c r="AF708" i="58" s="1"/>
  <c r="AE756" i="58"/>
  <c r="AF756" i="58" s="1"/>
  <c r="AE804" i="58"/>
  <c r="AF804" i="58" s="1"/>
  <c r="AE852" i="58"/>
  <c r="AF852" i="58" s="1"/>
  <c r="AE211" i="58"/>
  <c r="AF211" i="58" s="1"/>
  <c r="AE307" i="58"/>
  <c r="AF307" i="58" s="1"/>
  <c r="AE547" i="58"/>
  <c r="AF547" i="58" s="1"/>
  <c r="AE414" i="58"/>
  <c r="AF414" i="58" s="1"/>
  <c r="AE607" i="58"/>
  <c r="AF607" i="58" s="1"/>
  <c r="AE631" i="58"/>
  <c r="AF631" i="58" s="1"/>
  <c r="AE458" i="58"/>
  <c r="AF458" i="58" s="1"/>
  <c r="AE613" i="58"/>
  <c r="AF613" i="58" s="1"/>
  <c r="AE661" i="58"/>
  <c r="AF661" i="58" s="1"/>
  <c r="AE709" i="58"/>
  <c r="AF709" i="58" s="1"/>
  <c r="AE757" i="58"/>
  <c r="AF757" i="58" s="1"/>
  <c r="AE523" i="58"/>
  <c r="AF523" i="58" s="1"/>
  <c r="AE534" i="58"/>
  <c r="AF534" i="58" s="1"/>
  <c r="AE582" i="58"/>
  <c r="AF582" i="58" s="1"/>
  <c r="AE403" i="58"/>
  <c r="AF403" i="58" s="1"/>
  <c r="AE233" i="58"/>
  <c r="AF233" i="58" s="1"/>
  <c r="AE281" i="58"/>
  <c r="AF281" i="58" s="1"/>
  <c r="AE329" i="58"/>
  <c r="AF329" i="58" s="1"/>
  <c r="AE377" i="58"/>
  <c r="AF377" i="58" s="1"/>
  <c r="AE425" i="58"/>
  <c r="AF425" i="58" s="1"/>
  <c r="AE473" i="58"/>
  <c r="AF473" i="58" s="1"/>
  <c r="AE521" i="58"/>
  <c r="AF521" i="58" s="1"/>
  <c r="AE569" i="58"/>
  <c r="AF569" i="58" s="1"/>
  <c r="AE370" i="58"/>
  <c r="AF370" i="58" s="1"/>
  <c r="AE215" i="58"/>
  <c r="AF215" i="58" s="1"/>
  <c r="AE575" i="58"/>
  <c r="AF575" i="58" s="1"/>
  <c r="AE615" i="58"/>
  <c r="AF615" i="58" s="1"/>
  <c r="AE286" i="58"/>
  <c r="AF286" i="58" s="1"/>
  <c r="AE346" i="58"/>
  <c r="AF346" i="58" s="1"/>
  <c r="AE394" i="58"/>
  <c r="AF394" i="58" s="1"/>
  <c r="AE442" i="58"/>
  <c r="AF442" i="58" s="1"/>
  <c r="AE490" i="58"/>
  <c r="AF490" i="58" s="1"/>
  <c r="AE586" i="58"/>
  <c r="AF586" i="58" s="1"/>
  <c r="AE651" i="58"/>
  <c r="AF651" i="58" s="1"/>
  <c r="AE675" i="58"/>
  <c r="AF675" i="58" s="1"/>
  <c r="AE699" i="58"/>
  <c r="AF699" i="58" s="1"/>
  <c r="AE723" i="58"/>
  <c r="AF723" i="58" s="1"/>
  <c r="AE747" i="58"/>
  <c r="AF747" i="58" s="1"/>
  <c r="AE771" i="58"/>
  <c r="AF771" i="58" s="1"/>
  <c r="AE795" i="58"/>
  <c r="AF795" i="58" s="1"/>
  <c r="AE819" i="58"/>
  <c r="AF819" i="58" s="1"/>
  <c r="AE843" i="58"/>
  <c r="AF843" i="58" s="1"/>
  <c r="AE833" i="58"/>
  <c r="AF833" i="58" s="1"/>
  <c r="AE857" i="58"/>
  <c r="AF857" i="58" s="1"/>
  <c r="AE809" i="58"/>
  <c r="AF809" i="58" s="1"/>
  <c r="AE407" i="58"/>
  <c r="AF407" i="58" s="1"/>
  <c r="AE114" i="58"/>
  <c r="AF114" i="58" s="1"/>
  <c r="AE162" i="58"/>
  <c r="AF162" i="58" s="1"/>
  <c r="AE520" i="58"/>
  <c r="AF520" i="58" s="1"/>
  <c r="AE568" i="58"/>
  <c r="AF568" i="58" s="1"/>
  <c r="AE263" i="58"/>
  <c r="AF263" i="58" s="1"/>
  <c r="AE359" i="58"/>
  <c r="AF359" i="58" s="1"/>
  <c r="AE599" i="58"/>
  <c r="AF599" i="58" s="1"/>
  <c r="AE214" i="58"/>
  <c r="AF214" i="58" s="1"/>
  <c r="AE266" i="58"/>
  <c r="AF266" i="58" s="1"/>
  <c r="AE322" i="58"/>
  <c r="AF322" i="58" s="1"/>
  <c r="AE610" i="58"/>
  <c r="AF610" i="58" s="1"/>
  <c r="AE658" i="58"/>
  <c r="AF658" i="58" s="1"/>
  <c r="AE706" i="58"/>
  <c r="AF706" i="58" s="1"/>
  <c r="AE754" i="58"/>
  <c r="AF754" i="58" s="1"/>
  <c r="AE802" i="58"/>
  <c r="AF802" i="58" s="1"/>
  <c r="AE850" i="58"/>
  <c r="AF850" i="58" s="1"/>
  <c r="AE335" i="58"/>
  <c r="AF335" i="58" s="1"/>
  <c r="AE67" i="58"/>
  <c r="AF67" i="58" s="1"/>
  <c r="AE619" i="58"/>
  <c r="AF619" i="58" s="1"/>
  <c r="AE655" i="58"/>
  <c r="AF655" i="58" s="1"/>
  <c r="AE679" i="58"/>
  <c r="AF679" i="58" s="1"/>
  <c r="AE703" i="58"/>
  <c r="AF703" i="58" s="1"/>
  <c r="AE727" i="58"/>
  <c r="AF727" i="58" s="1"/>
  <c r="AE751" i="58"/>
  <c r="AF751" i="58" s="1"/>
  <c r="AE775" i="58"/>
  <c r="AF775" i="58" s="1"/>
  <c r="AE799" i="58"/>
  <c r="AF799" i="58" s="1"/>
  <c r="AE823" i="58"/>
  <c r="AF823" i="58" s="1"/>
  <c r="AE847" i="58"/>
  <c r="AF847" i="58" s="1"/>
  <c r="AE597" i="58"/>
  <c r="AF597" i="58" s="1"/>
  <c r="AE837" i="58"/>
  <c r="AF837" i="58" s="1"/>
  <c r="AE861" i="58"/>
  <c r="AF861" i="58" s="1"/>
  <c r="AE212" i="58"/>
  <c r="AF212" i="58" s="1"/>
  <c r="AE260" i="58"/>
  <c r="AF260" i="58" s="1"/>
  <c r="AE308" i="58"/>
  <c r="AF308" i="58" s="1"/>
  <c r="AE356" i="58"/>
  <c r="AF356" i="58" s="1"/>
  <c r="AE404" i="58"/>
  <c r="AF404" i="58" s="1"/>
  <c r="AE452" i="58"/>
  <c r="AF452" i="58" s="1"/>
  <c r="AE500" i="58"/>
  <c r="AF500" i="58" s="1"/>
  <c r="AE588" i="58"/>
  <c r="AF588" i="58" s="1"/>
  <c r="AE640" i="58"/>
  <c r="AF640" i="58" s="1"/>
  <c r="AE688" i="58"/>
  <c r="AF688" i="58" s="1"/>
  <c r="AE736" i="58"/>
  <c r="AF736" i="58" s="1"/>
  <c r="AE784" i="58"/>
  <c r="AF784" i="58" s="1"/>
  <c r="AE832" i="58"/>
  <c r="AF832" i="58" s="1"/>
  <c r="AE239" i="58"/>
  <c r="AF239" i="58" s="1"/>
  <c r="AE528" i="58"/>
  <c r="AF528" i="58" s="1"/>
  <c r="AE576" i="58"/>
  <c r="AF576" i="58" s="1"/>
  <c r="AE503" i="58"/>
  <c r="AF503" i="58" s="1"/>
  <c r="AE641" i="58"/>
  <c r="AF641" i="58" s="1"/>
  <c r="AE689" i="58"/>
  <c r="AF689" i="58" s="1"/>
  <c r="AE737" i="58"/>
  <c r="AF737" i="58" s="1"/>
  <c r="AE785" i="58"/>
  <c r="AF785" i="58" s="1"/>
  <c r="AE514" i="58"/>
  <c r="AF514" i="58" s="1"/>
  <c r="AE562" i="58"/>
  <c r="AF562" i="58" s="1"/>
  <c r="AE479" i="58"/>
  <c r="AF479" i="58" s="1"/>
  <c r="AE378" i="58"/>
  <c r="AF378" i="58" s="1"/>
  <c r="AE426" i="58"/>
  <c r="AF426" i="58" s="1"/>
  <c r="AE474" i="58"/>
  <c r="AF474" i="58" s="1"/>
  <c r="AE635" i="58"/>
  <c r="AF635" i="58" s="1"/>
  <c r="AE659" i="58"/>
  <c r="AF659" i="58" s="1"/>
  <c r="AE683" i="58"/>
  <c r="AF683" i="58" s="1"/>
  <c r="AE707" i="58"/>
  <c r="AF707" i="58" s="1"/>
  <c r="AE731" i="58"/>
  <c r="AF731" i="58" s="1"/>
  <c r="AE755" i="58"/>
  <c r="AF755" i="58" s="1"/>
  <c r="AE779" i="58"/>
  <c r="AF779" i="58" s="1"/>
  <c r="AE803" i="58"/>
  <c r="AF803" i="58" s="1"/>
  <c r="AE827" i="58"/>
  <c r="AF827" i="58" s="1"/>
  <c r="AE851" i="58"/>
  <c r="AF851" i="58" s="1"/>
  <c r="AE841" i="58"/>
  <c r="AF841" i="58" s="1"/>
  <c r="AE52" i="58"/>
  <c r="AF52" i="58" s="1"/>
  <c r="AE124" i="58"/>
  <c r="AF124" i="58" s="1"/>
  <c r="AE172" i="58"/>
  <c r="AF172" i="58" s="1"/>
  <c r="AE23" i="58"/>
  <c r="AF23" i="58" s="1"/>
  <c r="AE21" i="58"/>
  <c r="AF21" i="58" s="1"/>
  <c r="AE109" i="58"/>
  <c r="AF109" i="58" s="1"/>
  <c r="AE157" i="58"/>
  <c r="AF157" i="58" s="1"/>
  <c r="AE593" i="58"/>
  <c r="AF593" i="58" s="1"/>
  <c r="AE155" i="58"/>
  <c r="AF155" i="58" s="1"/>
  <c r="AE536" i="58"/>
  <c r="AF536" i="58" s="1"/>
  <c r="AE592" i="58"/>
  <c r="AF592" i="58" s="1"/>
  <c r="AE527" i="58"/>
  <c r="AF527" i="58" s="1"/>
  <c r="AE209" i="58"/>
  <c r="AF209" i="58" s="1"/>
  <c r="AE257" i="58"/>
  <c r="AF257" i="58" s="1"/>
  <c r="AE305" i="58"/>
  <c r="AF305" i="58" s="1"/>
  <c r="AE353" i="58"/>
  <c r="AF353" i="58" s="1"/>
  <c r="AE401" i="58"/>
  <c r="AF401" i="58" s="1"/>
  <c r="AE449" i="58"/>
  <c r="AF449" i="58" s="1"/>
  <c r="AE497" i="58"/>
  <c r="AF497" i="58" s="1"/>
  <c r="AE545" i="58"/>
  <c r="AF545" i="58" s="1"/>
  <c r="AE402" i="58"/>
  <c r="AF402" i="58" s="1"/>
  <c r="AE466" i="58"/>
  <c r="AF466" i="58" s="1"/>
  <c r="AE7" i="58"/>
  <c r="AF7" i="58" s="1"/>
  <c r="AE163" i="58"/>
  <c r="AF163" i="58" s="1"/>
  <c r="AE267" i="58"/>
  <c r="AF267" i="58" s="1"/>
  <c r="AE195" i="58"/>
  <c r="AF195" i="58" s="1"/>
  <c r="AE627" i="58"/>
  <c r="AF627" i="58" s="1"/>
  <c r="AE639" i="58"/>
  <c r="AF639" i="58" s="1"/>
  <c r="AE663" i="58"/>
  <c r="AF663" i="58" s="1"/>
  <c r="AE687" i="58"/>
  <c r="AF687" i="58" s="1"/>
  <c r="AE711" i="58"/>
  <c r="AF711" i="58" s="1"/>
  <c r="AE735" i="58"/>
  <c r="AF735" i="58" s="1"/>
  <c r="AE759" i="58"/>
  <c r="AF759" i="58" s="1"/>
  <c r="AE783" i="58"/>
  <c r="AF783" i="58" s="1"/>
  <c r="AE807" i="58"/>
  <c r="AF807" i="58" s="1"/>
  <c r="AE831" i="58"/>
  <c r="AF831" i="58" s="1"/>
  <c r="AE855" i="58"/>
  <c r="AF855" i="58" s="1"/>
  <c r="AE581" i="58"/>
  <c r="AF581" i="58" s="1"/>
  <c r="AE821" i="58"/>
  <c r="AF821" i="58" s="1"/>
  <c r="AE845" i="58"/>
  <c r="AF845" i="58" s="1"/>
  <c r="AE103" i="58"/>
  <c r="AF103" i="58" s="1"/>
  <c r="AE90" i="58"/>
  <c r="AF90" i="58" s="1"/>
  <c r="AE138" i="58"/>
  <c r="AF138" i="58" s="1"/>
  <c r="AE186" i="58"/>
  <c r="AF186" i="58" s="1"/>
  <c r="AE238" i="58"/>
  <c r="AF238" i="58" s="1"/>
  <c r="AE294" i="58"/>
  <c r="AF294" i="58" s="1"/>
  <c r="AE634" i="58"/>
  <c r="AF634" i="58" s="1"/>
  <c r="AE682" i="58"/>
  <c r="AF682" i="58" s="1"/>
  <c r="AE730" i="58"/>
  <c r="AF730" i="58" s="1"/>
  <c r="AE778" i="58"/>
  <c r="AF778" i="58" s="1"/>
  <c r="AE826" i="58"/>
  <c r="AF826" i="58" s="1"/>
  <c r="AE179" i="58"/>
  <c r="AF179" i="58" s="1"/>
  <c r="AE287" i="58"/>
  <c r="AF287" i="58" s="1"/>
  <c r="AE362" i="58"/>
  <c r="AF362" i="58" s="1"/>
  <c r="AE410" i="58"/>
  <c r="AF410" i="58" s="1"/>
  <c r="AE602" i="58"/>
  <c r="AF602" i="58" s="1"/>
  <c r="AE859" i="58"/>
  <c r="AF859" i="58" s="1"/>
  <c r="AE643" i="58"/>
  <c r="AF643" i="58" s="1"/>
  <c r="AE667" i="58"/>
  <c r="AF667" i="58" s="1"/>
  <c r="AE691" i="58"/>
  <c r="AF691" i="58" s="1"/>
  <c r="AE715" i="58"/>
  <c r="AF715" i="58" s="1"/>
  <c r="AE739" i="58"/>
  <c r="AF739" i="58" s="1"/>
  <c r="AE763" i="58"/>
  <c r="AF763" i="58" s="1"/>
  <c r="AE787" i="58"/>
  <c r="AF787" i="58" s="1"/>
  <c r="AE811" i="58"/>
  <c r="AF811" i="58" s="1"/>
  <c r="AE835" i="58"/>
  <c r="AF835" i="58" s="1"/>
  <c r="AE825" i="58"/>
  <c r="AF825" i="58" s="1"/>
  <c r="AE849" i="58"/>
  <c r="AF849" i="58" s="1"/>
  <c r="AE188" i="58"/>
  <c r="AF188" i="58" s="1"/>
  <c r="AE236" i="58"/>
  <c r="AF236" i="58" s="1"/>
  <c r="AE284" i="58"/>
  <c r="AF284" i="58" s="1"/>
  <c r="AE332" i="58"/>
  <c r="AF332" i="58" s="1"/>
  <c r="AE380" i="58"/>
  <c r="AF380" i="58" s="1"/>
  <c r="AE428" i="58"/>
  <c r="AF428" i="58" s="1"/>
  <c r="AE476" i="58"/>
  <c r="AF476" i="58" s="1"/>
  <c r="AE548" i="58"/>
  <c r="AF548" i="58" s="1"/>
  <c r="AE616" i="58"/>
  <c r="AF616" i="58" s="1"/>
  <c r="AE664" i="58"/>
  <c r="AF664" i="58" s="1"/>
  <c r="AE712" i="58"/>
  <c r="AF712" i="58" s="1"/>
  <c r="AE760" i="58"/>
  <c r="AF760" i="58" s="1"/>
  <c r="AE808" i="58"/>
  <c r="AF808" i="58" s="1"/>
  <c r="AE856" i="58"/>
  <c r="AF856" i="58" s="1"/>
  <c r="AE431" i="58"/>
  <c r="AF431" i="58" s="1"/>
  <c r="AE418" i="58"/>
  <c r="AF418" i="58" s="1"/>
  <c r="AE187" i="58"/>
  <c r="AF187" i="58" s="1"/>
  <c r="AE504" i="58"/>
  <c r="AF504" i="58" s="1"/>
  <c r="AE552" i="58"/>
  <c r="AF552" i="58" s="1"/>
  <c r="AE127" i="58"/>
  <c r="AF127" i="58" s="1"/>
  <c r="AE617" i="58"/>
  <c r="AF617" i="58" s="1"/>
  <c r="AE665" i="58"/>
  <c r="AF665" i="58" s="1"/>
  <c r="AE713" i="58"/>
  <c r="AF713" i="58" s="1"/>
  <c r="AE761" i="58"/>
  <c r="AF761" i="58" s="1"/>
  <c r="AE198" i="58"/>
  <c r="AF198" i="58" s="1"/>
  <c r="AE246" i="58"/>
  <c r="AF246" i="58" s="1"/>
  <c r="AE302" i="58"/>
  <c r="AF302" i="58" s="1"/>
  <c r="AE422" i="58"/>
  <c r="AF422" i="58" s="1"/>
  <c r="AE538" i="58"/>
  <c r="AF538" i="58" s="1"/>
  <c r="AE590" i="58"/>
  <c r="AF590" i="58" s="1"/>
  <c r="AE91" i="58"/>
  <c r="AF91" i="58" s="1"/>
  <c r="AE551" i="58"/>
  <c r="AF551" i="58" s="1"/>
  <c r="AE611" i="58"/>
  <c r="AF611" i="58" s="1"/>
  <c r="AE254" i="58"/>
  <c r="AF254" i="58" s="1"/>
  <c r="AE647" i="58"/>
  <c r="AF647" i="58" s="1"/>
  <c r="AE671" i="58"/>
  <c r="AF671" i="58" s="1"/>
  <c r="AE695" i="58"/>
  <c r="AF695" i="58" s="1"/>
  <c r="AE719" i="58"/>
  <c r="AF719" i="58" s="1"/>
  <c r="AE743" i="58"/>
  <c r="AF743" i="58" s="1"/>
  <c r="AE767" i="58"/>
  <c r="AF767" i="58" s="1"/>
  <c r="AE791" i="58"/>
  <c r="AF791" i="58" s="1"/>
  <c r="AE815" i="58"/>
  <c r="AF815" i="58" s="1"/>
  <c r="AE839" i="58"/>
  <c r="AF839" i="58" s="1"/>
  <c r="AE829" i="58"/>
  <c r="AF829" i="58" s="1"/>
  <c r="AE853" i="58"/>
  <c r="AF853" i="58" s="1"/>
  <c r="O39" i="58"/>
  <c r="P39" i="58"/>
  <c r="O55" i="58"/>
  <c r="P55" i="58"/>
  <c r="O79" i="58"/>
  <c r="P79" i="58"/>
  <c r="O4" i="58"/>
  <c r="P4" i="58"/>
  <c r="O36" i="58"/>
  <c r="P36" i="58"/>
  <c r="O68" i="58"/>
  <c r="P68" i="58"/>
  <c r="O88" i="58"/>
  <c r="P88" i="58"/>
  <c r="O37" i="58"/>
  <c r="P37" i="58"/>
  <c r="O65" i="58"/>
  <c r="P65" i="58"/>
  <c r="O6" i="58"/>
  <c r="P6" i="58"/>
  <c r="O26" i="58"/>
  <c r="P26" i="58"/>
  <c r="O46" i="58"/>
  <c r="P46" i="58"/>
  <c r="O66" i="58"/>
  <c r="P66" i="58"/>
  <c r="O86" i="58"/>
  <c r="P86" i="58"/>
  <c r="O43" i="58"/>
  <c r="P43" i="58"/>
  <c r="O59" i="58"/>
  <c r="P59" i="58"/>
  <c r="O83" i="58"/>
  <c r="P83" i="58"/>
  <c r="O8" i="58"/>
  <c r="P8" i="58"/>
  <c r="O44" i="58"/>
  <c r="P44" i="58"/>
  <c r="O72" i="58"/>
  <c r="P72" i="58"/>
  <c r="O5" i="58"/>
  <c r="P5" i="58"/>
  <c r="O53" i="58"/>
  <c r="P53" i="58"/>
  <c r="O69" i="58"/>
  <c r="P69" i="58"/>
  <c r="O14" i="58"/>
  <c r="P14" i="58"/>
  <c r="O34" i="58"/>
  <c r="P34" i="58"/>
  <c r="O54" i="58"/>
  <c r="P54" i="58"/>
  <c r="O74" i="58"/>
  <c r="P74" i="58"/>
  <c r="O31" i="58"/>
  <c r="P31" i="58"/>
  <c r="O47" i="58"/>
  <c r="P47" i="58"/>
  <c r="O71" i="58"/>
  <c r="P71" i="58"/>
  <c r="O87" i="58"/>
  <c r="P87" i="58"/>
  <c r="O28" i="58"/>
  <c r="P28" i="58"/>
  <c r="O48" i="58"/>
  <c r="P48" i="58"/>
  <c r="O76" i="58"/>
  <c r="P76" i="58"/>
  <c r="O29" i="58"/>
  <c r="P29" i="58"/>
  <c r="O57" i="58"/>
  <c r="P57" i="58"/>
  <c r="O73" i="58"/>
  <c r="P73" i="58"/>
  <c r="O18" i="58"/>
  <c r="P18" i="58"/>
  <c r="O38" i="58"/>
  <c r="P38" i="58"/>
  <c r="O58" i="58"/>
  <c r="P58" i="58"/>
  <c r="O78" i="58"/>
  <c r="P78" i="58"/>
  <c r="O35" i="58"/>
  <c r="P35" i="58"/>
  <c r="O51" i="58"/>
  <c r="P51" i="58"/>
  <c r="O75" i="58"/>
  <c r="P75" i="58"/>
  <c r="O32" i="58"/>
  <c r="P32" i="58"/>
  <c r="O64" i="58"/>
  <c r="P64" i="58"/>
  <c r="O84" i="58"/>
  <c r="P84" i="58"/>
  <c r="O33" i="58"/>
  <c r="P33" i="58"/>
  <c r="O61" i="58"/>
  <c r="P61" i="58"/>
  <c r="O77" i="58"/>
  <c r="P77" i="58"/>
  <c r="O22" i="58"/>
  <c r="P22" i="58"/>
  <c r="O42" i="58"/>
  <c r="P42" i="58"/>
  <c r="O62" i="58"/>
  <c r="P62" i="58"/>
  <c r="O82" i="58"/>
  <c r="P82" i="58"/>
  <c r="O3" i="58"/>
  <c r="P3" i="58"/>
  <c r="N43" i="58"/>
  <c r="N59" i="58"/>
  <c r="N44" i="58"/>
  <c r="N53" i="58"/>
  <c r="N47" i="58"/>
  <c r="N71" i="58"/>
  <c r="N87" i="58"/>
  <c r="N48" i="58"/>
  <c r="N76" i="58"/>
  <c r="N57" i="58"/>
  <c r="N73" i="58"/>
  <c r="N58" i="58"/>
  <c r="N78" i="58"/>
  <c r="N72" i="58"/>
  <c r="N69" i="58"/>
  <c r="N74" i="58"/>
  <c r="N51" i="58"/>
  <c r="N75" i="58"/>
  <c r="N64" i="58"/>
  <c r="N84" i="58"/>
  <c r="N61" i="58"/>
  <c r="N77" i="58"/>
  <c r="N42" i="58"/>
  <c r="N62" i="58"/>
  <c r="N82" i="58"/>
  <c r="N83" i="58"/>
  <c r="N54" i="58"/>
  <c r="N55" i="58"/>
  <c r="N79" i="58"/>
  <c r="N68" i="58"/>
  <c r="N88" i="58"/>
  <c r="N65" i="58"/>
  <c r="N46" i="58"/>
  <c r="N66" i="58"/>
  <c r="N86" i="58"/>
  <c r="N39" i="58"/>
  <c r="N4" i="58"/>
  <c r="N36" i="58"/>
  <c r="N37" i="58"/>
  <c r="N6" i="58"/>
  <c r="N26" i="58"/>
  <c r="N8" i="58"/>
  <c r="N5" i="58"/>
  <c r="N14" i="58"/>
  <c r="N34" i="58"/>
  <c r="N31" i="58"/>
  <c r="N28" i="58"/>
  <c r="N29" i="58"/>
  <c r="N18" i="58"/>
  <c r="N38" i="58"/>
  <c r="N35" i="58"/>
  <c r="N32" i="58"/>
  <c r="N33" i="58"/>
  <c r="N22" i="58"/>
  <c r="N3" i="58"/>
  <c r="X58" i="58"/>
  <c r="X66" i="58"/>
  <c r="X74" i="58"/>
  <c r="X82" i="58"/>
  <c r="X55" i="58"/>
  <c r="X63" i="58"/>
  <c r="X71" i="58"/>
  <c r="X79" i="58"/>
  <c r="X87" i="58"/>
  <c r="X5" i="58"/>
  <c r="X21" i="58"/>
  <c r="X45" i="58"/>
  <c r="X61" i="58"/>
  <c r="X69" i="58"/>
  <c r="X85" i="58"/>
  <c r="X14" i="58"/>
  <c r="X11" i="58"/>
  <c r="X19" i="58"/>
  <c r="X35" i="58"/>
  <c r="X4" i="58"/>
  <c r="X28" i="58"/>
  <c r="X36" i="58"/>
  <c r="X44" i="58"/>
  <c r="X52" i="58"/>
  <c r="X68" i="58"/>
  <c r="X76" i="58"/>
  <c r="Y9" i="58"/>
  <c r="Y17" i="58"/>
  <c r="Y25" i="58"/>
  <c r="Y33" i="58"/>
  <c r="Y41" i="58"/>
  <c r="Y49" i="58"/>
  <c r="Y57" i="58"/>
  <c r="Y65" i="58"/>
  <c r="Y73" i="58"/>
  <c r="Y81" i="58"/>
  <c r="Y89" i="58"/>
  <c r="Y18" i="58"/>
  <c r="Y26" i="58"/>
  <c r="Y34" i="58"/>
  <c r="Y42" i="58"/>
  <c r="Y7" i="58"/>
  <c r="Y15" i="58"/>
  <c r="Y23" i="58"/>
  <c r="Y31" i="58"/>
  <c r="Y39" i="58"/>
  <c r="Y47" i="58"/>
  <c r="Y8" i="58"/>
  <c r="Y16" i="58"/>
  <c r="Y24" i="58"/>
  <c r="Y32" i="58"/>
  <c r="Y48" i="58"/>
  <c r="Y56" i="58"/>
  <c r="Y64" i="58"/>
  <c r="Y72" i="58"/>
  <c r="Y88" i="58"/>
  <c r="Y54" i="58"/>
  <c r="Y62" i="58"/>
  <c r="Y78" i="58"/>
  <c r="Y86" i="58"/>
  <c r="Y51" i="58"/>
  <c r="Y59" i="58"/>
  <c r="Y67" i="58"/>
  <c r="Y75" i="58"/>
  <c r="Y83" i="58"/>
  <c r="Y3" i="58"/>
  <c r="X9" i="58"/>
  <c r="X17" i="58"/>
  <c r="X25" i="58"/>
  <c r="X33" i="58"/>
  <c r="X41" i="58"/>
  <c r="X49" i="58"/>
  <c r="X57" i="58"/>
  <c r="X65" i="58"/>
  <c r="X73" i="58"/>
  <c r="X81" i="58"/>
  <c r="X89" i="58"/>
  <c r="X18" i="58"/>
  <c r="X26" i="58"/>
  <c r="X34" i="58"/>
  <c r="X42" i="58"/>
  <c r="X7" i="58"/>
  <c r="X15" i="58"/>
  <c r="X23" i="58"/>
  <c r="X31" i="58"/>
  <c r="X39" i="58"/>
  <c r="X47" i="58"/>
  <c r="X8" i="58"/>
  <c r="X16" i="58"/>
  <c r="X24" i="58"/>
  <c r="X32" i="58"/>
  <c r="X48" i="58"/>
  <c r="X56" i="58"/>
  <c r="X64" i="58"/>
  <c r="X72" i="58"/>
  <c r="X88" i="58"/>
  <c r="X54" i="58"/>
  <c r="X62" i="58"/>
  <c r="X78" i="58"/>
  <c r="X86" i="58"/>
  <c r="X51" i="58"/>
  <c r="X59" i="58"/>
  <c r="X67" i="58"/>
  <c r="X75" i="58"/>
  <c r="X83" i="58"/>
  <c r="X13" i="58"/>
  <c r="X29" i="58"/>
  <c r="X37" i="58"/>
  <c r="X53" i="58"/>
  <c r="X77" i="58"/>
  <c r="X6" i="58"/>
  <c r="X22" i="58"/>
  <c r="X38" i="58"/>
  <c r="X46" i="58"/>
  <c r="X27" i="58"/>
  <c r="X43" i="58"/>
  <c r="X12" i="58"/>
  <c r="X84" i="58"/>
  <c r="Y5" i="58"/>
  <c r="Y13" i="58"/>
  <c r="Y21" i="58"/>
  <c r="Y29" i="58"/>
  <c r="Y37" i="58"/>
  <c r="Y45" i="58"/>
  <c r="Y53" i="58"/>
  <c r="Y61" i="58"/>
  <c r="Y69" i="58"/>
  <c r="Y77" i="58"/>
  <c r="Y85" i="58"/>
  <c r="Y6" i="58"/>
  <c r="Y14" i="58"/>
  <c r="Y22" i="58"/>
  <c r="Y38" i="58"/>
  <c r="Y46" i="58"/>
  <c r="Y11" i="58"/>
  <c r="Y19" i="58"/>
  <c r="Y27" i="58"/>
  <c r="Y35" i="58"/>
  <c r="Y43" i="58"/>
  <c r="Y4" i="58"/>
  <c r="Y12" i="58"/>
  <c r="Y28" i="58"/>
  <c r="Y36" i="58"/>
  <c r="Y44" i="58"/>
  <c r="Y52" i="58"/>
  <c r="Y68" i="58"/>
  <c r="Y76" i="58"/>
  <c r="Y84" i="58"/>
  <c r="Y58" i="58"/>
  <c r="Y66" i="58"/>
  <c r="Y74" i="58"/>
  <c r="Y82" i="58"/>
  <c r="Y55" i="58"/>
  <c r="Y63" i="58"/>
  <c r="Y71" i="58"/>
  <c r="Y79" i="58"/>
  <c r="Y87" i="58"/>
  <c r="AE46" i="58" l="1"/>
  <c r="AF46" i="58" s="1"/>
  <c r="AE5" i="58"/>
  <c r="AF5" i="58" s="1"/>
  <c r="AE65" i="58"/>
  <c r="AF65" i="58" s="1"/>
  <c r="AE48" i="58"/>
  <c r="AF48" i="58" s="1"/>
  <c r="AE42" i="58"/>
  <c r="AF42" i="58" s="1"/>
  <c r="AE31" i="58"/>
  <c r="AF31" i="58" s="1"/>
  <c r="AE76" i="58"/>
  <c r="AF76" i="58" s="1"/>
  <c r="AE64" i="58"/>
  <c r="AF64" i="58" s="1"/>
  <c r="AE79" i="58"/>
  <c r="AF79" i="58" s="1"/>
  <c r="AE32" i="58"/>
  <c r="AF32" i="58" s="1"/>
  <c r="AE6" i="58"/>
  <c r="AF6" i="58" s="1"/>
  <c r="AE74" i="58"/>
  <c r="AF74" i="58" s="1"/>
  <c r="AE29" i="58"/>
  <c r="AF29" i="58" s="1"/>
  <c r="AE62" i="58"/>
  <c r="AF62" i="58" s="1"/>
  <c r="AE58" i="58"/>
  <c r="AF58" i="58" s="1"/>
  <c r="AE84" i="58"/>
  <c r="AF84" i="58" s="1"/>
  <c r="AE14" i="58"/>
  <c r="AF14" i="58" s="1"/>
  <c r="AE53" i="58"/>
  <c r="AF53" i="58" s="1"/>
  <c r="AE18" i="58"/>
  <c r="AF18" i="58" s="1"/>
  <c r="AE82" i="58"/>
  <c r="AF82" i="58" s="1"/>
  <c r="AE78" i="58"/>
  <c r="AF78" i="58" s="1"/>
  <c r="AE43" i="58"/>
  <c r="AF43" i="58" s="1"/>
  <c r="AE28" i="58"/>
  <c r="AF28" i="58" s="1"/>
  <c r="AE86" i="58"/>
  <c r="AF86" i="58" s="1"/>
  <c r="AE73" i="58"/>
  <c r="AF73" i="58" s="1"/>
  <c r="AE39" i="58"/>
  <c r="AF39" i="58" s="1"/>
  <c r="AE66" i="58"/>
  <c r="AF66" i="58" s="1"/>
  <c r="AE77" i="58"/>
  <c r="AF77" i="58" s="1"/>
  <c r="AE57" i="58"/>
  <c r="AF57" i="58" s="1"/>
  <c r="AE34" i="58"/>
  <c r="AF34" i="58" s="1"/>
  <c r="AE61" i="58"/>
  <c r="AF61" i="58" s="1"/>
  <c r="AE3" i="58"/>
  <c r="AF3" i="58" s="1"/>
  <c r="AE88" i="58"/>
  <c r="AF88" i="58" s="1"/>
  <c r="AE87" i="58"/>
  <c r="AF87" i="58" s="1"/>
  <c r="AE22" i="58"/>
  <c r="AF22" i="58" s="1"/>
  <c r="AE8" i="58"/>
  <c r="AF8" i="58" s="1"/>
  <c r="AE68" i="58"/>
  <c r="AF68" i="58" s="1"/>
  <c r="AE75" i="58"/>
  <c r="AF75" i="58" s="1"/>
  <c r="AE71" i="58"/>
  <c r="AF71" i="58" s="1"/>
  <c r="AE33" i="58"/>
  <c r="AF33" i="58" s="1"/>
  <c r="AE26" i="58"/>
  <c r="AF26" i="58" s="1"/>
  <c r="AE51" i="58"/>
  <c r="AF51" i="58" s="1"/>
  <c r="AE47" i="58"/>
  <c r="AF47" i="58" s="1"/>
  <c r="AE55" i="58"/>
  <c r="AF55" i="58" s="1"/>
  <c r="AE35" i="58"/>
  <c r="AF35" i="58" s="1"/>
  <c r="AE37" i="58"/>
  <c r="AF37" i="58" s="1"/>
  <c r="AE54" i="58"/>
  <c r="AF54" i="58" s="1"/>
  <c r="AE69" i="58"/>
  <c r="AF69" i="58" s="1"/>
  <c r="AE44" i="58"/>
  <c r="AF44" i="58" s="1"/>
  <c r="AE38" i="58"/>
  <c r="AF38" i="58" s="1"/>
  <c r="AE36" i="58"/>
  <c r="AF36" i="58" s="1"/>
  <c r="AE83" i="58"/>
  <c r="AF83" i="58" s="1"/>
  <c r="AE72" i="58"/>
  <c r="AF72" i="58" s="1"/>
  <c r="AE59" i="58"/>
  <c r="AF59" i="58" s="1"/>
  <c r="AE4" i="58"/>
  <c r="AF4" i="58" s="1"/>
  <c r="AF2" i="58" l="1"/>
</calcChain>
</file>

<file path=xl/sharedStrings.xml><?xml version="1.0" encoding="utf-8"?>
<sst xmlns="http://schemas.openxmlformats.org/spreadsheetml/2006/main" count="5790" uniqueCount="384">
  <si>
    <t>русского языка</t>
  </si>
  <si>
    <t>экономической теории и экономического образования</t>
  </si>
  <si>
    <t>Кафедра</t>
  </si>
  <si>
    <t>ФИО</t>
  </si>
  <si>
    <t>Степень</t>
  </si>
  <si>
    <t>Должность</t>
  </si>
  <si>
    <t>Ставка</t>
  </si>
  <si>
    <t>Код УП</t>
  </si>
  <si>
    <t>Код РУП</t>
  </si>
  <si>
    <t>Дисциплина / практика / ВКР / ГИА</t>
  </si>
  <si>
    <t>Лекции</t>
  </si>
  <si>
    <t>Практ.</t>
  </si>
  <si>
    <t>Лаб.р.</t>
  </si>
  <si>
    <t>Контроль</t>
  </si>
  <si>
    <t>Практики</t>
  </si>
  <si>
    <t>Специальность</t>
  </si>
  <si>
    <t>Часы</t>
  </si>
  <si>
    <t>Рук-во</t>
  </si>
  <si>
    <t>Студ.</t>
  </si>
  <si>
    <t>Вид нагрузки</t>
  </si>
  <si>
    <t>нет</t>
  </si>
  <si>
    <t>старший преподаватель</t>
  </si>
  <si>
    <t>осн</t>
  </si>
  <si>
    <t>профессор</t>
  </si>
  <si>
    <t>кандидат исторических наук</t>
  </si>
  <si>
    <t>доцент</t>
  </si>
  <si>
    <t>кандидат педагогических наук</t>
  </si>
  <si>
    <t>кандидат филологических наук</t>
  </si>
  <si>
    <t>доктор педагогических наук</t>
  </si>
  <si>
    <t>Год нагрузки</t>
  </si>
  <si>
    <t>кандидат физ.-мат. наук</t>
  </si>
  <si>
    <t>компьютерной инженерии и программотехники</t>
  </si>
  <si>
    <t>Матюшичев Илья Юрьевич</t>
  </si>
  <si>
    <t>кандидат технических наук</t>
  </si>
  <si>
    <t>Швецкий Михаил Владимирович</t>
  </si>
  <si>
    <t>компьютерных технологий и электронного обучения</t>
  </si>
  <si>
    <t>Гончарова Светлана Викторовна</t>
  </si>
  <si>
    <t>Информатика</t>
  </si>
  <si>
    <t>современных европейских языков</t>
  </si>
  <si>
    <t>Василькова Ирина Генриховна</t>
  </si>
  <si>
    <t>Иностранный язык</t>
  </si>
  <si>
    <t>Тарамжина Людмила Витольдовна</t>
  </si>
  <si>
    <t>социальной безопасности</t>
  </si>
  <si>
    <t>Абдуллаева Любовь Магомедовна</t>
  </si>
  <si>
    <t>Экология</t>
  </si>
  <si>
    <t>физического воспитания и спортивно-массовой работы</t>
  </si>
  <si>
    <t>Физическая культура и спорт</t>
  </si>
  <si>
    <t>Физическая культура и спорт (элективная дисциплина)</t>
  </si>
  <si>
    <t>физической электроники</t>
  </si>
  <si>
    <t>Лужков Александр Альбертович</t>
  </si>
  <si>
    <t>Информационные технологии</t>
  </si>
  <si>
    <t>Физика</t>
  </si>
  <si>
    <t>Бендюкова Татьяна Савельевна</t>
  </si>
  <si>
    <t>Экономика</t>
  </si>
  <si>
    <t>Операционные системы</t>
  </si>
  <si>
    <t>доктор физ.-мат. наук</t>
  </si>
  <si>
    <t>заведующий кафедрой</t>
  </si>
  <si>
    <t>Жаркой Александр Борисович</t>
  </si>
  <si>
    <t>Подготовка к государственной итоговой аттестации</t>
  </si>
  <si>
    <t>Кузнецова Надежда Леонидовна</t>
  </si>
  <si>
    <t>Порязь Надежда Вадимовна</t>
  </si>
  <si>
    <t>доп</t>
  </si>
  <si>
    <t>Хинич Иосиф Исаакович</t>
  </si>
  <si>
    <t>доктор технических наук</t>
  </si>
  <si>
    <t>алгебры</t>
  </si>
  <si>
    <t>Певзнер Игорь Михайлович</t>
  </si>
  <si>
    <t>Математика</t>
  </si>
  <si>
    <t>истории</t>
  </si>
  <si>
    <t>Кондаков Юрий Евгеньевич</t>
  </si>
  <si>
    <t>доктор исторических наук</t>
  </si>
  <si>
    <t>Абрамян Геннадий Владимирович</t>
  </si>
  <si>
    <t>Информационное обеспечение технологического образования. Применение Интернет-технологий в технологическом образовании</t>
  </si>
  <si>
    <t>Авксентьева Елена Юрьевна</t>
  </si>
  <si>
    <t>Ильина Татьяна Сергеевна</t>
  </si>
  <si>
    <t>медико-валеологических дисциплин</t>
  </si>
  <si>
    <t>Безопасность жизнедеятельности</t>
  </si>
  <si>
    <t>доктор медицинских наук</t>
  </si>
  <si>
    <t>производственных и дизайнерских технологий</t>
  </si>
  <si>
    <t>кандидат психологических наук</t>
  </si>
  <si>
    <t>Пентина Анна Юрьевна</t>
  </si>
  <si>
    <t>Хахалина Марина Сергеевна</t>
  </si>
  <si>
    <t>кандидат химических наук</t>
  </si>
  <si>
    <t>ассистент</t>
  </si>
  <si>
    <t>Есипова Александра Анатольевна</t>
  </si>
  <si>
    <t>Жукова Татьяна Викторовна</t>
  </si>
  <si>
    <t>Иванов Георгий Владимирович</t>
  </si>
  <si>
    <t>философии</t>
  </si>
  <si>
    <t>кандидат философских наук</t>
  </si>
  <si>
    <t>Философия</t>
  </si>
  <si>
    <t>Рудаков Леонид Ильич</t>
  </si>
  <si>
    <t>доктор философских наук</t>
  </si>
  <si>
    <t>кандидат экономических наук</t>
  </si>
  <si>
    <t>Тихонова Анастасия Михайловна</t>
  </si>
  <si>
    <t>Готская Ирина Борисовна</t>
  </si>
  <si>
    <t>Информационное обеспечение технологического образования. Применение электронных образовательных ресурсов в технологическом образовании</t>
  </si>
  <si>
    <t>кандидат социологических наук</t>
  </si>
  <si>
    <t>Васютина Ирина Павловна</t>
  </si>
  <si>
    <t>Пальтиель Лев Романович</t>
  </si>
  <si>
    <t>Маслов Вадим Владимирович</t>
  </si>
  <si>
    <t>Информационное обеспечение технологического образования. Информационное обеспечение инновационной технологической деятельности</t>
  </si>
  <si>
    <t>Васильев Сергей Васильевич</t>
  </si>
  <si>
    <t>Информационное обеспечение технологического образования. Информационное обеспечение технического и декоративно-прикладного творчества учащихся</t>
  </si>
  <si>
    <t>Смирнов Александр Михайлович</t>
  </si>
  <si>
    <t>теории права и гражданско-правового образования</t>
  </si>
  <si>
    <t>Еремина Нелли Владимировна</t>
  </si>
  <si>
    <t>кандидат юридических наук</t>
  </si>
  <si>
    <t>Михайлов Александр Борисович</t>
  </si>
  <si>
    <t>математического анализа</t>
  </si>
  <si>
    <t>Косова Ирина Святославна</t>
  </si>
  <si>
    <t>Мультимедиа технологии и компьютерная графика</t>
  </si>
  <si>
    <t>Колдунов Андрей Витальевич</t>
  </si>
  <si>
    <t>Правоведение</t>
  </si>
  <si>
    <t>Лапина Ирина Александровна</t>
  </si>
  <si>
    <t>Полякова Наталия Александровна</t>
  </si>
  <si>
    <t>Гончарко Дмитрий Николаевич</t>
  </si>
  <si>
    <t>Аксютин Павел Александрович</t>
  </si>
  <si>
    <t>Власова Елена Зотиковна</t>
  </si>
  <si>
    <t>Карпова Наталья Александровна</t>
  </si>
  <si>
    <t>Богатова Елена Владимировна</t>
  </si>
  <si>
    <t>всеобщей истории</t>
  </si>
  <si>
    <t>Земляницин Владимир Александрович</t>
  </si>
  <si>
    <t>Райкова Вера Алексеевна</t>
  </si>
  <si>
    <t>Барченко Сергей Алексеевич</t>
  </si>
  <si>
    <t>Зюкин Анатолий Васильевич</t>
  </si>
  <si>
    <t>Базы данных</t>
  </si>
  <si>
    <t>Модуль "Технологии и методы вычислений". Информационные технологии в решении задач оптимизации</t>
  </si>
  <si>
    <t>Модуль "Технологии и методы вычислений"</t>
  </si>
  <si>
    <t>Модуль "Технологии и методы вычислений". Анализ данных</t>
  </si>
  <si>
    <t>Модуль "Технологии и методы вычислений". Вычислительная математика</t>
  </si>
  <si>
    <t>Модуль "Технологии и методы вычислений". Технологии компьютерного моделирования</t>
  </si>
  <si>
    <t>Государев Илья Борисович</t>
  </si>
  <si>
    <t>Модуль "Проектирование и разработка веб-решений "</t>
  </si>
  <si>
    <t>Модуль "Проектирование и разработка веб-решений ". Веб-проектирование и веб-дизайн</t>
  </si>
  <si>
    <t>Модуль "Проектирование и разработка веб-решений ". Компьютерный практикум</t>
  </si>
  <si>
    <t>Модуль "Проектирование и разработка веб-решений ". Разработка интерфейсов обогащенных веб-приложений</t>
  </si>
  <si>
    <t>Жуков Николай Николаевич</t>
  </si>
  <si>
    <t>Программирование</t>
  </si>
  <si>
    <t>Управление программными проектами</t>
  </si>
  <si>
    <t>Практический курс профессионально-ориентированного перевода</t>
  </si>
  <si>
    <t>Специальная лексика в сфере профессиональной коммуникации</t>
  </si>
  <si>
    <t>Серегин Павел Павлович</t>
  </si>
  <si>
    <t>Защита информации</t>
  </si>
  <si>
    <t>Инженерная и компьютерная графика</t>
  </si>
  <si>
    <t>Сети и телекоммуникации</t>
  </si>
  <si>
    <t>Модуль "Информационные технологии". Дисциплины и курсы по выбору. Прикладные информационные технологии</t>
  </si>
  <si>
    <t>Модуль "Информационные технологии". Основы корпоративного электронного обучения</t>
  </si>
  <si>
    <t>Модуль "Информационные технологии"</t>
  </si>
  <si>
    <t>Учебная практика. Информатика и вычислительная техника. Технологии разработки программного обеспечения</t>
  </si>
  <si>
    <t>Модуль "Информационные технологии". Техника и технологии представления и публикации информации</t>
  </si>
  <si>
    <t>Модуль "Информационные технологии". Интегрированные издательские системы и технологии</t>
  </si>
  <si>
    <t>Шалденкова Анна Владимировна</t>
  </si>
  <si>
    <t>Метрология стандартизация и сертификация</t>
  </si>
  <si>
    <t>Пантелеева Людмила Валентиновна</t>
  </si>
  <si>
    <t>Введение в языкознание</t>
  </si>
  <si>
    <t>Электротехника электроника и схемотехника</t>
  </si>
  <si>
    <t>геологии и геоэкологии</t>
  </si>
  <si>
    <t>Любимов Александр Владимирович</t>
  </si>
  <si>
    <t>доктор сельскохоз. наук</t>
  </si>
  <si>
    <t>Модуль "Информационные системы". Геоинформационные системы</t>
  </si>
  <si>
    <t>Модуль "Информационные системы"</t>
  </si>
  <si>
    <t>Модуль "Информационные системы". Теория информационных процессов и систем</t>
  </si>
  <si>
    <t>Модуль "Информационные ресурсы и средства профессиональной деятельности инженера". Дисциплины и курсы по выбору. Программная инженерия</t>
  </si>
  <si>
    <t>Модуль "Информационные ресурсы и средства профессиональной деятельности инженера". Информационные средства и технологии инженерных и научных расчетов</t>
  </si>
  <si>
    <t>Модуль "Информационные системы". Интеллектуальные системы</t>
  </si>
  <si>
    <t>Производственная практика (преддипломная). Информатика и вычислительная техника. Технологии разработки программного обеспечения</t>
  </si>
  <si>
    <t>Производственная практика (технологическая). Информатика и вычислительная техника. Технологии разработки программного обеспечения</t>
  </si>
  <si>
    <t>Модуль "Информационные ресурсы и средства профессиональной деятельности инженера"</t>
  </si>
  <si>
    <t>Модуль "Информационные ресурсы и средства профессиональной деятельности инженера". Организация электронной образовательной среды</t>
  </si>
  <si>
    <t>Модуль "Информационные ресурсы и средства профессиональной деятельности инженера". Учебно-технологический практикум</t>
  </si>
  <si>
    <t>Иванова Екатерина Алексеевна</t>
  </si>
  <si>
    <t>Модуль "Информационные ресурсы и средства профессиональной деятельности инженера". Инфографика</t>
  </si>
  <si>
    <t>Модуль "Информационные ресурсы и средства профессиональной деятельности инженера". Мировые информационные ресурсы и цифровые библиотеки</t>
  </si>
  <si>
    <t>Модуль "Информационные ресурсы и средства профессиональной деятельности инженера". Социальные и профессиональные вопросы информатики и ИТ</t>
  </si>
  <si>
    <t>Гасумянц Виталий Эдуардович</t>
  </si>
  <si>
    <t>Модуль "Физические основы ЭВМ"</t>
  </si>
  <si>
    <t>Модуль "Физические основы ЭВМ". Физические основы микроэлектроники</t>
  </si>
  <si>
    <t>Модуль "Физические основы ЭВМ". Введение в нанотехнологии</t>
  </si>
  <si>
    <t>Модуль "Дискретные структуры". Математическая логика и теория алгоритмов</t>
  </si>
  <si>
    <t>Модуль "Дискретные структуры". Модуль"Дискретные структуры"</t>
  </si>
  <si>
    <t>История России</t>
  </si>
  <si>
    <t>ЭВМ и периферийные устройства</t>
  </si>
  <si>
    <t>Модуль "Информационные технологии в математике и физике"</t>
  </si>
  <si>
    <t>Модуль "Информационные технологии в математике и физике". Информационные технологии в физике</t>
  </si>
  <si>
    <t>Модуль "Дискретные структуры". Дискретная математика для программистов</t>
  </si>
  <si>
    <t>Модуль "Дискретные структуры". Дисциплины и курсы по выбору. Алгоритмы и анализ сложности</t>
  </si>
  <si>
    <t>Модуль "Информационные технологии в математике и физике". Информационные технологии в математике</t>
  </si>
  <si>
    <t>Кужельная Оксана Владимировна</t>
  </si>
  <si>
    <t>Модуль "Дискретные структуры". Вероятность и статистика</t>
  </si>
  <si>
    <t>Разуваев Николай Викторович</t>
  </si>
  <si>
    <t>Общеуниверситетский курс по выбору №2. История общественных движений новейшего времени</t>
  </si>
  <si>
    <t>Атаян Ануш Михайловна</t>
  </si>
  <si>
    <t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t>
  </si>
  <si>
    <t>Метрология, стандартизация и сертификация</t>
  </si>
  <si>
    <t>Электротехника, электроника и схемотехника</t>
  </si>
  <si>
    <t>Модуль "Естественнонаучный". Информационные технологии</t>
  </si>
  <si>
    <t>Модуль "Коммуникативный". Русский язык и культура речи</t>
  </si>
  <si>
    <t>Модуль "Коммуникативный". Иностранный язык. Иностранный язык (английский)</t>
  </si>
  <si>
    <t>Модуль "Историко-философский". История</t>
  </si>
  <si>
    <t>Модуль "Здоровьесберегающий". Безопасность жизнедеятельности</t>
  </si>
  <si>
    <t>Модуль "Здоровьесберегающий". Физическая культура и спорт</t>
  </si>
  <si>
    <t>Модуль "Историко-философский". Философия</t>
  </si>
  <si>
    <t>Модуль "Технологический". Информационное обеспечение производственных процессов</t>
  </si>
  <si>
    <t>Модуль "Организация ЭВМ". ЭВМ и периферийные устройства</t>
  </si>
  <si>
    <t>Модуль "Естественно-математический". Информатика</t>
  </si>
  <si>
    <t>Модуль "Информационные технологии в математике и физике". Информационные технологии</t>
  </si>
  <si>
    <t>Модуль "Системное и прикладное программное обеспечение". Программирование</t>
  </si>
  <si>
    <t>Модуль "Естественно-математический". Математика</t>
  </si>
  <si>
    <t>Модуль "Дискретные структуры". Основы теории вероятности</t>
  </si>
  <si>
    <t>Модуль "Естественно-математический". Физика</t>
  </si>
  <si>
    <t>Модуль "Экономикo-правовой". Экономика</t>
  </si>
  <si>
    <t>Модуль "Системное и прикладное программное обеспечение". Операционные системы</t>
  </si>
  <si>
    <t>Модуль "Информационные технологии в управлении в IT-компании". Дисциплины и курсы по выбору. Основы бизнес-информатики</t>
  </si>
  <si>
    <t>Модуль "Естественно-математический". Математические основы компьютерной графики</t>
  </si>
  <si>
    <t>Модуль "Проектирование и разработка веб-решений ". Веб-проектирование и веб-языки</t>
  </si>
  <si>
    <t>Модуль "Проектирование и разработка веб-решений ". Дисциплины и курсы по выбору. Разработка интерфейсов обогощенных веб-приложений</t>
  </si>
  <si>
    <t>Модуль "Информационные технологии в математике и физике". Дисциплины и курсы по выбору. Основы компьютерной алгебры</t>
  </si>
  <si>
    <t>Модуль "Системное и прикладное программное обеспечение". Базы данных</t>
  </si>
  <si>
    <t>Модуль "Коммуникативный". Деловое общение</t>
  </si>
  <si>
    <t>Модуль "Введение в информационные технологии". Информационные технологии</t>
  </si>
  <si>
    <t>Модуль "Введение в информационные технологии". Информатика</t>
  </si>
  <si>
    <t>Левина Ирина Николаевна</t>
  </si>
  <si>
    <t>Модуль "Коммуникативный". Иностранный язык</t>
  </si>
  <si>
    <t>Модуль "Здоровьесберегающий". Экология</t>
  </si>
  <si>
    <t>Поспелов Михаил Владимирович</t>
  </si>
  <si>
    <t>Шангин Андрей Борисович</t>
  </si>
  <si>
    <t>Байгузева Александра Петровна</t>
  </si>
  <si>
    <t>Бочковская Виктория Леонидовна</t>
  </si>
  <si>
    <t>Пую Юлия Валерьевна</t>
  </si>
  <si>
    <t>Модуль "Профессиональная коммуникация". Информационные технологии в профессиональной деятельности</t>
  </si>
  <si>
    <t>Кудрявцева Наталья Фаддеевна</t>
  </si>
  <si>
    <t>Модуль "Профессиональная коммуникация". Иностранный язык в профессиональной коммуникации</t>
  </si>
  <si>
    <t>Модуль "Методология исследования в образовании". Методология и методы научного исследования</t>
  </si>
  <si>
    <t>Модуль "Методология исследования в образовании". Современные проблемы науки и образования</t>
  </si>
  <si>
    <t>Подготовка к защите и защита выпускной квалификационной работы. Педагогическое образование. Магистерская программа "Информационные технологии в образовании"</t>
  </si>
  <si>
    <t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"Информационные технологии в образовании"</t>
  </si>
  <si>
    <t>Научно-исследовательская работа. Педагогическое образование. Магистерская программа "Корпоративное электронное обучение"</t>
  </si>
  <si>
    <t>Модуль "Прикладные информационные технологии в образовательном процессе". Дисциплины и курсы по выбору. Визуализация и инфографика в обучении</t>
  </si>
  <si>
    <t>Модуль "Теория и практика корпоративного электронного обучения". Организация и модели корпоративного обучения</t>
  </si>
  <si>
    <t>Модуль "IT- инфраструктура образовательного учреждения". Web-технологии и web-проектирование</t>
  </si>
  <si>
    <t>Модуль "Инновационные методы и технологии корпоративного электронного обучения "</t>
  </si>
  <si>
    <t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t>
  </si>
  <si>
    <t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t>
  </si>
  <si>
    <t>Модуль "Инновационные методы и технологии корпоративного электронного обучения ". Мобильное корпоративное обучение</t>
  </si>
  <si>
    <t>Модуль "Прикладные информационные технологии в образовательном процессе"</t>
  </si>
  <si>
    <t>Модуль "Теория и практика корпоративного электронного обучения". Методы и инструменты корпоративного электронного обучения</t>
  </si>
  <si>
    <t>Модуль "IT- инфраструктура образовательного учреждения". Проектирование и разработка электронных образовательных ресурсов</t>
  </si>
  <si>
    <t>Модуль "IT- инфраструктура образовательного учреждения". Управление IT- проектами для корпоративного обучения</t>
  </si>
  <si>
    <t>Модуль "Прикладные информационные технологии в образовательном процессе". E-learning решения управления знаниями в образовательных учреждениях</t>
  </si>
  <si>
    <t>Модуль "Прикладные информационные технологии в образовательном процессе". Техника и технологии представления и публикации информации</t>
  </si>
  <si>
    <t>Модуль "IT-решения и инструменты в образовании". Дисциплины и курсы по выбору. Анализ данных в педагогических исследованиях</t>
  </si>
  <si>
    <t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t>
  </si>
  <si>
    <t>Производственная практика (преддипломная). Педагогическое образование. Магистерская программа "Корпоративное электронное обучение"</t>
  </si>
  <si>
    <t>Модуль "SMART-обучение". Инженерия знаний</t>
  </si>
  <si>
    <t>Модуль "IT-решения и инструменты в образовании". Дисциплины и курсы по выбору. Электронный документооборот образовательного учреждения</t>
  </si>
  <si>
    <t>Модуль "SMART-обучение"</t>
  </si>
  <si>
    <t>Модуль "Интеллектуальные информационные технологии в образовании". Дистанционные образовательные технологии</t>
  </si>
  <si>
    <t>Модуль "SMART-обучение". Дисциплины и курсы по выбору. Методология и технологии SMART-обучения</t>
  </si>
  <si>
    <t>Модуль "Интеллектуальные информационные технологии в образовании". Информационные технологии в изучении иностранных языков</t>
  </si>
  <si>
    <t>Модуль "IT- инфраструктура образовательного учреждения". Дисциплины и курсы по выбору. Инжиниринг и реинжиниринг образовательного процесса</t>
  </si>
  <si>
    <t>Модуль "Теория и практика корпоративного электронного обучения". Менеджмент качества корпоративного электронного обучения</t>
  </si>
  <si>
    <t>Модуль "Интеллектуальные информационные технологии в образовании". E-learning решения управления знаниями</t>
  </si>
  <si>
    <t>Модуль "IT-решения и инструменты в образовании". Дисциплины и курсы по выбору. Прикладные информационные технологии</t>
  </si>
  <si>
    <t>Ерошкина Ольга Николаевна</t>
  </si>
  <si>
    <t>Общеуниверситетский курс по выбору № 1. События всемирной истории в мировой литературе</t>
  </si>
  <si>
    <t>Общеуниверситетский курс по выбору № 2. История общественных движений новейшего времени</t>
  </si>
  <si>
    <t>Дисциплины (модули) по выбору. Лексикология и стилистика современных иностранных языков</t>
  </si>
  <si>
    <t>Швинк Лоренс Ричард</t>
  </si>
  <si>
    <t>Дисциплины (модули) по выбору. Практический курс иностранного языка</t>
  </si>
  <si>
    <t>социального управления</t>
  </si>
  <si>
    <t>Дулин Юрий Николаевич</t>
  </si>
  <si>
    <t>Дисциплины (модули) по выбору. Менеджмент организации</t>
  </si>
  <si>
    <t>Дисциплины (модули) по выбору. IT-менеджмент</t>
  </si>
  <si>
    <t>Силантьев Евгений Евгеньевич</t>
  </si>
  <si>
    <t>Вариативные модули. Модуль "Теоретические и практические аспекты переводоведения". Дисциплины и курсы по выбору. Стилистика русского языка и культура речи</t>
  </si>
  <si>
    <t>Вариативные модули. Модуль "Теоретические и практические аспекты переводоведения". Дисциплины и курсы по выбору. Терминология профессионального общения на иностранном языке</t>
  </si>
  <si>
    <t>Дисциплины (модули) по выбору. Иностранный язык в профессиональной сфере</t>
  </si>
  <si>
    <t>Вариативные модули. Модуль "Теоретические и практические аспекты переводоведения". Дисциплины и курсы по выбору. Теория перевода</t>
  </si>
  <si>
    <t>Вариативные модули</t>
  </si>
  <si>
    <t>Вариативные модули. Модуль "Теоретические и практические аспекты переводоведения". Дисциплины и курсы по выбору. Грамматика английского языка</t>
  </si>
  <si>
    <t>Вариативные модули. Модуль "Теоретические и практические аспекты переводоведения". Дисциплины и курсы по выбору. Практикум по переводу</t>
  </si>
  <si>
    <t>Дисциплины (модули) по выбору. Информационные технологии в изучении иностранных языков</t>
  </si>
  <si>
    <t>Дисциплины (модули) по выбору. Реинжиниринг и инновации в сфере IT</t>
  </si>
  <si>
    <t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t>
  </si>
  <si>
    <t>Вариативные модули. Модуль "Профеcсионально-ориентированная иноязычная коммуникация". Практический курс профессионально-ориентированного перевода</t>
  </si>
  <si>
    <t>конс.</t>
  </si>
  <si>
    <t>экз</t>
  </si>
  <si>
    <t>диф.зач</t>
  </si>
  <si>
    <t>зач</t>
  </si>
  <si>
    <t>курсов.р</t>
  </si>
  <si>
    <t>Стандарт часов в год</t>
  </si>
  <si>
    <t>Учебный год</t>
  </si>
  <si>
    <t>Сумма часов</t>
  </si>
  <si>
    <t>Объём учебной нагрузки (доля ставки)</t>
  </si>
  <si>
    <t>учебный год</t>
  </si>
  <si>
    <t>2015/2016</t>
  </si>
  <si>
    <t>2016/2017</t>
  </si>
  <si>
    <t>2017/2018</t>
  </si>
  <si>
    <t>2018/2019</t>
  </si>
  <si>
    <t>курс</t>
  </si>
  <si>
    <t>год поступления</t>
  </si>
  <si>
    <t>Бакалавры (ИВТ)</t>
  </si>
  <si>
    <t>Магистры (КЭО)</t>
  </si>
  <si>
    <t>Руководство ВКР (магистерская диссертация)</t>
  </si>
  <si>
    <t>ГЭК (защита)</t>
  </si>
  <si>
    <t>ГЭК (экзамен)</t>
  </si>
  <si>
    <t>Модуль "ИТ в математике и физике". ИТ в физике</t>
  </si>
  <si>
    <t>Модуль "Дискретные структуры". Дискретная математика</t>
  </si>
  <si>
    <t>Модуль "Дискретные структуры". Алгоритмы и анализ сложности</t>
  </si>
  <si>
    <t>Информационные технологии в изучении иностранных языков</t>
  </si>
  <si>
    <t>Власов Дмитрий Викторович</t>
  </si>
  <si>
    <t>эксперт-программист</t>
  </si>
  <si>
    <t>Воробьев Владимир Иванович</t>
  </si>
  <si>
    <t>Копыльцов Александр Васильевич</t>
  </si>
  <si>
    <t>Стандарт часов по должностям</t>
  </si>
  <si>
    <t>Бакалавры ИВТ / магистры КЭО</t>
  </si>
  <si>
    <t>должность</t>
  </si>
  <si>
    <t>Модуль "Дискретные структуры"</t>
  </si>
  <si>
    <t>Качоровская Анна Евгеньевна</t>
  </si>
  <si>
    <t>и.о.доцент</t>
  </si>
  <si>
    <t>Иностранный язык. Иностранный язык (немецкий)</t>
  </si>
  <si>
    <t>2019/2020</t>
  </si>
  <si>
    <t>2020/2021</t>
  </si>
  <si>
    <t>2021/2022</t>
  </si>
  <si>
    <t>4 курс 2016 год/пост</t>
  </si>
  <si>
    <t>3 курс 2017 год/пост</t>
  </si>
  <si>
    <t>3 курс 2018 год/пост</t>
  </si>
  <si>
    <t>4 курс 2017 год/пост</t>
  </si>
  <si>
    <t>4 курс 2018 год/пост</t>
  </si>
  <si>
    <t>Модуль "Информационные технологии в управлении в IT-компании".  IT-менеджмент</t>
  </si>
  <si>
    <t>Модуль "Информационные технологии в управлении в IT-компании".  Основы электронного управления</t>
  </si>
  <si>
    <t>Модуль "Информационные технологии". Информационные технологии в изучении иностранных языков</t>
  </si>
  <si>
    <t>Модуль "Информационные технологии". Информационные технологии и системы бизнес-аналитики</t>
  </si>
  <si>
    <t>Модуль "Экономико-правовой". Правоведение</t>
  </si>
  <si>
    <t>Модуль "Информационные ресурсы и средства профессиональной деятельности инженера". Управление программными проектами</t>
  </si>
  <si>
    <t>Модуль "Основы профессионального общения на иностранном языке". Профессионально-ориентированная письменная коммуникация</t>
  </si>
  <si>
    <t>Модуль "Основы профессионального общения на иностранном языке". Грамматические аспекты иноязычной коммуникации</t>
  </si>
  <si>
    <t>IT-рекрутмент</t>
  </si>
  <si>
    <t>Модуль "Информационные ресурсы и средства профессиональной деятельности инженера".Мировые информационные ресурсы и цифровые библиотеки</t>
  </si>
  <si>
    <t>Модуль "Информационные ресурсы и средства профессиональной деятельности инженера". Визуализация данных и инфографика</t>
  </si>
  <si>
    <t>Модуль "Информационные ресурсы и средства профессиональной деятельности инженера". Программная инженерия</t>
  </si>
  <si>
    <t>Модуль "Учебно-исследовательский"</t>
  </si>
  <si>
    <t>Модуль "Учебно-исследовательский". Учебно-технологический практикум</t>
  </si>
  <si>
    <t>Модуль "Учебно-исследовательский". Подготовка к государственной итоговой аттестации</t>
  </si>
  <si>
    <t>Модуль "Учебно-исследовательский". Информационные средства и технологии инженерных и научных расчетов</t>
  </si>
  <si>
    <t>Модуль "Основы профессионального общения на иностранном языке"</t>
  </si>
  <si>
    <t>Модуль "Основы профессионального общения на иностранном языке". Профессионально-ориентированная устная коммуникация на иностранном языке</t>
  </si>
  <si>
    <t>Модуль "Особенности профессиональной иноязычной коммуникации"</t>
  </si>
  <si>
    <t>Модуль "Особенности профессиональной иноязычной коммуникации". Лингвистические основы иноязычной коммуникации</t>
  </si>
  <si>
    <t>Модуль "Организация ЭВМ". Электротехника, электроника и схемотехника</t>
  </si>
  <si>
    <t>Модуль "Организация ЭВМ". Сети и телекоммуникации</t>
  </si>
  <si>
    <t>Модуль "Организация ЭВМ". Защита информации</t>
  </si>
  <si>
    <t>Модуль "Организация ЭВМ". Введение в нанотехнологии</t>
  </si>
  <si>
    <t>Модуль "Системное и прикладное программное обеспечение". Инженерная и компьютерная графика</t>
  </si>
  <si>
    <t>ГПХ</t>
  </si>
  <si>
    <t>Модуль "Организация ЭВМ". Физические основы микроэлектроники</t>
  </si>
  <si>
    <t>Модуль "Системное и прикладное программное обеспечние". Программирование</t>
  </si>
  <si>
    <t>Модуль "Информационные технологии в управлении IT-компании". Информационные технологии оценки персонала</t>
  </si>
  <si>
    <t>Руководство ВКР</t>
  </si>
  <si>
    <t>Участие в ГЭК (защита, экзамен)</t>
  </si>
  <si>
    <t>Модуль "ИТ в математике и физике"</t>
  </si>
  <si>
    <t>Модуль "ИТ в математике и физике". Информационные технологии в математике</t>
  </si>
  <si>
    <t>Физическая культура</t>
  </si>
  <si>
    <t>Вариативные модули. Модуль "Теоретические и практические аспекты переводоведения"</t>
  </si>
  <si>
    <t>Модуль "Проектирование и разработка веб-решений ".</t>
  </si>
  <si>
    <t>Модуль "Информационные технологии и системы". Геоинформационные системы</t>
  </si>
  <si>
    <t>Модуль "Информационные технологии в управлении IT-компании". IT-рекрутмент</t>
  </si>
  <si>
    <t>2 курс (б) 2018 год/пост</t>
  </si>
  <si>
    <t>2 курс (м) 2018 год/пост</t>
  </si>
  <si>
    <t>Модуль "Информационные технологии и системы"</t>
  </si>
  <si>
    <t>Модуль "Информационные технологии и системы". Инженерия знаний</t>
  </si>
  <si>
    <t>Модуль "Информационные технологии и системы". Теория информационных процессов и систем</t>
  </si>
  <si>
    <t>Предэкзаменационная консультация перед государственным экзаменом</t>
  </si>
  <si>
    <t>Производственная практика (практика по получению профессиональных умений и опыта профессиональной деятельности, научно-исследовательская).</t>
  </si>
  <si>
    <t>Производственная практика (практика по получению профессиональных умений и опыта профессиональной деятельности, педагогическая).</t>
  </si>
  <si>
    <t>внешний</t>
  </si>
  <si>
    <t xml:space="preserve"> русского языка</t>
  </si>
  <si>
    <t>Сумма долей работодателей</t>
  </si>
  <si>
    <t>Процент работодателей от общей суммы часов</t>
  </si>
  <si>
    <t>Количество групп</t>
  </si>
  <si>
    <t>Количество подгрупп</t>
  </si>
  <si>
    <t>Серегин Александр Николаевич</t>
  </si>
  <si>
    <t>Кравченко Наталия Николаевна</t>
  </si>
  <si>
    <t>Николаева Наталья Викторовна</t>
  </si>
  <si>
    <t>Акимов Станислав Сергеевич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</si>
</sst>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"/>
    <numFmt numFmtId="165" formatCode="0.0000"/>
  </numFmts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1" fontId="1" fillId="0" borderId="6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1" fillId="4" borderId="5" xfId="0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wrapText="1"/>
    </xf>
    <xf numFmtId="0" fontId="6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9" fillId="5" borderId="5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0" xfId="0" applyFont="1" applyFill="1" applyAlignment="1">
      <alignment horizontal="center" vertical="top"/>
    </xf>
    <xf numFmtId="0" fontId="1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5" fontId="0" fillId="0" borderId="0" xfId="0" applyNumberForma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1" fontId="1" fillId="0" borderId="5" xfId="0" applyNumberFormat="1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65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0" xfId="0" applyFill="1" applyBorder="1"/>
    <xf numFmtId="1" fontId="1" fillId="0" borderId="1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" fontId="2" fillId="0" borderId="0" xfId="0" applyNumberFormat="1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center" wrapText="1"/>
    </xf>
    <xf numFmtId="1" fontId="0" fillId="0" borderId="0" xfId="0" applyNumberForma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" fontId="1" fillId="0" borderId="5" xfId="0" applyNumberFormat="1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1" fontId="9" fillId="0" borderId="5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top" wrapText="1"/>
    </xf>
    <xf numFmtId="1" fontId="3" fillId="6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0" fillId="0" borderId="1" xfId="0" applyBorder="1"/>
    <xf numFmtId="0" fontId="3" fillId="3" borderId="9" xfId="0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3" fillId="0" borderId="1" xfId="0" applyFont="1" applyFill="1" applyBorder="1" applyAlignment="1">
      <alignment horizontal="center" vertical="top"/>
    </xf>
    <xf numFmtId="1" fontId="1" fillId="0" borderId="7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vertical="top" wrapText="1"/>
    </xf>
    <xf numFmtId="1" fontId="2" fillId="0" borderId="1" xfId="0" applyNumberFormat="1" applyFont="1" applyFill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center" wrapText="1"/>
    </xf>
    <xf numFmtId="0" fontId="0" fillId="0" borderId="0" xfId="0"/>
    <xf numFmtId="1" fontId="1" fillId="0" borderId="6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1" fontId="9" fillId="5" borderId="5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vertical="top" wrapText="1"/>
    </xf>
    <xf numFmtId="1" fontId="2" fillId="0" borderId="1" xfId="0" applyNumberFormat="1" applyFont="1" applyFill="1" applyBorder="1" applyAlignment="1">
      <alignment horizontal="center" vertical="top" wrapText="1"/>
    </xf>
    <xf numFmtId="1" fontId="9" fillId="0" borderId="5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1" fontId="0" fillId="0" borderId="1" xfId="0" applyNumberFormat="1" applyBorder="1" applyAlignment="1">
      <alignment horizontal="center" vertical="center"/>
    </xf>
    <xf numFmtId="1" fontId="3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vertical="top" wrapText="1"/>
    </xf>
    <xf numFmtId="1" fontId="3" fillId="0" borderId="1" xfId="0" applyNumberFormat="1" applyFont="1" applyBorder="1" applyAlignment="1">
      <alignment horizontal="center" vertical="top" wrapText="1"/>
    </xf>
    <xf numFmtId="1" fontId="3" fillId="0" borderId="1" xfId="0" applyNumberFormat="1" applyFont="1" applyBorder="1"/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" fontId="3" fillId="0" borderId="0" xfId="0" applyNumberFormat="1" applyFont="1" applyFill="1" applyBorder="1" applyAlignment="1">
      <alignment horizontal="center" vertical="top"/>
    </xf>
    <xf numFmtId="1" fontId="1" fillId="0" borderId="0" xfId="0" applyNumberFormat="1" applyFont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top"/>
    </xf>
    <xf numFmtId="2" fontId="1" fillId="7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wrapText="1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Обычный" xfId="0" builtinId="0"/>
  </cellStyles>
  <dxfs count="38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colors>
    <mruColors>
      <color rgb="FFFF66CC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BH880"/>
  <sheetViews>
    <sheetView zoomScale="55" zoomScaleNormal="55" workbookViewId="0">
      <pane xSplit="1" ySplit="2" topLeftCell="U3" activePane="bottomRight" state="frozen"/>
      <selection activeCell="H25" sqref="H25"/>
      <selection pane="topRight" activeCell="H25" sqref="H25"/>
      <selection pane="bottomLeft" activeCell="H25" sqref="H25"/>
      <selection pane="bottomRight" activeCell="AB11" sqref="AB11"/>
    </sheetView>
  </sheetViews>
  <sheetFormatPr defaultRowHeight="14.5" x14ac:dyDescent="0.35"/>
  <cols>
    <col min="3" max="3" width="30.54296875" customWidth="1"/>
    <col min="4" max="4" width="24.54296875" customWidth="1"/>
    <col min="5" max="5" width="20.54296875" customWidth="1"/>
    <col min="6" max="6" width="15" customWidth="1"/>
    <col min="9" max="9" width="52" customWidth="1"/>
    <col min="13" max="16" width="9.1796875" style="16"/>
    <col min="17" max="17" width="8.81640625" style="16" customWidth="1"/>
    <col min="18" max="18" width="10.36328125" style="16" customWidth="1"/>
    <col min="19" max="19" width="10.54296875" style="16" customWidth="1"/>
    <col min="20" max="20" width="10.1796875" style="21" customWidth="1"/>
    <col min="24" max="24" width="12.81640625" customWidth="1"/>
    <col min="25" max="25" width="14.26953125" customWidth="1"/>
    <col min="26" max="26" width="32.54296875" customWidth="1"/>
    <col min="28" max="28" width="26.81640625"/>
    <col min="29" max="29" width="35.36328125" style="6" customWidth="1"/>
    <col min="30" max="30" width="11" style="6" customWidth="1"/>
    <col min="31" max="31" width="12.1796875" style="6" bestFit="1" customWidth="1"/>
    <col min="32" max="33" width="9.1796875" style="6"/>
    <col min="34" max="34" width="12.1796875" style="6" customWidth="1"/>
    <col min="35" max="37" width="9.1796875" style="6"/>
    <col min="38" max="38" width="11.54296875" style="6" customWidth="1"/>
    <col min="39" max="41" width="9.1796875" style="6"/>
    <col min="42" max="42" width="11.36328125" style="6" customWidth="1"/>
    <col min="43" max="47" width="9.1796875" style="6"/>
    <col min="48" max="48" width="9" style="6" customWidth="1"/>
    <col min="49" max="57" width="9.1796875" style="6"/>
    <col min="59" max="59" width="30.1796875" customWidth="1"/>
  </cols>
  <sheetData>
    <row r="1" spans="1:60" s="6" customFormat="1" ht="29.5" thickBot="1" x14ac:dyDescent="0.7">
      <c r="A1" s="68"/>
      <c r="B1" s="69"/>
      <c r="C1" s="70"/>
      <c r="D1" s="70"/>
      <c r="E1" s="70"/>
      <c r="F1" s="70"/>
      <c r="G1" s="70"/>
      <c r="H1" s="69"/>
      <c r="I1" s="70"/>
      <c r="J1" s="80" t="s">
        <v>10</v>
      </c>
      <c r="K1" s="80" t="s">
        <v>11</v>
      </c>
      <c r="L1" s="80" t="s">
        <v>12</v>
      </c>
      <c r="M1" s="73" t="s">
        <v>284</v>
      </c>
      <c r="N1" s="73" t="s">
        <v>285</v>
      </c>
      <c r="O1" s="73" t="s">
        <v>286</v>
      </c>
      <c r="P1" s="73" t="s">
        <v>287</v>
      </c>
      <c r="Q1" s="84" t="s">
        <v>288</v>
      </c>
      <c r="R1" s="84" t="s">
        <v>303</v>
      </c>
      <c r="S1" s="84" t="s">
        <v>304</v>
      </c>
      <c r="T1" s="80" t="s">
        <v>13</v>
      </c>
      <c r="U1" s="80" t="s">
        <v>14</v>
      </c>
      <c r="V1" s="80" t="s">
        <v>17</v>
      </c>
      <c r="W1" s="61"/>
      <c r="X1" s="66"/>
      <c r="Y1" s="66"/>
      <c r="Z1" s="70"/>
      <c r="AA1" s="71"/>
      <c r="AC1" s="10" t="s">
        <v>293</v>
      </c>
      <c r="AD1" s="106" t="s">
        <v>294</v>
      </c>
      <c r="AE1" s="107"/>
      <c r="AF1" s="107"/>
      <c r="AG1" s="108"/>
      <c r="AH1" s="106" t="s">
        <v>295</v>
      </c>
      <c r="AI1" s="107"/>
      <c r="AJ1" s="107"/>
      <c r="AK1" s="108"/>
      <c r="AL1" s="106" t="s">
        <v>296</v>
      </c>
      <c r="AM1" s="107"/>
      <c r="AN1" s="107"/>
      <c r="AO1" s="108"/>
      <c r="AP1" s="106" t="s">
        <v>297</v>
      </c>
      <c r="AQ1" s="107"/>
      <c r="AR1" s="107"/>
      <c r="AS1" s="108"/>
      <c r="AT1" s="106" t="s">
        <v>320</v>
      </c>
      <c r="AU1" s="107"/>
      <c r="AV1" s="107"/>
      <c r="AW1" s="108"/>
      <c r="AX1" s="106" t="s">
        <v>321</v>
      </c>
      <c r="AY1" s="107"/>
      <c r="AZ1" s="107"/>
      <c r="BA1" s="108"/>
      <c r="BB1" s="106" t="s">
        <v>322</v>
      </c>
      <c r="BC1" s="107"/>
      <c r="BD1" s="107"/>
      <c r="BE1" s="108"/>
      <c r="BG1" s="20" t="s">
        <v>313</v>
      </c>
      <c r="BH1" s="20"/>
    </row>
    <row r="2" spans="1:60" s="6" customFormat="1" ht="29" x14ac:dyDescent="0.5">
      <c r="A2" s="81" t="s">
        <v>7</v>
      </c>
      <c r="B2" s="79" t="s">
        <v>29</v>
      </c>
      <c r="C2" s="78" t="s">
        <v>2</v>
      </c>
      <c r="D2" s="78" t="s">
        <v>3</v>
      </c>
      <c r="E2" s="78" t="s">
        <v>4</v>
      </c>
      <c r="F2" s="78" t="s">
        <v>5</v>
      </c>
      <c r="G2" s="78" t="s">
        <v>6</v>
      </c>
      <c r="H2" s="79" t="s">
        <v>8</v>
      </c>
      <c r="I2" s="78" t="s">
        <v>9</v>
      </c>
      <c r="J2" s="109" t="s">
        <v>16</v>
      </c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63" t="s">
        <v>18</v>
      </c>
      <c r="X2" s="62" t="s">
        <v>378</v>
      </c>
      <c r="Y2" s="62" t="s">
        <v>379</v>
      </c>
      <c r="Z2" s="78" t="s">
        <v>15</v>
      </c>
      <c r="AA2" s="77" t="s">
        <v>19</v>
      </c>
      <c r="AC2" s="10" t="s">
        <v>298</v>
      </c>
      <c r="AD2" s="13">
        <v>1</v>
      </c>
      <c r="AE2" s="13">
        <v>2</v>
      </c>
      <c r="AF2" s="13">
        <v>3</v>
      </c>
      <c r="AG2" s="13">
        <v>4</v>
      </c>
      <c r="AH2" s="13">
        <v>1</v>
      </c>
      <c r="AI2" s="13">
        <v>2</v>
      </c>
      <c r="AJ2" s="13">
        <v>3</v>
      </c>
      <c r="AK2" s="13">
        <v>4</v>
      </c>
      <c r="AL2" s="13">
        <v>1</v>
      </c>
      <c r="AM2" s="13">
        <v>2</v>
      </c>
      <c r="AN2" s="13">
        <v>3</v>
      </c>
      <c r="AO2" s="13">
        <v>4</v>
      </c>
      <c r="AP2" s="13">
        <v>1</v>
      </c>
      <c r="AQ2" s="13">
        <v>2</v>
      </c>
      <c r="AR2" s="13">
        <v>3</v>
      </c>
      <c r="AS2" s="13">
        <v>4</v>
      </c>
      <c r="AT2" s="13">
        <v>1</v>
      </c>
      <c r="AU2" s="13">
        <v>2</v>
      </c>
      <c r="AV2" s="13">
        <v>3</v>
      </c>
      <c r="AW2" s="13">
        <v>4</v>
      </c>
      <c r="AX2" s="13">
        <v>1</v>
      </c>
      <c r="AY2" s="13">
        <v>2</v>
      </c>
      <c r="AZ2" s="13">
        <v>3</v>
      </c>
      <c r="BA2" s="13">
        <v>4</v>
      </c>
      <c r="BB2" s="13">
        <v>1</v>
      </c>
      <c r="BC2" s="13">
        <v>2</v>
      </c>
      <c r="BD2" s="13">
        <v>3</v>
      </c>
      <c r="BE2" s="13">
        <v>4</v>
      </c>
      <c r="BG2" s="19" t="s">
        <v>5</v>
      </c>
      <c r="BH2" s="19" t="s">
        <v>16</v>
      </c>
    </row>
    <row r="3" spans="1:60" ht="25" x14ac:dyDescent="0.5">
      <c r="A3" s="85">
        <v>3250</v>
      </c>
      <c r="B3" s="86">
        <v>2015</v>
      </c>
      <c r="C3" s="87" t="s">
        <v>35</v>
      </c>
      <c r="D3" s="87" t="s">
        <v>36</v>
      </c>
      <c r="E3" s="87" t="s">
        <v>26</v>
      </c>
      <c r="F3" s="87" t="s">
        <v>25</v>
      </c>
      <c r="G3" s="88">
        <v>1</v>
      </c>
      <c r="H3" s="85">
        <v>13809</v>
      </c>
      <c r="I3" s="87" t="s">
        <v>37</v>
      </c>
      <c r="J3" s="85">
        <v>34</v>
      </c>
      <c r="K3" s="85"/>
      <c r="L3" s="85">
        <v>102</v>
      </c>
      <c r="M3" s="85"/>
      <c r="N3" s="85"/>
      <c r="O3" s="85"/>
      <c r="P3" s="59"/>
      <c r="Q3" s="59"/>
      <c r="R3" s="59"/>
      <c r="S3" s="59"/>
      <c r="T3" s="89">
        <v>12</v>
      </c>
      <c r="U3" s="85"/>
      <c r="V3" s="85"/>
      <c r="W3" s="65">
        <f ca="1">IFERROR(OFFSET($AC$11,0,MATCH(H3,$AD$4:$BE$4,0)),IFERROR(OFFSET($AC$12,0,MATCH(H3,$AD$5:$BE$5,0)),MOD(H3,20)+7))</f>
        <v>16</v>
      </c>
      <c r="X3" s="64" t="str">
        <f ca="1">IF(W3&lt;=30, "1", "2")</f>
        <v>1</v>
      </c>
      <c r="Y3" s="64" t="str">
        <f ca="1" xml:space="preserve"> IF(W3&lt;=15, "1", IF(W3&lt;=30, "2", IF(W3&lt;=45, "3", IF(W3&lt;=60, "4"))))</f>
        <v>2</v>
      </c>
      <c r="Z3" s="87"/>
      <c r="AA3" s="87" t="s">
        <v>22</v>
      </c>
      <c r="AB3" s="6"/>
      <c r="AC3" s="10" t="s">
        <v>299</v>
      </c>
      <c r="AD3" s="13">
        <v>2015</v>
      </c>
      <c r="AE3" s="13">
        <v>2014</v>
      </c>
      <c r="AF3" s="13">
        <v>2013</v>
      </c>
      <c r="AG3" s="13">
        <v>2012</v>
      </c>
      <c r="AH3" s="13">
        <v>2016</v>
      </c>
      <c r="AI3" s="13">
        <v>2015</v>
      </c>
      <c r="AJ3" s="13">
        <v>2014</v>
      </c>
      <c r="AK3" s="13">
        <v>2013</v>
      </c>
      <c r="AL3" s="13">
        <v>2017</v>
      </c>
      <c r="AM3" s="13">
        <v>2016</v>
      </c>
      <c r="AN3" s="13">
        <v>2015</v>
      </c>
      <c r="AO3" s="13">
        <v>2014</v>
      </c>
      <c r="AP3" s="13">
        <v>2018</v>
      </c>
      <c r="AQ3" s="13">
        <v>2017</v>
      </c>
      <c r="AR3" s="13">
        <v>2016</v>
      </c>
      <c r="AS3" s="13">
        <v>2015</v>
      </c>
      <c r="AT3" s="13">
        <v>2019</v>
      </c>
      <c r="AU3" s="13">
        <v>2018</v>
      </c>
      <c r="AV3" s="13">
        <v>2017</v>
      </c>
      <c r="AW3" s="13">
        <v>2016</v>
      </c>
      <c r="AX3" s="13">
        <v>2020</v>
      </c>
      <c r="AY3" s="13">
        <v>2019</v>
      </c>
      <c r="AZ3" s="13">
        <v>2018</v>
      </c>
      <c r="BA3" s="13">
        <v>2017</v>
      </c>
      <c r="BB3" s="13">
        <v>2021</v>
      </c>
      <c r="BC3" s="13">
        <v>2020</v>
      </c>
      <c r="BD3" s="13">
        <v>2019</v>
      </c>
      <c r="BE3" s="13">
        <v>2018</v>
      </c>
      <c r="BG3" s="17" t="s">
        <v>56</v>
      </c>
      <c r="BH3" s="18">
        <v>700</v>
      </c>
    </row>
    <row r="4" spans="1:60" ht="37.5" x14ac:dyDescent="0.35">
      <c r="A4" s="85">
        <v>4276</v>
      </c>
      <c r="B4" s="86">
        <v>2015</v>
      </c>
      <c r="C4" s="87" t="s">
        <v>35</v>
      </c>
      <c r="D4" s="87" t="s">
        <v>70</v>
      </c>
      <c r="E4" s="87" t="s">
        <v>28</v>
      </c>
      <c r="F4" s="87" t="s">
        <v>23</v>
      </c>
      <c r="G4" s="88">
        <v>1</v>
      </c>
      <c r="H4" s="85">
        <v>13818</v>
      </c>
      <c r="I4" s="87" t="s">
        <v>71</v>
      </c>
      <c r="J4" s="85">
        <v>18</v>
      </c>
      <c r="K4" s="85"/>
      <c r="L4" s="85">
        <v>54</v>
      </c>
      <c r="M4" s="85"/>
      <c r="N4" s="85"/>
      <c r="O4" s="85"/>
      <c r="P4" s="59"/>
      <c r="Q4" s="59"/>
      <c r="R4" s="59"/>
      <c r="S4" s="59"/>
      <c r="T4" s="89">
        <v>21</v>
      </c>
      <c r="U4" s="85"/>
      <c r="V4" s="85"/>
      <c r="W4" s="83">
        <f t="shared" ref="W4:W67" ca="1" si="0">IFERROR(OFFSET($AC$11,0,MATCH(H4,$AD$4:$BE$4,0)),IFERROR(OFFSET($AC$12,0,MATCH(H4,$AD$5:$BE$5,0)),MOD(H4,20)+7))</f>
        <v>25</v>
      </c>
      <c r="X4" s="64" t="str">
        <f t="shared" ref="X4:X67" ca="1" si="1">IF(W4&lt;=30, "1", "2")</f>
        <v>1</v>
      </c>
      <c r="Y4" s="82" t="str">
        <f t="shared" ref="Y4:Y67" ca="1" si="2" xml:space="preserve"> IF(W4&lt;=15, "1", IF(W4&lt;=30, "2", IF(W4&lt;=45, "3", IF(W4&lt;=60, "4"))))</f>
        <v>2</v>
      </c>
      <c r="Z4" s="87"/>
      <c r="AA4" s="87" t="s">
        <v>22</v>
      </c>
      <c r="AB4" s="6"/>
      <c r="AC4" s="11" t="s">
        <v>300</v>
      </c>
      <c r="AD4" s="55">
        <v>14014</v>
      </c>
      <c r="AE4" s="55">
        <v>24098</v>
      </c>
      <c r="AF4" s="55">
        <v>11090</v>
      </c>
      <c r="AG4" s="55">
        <v>12090</v>
      </c>
      <c r="AH4" s="55">
        <v>15177</v>
      </c>
      <c r="AI4" s="55">
        <v>15377</v>
      </c>
      <c r="AJ4" s="55">
        <v>25432</v>
      </c>
      <c r="AK4" s="55">
        <v>23456</v>
      </c>
      <c r="AL4" s="55">
        <v>16591</v>
      </c>
      <c r="AM4" s="55">
        <v>16002</v>
      </c>
      <c r="AN4" s="55">
        <v>16003</v>
      </c>
      <c r="AO4" s="55">
        <v>16457</v>
      </c>
      <c r="AP4" s="55">
        <v>17043</v>
      </c>
      <c r="AQ4" s="55">
        <v>17236</v>
      </c>
      <c r="AR4" s="55">
        <v>17232</v>
      </c>
      <c r="AS4" s="55">
        <v>17231</v>
      </c>
      <c r="AT4" s="55">
        <v>19321</v>
      </c>
      <c r="AU4" s="49" t="s">
        <v>366</v>
      </c>
      <c r="AV4" s="55" t="s">
        <v>324</v>
      </c>
      <c r="AW4" s="49" t="s">
        <v>323</v>
      </c>
      <c r="AX4" s="55">
        <v>10980</v>
      </c>
      <c r="AY4" s="55">
        <v>19000</v>
      </c>
      <c r="AZ4" s="49" t="s">
        <v>325</v>
      </c>
      <c r="BA4" s="49" t="s">
        <v>326</v>
      </c>
      <c r="BB4" s="55">
        <v>19001</v>
      </c>
      <c r="BC4" s="55">
        <v>23000</v>
      </c>
      <c r="BD4" s="55">
        <v>25000</v>
      </c>
      <c r="BE4" s="49" t="s">
        <v>327</v>
      </c>
      <c r="BG4" s="17" t="s">
        <v>23</v>
      </c>
      <c r="BH4" s="18">
        <v>750</v>
      </c>
    </row>
    <row r="5" spans="1:60" ht="37.5" x14ac:dyDescent="0.35">
      <c r="A5" s="85">
        <v>4276</v>
      </c>
      <c r="B5" s="86">
        <v>2015</v>
      </c>
      <c r="C5" s="87" t="s">
        <v>35</v>
      </c>
      <c r="D5" s="87" t="s">
        <v>72</v>
      </c>
      <c r="E5" s="87" t="s">
        <v>26</v>
      </c>
      <c r="F5" s="87" t="s">
        <v>25</v>
      </c>
      <c r="G5" s="88">
        <v>1</v>
      </c>
      <c r="H5" s="85">
        <v>13818</v>
      </c>
      <c r="I5" s="87" t="s">
        <v>50</v>
      </c>
      <c r="J5" s="85"/>
      <c r="K5" s="85"/>
      <c r="L5" s="85"/>
      <c r="M5" s="85"/>
      <c r="N5" s="85"/>
      <c r="O5" s="85"/>
      <c r="P5" s="59"/>
      <c r="Q5" s="59"/>
      <c r="R5" s="59"/>
      <c r="S5" s="59"/>
      <c r="T5" s="89">
        <v>15</v>
      </c>
      <c r="U5" s="85"/>
      <c r="V5" s="85"/>
      <c r="W5" s="83">
        <f t="shared" ca="1" si="0"/>
        <v>25</v>
      </c>
      <c r="X5" s="64" t="str">
        <f t="shared" ca="1" si="1"/>
        <v>1</v>
      </c>
      <c r="Y5" s="82" t="str">
        <f t="shared" ca="1" si="2"/>
        <v>2</v>
      </c>
      <c r="Z5" s="87"/>
      <c r="AA5" s="87" t="s">
        <v>22</v>
      </c>
      <c r="AB5" s="6"/>
      <c r="AC5" s="12" t="s">
        <v>301</v>
      </c>
      <c r="AD5" s="53">
        <v>14020</v>
      </c>
      <c r="AE5" s="53">
        <v>34567</v>
      </c>
      <c r="AF5" s="99"/>
      <c r="AG5" s="99"/>
      <c r="AH5" s="53">
        <v>34789</v>
      </c>
      <c r="AI5" s="53">
        <v>12987</v>
      </c>
      <c r="AJ5" s="99"/>
      <c r="AK5" s="99"/>
      <c r="AL5" s="53">
        <v>16595</v>
      </c>
      <c r="AM5" s="53">
        <v>15764</v>
      </c>
      <c r="AN5" s="99"/>
      <c r="AO5" s="99"/>
      <c r="AP5" s="53">
        <v>17048</v>
      </c>
      <c r="AQ5" s="53">
        <v>17248</v>
      </c>
      <c r="AR5" s="99"/>
      <c r="AS5" s="99"/>
      <c r="AT5" s="53">
        <v>18945</v>
      </c>
      <c r="AU5" s="53" t="s">
        <v>367</v>
      </c>
      <c r="AV5" s="99"/>
      <c r="AW5" s="99"/>
      <c r="AX5" s="53">
        <v>23900</v>
      </c>
      <c r="AY5" s="53">
        <v>15999</v>
      </c>
      <c r="AZ5" s="99"/>
      <c r="BA5" s="99"/>
      <c r="BB5" s="53">
        <v>12000</v>
      </c>
      <c r="BC5" s="53">
        <v>24000</v>
      </c>
      <c r="BD5" s="99"/>
      <c r="BE5" s="99"/>
      <c r="BG5" s="17" t="s">
        <v>25</v>
      </c>
      <c r="BH5" s="18">
        <v>800</v>
      </c>
    </row>
    <row r="6" spans="1:60" ht="25" x14ac:dyDescent="0.35">
      <c r="A6" s="85">
        <v>4276</v>
      </c>
      <c r="B6" s="86">
        <v>2015</v>
      </c>
      <c r="C6" s="87" t="s">
        <v>35</v>
      </c>
      <c r="D6" s="87" t="s">
        <v>36</v>
      </c>
      <c r="E6" s="87" t="s">
        <v>26</v>
      </c>
      <c r="F6" s="87" t="s">
        <v>25</v>
      </c>
      <c r="G6" s="88">
        <v>1</v>
      </c>
      <c r="H6" s="85">
        <v>13818</v>
      </c>
      <c r="I6" s="87" t="s">
        <v>50</v>
      </c>
      <c r="J6" s="85">
        <v>9</v>
      </c>
      <c r="K6" s="85">
        <v>32</v>
      </c>
      <c r="L6" s="85"/>
      <c r="M6" s="85"/>
      <c r="N6" s="85"/>
      <c r="O6" s="85"/>
      <c r="P6" s="59"/>
      <c r="Q6" s="59"/>
      <c r="R6" s="59"/>
      <c r="S6" s="59"/>
      <c r="T6" s="89">
        <v>3</v>
      </c>
      <c r="U6" s="85"/>
      <c r="V6" s="85"/>
      <c r="W6" s="83">
        <f t="shared" ca="1" si="0"/>
        <v>25</v>
      </c>
      <c r="X6" s="64" t="str">
        <f t="shared" ca="1" si="1"/>
        <v>1</v>
      </c>
      <c r="Y6" s="82" t="str">
        <f t="shared" ca="1" si="2"/>
        <v>2</v>
      </c>
      <c r="Z6" s="87"/>
      <c r="AA6" s="87" t="s">
        <v>22</v>
      </c>
      <c r="AB6" s="6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G6" s="17" t="s">
        <v>21</v>
      </c>
      <c r="BH6" s="18">
        <v>850</v>
      </c>
    </row>
    <row r="7" spans="1:60" ht="25" x14ac:dyDescent="0.35">
      <c r="A7" s="85">
        <v>4276</v>
      </c>
      <c r="B7" s="86">
        <v>2015</v>
      </c>
      <c r="C7" s="87" t="s">
        <v>35</v>
      </c>
      <c r="D7" s="87" t="s">
        <v>73</v>
      </c>
      <c r="E7" s="87" t="s">
        <v>20</v>
      </c>
      <c r="F7" s="87" t="s">
        <v>21</v>
      </c>
      <c r="G7" s="88">
        <v>1</v>
      </c>
      <c r="H7" s="85">
        <v>13818</v>
      </c>
      <c r="I7" s="87" t="s">
        <v>50</v>
      </c>
      <c r="J7" s="85"/>
      <c r="K7" s="85">
        <v>64</v>
      </c>
      <c r="L7" s="85"/>
      <c r="M7" s="85"/>
      <c r="N7" s="85"/>
      <c r="O7" s="85"/>
      <c r="P7" s="59"/>
      <c r="Q7" s="59"/>
      <c r="R7" s="59"/>
      <c r="S7" s="59"/>
      <c r="T7" s="89">
        <v>3</v>
      </c>
      <c r="U7" s="85"/>
      <c r="V7" s="85"/>
      <c r="W7" s="83">
        <f t="shared" ca="1" si="0"/>
        <v>25</v>
      </c>
      <c r="X7" s="64" t="str">
        <f t="shared" ca="1" si="1"/>
        <v>1</v>
      </c>
      <c r="Y7" s="82" t="str">
        <f t="shared" ca="1" si="2"/>
        <v>2</v>
      </c>
      <c r="Z7" s="87"/>
      <c r="AA7" s="87" t="s">
        <v>22</v>
      </c>
      <c r="AB7" s="6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G7" s="17" t="s">
        <v>82</v>
      </c>
      <c r="BH7" s="18">
        <v>900</v>
      </c>
    </row>
    <row r="8" spans="1:60" ht="37.5" x14ac:dyDescent="0.65">
      <c r="A8" s="85">
        <v>4276</v>
      </c>
      <c r="B8" s="86">
        <v>2016</v>
      </c>
      <c r="C8" s="87" t="s">
        <v>35</v>
      </c>
      <c r="D8" s="87" t="s">
        <v>93</v>
      </c>
      <c r="E8" s="87" t="s">
        <v>28</v>
      </c>
      <c r="F8" s="87" t="s">
        <v>23</v>
      </c>
      <c r="G8" s="88">
        <v>1</v>
      </c>
      <c r="H8" s="85">
        <v>14784</v>
      </c>
      <c r="I8" s="87" t="s">
        <v>94</v>
      </c>
      <c r="J8" s="85">
        <v>32</v>
      </c>
      <c r="K8" s="85"/>
      <c r="L8" s="85">
        <v>120</v>
      </c>
      <c r="M8" s="85"/>
      <c r="N8" s="85"/>
      <c r="O8" s="85"/>
      <c r="P8" s="59"/>
      <c r="Q8" s="59"/>
      <c r="R8" s="59"/>
      <c r="S8" s="59"/>
      <c r="T8" s="89">
        <v>21</v>
      </c>
      <c r="U8" s="85"/>
      <c r="V8" s="85"/>
      <c r="W8" s="83">
        <f t="shared" ca="1" si="0"/>
        <v>11</v>
      </c>
      <c r="X8" s="64" t="str">
        <f t="shared" ca="1" si="1"/>
        <v>1</v>
      </c>
      <c r="Y8" s="82" t="str">
        <f t="shared" ca="1" si="2"/>
        <v>1</v>
      </c>
      <c r="Z8" s="87"/>
      <c r="AA8" s="87" t="s">
        <v>22</v>
      </c>
      <c r="AB8" s="6"/>
      <c r="AC8" s="10" t="s">
        <v>293</v>
      </c>
      <c r="AD8" s="106" t="s">
        <v>294</v>
      </c>
      <c r="AE8" s="107"/>
      <c r="AF8" s="107"/>
      <c r="AG8" s="108"/>
      <c r="AH8" s="106" t="s">
        <v>295</v>
      </c>
      <c r="AI8" s="107"/>
      <c r="AJ8" s="107"/>
      <c r="AK8" s="108"/>
      <c r="AL8" s="106" t="s">
        <v>296</v>
      </c>
      <c r="AM8" s="107"/>
      <c r="AN8" s="107"/>
      <c r="AO8" s="108"/>
      <c r="AP8" s="106" t="s">
        <v>297</v>
      </c>
      <c r="AQ8" s="107"/>
      <c r="AR8" s="107"/>
      <c r="AS8" s="108"/>
      <c r="AT8" s="106" t="s">
        <v>320</v>
      </c>
      <c r="AU8" s="107"/>
      <c r="AV8" s="107"/>
      <c r="AW8" s="108"/>
      <c r="AX8" s="106" t="s">
        <v>321</v>
      </c>
      <c r="AY8" s="107"/>
      <c r="AZ8" s="107"/>
      <c r="BA8" s="108"/>
      <c r="BB8" s="106" t="s">
        <v>322</v>
      </c>
      <c r="BC8" s="107"/>
      <c r="BD8" s="107"/>
      <c r="BE8" s="108"/>
      <c r="BG8" s="17" t="s">
        <v>310</v>
      </c>
      <c r="BH8" s="18">
        <v>900</v>
      </c>
    </row>
    <row r="9" spans="1:60" ht="37.5" x14ac:dyDescent="0.5">
      <c r="A9" s="85">
        <v>4276</v>
      </c>
      <c r="B9" s="86">
        <v>2017</v>
      </c>
      <c r="C9" s="87" t="s">
        <v>35</v>
      </c>
      <c r="D9" s="87" t="s">
        <v>93</v>
      </c>
      <c r="E9" s="87" t="s">
        <v>28</v>
      </c>
      <c r="F9" s="87" t="s">
        <v>23</v>
      </c>
      <c r="G9" s="88">
        <v>1</v>
      </c>
      <c r="H9" s="85">
        <v>16006</v>
      </c>
      <c r="I9" s="87" t="s">
        <v>99</v>
      </c>
      <c r="J9" s="85">
        <v>16</v>
      </c>
      <c r="K9" s="85"/>
      <c r="L9" s="85">
        <v>60</v>
      </c>
      <c r="M9" s="85"/>
      <c r="N9" s="85"/>
      <c r="O9" s="85"/>
      <c r="P9" s="59"/>
      <c r="Q9" s="59"/>
      <c r="R9" s="59"/>
      <c r="S9" s="59"/>
      <c r="T9" s="89">
        <v>11</v>
      </c>
      <c r="U9" s="85"/>
      <c r="V9" s="85"/>
      <c r="W9" s="83">
        <f t="shared" ca="1" si="0"/>
        <v>13</v>
      </c>
      <c r="X9" s="64" t="str">
        <f t="shared" ca="1" si="1"/>
        <v>1</v>
      </c>
      <c r="Y9" s="82" t="str">
        <f t="shared" ca="1" si="2"/>
        <v>1</v>
      </c>
      <c r="Z9" s="87"/>
      <c r="AA9" s="87" t="s">
        <v>22</v>
      </c>
      <c r="AB9" s="6"/>
      <c r="AC9" s="10" t="s">
        <v>298</v>
      </c>
      <c r="AD9" s="13">
        <v>1</v>
      </c>
      <c r="AE9" s="13">
        <v>2</v>
      </c>
      <c r="AF9" s="13">
        <v>3</v>
      </c>
      <c r="AG9" s="13">
        <v>4</v>
      </c>
      <c r="AH9" s="13">
        <v>1</v>
      </c>
      <c r="AI9" s="13">
        <v>2</v>
      </c>
      <c r="AJ9" s="13">
        <v>3</v>
      </c>
      <c r="AK9" s="13">
        <v>4</v>
      </c>
      <c r="AL9" s="13">
        <v>1</v>
      </c>
      <c r="AM9" s="13">
        <v>2</v>
      </c>
      <c r="AN9" s="13">
        <v>3</v>
      </c>
      <c r="AO9" s="13">
        <v>4</v>
      </c>
      <c r="AP9" s="13">
        <v>1</v>
      </c>
      <c r="AQ9" s="13">
        <v>2</v>
      </c>
      <c r="AR9" s="13">
        <v>3</v>
      </c>
      <c r="AS9" s="13">
        <v>4</v>
      </c>
      <c r="AT9" s="13">
        <v>1</v>
      </c>
      <c r="AU9" s="13">
        <v>2</v>
      </c>
      <c r="AV9" s="13">
        <v>3</v>
      </c>
      <c r="AW9" s="13">
        <v>4</v>
      </c>
      <c r="AX9" s="13">
        <v>1</v>
      </c>
      <c r="AY9" s="13">
        <v>2</v>
      </c>
      <c r="AZ9" s="13">
        <v>3</v>
      </c>
      <c r="BA9" s="13">
        <v>4</v>
      </c>
      <c r="BB9" s="13">
        <v>1</v>
      </c>
      <c r="BC9" s="13">
        <v>2</v>
      </c>
      <c r="BD9" s="13">
        <v>3</v>
      </c>
      <c r="BE9" s="13">
        <v>4</v>
      </c>
      <c r="BG9" s="17" t="s">
        <v>318</v>
      </c>
      <c r="BH9" s="18">
        <v>900</v>
      </c>
    </row>
    <row r="10" spans="1:60" ht="25" x14ac:dyDescent="0.5">
      <c r="A10" s="85">
        <v>4277</v>
      </c>
      <c r="B10" s="86">
        <v>2017</v>
      </c>
      <c r="C10" s="87" t="s">
        <v>35</v>
      </c>
      <c r="D10" s="87" t="s">
        <v>70</v>
      </c>
      <c r="E10" s="87" t="s">
        <v>28</v>
      </c>
      <c r="F10" s="87" t="s">
        <v>23</v>
      </c>
      <c r="G10" s="88">
        <v>1</v>
      </c>
      <c r="H10" s="85">
        <v>16005</v>
      </c>
      <c r="I10" s="87" t="s">
        <v>109</v>
      </c>
      <c r="J10" s="85">
        <v>18</v>
      </c>
      <c r="K10" s="85"/>
      <c r="L10" s="85">
        <v>54</v>
      </c>
      <c r="M10" s="85"/>
      <c r="N10" s="85"/>
      <c r="O10" s="85"/>
      <c r="P10" s="59"/>
      <c r="Q10" s="59"/>
      <c r="R10" s="59"/>
      <c r="S10" s="59"/>
      <c r="T10" s="89">
        <v>11</v>
      </c>
      <c r="U10" s="85"/>
      <c r="V10" s="85"/>
      <c r="W10" s="83">
        <f t="shared" ca="1" si="0"/>
        <v>12</v>
      </c>
      <c r="X10" s="64" t="str">
        <f t="shared" ca="1" si="1"/>
        <v>1</v>
      </c>
      <c r="Y10" s="82" t="str">
        <f t="shared" ca="1" si="2"/>
        <v>1</v>
      </c>
      <c r="Z10" s="87"/>
      <c r="AA10" s="87" t="s">
        <v>22</v>
      </c>
      <c r="AC10" s="10" t="s">
        <v>299</v>
      </c>
      <c r="AD10" s="13">
        <v>2015</v>
      </c>
      <c r="AE10" s="13">
        <v>2014</v>
      </c>
      <c r="AF10" s="13">
        <v>2013</v>
      </c>
      <c r="AG10" s="13">
        <v>2012</v>
      </c>
      <c r="AH10" s="13">
        <v>2016</v>
      </c>
      <c r="AI10" s="13">
        <v>2015</v>
      </c>
      <c r="AJ10" s="13">
        <v>2014</v>
      </c>
      <c r="AK10" s="13">
        <v>2013</v>
      </c>
      <c r="AL10" s="13">
        <v>2017</v>
      </c>
      <c r="AM10" s="13">
        <v>2016</v>
      </c>
      <c r="AN10" s="13">
        <v>2015</v>
      </c>
      <c r="AO10" s="13">
        <v>2014</v>
      </c>
      <c r="AP10" s="13">
        <v>2018</v>
      </c>
      <c r="AQ10" s="13">
        <v>2017</v>
      </c>
      <c r="AR10" s="13">
        <v>2016</v>
      </c>
      <c r="AS10" s="13">
        <v>2015</v>
      </c>
      <c r="AT10" s="13">
        <v>2019</v>
      </c>
      <c r="AU10" s="13">
        <v>2018</v>
      </c>
      <c r="AV10" s="13">
        <v>2017</v>
      </c>
      <c r="AW10" s="13">
        <v>2016</v>
      </c>
      <c r="AX10" s="13">
        <v>2020</v>
      </c>
      <c r="AY10" s="13">
        <v>2019</v>
      </c>
      <c r="AZ10" s="13">
        <v>2018</v>
      </c>
      <c r="BA10" s="13">
        <v>2017</v>
      </c>
      <c r="BB10" s="13">
        <v>2021</v>
      </c>
      <c r="BC10" s="13">
        <v>2020</v>
      </c>
      <c r="BD10" s="13">
        <v>2019</v>
      </c>
      <c r="BE10" s="13">
        <v>2018</v>
      </c>
      <c r="BG10" s="17" t="s">
        <v>374</v>
      </c>
      <c r="BH10" s="18">
        <v>900</v>
      </c>
    </row>
    <row r="11" spans="1:60" ht="26" x14ac:dyDescent="0.35">
      <c r="A11" s="85">
        <v>4277</v>
      </c>
      <c r="B11" s="86">
        <v>2018</v>
      </c>
      <c r="C11" s="87" t="s">
        <v>35</v>
      </c>
      <c r="D11" s="87" t="s">
        <v>70</v>
      </c>
      <c r="E11" s="87" t="s">
        <v>28</v>
      </c>
      <c r="F11" s="87" t="s">
        <v>23</v>
      </c>
      <c r="G11" s="88">
        <v>1</v>
      </c>
      <c r="H11" s="85">
        <v>17336</v>
      </c>
      <c r="I11" s="87" t="s">
        <v>109</v>
      </c>
      <c r="J11" s="85"/>
      <c r="K11" s="85"/>
      <c r="L11" s="85">
        <v>36</v>
      </c>
      <c r="M11" s="85"/>
      <c r="N11" s="85"/>
      <c r="O11" s="85"/>
      <c r="P11" s="59"/>
      <c r="Q11" s="59"/>
      <c r="R11" s="59"/>
      <c r="S11" s="59"/>
      <c r="T11" s="89">
        <v>11</v>
      </c>
      <c r="U11" s="85"/>
      <c r="V11" s="85"/>
      <c r="W11" s="83">
        <f t="shared" ca="1" si="0"/>
        <v>23</v>
      </c>
      <c r="X11" s="64" t="str">
        <f t="shared" ca="1" si="1"/>
        <v>1</v>
      </c>
      <c r="Y11" s="82" t="str">
        <f t="shared" ca="1" si="2"/>
        <v>2</v>
      </c>
      <c r="Z11" s="87"/>
      <c r="AA11" s="87" t="s">
        <v>22</v>
      </c>
      <c r="AC11" s="11" t="s">
        <v>300</v>
      </c>
      <c r="AD11" s="55">
        <v>13</v>
      </c>
      <c r="AE11" s="55">
        <v>15</v>
      </c>
      <c r="AF11" s="55">
        <v>24</v>
      </c>
      <c r="AG11" s="55">
        <v>34</v>
      </c>
      <c r="AH11" s="55">
        <v>27</v>
      </c>
      <c r="AI11" s="55">
        <v>13</v>
      </c>
      <c r="AJ11" s="55">
        <v>56</v>
      </c>
      <c r="AK11" s="55">
        <v>55</v>
      </c>
      <c r="AL11" s="55">
        <v>29</v>
      </c>
      <c r="AM11" s="55">
        <v>27</v>
      </c>
      <c r="AN11" s="55">
        <v>13</v>
      </c>
      <c r="AO11" s="55">
        <v>23</v>
      </c>
      <c r="AP11" s="55">
        <v>39</v>
      </c>
      <c r="AQ11" s="55">
        <v>29</v>
      </c>
      <c r="AR11" s="55">
        <v>27</v>
      </c>
      <c r="AS11" s="55">
        <v>13</v>
      </c>
      <c r="AT11" s="55">
        <v>10</v>
      </c>
      <c r="AU11" s="50">
        <v>39</v>
      </c>
      <c r="AV11" s="55">
        <v>29</v>
      </c>
      <c r="AW11" s="50">
        <v>27</v>
      </c>
      <c r="AX11" s="55">
        <v>20</v>
      </c>
      <c r="AY11" s="55">
        <v>45</v>
      </c>
      <c r="AZ11" s="50">
        <v>29</v>
      </c>
      <c r="BA11" s="50">
        <v>27</v>
      </c>
      <c r="BB11" s="55">
        <v>20</v>
      </c>
      <c r="BC11" s="55">
        <v>45</v>
      </c>
      <c r="BD11" s="55">
        <v>48</v>
      </c>
      <c r="BE11" s="50">
        <v>39</v>
      </c>
      <c r="BG11" s="17" t="s">
        <v>315</v>
      </c>
      <c r="BH11" s="18">
        <v>1</v>
      </c>
    </row>
    <row r="12" spans="1:60" ht="26" x14ac:dyDescent="0.35">
      <c r="A12" s="85">
        <v>4699</v>
      </c>
      <c r="B12" s="86">
        <v>2016</v>
      </c>
      <c r="C12" s="87" t="s">
        <v>35</v>
      </c>
      <c r="D12" s="87" t="s">
        <v>113</v>
      </c>
      <c r="E12" s="87" t="s">
        <v>26</v>
      </c>
      <c r="F12" s="87" t="s">
        <v>25</v>
      </c>
      <c r="G12" s="88">
        <v>1</v>
      </c>
      <c r="H12" s="85">
        <v>15014</v>
      </c>
      <c r="I12" s="87" t="s">
        <v>50</v>
      </c>
      <c r="J12" s="85">
        <v>9</v>
      </c>
      <c r="K12" s="85">
        <v>32</v>
      </c>
      <c r="L12" s="85"/>
      <c r="M12" s="85"/>
      <c r="N12" s="85"/>
      <c r="O12" s="85"/>
      <c r="P12" s="59"/>
      <c r="Q12" s="59"/>
      <c r="R12" s="59"/>
      <c r="S12" s="59"/>
      <c r="T12" s="89">
        <v>6</v>
      </c>
      <c r="U12" s="85"/>
      <c r="V12" s="85"/>
      <c r="W12" s="83">
        <f t="shared" ca="1" si="0"/>
        <v>21</v>
      </c>
      <c r="X12" s="64" t="str">
        <f t="shared" ca="1" si="1"/>
        <v>1</v>
      </c>
      <c r="Y12" s="82" t="str">
        <f t="shared" ca="1" si="2"/>
        <v>2</v>
      </c>
      <c r="Z12" s="87"/>
      <c r="AA12" s="87" t="s">
        <v>22</v>
      </c>
      <c r="AC12" s="12" t="s">
        <v>301</v>
      </c>
      <c r="AD12" s="53">
        <v>10</v>
      </c>
      <c r="AE12" s="53">
        <v>23</v>
      </c>
      <c r="AF12" s="99"/>
      <c r="AG12" s="99"/>
      <c r="AH12" s="53">
        <v>56</v>
      </c>
      <c r="AI12" s="53">
        <v>34</v>
      </c>
      <c r="AJ12" s="99"/>
      <c r="AK12" s="99"/>
      <c r="AL12" s="53">
        <v>10</v>
      </c>
      <c r="AM12" s="53">
        <v>10</v>
      </c>
      <c r="AN12" s="99"/>
      <c r="AO12" s="99"/>
      <c r="AP12" s="53">
        <v>10</v>
      </c>
      <c r="AQ12" s="53">
        <v>10</v>
      </c>
      <c r="AR12" s="99"/>
      <c r="AS12" s="99"/>
      <c r="AT12" s="53">
        <v>27</v>
      </c>
      <c r="AU12" s="53">
        <v>10</v>
      </c>
      <c r="AV12" s="99"/>
      <c r="AW12" s="99"/>
      <c r="AX12" s="53">
        <v>43</v>
      </c>
      <c r="AY12" s="53">
        <v>38</v>
      </c>
      <c r="AZ12" s="99"/>
      <c r="BA12" s="99"/>
      <c r="BB12" s="53">
        <v>43</v>
      </c>
      <c r="BC12" s="53">
        <v>45</v>
      </c>
      <c r="BD12" s="99"/>
      <c r="BE12" s="99"/>
      <c r="BG12" s="17" t="s">
        <v>315</v>
      </c>
      <c r="BH12" s="18">
        <v>1</v>
      </c>
    </row>
    <row r="13" spans="1:60" ht="25" x14ac:dyDescent="0.35">
      <c r="A13" s="85">
        <v>4699</v>
      </c>
      <c r="B13" s="86">
        <v>2018</v>
      </c>
      <c r="C13" s="87" t="s">
        <v>35</v>
      </c>
      <c r="D13" s="87" t="s">
        <v>70</v>
      </c>
      <c r="E13" s="87" t="s">
        <v>28</v>
      </c>
      <c r="F13" s="87" t="s">
        <v>23</v>
      </c>
      <c r="G13" s="88">
        <v>1</v>
      </c>
      <c r="H13" s="85">
        <v>17337</v>
      </c>
      <c r="I13" s="87" t="s">
        <v>109</v>
      </c>
      <c r="J13" s="85">
        <v>18</v>
      </c>
      <c r="K13" s="85"/>
      <c r="L13" s="85">
        <v>54</v>
      </c>
      <c r="M13" s="85"/>
      <c r="N13" s="85"/>
      <c r="O13" s="85"/>
      <c r="P13" s="59"/>
      <c r="Q13" s="59"/>
      <c r="R13" s="59"/>
      <c r="S13" s="59"/>
      <c r="T13" s="89">
        <v>10</v>
      </c>
      <c r="U13" s="85"/>
      <c r="V13" s="85"/>
      <c r="W13" s="83">
        <f t="shared" ca="1" si="0"/>
        <v>24</v>
      </c>
      <c r="X13" s="64" t="str">
        <f t="shared" ca="1" si="1"/>
        <v>1</v>
      </c>
      <c r="Y13" s="82" t="str">
        <f t="shared" ca="1" si="2"/>
        <v>2</v>
      </c>
      <c r="Z13" s="87"/>
      <c r="AA13" s="87" t="s">
        <v>22</v>
      </c>
      <c r="BG13" s="17" t="s">
        <v>315</v>
      </c>
      <c r="BH13" s="18">
        <v>1</v>
      </c>
    </row>
    <row r="14" spans="1:60" ht="25" x14ac:dyDescent="0.35">
      <c r="A14" s="85">
        <v>4701</v>
      </c>
      <c r="B14" s="86">
        <v>2016</v>
      </c>
      <c r="C14" s="87" t="s">
        <v>35</v>
      </c>
      <c r="D14" s="87" t="s">
        <v>115</v>
      </c>
      <c r="E14" s="87" t="s">
        <v>20</v>
      </c>
      <c r="F14" s="87" t="s">
        <v>82</v>
      </c>
      <c r="G14" s="88">
        <v>0.5</v>
      </c>
      <c r="H14" s="85">
        <v>15313</v>
      </c>
      <c r="I14" s="87" t="s">
        <v>50</v>
      </c>
      <c r="J14" s="85"/>
      <c r="K14" s="85"/>
      <c r="L14" s="85"/>
      <c r="M14" s="85"/>
      <c r="N14" s="85"/>
      <c r="O14" s="85"/>
      <c r="P14" s="59"/>
      <c r="Q14" s="59"/>
      <c r="R14" s="59"/>
      <c r="S14" s="59"/>
      <c r="T14" s="89">
        <v>7</v>
      </c>
      <c r="U14" s="85"/>
      <c r="V14" s="85"/>
      <c r="W14" s="83">
        <f t="shared" ca="1" si="0"/>
        <v>20</v>
      </c>
      <c r="X14" s="64" t="str">
        <f t="shared" ca="1" si="1"/>
        <v>1</v>
      </c>
      <c r="Y14" s="82" t="str">
        <f t="shared" ca="1" si="2"/>
        <v>2</v>
      </c>
      <c r="Z14" s="87"/>
      <c r="AA14" s="87" t="s">
        <v>22</v>
      </c>
      <c r="AD14"/>
      <c r="BG14" s="17" t="s">
        <v>315</v>
      </c>
      <c r="BH14" s="18">
        <v>1</v>
      </c>
    </row>
    <row r="15" spans="1:60" ht="25" x14ac:dyDescent="0.35">
      <c r="A15" s="85">
        <v>4701</v>
      </c>
      <c r="B15" s="86">
        <v>2016</v>
      </c>
      <c r="C15" s="87" t="s">
        <v>35</v>
      </c>
      <c r="D15" s="87" t="s">
        <v>116</v>
      </c>
      <c r="E15" s="87" t="s">
        <v>28</v>
      </c>
      <c r="F15" s="87" t="s">
        <v>56</v>
      </c>
      <c r="G15" s="88">
        <v>1</v>
      </c>
      <c r="H15" s="85">
        <v>15313</v>
      </c>
      <c r="I15" s="87" t="s">
        <v>37</v>
      </c>
      <c r="J15" s="85">
        <v>2</v>
      </c>
      <c r="K15" s="85"/>
      <c r="L15" s="85"/>
      <c r="M15" s="85"/>
      <c r="N15" s="85"/>
      <c r="O15" s="85"/>
      <c r="P15" s="59"/>
      <c r="Q15" s="59"/>
      <c r="R15" s="59"/>
      <c r="S15" s="59"/>
      <c r="T15" s="89">
        <v>9</v>
      </c>
      <c r="U15" s="85"/>
      <c r="V15" s="85"/>
      <c r="W15" s="83">
        <f t="shared" ca="1" si="0"/>
        <v>20</v>
      </c>
      <c r="X15" s="64" t="str">
        <f t="shared" ca="1" si="1"/>
        <v>1</v>
      </c>
      <c r="Y15" s="82" t="str">
        <f t="shared" ca="1" si="2"/>
        <v>2</v>
      </c>
      <c r="Z15" s="87"/>
      <c r="AA15" s="87" t="s">
        <v>22</v>
      </c>
      <c r="AD15"/>
      <c r="BG15" s="17" t="s">
        <v>315</v>
      </c>
      <c r="BH15" s="18">
        <v>1</v>
      </c>
    </row>
    <row r="16" spans="1:60" ht="25" x14ac:dyDescent="0.35">
      <c r="A16" s="85">
        <v>4701</v>
      </c>
      <c r="B16" s="86">
        <v>2016</v>
      </c>
      <c r="C16" s="87" t="s">
        <v>35</v>
      </c>
      <c r="D16" s="87" t="s">
        <v>36</v>
      </c>
      <c r="E16" s="87" t="s">
        <v>26</v>
      </c>
      <c r="F16" s="87" t="s">
        <v>25</v>
      </c>
      <c r="G16" s="88">
        <v>1</v>
      </c>
      <c r="H16" s="85">
        <v>15313</v>
      </c>
      <c r="I16" s="87" t="s">
        <v>37</v>
      </c>
      <c r="J16" s="85">
        <v>32</v>
      </c>
      <c r="K16" s="85"/>
      <c r="L16" s="85">
        <v>51</v>
      </c>
      <c r="M16" s="85"/>
      <c r="N16" s="85"/>
      <c r="O16" s="85"/>
      <c r="P16" s="59"/>
      <c r="Q16" s="59"/>
      <c r="R16" s="59"/>
      <c r="S16" s="59"/>
      <c r="T16" s="89">
        <v>4</v>
      </c>
      <c r="U16" s="85"/>
      <c r="V16" s="85"/>
      <c r="W16" s="83">
        <f t="shared" ca="1" si="0"/>
        <v>20</v>
      </c>
      <c r="X16" s="64" t="str">
        <f t="shared" ca="1" si="1"/>
        <v>1</v>
      </c>
      <c r="Y16" s="82" t="str">
        <f t="shared" ca="1" si="2"/>
        <v>2</v>
      </c>
      <c r="Z16" s="87"/>
      <c r="AA16" s="87" t="s">
        <v>22</v>
      </c>
      <c r="AD16"/>
    </row>
    <row r="17" spans="1:60" ht="25" x14ac:dyDescent="0.35">
      <c r="A17" s="85">
        <v>4701</v>
      </c>
      <c r="B17" s="86">
        <v>2016</v>
      </c>
      <c r="C17" s="87" t="s">
        <v>35</v>
      </c>
      <c r="D17" s="87" t="s">
        <v>73</v>
      </c>
      <c r="E17" s="87" t="s">
        <v>20</v>
      </c>
      <c r="F17" s="87" t="s">
        <v>21</v>
      </c>
      <c r="G17" s="88">
        <v>1</v>
      </c>
      <c r="H17" s="85">
        <v>15313</v>
      </c>
      <c r="I17" s="87" t="s">
        <v>37</v>
      </c>
      <c r="J17" s="85"/>
      <c r="K17" s="85"/>
      <c r="L17" s="85">
        <v>102</v>
      </c>
      <c r="M17" s="85"/>
      <c r="N17" s="85"/>
      <c r="O17" s="85"/>
      <c r="P17" s="59"/>
      <c r="Q17" s="59"/>
      <c r="R17" s="59"/>
      <c r="S17" s="59"/>
      <c r="T17" s="89">
        <v>10</v>
      </c>
      <c r="U17" s="85"/>
      <c r="V17" s="85"/>
      <c r="W17" s="83">
        <f t="shared" ca="1" si="0"/>
        <v>20</v>
      </c>
      <c r="X17" s="64" t="str">
        <f t="shared" ca="1" si="1"/>
        <v>1</v>
      </c>
      <c r="Y17" s="82" t="str">
        <f t="shared" ca="1" si="2"/>
        <v>2</v>
      </c>
      <c r="Z17" s="87"/>
      <c r="AA17" s="87" t="s">
        <v>22</v>
      </c>
      <c r="AD17"/>
    </row>
    <row r="18" spans="1:60" ht="25" x14ac:dyDescent="0.35">
      <c r="A18" s="85">
        <v>4701</v>
      </c>
      <c r="B18" s="86">
        <v>2016</v>
      </c>
      <c r="C18" s="87" t="s">
        <v>35</v>
      </c>
      <c r="D18" s="87" t="s">
        <v>117</v>
      </c>
      <c r="E18" s="87" t="s">
        <v>33</v>
      </c>
      <c r="F18" s="87" t="s">
        <v>25</v>
      </c>
      <c r="G18" s="88">
        <v>0.5</v>
      </c>
      <c r="H18" s="85">
        <v>15313</v>
      </c>
      <c r="I18" s="87" t="s">
        <v>50</v>
      </c>
      <c r="J18" s="85">
        <v>17</v>
      </c>
      <c r="K18" s="85"/>
      <c r="L18" s="85">
        <v>102</v>
      </c>
      <c r="M18" s="85"/>
      <c r="N18" s="85"/>
      <c r="O18" s="85"/>
      <c r="P18" s="59"/>
      <c r="Q18" s="59"/>
      <c r="R18" s="59"/>
      <c r="S18" s="59"/>
      <c r="T18" s="89">
        <v>12</v>
      </c>
      <c r="U18" s="85"/>
      <c r="V18" s="85"/>
      <c r="W18" s="83">
        <f t="shared" ca="1" si="0"/>
        <v>20</v>
      </c>
      <c r="X18" s="64" t="str">
        <f t="shared" ca="1" si="1"/>
        <v>1</v>
      </c>
      <c r="Y18" s="82" t="str">
        <f t="shared" ca="1" si="2"/>
        <v>2</v>
      </c>
      <c r="Z18" s="87"/>
      <c r="AA18" s="87" t="s">
        <v>22</v>
      </c>
      <c r="AD18"/>
    </row>
    <row r="19" spans="1:60" ht="37.5" x14ac:dyDescent="0.35">
      <c r="A19" s="85">
        <v>4755</v>
      </c>
      <c r="B19" s="86">
        <v>2016</v>
      </c>
      <c r="C19" s="87" t="s">
        <v>35</v>
      </c>
      <c r="D19" s="87" t="s">
        <v>70</v>
      </c>
      <c r="E19" s="87" t="s">
        <v>28</v>
      </c>
      <c r="F19" s="87" t="s">
        <v>23</v>
      </c>
      <c r="G19" s="88">
        <v>1</v>
      </c>
      <c r="H19" s="85">
        <v>15058</v>
      </c>
      <c r="I19" s="87" t="s">
        <v>71</v>
      </c>
      <c r="J19" s="85">
        <v>18</v>
      </c>
      <c r="K19" s="85"/>
      <c r="L19" s="85">
        <v>72</v>
      </c>
      <c r="M19" s="85"/>
      <c r="N19" s="85"/>
      <c r="O19" s="85"/>
      <c r="P19" s="59"/>
      <c r="Q19" s="59"/>
      <c r="R19" s="59"/>
      <c r="S19" s="59"/>
      <c r="T19" s="89">
        <v>17</v>
      </c>
      <c r="U19" s="85"/>
      <c r="V19" s="85"/>
      <c r="W19" s="83">
        <f t="shared" ca="1" si="0"/>
        <v>25</v>
      </c>
      <c r="X19" s="64" t="str">
        <f t="shared" ca="1" si="1"/>
        <v>1</v>
      </c>
      <c r="Y19" s="82" t="str">
        <f t="shared" ca="1" si="2"/>
        <v>2</v>
      </c>
      <c r="Z19" s="87"/>
      <c r="AA19" s="87" t="s">
        <v>22</v>
      </c>
      <c r="AD19"/>
    </row>
    <row r="20" spans="1:60" ht="25" x14ac:dyDescent="0.35">
      <c r="A20" s="85">
        <v>4755</v>
      </c>
      <c r="B20" s="86">
        <v>2016</v>
      </c>
      <c r="C20" s="87" t="s">
        <v>35</v>
      </c>
      <c r="D20" s="87" t="s">
        <v>72</v>
      </c>
      <c r="E20" s="87" t="s">
        <v>26</v>
      </c>
      <c r="F20" s="87" t="s">
        <v>25</v>
      </c>
      <c r="G20" s="88">
        <v>1</v>
      </c>
      <c r="H20" s="85">
        <v>15058</v>
      </c>
      <c r="I20" s="87" t="s">
        <v>50</v>
      </c>
      <c r="J20" s="85"/>
      <c r="K20" s="85">
        <v>96</v>
      </c>
      <c r="L20" s="85"/>
      <c r="M20" s="85"/>
      <c r="N20" s="85"/>
      <c r="O20" s="85"/>
      <c r="P20" s="59"/>
      <c r="Q20" s="59"/>
      <c r="R20" s="59"/>
      <c r="S20" s="59"/>
      <c r="T20" s="89">
        <v>12</v>
      </c>
      <c r="U20" s="85"/>
      <c r="V20" s="85"/>
      <c r="W20" s="83">
        <f t="shared" ca="1" si="0"/>
        <v>25</v>
      </c>
      <c r="X20" s="64" t="str">
        <f t="shared" ca="1" si="1"/>
        <v>1</v>
      </c>
      <c r="Y20" s="82" t="str">
        <f t="shared" ca="1" si="2"/>
        <v>2</v>
      </c>
      <c r="Z20" s="87"/>
      <c r="AA20" s="87" t="s">
        <v>22</v>
      </c>
      <c r="AD20"/>
    </row>
    <row r="21" spans="1:60" ht="37.5" x14ac:dyDescent="0.35">
      <c r="A21" s="85">
        <v>4755</v>
      </c>
      <c r="B21" s="86">
        <v>2016</v>
      </c>
      <c r="C21" s="87" t="s">
        <v>35</v>
      </c>
      <c r="D21" s="87" t="s">
        <v>117</v>
      </c>
      <c r="E21" s="87" t="s">
        <v>33</v>
      </c>
      <c r="F21" s="87" t="s">
        <v>25</v>
      </c>
      <c r="G21" s="88">
        <v>1</v>
      </c>
      <c r="H21" s="85">
        <v>15058</v>
      </c>
      <c r="I21" s="87" t="s">
        <v>71</v>
      </c>
      <c r="J21" s="85"/>
      <c r="K21" s="85"/>
      <c r="L21" s="85"/>
      <c r="M21" s="85"/>
      <c r="N21" s="85"/>
      <c r="O21" s="85"/>
      <c r="P21" s="59"/>
      <c r="Q21" s="59"/>
      <c r="R21" s="59"/>
      <c r="S21" s="59"/>
      <c r="T21" s="89">
        <v>2</v>
      </c>
      <c r="U21" s="85"/>
      <c r="V21" s="85"/>
      <c r="W21" s="83">
        <f t="shared" ca="1" si="0"/>
        <v>25</v>
      </c>
      <c r="X21" s="64" t="str">
        <f t="shared" ca="1" si="1"/>
        <v>1</v>
      </c>
      <c r="Y21" s="82" t="str">
        <f t="shared" ca="1" si="2"/>
        <v>2</v>
      </c>
      <c r="Z21" s="87"/>
      <c r="AA21" s="87" t="s">
        <v>22</v>
      </c>
      <c r="AD21"/>
    </row>
    <row r="22" spans="1:60" ht="25" x14ac:dyDescent="0.35">
      <c r="A22" s="85">
        <v>4755</v>
      </c>
      <c r="B22" s="86">
        <v>2016</v>
      </c>
      <c r="C22" s="87" t="s">
        <v>35</v>
      </c>
      <c r="D22" s="87" t="s">
        <v>113</v>
      </c>
      <c r="E22" s="87" t="s">
        <v>26</v>
      </c>
      <c r="F22" s="87" t="s">
        <v>25</v>
      </c>
      <c r="G22" s="88">
        <v>1</v>
      </c>
      <c r="H22" s="85">
        <v>15058</v>
      </c>
      <c r="I22" s="87" t="s">
        <v>50</v>
      </c>
      <c r="J22" s="85">
        <v>9</v>
      </c>
      <c r="K22" s="85"/>
      <c r="L22" s="85"/>
      <c r="M22" s="85"/>
      <c r="N22" s="85"/>
      <c r="O22" s="85"/>
      <c r="P22" s="59"/>
      <c r="Q22" s="59"/>
      <c r="R22" s="59"/>
      <c r="S22" s="59"/>
      <c r="T22" s="89"/>
      <c r="U22" s="85"/>
      <c r="V22" s="85"/>
      <c r="W22" s="83">
        <f t="shared" ca="1" si="0"/>
        <v>25</v>
      </c>
      <c r="X22" s="64" t="str">
        <f t="shared" ca="1" si="1"/>
        <v>1</v>
      </c>
      <c r="Y22" s="82" t="str">
        <f t="shared" ca="1" si="2"/>
        <v>2</v>
      </c>
      <c r="Z22" s="87"/>
      <c r="AA22" s="87" t="s">
        <v>22</v>
      </c>
      <c r="AD22"/>
    </row>
    <row r="23" spans="1:60" ht="51" customHeight="1" x14ac:dyDescent="0.35">
      <c r="A23" s="85">
        <v>4755</v>
      </c>
      <c r="B23" s="86">
        <v>2017</v>
      </c>
      <c r="C23" s="87" t="s">
        <v>35</v>
      </c>
      <c r="D23" s="87" t="s">
        <v>93</v>
      </c>
      <c r="E23" s="87" t="s">
        <v>28</v>
      </c>
      <c r="F23" s="87" t="s">
        <v>23</v>
      </c>
      <c r="G23" s="88">
        <v>1</v>
      </c>
      <c r="H23" s="85">
        <v>16007</v>
      </c>
      <c r="I23" s="87" t="s">
        <v>94</v>
      </c>
      <c r="J23" s="85">
        <v>32</v>
      </c>
      <c r="K23" s="85"/>
      <c r="L23" s="85">
        <v>160</v>
      </c>
      <c r="M23" s="85"/>
      <c r="N23" s="85"/>
      <c r="O23" s="85"/>
      <c r="P23" s="59"/>
      <c r="Q23" s="59"/>
      <c r="R23" s="59"/>
      <c r="S23" s="59"/>
      <c r="T23" s="89">
        <v>22</v>
      </c>
      <c r="U23" s="85"/>
      <c r="V23" s="85"/>
      <c r="W23" s="83">
        <f t="shared" ca="1" si="0"/>
        <v>14</v>
      </c>
      <c r="X23" s="64" t="str">
        <f t="shared" ca="1" si="1"/>
        <v>1</v>
      </c>
      <c r="Y23" s="82" t="str">
        <f t="shared" ca="1" si="2"/>
        <v>1</v>
      </c>
      <c r="Z23" s="87"/>
      <c r="AA23" s="87" t="s">
        <v>22</v>
      </c>
      <c r="AD23"/>
    </row>
    <row r="24" spans="1:60" ht="37.5" x14ac:dyDescent="0.35">
      <c r="A24" s="85">
        <v>4755</v>
      </c>
      <c r="B24" s="86">
        <v>2018</v>
      </c>
      <c r="C24" s="87" t="s">
        <v>35</v>
      </c>
      <c r="D24" s="87" t="s">
        <v>93</v>
      </c>
      <c r="E24" s="87" t="s">
        <v>28</v>
      </c>
      <c r="F24" s="87" t="s">
        <v>23</v>
      </c>
      <c r="G24" s="88">
        <v>0.75</v>
      </c>
      <c r="H24" s="85">
        <v>17235</v>
      </c>
      <c r="I24" s="87" t="s">
        <v>99</v>
      </c>
      <c r="J24" s="85">
        <v>16</v>
      </c>
      <c r="K24" s="85"/>
      <c r="L24" s="85">
        <v>80</v>
      </c>
      <c r="M24" s="85"/>
      <c r="N24" s="85"/>
      <c r="O24" s="85"/>
      <c r="P24" s="59"/>
      <c r="Q24" s="59"/>
      <c r="R24" s="59"/>
      <c r="S24" s="59"/>
      <c r="T24" s="89">
        <v>13</v>
      </c>
      <c r="U24" s="85"/>
      <c r="V24" s="85"/>
      <c r="W24" s="83">
        <f t="shared" ca="1" si="0"/>
        <v>22</v>
      </c>
      <c r="X24" s="64" t="str">
        <f t="shared" ca="1" si="1"/>
        <v>1</v>
      </c>
      <c r="Y24" s="82" t="str">
        <f t="shared" ca="1" si="2"/>
        <v>2</v>
      </c>
      <c r="Z24" s="87"/>
      <c r="AA24" s="87" t="s">
        <v>22</v>
      </c>
      <c r="AD24"/>
    </row>
    <row r="25" spans="1:60" ht="25" x14ac:dyDescent="0.35">
      <c r="A25" s="85">
        <v>4848</v>
      </c>
      <c r="B25" s="86">
        <v>2015</v>
      </c>
      <c r="C25" s="87" t="s">
        <v>35</v>
      </c>
      <c r="D25" s="87" t="s">
        <v>70</v>
      </c>
      <c r="E25" s="87" t="s">
        <v>28</v>
      </c>
      <c r="F25" s="87" t="s">
        <v>23</v>
      </c>
      <c r="G25" s="88">
        <v>1</v>
      </c>
      <c r="H25" s="85">
        <v>14014</v>
      </c>
      <c r="I25" s="87" t="s">
        <v>180</v>
      </c>
      <c r="J25" s="85">
        <v>42</v>
      </c>
      <c r="K25" s="85"/>
      <c r="L25" s="85">
        <v>42</v>
      </c>
      <c r="M25" s="85">
        <v>1</v>
      </c>
      <c r="N25" s="85">
        <v>1</v>
      </c>
      <c r="O25" s="85"/>
      <c r="P25" s="90"/>
      <c r="Q25" s="90"/>
      <c r="R25" s="90"/>
      <c r="S25" s="90"/>
      <c r="T25" s="89"/>
      <c r="U25" s="85"/>
      <c r="V25" s="85"/>
      <c r="W25" s="83">
        <f t="shared" ca="1" si="0"/>
        <v>13</v>
      </c>
      <c r="X25" s="64" t="str">
        <f t="shared" ca="1" si="1"/>
        <v>1</v>
      </c>
      <c r="Y25" s="82" t="str">
        <f t="shared" ca="1" si="2"/>
        <v>1</v>
      </c>
      <c r="Z25" s="87"/>
      <c r="AA25" s="87" t="s">
        <v>22</v>
      </c>
      <c r="AD25"/>
    </row>
    <row r="26" spans="1:60" ht="25" x14ac:dyDescent="0.35">
      <c r="A26" s="85">
        <v>4848</v>
      </c>
      <c r="B26" s="86">
        <v>2015</v>
      </c>
      <c r="C26" s="87" t="s">
        <v>35</v>
      </c>
      <c r="D26" s="87" t="s">
        <v>116</v>
      </c>
      <c r="E26" s="87" t="s">
        <v>28</v>
      </c>
      <c r="F26" s="87" t="s">
        <v>56</v>
      </c>
      <c r="G26" s="88">
        <v>1</v>
      </c>
      <c r="H26" s="85">
        <v>14014</v>
      </c>
      <c r="I26" s="87" t="s">
        <v>37</v>
      </c>
      <c r="J26" s="85">
        <v>17</v>
      </c>
      <c r="K26" s="85">
        <v>17</v>
      </c>
      <c r="L26" s="85"/>
      <c r="M26" s="85">
        <v>1</v>
      </c>
      <c r="N26" s="85">
        <v>1</v>
      </c>
      <c r="O26" s="85"/>
      <c r="P26" s="90"/>
      <c r="Q26" s="90"/>
      <c r="R26" s="90"/>
      <c r="S26" s="90"/>
      <c r="T26" s="89"/>
      <c r="U26" s="85"/>
      <c r="V26" s="85"/>
      <c r="W26" s="83">
        <f t="shared" ca="1" si="0"/>
        <v>13</v>
      </c>
      <c r="X26" s="64" t="str">
        <f t="shared" ca="1" si="1"/>
        <v>1</v>
      </c>
      <c r="Y26" s="82" t="str">
        <f t="shared" ca="1" si="2"/>
        <v>1</v>
      </c>
      <c r="Z26" s="87"/>
      <c r="AA26" s="87" t="s">
        <v>22</v>
      </c>
      <c r="AD26"/>
    </row>
    <row r="27" spans="1:60" s="6" customFormat="1" ht="25" x14ac:dyDescent="0.35">
      <c r="A27" s="85">
        <v>4848</v>
      </c>
      <c r="B27" s="86">
        <v>2015</v>
      </c>
      <c r="C27" s="87" t="s">
        <v>35</v>
      </c>
      <c r="D27" s="87" t="s">
        <v>116</v>
      </c>
      <c r="E27" s="87" t="s">
        <v>28</v>
      </c>
      <c r="F27" s="87" t="s">
        <v>56</v>
      </c>
      <c r="G27" s="88">
        <v>1</v>
      </c>
      <c r="H27" s="85">
        <v>14014</v>
      </c>
      <c r="I27" s="87" t="s">
        <v>136</v>
      </c>
      <c r="J27" s="85">
        <v>13</v>
      </c>
      <c r="K27" s="85"/>
      <c r="L27" s="85">
        <v>23</v>
      </c>
      <c r="M27" s="85"/>
      <c r="N27" s="85"/>
      <c r="O27" s="85"/>
      <c r="P27" s="90">
        <v>1</v>
      </c>
      <c r="Q27" s="90"/>
      <c r="R27" s="90"/>
      <c r="S27" s="90"/>
      <c r="T27" s="89"/>
      <c r="U27" s="85"/>
      <c r="V27" s="85"/>
      <c r="W27" s="83">
        <f t="shared" ca="1" si="0"/>
        <v>13</v>
      </c>
      <c r="X27" s="64" t="str">
        <f t="shared" ca="1" si="1"/>
        <v>1</v>
      </c>
      <c r="Y27" s="82" t="str">
        <f t="shared" ca="1" si="2"/>
        <v>1</v>
      </c>
      <c r="Z27" s="87"/>
      <c r="AA27" s="87" t="s">
        <v>22</v>
      </c>
      <c r="AB27"/>
      <c r="AD27"/>
      <c r="BF27"/>
      <c r="BG27"/>
      <c r="BH27"/>
    </row>
    <row r="28" spans="1:60" s="6" customFormat="1" ht="25" x14ac:dyDescent="0.35">
      <c r="A28" s="85">
        <v>4848</v>
      </c>
      <c r="B28" s="86">
        <v>2015</v>
      </c>
      <c r="C28" s="87" t="s">
        <v>35</v>
      </c>
      <c r="D28" s="87" t="s">
        <v>116</v>
      </c>
      <c r="E28" s="87" t="s">
        <v>28</v>
      </c>
      <c r="F28" s="87" t="s">
        <v>56</v>
      </c>
      <c r="G28" s="88">
        <v>1</v>
      </c>
      <c r="H28" s="85">
        <v>14014</v>
      </c>
      <c r="I28" s="87" t="s">
        <v>359</v>
      </c>
      <c r="J28" s="85"/>
      <c r="K28" s="85"/>
      <c r="L28" s="85"/>
      <c r="M28" s="85">
        <v>1</v>
      </c>
      <c r="N28" s="85">
        <v>1</v>
      </c>
      <c r="O28" s="85"/>
      <c r="P28" s="90"/>
      <c r="Q28" s="90"/>
      <c r="R28" s="90"/>
      <c r="S28" s="90"/>
      <c r="T28" s="89"/>
      <c r="U28" s="85"/>
      <c r="V28" s="85"/>
      <c r="W28" s="83">
        <f t="shared" ca="1" si="0"/>
        <v>13</v>
      </c>
      <c r="X28" s="64" t="str">
        <f t="shared" ca="1" si="1"/>
        <v>1</v>
      </c>
      <c r="Y28" s="82" t="str">
        <f t="shared" ca="1" si="2"/>
        <v>1</v>
      </c>
      <c r="Z28" s="87"/>
      <c r="AA28" s="87" t="s">
        <v>22</v>
      </c>
      <c r="AB28"/>
      <c r="AD28"/>
      <c r="BF28"/>
      <c r="BG28"/>
      <c r="BH28"/>
    </row>
    <row r="29" spans="1:60" s="6" customFormat="1" ht="25" x14ac:dyDescent="0.35">
      <c r="A29" s="85">
        <v>4848</v>
      </c>
      <c r="B29" s="86">
        <v>2015</v>
      </c>
      <c r="C29" s="87" t="s">
        <v>35</v>
      </c>
      <c r="D29" s="87" t="s">
        <v>116</v>
      </c>
      <c r="E29" s="87" t="s">
        <v>28</v>
      </c>
      <c r="F29" s="87" t="s">
        <v>56</v>
      </c>
      <c r="G29" s="88">
        <v>1</v>
      </c>
      <c r="H29" s="85">
        <v>14014</v>
      </c>
      <c r="I29" s="87" t="s">
        <v>305</v>
      </c>
      <c r="J29" s="85">
        <v>12</v>
      </c>
      <c r="K29" s="85"/>
      <c r="L29" s="85"/>
      <c r="M29" s="85"/>
      <c r="N29" s="85"/>
      <c r="O29" s="85"/>
      <c r="P29" s="90"/>
      <c r="Q29" s="90"/>
      <c r="R29" s="90"/>
      <c r="S29" s="90"/>
      <c r="T29" s="89"/>
      <c r="U29" s="85"/>
      <c r="V29" s="85"/>
      <c r="W29" s="83">
        <f t="shared" ca="1" si="0"/>
        <v>13</v>
      </c>
      <c r="X29" s="64" t="str">
        <f t="shared" ca="1" si="1"/>
        <v>1</v>
      </c>
      <c r="Y29" s="82" t="str">
        <f t="shared" ca="1" si="2"/>
        <v>1</v>
      </c>
      <c r="Z29" s="87"/>
      <c r="AA29" s="87" t="s">
        <v>22</v>
      </c>
      <c r="AB29"/>
      <c r="AD29"/>
      <c r="BF29"/>
      <c r="BG29"/>
      <c r="BH29"/>
    </row>
    <row r="30" spans="1:60" s="6" customFormat="1" ht="25" x14ac:dyDescent="0.35">
      <c r="A30" s="85">
        <v>4848</v>
      </c>
      <c r="B30" s="86">
        <v>2015</v>
      </c>
      <c r="C30" s="87" t="s">
        <v>35</v>
      </c>
      <c r="D30" s="87" t="s">
        <v>36</v>
      </c>
      <c r="E30" s="87" t="s">
        <v>26</v>
      </c>
      <c r="F30" s="87" t="s">
        <v>25</v>
      </c>
      <c r="G30" s="88">
        <v>1</v>
      </c>
      <c r="H30" s="85">
        <v>14014</v>
      </c>
      <c r="I30" s="87" t="s">
        <v>37</v>
      </c>
      <c r="J30" s="85"/>
      <c r="K30" s="85"/>
      <c r="L30" s="85">
        <v>34</v>
      </c>
      <c r="M30" s="85"/>
      <c r="N30" s="85"/>
      <c r="O30" s="85"/>
      <c r="P30" s="90"/>
      <c r="Q30" s="90"/>
      <c r="R30" s="90"/>
      <c r="S30" s="90"/>
      <c r="T30" s="89"/>
      <c r="U30" s="85"/>
      <c r="V30" s="85"/>
      <c r="W30" s="83">
        <f t="shared" ca="1" si="0"/>
        <v>13</v>
      </c>
      <c r="X30" s="64" t="str">
        <f t="shared" ca="1" si="1"/>
        <v>1</v>
      </c>
      <c r="Y30" s="82" t="str">
        <f t="shared" ca="1" si="2"/>
        <v>1</v>
      </c>
      <c r="Z30" s="87"/>
      <c r="AA30" s="87" t="s">
        <v>22</v>
      </c>
      <c r="AB30"/>
      <c r="AD30"/>
      <c r="BF30"/>
      <c r="BG30"/>
      <c r="BH30"/>
    </row>
    <row r="31" spans="1:60" s="6" customFormat="1" ht="25" x14ac:dyDescent="0.35">
      <c r="A31" s="85">
        <v>4848</v>
      </c>
      <c r="B31" s="86">
        <v>2015</v>
      </c>
      <c r="C31" s="87" t="s">
        <v>35</v>
      </c>
      <c r="D31" s="87" t="s">
        <v>36</v>
      </c>
      <c r="E31" s="87" t="s">
        <v>26</v>
      </c>
      <c r="F31" s="87" t="s">
        <v>25</v>
      </c>
      <c r="G31" s="88">
        <v>1</v>
      </c>
      <c r="H31" s="85">
        <v>14014</v>
      </c>
      <c r="I31" s="87" t="s">
        <v>359</v>
      </c>
      <c r="J31" s="85"/>
      <c r="K31" s="85"/>
      <c r="L31" s="85"/>
      <c r="M31" s="85"/>
      <c r="N31" s="85">
        <v>1</v>
      </c>
      <c r="O31" s="85"/>
      <c r="P31" s="90"/>
      <c r="Q31" s="90"/>
      <c r="R31" s="90"/>
      <c r="S31" s="90"/>
      <c r="T31" s="89"/>
      <c r="U31" s="85"/>
      <c r="V31" s="85"/>
      <c r="W31" s="83">
        <f t="shared" ca="1" si="0"/>
        <v>13</v>
      </c>
      <c r="X31" s="64" t="str">
        <f t="shared" ca="1" si="1"/>
        <v>1</v>
      </c>
      <c r="Y31" s="82" t="str">
        <f t="shared" ca="1" si="2"/>
        <v>1</v>
      </c>
      <c r="Z31" s="87"/>
      <c r="AA31" s="87" t="s">
        <v>22</v>
      </c>
      <c r="AB31"/>
      <c r="AD31"/>
      <c r="BF31"/>
      <c r="BG31"/>
      <c r="BH31"/>
    </row>
    <row r="32" spans="1:60" s="6" customFormat="1" ht="25" x14ac:dyDescent="0.35">
      <c r="A32" s="85">
        <v>4848</v>
      </c>
      <c r="B32" s="86">
        <v>2015</v>
      </c>
      <c r="C32" s="87" t="s">
        <v>35</v>
      </c>
      <c r="D32" s="87" t="s">
        <v>36</v>
      </c>
      <c r="E32" s="87" t="s">
        <v>26</v>
      </c>
      <c r="F32" s="87" t="s">
        <v>25</v>
      </c>
      <c r="G32" s="88">
        <v>1</v>
      </c>
      <c r="H32" s="85">
        <v>14014</v>
      </c>
      <c r="I32" s="87" t="s">
        <v>305</v>
      </c>
      <c r="J32" s="85"/>
      <c r="K32" s="85"/>
      <c r="L32" s="85">
        <v>24</v>
      </c>
      <c r="M32" s="85"/>
      <c r="N32" s="85"/>
      <c r="O32" s="85"/>
      <c r="P32" s="90">
        <v>1</v>
      </c>
      <c r="Q32" s="90"/>
      <c r="R32" s="90"/>
      <c r="S32" s="90"/>
      <c r="T32" s="89"/>
      <c r="U32" s="85"/>
      <c r="V32" s="85"/>
      <c r="W32" s="83">
        <f t="shared" ca="1" si="0"/>
        <v>13</v>
      </c>
      <c r="X32" s="64" t="str">
        <f t="shared" ca="1" si="1"/>
        <v>1</v>
      </c>
      <c r="Y32" s="82" t="str">
        <f t="shared" ca="1" si="2"/>
        <v>1</v>
      </c>
      <c r="Z32" s="87"/>
      <c r="AA32" s="87" t="s">
        <v>22</v>
      </c>
      <c r="AB32"/>
      <c r="AD32"/>
      <c r="BF32"/>
      <c r="BG32"/>
      <c r="BH32"/>
    </row>
    <row r="33" spans="1:60" s="6" customFormat="1" ht="25" x14ac:dyDescent="0.35">
      <c r="A33" s="85">
        <v>4848</v>
      </c>
      <c r="B33" s="86">
        <v>2015</v>
      </c>
      <c r="C33" s="87" t="s">
        <v>35</v>
      </c>
      <c r="D33" s="87" t="s">
        <v>36</v>
      </c>
      <c r="E33" s="87" t="s">
        <v>26</v>
      </c>
      <c r="F33" s="87" t="s">
        <v>25</v>
      </c>
      <c r="G33" s="88">
        <v>1</v>
      </c>
      <c r="H33" s="85">
        <v>14014</v>
      </c>
      <c r="I33" s="87" t="s">
        <v>136</v>
      </c>
      <c r="J33" s="85">
        <v>14</v>
      </c>
      <c r="K33" s="85"/>
      <c r="L33" s="85">
        <v>22</v>
      </c>
      <c r="M33" s="85"/>
      <c r="N33" s="85"/>
      <c r="O33" s="85"/>
      <c r="P33" s="90">
        <v>1</v>
      </c>
      <c r="Q33" s="90"/>
      <c r="R33" s="90"/>
      <c r="S33" s="90"/>
      <c r="T33" s="89"/>
      <c r="U33" s="85"/>
      <c r="V33" s="85"/>
      <c r="W33" s="83">
        <f t="shared" ca="1" si="0"/>
        <v>13</v>
      </c>
      <c r="X33" s="64" t="str">
        <f t="shared" ca="1" si="1"/>
        <v>1</v>
      </c>
      <c r="Y33" s="82" t="str">
        <f t="shared" ca="1" si="2"/>
        <v>1</v>
      </c>
      <c r="Z33" s="87"/>
      <c r="AA33" s="87" t="s">
        <v>22</v>
      </c>
      <c r="AB33"/>
      <c r="AD33"/>
      <c r="BF33"/>
      <c r="BG33"/>
      <c r="BH33"/>
    </row>
    <row r="34" spans="1:60" s="6" customFormat="1" ht="25" x14ac:dyDescent="0.35">
      <c r="A34" s="85">
        <v>4848</v>
      </c>
      <c r="B34" s="86">
        <v>2015</v>
      </c>
      <c r="C34" s="87" t="s">
        <v>35</v>
      </c>
      <c r="D34" s="87" t="s">
        <v>130</v>
      </c>
      <c r="E34" s="87" t="s">
        <v>26</v>
      </c>
      <c r="F34" s="87" t="s">
        <v>25</v>
      </c>
      <c r="G34" s="88">
        <v>1</v>
      </c>
      <c r="H34" s="85">
        <v>14014</v>
      </c>
      <c r="I34" s="87" t="s">
        <v>308</v>
      </c>
      <c r="J34" s="85">
        <v>6</v>
      </c>
      <c r="K34" s="85"/>
      <c r="L34" s="85">
        <v>12</v>
      </c>
      <c r="M34" s="85"/>
      <c r="N34" s="85"/>
      <c r="O34" s="85"/>
      <c r="P34" s="90">
        <v>1</v>
      </c>
      <c r="Q34" s="90"/>
      <c r="R34" s="90"/>
      <c r="S34" s="90"/>
      <c r="T34" s="89"/>
      <c r="U34" s="85"/>
      <c r="V34" s="85"/>
      <c r="W34" s="83">
        <f t="shared" ca="1" si="0"/>
        <v>13</v>
      </c>
      <c r="X34" s="64" t="str">
        <f t="shared" ca="1" si="1"/>
        <v>1</v>
      </c>
      <c r="Y34" s="82" t="str">
        <f t="shared" ca="1" si="2"/>
        <v>1</v>
      </c>
      <c r="Z34" s="87"/>
      <c r="AA34" s="87" t="s">
        <v>22</v>
      </c>
      <c r="AB34"/>
      <c r="AD34"/>
      <c r="BF34"/>
      <c r="BG34"/>
      <c r="BH34"/>
    </row>
    <row r="35" spans="1:60" s="6" customFormat="1" ht="25" x14ac:dyDescent="0.35">
      <c r="A35" s="85">
        <v>4848</v>
      </c>
      <c r="B35" s="86">
        <v>2015</v>
      </c>
      <c r="C35" s="87" t="s">
        <v>35</v>
      </c>
      <c r="D35" s="87" t="s">
        <v>130</v>
      </c>
      <c r="E35" s="87" t="s">
        <v>26</v>
      </c>
      <c r="F35" s="87" t="s">
        <v>25</v>
      </c>
      <c r="G35" s="88">
        <v>1</v>
      </c>
      <c r="H35" s="85">
        <v>14014</v>
      </c>
      <c r="I35" s="87" t="s">
        <v>316</v>
      </c>
      <c r="J35" s="85"/>
      <c r="K35" s="85"/>
      <c r="L35" s="85"/>
      <c r="M35" s="85">
        <v>1</v>
      </c>
      <c r="N35" s="85">
        <v>1</v>
      </c>
      <c r="O35" s="85"/>
      <c r="P35" s="90"/>
      <c r="Q35" s="90"/>
      <c r="R35" s="90"/>
      <c r="S35" s="90"/>
      <c r="T35" s="89"/>
      <c r="U35" s="85"/>
      <c r="V35" s="85"/>
      <c r="W35" s="83">
        <f t="shared" ca="1" si="0"/>
        <v>13</v>
      </c>
      <c r="X35" s="64" t="str">
        <f t="shared" ca="1" si="1"/>
        <v>1</v>
      </c>
      <c r="Y35" s="82" t="str">
        <f t="shared" ca="1" si="2"/>
        <v>1</v>
      </c>
      <c r="Z35" s="87"/>
      <c r="AA35" s="87" t="s">
        <v>22</v>
      </c>
      <c r="AB35"/>
      <c r="AD35"/>
      <c r="BF35"/>
      <c r="BG35"/>
      <c r="BH35"/>
    </row>
    <row r="36" spans="1:60" s="6" customFormat="1" ht="25" x14ac:dyDescent="0.35">
      <c r="A36" s="85">
        <v>4848</v>
      </c>
      <c r="B36" s="86">
        <v>2015</v>
      </c>
      <c r="C36" s="87" t="s">
        <v>35</v>
      </c>
      <c r="D36" s="87" t="s">
        <v>130</v>
      </c>
      <c r="E36" s="87" t="s">
        <v>26</v>
      </c>
      <c r="F36" s="87" t="s">
        <v>25</v>
      </c>
      <c r="G36" s="88">
        <v>1</v>
      </c>
      <c r="H36" s="85">
        <v>14014</v>
      </c>
      <c r="I36" s="87" t="s">
        <v>306</v>
      </c>
      <c r="J36" s="85">
        <v>17</v>
      </c>
      <c r="K36" s="85">
        <v>17</v>
      </c>
      <c r="L36" s="85"/>
      <c r="M36" s="85"/>
      <c r="N36" s="85"/>
      <c r="O36" s="85"/>
      <c r="P36" s="90"/>
      <c r="Q36" s="90"/>
      <c r="R36" s="90"/>
      <c r="S36" s="90"/>
      <c r="T36" s="89"/>
      <c r="U36" s="85"/>
      <c r="V36" s="85"/>
      <c r="W36" s="83">
        <f t="shared" ca="1" si="0"/>
        <v>13</v>
      </c>
      <c r="X36" s="64" t="str">
        <f t="shared" ca="1" si="1"/>
        <v>1</v>
      </c>
      <c r="Y36" s="82" t="str">
        <f t="shared" ca="1" si="2"/>
        <v>1</v>
      </c>
      <c r="Z36" s="87"/>
      <c r="AA36" s="87" t="s">
        <v>22</v>
      </c>
      <c r="AB36"/>
      <c r="AD36"/>
      <c r="BF36"/>
      <c r="BG36"/>
      <c r="BH36"/>
    </row>
    <row r="37" spans="1:60" s="6" customFormat="1" ht="25" x14ac:dyDescent="0.35">
      <c r="A37" s="85">
        <v>4848</v>
      </c>
      <c r="B37" s="86">
        <v>2015</v>
      </c>
      <c r="C37" s="87" t="s">
        <v>35</v>
      </c>
      <c r="D37" s="87" t="s">
        <v>130</v>
      </c>
      <c r="E37" s="87" t="s">
        <v>26</v>
      </c>
      <c r="F37" s="87" t="s">
        <v>25</v>
      </c>
      <c r="G37" s="88">
        <v>1</v>
      </c>
      <c r="H37" s="85">
        <v>14014</v>
      </c>
      <c r="I37" s="87" t="s">
        <v>307</v>
      </c>
      <c r="J37" s="85">
        <v>9</v>
      </c>
      <c r="K37" s="85">
        <v>9</v>
      </c>
      <c r="L37" s="85"/>
      <c r="M37" s="85"/>
      <c r="N37" s="85"/>
      <c r="O37" s="85"/>
      <c r="P37" s="90"/>
      <c r="Q37" s="90"/>
      <c r="R37" s="90"/>
      <c r="S37" s="90"/>
      <c r="T37" s="89"/>
      <c r="U37" s="85"/>
      <c r="V37" s="85"/>
      <c r="W37" s="83">
        <f t="shared" ca="1" si="0"/>
        <v>13</v>
      </c>
      <c r="X37" s="64" t="str">
        <f t="shared" ca="1" si="1"/>
        <v>1</v>
      </c>
      <c r="Y37" s="82" t="str">
        <f t="shared" ca="1" si="2"/>
        <v>1</v>
      </c>
      <c r="Z37" s="87"/>
      <c r="AA37" s="87" t="s">
        <v>22</v>
      </c>
      <c r="AB37"/>
      <c r="AD37"/>
      <c r="BF37"/>
      <c r="BG37"/>
      <c r="BH37"/>
    </row>
    <row r="38" spans="1:60" s="6" customFormat="1" ht="25" x14ac:dyDescent="0.35">
      <c r="A38" s="85">
        <v>4848</v>
      </c>
      <c r="B38" s="86">
        <v>2015</v>
      </c>
      <c r="C38" s="87" t="s">
        <v>35</v>
      </c>
      <c r="D38" s="87" t="s">
        <v>73</v>
      </c>
      <c r="E38" s="87" t="s">
        <v>20</v>
      </c>
      <c r="F38" s="87" t="s">
        <v>21</v>
      </c>
      <c r="G38" s="88">
        <v>1</v>
      </c>
      <c r="H38" s="85">
        <v>14014</v>
      </c>
      <c r="I38" s="87" t="s">
        <v>66</v>
      </c>
      <c r="J38" s="85">
        <v>54</v>
      </c>
      <c r="K38" s="85">
        <v>54</v>
      </c>
      <c r="L38" s="85"/>
      <c r="M38" s="85">
        <v>1</v>
      </c>
      <c r="N38" s="85">
        <v>1</v>
      </c>
      <c r="O38" s="85"/>
      <c r="P38" s="90"/>
      <c r="Q38" s="90"/>
      <c r="R38" s="90"/>
      <c r="S38" s="90"/>
      <c r="T38" s="89"/>
      <c r="U38" s="85"/>
      <c r="V38" s="85"/>
      <c r="W38" s="83">
        <f t="shared" ca="1" si="0"/>
        <v>13</v>
      </c>
      <c r="X38" s="64" t="str">
        <f t="shared" ca="1" si="1"/>
        <v>1</v>
      </c>
      <c r="Y38" s="82" t="str">
        <f t="shared" ca="1" si="2"/>
        <v>1</v>
      </c>
      <c r="Z38" s="87"/>
      <c r="AA38" s="87" t="s">
        <v>22</v>
      </c>
      <c r="AB38"/>
      <c r="AD38"/>
      <c r="BF38"/>
      <c r="BG38"/>
      <c r="BH38"/>
    </row>
    <row r="39" spans="1:60" s="6" customFormat="1" ht="25" x14ac:dyDescent="0.35">
      <c r="A39" s="85">
        <v>4848</v>
      </c>
      <c r="B39" s="86">
        <v>2015</v>
      </c>
      <c r="C39" s="87" t="s">
        <v>35</v>
      </c>
      <c r="D39" s="87" t="s">
        <v>73</v>
      </c>
      <c r="E39" s="87" t="s">
        <v>20</v>
      </c>
      <c r="F39" s="87" t="s">
        <v>21</v>
      </c>
      <c r="G39" s="88">
        <v>1</v>
      </c>
      <c r="H39" s="85">
        <v>14014</v>
      </c>
      <c r="I39" s="87" t="s">
        <v>360</v>
      </c>
      <c r="J39" s="85"/>
      <c r="K39" s="85"/>
      <c r="L39" s="85">
        <v>36</v>
      </c>
      <c r="M39" s="85"/>
      <c r="N39" s="85"/>
      <c r="O39" s="85"/>
      <c r="P39" s="90"/>
      <c r="Q39" s="90"/>
      <c r="R39" s="90"/>
      <c r="S39" s="90"/>
      <c r="T39" s="89"/>
      <c r="U39" s="85"/>
      <c r="V39" s="85"/>
      <c r="W39" s="83">
        <f t="shared" ca="1" si="0"/>
        <v>13</v>
      </c>
      <c r="X39" s="64" t="str">
        <f t="shared" ca="1" si="1"/>
        <v>1</v>
      </c>
      <c r="Y39" s="82" t="str">
        <f t="shared" ca="1" si="2"/>
        <v>1</v>
      </c>
      <c r="Z39" s="87"/>
      <c r="AA39" s="87" t="s">
        <v>22</v>
      </c>
      <c r="AB39"/>
      <c r="AD39"/>
      <c r="BF39"/>
      <c r="BG39"/>
      <c r="BH39"/>
    </row>
    <row r="40" spans="1:60" s="6" customFormat="1" ht="25" x14ac:dyDescent="0.35">
      <c r="A40" s="85">
        <v>4848</v>
      </c>
      <c r="B40" s="86">
        <v>2016</v>
      </c>
      <c r="C40" s="87" t="s">
        <v>35</v>
      </c>
      <c r="D40" s="87" t="s">
        <v>70</v>
      </c>
      <c r="E40" s="87" t="s">
        <v>28</v>
      </c>
      <c r="F40" s="87" t="s">
        <v>23</v>
      </c>
      <c r="G40" s="88">
        <v>1</v>
      </c>
      <c r="H40" s="85">
        <v>15377</v>
      </c>
      <c r="I40" s="87" t="s">
        <v>124</v>
      </c>
      <c r="J40" s="85">
        <v>36</v>
      </c>
      <c r="K40" s="85">
        <v>12</v>
      </c>
      <c r="L40" s="85">
        <v>26</v>
      </c>
      <c r="M40" s="85">
        <v>1</v>
      </c>
      <c r="N40" s="85">
        <v>1</v>
      </c>
      <c r="O40" s="85"/>
      <c r="P40" s="91"/>
      <c r="Q40" s="91"/>
      <c r="R40" s="91"/>
      <c r="S40" s="91"/>
      <c r="T40" s="89"/>
      <c r="U40" s="85"/>
      <c r="V40" s="85"/>
      <c r="W40" s="83">
        <f t="shared" ca="1" si="0"/>
        <v>13</v>
      </c>
      <c r="X40" s="64" t="str">
        <f t="shared" ca="1" si="1"/>
        <v>1</v>
      </c>
      <c r="Y40" s="82" t="str">
        <f t="shared" ca="1" si="2"/>
        <v>1</v>
      </c>
      <c r="Z40" s="87"/>
      <c r="AA40" s="87" t="s">
        <v>22</v>
      </c>
      <c r="AB40"/>
      <c r="AD40"/>
      <c r="BF40"/>
      <c r="BG40"/>
      <c r="BH40"/>
    </row>
    <row r="41" spans="1:60" s="6" customFormat="1" ht="25" x14ac:dyDescent="0.35">
      <c r="A41" s="85">
        <v>4848</v>
      </c>
      <c r="B41" s="86">
        <v>2016</v>
      </c>
      <c r="C41" s="87" t="s">
        <v>35</v>
      </c>
      <c r="D41" s="87" t="s">
        <v>70</v>
      </c>
      <c r="E41" s="87" t="s">
        <v>28</v>
      </c>
      <c r="F41" s="87" t="s">
        <v>23</v>
      </c>
      <c r="G41" s="88">
        <v>1</v>
      </c>
      <c r="H41" s="85">
        <v>15377</v>
      </c>
      <c r="I41" s="87" t="s">
        <v>54</v>
      </c>
      <c r="J41" s="85">
        <v>4</v>
      </c>
      <c r="K41" s="85">
        <v>14</v>
      </c>
      <c r="L41" s="85">
        <v>14</v>
      </c>
      <c r="M41" s="85"/>
      <c r="N41" s="85"/>
      <c r="O41" s="85"/>
      <c r="P41" s="91">
        <v>1</v>
      </c>
      <c r="Q41" s="91"/>
      <c r="R41" s="91"/>
      <c r="S41" s="91"/>
      <c r="T41" s="89"/>
      <c r="U41" s="85"/>
      <c r="V41" s="85"/>
      <c r="W41" s="83">
        <f t="shared" ca="1" si="0"/>
        <v>13</v>
      </c>
      <c r="X41" s="64" t="str">
        <f t="shared" ca="1" si="1"/>
        <v>1</v>
      </c>
      <c r="Y41" s="82" t="str">
        <f t="shared" ca="1" si="2"/>
        <v>1</v>
      </c>
      <c r="Z41" s="87"/>
      <c r="AA41" s="87" t="s">
        <v>22</v>
      </c>
      <c r="AB41"/>
      <c r="AD41"/>
      <c r="BF41"/>
      <c r="BG41"/>
      <c r="BH41"/>
    </row>
    <row r="42" spans="1:60" s="6" customFormat="1" ht="25" x14ac:dyDescent="0.35">
      <c r="A42" s="85">
        <v>4848</v>
      </c>
      <c r="B42" s="86">
        <v>2016</v>
      </c>
      <c r="C42" s="87" t="s">
        <v>35</v>
      </c>
      <c r="D42" s="87" t="s">
        <v>70</v>
      </c>
      <c r="E42" s="87" t="s">
        <v>28</v>
      </c>
      <c r="F42" s="87" t="s">
        <v>23</v>
      </c>
      <c r="G42" s="88">
        <v>1</v>
      </c>
      <c r="H42" s="85">
        <v>15377</v>
      </c>
      <c r="I42" s="87" t="s">
        <v>136</v>
      </c>
      <c r="J42" s="85">
        <v>34</v>
      </c>
      <c r="K42" s="85"/>
      <c r="L42" s="85"/>
      <c r="M42" s="85"/>
      <c r="N42" s="85"/>
      <c r="O42" s="85"/>
      <c r="P42" s="91"/>
      <c r="Q42" s="91"/>
      <c r="R42" s="91"/>
      <c r="S42" s="91"/>
      <c r="T42" s="89"/>
      <c r="U42" s="85"/>
      <c r="V42" s="85"/>
      <c r="W42" s="83">
        <f t="shared" ca="1" si="0"/>
        <v>13</v>
      </c>
      <c r="X42" s="64" t="str">
        <f t="shared" ca="1" si="1"/>
        <v>1</v>
      </c>
      <c r="Y42" s="82" t="str">
        <f t="shared" ca="1" si="2"/>
        <v>1</v>
      </c>
      <c r="Z42" s="87"/>
      <c r="AA42" s="87"/>
      <c r="AB42"/>
      <c r="AD42"/>
      <c r="BF42"/>
      <c r="BG42"/>
      <c r="BH42"/>
    </row>
    <row r="43" spans="1:60" s="6" customFormat="1" ht="25.5" customHeight="1" x14ac:dyDescent="0.35">
      <c r="A43" s="85">
        <v>4848</v>
      </c>
      <c r="B43" s="86">
        <v>2016</v>
      </c>
      <c r="C43" s="87" t="s">
        <v>35</v>
      </c>
      <c r="D43" s="87" t="s">
        <v>72</v>
      </c>
      <c r="E43" s="87" t="s">
        <v>26</v>
      </c>
      <c r="F43" s="87" t="s">
        <v>25</v>
      </c>
      <c r="G43" s="88">
        <v>1</v>
      </c>
      <c r="H43" s="85">
        <v>15377</v>
      </c>
      <c r="I43" s="87" t="s">
        <v>125</v>
      </c>
      <c r="J43" s="85">
        <v>18</v>
      </c>
      <c r="K43" s="85"/>
      <c r="L43" s="85">
        <v>18</v>
      </c>
      <c r="M43" s="85"/>
      <c r="N43" s="85"/>
      <c r="O43" s="85"/>
      <c r="P43" s="91"/>
      <c r="Q43" s="91"/>
      <c r="R43" s="91"/>
      <c r="S43" s="91"/>
      <c r="T43" s="89"/>
      <c r="U43" s="85"/>
      <c r="V43" s="85"/>
      <c r="W43" s="83">
        <f t="shared" ca="1" si="0"/>
        <v>13</v>
      </c>
      <c r="X43" s="64" t="str">
        <f t="shared" ca="1" si="1"/>
        <v>1</v>
      </c>
      <c r="Y43" s="82" t="str">
        <f t="shared" ca="1" si="2"/>
        <v>1</v>
      </c>
      <c r="Z43" s="87"/>
      <c r="AA43" s="87" t="s">
        <v>22</v>
      </c>
      <c r="AB43"/>
      <c r="AD43"/>
      <c r="BF43"/>
      <c r="BG43"/>
      <c r="BH43"/>
    </row>
    <row r="44" spans="1:60" s="6" customFormat="1" ht="25" x14ac:dyDescent="0.35">
      <c r="A44" s="85">
        <v>4848</v>
      </c>
      <c r="B44" s="86">
        <v>2016</v>
      </c>
      <c r="C44" s="87" t="s">
        <v>35</v>
      </c>
      <c r="D44" s="87" t="s">
        <v>116</v>
      </c>
      <c r="E44" s="87" t="s">
        <v>28</v>
      </c>
      <c r="F44" s="87" t="s">
        <v>56</v>
      </c>
      <c r="G44" s="88">
        <v>1</v>
      </c>
      <c r="H44" s="85">
        <v>15377</v>
      </c>
      <c r="I44" s="87" t="s">
        <v>126</v>
      </c>
      <c r="J44" s="85"/>
      <c r="K44" s="85"/>
      <c r="L44" s="85"/>
      <c r="M44" s="85">
        <v>1</v>
      </c>
      <c r="N44" s="85">
        <v>1</v>
      </c>
      <c r="O44" s="85"/>
      <c r="P44" s="91"/>
      <c r="Q44" s="91"/>
      <c r="R44" s="91"/>
      <c r="S44" s="91"/>
      <c r="T44" s="89"/>
      <c r="U44" s="85"/>
      <c r="V44" s="85"/>
      <c r="W44" s="83">
        <f t="shared" ca="1" si="0"/>
        <v>13</v>
      </c>
      <c r="X44" s="64" t="str">
        <f t="shared" ca="1" si="1"/>
        <v>1</v>
      </c>
      <c r="Y44" s="82" t="str">
        <f t="shared" ca="1" si="2"/>
        <v>1</v>
      </c>
      <c r="Z44" s="87"/>
      <c r="AA44" s="87" t="s">
        <v>22</v>
      </c>
      <c r="AB44"/>
      <c r="AD44"/>
      <c r="BF44"/>
      <c r="BG44"/>
      <c r="BH44"/>
    </row>
    <row r="45" spans="1:60" s="6" customFormat="1" ht="25" x14ac:dyDescent="0.35">
      <c r="A45" s="85">
        <v>4848</v>
      </c>
      <c r="B45" s="86">
        <v>2016</v>
      </c>
      <c r="C45" s="87" t="s">
        <v>35</v>
      </c>
      <c r="D45" s="87" t="s">
        <v>116</v>
      </c>
      <c r="E45" s="87" t="s">
        <v>28</v>
      </c>
      <c r="F45" s="87" t="s">
        <v>56</v>
      </c>
      <c r="G45" s="88">
        <v>1</v>
      </c>
      <c r="H45" s="85">
        <v>15377</v>
      </c>
      <c r="I45" s="87" t="s">
        <v>127</v>
      </c>
      <c r="J45" s="85">
        <v>17</v>
      </c>
      <c r="K45" s="85"/>
      <c r="L45" s="85"/>
      <c r="M45" s="85"/>
      <c r="N45" s="85"/>
      <c r="O45" s="85"/>
      <c r="P45" s="91"/>
      <c r="Q45" s="91"/>
      <c r="R45" s="91"/>
      <c r="S45" s="91"/>
      <c r="T45" s="89"/>
      <c r="U45" s="85"/>
      <c r="V45" s="85"/>
      <c r="W45" s="83">
        <f t="shared" ca="1" si="0"/>
        <v>13</v>
      </c>
      <c r="X45" s="64" t="str">
        <f t="shared" ca="1" si="1"/>
        <v>1</v>
      </c>
      <c r="Y45" s="82" t="str">
        <f t="shared" ca="1" si="2"/>
        <v>1</v>
      </c>
      <c r="Z45" s="87"/>
      <c r="AA45" s="87" t="s">
        <v>22</v>
      </c>
      <c r="AB45"/>
      <c r="AD45"/>
      <c r="BF45"/>
      <c r="BG45"/>
      <c r="BH45"/>
    </row>
    <row r="46" spans="1:60" s="6" customFormat="1" ht="25" x14ac:dyDescent="0.35">
      <c r="A46" s="85">
        <v>4848</v>
      </c>
      <c r="B46" s="86">
        <v>2016</v>
      </c>
      <c r="C46" s="87" t="s">
        <v>35</v>
      </c>
      <c r="D46" s="87" t="s">
        <v>116</v>
      </c>
      <c r="E46" s="87" t="s">
        <v>28</v>
      </c>
      <c r="F46" s="87" t="s">
        <v>56</v>
      </c>
      <c r="G46" s="88">
        <v>1</v>
      </c>
      <c r="H46" s="85">
        <v>15377</v>
      </c>
      <c r="I46" s="87" t="s">
        <v>128</v>
      </c>
      <c r="J46" s="85">
        <v>17</v>
      </c>
      <c r="K46" s="85"/>
      <c r="L46" s="85"/>
      <c r="M46" s="85"/>
      <c r="N46" s="85"/>
      <c r="O46" s="85"/>
      <c r="P46" s="91"/>
      <c r="Q46" s="91"/>
      <c r="R46" s="91"/>
      <c r="S46" s="91"/>
      <c r="T46" s="89"/>
      <c r="U46" s="85"/>
      <c r="V46" s="85"/>
      <c r="W46" s="83">
        <f t="shared" ca="1" si="0"/>
        <v>13</v>
      </c>
      <c r="X46" s="64" t="str">
        <f t="shared" ca="1" si="1"/>
        <v>1</v>
      </c>
      <c r="Y46" s="82" t="str">
        <f t="shared" ca="1" si="2"/>
        <v>1</v>
      </c>
      <c r="Z46" s="87"/>
      <c r="AA46" s="87" t="s">
        <v>22</v>
      </c>
      <c r="AB46"/>
      <c r="AD46"/>
      <c r="BF46"/>
      <c r="BG46"/>
      <c r="BH46"/>
    </row>
    <row r="47" spans="1:60" s="6" customFormat="1" ht="25" x14ac:dyDescent="0.35">
      <c r="A47" s="85">
        <v>4848</v>
      </c>
      <c r="B47" s="86">
        <v>2016</v>
      </c>
      <c r="C47" s="87" t="s">
        <v>35</v>
      </c>
      <c r="D47" s="87" t="s">
        <v>116</v>
      </c>
      <c r="E47" s="87" t="s">
        <v>28</v>
      </c>
      <c r="F47" s="87" t="s">
        <v>56</v>
      </c>
      <c r="G47" s="88">
        <v>1</v>
      </c>
      <c r="H47" s="85">
        <v>15377</v>
      </c>
      <c r="I47" s="87" t="s">
        <v>129</v>
      </c>
      <c r="J47" s="85">
        <v>18</v>
      </c>
      <c r="K47" s="85"/>
      <c r="L47" s="85">
        <v>27</v>
      </c>
      <c r="M47" s="85"/>
      <c r="N47" s="85"/>
      <c r="O47" s="85"/>
      <c r="P47" s="91"/>
      <c r="Q47" s="91"/>
      <c r="R47" s="91"/>
      <c r="S47" s="91"/>
      <c r="T47" s="89"/>
      <c r="U47" s="85"/>
      <c r="V47" s="85"/>
      <c r="W47" s="83">
        <f t="shared" ca="1" si="0"/>
        <v>13</v>
      </c>
      <c r="X47" s="64" t="str">
        <f t="shared" ca="1" si="1"/>
        <v>1</v>
      </c>
      <c r="Y47" s="82" t="str">
        <f t="shared" ca="1" si="2"/>
        <v>1</v>
      </c>
      <c r="Z47" s="87"/>
      <c r="AA47" s="87" t="s">
        <v>22</v>
      </c>
      <c r="AB47"/>
      <c r="AD47"/>
      <c r="BF47"/>
      <c r="BG47"/>
      <c r="BH47"/>
    </row>
    <row r="48" spans="1:60" s="6" customFormat="1" ht="25" x14ac:dyDescent="0.35">
      <c r="A48" s="85">
        <v>4848</v>
      </c>
      <c r="B48" s="86">
        <v>2016</v>
      </c>
      <c r="C48" s="87" t="s">
        <v>35</v>
      </c>
      <c r="D48" s="87" t="s">
        <v>36</v>
      </c>
      <c r="E48" s="87" t="s">
        <v>26</v>
      </c>
      <c r="F48" s="87" t="s">
        <v>25</v>
      </c>
      <c r="G48" s="88">
        <v>1</v>
      </c>
      <c r="H48" s="85">
        <v>15377</v>
      </c>
      <c r="I48" s="87" t="s">
        <v>126</v>
      </c>
      <c r="J48" s="85"/>
      <c r="K48" s="85"/>
      <c r="L48" s="85"/>
      <c r="M48" s="85"/>
      <c r="N48" s="85">
        <v>1</v>
      </c>
      <c r="O48" s="85"/>
      <c r="P48" s="91"/>
      <c r="Q48" s="91"/>
      <c r="R48" s="91"/>
      <c r="S48" s="91"/>
      <c r="T48" s="89"/>
      <c r="U48" s="85"/>
      <c r="V48" s="85"/>
      <c r="W48" s="83">
        <f t="shared" ca="1" si="0"/>
        <v>13</v>
      </c>
      <c r="X48" s="64" t="str">
        <f t="shared" ca="1" si="1"/>
        <v>1</v>
      </c>
      <c r="Y48" s="82" t="str">
        <f t="shared" ca="1" si="2"/>
        <v>1</v>
      </c>
      <c r="Z48" s="87"/>
      <c r="AA48" s="87" t="s">
        <v>22</v>
      </c>
      <c r="AB48"/>
      <c r="AD48"/>
      <c r="BF48"/>
      <c r="BG48"/>
      <c r="BH48"/>
    </row>
    <row r="49" spans="1:60" s="6" customFormat="1" ht="25" x14ac:dyDescent="0.35">
      <c r="A49" s="85">
        <v>4848</v>
      </c>
      <c r="B49" s="86">
        <v>2016</v>
      </c>
      <c r="C49" s="87" t="s">
        <v>35</v>
      </c>
      <c r="D49" s="87" t="s">
        <v>36</v>
      </c>
      <c r="E49" s="87" t="s">
        <v>26</v>
      </c>
      <c r="F49" s="87" t="s">
        <v>25</v>
      </c>
      <c r="G49" s="88">
        <v>1</v>
      </c>
      <c r="H49" s="85">
        <v>15377</v>
      </c>
      <c r="I49" s="87" t="s">
        <v>127</v>
      </c>
      <c r="J49" s="85"/>
      <c r="K49" s="85"/>
      <c r="L49" s="85">
        <v>34</v>
      </c>
      <c r="M49" s="85"/>
      <c r="N49" s="85"/>
      <c r="O49" s="85"/>
      <c r="P49" s="91"/>
      <c r="Q49" s="91"/>
      <c r="R49" s="91"/>
      <c r="S49" s="91"/>
      <c r="T49" s="89"/>
      <c r="U49" s="85"/>
      <c r="V49" s="85"/>
      <c r="W49" s="83">
        <f t="shared" ca="1" si="0"/>
        <v>13</v>
      </c>
      <c r="X49" s="64" t="str">
        <f t="shared" ca="1" si="1"/>
        <v>1</v>
      </c>
      <c r="Y49" s="82" t="str">
        <f t="shared" ca="1" si="2"/>
        <v>1</v>
      </c>
      <c r="Z49" s="87"/>
      <c r="AA49" s="87" t="s">
        <v>22</v>
      </c>
      <c r="AB49"/>
      <c r="BF49"/>
      <c r="BG49"/>
      <c r="BH49"/>
    </row>
    <row r="50" spans="1:60" s="6" customFormat="1" ht="25" x14ac:dyDescent="0.35">
      <c r="A50" s="85">
        <v>4848</v>
      </c>
      <c r="B50" s="86">
        <v>2016</v>
      </c>
      <c r="C50" s="87" t="s">
        <v>35</v>
      </c>
      <c r="D50" s="87" t="s">
        <v>36</v>
      </c>
      <c r="E50" s="87" t="s">
        <v>26</v>
      </c>
      <c r="F50" s="87" t="s">
        <v>25</v>
      </c>
      <c r="G50" s="88">
        <v>1</v>
      </c>
      <c r="H50" s="85">
        <v>15377</v>
      </c>
      <c r="I50" s="87" t="s">
        <v>129</v>
      </c>
      <c r="J50" s="85"/>
      <c r="K50" s="85"/>
      <c r="L50" s="85">
        <v>27</v>
      </c>
      <c r="M50" s="85"/>
      <c r="N50" s="85"/>
      <c r="O50" s="85"/>
      <c r="P50" s="91"/>
      <c r="Q50" s="91"/>
      <c r="R50" s="91"/>
      <c r="S50" s="91"/>
      <c r="T50" s="89"/>
      <c r="U50" s="85"/>
      <c r="V50" s="85"/>
      <c r="W50" s="83">
        <f t="shared" ca="1" si="0"/>
        <v>13</v>
      </c>
      <c r="X50" s="64" t="str">
        <f t="shared" ca="1" si="1"/>
        <v>1</v>
      </c>
      <c r="Y50" s="82" t="str">
        <f t="shared" ca="1" si="2"/>
        <v>1</v>
      </c>
      <c r="Z50" s="87"/>
      <c r="AA50" s="87" t="s">
        <v>22</v>
      </c>
      <c r="AB50"/>
      <c r="BF50"/>
      <c r="BG50"/>
      <c r="BH50"/>
    </row>
    <row r="51" spans="1:60" s="6" customFormat="1" ht="25" x14ac:dyDescent="0.35">
      <c r="A51" s="85">
        <v>4848</v>
      </c>
      <c r="B51" s="86">
        <v>2016</v>
      </c>
      <c r="C51" s="87" t="s">
        <v>35</v>
      </c>
      <c r="D51" s="87" t="s">
        <v>130</v>
      </c>
      <c r="E51" s="87" t="s">
        <v>26</v>
      </c>
      <c r="F51" s="87" t="s">
        <v>25</v>
      </c>
      <c r="G51" s="88">
        <v>1</v>
      </c>
      <c r="H51" s="85">
        <v>15377</v>
      </c>
      <c r="I51" s="87" t="s">
        <v>131</v>
      </c>
      <c r="J51" s="85"/>
      <c r="K51" s="85"/>
      <c r="L51" s="85"/>
      <c r="M51" s="85">
        <v>1</v>
      </c>
      <c r="N51" s="85">
        <v>1</v>
      </c>
      <c r="O51" s="85"/>
      <c r="P51" s="91"/>
      <c r="Q51" s="91"/>
      <c r="R51" s="91"/>
      <c r="S51" s="91"/>
      <c r="T51" s="89"/>
      <c r="U51" s="85"/>
      <c r="V51" s="85"/>
      <c r="W51" s="83">
        <f t="shared" ca="1" si="0"/>
        <v>13</v>
      </c>
      <c r="X51" s="64" t="str">
        <f t="shared" ca="1" si="1"/>
        <v>1</v>
      </c>
      <c r="Y51" s="82" t="str">
        <f t="shared" ca="1" si="2"/>
        <v>1</v>
      </c>
      <c r="Z51" s="87"/>
      <c r="AA51" s="87" t="s">
        <v>22</v>
      </c>
      <c r="AB51"/>
      <c r="BF51"/>
      <c r="BG51"/>
      <c r="BH51"/>
    </row>
    <row r="52" spans="1:60" s="6" customFormat="1" ht="25" x14ac:dyDescent="0.35">
      <c r="A52" s="85">
        <v>4848</v>
      </c>
      <c r="B52" s="86">
        <v>2016</v>
      </c>
      <c r="C52" s="87" t="s">
        <v>35</v>
      </c>
      <c r="D52" s="87" t="s">
        <v>130</v>
      </c>
      <c r="E52" s="87" t="s">
        <v>26</v>
      </c>
      <c r="F52" s="87" t="s">
        <v>25</v>
      </c>
      <c r="G52" s="88">
        <v>1</v>
      </c>
      <c r="H52" s="85">
        <v>15377</v>
      </c>
      <c r="I52" s="87" t="s">
        <v>132</v>
      </c>
      <c r="J52" s="85">
        <v>17</v>
      </c>
      <c r="K52" s="85">
        <v>17</v>
      </c>
      <c r="L52" s="85">
        <v>20</v>
      </c>
      <c r="M52" s="85"/>
      <c r="N52" s="85"/>
      <c r="O52" s="85"/>
      <c r="P52" s="91"/>
      <c r="Q52" s="91"/>
      <c r="R52" s="91"/>
      <c r="S52" s="91"/>
      <c r="T52" s="89"/>
      <c r="U52" s="85"/>
      <c r="V52" s="85"/>
      <c r="W52" s="83">
        <f t="shared" ca="1" si="0"/>
        <v>13</v>
      </c>
      <c r="X52" s="64" t="str">
        <f t="shared" ca="1" si="1"/>
        <v>1</v>
      </c>
      <c r="Y52" s="82" t="str">
        <f t="shared" ca="1" si="2"/>
        <v>1</v>
      </c>
      <c r="Z52" s="87"/>
      <c r="AA52" s="87" t="s">
        <v>22</v>
      </c>
      <c r="AB52"/>
      <c r="BF52"/>
      <c r="BG52"/>
      <c r="BH52"/>
    </row>
    <row r="53" spans="1:60" s="6" customFormat="1" ht="25" x14ac:dyDescent="0.35">
      <c r="A53" s="85">
        <v>4848</v>
      </c>
      <c r="B53" s="86">
        <v>2016</v>
      </c>
      <c r="C53" s="87" t="s">
        <v>35</v>
      </c>
      <c r="D53" s="87" t="s">
        <v>130</v>
      </c>
      <c r="E53" s="87" t="s">
        <v>26</v>
      </c>
      <c r="F53" s="87" t="s">
        <v>25</v>
      </c>
      <c r="G53" s="88">
        <v>1</v>
      </c>
      <c r="H53" s="85">
        <v>15377</v>
      </c>
      <c r="I53" s="87" t="s">
        <v>133</v>
      </c>
      <c r="J53" s="85"/>
      <c r="K53" s="85"/>
      <c r="L53" s="85">
        <v>36</v>
      </c>
      <c r="M53" s="85"/>
      <c r="N53" s="85"/>
      <c r="O53" s="85"/>
      <c r="P53" s="91"/>
      <c r="Q53" s="91"/>
      <c r="R53" s="91"/>
      <c r="S53" s="91"/>
      <c r="T53" s="89"/>
      <c r="U53" s="85"/>
      <c r="V53" s="85"/>
      <c r="W53" s="83">
        <f t="shared" ca="1" si="0"/>
        <v>13</v>
      </c>
      <c r="X53" s="64" t="str">
        <f t="shared" ca="1" si="1"/>
        <v>1</v>
      </c>
      <c r="Y53" s="82" t="str">
        <f t="shared" ca="1" si="2"/>
        <v>1</v>
      </c>
      <c r="Z53" s="87"/>
      <c r="AA53" s="87" t="s">
        <v>22</v>
      </c>
      <c r="AB53"/>
      <c r="BF53"/>
      <c r="BG53"/>
      <c r="BH53"/>
    </row>
    <row r="54" spans="1:60" s="6" customFormat="1" ht="25" x14ac:dyDescent="0.35">
      <c r="A54" s="85">
        <v>4848</v>
      </c>
      <c r="B54" s="86">
        <v>2016</v>
      </c>
      <c r="C54" s="87" t="s">
        <v>35</v>
      </c>
      <c r="D54" s="87" t="s">
        <v>130</v>
      </c>
      <c r="E54" s="87" t="s">
        <v>26</v>
      </c>
      <c r="F54" s="87" t="s">
        <v>25</v>
      </c>
      <c r="G54" s="88">
        <v>1</v>
      </c>
      <c r="H54" s="85">
        <v>15377</v>
      </c>
      <c r="I54" s="87" t="s">
        <v>134</v>
      </c>
      <c r="J54" s="85"/>
      <c r="K54" s="85"/>
      <c r="L54" s="85">
        <v>36</v>
      </c>
      <c r="M54" s="85"/>
      <c r="N54" s="85"/>
      <c r="O54" s="85"/>
      <c r="P54" s="91"/>
      <c r="Q54" s="91"/>
      <c r="R54" s="91"/>
      <c r="S54" s="91"/>
      <c r="T54" s="89"/>
      <c r="U54" s="85"/>
      <c r="V54" s="85"/>
      <c r="W54" s="83">
        <f t="shared" ca="1" si="0"/>
        <v>13</v>
      </c>
      <c r="X54" s="64" t="str">
        <f t="shared" ca="1" si="1"/>
        <v>1</v>
      </c>
      <c r="Y54" s="82" t="str">
        <f t="shared" ca="1" si="2"/>
        <v>1</v>
      </c>
      <c r="Z54" s="87"/>
      <c r="AA54" s="87" t="s">
        <v>22</v>
      </c>
      <c r="AB54"/>
      <c r="BF54"/>
      <c r="BG54"/>
      <c r="BH54"/>
    </row>
    <row r="55" spans="1:60" s="6" customFormat="1" ht="25" x14ac:dyDescent="0.35">
      <c r="A55" s="85">
        <v>4848</v>
      </c>
      <c r="B55" s="86">
        <v>2016</v>
      </c>
      <c r="C55" s="87" t="s">
        <v>35</v>
      </c>
      <c r="D55" s="87" t="s">
        <v>130</v>
      </c>
      <c r="E55" s="87" t="s">
        <v>26</v>
      </c>
      <c r="F55" s="87" t="s">
        <v>25</v>
      </c>
      <c r="G55" s="88">
        <v>1</v>
      </c>
      <c r="H55" s="85">
        <v>15377</v>
      </c>
      <c r="I55" s="87" t="s">
        <v>137</v>
      </c>
      <c r="J55" s="85">
        <v>14</v>
      </c>
      <c r="K55" s="85"/>
      <c r="L55" s="85"/>
      <c r="M55" s="85"/>
      <c r="N55" s="85"/>
      <c r="O55" s="85"/>
      <c r="P55" s="91"/>
      <c r="Q55" s="91"/>
      <c r="R55" s="91"/>
      <c r="S55" s="91"/>
      <c r="T55" s="89"/>
      <c r="U55" s="85"/>
      <c r="V55" s="85"/>
      <c r="W55" s="83">
        <f t="shared" ca="1" si="0"/>
        <v>13</v>
      </c>
      <c r="X55" s="64" t="str">
        <f t="shared" ca="1" si="1"/>
        <v>1</v>
      </c>
      <c r="Y55" s="82" t="str">
        <f t="shared" ca="1" si="2"/>
        <v>1</v>
      </c>
      <c r="Z55" s="87"/>
      <c r="AA55" s="87"/>
      <c r="AB55"/>
      <c r="BF55"/>
      <c r="BG55"/>
      <c r="BH55"/>
    </row>
    <row r="56" spans="1:60" s="6" customFormat="1" ht="25" x14ac:dyDescent="0.35">
      <c r="A56" s="85">
        <v>4848</v>
      </c>
      <c r="B56" s="86">
        <v>2016</v>
      </c>
      <c r="C56" s="87" t="s">
        <v>35</v>
      </c>
      <c r="D56" s="87" t="s">
        <v>135</v>
      </c>
      <c r="E56" s="87" t="s">
        <v>20</v>
      </c>
      <c r="F56" s="87" t="s">
        <v>82</v>
      </c>
      <c r="G56" s="88">
        <v>1</v>
      </c>
      <c r="H56" s="85">
        <v>15377</v>
      </c>
      <c r="I56" s="87" t="s">
        <v>128</v>
      </c>
      <c r="J56" s="85"/>
      <c r="K56" s="85"/>
      <c r="L56" s="85">
        <v>34</v>
      </c>
      <c r="M56" s="85"/>
      <c r="N56" s="85"/>
      <c r="O56" s="85"/>
      <c r="P56" s="91"/>
      <c r="Q56" s="91"/>
      <c r="R56" s="91"/>
      <c r="S56" s="91"/>
      <c r="T56" s="89"/>
      <c r="U56" s="85"/>
      <c r="V56" s="85"/>
      <c r="W56" s="83">
        <f t="shared" ca="1" si="0"/>
        <v>13</v>
      </c>
      <c r="X56" s="64" t="str">
        <f t="shared" ca="1" si="1"/>
        <v>1</v>
      </c>
      <c r="Y56" s="82" t="str">
        <f t="shared" ca="1" si="2"/>
        <v>1</v>
      </c>
      <c r="Z56" s="87"/>
      <c r="AA56" s="87" t="s">
        <v>22</v>
      </c>
      <c r="AB56"/>
      <c r="BF56"/>
      <c r="BG56"/>
      <c r="BH56"/>
    </row>
    <row r="57" spans="1:60" s="6" customFormat="1" ht="25" x14ac:dyDescent="0.35">
      <c r="A57" s="85">
        <v>4848</v>
      </c>
      <c r="B57" s="86">
        <v>2016</v>
      </c>
      <c r="C57" s="87" t="s">
        <v>35</v>
      </c>
      <c r="D57" s="87" t="s">
        <v>135</v>
      </c>
      <c r="E57" s="87" t="s">
        <v>20</v>
      </c>
      <c r="F57" s="87" t="s">
        <v>82</v>
      </c>
      <c r="G57" s="88">
        <v>1</v>
      </c>
      <c r="H57" s="85">
        <v>15377</v>
      </c>
      <c r="I57" s="87" t="s">
        <v>124</v>
      </c>
      <c r="J57" s="85"/>
      <c r="K57" s="85"/>
      <c r="L57" s="85">
        <v>34</v>
      </c>
      <c r="M57" s="85"/>
      <c r="N57" s="85"/>
      <c r="O57" s="85"/>
      <c r="P57" s="91"/>
      <c r="Q57" s="91"/>
      <c r="R57" s="91"/>
      <c r="S57" s="91"/>
      <c r="T57" s="89"/>
      <c r="U57" s="85"/>
      <c r="V57" s="85"/>
      <c r="W57" s="83">
        <f t="shared" ca="1" si="0"/>
        <v>13</v>
      </c>
      <c r="X57" s="64" t="str">
        <f t="shared" ca="1" si="1"/>
        <v>1</v>
      </c>
      <c r="Y57" s="82" t="str">
        <f t="shared" ca="1" si="2"/>
        <v>1</v>
      </c>
      <c r="Z57" s="87"/>
      <c r="AA57" s="87"/>
      <c r="AB57"/>
      <c r="BF57"/>
      <c r="BG57"/>
      <c r="BH57"/>
    </row>
    <row r="58" spans="1:60" s="6" customFormat="1" ht="25" x14ac:dyDescent="0.35">
      <c r="A58" s="85">
        <v>4848</v>
      </c>
      <c r="B58" s="86">
        <v>2016</v>
      </c>
      <c r="C58" s="87" t="s">
        <v>35</v>
      </c>
      <c r="D58" s="87" t="s">
        <v>135</v>
      </c>
      <c r="E58" s="87" t="s">
        <v>20</v>
      </c>
      <c r="F58" s="87" t="s">
        <v>82</v>
      </c>
      <c r="G58" s="88">
        <v>1</v>
      </c>
      <c r="H58" s="85">
        <v>15377</v>
      </c>
      <c r="I58" s="87" t="s">
        <v>136</v>
      </c>
      <c r="J58" s="85"/>
      <c r="K58" s="85"/>
      <c r="L58" s="85">
        <v>34</v>
      </c>
      <c r="M58" s="85"/>
      <c r="N58" s="85"/>
      <c r="O58" s="85">
        <v>1</v>
      </c>
      <c r="P58" s="91">
        <v>1</v>
      </c>
      <c r="Q58" s="91"/>
      <c r="R58" s="91"/>
      <c r="S58" s="91"/>
      <c r="T58" s="89"/>
      <c r="U58" s="85"/>
      <c r="V58" s="85"/>
      <c r="W58" s="83">
        <f t="shared" ca="1" si="0"/>
        <v>13</v>
      </c>
      <c r="X58" s="64" t="str">
        <f t="shared" ca="1" si="1"/>
        <v>1</v>
      </c>
      <c r="Y58" s="82" t="str">
        <f t="shared" ca="1" si="2"/>
        <v>1</v>
      </c>
      <c r="Z58" s="87"/>
      <c r="AA58" s="87" t="s">
        <v>22</v>
      </c>
      <c r="AB58"/>
      <c r="BF58"/>
      <c r="BG58"/>
      <c r="BH58"/>
    </row>
    <row r="59" spans="1:60" s="6" customFormat="1" ht="25" x14ac:dyDescent="0.35">
      <c r="A59" s="85">
        <v>4848</v>
      </c>
      <c r="B59" s="86">
        <v>2016</v>
      </c>
      <c r="C59" s="87" t="s">
        <v>35</v>
      </c>
      <c r="D59" s="87" t="s">
        <v>135</v>
      </c>
      <c r="E59" s="87" t="s">
        <v>20</v>
      </c>
      <c r="F59" s="87" t="s">
        <v>82</v>
      </c>
      <c r="G59" s="88">
        <v>1</v>
      </c>
      <c r="H59" s="85">
        <v>15377</v>
      </c>
      <c r="I59" s="87" t="s">
        <v>137</v>
      </c>
      <c r="J59" s="85"/>
      <c r="K59" s="85"/>
      <c r="L59" s="85">
        <v>32</v>
      </c>
      <c r="M59" s="85">
        <v>1</v>
      </c>
      <c r="N59" s="85">
        <v>1</v>
      </c>
      <c r="O59" s="85"/>
      <c r="P59" s="91"/>
      <c r="Q59" s="91"/>
      <c r="R59" s="91"/>
      <c r="S59" s="91"/>
      <c r="T59" s="89"/>
      <c r="U59" s="85"/>
      <c r="V59" s="85"/>
      <c r="W59" s="83">
        <f t="shared" ca="1" si="0"/>
        <v>13</v>
      </c>
      <c r="X59" s="64" t="str">
        <f t="shared" ca="1" si="1"/>
        <v>1</v>
      </c>
      <c r="Y59" s="82" t="str">
        <f t="shared" ca="1" si="2"/>
        <v>1</v>
      </c>
      <c r="Z59" s="87"/>
      <c r="AA59" s="87" t="s">
        <v>22</v>
      </c>
      <c r="AB59"/>
      <c r="BF59"/>
      <c r="BG59"/>
      <c r="BH59"/>
    </row>
    <row r="60" spans="1:60" s="6" customFormat="1" ht="25" x14ac:dyDescent="0.35">
      <c r="A60" s="85">
        <v>4848</v>
      </c>
      <c r="B60" s="86">
        <v>2016</v>
      </c>
      <c r="C60" s="87" t="s">
        <v>35</v>
      </c>
      <c r="D60" s="87" t="s">
        <v>135</v>
      </c>
      <c r="E60" s="87" t="s">
        <v>20</v>
      </c>
      <c r="F60" s="87" t="s">
        <v>82</v>
      </c>
      <c r="G60" s="88">
        <v>1</v>
      </c>
      <c r="H60" s="85">
        <v>15377</v>
      </c>
      <c r="I60" s="87" t="s">
        <v>132</v>
      </c>
      <c r="J60" s="85"/>
      <c r="K60" s="85"/>
      <c r="L60" s="85">
        <v>14</v>
      </c>
      <c r="M60" s="85"/>
      <c r="N60" s="85"/>
      <c r="O60" s="85"/>
      <c r="P60" s="91"/>
      <c r="Q60" s="91"/>
      <c r="R60" s="91"/>
      <c r="S60" s="91"/>
      <c r="T60" s="89"/>
      <c r="U60" s="85"/>
      <c r="V60" s="85"/>
      <c r="W60" s="83">
        <f t="shared" ca="1" si="0"/>
        <v>13</v>
      </c>
      <c r="X60" s="64" t="str">
        <f t="shared" ca="1" si="1"/>
        <v>1</v>
      </c>
      <c r="Y60" s="82" t="str">
        <f t="shared" ca="1" si="2"/>
        <v>1</v>
      </c>
      <c r="Z60" s="87"/>
      <c r="AA60" s="87"/>
      <c r="AB60"/>
      <c r="BF60"/>
      <c r="BG60"/>
      <c r="BH60"/>
    </row>
    <row r="61" spans="1:60" s="6" customFormat="1" ht="25" x14ac:dyDescent="0.35">
      <c r="A61" s="85">
        <v>4848</v>
      </c>
      <c r="B61" s="86">
        <v>2016</v>
      </c>
      <c r="C61" s="87" t="s">
        <v>35</v>
      </c>
      <c r="D61" s="87" t="s">
        <v>73</v>
      </c>
      <c r="E61" s="87" t="s">
        <v>20</v>
      </c>
      <c r="F61" s="87" t="s">
        <v>21</v>
      </c>
      <c r="G61" s="88">
        <v>1</v>
      </c>
      <c r="H61" s="85">
        <v>15377</v>
      </c>
      <c r="I61" s="87" t="s">
        <v>66</v>
      </c>
      <c r="J61" s="85">
        <v>54</v>
      </c>
      <c r="K61" s="85">
        <v>54</v>
      </c>
      <c r="L61" s="85"/>
      <c r="M61" s="85"/>
      <c r="N61" s="85"/>
      <c r="O61" s="85">
        <v>1</v>
      </c>
      <c r="P61" s="91">
        <v>1</v>
      </c>
      <c r="Q61" s="91"/>
      <c r="R61" s="91"/>
      <c r="S61" s="91"/>
      <c r="T61" s="89"/>
      <c r="U61" s="85"/>
      <c r="V61" s="85"/>
      <c r="W61" s="83">
        <f t="shared" ca="1" si="0"/>
        <v>13</v>
      </c>
      <c r="X61" s="64" t="str">
        <f t="shared" ca="1" si="1"/>
        <v>1</v>
      </c>
      <c r="Y61" s="82" t="str">
        <f t="shared" ca="1" si="2"/>
        <v>1</v>
      </c>
      <c r="Z61" s="87"/>
      <c r="AA61" s="87" t="s">
        <v>22</v>
      </c>
      <c r="AB61"/>
      <c r="BF61"/>
      <c r="BG61"/>
      <c r="BH61"/>
    </row>
    <row r="62" spans="1:60" s="6" customFormat="1" ht="25" x14ac:dyDescent="0.35">
      <c r="A62" s="85">
        <v>4848</v>
      </c>
      <c r="B62" s="86">
        <v>2017</v>
      </c>
      <c r="C62" s="87" t="s">
        <v>35</v>
      </c>
      <c r="D62" s="87" t="s">
        <v>72</v>
      </c>
      <c r="E62" s="87" t="s">
        <v>26</v>
      </c>
      <c r="F62" s="87" t="s">
        <v>25</v>
      </c>
      <c r="G62" s="88">
        <v>1</v>
      </c>
      <c r="H62" s="85">
        <v>16003</v>
      </c>
      <c r="I62" s="87" t="s">
        <v>142</v>
      </c>
      <c r="J62" s="85"/>
      <c r="K62" s="85">
        <v>48</v>
      </c>
      <c r="L62" s="85">
        <v>9</v>
      </c>
      <c r="M62" s="85">
        <v>1</v>
      </c>
      <c r="N62" s="85">
        <v>1</v>
      </c>
      <c r="O62" s="85"/>
      <c r="P62" s="90">
        <v>1</v>
      </c>
      <c r="Q62" s="90"/>
      <c r="R62" s="90"/>
      <c r="S62" s="90"/>
      <c r="T62" s="89"/>
      <c r="U62" s="85"/>
      <c r="V62" s="85"/>
      <c r="W62" s="83">
        <f t="shared" ca="1" si="0"/>
        <v>13</v>
      </c>
      <c r="X62" s="64" t="str">
        <f t="shared" ca="1" si="1"/>
        <v>1</v>
      </c>
      <c r="Y62" s="82" t="str">
        <f t="shared" ca="1" si="2"/>
        <v>1</v>
      </c>
      <c r="Z62" s="87"/>
      <c r="AA62" s="87" t="s">
        <v>22</v>
      </c>
      <c r="AB62"/>
      <c r="BF62"/>
      <c r="BG62"/>
      <c r="BH62"/>
    </row>
    <row r="63" spans="1:60" s="6" customFormat="1" ht="25" x14ac:dyDescent="0.35">
      <c r="A63" s="85">
        <v>4848</v>
      </c>
      <c r="B63" s="86">
        <v>2017</v>
      </c>
      <c r="C63" s="87" t="s">
        <v>35</v>
      </c>
      <c r="D63" s="87" t="s">
        <v>72</v>
      </c>
      <c r="E63" s="87" t="s">
        <v>26</v>
      </c>
      <c r="F63" s="87" t="s">
        <v>25</v>
      </c>
      <c r="G63" s="88">
        <v>1</v>
      </c>
      <c r="H63" s="85">
        <v>16003</v>
      </c>
      <c r="I63" s="87" t="s">
        <v>136</v>
      </c>
      <c r="J63" s="85">
        <v>54</v>
      </c>
      <c r="K63" s="85"/>
      <c r="L63" s="85"/>
      <c r="M63" s="85"/>
      <c r="N63" s="85"/>
      <c r="O63" s="85"/>
      <c r="P63" s="90"/>
      <c r="Q63" s="90"/>
      <c r="R63" s="90"/>
      <c r="S63" s="90"/>
      <c r="T63" s="89"/>
      <c r="U63" s="85"/>
      <c r="V63" s="85"/>
      <c r="W63" s="83">
        <f t="shared" ca="1" si="0"/>
        <v>13</v>
      </c>
      <c r="X63" s="64" t="str">
        <f t="shared" ca="1" si="1"/>
        <v>1</v>
      </c>
      <c r="Y63" s="82" t="str">
        <f t="shared" ca="1" si="2"/>
        <v>1</v>
      </c>
      <c r="Z63" s="87"/>
      <c r="AA63" s="87" t="s">
        <v>22</v>
      </c>
      <c r="AB63"/>
      <c r="BF63"/>
      <c r="BG63"/>
      <c r="BH63"/>
    </row>
    <row r="64" spans="1:60" s="6" customFormat="1" ht="25" x14ac:dyDescent="0.35">
      <c r="A64" s="85">
        <v>4848</v>
      </c>
      <c r="B64" s="86">
        <v>2017</v>
      </c>
      <c r="C64" s="87" t="s">
        <v>35</v>
      </c>
      <c r="D64" s="87" t="s">
        <v>72</v>
      </c>
      <c r="E64" s="87" t="s">
        <v>26</v>
      </c>
      <c r="F64" s="87" t="s">
        <v>25</v>
      </c>
      <c r="G64" s="88">
        <v>1</v>
      </c>
      <c r="H64" s="85">
        <v>16003</v>
      </c>
      <c r="I64" s="87" t="s">
        <v>143</v>
      </c>
      <c r="J64" s="85">
        <v>24</v>
      </c>
      <c r="K64" s="85"/>
      <c r="L64" s="85">
        <v>48</v>
      </c>
      <c r="M64" s="85">
        <v>1</v>
      </c>
      <c r="N64" s="85">
        <v>1</v>
      </c>
      <c r="O64" s="85"/>
      <c r="P64" s="90"/>
      <c r="Q64" s="90"/>
      <c r="R64" s="90"/>
      <c r="S64" s="90"/>
      <c r="T64" s="89"/>
      <c r="U64" s="85"/>
      <c r="V64" s="85"/>
      <c r="W64" s="83">
        <f t="shared" ca="1" si="0"/>
        <v>13</v>
      </c>
      <c r="X64" s="64" t="str">
        <f t="shared" ca="1" si="1"/>
        <v>1</v>
      </c>
      <c r="Y64" s="82" t="str">
        <f t="shared" ca="1" si="2"/>
        <v>1</v>
      </c>
      <c r="Z64" s="87"/>
      <c r="AA64" s="87" t="s">
        <v>22</v>
      </c>
      <c r="AB64"/>
      <c r="BF64"/>
      <c r="BG64"/>
      <c r="BH64"/>
    </row>
    <row r="65" spans="1:60" s="6" customFormat="1" ht="25" x14ac:dyDescent="0.35">
      <c r="A65" s="85">
        <v>4848</v>
      </c>
      <c r="B65" s="86">
        <v>2017</v>
      </c>
      <c r="C65" s="87" t="s">
        <v>35</v>
      </c>
      <c r="D65" s="87" t="s">
        <v>115</v>
      </c>
      <c r="E65" s="87" t="s">
        <v>20</v>
      </c>
      <c r="F65" s="87" t="s">
        <v>82</v>
      </c>
      <c r="G65" s="88">
        <v>0.5</v>
      </c>
      <c r="H65" s="85">
        <v>16003</v>
      </c>
      <c r="I65" s="87" t="s">
        <v>144</v>
      </c>
      <c r="J65" s="85"/>
      <c r="K65" s="85">
        <v>22</v>
      </c>
      <c r="L65" s="85">
        <v>22</v>
      </c>
      <c r="M65" s="85"/>
      <c r="N65" s="85"/>
      <c r="O65" s="85"/>
      <c r="P65" s="90"/>
      <c r="Q65" s="90"/>
      <c r="R65" s="90"/>
      <c r="S65" s="90"/>
      <c r="T65" s="89"/>
      <c r="U65" s="85"/>
      <c r="V65" s="85"/>
      <c r="W65" s="83">
        <f t="shared" ca="1" si="0"/>
        <v>13</v>
      </c>
      <c r="X65" s="64" t="str">
        <f t="shared" ca="1" si="1"/>
        <v>1</v>
      </c>
      <c r="Y65" s="82" t="str">
        <f t="shared" ca="1" si="2"/>
        <v>1</v>
      </c>
      <c r="Z65" s="87"/>
      <c r="AA65" s="87" t="s">
        <v>22</v>
      </c>
      <c r="AB65"/>
      <c r="BF65"/>
      <c r="BG65"/>
      <c r="BH65"/>
    </row>
    <row r="66" spans="1:60" s="6" customFormat="1" ht="25" x14ac:dyDescent="0.35">
      <c r="A66" s="85">
        <v>4848</v>
      </c>
      <c r="B66" s="86">
        <v>2017</v>
      </c>
      <c r="C66" s="87" t="s">
        <v>35</v>
      </c>
      <c r="D66" s="87" t="s">
        <v>115</v>
      </c>
      <c r="E66" s="87" t="s">
        <v>20</v>
      </c>
      <c r="F66" s="87" t="s">
        <v>82</v>
      </c>
      <c r="G66" s="88">
        <v>0.5</v>
      </c>
      <c r="H66" s="85">
        <v>16003</v>
      </c>
      <c r="I66" s="87" t="s">
        <v>148</v>
      </c>
      <c r="J66" s="85"/>
      <c r="K66" s="85"/>
      <c r="L66" s="85">
        <v>34</v>
      </c>
      <c r="M66" s="85"/>
      <c r="N66" s="85"/>
      <c r="O66" s="85"/>
      <c r="P66" s="90"/>
      <c r="Q66" s="90"/>
      <c r="R66" s="90"/>
      <c r="S66" s="90"/>
      <c r="T66" s="89"/>
      <c r="U66" s="85"/>
      <c r="V66" s="85"/>
      <c r="W66" s="83">
        <f t="shared" ca="1" si="0"/>
        <v>13</v>
      </c>
      <c r="X66" s="64" t="str">
        <f t="shared" ca="1" si="1"/>
        <v>1</v>
      </c>
      <c r="Y66" s="82" t="str">
        <f t="shared" ca="1" si="2"/>
        <v>1</v>
      </c>
      <c r="Z66" s="87"/>
      <c r="AA66" s="87"/>
      <c r="AB66"/>
      <c r="BF66"/>
      <c r="BG66"/>
      <c r="BH66"/>
    </row>
    <row r="67" spans="1:60" s="6" customFormat="1" ht="25" x14ac:dyDescent="0.35">
      <c r="A67" s="85">
        <v>4848</v>
      </c>
      <c r="B67" s="86">
        <v>2017</v>
      </c>
      <c r="C67" s="87" t="s">
        <v>35</v>
      </c>
      <c r="D67" s="87" t="s">
        <v>115</v>
      </c>
      <c r="E67" s="87" t="s">
        <v>20</v>
      </c>
      <c r="F67" s="87" t="s">
        <v>82</v>
      </c>
      <c r="G67" s="88">
        <v>0.5</v>
      </c>
      <c r="H67" s="85">
        <v>16003</v>
      </c>
      <c r="I67" s="87" t="s">
        <v>145</v>
      </c>
      <c r="J67" s="85"/>
      <c r="K67" s="85">
        <v>10</v>
      </c>
      <c r="L67" s="85">
        <v>20</v>
      </c>
      <c r="M67" s="85"/>
      <c r="N67" s="85"/>
      <c r="O67" s="85"/>
      <c r="P67" s="90"/>
      <c r="Q67" s="90"/>
      <c r="R67" s="90"/>
      <c r="S67" s="90"/>
      <c r="T67" s="89"/>
      <c r="U67" s="85"/>
      <c r="V67" s="85"/>
      <c r="W67" s="83">
        <f t="shared" ca="1" si="0"/>
        <v>13</v>
      </c>
      <c r="X67" s="64" t="str">
        <f t="shared" ca="1" si="1"/>
        <v>1</v>
      </c>
      <c r="Y67" s="82" t="str">
        <f t="shared" ca="1" si="2"/>
        <v>1</v>
      </c>
      <c r="Z67" s="87"/>
      <c r="AA67" s="87"/>
      <c r="AB67"/>
      <c r="BF67"/>
      <c r="BG67"/>
      <c r="BH67"/>
    </row>
    <row r="68" spans="1:60" s="6" customFormat="1" ht="25" x14ac:dyDescent="0.35">
      <c r="A68" s="85">
        <v>4848</v>
      </c>
      <c r="B68" s="86">
        <v>2017</v>
      </c>
      <c r="C68" s="87" t="s">
        <v>35</v>
      </c>
      <c r="D68" s="87" t="s">
        <v>115</v>
      </c>
      <c r="E68" s="87" t="s">
        <v>20</v>
      </c>
      <c r="F68" s="87" t="s">
        <v>82</v>
      </c>
      <c r="G68" s="88">
        <v>0.5</v>
      </c>
      <c r="H68" s="85">
        <v>16003</v>
      </c>
      <c r="I68" s="87" t="s">
        <v>136</v>
      </c>
      <c r="J68" s="85"/>
      <c r="K68" s="85"/>
      <c r="L68" s="85">
        <v>20</v>
      </c>
      <c r="M68" s="85">
        <v>1</v>
      </c>
      <c r="N68" s="85"/>
      <c r="O68" s="85"/>
      <c r="P68" s="90"/>
      <c r="Q68" s="90"/>
      <c r="R68" s="90"/>
      <c r="S68" s="90"/>
      <c r="T68" s="89"/>
      <c r="U68" s="85"/>
      <c r="V68" s="85"/>
      <c r="W68" s="83">
        <f t="shared" ref="W68:W131" ca="1" si="3">IFERROR(OFFSET($AC$11,0,MATCH(H68,$AD$4:$BE$4,0)),IFERROR(OFFSET($AC$12,0,MATCH(H68,$AD$5:$BE$5,0)),MOD(H68,20)+7))</f>
        <v>13</v>
      </c>
      <c r="X68" s="64" t="str">
        <f t="shared" ref="X68:X131" ca="1" si="4">IF(W68&lt;=30, "1", "2")</f>
        <v>1</v>
      </c>
      <c r="Y68" s="82" t="str">
        <f t="shared" ref="Y68:Y131" ca="1" si="5" xml:space="preserve"> IF(W68&lt;=15, "1", IF(W68&lt;=30, "2", IF(W68&lt;=45, "3", IF(W68&lt;=60, "4"))))</f>
        <v>1</v>
      </c>
      <c r="Z68" s="87"/>
      <c r="AA68" s="87"/>
      <c r="AB68"/>
      <c r="BF68"/>
      <c r="BG68"/>
      <c r="BH68"/>
    </row>
    <row r="69" spans="1:60" s="6" customFormat="1" ht="25" x14ac:dyDescent="0.35">
      <c r="A69" s="85">
        <v>4848</v>
      </c>
      <c r="B69" s="86">
        <v>2017</v>
      </c>
      <c r="C69" s="87" t="s">
        <v>35</v>
      </c>
      <c r="D69" s="87" t="s">
        <v>116</v>
      </c>
      <c r="E69" s="87" t="s">
        <v>28</v>
      </c>
      <c r="F69" s="87" t="s">
        <v>56</v>
      </c>
      <c r="G69" s="88">
        <v>1</v>
      </c>
      <c r="H69" s="85">
        <v>16003</v>
      </c>
      <c r="I69" s="87" t="s">
        <v>58</v>
      </c>
      <c r="J69" s="85">
        <v>10</v>
      </c>
      <c r="K69" s="85">
        <v>8</v>
      </c>
      <c r="L69" s="85"/>
      <c r="M69" s="85"/>
      <c r="N69" s="85"/>
      <c r="O69" s="85"/>
      <c r="P69" s="90">
        <v>1</v>
      </c>
      <c r="Q69" s="90"/>
      <c r="R69" s="90"/>
      <c r="S69" s="90"/>
      <c r="T69" s="89"/>
      <c r="U69" s="85"/>
      <c r="V69" s="85"/>
      <c r="W69" s="83">
        <f t="shared" ca="1" si="3"/>
        <v>13</v>
      </c>
      <c r="X69" s="64" t="str">
        <f t="shared" ca="1" si="4"/>
        <v>1</v>
      </c>
      <c r="Y69" s="82" t="str">
        <f t="shared" ca="1" si="5"/>
        <v>1</v>
      </c>
      <c r="Z69" s="87"/>
      <c r="AA69" s="87" t="s">
        <v>22</v>
      </c>
      <c r="AB69"/>
      <c r="BF69"/>
      <c r="BG69"/>
      <c r="BH69"/>
    </row>
    <row r="70" spans="1:60" s="6" customFormat="1" ht="25" x14ac:dyDescent="0.35">
      <c r="A70" s="85">
        <v>4848</v>
      </c>
      <c r="B70" s="86">
        <v>2017</v>
      </c>
      <c r="C70" s="87" t="s">
        <v>35</v>
      </c>
      <c r="D70" s="87" t="s">
        <v>36</v>
      </c>
      <c r="E70" s="87" t="s">
        <v>26</v>
      </c>
      <c r="F70" s="87" t="s">
        <v>25</v>
      </c>
      <c r="G70" s="88">
        <v>1</v>
      </c>
      <c r="H70" s="85">
        <v>16003</v>
      </c>
      <c r="I70" s="87" t="s">
        <v>145</v>
      </c>
      <c r="J70" s="85">
        <v>6</v>
      </c>
      <c r="K70" s="85"/>
      <c r="L70" s="85"/>
      <c r="M70" s="85"/>
      <c r="N70" s="85"/>
      <c r="O70" s="85"/>
      <c r="P70" s="90"/>
      <c r="Q70" s="90"/>
      <c r="R70" s="90"/>
      <c r="S70" s="90"/>
      <c r="T70" s="89"/>
      <c r="U70" s="85"/>
      <c r="V70" s="85"/>
      <c r="W70" s="83">
        <f t="shared" ca="1" si="3"/>
        <v>13</v>
      </c>
      <c r="X70" s="64" t="str">
        <f t="shared" ca="1" si="4"/>
        <v>1</v>
      </c>
      <c r="Y70" s="82" t="str">
        <f t="shared" ca="1" si="5"/>
        <v>1</v>
      </c>
      <c r="Z70" s="87"/>
      <c r="AA70" s="87" t="s">
        <v>22</v>
      </c>
      <c r="AB70"/>
      <c r="BF70"/>
      <c r="BG70"/>
      <c r="BH70"/>
    </row>
    <row r="71" spans="1:60" s="6" customFormat="1" ht="25" x14ac:dyDescent="0.35">
      <c r="A71" s="85">
        <v>4848</v>
      </c>
      <c r="B71" s="86">
        <v>2017</v>
      </c>
      <c r="C71" s="87" t="s">
        <v>35</v>
      </c>
      <c r="D71" s="87" t="s">
        <v>117</v>
      </c>
      <c r="E71" s="87" t="s">
        <v>33</v>
      </c>
      <c r="F71" s="87" t="s">
        <v>25</v>
      </c>
      <c r="G71" s="88">
        <v>1</v>
      </c>
      <c r="H71" s="85">
        <v>16003</v>
      </c>
      <c r="I71" s="87" t="s">
        <v>146</v>
      </c>
      <c r="J71" s="85"/>
      <c r="K71" s="85"/>
      <c r="L71" s="85"/>
      <c r="M71" s="85">
        <v>1</v>
      </c>
      <c r="N71" s="85">
        <v>1</v>
      </c>
      <c r="O71" s="85"/>
      <c r="P71" s="90"/>
      <c r="Q71" s="90"/>
      <c r="R71" s="90"/>
      <c r="S71" s="90"/>
      <c r="T71" s="89"/>
      <c r="U71" s="85"/>
      <c r="V71" s="85"/>
      <c r="W71" s="83">
        <f t="shared" ca="1" si="3"/>
        <v>13</v>
      </c>
      <c r="X71" s="64" t="str">
        <f t="shared" ca="1" si="4"/>
        <v>1</v>
      </c>
      <c r="Y71" s="82" t="str">
        <f t="shared" ca="1" si="5"/>
        <v>1</v>
      </c>
      <c r="Z71" s="87"/>
      <c r="AA71" s="87" t="s">
        <v>22</v>
      </c>
      <c r="AB71"/>
      <c r="BF71"/>
      <c r="BG71"/>
      <c r="BH71"/>
    </row>
    <row r="72" spans="1:60" s="6" customFormat="1" ht="25" x14ac:dyDescent="0.35">
      <c r="A72" s="85">
        <v>4848</v>
      </c>
      <c r="B72" s="86">
        <v>2017</v>
      </c>
      <c r="C72" s="87" t="s">
        <v>35</v>
      </c>
      <c r="D72" s="87" t="s">
        <v>135</v>
      </c>
      <c r="E72" s="87" t="s">
        <v>20</v>
      </c>
      <c r="F72" s="87" t="s">
        <v>82</v>
      </c>
      <c r="G72" s="88">
        <v>1</v>
      </c>
      <c r="H72" s="85">
        <v>16003</v>
      </c>
      <c r="I72" s="87" t="s">
        <v>142</v>
      </c>
      <c r="J72" s="85"/>
      <c r="K72" s="85"/>
      <c r="L72" s="85">
        <v>54</v>
      </c>
      <c r="M72" s="85"/>
      <c r="N72" s="85"/>
      <c r="O72" s="85"/>
      <c r="P72" s="90"/>
      <c r="Q72" s="90"/>
      <c r="R72" s="90"/>
      <c r="S72" s="90"/>
      <c r="T72" s="89"/>
      <c r="U72" s="85"/>
      <c r="V72" s="85"/>
      <c r="W72" s="83">
        <f t="shared" ca="1" si="3"/>
        <v>13</v>
      </c>
      <c r="X72" s="64" t="str">
        <f t="shared" ca="1" si="4"/>
        <v>1</v>
      </c>
      <c r="Y72" s="82" t="str">
        <f t="shared" ca="1" si="5"/>
        <v>1</v>
      </c>
      <c r="Z72" s="87"/>
      <c r="AA72" s="87" t="s">
        <v>22</v>
      </c>
      <c r="AB72"/>
      <c r="BF72"/>
      <c r="BG72"/>
      <c r="BH72"/>
    </row>
    <row r="73" spans="1:60" s="6" customFormat="1" ht="25" x14ac:dyDescent="0.35">
      <c r="A73" s="85">
        <v>4848</v>
      </c>
      <c r="B73" s="86">
        <v>2017</v>
      </c>
      <c r="C73" s="87" t="s">
        <v>35</v>
      </c>
      <c r="D73" s="87" t="s">
        <v>135</v>
      </c>
      <c r="E73" s="87" t="s">
        <v>20</v>
      </c>
      <c r="F73" s="87" t="s">
        <v>82</v>
      </c>
      <c r="G73" s="88">
        <v>1</v>
      </c>
      <c r="H73" s="85">
        <v>16003</v>
      </c>
      <c r="I73" s="87" t="s">
        <v>136</v>
      </c>
      <c r="J73" s="85"/>
      <c r="K73" s="85"/>
      <c r="L73" s="85">
        <v>62</v>
      </c>
      <c r="M73" s="85">
        <v>1</v>
      </c>
      <c r="N73" s="85">
        <v>1</v>
      </c>
      <c r="O73" s="85"/>
      <c r="P73" s="90">
        <v>1</v>
      </c>
      <c r="Q73" s="90"/>
      <c r="R73" s="90"/>
      <c r="S73" s="90"/>
      <c r="T73" s="89"/>
      <c r="U73" s="85"/>
      <c r="V73" s="85"/>
      <c r="W73" s="83">
        <f t="shared" ca="1" si="3"/>
        <v>13</v>
      </c>
      <c r="X73" s="64" t="str">
        <f t="shared" ca="1" si="4"/>
        <v>1</v>
      </c>
      <c r="Y73" s="82" t="str">
        <f t="shared" ca="1" si="5"/>
        <v>1</v>
      </c>
      <c r="Z73" s="87"/>
      <c r="AA73" s="87" t="s">
        <v>22</v>
      </c>
      <c r="AB73"/>
      <c r="BF73"/>
      <c r="BG73"/>
      <c r="BH73"/>
    </row>
    <row r="74" spans="1:60" s="6" customFormat="1" ht="25" x14ac:dyDescent="0.35">
      <c r="A74" s="85">
        <v>4848</v>
      </c>
      <c r="B74" s="86">
        <v>2017</v>
      </c>
      <c r="C74" s="87" t="s">
        <v>35</v>
      </c>
      <c r="D74" s="87" t="s">
        <v>135</v>
      </c>
      <c r="E74" s="87" t="s">
        <v>20</v>
      </c>
      <c r="F74" s="87" t="s">
        <v>82</v>
      </c>
      <c r="G74" s="88">
        <v>1</v>
      </c>
      <c r="H74" s="85">
        <v>16003</v>
      </c>
      <c r="I74" s="87" t="s">
        <v>147</v>
      </c>
      <c r="J74" s="85"/>
      <c r="K74" s="85"/>
      <c r="L74" s="85"/>
      <c r="M74" s="85"/>
      <c r="N74" s="85"/>
      <c r="O74" s="85"/>
      <c r="P74" s="90">
        <v>1</v>
      </c>
      <c r="Q74" s="90"/>
      <c r="R74" s="90"/>
      <c r="S74" s="90"/>
      <c r="T74" s="89"/>
      <c r="U74" s="85">
        <v>26</v>
      </c>
      <c r="V74" s="85"/>
      <c r="W74" s="83">
        <f t="shared" ca="1" si="3"/>
        <v>13</v>
      </c>
      <c r="X74" s="64" t="str">
        <f t="shared" ca="1" si="4"/>
        <v>1</v>
      </c>
      <c r="Y74" s="82" t="str">
        <f t="shared" ca="1" si="5"/>
        <v>1</v>
      </c>
      <c r="Z74" s="87"/>
      <c r="AA74" s="87" t="s">
        <v>22</v>
      </c>
      <c r="AB74"/>
      <c r="BF74"/>
      <c r="BG74"/>
      <c r="BH74"/>
    </row>
    <row r="75" spans="1:60" s="6" customFormat="1" ht="25" x14ac:dyDescent="0.35">
      <c r="A75" s="85">
        <v>4848</v>
      </c>
      <c r="B75" s="86">
        <v>2017</v>
      </c>
      <c r="C75" s="87" t="s">
        <v>35</v>
      </c>
      <c r="D75" s="87" t="s">
        <v>73</v>
      </c>
      <c r="E75" s="87" t="s">
        <v>20</v>
      </c>
      <c r="F75" s="87" t="s">
        <v>21</v>
      </c>
      <c r="G75" s="88">
        <v>1</v>
      </c>
      <c r="H75" s="85">
        <v>16003</v>
      </c>
      <c r="I75" s="87" t="s">
        <v>148</v>
      </c>
      <c r="J75" s="85">
        <v>17</v>
      </c>
      <c r="K75" s="85"/>
      <c r="L75" s="85"/>
      <c r="M75" s="85"/>
      <c r="N75" s="85"/>
      <c r="O75" s="85"/>
      <c r="P75" s="90"/>
      <c r="Q75" s="90"/>
      <c r="R75" s="90"/>
      <c r="S75" s="90"/>
      <c r="T75" s="89"/>
      <c r="U75" s="85"/>
      <c r="V75" s="85"/>
      <c r="W75" s="83">
        <f t="shared" ca="1" si="3"/>
        <v>13</v>
      </c>
      <c r="X75" s="64" t="str">
        <f t="shared" ca="1" si="4"/>
        <v>1</v>
      </c>
      <c r="Y75" s="82" t="str">
        <f t="shared" ca="1" si="5"/>
        <v>1</v>
      </c>
      <c r="Z75" s="87"/>
      <c r="AA75" s="87" t="s">
        <v>22</v>
      </c>
      <c r="AB75"/>
      <c r="BF75"/>
      <c r="BG75"/>
      <c r="BH75"/>
    </row>
    <row r="76" spans="1:60" s="6" customFormat="1" ht="25" x14ac:dyDescent="0.35">
      <c r="A76" s="85">
        <v>4848</v>
      </c>
      <c r="B76" s="86">
        <v>2017</v>
      </c>
      <c r="C76" s="87" t="s">
        <v>35</v>
      </c>
      <c r="D76" s="87" t="s">
        <v>73</v>
      </c>
      <c r="E76" s="87" t="s">
        <v>20</v>
      </c>
      <c r="F76" s="87" t="s">
        <v>21</v>
      </c>
      <c r="G76" s="88">
        <v>1</v>
      </c>
      <c r="H76" s="85">
        <v>16003</v>
      </c>
      <c r="I76" s="87" t="s">
        <v>144</v>
      </c>
      <c r="J76" s="85">
        <v>28</v>
      </c>
      <c r="K76" s="85"/>
      <c r="L76" s="85"/>
      <c r="M76" s="85"/>
      <c r="N76" s="85"/>
      <c r="O76" s="85"/>
      <c r="P76" s="90"/>
      <c r="Q76" s="90"/>
      <c r="R76" s="90"/>
      <c r="S76" s="90"/>
      <c r="T76" s="89"/>
      <c r="U76" s="85"/>
      <c r="V76" s="85"/>
      <c r="W76" s="83">
        <f t="shared" ca="1" si="3"/>
        <v>13</v>
      </c>
      <c r="X76" s="64" t="str">
        <f t="shared" ca="1" si="4"/>
        <v>1</v>
      </c>
      <c r="Y76" s="82" t="str">
        <f t="shared" ca="1" si="5"/>
        <v>1</v>
      </c>
      <c r="Z76" s="87"/>
      <c r="AA76" s="87"/>
      <c r="AB76"/>
      <c r="BF76"/>
      <c r="BG76"/>
      <c r="BH76"/>
    </row>
    <row r="77" spans="1:60" s="6" customFormat="1" ht="25" x14ac:dyDescent="0.35">
      <c r="A77" s="85">
        <v>4848</v>
      </c>
      <c r="B77" s="86">
        <v>2017</v>
      </c>
      <c r="C77" s="87" t="s">
        <v>35</v>
      </c>
      <c r="D77" s="87" t="s">
        <v>117</v>
      </c>
      <c r="E77" s="87" t="s">
        <v>33</v>
      </c>
      <c r="F77" s="87" t="s">
        <v>25</v>
      </c>
      <c r="G77" s="88">
        <v>1</v>
      </c>
      <c r="H77" s="85">
        <v>16003</v>
      </c>
      <c r="I77" s="87" t="s">
        <v>149</v>
      </c>
      <c r="J77" s="85">
        <v>16</v>
      </c>
      <c r="K77" s="85"/>
      <c r="L77" s="85">
        <v>20</v>
      </c>
      <c r="M77" s="85"/>
      <c r="N77" s="85"/>
      <c r="O77" s="85"/>
      <c r="P77" s="90"/>
      <c r="Q77" s="90"/>
      <c r="R77" s="90"/>
      <c r="S77" s="90"/>
      <c r="T77" s="89"/>
      <c r="U77" s="85"/>
      <c r="V77" s="85"/>
      <c r="W77" s="83">
        <f t="shared" ca="1" si="3"/>
        <v>13</v>
      </c>
      <c r="X77" s="64" t="str">
        <f t="shared" ca="1" si="4"/>
        <v>1</v>
      </c>
      <c r="Y77" s="82" t="str">
        <f t="shared" ca="1" si="5"/>
        <v>1</v>
      </c>
      <c r="Z77" s="87"/>
      <c r="AA77" s="87" t="s">
        <v>22</v>
      </c>
      <c r="AB77"/>
      <c r="BF77"/>
      <c r="BG77"/>
      <c r="BH77"/>
    </row>
    <row r="78" spans="1:60" s="6" customFormat="1" ht="25" x14ac:dyDescent="0.35">
      <c r="A78" s="85">
        <v>4848</v>
      </c>
      <c r="B78" s="86">
        <v>2017</v>
      </c>
      <c r="C78" s="87" t="s">
        <v>35</v>
      </c>
      <c r="D78" s="87" t="s">
        <v>150</v>
      </c>
      <c r="E78" s="87" t="s">
        <v>30</v>
      </c>
      <c r="F78" s="87" t="s">
        <v>82</v>
      </c>
      <c r="G78" s="88">
        <v>1</v>
      </c>
      <c r="H78" s="85">
        <v>16003</v>
      </c>
      <c r="I78" s="87" t="s">
        <v>147</v>
      </c>
      <c r="J78" s="85"/>
      <c r="K78" s="85"/>
      <c r="L78" s="85"/>
      <c r="M78" s="85"/>
      <c r="N78" s="85"/>
      <c r="O78" s="85"/>
      <c r="P78" s="90">
        <v>1</v>
      </c>
      <c r="Q78" s="90"/>
      <c r="R78" s="90"/>
      <c r="S78" s="90"/>
      <c r="T78" s="89"/>
      <c r="U78" s="85">
        <v>26</v>
      </c>
      <c r="V78" s="85"/>
      <c r="W78" s="83">
        <f t="shared" ca="1" si="3"/>
        <v>13</v>
      </c>
      <c r="X78" s="64" t="str">
        <f t="shared" ca="1" si="4"/>
        <v>1</v>
      </c>
      <c r="Y78" s="82" t="str">
        <f t="shared" ca="1" si="5"/>
        <v>1</v>
      </c>
      <c r="Z78" s="87"/>
      <c r="AA78" s="87" t="s">
        <v>22</v>
      </c>
      <c r="AB78"/>
      <c r="BF78"/>
      <c r="BG78"/>
      <c r="BH78"/>
    </row>
    <row r="79" spans="1:60" s="6" customFormat="1" ht="25" x14ac:dyDescent="0.35">
      <c r="A79" s="85">
        <v>4848</v>
      </c>
      <c r="B79" s="86">
        <v>2018</v>
      </c>
      <c r="C79" s="87" t="s">
        <v>35</v>
      </c>
      <c r="D79" s="87" t="s">
        <v>70</v>
      </c>
      <c r="E79" s="87" t="s">
        <v>28</v>
      </c>
      <c r="F79" s="87" t="s">
        <v>23</v>
      </c>
      <c r="G79" s="88">
        <v>1</v>
      </c>
      <c r="H79" s="85">
        <v>17231</v>
      </c>
      <c r="I79" s="87" t="s">
        <v>160</v>
      </c>
      <c r="J79" s="85">
        <v>8</v>
      </c>
      <c r="K79" s="85">
        <v>14</v>
      </c>
      <c r="L79" s="85">
        <v>4</v>
      </c>
      <c r="M79" s="85"/>
      <c r="N79" s="85"/>
      <c r="O79" s="85"/>
      <c r="P79" s="90"/>
      <c r="Q79" s="90"/>
      <c r="R79" s="90"/>
      <c r="S79" s="90"/>
      <c r="T79" s="89"/>
      <c r="U79" s="85"/>
      <c r="V79" s="85"/>
      <c r="W79" s="83">
        <f t="shared" ca="1" si="3"/>
        <v>13</v>
      </c>
      <c r="X79" s="64" t="str">
        <f t="shared" ca="1" si="4"/>
        <v>1</v>
      </c>
      <c r="Y79" s="82" t="str">
        <f t="shared" ca="1" si="5"/>
        <v>1</v>
      </c>
      <c r="Z79" s="87"/>
      <c r="AA79" s="87" t="s">
        <v>22</v>
      </c>
      <c r="AB79"/>
      <c r="BF79"/>
      <c r="BG79"/>
      <c r="BH79"/>
    </row>
    <row r="80" spans="1:60" s="6" customFormat="1" ht="37.5" x14ac:dyDescent="0.35">
      <c r="A80" s="85">
        <v>4848</v>
      </c>
      <c r="B80" s="86">
        <v>2018</v>
      </c>
      <c r="C80" s="87" t="s">
        <v>35</v>
      </c>
      <c r="D80" s="87" t="s">
        <v>72</v>
      </c>
      <c r="E80" s="87" t="s">
        <v>26</v>
      </c>
      <c r="F80" s="87" t="s">
        <v>25</v>
      </c>
      <c r="G80" s="88">
        <v>1</v>
      </c>
      <c r="H80" s="85">
        <v>17231</v>
      </c>
      <c r="I80" s="87" t="s">
        <v>161</v>
      </c>
      <c r="J80" s="85">
        <v>12</v>
      </c>
      <c r="K80" s="85"/>
      <c r="L80" s="85"/>
      <c r="M80" s="85"/>
      <c r="N80" s="85"/>
      <c r="O80" s="85"/>
      <c r="P80" s="90"/>
      <c r="Q80" s="90"/>
      <c r="R80" s="90"/>
      <c r="S80" s="90"/>
      <c r="T80" s="89"/>
      <c r="U80" s="85"/>
      <c r="V80" s="85"/>
      <c r="W80" s="83">
        <f t="shared" ca="1" si="3"/>
        <v>13</v>
      </c>
      <c r="X80" s="64" t="str">
        <f t="shared" ca="1" si="4"/>
        <v>1</v>
      </c>
      <c r="Y80" s="82" t="str">
        <f t="shared" ca="1" si="5"/>
        <v>1</v>
      </c>
      <c r="Z80" s="87"/>
      <c r="AA80" s="87" t="s">
        <v>22</v>
      </c>
      <c r="AB80"/>
      <c r="BF80"/>
      <c r="BG80"/>
      <c r="BH80"/>
    </row>
    <row r="81" spans="1:60" s="6" customFormat="1" ht="50" x14ac:dyDescent="0.35">
      <c r="A81" s="85">
        <v>4848</v>
      </c>
      <c r="B81" s="86">
        <v>2018</v>
      </c>
      <c r="C81" s="87" t="s">
        <v>35</v>
      </c>
      <c r="D81" s="87" t="s">
        <v>72</v>
      </c>
      <c r="E81" s="87" t="s">
        <v>26</v>
      </c>
      <c r="F81" s="87" t="s">
        <v>25</v>
      </c>
      <c r="G81" s="88">
        <v>1</v>
      </c>
      <c r="H81" s="85">
        <v>17231</v>
      </c>
      <c r="I81" s="87" t="s">
        <v>162</v>
      </c>
      <c r="J81" s="85">
        <v>12</v>
      </c>
      <c r="K81" s="85"/>
      <c r="L81" s="85">
        <v>22</v>
      </c>
      <c r="M81" s="85"/>
      <c r="N81" s="85"/>
      <c r="O81" s="85"/>
      <c r="P81" s="90"/>
      <c r="Q81" s="90"/>
      <c r="R81" s="90"/>
      <c r="S81" s="90"/>
      <c r="T81" s="89"/>
      <c r="U81" s="85"/>
      <c r="V81" s="85"/>
      <c r="W81" s="83">
        <f t="shared" ca="1" si="3"/>
        <v>13</v>
      </c>
      <c r="X81" s="64" t="str">
        <f t="shared" ca="1" si="4"/>
        <v>1</v>
      </c>
      <c r="Y81" s="82" t="str">
        <f t="shared" ca="1" si="5"/>
        <v>1</v>
      </c>
      <c r="Z81" s="87"/>
      <c r="AA81" s="87" t="s">
        <v>61</v>
      </c>
      <c r="AB81"/>
      <c r="BF81"/>
      <c r="BG81"/>
      <c r="BH81"/>
    </row>
    <row r="82" spans="1:60" s="6" customFormat="1" ht="25" x14ac:dyDescent="0.35">
      <c r="A82" s="85">
        <v>4848</v>
      </c>
      <c r="B82" s="86">
        <v>2018</v>
      </c>
      <c r="C82" s="87" t="s">
        <v>35</v>
      </c>
      <c r="D82" s="87" t="s">
        <v>72</v>
      </c>
      <c r="E82" s="87" t="s">
        <v>26</v>
      </c>
      <c r="F82" s="87" t="s">
        <v>25</v>
      </c>
      <c r="G82" s="88">
        <v>1</v>
      </c>
      <c r="H82" s="85">
        <v>17231</v>
      </c>
      <c r="I82" s="87" t="s">
        <v>159</v>
      </c>
      <c r="J82" s="85"/>
      <c r="K82" s="85"/>
      <c r="L82" s="85"/>
      <c r="M82" s="85">
        <v>1</v>
      </c>
      <c r="N82" s="85">
        <v>1</v>
      </c>
      <c r="O82" s="85"/>
      <c r="P82" s="90"/>
      <c r="Q82" s="90"/>
      <c r="R82" s="90"/>
      <c r="S82" s="90"/>
      <c r="T82" s="89"/>
      <c r="U82" s="85"/>
      <c r="V82" s="85"/>
      <c r="W82" s="83">
        <f t="shared" ca="1" si="3"/>
        <v>13</v>
      </c>
      <c r="X82" s="64" t="str">
        <f t="shared" ca="1" si="4"/>
        <v>1</v>
      </c>
      <c r="Y82" s="82" t="str">
        <f t="shared" ca="1" si="5"/>
        <v>1</v>
      </c>
      <c r="Z82" s="87"/>
      <c r="AA82" s="87" t="s">
        <v>22</v>
      </c>
      <c r="AB82"/>
      <c r="BF82"/>
      <c r="BG82"/>
      <c r="BH82"/>
    </row>
    <row r="83" spans="1:60" s="6" customFormat="1" ht="25" x14ac:dyDescent="0.35">
      <c r="A83" s="85">
        <v>4848</v>
      </c>
      <c r="B83" s="86">
        <v>2018</v>
      </c>
      <c r="C83" s="87" t="s">
        <v>35</v>
      </c>
      <c r="D83" s="87" t="s">
        <v>72</v>
      </c>
      <c r="E83" s="87" t="s">
        <v>26</v>
      </c>
      <c r="F83" s="87" t="s">
        <v>25</v>
      </c>
      <c r="G83" s="88">
        <v>1</v>
      </c>
      <c r="H83" s="85">
        <v>17231</v>
      </c>
      <c r="I83" s="87" t="s">
        <v>163</v>
      </c>
      <c r="J83" s="85">
        <v>9</v>
      </c>
      <c r="K83" s="85"/>
      <c r="L83" s="85">
        <v>21</v>
      </c>
      <c r="M83" s="85"/>
      <c r="N83" s="85"/>
      <c r="O83" s="85"/>
      <c r="P83" s="90"/>
      <c r="Q83" s="90"/>
      <c r="R83" s="90"/>
      <c r="S83" s="90"/>
      <c r="T83" s="89"/>
      <c r="U83" s="85"/>
      <c r="V83" s="85"/>
      <c r="W83" s="83">
        <f t="shared" ca="1" si="3"/>
        <v>13</v>
      </c>
      <c r="X83" s="64" t="str">
        <f t="shared" ca="1" si="4"/>
        <v>1</v>
      </c>
      <c r="Y83" s="82" t="str">
        <f t="shared" ca="1" si="5"/>
        <v>1</v>
      </c>
      <c r="Z83" s="87"/>
      <c r="AA83" s="87" t="s">
        <v>22</v>
      </c>
      <c r="AB83"/>
      <c r="BF83"/>
      <c r="BG83"/>
      <c r="BH83"/>
    </row>
    <row r="84" spans="1:60" s="6" customFormat="1" ht="25" x14ac:dyDescent="0.35">
      <c r="A84" s="85">
        <v>4848</v>
      </c>
      <c r="B84" s="86">
        <v>2018</v>
      </c>
      <c r="C84" s="87" t="s">
        <v>35</v>
      </c>
      <c r="D84" s="87" t="s">
        <v>72</v>
      </c>
      <c r="E84" s="87" t="s">
        <v>26</v>
      </c>
      <c r="F84" s="87" t="s">
        <v>25</v>
      </c>
      <c r="G84" s="88">
        <v>1</v>
      </c>
      <c r="H84" s="85">
        <v>17231</v>
      </c>
      <c r="I84" s="87" t="s">
        <v>357</v>
      </c>
      <c r="J84" s="85"/>
      <c r="K84" s="85"/>
      <c r="L84" s="85"/>
      <c r="M84" s="85"/>
      <c r="N84" s="85"/>
      <c r="O84" s="85"/>
      <c r="P84" s="90"/>
      <c r="Q84" s="90"/>
      <c r="R84" s="90"/>
      <c r="S84" s="90"/>
      <c r="T84" s="89"/>
      <c r="U84" s="85"/>
      <c r="V84" s="85"/>
      <c r="W84" s="83">
        <f t="shared" ca="1" si="3"/>
        <v>13</v>
      </c>
      <c r="X84" s="64" t="str">
        <f t="shared" ca="1" si="4"/>
        <v>1</v>
      </c>
      <c r="Y84" s="82" t="str">
        <f t="shared" ca="1" si="5"/>
        <v>1</v>
      </c>
      <c r="Z84" s="87"/>
      <c r="AA84" s="87" t="s">
        <v>22</v>
      </c>
      <c r="AB84"/>
      <c r="BF84"/>
      <c r="BG84"/>
      <c r="BH84"/>
    </row>
    <row r="85" spans="1:60" s="6" customFormat="1" ht="37.5" x14ac:dyDescent="0.35">
      <c r="A85" s="85">
        <v>4848</v>
      </c>
      <c r="B85" s="86">
        <v>2018</v>
      </c>
      <c r="C85" s="87" t="s">
        <v>35</v>
      </c>
      <c r="D85" s="87" t="s">
        <v>72</v>
      </c>
      <c r="E85" s="87" t="s">
        <v>26</v>
      </c>
      <c r="F85" s="87" t="s">
        <v>25</v>
      </c>
      <c r="G85" s="88">
        <v>1</v>
      </c>
      <c r="H85" s="85">
        <v>17231</v>
      </c>
      <c r="I85" s="87" t="s">
        <v>164</v>
      </c>
      <c r="J85" s="85"/>
      <c r="K85" s="85"/>
      <c r="L85" s="85"/>
      <c r="M85" s="85"/>
      <c r="N85" s="85"/>
      <c r="O85" s="85"/>
      <c r="P85" s="90"/>
      <c r="Q85" s="90"/>
      <c r="R85" s="90"/>
      <c r="S85" s="90"/>
      <c r="T85" s="89"/>
      <c r="U85" s="85"/>
      <c r="V85" s="85"/>
      <c r="W85" s="83">
        <f t="shared" ca="1" si="3"/>
        <v>13</v>
      </c>
      <c r="X85" s="64" t="str">
        <f t="shared" ca="1" si="4"/>
        <v>1</v>
      </c>
      <c r="Y85" s="82" t="str">
        <f t="shared" ca="1" si="5"/>
        <v>1</v>
      </c>
      <c r="Z85" s="87"/>
      <c r="AA85" s="87" t="s">
        <v>22</v>
      </c>
      <c r="AB85"/>
    </row>
    <row r="86" spans="1:60" s="6" customFormat="1" ht="37.5" x14ac:dyDescent="0.35">
      <c r="A86" s="85">
        <v>4848</v>
      </c>
      <c r="B86" s="86">
        <v>2018</v>
      </c>
      <c r="C86" s="87" t="s">
        <v>35</v>
      </c>
      <c r="D86" s="87" t="s">
        <v>72</v>
      </c>
      <c r="E86" s="87" t="s">
        <v>26</v>
      </c>
      <c r="F86" s="87" t="s">
        <v>25</v>
      </c>
      <c r="G86" s="88">
        <v>1</v>
      </c>
      <c r="H86" s="85">
        <v>17231</v>
      </c>
      <c r="I86" s="87" t="s">
        <v>165</v>
      </c>
      <c r="J86" s="85"/>
      <c r="K86" s="85"/>
      <c r="L86" s="85"/>
      <c r="M86" s="85"/>
      <c r="N86" s="85"/>
      <c r="O86" s="85"/>
      <c r="P86" s="90"/>
      <c r="Q86" s="90"/>
      <c r="R86" s="90"/>
      <c r="S86" s="90"/>
      <c r="T86" s="89"/>
      <c r="U86" s="85"/>
      <c r="V86" s="85"/>
      <c r="W86" s="83">
        <f t="shared" ca="1" si="3"/>
        <v>13</v>
      </c>
      <c r="X86" s="64" t="str">
        <f t="shared" ca="1" si="4"/>
        <v>1</v>
      </c>
      <c r="Y86" s="82" t="str">
        <f t="shared" ca="1" si="5"/>
        <v>1</v>
      </c>
      <c r="Z86" s="87"/>
      <c r="AA86" s="87" t="s">
        <v>22</v>
      </c>
      <c r="AB86"/>
    </row>
    <row r="87" spans="1:60" s="6" customFormat="1" ht="25" x14ac:dyDescent="0.35">
      <c r="A87" s="85">
        <v>4848</v>
      </c>
      <c r="B87" s="86">
        <v>2018</v>
      </c>
      <c r="C87" s="87" t="s">
        <v>35</v>
      </c>
      <c r="D87" s="87" t="s">
        <v>190</v>
      </c>
      <c r="E87" s="87" t="s">
        <v>26</v>
      </c>
      <c r="F87" s="87" t="s">
        <v>25</v>
      </c>
      <c r="G87" s="88">
        <v>1</v>
      </c>
      <c r="H87" s="85">
        <v>17231</v>
      </c>
      <c r="I87" s="87" t="s">
        <v>271</v>
      </c>
      <c r="J87" s="85">
        <v>4</v>
      </c>
      <c r="K87" s="85"/>
      <c r="L87" s="85"/>
      <c r="M87" s="85"/>
      <c r="N87" s="85"/>
      <c r="O87" s="85"/>
      <c r="P87" s="90">
        <v>1</v>
      </c>
      <c r="Q87" s="90"/>
      <c r="R87" s="90"/>
      <c r="S87" s="90"/>
      <c r="T87" s="89"/>
      <c r="U87" s="85"/>
      <c r="V87" s="85"/>
      <c r="W87" s="83">
        <f t="shared" ca="1" si="3"/>
        <v>13</v>
      </c>
      <c r="X87" s="64" t="str">
        <f t="shared" ca="1" si="4"/>
        <v>1</v>
      </c>
      <c r="Y87" s="82" t="str">
        <f t="shared" ca="1" si="5"/>
        <v>1</v>
      </c>
      <c r="Z87" s="87"/>
      <c r="AA87" s="87" t="s">
        <v>22</v>
      </c>
      <c r="AB87"/>
    </row>
    <row r="88" spans="1:60" s="6" customFormat="1" ht="25" x14ac:dyDescent="0.35">
      <c r="A88" s="85">
        <v>4848</v>
      </c>
      <c r="B88" s="86">
        <v>2018</v>
      </c>
      <c r="C88" s="87" t="s">
        <v>35</v>
      </c>
      <c r="D88" s="87" t="s">
        <v>380</v>
      </c>
      <c r="E88" s="87" t="s">
        <v>33</v>
      </c>
      <c r="F88" s="87" t="s">
        <v>374</v>
      </c>
      <c r="G88" s="88">
        <v>1</v>
      </c>
      <c r="H88" s="85">
        <v>17231</v>
      </c>
      <c r="I88" s="87" t="s">
        <v>271</v>
      </c>
      <c r="J88" s="85">
        <v>14</v>
      </c>
      <c r="K88" s="85"/>
      <c r="L88" s="85"/>
      <c r="M88" s="85">
        <v>1</v>
      </c>
      <c r="N88" s="85"/>
      <c r="O88" s="85"/>
      <c r="P88" s="90"/>
      <c r="Q88" s="90"/>
      <c r="R88" s="90"/>
      <c r="S88" s="90"/>
      <c r="T88" s="89"/>
      <c r="U88" s="85"/>
      <c r="V88" s="85"/>
      <c r="W88" s="83">
        <f t="shared" ca="1" si="3"/>
        <v>13</v>
      </c>
      <c r="X88" s="64" t="str">
        <f t="shared" ca="1" si="4"/>
        <v>1</v>
      </c>
      <c r="Y88" s="82" t="str">
        <f t="shared" ca="1" si="5"/>
        <v>1</v>
      </c>
      <c r="Z88" s="87"/>
      <c r="AA88" s="87"/>
      <c r="AB88"/>
    </row>
    <row r="89" spans="1:60" s="6" customFormat="1" ht="25" x14ac:dyDescent="0.35">
      <c r="A89" s="85">
        <v>4848</v>
      </c>
      <c r="B89" s="86">
        <v>2018</v>
      </c>
      <c r="C89" s="87" t="s">
        <v>35</v>
      </c>
      <c r="D89" s="87" t="s">
        <v>380</v>
      </c>
      <c r="E89" s="87" t="s">
        <v>33</v>
      </c>
      <c r="F89" s="87" t="s">
        <v>374</v>
      </c>
      <c r="G89" s="88">
        <v>1</v>
      </c>
      <c r="H89" s="85">
        <v>17231</v>
      </c>
      <c r="I89" s="87" t="s">
        <v>160</v>
      </c>
      <c r="J89" s="85"/>
      <c r="K89" s="85"/>
      <c r="L89" s="85">
        <v>10</v>
      </c>
      <c r="M89" s="85">
        <v>1</v>
      </c>
      <c r="N89" s="85"/>
      <c r="O89" s="85"/>
      <c r="P89" s="90"/>
      <c r="Q89" s="90"/>
      <c r="R89" s="90"/>
      <c r="S89" s="90"/>
      <c r="T89" s="89"/>
      <c r="U89" s="85"/>
      <c r="V89" s="85"/>
      <c r="W89" s="83">
        <f t="shared" ca="1" si="3"/>
        <v>13</v>
      </c>
      <c r="X89" s="64" t="str">
        <f t="shared" ca="1" si="4"/>
        <v>1</v>
      </c>
      <c r="Y89" s="82" t="str">
        <f t="shared" ca="1" si="5"/>
        <v>1</v>
      </c>
      <c r="Z89" s="87"/>
      <c r="AA89" s="87"/>
      <c r="AB89"/>
    </row>
    <row r="90" spans="1:60" s="6" customFormat="1" ht="37.5" x14ac:dyDescent="0.35">
      <c r="A90" s="85">
        <v>4848</v>
      </c>
      <c r="B90" s="86">
        <v>2019</v>
      </c>
      <c r="C90" s="87" t="s">
        <v>35</v>
      </c>
      <c r="D90" s="87" t="s">
        <v>312</v>
      </c>
      <c r="E90" s="87" t="s">
        <v>63</v>
      </c>
      <c r="F90" s="87" t="s">
        <v>374</v>
      </c>
      <c r="G90" s="88">
        <v>1</v>
      </c>
      <c r="H90" s="85" t="s">
        <v>323</v>
      </c>
      <c r="I90" s="87" t="s">
        <v>159</v>
      </c>
      <c r="J90" s="85"/>
      <c r="K90" s="85"/>
      <c r="L90" s="85"/>
      <c r="M90" s="85">
        <v>1</v>
      </c>
      <c r="N90" s="85">
        <v>1</v>
      </c>
      <c r="O90" s="85"/>
      <c r="P90" s="90"/>
      <c r="Q90" s="90"/>
      <c r="R90" s="90"/>
      <c r="S90" s="90"/>
      <c r="T90" s="89"/>
      <c r="U90" s="85"/>
      <c r="V90" s="85"/>
      <c r="W90" s="83">
        <f t="shared" ca="1" si="3"/>
        <v>27</v>
      </c>
      <c r="X90" s="64" t="str">
        <f t="shared" ca="1" si="4"/>
        <v>1</v>
      </c>
      <c r="Y90" s="82" t="str">
        <f t="shared" ca="1" si="5"/>
        <v>2</v>
      </c>
      <c r="Z90" s="87"/>
      <c r="AA90" s="87"/>
      <c r="AB90"/>
    </row>
    <row r="91" spans="1:60" s="6" customFormat="1" ht="25" x14ac:dyDescent="0.35">
      <c r="A91" s="85">
        <v>4848</v>
      </c>
      <c r="B91" s="86">
        <v>2018</v>
      </c>
      <c r="C91" s="87" t="s">
        <v>35</v>
      </c>
      <c r="D91" s="87" t="s">
        <v>380</v>
      </c>
      <c r="E91" s="87" t="s">
        <v>33</v>
      </c>
      <c r="F91" s="87" t="s">
        <v>374</v>
      </c>
      <c r="G91" s="88">
        <v>1</v>
      </c>
      <c r="H91" s="85">
        <v>17231</v>
      </c>
      <c r="I91" s="87" t="s">
        <v>163</v>
      </c>
      <c r="J91" s="85"/>
      <c r="K91" s="85"/>
      <c r="L91" s="85">
        <v>4</v>
      </c>
      <c r="M91" s="85">
        <v>1</v>
      </c>
      <c r="N91" s="85"/>
      <c r="O91" s="85"/>
      <c r="P91" s="90"/>
      <c r="Q91" s="90"/>
      <c r="R91" s="90"/>
      <c r="S91" s="90"/>
      <c r="T91" s="89"/>
      <c r="U91" s="85"/>
      <c r="V91" s="85"/>
      <c r="W91" s="83">
        <f t="shared" ca="1" si="3"/>
        <v>13</v>
      </c>
      <c r="X91" s="64" t="str">
        <f t="shared" ca="1" si="4"/>
        <v>1</v>
      </c>
      <c r="Y91" s="82" t="str">
        <f t="shared" ca="1" si="5"/>
        <v>1</v>
      </c>
      <c r="Z91" s="87"/>
      <c r="AA91" s="87"/>
      <c r="AB91"/>
    </row>
    <row r="92" spans="1:60" s="6" customFormat="1" ht="37.5" x14ac:dyDescent="0.35">
      <c r="A92" s="85">
        <v>4848</v>
      </c>
      <c r="B92" s="86">
        <v>2018</v>
      </c>
      <c r="C92" s="87" t="s">
        <v>35</v>
      </c>
      <c r="D92" s="87" t="s">
        <v>311</v>
      </c>
      <c r="E92" s="87" t="s">
        <v>63</v>
      </c>
      <c r="F92" s="87" t="s">
        <v>374</v>
      </c>
      <c r="G92" s="88">
        <v>1</v>
      </c>
      <c r="H92" s="85">
        <v>17231</v>
      </c>
      <c r="I92" s="87" t="s">
        <v>164</v>
      </c>
      <c r="J92" s="85"/>
      <c r="K92" s="85"/>
      <c r="L92" s="85"/>
      <c r="M92" s="85"/>
      <c r="N92" s="85"/>
      <c r="O92" s="85"/>
      <c r="P92" s="90"/>
      <c r="Q92" s="90"/>
      <c r="R92" s="90"/>
      <c r="S92" s="90"/>
      <c r="T92" s="89"/>
      <c r="U92" s="85">
        <v>14</v>
      </c>
      <c r="V92" s="85"/>
      <c r="W92" s="83">
        <f t="shared" ca="1" si="3"/>
        <v>13</v>
      </c>
      <c r="X92" s="64" t="str">
        <f t="shared" ca="1" si="4"/>
        <v>1</v>
      </c>
      <c r="Y92" s="82" t="str">
        <f t="shared" ca="1" si="5"/>
        <v>1</v>
      </c>
      <c r="Z92" s="87"/>
      <c r="AA92" s="87"/>
      <c r="AB92"/>
    </row>
    <row r="93" spans="1:60" s="6" customFormat="1" ht="37.5" x14ac:dyDescent="0.35">
      <c r="A93" s="85">
        <v>4848</v>
      </c>
      <c r="B93" s="86">
        <v>2018</v>
      </c>
      <c r="C93" s="87" t="s">
        <v>35</v>
      </c>
      <c r="D93" s="87" t="s">
        <v>311</v>
      </c>
      <c r="E93" s="87" t="s">
        <v>63</v>
      </c>
      <c r="F93" s="87" t="s">
        <v>374</v>
      </c>
      <c r="G93" s="88">
        <v>1</v>
      </c>
      <c r="H93" s="85">
        <v>17231</v>
      </c>
      <c r="I93" s="87" t="s">
        <v>165</v>
      </c>
      <c r="J93" s="85"/>
      <c r="K93" s="85"/>
      <c r="L93" s="85"/>
      <c r="M93" s="85"/>
      <c r="N93" s="85"/>
      <c r="O93" s="85"/>
      <c r="P93" s="90"/>
      <c r="Q93" s="90"/>
      <c r="R93" s="90"/>
      <c r="S93" s="90"/>
      <c r="T93" s="89"/>
      <c r="U93" s="85">
        <v>10</v>
      </c>
      <c r="V93" s="85"/>
      <c r="W93" s="83">
        <f t="shared" ca="1" si="3"/>
        <v>13</v>
      </c>
      <c r="X93" s="64" t="str">
        <f t="shared" ca="1" si="4"/>
        <v>1</v>
      </c>
      <c r="Y93" s="82" t="str">
        <f t="shared" ca="1" si="5"/>
        <v>1</v>
      </c>
      <c r="Z93" s="87"/>
      <c r="AA93" s="87"/>
      <c r="AB93"/>
    </row>
    <row r="94" spans="1:60" s="6" customFormat="1" ht="25" x14ac:dyDescent="0.35">
      <c r="A94" s="85">
        <v>4848</v>
      </c>
      <c r="B94" s="86">
        <v>2018</v>
      </c>
      <c r="C94" s="87" t="s">
        <v>35</v>
      </c>
      <c r="D94" s="87" t="s">
        <v>311</v>
      </c>
      <c r="E94" s="87" t="s">
        <v>63</v>
      </c>
      <c r="F94" s="87" t="s">
        <v>374</v>
      </c>
      <c r="G94" s="88">
        <v>1</v>
      </c>
      <c r="H94" s="85">
        <v>17231</v>
      </c>
      <c r="I94" s="87" t="s">
        <v>357</v>
      </c>
      <c r="J94" s="85"/>
      <c r="K94" s="85"/>
      <c r="L94" s="85"/>
      <c r="M94" s="85"/>
      <c r="N94" s="85"/>
      <c r="O94" s="85"/>
      <c r="P94" s="90"/>
      <c r="Q94" s="90"/>
      <c r="R94" s="90"/>
      <c r="S94" s="90"/>
      <c r="T94" s="89"/>
      <c r="U94" s="85"/>
      <c r="V94" s="85">
        <v>140</v>
      </c>
      <c r="W94" s="83">
        <f t="shared" ca="1" si="3"/>
        <v>13</v>
      </c>
      <c r="X94" s="64" t="str">
        <f t="shared" ca="1" si="4"/>
        <v>1</v>
      </c>
      <c r="Y94" s="82" t="str">
        <f t="shared" ca="1" si="5"/>
        <v>1</v>
      </c>
      <c r="Z94" s="87"/>
      <c r="AA94" s="87" t="s">
        <v>22</v>
      </c>
      <c r="AB94"/>
    </row>
    <row r="95" spans="1:60" s="6" customFormat="1" ht="37.5" x14ac:dyDescent="0.35">
      <c r="A95" s="85">
        <v>4848</v>
      </c>
      <c r="B95" s="86">
        <v>2018</v>
      </c>
      <c r="C95" s="87" t="s">
        <v>35</v>
      </c>
      <c r="D95" s="87" t="s">
        <v>116</v>
      </c>
      <c r="E95" s="87" t="s">
        <v>28</v>
      </c>
      <c r="F95" s="87" t="s">
        <v>56</v>
      </c>
      <c r="G95" s="88">
        <v>1</v>
      </c>
      <c r="H95" s="85">
        <v>17231</v>
      </c>
      <c r="I95" s="87" t="s">
        <v>164</v>
      </c>
      <c r="J95" s="85"/>
      <c r="K95" s="85"/>
      <c r="L95" s="85"/>
      <c r="M95" s="85"/>
      <c r="N95" s="85"/>
      <c r="O95" s="85"/>
      <c r="P95" s="90"/>
      <c r="Q95" s="90"/>
      <c r="R95" s="90"/>
      <c r="S95" s="90"/>
      <c r="T95" s="89"/>
      <c r="U95" s="85">
        <v>2</v>
      </c>
      <c r="V95" s="85"/>
      <c r="W95" s="83">
        <f t="shared" ca="1" si="3"/>
        <v>13</v>
      </c>
      <c r="X95" s="64" t="str">
        <f t="shared" ca="1" si="4"/>
        <v>1</v>
      </c>
      <c r="Y95" s="82" t="str">
        <f t="shared" ca="1" si="5"/>
        <v>1</v>
      </c>
      <c r="Z95" s="87"/>
      <c r="AA95" s="87"/>
      <c r="AB95"/>
    </row>
    <row r="96" spans="1:60" s="6" customFormat="1" ht="25" x14ac:dyDescent="0.35">
      <c r="A96" s="85">
        <v>4848</v>
      </c>
      <c r="B96" s="86">
        <v>2018</v>
      </c>
      <c r="C96" s="87" t="s">
        <v>35</v>
      </c>
      <c r="D96" s="87" t="s">
        <v>116</v>
      </c>
      <c r="E96" s="87" t="s">
        <v>28</v>
      </c>
      <c r="F96" s="87" t="s">
        <v>56</v>
      </c>
      <c r="G96" s="88">
        <v>1</v>
      </c>
      <c r="H96" s="85">
        <v>17231</v>
      </c>
      <c r="I96" s="87" t="s">
        <v>358</v>
      </c>
      <c r="J96" s="85"/>
      <c r="K96" s="85"/>
      <c r="L96" s="85"/>
      <c r="M96" s="85"/>
      <c r="N96" s="85"/>
      <c r="O96" s="85"/>
      <c r="P96" s="90"/>
      <c r="Q96" s="90"/>
      <c r="R96" s="90">
        <v>7</v>
      </c>
      <c r="S96" s="90">
        <v>10</v>
      </c>
      <c r="T96" s="89"/>
      <c r="U96" s="85"/>
      <c r="V96" s="85"/>
      <c r="W96" s="83">
        <f t="shared" ca="1" si="3"/>
        <v>13</v>
      </c>
      <c r="X96" s="64" t="str">
        <f t="shared" ca="1" si="4"/>
        <v>1</v>
      </c>
      <c r="Y96" s="82" t="str">
        <f t="shared" ca="1" si="5"/>
        <v>1</v>
      </c>
      <c r="Z96" s="87"/>
      <c r="AA96" s="87" t="s">
        <v>61</v>
      </c>
      <c r="AB96"/>
    </row>
    <row r="97" spans="1:28" s="6" customFormat="1" ht="25" x14ac:dyDescent="0.35">
      <c r="A97" s="85">
        <v>4848</v>
      </c>
      <c r="B97" s="86">
        <v>2018</v>
      </c>
      <c r="C97" s="87" t="s">
        <v>35</v>
      </c>
      <c r="D97" s="87" t="s">
        <v>116</v>
      </c>
      <c r="E97" s="87" t="s">
        <v>28</v>
      </c>
      <c r="F97" s="87" t="s">
        <v>56</v>
      </c>
      <c r="G97" s="88">
        <v>1</v>
      </c>
      <c r="H97" s="85">
        <v>17231</v>
      </c>
      <c r="I97" s="87" t="s">
        <v>357</v>
      </c>
      <c r="J97" s="85"/>
      <c r="K97" s="85"/>
      <c r="L97" s="85"/>
      <c r="M97" s="85"/>
      <c r="N97" s="85"/>
      <c r="O97" s="85"/>
      <c r="P97" s="90"/>
      <c r="Q97" s="90"/>
      <c r="R97" s="90"/>
      <c r="S97" s="90"/>
      <c r="T97" s="89"/>
      <c r="U97" s="85"/>
      <c r="V97" s="85">
        <v>10</v>
      </c>
      <c r="W97" s="83">
        <f t="shared" ca="1" si="3"/>
        <v>13</v>
      </c>
      <c r="X97" s="64" t="str">
        <f t="shared" ca="1" si="4"/>
        <v>1</v>
      </c>
      <c r="Y97" s="82" t="str">
        <f t="shared" ca="1" si="5"/>
        <v>1</v>
      </c>
      <c r="Z97" s="87"/>
      <c r="AA97" s="87"/>
      <c r="AB97"/>
    </row>
    <row r="98" spans="1:28" s="6" customFormat="1" ht="25" x14ac:dyDescent="0.35">
      <c r="A98" s="85">
        <v>4848</v>
      </c>
      <c r="B98" s="86">
        <v>2018</v>
      </c>
      <c r="C98" s="87" t="s">
        <v>35</v>
      </c>
      <c r="D98" s="87" t="s">
        <v>36</v>
      </c>
      <c r="E98" s="87" t="s">
        <v>26</v>
      </c>
      <c r="F98" s="87" t="s">
        <v>25</v>
      </c>
      <c r="G98" s="88">
        <v>1</v>
      </c>
      <c r="H98" s="85">
        <v>17231</v>
      </c>
      <c r="I98" s="87" t="s">
        <v>358</v>
      </c>
      <c r="J98" s="85"/>
      <c r="K98" s="85"/>
      <c r="L98" s="85"/>
      <c r="M98" s="85"/>
      <c r="N98" s="85"/>
      <c r="O98" s="85"/>
      <c r="P98" s="90"/>
      <c r="Q98" s="90"/>
      <c r="R98" s="90">
        <v>5</v>
      </c>
      <c r="S98" s="90">
        <v>8</v>
      </c>
      <c r="T98" s="89"/>
      <c r="U98" s="85"/>
      <c r="V98" s="85"/>
      <c r="W98" s="83">
        <f t="shared" ca="1" si="3"/>
        <v>13</v>
      </c>
      <c r="X98" s="64" t="str">
        <f t="shared" ca="1" si="4"/>
        <v>1</v>
      </c>
      <c r="Y98" s="82" t="str">
        <f t="shared" ca="1" si="5"/>
        <v>1</v>
      </c>
      <c r="Z98" s="87"/>
      <c r="AA98" s="87" t="s">
        <v>22</v>
      </c>
      <c r="AB98"/>
    </row>
    <row r="99" spans="1:28" s="6" customFormat="1" ht="25" x14ac:dyDescent="0.35">
      <c r="A99" s="85">
        <v>4848</v>
      </c>
      <c r="B99" s="86">
        <v>2018</v>
      </c>
      <c r="C99" s="87" t="s">
        <v>35</v>
      </c>
      <c r="D99" s="87" t="s">
        <v>130</v>
      </c>
      <c r="E99" s="87" t="s">
        <v>26</v>
      </c>
      <c r="F99" s="87" t="s">
        <v>25</v>
      </c>
      <c r="G99" s="88">
        <v>1</v>
      </c>
      <c r="H99" s="85">
        <v>17231</v>
      </c>
      <c r="I99" s="87" t="s">
        <v>166</v>
      </c>
      <c r="J99" s="85"/>
      <c r="K99" s="85"/>
      <c r="L99" s="85"/>
      <c r="M99" s="85">
        <v>1</v>
      </c>
      <c r="N99" s="85">
        <v>1</v>
      </c>
      <c r="O99" s="85"/>
      <c r="P99" s="90"/>
      <c r="Q99" s="90"/>
      <c r="R99" s="90"/>
      <c r="S99" s="90"/>
      <c r="T99" s="89"/>
      <c r="U99" s="85"/>
      <c r="V99" s="85"/>
      <c r="W99" s="83">
        <f t="shared" ca="1" si="3"/>
        <v>13</v>
      </c>
      <c r="X99" s="64" t="str">
        <f t="shared" ca="1" si="4"/>
        <v>1</v>
      </c>
      <c r="Y99" s="82" t="str">
        <f t="shared" ca="1" si="5"/>
        <v>1</v>
      </c>
      <c r="Z99" s="87"/>
      <c r="AA99" s="87" t="s">
        <v>22</v>
      </c>
      <c r="AB99"/>
    </row>
    <row r="100" spans="1:28" s="6" customFormat="1" ht="37.5" x14ac:dyDescent="0.35">
      <c r="A100" s="85">
        <v>4848</v>
      </c>
      <c r="B100" s="86">
        <v>2018</v>
      </c>
      <c r="C100" s="87" t="s">
        <v>35</v>
      </c>
      <c r="D100" s="87" t="s">
        <v>130</v>
      </c>
      <c r="E100" s="87" t="s">
        <v>26</v>
      </c>
      <c r="F100" s="87" t="s">
        <v>25</v>
      </c>
      <c r="G100" s="88">
        <v>1</v>
      </c>
      <c r="H100" s="85">
        <v>17231</v>
      </c>
      <c r="I100" s="87" t="s">
        <v>167</v>
      </c>
      <c r="J100" s="85">
        <v>6</v>
      </c>
      <c r="K100" s="85">
        <v>6</v>
      </c>
      <c r="L100" s="85">
        <v>22</v>
      </c>
      <c r="M100" s="85"/>
      <c r="N100" s="85"/>
      <c r="O100" s="85"/>
      <c r="P100" s="90"/>
      <c r="Q100" s="90"/>
      <c r="R100" s="90"/>
      <c r="S100" s="90"/>
      <c r="T100" s="89"/>
      <c r="U100" s="85"/>
      <c r="V100" s="85"/>
      <c r="W100" s="83">
        <f t="shared" ca="1" si="3"/>
        <v>13</v>
      </c>
      <c r="X100" s="64" t="str">
        <f t="shared" ca="1" si="4"/>
        <v>1</v>
      </c>
      <c r="Y100" s="82" t="str">
        <f t="shared" ca="1" si="5"/>
        <v>1</v>
      </c>
      <c r="Z100" s="87"/>
      <c r="AA100" s="87" t="s">
        <v>22</v>
      </c>
      <c r="AB100"/>
    </row>
    <row r="101" spans="1:28" s="6" customFormat="1" ht="37.5" x14ac:dyDescent="0.35">
      <c r="A101" s="85">
        <v>4848</v>
      </c>
      <c r="B101" s="86">
        <v>2018</v>
      </c>
      <c r="C101" s="87" t="s">
        <v>35</v>
      </c>
      <c r="D101" s="87" t="s">
        <v>130</v>
      </c>
      <c r="E101" s="87" t="s">
        <v>26</v>
      </c>
      <c r="F101" s="87" t="s">
        <v>25</v>
      </c>
      <c r="G101" s="88">
        <v>1</v>
      </c>
      <c r="H101" s="85">
        <v>17231</v>
      </c>
      <c r="I101" s="87" t="s">
        <v>168</v>
      </c>
      <c r="J101" s="85"/>
      <c r="K101" s="85"/>
      <c r="L101" s="85">
        <v>20</v>
      </c>
      <c r="M101" s="85"/>
      <c r="N101" s="85"/>
      <c r="O101" s="85"/>
      <c r="P101" s="90"/>
      <c r="Q101" s="90"/>
      <c r="R101" s="90"/>
      <c r="S101" s="90"/>
      <c r="T101" s="89"/>
      <c r="U101" s="85"/>
      <c r="V101" s="85"/>
      <c r="W101" s="83">
        <f t="shared" ca="1" si="3"/>
        <v>13</v>
      </c>
      <c r="X101" s="64" t="str">
        <f t="shared" ca="1" si="4"/>
        <v>1</v>
      </c>
      <c r="Y101" s="82" t="str">
        <f t="shared" ca="1" si="5"/>
        <v>1</v>
      </c>
      <c r="Z101" s="87"/>
      <c r="AA101" s="87" t="s">
        <v>22</v>
      </c>
      <c r="AB101"/>
    </row>
    <row r="102" spans="1:28" s="6" customFormat="1" ht="25" x14ac:dyDescent="0.35">
      <c r="A102" s="85">
        <v>4848</v>
      </c>
      <c r="B102" s="86">
        <v>2018</v>
      </c>
      <c r="C102" s="87" t="s">
        <v>35</v>
      </c>
      <c r="D102" s="87" t="s">
        <v>130</v>
      </c>
      <c r="E102" s="87" t="s">
        <v>26</v>
      </c>
      <c r="F102" s="87" t="s">
        <v>25</v>
      </c>
      <c r="G102" s="88">
        <v>1</v>
      </c>
      <c r="H102" s="85">
        <v>17231</v>
      </c>
      <c r="I102" s="87" t="s">
        <v>357</v>
      </c>
      <c r="J102" s="85"/>
      <c r="K102" s="85"/>
      <c r="L102" s="85"/>
      <c r="M102" s="85"/>
      <c r="N102" s="85"/>
      <c r="O102" s="85"/>
      <c r="P102" s="90"/>
      <c r="Q102" s="90"/>
      <c r="R102" s="90"/>
      <c r="S102" s="90"/>
      <c r="T102" s="89"/>
      <c r="U102" s="85"/>
      <c r="V102" s="85">
        <v>60</v>
      </c>
      <c r="W102" s="83">
        <f t="shared" ca="1" si="3"/>
        <v>13</v>
      </c>
      <c r="X102" s="64" t="str">
        <f t="shared" ca="1" si="4"/>
        <v>1</v>
      </c>
      <c r="Y102" s="82" t="str">
        <f t="shared" ca="1" si="5"/>
        <v>1</v>
      </c>
      <c r="Z102" s="87"/>
      <c r="AA102" s="87" t="s">
        <v>22</v>
      </c>
      <c r="AB102"/>
    </row>
    <row r="103" spans="1:28" s="6" customFormat="1" ht="37.5" x14ac:dyDescent="0.35">
      <c r="A103" s="85">
        <v>4848</v>
      </c>
      <c r="B103" s="86">
        <v>2018</v>
      </c>
      <c r="C103" s="87" t="s">
        <v>35</v>
      </c>
      <c r="D103" s="87" t="s">
        <v>130</v>
      </c>
      <c r="E103" s="87" t="s">
        <v>26</v>
      </c>
      <c r="F103" s="87" t="s">
        <v>25</v>
      </c>
      <c r="G103" s="88">
        <v>1</v>
      </c>
      <c r="H103" s="85">
        <v>17231</v>
      </c>
      <c r="I103" s="87" t="s">
        <v>164</v>
      </c>
      <c r="J103" s="85"/>
      <c r="K103" s="85"/>
      <c r="L103" s="85"/>
      <c r="M103" s="85"/>
      <c r="N103" s="85"/>
      <c r="O103" s="85"/>
      <c r="P103" s="90"/>
      <c r="Q103" s="90"/>
      <c r="R103" s="90"/>
      <c r="S103" s="90"/>
      <c r="T103" s="89"/>
      <c r="U103" s="85">
        <v>4</v>
      </c>
      <c r="V103" s="85"/>
      <c r="W103" s="83">
        <f t="shared" ca="1" si="3"/>
        <v>13</v>
      </c>
      <c r="X103" s="64" t="str">
        <f t="shared" ca="1" si="4"/>
        <v>1</v>
      </c>
      <c r="Y103" s="82" t="str">
        <f t="shared" ca="1" si="5"/>
        <v>1</v>
      </c>
      <c r="Z103" s="87"/>
      <c r="AA103" s="87" t="s">
        <v>22</v>
      </c>
      <c r="AB103"/>
    </row>
    <row r="104" spans="1:28" s="6" customFormat="1" ht="37.5" x14ac:dyDescent="0.35">
      <c r="A104" s="85">
        <v>4848</v>
      </c>
      <c r="B104" s="86">
        <v>2018</v>
      </c>
      <c r="C104" s="87" t="s">
        <v>35</v>
      </c>
      <c r="D104" s="87" t="s">
        <v>130</v>
      </c>
      <c r="E104" s="87" t="s">
        <v>26</v>
      </c>
      <c r="F104" s="87" t="s">
        <v>25</v>
      </c>
      <c r="G104" s="88">
        <v>1</v>
      </c>
      <c r="H104" s="85">
        <v>17231</v>
      </c>
      <c r="I104" s="87" t="s">
        <v>165</v>
      </c>
      <c r="J104" s="85"/>
      <c r="K104" s="85"/>
      <c r="L104" s="85"/>
      <c r="M104" s="85"/>
      <c r="N104" s="85"/>
      <c r="O104" s="85"/>
      <c r="P104" s="90"/>
      <c r="Q104" s="90"/>
      <c r="R104" s="90"/>
      <c r="S104" s="90"/>
      <c r="T104" s="89"/>
      <c r="U104" s="85">
        <v>6</v>
      </c>
      <c r="V104" s="85"/>
      <c r="W104" s="83">
        <f t="shared" ca="1" si="3"/>
        <v>13</v>
      </c>
      <c r="X104" s="64" t="str">
        <f t="shared" ca="1" si="4"/>
        <v>1</v>
      </c>
      <c r="Y104" s="82" t="str">
        <f t="shared" ca="1" si="5"/>
        <v>1</v>
      </c>
      <c r="Z104" s="87"/>
      <c r="AA104" s="87" t="s">
        <v>22</v>
      </c>
      <c r="AB104"/>
    </row>
    <row r="105" spans="1:28" s="6" customFormat="1" ht="37.5" x14ac:dyDescent="0.35">
      <c r="A105" s="85">
        <v>4848</v>
      </c>
      <c r="B105" s="86">
        <v>2018</v>
      </c>
      <c r="C105" s="87" t="s">
        <v>35</v>
      </c>
      <c r="D105" s="87" t="s">
        <v>135</v>
      </c>
      <c r="E105" s="87" t="s">
        <v>20</v>
      </c>
      <c r="F105" s="87" t="s">
        <v>82</v>
      </c>
      <c r="G105" s="88">
        <v>1</v>
      </c>
      <c r="H105" s="85">
        <v>17231</v>
      </c>
      <c r="I105" s="87" t="s">
        <v>161</v>
      </c>
      <c r="J105" s="85"/>
      <c r="K105" s="85">
        <v>4</v>
      </c>
      <c r="L105" s="85"/>
      <c r="M105" s="85"/>
      <c r="N105" s="85"/>
      <c r="O105" s="85"/>
      <c r="P105" s="90"/>
      <c r="Q105" s="90"/>
      <c r="R105" s="90"/>
      <c r="S105" s="90"/>
      <c r="T105" s="89"/>
      <c r="U105" s="85"/>
      <c r="V105" s="85"/>
      <c r="W105" s="83">
        <f t="shared" ca="1" si="3"/>
        <v>13</v>
      </c>
      <c r="X105" s="64" t="str">
        <f t="shared" ca="1" si="4"/>
        <v>1</v>
      </c>
      <c r="Y105" s="82" t="str">
        <f t="shared" ca="1" si="5"/>
        <v>1</v>
      </c>
      <c r="Z105" s="87"/>
      <c r="AA105" s="87" t="s">
        <v>61</v>
      </c>
      <c r="AB105"/>
    </row>
    <row r="106" spans="1:28" s="6" customFormat="1" ht="25" x14ac:dyDescent="0.35">
      <c r="A106" s="85">
        <v>4848</v>
      </c>
      <c r="B106" s="86">
        <v>2018</v>
      </c>
      <c r="C106" s="87" t="s">
        <v>35</v>
      </c>
      <c r="D106" s="87" t="s">
        <v>135</v>
      </c>
      <c r="E106" s="87" t="s">
        <v>20</v>
      </c>
      <c r="F106" s="87" t="s">
        <v>82</v>
      </c>
      <c r="G106" s="88">
        <v>1</v>
      </c>
      <c r="H106" s="85">
        <v>17231</v>
      </c>
      <c r="I106" s="87" t="s">
        <v>357</v>
      </c>
      <c r="J106" s="85"/>
      <c r="K106" s="85"/>
      <c r="L106" s="85"/>
      <c r="M106" s="85"/>
      <c r="N106" s="85"/>
      <c r="O106" s="85"/>
      <c r="P106" s="90"/>
      <c r="Q106" s="90"/>
      <c r="R106" s="90"/>
      <c r="S106" s="90"/>
      <c r="T106" s="89"/>
      <c r="U106" s="85"/>
      <c r="V106" s="85">
        <v>30</v>
      </c>
      <c r="W106" s="83">
        <f t="shared" ca="1" si="3"/>
        <v>13</v>
      </c>
      <c r="X106" s="64" t="str">
        <f t="shared" ca="1" si="4"/>
        <v>1</v>
      </c>
      <c r="Y106" s="82" t="str">
        <f t="shared" ca="1" si="5"/>
        <v>1</v>
      </c>
      <c r="Z106" s="87"/>
      <c r="AA106" s="87" t="s">
        <v>22</v>
      </c>
      <c r="AB106"/>
    </row>
    <row r="107" spans="1:28" s="6" customFormat="1" ht="37.5" x14ac:dyDescent="0.35">
      <c r="A107" s="85">
        <v>4848</v>
      </c>
      <c r="B107" s="86">
        <v>2018</v>
      </c>
      <c r="C107" s="87" t="s">
        <v>35</v>
      </c>
      <c r="D107" s="87" t="s">
        <v>135</v>
      </c>
      <c r="E107" s="87" t="s">
        <v>20</v>
      </c>
      <c r="F107" s="87" t="s">
        <v>82</v>
      </c>
      <c r="G107" s="88">
        <v>1</v>
      </c>
      <c r="H107" s="85">
        <v>17231</v>
      </c>
      <c r="I107" s="87" t="s">
        <v>164</v>
      </c>
      <c r="J107" s="85"/>
      <c r="K107" s="85"/>
      <c r="L107" s="85"/>
      <c r="M107" s="85"/>
      <c r="N107" s="85"/>
      <c r="O107" s="85"/>
      <c r="P107" s="90"/>
      <c r="Q107" s="90"/>
      <c r="R107" s="90"/>
      <c r="S107" s="90"/>
      <c r="T107" s="89"/>
      <c r="U107" s="85">
        <v>4</v>
      </c>
      <c r="V107" s="85"/>
      <c r="W107" s="83">
        <f t="shared" ca="1" si="3"/>
        <v>13</v>
      </c>
      <c r="X107" s="64" t="str">
        <f t="shared" ca="1" si="4"/>
        <v>1</v>
      </c>
      <c r="Y107" s="82" t="str">
        <f t="shared" ca="1" si="5"/>
        <v>1</v>
      </c>
      <c r="Z107" s="87"/>
      <c r="AA107" s="87" t="s">
        <v>22</v>
      </c>
      <c r="AB107"/>
    </row>
    <row r="108" spans="1:28" s="6" customFormat="1" ht="37.5" x14ac:dyDescent="0.35">
      <c r="A108" s="85">
        <v>4848</v>
      </c>
      <c r="B108" s="86">
        <v>2018</v>
      </c>
      <c r="C108" s="87" t="s">
        <v>35</v>
      </c>
      <c r="D108" s="87" t="s">
        <v>135</v>
      </c>
      <c r="E108" s="87" t="s">
        <v>20</v>
      </c>
      <c r="F108" s="87" t="s">
        <v>82</v>
      </c>
      <c r="G108" s="88">
        <v>1</v>
      </c>
      <c r="H108" s="85">
        <v>17231</v>
      </c>
      <c r="I108" s="87" t="s">
        <v>165</v>
      </c>
      <c r="J108" s="85"/>
      <c r="K108" s="85"/>
      <c r="L108" s="85"/>
      <c r="M108" s="85"/>
      <c r="N108" s="85"/>
      <c r="O108" s="85"/>
      <c r="P108" s="90"/>
      <c r="Q108" s="90"/>
      <c r="R108" s="90"/>
      <c r="S108" s="90"/>
      <c r="T108" s="89"/>
      <c r="U108" s="85">
        <v>2</v>
      </c>
      <c r="V108" s="85"/>
      <c r="W108" s="83">
        <f t="shared" ca="1" si="3"/>
        <v>13</v>
      </c>
      <c r="X108" s="64" t="str">
        <f t="shared" ca="1" si="4"/>
        <v>1</v>
      </c>
      <c r="Y108" s="82" t="str">
        <f t="shared" ca="1" si="5"/>
        <v>1</v>
      </c>
      <c r="Z108" s="87"/>
      <c r="AA108" s="87" t="s">
        <v>61</v>
      </c>
      <c r="AB108"/>
    </row>
    <row r="109" spans="1:28" s="6" customFormat="1" ht="25" x14ac:dyDescent="0.35">
      <c r="A109" s="85">
        <v>4848</v>
      </c>
      <c r="B109" s="86">
        <v>2018</v>
      </c>
      <c r="C109" s="87" t="s">
        <v>35</v>
      </c>
      <c r="D109" s="87" t="s">
        <v>169</v>
      </c>
      <c r="E109" s="87" t="s">
        <v>20</v>
      </c>
      <c r="F109" s="87" t="s">
        <v>82</v>
      </c>
      <c r="G109" s="88">
        <v>0.25</v>
      </c>
      <c r="H109" s="85">
        <v>17231</v>
      </c>
      <c r="I109" s="87" t="s">
        <v>170</v>
      </c>
      <c r="J109" s="85"/>
      <c r="K109" s="85"/>
      <c r="L109" s="85">
        <v>18</v>
      </c>
      <c r="M109" s="85"/>
      <c r="N109" s="85"/>
      <c r="O109" s="85"/>
      <c r="P109" s="90"/>
      <c r="Q109" s="90"/>
      <c r="R109" s="90"/>
      <c r="S109" s="90"/>
      <c r="T109" s="89"/>
      <c r="U109" s="85"/>
      <c r="V109" s="85"/>
      <c r="W109" s="83">
        <f t="shared" ca="1" si="3"/>
        <v>13</v>
      </c>
      <c r="X109" s="64" t="str">
        <f t="shared" ca="1" si="4"/>
        <v>1</v>
      </c>
      <c r="Y109" s="82" t="str">
        <f t="shared" ca="1" si="5"/>
        <v>1</v>
      </c>
      <c r="Z109" s="87"/>
      <c r="AA109" s="87"/>
      <c r="AB109"/>
    </row>
    <row r="110" spans="1:28" s="6" customFormat="1" ht="37.5" x14ac:dyDescent="0.35">
      <c r="A110" s="85">
        <v>4848</v>
      </c>
      <c r="B110" s="86">
        <v>2018</v>
      </c>
      <c r="C110" s="87" t="s">
        <v>35</v>
      </c>
      <c r="D110" s="87" t="s">
        <v>380</v>
      </c>
      <c r="E110" s="87" t="s">
        <v>33</v>
      </c>
      <c r="F110" s="87" t="s">
        <v>374</v>
      </c>
      <c r="G110" s="88">
        <v>1</v>
      </c>
      <c r="H110" s="85">
        <v>17231</v>
      </c>
      <c r="I110" s="87" t="s">
        <v>168</v>
      </c>
      <c r="J110" s="85"/>
      <c r="K110" s="85"/>
      <c r="L110" s="85">
        <v>14</v>
      </c>
      <c r="M110" s="85">
        <v>1</v>
      </c>
      <c r="N110" s="85"/>
      <c r="O110" s="85"/>
      <c r="P110" s="90"/>
      <c r="Q110" s="90"/>
      <c r="R110" s="90"/>
      <c r="S110" s="90"/>
      <c r="T110" s="89"/>
      <c r="U110" s="85"/>
      <c r="V110" s="85"/>
      <c r="W110" s="83">
        <f t="shared" ca="1" si="3"/>
        <v>13</v>
      </c>
      <c r="X110" s="64" t="str">
        <f t="shared" ca="1" si="4"/>
        <v>1</v>
      </c>
      <c r="Y110" s="82" t="str">
        <f t="shared" ca="1" si="5"/>
        <v>1</v>
      </c>
      <c r="Z110" s="87"/>
      <c r="AA110" s="87"/>
      <c r="AB110"/>
    </row>
    <row r="111" spans="1:28" s="6" customFormat="1" ht="37.5" x14ac:dyDescent="0.35">
      <c r="A111" s="85">
        <v>4848</v>
      </c>
      <c r="B111" s="86">
        <v>2018</v>
      </c>
      <c r="C111" s="87" t="s">
        <v>35</v>
      </c>
      <c r="D111" s="87" t="s">
        <v>380</v>
      </c>
      <c r="E111" s="87" t="s">
        <v>33</v>
      </c>
      <c r="F111" s="87" t="s">
        <v>374</v>
      </c>
      <c r="G111" s="88">
        <v>1</v>
      </c>
      <c r="H111" s="85">
        <v>17231</v>
      </c>
      <c r="I111" s="87" t="s">
        <v>161</v>
      </c>
      <c r="J111" s="85"/>
      <c r="K111" s="85">
        <v>20</v>
      </c>
      <c r="L111" s="85"/>
      <c r="M111" s="85">
        <v>1</v>
      </c>
      <c r="N111" s="85"/>
      <c r="O111" s="85"/>
      <c r="P111" s="90"/>
      <c r="Q111" s="90"/>
      <c r="R111" s="90"/>
      <c r="S111" s="90"/>
      <c r="T111" s="89"/>
      <c r="U111" s="85"/>
      <c r="V111" s="85"/>
      <c r="W111" s="83">
        <f t="shared" ca="1" si="3"/>
        <v>13</v>
      </c>
      <c r="X111" s="64" t="str">
        <f t="shared" ca="1" si="4"/>
        <v>1</v>
      </c>
      <c r="Y111" s="82" t="str">
        <f t="shared" ca="1" si="5"/>
        <v>1</v>
      </c>
      <c r="Z111" s="87"/>
      <c r="AA111" s="87"/>
      <c r="AB111"/>
    </row>
    <row r="112" spans="1:28" s="6" customFormat="1" ht="37.5" x14ac:dyDescent="0.35">
      <c r="A112" s="85">
        <v>4848</v>
      </c>
      <c r="B112" s="86">
        <v>2018</v>
      </c>
      <c r="C112" s="87" t="s">
        <v>35</v>
      </c>
      <c r="D112" s="87" t="s">
        <v>380</v>
      </c>
      <c r="E112" s="87" t="s">
        <v>33</v>
      </c>
      <c r="F112" s="87" t="s">
        <v>374</v>
      </c>
      <c r="G112" s="88">
        <v>1</v>
      </c>
      <c r="H112" s="85">
        <v>17231</v>
      </c>
      <c r="I112" s="87" t="s">
        <v>172</v>
      </c>
      <c r="J112" s="85">
        <v>8</v>
      </c>
      <c r="K112" s="85">
        <v>12</v>
      </c>
      <c r="L112" s="85"/>
      <c r="M112" s="85">
        <v>1</v>
      </c>
      <c r="N112" s="85"/>
      <c r="O112" s="85"/>
      <c r="P112" s="90"/>
      <c r="Q112" s="90"/>
      <c r="R112" s="90"/>
      <c r="S112" s="90"/>
      <c r="T112" s="89"/>
      <c r="U112" s="85"/>
      <c r="V112" s="85"/>
      <c r="W112" s="83">
        <f t="shared" ca="1" si="3"/>
        <v>13</v>
      </c>
      <c r="X112" s="64" t="str">
        <f t="shared" ca="1" si="4"/>
        <v>1</v>
      </c>
      <c r="Y112" s="82" t="str">
        <f t="shared" ca="1" si="5"/>
        <v>1</v>
      </c>
      <c r="Z112" s="87"/>
      <c r="AA112" s="87"/>
      <c r="AB112"/>
    </row>
    <row r="113" spans="1:28" s="6" customFormat="1" ht="37.5" x14ac:dyDescent="0.35">
      <c r="A113" s="85">
        <v>4848</v>
      </c>
      <c r="B113" s="86">
        <v>2018</v>
      </c>
      <c r="C113" s="87" t="s">
        <v>35</v>
      </c>
      <c r="D113" s="87" t="s">
        <v>312</v>
      </c>
      <c r="E113" s="87" t="s">
        <v>63</v>
      </c>
      <c r="F113" s="87" t="s">
        <v>374</v>
      </c>
      <c r="G113" s="88">
        <v>1</v>
      </c>
      <c r="H113" s="85">
        <v>17231</v>
      </c>
      <c r="I113" s="87" t="s">
        <v>164</v>
      </c>
      <c r="J113" s="85"/>
      <c r="K113" s="85"/>
      <c r="L113" s="85"/>
      <c r="M113" s="85"/>
      <c r="N113" s="85"/>
      <c r="O113" s="85"/>
      <c r="P113" s="90"/>
      <c r="Q113" s="90"/>
      <c r="R113" s="90"/>
      <c r="S113" s="90"/>
      <c r="T113" s="89"/>
      <c r="U113" s="85">
        <v>2</v>
      </c>
      <c r="V113" s="85"/>
      <c r="W113" s="83">
        <f t="shared" ca="1" si="3"/>
        <v>13</v>
      </c>
      <c r="X113" s="64" t="str">
        <f t="shared" ca="1" si="4"/>
        <v>1</v>
      </c>
      <c r="Y113" s="82" t="str">
        <f t="shared" ca="1" si="5"/>
        <v>1</v>
      </c>
      <c r="Z113" s="87"/>
      <c r="AA113" s="87"/>
      <c r="AB113"/>
    </row>
    <row r="114" spans="1:28" s="6" customFormat="1" ht="37.5" x14ac:dyDescent="0.35">
      <c r="A114" s="85">
        <v>4848</v>
      </c>
      <c r="B114" s="86">
        <v>2018</v>
      </c>
      <c r="C114" s="87" t="s">
        <v>35</v>
      </c>
      <c r="D114" s="87" t="s">
        <v>312</v>
      </c>
      <c r="E114" s="87" t="s">
        <v>63</v>
      </c>
      <c r="F114" s="87" t="s">
        <v>374</v>
      </c>
      <c r="G114" s="88">
        <v>1</v>
      </c>
      <c r="H114" s="85">
        <v>17231</v>
      </c>
      <c r="I114" s="87" t="s">
        <v>165</v>
      </c>
      <c r="J114" s="85"/>
      <c r="K114" s="85"/>
      <c r="L114" s="85"/>
      <c r="M114" s="85"/>
      <c r="N114" s="85"/>
      <c r="O114" s="85"/>
      <c r="P114" s="90"/>
      <c r="Q114" s="90"/>
      <c r="R114" s="90"/>
      <c r="S114" s="90"/>
      <c r="T114" s="89"/>
      <c r="U114" s="85">
        <v>2</v>
      </c>
      <c r="V114" s="85"/>
      <c r="W114" s="83">
        <f t="shared" ca="1" si="3"/>
        <v>13</v>
      </c>
      <c r="X114" s="64" t="str">
        <f t="shared" ca="1" si="4"/>
        <v>1</v>
      </c>
      <c r="Y114" s="82" t="str">
        <f t="shared" ca="1" si="5"/>
        <v>1</v>
      </c>
      <c r="Z114" s="87"/>
      <c r="AA114" s="87"/>
      <c r="AB114"/>
    </row>
    <row r="115" spans="1:28" s="6" customFormat="1" ht="25" x14ac:dyDescent="0.35">
      <c r="A115" s="85">
        <v>4848</v>
      </c>
      <c r="B115" s="86">
        <v>2018</v>
      </c>
      <c r="C115" s="87" t="s">
        <v>35</v>
      </c>
      <c r="D115" s="87" t="s">
        <v>312</v>
      </c>
      <c r="E115" s="87" t="s">
        <v>63</v>
      </c>
      <c r="F115" s="87" t="s">
        <v>374</v>
      </c>
      <c r="G115" s="88">
        <v>1</v>
      </c>
      <c r="H115" s="85">
        <v>17231</v>
      </c>
      <c r="I115" s="87" t="s">
        <v>357</v>
      </c>
      <c r="J115" s="85"/>
      <c r="K115" s="85"/>
      <c r="L115" s="85"/>
      <c r="M115" s="85"/>
      <c r="N115" s="85"/>
      <c r="O115" s="85"/>
      <c r="P115" s="90"/>
      <c r="Q115" s="90"/>
      <c r="R115" s="90"/>
      <c r="S115" s="90"/>
      <c r="T115" s="89"/>
      <c r="U115" s="85"/>
      <c r="V115" s="85">
        <v>20</v>
      </c>
      <c r="W115" s="83">
        <f t="shared" ca="1" si="3"/>
        <v>13</v>
      </c>
      <c r="X115" s="64" t="str">
        <f t="shared" ca="1" si="4"/>
        <v>1</v>
      </c>
      <c r="Y115" s="82" t="str">
        <f t="shared" ca="1" si="5"/>
        <v>1</v>
      </c>
      <c r="Z115" s="87"/>
      <c r="AA115" s="87"/>
      <c r="AB115"/>
    </row>
    <row r="116" spans="1:28" s="6" customFormat="1" ht="25" x14ac:dyDescent="0.35">
      <c r="A116" s="85">
        <v>4848</v>
      </c>
      <c r="B116" s="86">
        <v>2018</v>
      </c>
      <c r="C116" s="87" t="s">
        <v>35</v>
      </c>
      <c r="D116" s="87" t="s">
        <v>117</v>
      </c>
      <c r="E116" s="87" t="s">
        <v>33</v>
      </c>
      <c r="F116" s="87" t="s">
        <v>25</v>
      </c>
      <c r="G116" s="88">
        <v>0.75</v>
      </c>
      <c r="H116" s="85">
        <v>17231</v>
      </c>
      <c r="I116" s="87" t="s">
        <v>358</v>
      </c>
      <c r="J116" s="85"/>
      <c r="K116" s="85"/>
      <c r="L116" s="85"/>
      <c r="M116" s="85"/>
      <c r="N116" s="85"/>
      <c r="O116" s="85"/>
      <c r="P116" s="90"/>
      <c r="Q116" s="90"/>
      <c r="R116" s="90">
        <v>5</v>
      </c>
      <c r="S116" s="90">
        <v>8</v>
      </c>
      <c r="T116" s="89"/>
      <c r="U116" s="85"/>
      <c r="V116" s="85"/>
      <c r="W116" s="83">
        <f t="shared" ca="1" si="3"/>
        <v>13</v>
      </c>
      <c r="X116" s="64" t="str">
        <f t="shared" ca="1" si="4"/>
        <v>1</v>
      </c>
      <c r="Y116" s="82" t="str">
        <f t="shared" ca="1" si="5"/>
        <v>1</v>
      </c>
      <c r="Z116" s="87"/>
      <c r="AA116" s="87" t="s">
        <v>22</v>
      </c>
      <c r="AB116"/>
    </row>
    <row r="117" spans="1:28" s="6" customFormat="1" ht="25" x14ac:dyDescent="0.35">
      <c r="A117" s="85">
        <v>4848</v>
      </c>
      <c r="B117" s="86">
        <v>2018</v>
      </c>
      <c r="C117" s="87" t="s">
        <v>35</v>
      </c>
      <c r="D117" s="87" t="s">
        <v>117</v>
      </c>
      <c r="E117" s="87" t="s">
        <v>33</v>
      </c>
      <c r="F117" s="87" t="s">
        <v>25</v>
      </c>
      <c r="G117" s="88">
        <v>0.75</v>
      </c>
      <c r="H117" s="85">
        <v>17231</v>
      </c>
      <c r="I117" s="87" t="s">
        <v>166</v>
      </c>
      <c r="J117" s="85"/>
      <c r="K117" s="85"/>
      <c r="L117" s="85"/>
      <c r="M117" s="85"/>
      <c r="N117" s="85">
        <v>1</v>
      </c>
      <c r="O117" s="85"/>
      <c r="P117" s="90"/>
      <c r="Q117" s="90"/>
      <c r="R117" s="90"/>
      <c r="S117" s="90"/>
      <c r="T117" s="89"/>
      <c r="U117" s="85"/>
      <c r="V117" s="85"/>
      <c r="W117" s="83">
        <f t="shared" ca="1" si="3"/>
        <v>13</v>
      </c>
      <c r="X117" s="64" t="str">
        <f t="shared" ca="1" si="4"/>
        <v>1</v>
      </c>
      <c r="Y117" s="82" t="str">
        <f t="shared" ca="1" si="5"/>
        <v>1</v>
      </c>
      <c r="Z117" s="87"/>
      <c r="AA117" s="87" t="s">
        <v>22</v>
      </c>
      <c r="AB117"/>
    </row>
    <row r="118" spans="1:28" s="6" customFormat="1" ht="37.5" x14ac:dyDescent="0.35">
      <c r="A118" s="85">
        <v>4848</v>
      </c>
      <c r="B118" s="86">
        <v>2018</v>
      </c>
      <c r="C118" s="87" t="s">
        <v>35</v>
      </c>
      <c r="D118" s="87" t="s">
        <v>117</v>
      </c>
      <c r="E118" s="87" t="s">
        <v>33</v>
      </c>
      <c r="F118" s="87" t="s">
        <v>25</v>
      </c>
      <c r="G118" s="88">
        <v>0.75</v>
      </c>
      <c r="H118" s="85">
        <v>17231</v>
      </c>
      <c r="I118" s="87" t="s">
        <v>171</v>
      </c>
      <c r="J118" s="85">
        <v>14</v>
      </c>
      <c r="K118" s="85">
        <v>22</v>
      </c>
      <c r="L118" s="85"/>
      <c r="M118" s="85"/>
      <c r="N118" s="85"/>
      <c r="O118" s="85"/>
      <c r="P118" s="90"/>
      <c r="Q118" s="90"/>
      <c r="R118" s="90"/>
      <c r="S118" s="90"/>
      <c r="T118" s="89"/>
      <c r="U118" s="85"/>
      <c r="V118" s="85"/>
      <c r="W118" s="83">
        <f t="shared" ca="1" si="3"/>
        <v>13</v>
      </c>
      <c r="X118" s="64" t="str">
        <f t="shared" ca="1" si="4"/>
        <v>1</v>
      </c>
      <c r="Y118" s="82" t="str">
        <f t="shared" ca="1" si="5"/>
        <v>1</v>
      </c>
      <c r="Z118" s="87"/>
      <c r="AA118" s="87" t="s">
        <v>22</v>
      </c>
      <c r="AB118"/>
    </row>
    <row r="119" spans="1:28" s="6" customFormat="1" ht="37.5" x14ac:dyDescent="0.35">
      <c r="A119" s="85">
        <v>4848</v>
      </c>
      <c r="B119" s="86">
        <v>2018</v>
      </c>
      <c r="C119" s="87" t="s">
        <v>35</v>
      </c>
      <c r="D119" s="87" t="s">
        <v>117</v>
      </c>
      <c r="E119" s="87" t="s">
        <v>33</v>
      </c>
      <c r="F119" s="87" t="s">
        <v>25</v>
      </c>
      <c r="G119" s="88">
        <v>0.75</v>
      </c>
      <c r="H119" s="85">
        <v>17231</v>
      </c>
      <c r="I119" s="87" t="s">
        <v>172</v>
      </c>
      <c r="J119" s="85">
        <v>4</v>
      </c>
      <c r="K119" s="85">
        <v>12</v>
      </c>
      <c r="L119" s="85"/>
      <c r="M119" s="85"/>
      <c r="N119" s="85"/>
      <c r="O119" s="85"/>
      <c r="P119" s="90"/>
      <c r="Q119" s="90"/>
      <c r="R119" s="90"/>
      <c r="S119" s="90"/>
      <c r="T119" s="89"/>
      <c r="U119" s="85"/>
      <c r="V119" s="85"/>
      <c r="W119" s="83">
        <f t="shared" ca="1" si="3"/>
        <v>13</v>
      </c>
      <c r="X119" s="64" t="str">
        <f t="shared" ca="1" si="4"/>
        <v>1</v>
      </c>
      <c r="Y119" s="82" t="str">
        <f t="shared" ca="1" si="5"/>
        <v>1</v>
      </c>
      <c r="Z119" s="87"/>
      <c r="AA119" s="87" t="s">
        <v>22</v>
      </c>
      <c r="AB119"/>
    </row>
    <row r="120" spans="1:28" s="6" customFormat="1" ht="25" x14ac:dyDescent="0.35">
      <c r="A120" s="85">
        <v>4858</v>
      </c>
      <c r="B120" s="86">
        <v>2016</v>
      </c>
      <c r="C120" s="87" t="s">
        <v>35</v>
      </c>
      <c r="D120" s="87" t="s">
        <v>70</v>
      </c>
      <c r="E120" s="87" t="s">
        <v>28</v>
      </c>
      <c r="F120" s="87" t="s">
        <v>23</v>
      </c>
      <c r="G120" s="88">
        <v>1</v>
      </c>
      <c r="H120" s="85">
        <v>15177</v>
      </c>
      <c r="I120" s="87" t="s">
        <v>180</v>
      </c>
      <c r="J120" s="85">
        <v>42</v>
      </c>
      <c r="K120" s="85"/>
      <c r="L120" s="85">
        <v>84</v>
      </c>
      <c r="M120" s="85">
        <v>1</v>
      </c>
      <c r="N120" s="85">
        <v>1</v>
      </c>
      <c r="O120" s="85"/>
      <c r="P120" s="90"/>
      <c r="Q120" s="90"/>
      <c r="R120" s="90"/>
      <c r="S120" s="90"/>
      <c r="T120" s="89"/>
      <c r="U120" s="85"/>
      <c r="V120" s="85"/>
      <c r="W120" s="83">
        <f t="shared" ca="1" si="3"/>
        <v>27</v>
      </c>
      <c r="X120" s="64" t="str">
        <f t="shared" ca="1" si="4"/>
        <v>1</v>
      </c>
      <c r="Y120" s="82" t="str">
        <f t="shared" ca="1" si="5"/>
        <v>2</v>
      </c>
      <c r="Z120" s="87"/>
      <c r="AA120" s="87" t="s">
        <v>22</v>
      </c>
      <c r="AB120"/>
    </row>
    <row r="121" spans="1:28" s="6" customFormat="1" ht="25" x14ac:dyDescent="0.35">
      <c r="A121" s="85">
        <v>4858</v>
      </c>
      <c r="B121" s="86">
        <v>2016</v>
      </c>
      <c r="C121" s="87" t="s">
        <v>35</v>
      </c>
      <c r="D121" s="87" t="s">
        <v>116</v>
      </c>
      <c r="E121" s="87" t="s">
        <v>28</v>
      </c>
      <c r="F121" s="87" t="s">
        <v>56</v>
      </c>
      <c r="G121" s="88">
        <v>1</v>
      </c>
      <c r="H121" s="85">
        <v>15177</v>
      </c>
      <c r="I121" s="87" t="s">
        <v>37</v>
      </c>
      <c r="J121" s="85">
        <v>18</v>
      </c>
      <c r="K121" s="85">
        <v>18</v>
      </c>
      <c r="L121" s="85"/>
      <c r="M121" s="85">
        <v>1</v>
      </c>
      <c r="N121" s="85">
        <v>1</v>
      </c>
      <c r="O121" s="85"/>
      <c r="P121" s="90"/>
      <c r="Q121" s="90"/>
      <c r="R121" s="90"/>
      <c r="S121" s="90"/>
      <c r="T121" s="89"/>
      <c r="U121" s="85"/>
      <c r="V121" s="85"/>
      <c r="W121" s="83">
        <f t="shared" ca="1" si="3"/>
        <v>27</v>
      </c>
      <c r="X121" s="64" t="str">
        <f t="shared" ca="1" si="4"/>
        <v>1</v>
      </c>
      <c r="Y121" s="82" t="str">
        <f t="shared" ca="1" si="5"/>
        <v>2</v>
      </c>
      <c r="Z121" s="87"/>
      <c r="AA121" s="87" t="s">
        <v>22</v>
      </c>
      <c r="AB121"/>
    </row>
    <row r="122" spans="1:28" s="6" customFormat="1" ht="25" x14ac:dyDescent="0.35">
      <c r="A122" s="85">
        <v>4858</v>
      </c>
      <c r="B122" s="86">
        <v>2016</v>
      </c>
      <c r="C122" s="87" t="s">
        <v>35</v>
      </c>
      <c r="D122" s="87" t="s">
        <v>116</v>
      </c>
      <c r="E122" s="87" t="s">
        <v>28</v>
      </c>
      <c r="F122" s="87" t="s">
        <v>56</v>
      </c>
      <c r="G122" s="88">
        <v>1</v>
      </c>
      <c r="H122" s="85">
        <v>15177</v>
      </c>
      <c r="I122" s="87" t="s">
        <v>181</v>
      </c>
      <c r="J122" s="85"/>
      <c r="K122" s="85"/>
      <c r="L122" s="85"/>
      <c r="M122" s="85">
        <v>1</v>
      </c>
      <c r="N122" s="85">
        <v>1</v>
      </c>
      <c r="O122" s="85"/>
      <c r="P122" s="90"/>
      <c r="Q122" s="90"/>
      <c r="R122" s="90"/>
      <c r="S122" s="90"/>
      <c r="T122" s="89"/>
      <c r="U122" s="85"/>
      <c r="V122" s="85"/>
      <c r="W122" s="83">
        <f t="shared" ca="1" si="3"/>
        <v>27</v>
      </c>
      <c r="X122" s="64" t="str">
        <f t="shared" ca="1" si="4"/>
        <v>1</v>
      </c>
      <c r="Y122" s="82" t="str">
        <f t="shared" ca="1" si="5"/>
        <v>2</v>
      </c>
      <c r="Z122" s="87"/>
      <c r="AA122" s="87" t="s">
        <v>22</v>
      </c>
      <c r="AB122"/>
    </row>
    <row r="123" spans="1:28" s="6" customFormat="1" ht="25" x14ac:dyDescent="0.35">
      <c r="A123" s="85">
        <v>4858</v>
      </c>
      <c r="B123" s="86">
        <v>2016</v>
      </c>
      <c r="C123" s="87" t="s">
        <v>35</v>
      </c>
      <c r="D123" s="87" t="s">
        <v>116</v>
      </c>
      <c r="E123" s="87" t="s">
        <v>28</v>
      </c>
      <c r="F123" s="87" t="s">
        <v>56</v>
      </c>
      <c r="G123" s="88">
        <v>1</v>
      </c>
      <c r="H123" s="85">
        <v>15177</v>
      </c>
      <c r="I123" s="87" t="s">
        <v>182</v>
      </c>
      <c r="J123" s="85">
        <v>12</v>
      </c>
      <c r="K123" s="85"/>
      <c r="L123" s="85"/>
      <c r="M123" s="85">
        <v>1</v>
      </c>
      <c r="N123" s="85"/>
      <c r="O123" s="85"/>
      <c r="P123" s="90"/>
      <c r="Q123" s="90"/>
      <c r="R123" s="90"/>
      <c r="S123" s="90"/>
      <c r="T123" s="89"/>
      <c r="U123" s="85"/>
      <c r="V123" s="85"/>
      <c r="W123" s="83">
        <f t="shared" ca="1" si="3"/>
        <v>27</v>
      </c>
      <c r="X123" s="64" t="str">
        <f t="shared" ca="1" si="4"/>
        <v>1</v>
      </c>
      <c r="Y123" s="82" t="str">
        <f t="shared" ca="1" si="5"/>
        <v>2</v>
      </c>
      <c r="Z123" s="87"/>
      <c r="AA123" s="87" t="s">
        <v>22</v>
      </c>
      <c r="AB123"/>
    </row>
    <row r="124" spans="1:28" s="6" customFormat="1" ht="25" x14ac:dyDescent="0.35">
      <c r="A124" s="85">
        <v>4858</v>
      </c>
      <c r="B124" s="86">
        <v>2016</v>
      </c>
      <c r="C124" s="87" t="s">
        <v>35</v>
      </c>
      <c r="D124" s="87" t="s">
        <v>116</v>
      </c>
      <c r="E124" s="87" t="s">
        <v>28</v>
      </c>
      <c r="F124" s="87" t="s">
        <v>56</v>
      </c>
      <c r="G124" s="88">
        <v>1</v>
      </c>
      <c r="H124" s="85">
        <v>15177</v>
      </c>
      <c r="I124" s="87" t="s">
        <v>136</v>
      </c>
      <c r="J124" s="85">
        <v>27</v>
      </c>
      <c r="K124" s="85"/>
      <c r="L124" s="85"/>
      <c r="M124" s="85">
        <v>1</v>
      </c>
      <c r="N124" s="85"/>
      <c r="O124" s="85">
        <v>1</v>
      </c>
      <c r="P124" s="90"/>
      <c r="Q124" s="90"/>
      <c r="R124" s="90"/>
      <c r="S124" s="90"/>
      <c r="T124" s="89"/>
      <c r="U124" s="85"/>
      <c r="V124" s="85"/>
      <c r="W124" s="83">
        <f t="shared" ca="1" si="3"/>
        <v>27</v>
      </c>
      <c r="X124" s="64" t="str">
        <f t="shared" ca="1" si="4"/>
        <v>1</v>
      </c>
      <c r="Y124" s="82" t="str">
        <f t="shared" ca="1" si="5"/>
        <v>2</v>
      </c>
      <c r="Z124" s="87"/>
      <c r="AA124" s="87" t="s">
        <v>22</v>
      </c>
      <c r="AB124"/>
    </row>
    <row r="125" spans="1:28" s="6" customFormat="1" ht="25" x14ac:dyDescent="0.35">
      <c r="A125" s="85">
        <v>4858</v>
      </c>
      <c r="B125" s="86">
        <v>2016</v>
      </c>
      <c r="C125" s="87" t="s">
        <v>35</v>
      </c>
      <c r="D125" s="87" t="s">
        <v>36</v>
      </c>
      <c r="E125" s="87" t="s">
        <v>26</v>
      </c>
      <c r="F125" s="87" t="s">
        <v>25</v>
      </c>
      <c r="G125" s="88">
        <v>1</v>
      </c>
      <c r="H125" s="85">
        <v>15177</v>
      </c>
      <c r="I125" s="87" t="s">
        <v>37</v>
      </c>
      <c r="J125" s="85"/>
      <c r="K125" s="85"/>
      <c r="L125" s="85">
        <v>36</v>
      </c>
      <c r="M125" s="85">
        <v>1</v>
      </c>
      <c r="N125" s="85">
        <v>1</v>
      </c>
      <c r="O125" s="85"/>
      <c r="P125" s="90"/>
      <c r="Q125" s="90"/>
      <c r="R125" s="90"/>
      <c r="S125" s="90"/>
      <c r="T125" s="89"/>
      <c r="U125" s="85"/>
      <c r="V125" s="85"/>
      <c r="W125" s="83">
        <f t="shared" ca="1" si="3"/>
        <v>27</v>
      </c>
      <c r="X125" s="64" t="str">
        <f t="shared" ca="1" si="4"/>
        <v>1</v>
      </c>
      <c r="Y125" s="82" t="str">
        <f t="shared" ca="1" si="5"/>
        <v>2</v>
      </c>
      <c r="Z125" s="87"/>
      <c r="AA125" s="87" t="s">
        <v>22</v>
      </c>
      <c r="AB125"/>
    </row>
    <row r="126" spans="1:28" s="6" customFormat="1" ht="25" x14ac:dyDescent="0.35">
      <c r="A126" s="85">
        <v>4858</v>
      </c>
      <c r="B126" s="86">
        <v>2016</v>
      </c>
      <c r="C126" s="87" t="s">
        <v>35</v>
      </c>
      <c r="D126" s="87" t="s">
        <v>36</v>
      </c>
      <c r="E126" s="87" t="s">
        <v>26</v>
      </c>
      <c r="F126" s="87" t="s">
        <v>25</v>
      </c>
      <c r="G126" s="88">
        <v>1</v>
      </c>
      <c r="H126" s="85">
        <v>15177</v>
      </c>
      <c r="I126" s="87" t="s">
        <v>181</v>
      </c>
      <c r="J126" s="85"/>
      <c r="K126" s="85"/>
      <c r="L126" s="85"/>
      <c r="M126" s="85">
        <v>1</v>
      </c>
      <c r="N126" s="85">
        <v>1</v>
      </c>
      <c r="O126" s="85"/>
      <c r="P126" s="90"/>
      <c r="Q126" s="90"/>
      <c r="R126" s="90"/>
      <c r="S126" s="90"/>
      <c r="T126" s="89"/>
      <c r="U126" s="85"/>
      <c r="V126" s="85"/>
      <c r="W126" s="83">
        <f t="shared" ca="1" si="3"/>
        <v>27</v>
      </c>
      <c r="X126" s="64" t="str">
        <f t="shared" ca="1" si="4"/>
        <v>1</v>
      </c>
      <c r="Y126" s="82" t="str">
        <f t="shared" ca="1" si="5"/>
        <v>2</v>
      </c>
      <c r="Z126" s="87"/>
      <c r="AA126" s="87" t="s">
        <v>22</v>
      </c>
      <c r="AB126"/>
    </row>
    <row r="127" spans="1:28" s="6" customFormat="1" ht="25" x14ac:dyDescent="0.35">
      <c r="A127" s="85">
        <v>4858</v>
      </c>
      <c r="B127" s="86">
        <v>2016</v>
      </c>
      <c r="C127" s="87" t="s">
        <v>35</v>
      </c>
      <c r="D127" s="87" t="s">
        <v>36</v>
      </c>
      <c r="E127" s="87" t="s">
        <v>26</v>
      </c>
      <c r="F127" s="87" t="s">
        <v>25</v>
      </c>
      <c r="G127" s="88">
        <v>1</v>
      </c>
      <c r="H127" s="85">
        <v>15177</v>
      </c>
      <c r="I127" s="87" t="s">
        <v>182</v>
      </c>
      <c r="J127" s="85"/>
      <c r="K127" s="85"/>
      <c r="L127" s="85">
        <v>48</v>
      </c>
      <c r="M127" s="85">
        <v>1</v>
      </c>
      <c r="N127" s="85"/>
      <c r="O127" s="85"/>
      <c r="P127" s="90"/>
      <c r="Q127" s="90"/>
      <c r="R127" s="90"/>
      <c r="S127" s="90"/>
      <c r="T127" s="89"/>
      <c r="U127" s="85"/>
      <c r="V127" s="85"/>
      <c r="W127" s="83">
        <f t="shared" ca="1" si="3"/>
        <v>27</v>
      </c>
      <c r="X127" s="64" t="str">
        <f t="shared" ca="1" si="4"/>
        <v>1</v>
      </c>
      <c r="Y127" s="82" t="str">
        <f t="shared" ca="1" si="5"/>
        <v>2</v>
      </c>
      <c r="Z127" s="87"/>
      <c r="AA127" s="87" t="s">
        <v>22</v>
      </c>
      <c r="AB127"/>
    </row>
    <row r="128" spans="1:28" s="6" customFormat="1" ht="25" x14ac:dyDescent="0.35">
      <c r="A128" s="85">
        <v>4858</v>
      </c>
      <c r="B128" s="86">
        <v>2016</v>
      </c>
      <c r="C128" s="87" t="s">
        <v>35</v>
      </c>
      <c r="D128" s="87" t="s">
        <v>36</v>
      </c>
      <c r="E128" s="87" t="s">
        <v>26</v>
      </c>
      <c r="F128" s="87" t="s">
        <v>25</v>
      </c>
      <c r="G128" s="88">
        <v>1</v>
      </c>
      <c r="H128" s="85">
        <v>15177</v>
      </c>
      <c r="I128" s="87" t="s">
        <v>136</v>
      </c>
      <c r="J128" s="85"/>
      <c r="K128" s="85"/>
      <c r="L128" s="85">
        <v>45</v>
      </c>
      <c r="M128" s="85"/>
      <c r="N128" s="85"/>
      <c r="O128" s="85">
        <v>1</v>
      </c>
      <c r="P128" s="90"/>
      <c r="Q128" s="90"/>
      <c r="R128" s="90"/>
      <c r="S128" s="90"/>
      <c r="T128" s="89"/>
      <c r="U128" s="85"/>
      <c r="V128" s="85"/>
      <c r="W128" s="83">
        <f t="shared" ca="1" si="3"/>
        <v>27</v>
      </c>
      <c r="X128" s="64" t="str">
        <f t="shared" ca="1" si="4"/>
        <v>1</v>
      </c>
      <c r="Y128" s="82" t="str">
        <f t="shared" ca="1" si="5"/>
        <v>2</v>
      </c>
      <c r="Z128" s="87"/>
      <c r="AA128" s="87" t="s">
        <v>22</v>
      </c>
      <c r="AB128"/>
    </row>
    <row r="129" spans="1:28" s="6" customFormat="1" ht="25" x14ac:dyDescent="0.35">
      <c r="A129" s="85">
        <v>4858</v>
      </c>
      <c r="B129" s="86">
        <v>2016</v>
      </c>
      <c r="C129" s="87" t="s">
        <v>35</v>
      </c>
      <c r="D129" s="87" t="s">
        <v>130</v>
      </c>
      <c r="E129" s="87" t="s">
        <v>26</v>
      </c>
      <c r="F129" s="87" t="s">
        <v>25</v>
      </c>
      <c r="G129" s="88">
        <v>1</v>
      </c>
      <c r="H129" s="85">
        <v>15177</v>
      </c>
      <c r="I129" s="87" t="s">
        <v>280</v>
      </c>
      <c r="J129" s="85">
        <v>6</v>
      </c>
      <c r="K129" s="85"/>
      <c r="L129" s="85">
        <v>24</v>
      </c>
      <c r="M129" s="85">
        <v>1</v>
      </c>
      <c r="N129" s="85"/>
      <c r="O129" s="85"/>
      <c r="P129" s="90">
        <v>1</v>
      </c>
      <c r="Q129" s="90"/>
      <c r="R129" s="90"/>
      <c r="S129" s="90"/>
      <c r="T129" s="89"/>
      <c r="U129" s="85"/>
      <c r="V129" s="85"/>
      <c r="W129" s="83">
        <f t="shared" ca="1" si="3"/>
        <v>27</v>
      </c>
      <c r="X129" s="64" t="str">
        <f t="shared" ca="1" si="4"/>
        <v>1</v>
      </c>
      <c r="Y129" s="82" t="str">
        <f t="shared" ca="1" si="5"/>
        <v>2</v>
      </c>
      <c r="Z129" s="87"/>
      <c r="AA129" s="87" t="s">
        <v>22</v>
      </c>
      <c r="AB129"/>
    </row>
    <row r="130" spans="1:28" s="6" customFormat="1" ht="25" x14ac:dyDescent="0.35">
      <c r="A130" s="85">
        <v>4858</v>
      </c>
      <c r="B130" s="86">
        <v>2016</v>
      </c>
      <c r="C130" s="87" t="s">
        <v>35</v>
      </c>
      <c r="D130" s="87" t="s">
        <v>130</v>
      </c>
      <c r="E130" s="87" t="s">
        <v>26</v>
      </c>
      <c r="F130" s="87" t="s">
        <v>25</v>
      </c>
      <c r="G130" s="88">
        <v>1</v>
      </c>
      <c r="H130" s="85">
        <v>15177</v>
      </c>
      <c r="I130" s="87" t="s">
        <v>183</v>
      </c>
      <c r="J130" s="85">
        <v>18</v>
      </c>
      <c r="K130" s="85">
        <v>18</v>
      </c>
      <c r="L130" s="85"/>
      <c r="M130" s="85">
        <v>1</v>
      </c>
      <c r="N130" s="85"/>
      <c r="O130" s="85"/>
      <c r="P130" s="90"/>
      <c r="Q130" s="90"/>
      <c r="R130" s="90"/>
      <c r="S130" s="90"/>
      <c r="T130" s="89"/>
      <c r="U130" s="85"/>
      <c r="V130" s="85"/>
      <c r="W130" s="83">
        <f t="shared" ca="1" si="3"/>
        <v>27</v>
      </c>
      <c r="X130" s="64" t="str">
        <f t="shared" ca="1" si="4"/>
        <v>1</v>
      </c>
      <c r="Y130" s="82" t="str">
        <f t="shared" ca="1" si="5"/>
        <v>2</v>
      </c>
      <c r="Z130" s="87"/>
      <c r="AA130" s="87" t="s">
        <v>61</v>
      </c>
      <c r="AB130"/>
    </row>
    <row r="131" spans="1:28" s="6" customFormat="1" ht="25" x14ac:dyDescent="0.35">
      <c r="A131" s="85">
        <v>4858</v>
      </c>
      <c r="B131" s="86">
        <v>2016</v>
      </c>
      <c r="C131" s="87" t="s">
        <v>35</v>
      </c>
      <c r="D131" s="87" t="s">
        <v>130</v>
      </c>
      <c r="E131" s="87" t="s">
        <v>26</v>
      </c>
      <c r="F131" s="87" t="s">
        <v>25</v>
      </c>
      <c r="G131" s="88">
        <v>1</v>
      </c>
      <c r="H131" s="85">
        <v>15177</v>
      </c>
      <c r="I131" s="87" t="s">
        <v>184</v>
      </c>
      <c r="J131" s="85">
        <v>9</v>
      </c>
      <c r="K131" s="85">
        <v>9</v>
      </c>
      <c r="L131" s="85"/>
      <c r="M131" s="85">
        <v>1</v>
      </c>
      <c r="N131" s="85"/>
      <c r="O131" s="85"/>
      <c r="P131" s="90"/>
      <c r="Q131" s="90"/>
      <c r="R131" s="90"/>
      <c r="S131" s="90"/>
      <c r="T131" s="89"/>
      <c r="U131" s="85"/>
      <c r="V131" s="85"/>
      <c r="W131" s="83">
        <f t="shared" ca="1" si="3"/>
        <v>27</v>
      </c>
      <c r="X131" s="64" t="str">
        <f t="shared" ca="1" si="4"/>
        <v>1</v>
      </c>
      <c r="Y131" s="82" t="str">
        <f t="shared" ca="1" si="5"/>
        <v>2</v>
      </c>
      <c r="Z131" s="87"/>
      <c r="AA131" s="87" t="s">
        <v>61</v>
      </c>
      <c r="AB131"/>
    </row>
    <row r="132" spans="1:28" s="6" customFormat="1" ht="25" x14ac:dyDescent="0.35">
      <c r="A132" s="85">
        <v>4858</v>
      </c>
      <c r="B132" s="86">
        <v>2016</v>
      </c>
      <c r="C132" s="87" t="s">
        <v>35</v>
      </c>
      <c r="D132" s="87" t="s">
        <v>130</v>
      </c>
      <c r="E132" s="87" t="s">
        <v>26</v>
      </c>
      <c r="F132" s="87" t="s">
        <v>25</v>
      </c>
      <c r="G132" s="88">
        <v>1</v>
      </c>
      <c r="H132" s="85">
        <v>15177</v>
      </c>
      <c r="I132" s="87" t="s">
        <v>178</v>
      </c>
      <c r="J132" s="85"/>
      <c r="K132" s="85"/>
      <c r="L132" s="85"/>
      <c r="M132" s="85">
        <v>1</v>
      </c>
      <c r="N132" s="85">
        <v>1</v>
      </c>
      <c r="O132" s="85"/>
      <c r="P132" s="90"/>
      <c r="Q132" s="90"/>
      <c r="R132" s="90"/>
      <c r="S132" s="90"/>
      <c r="T132" s="89"/>
      <c r="U132" s="85"/>
      <c r="V132" s="85"/>
      <c r="W132" s="83">
        <f t="shared" ref="W132:W195" ca="1" si="6">IFERROR(OFFSET($AC$11,0,MATCH(H132,$AD$4:$BE$4,0)),IFERROR(OFFSET($AC$12,0,MATCH(H132,$AD$5:$BE$5,0)),MOD(H132,20)+7))</f>
        <v>27</v>
      </c>
      <c r="X132" s="64" t="str">
        <f t="shared" ref="X132:X195" ca="1" si="7">IF(W132&lt;=30, "1", "2")</f>
        <v>1</v>
      </c>
      <c r="Y132" s="82" t="str">
        <f t="shared" ref="Y132:Y195" ca="1" si="8" xml:space="preserve"> IF(W132&lt;=15, "1", IF(W132&lt;=30, "2", IF(W132&lt;=45, "3", IF(W132&lt;=60, "4"))))</f>
        <v>2</v>
      </c>
      <c r="Z132" s="87"/>
      <c r="AA132" s="87" t="s">
        <v>22</v>
      </c>
      <c r="AB132"/>
    </row>
    <row r="133" spans="1:28" s="6" customFormat="1" ht="25" x14ac:dyDescent="0.35">
      <c r="A133" s="85">
        <v>4858</v>
      </c>
      <c r="B133" s="86">
        <v>2016</v>
      </c>
      <c r="C133" s="87" t="s">
        <v>35</v>
      </c>
      <c r="D133" s="87" t="s">
        <v>73</v>
      </c>
      <c r="E133" s="87" t="s">
        <v>20</v>
      </c>
      <c r="F133" s="87" t="s">
        <v>21</v>
      </c>
      <c r="G133" s="88">
        <v>1</v>
      </c>
      <c r="H133" s="85">
        <v>15177</v>
      </c>
      <c r="I133" s="87" t="s">
        <v>37</v>
      </c>
      <c r="J133" s="85"/>
      <c r="K133" s="85"/>
      <c r="L133" s="85">
        <v>72</v>
      </c>
      <c r="M133" s="85"/>
      <c r="N133" s="85"/>
      <c r="O133" s="85"/>
      <c r="P133" s="90"/>
      <c r="Q133" s="90"/>
      <c r="R133" s="90"/>
      <c r="S133" s="90"/>
      <c r="T133" s="89"/>
      <c r="U133" s="85"/>
      <c r="V133" s="85"/>
      <c r="W133" s="83">
        <f t="shared" ca="1" si="6"/>
        <v>27</v>
      </c>
      <c r="X133" s="64" t="str">
        <f t="shared" ca="1" si="7"/>
        <v>1</v>
      </c>
      <c r="Y133" s="82" t="str">
        <f t="shared" ca="1" si="8"/>
        <v>2</v>
      </c>
      <c r="Z133" s="87"/>
      <c r="AA133" s="87" t="s">
        <v>22</v>
      </c>
      <c r="AB133"/>
    </row>
    <row r="134" spans="1:28" s="6" customFormat="1" ht="25" x14ac:dyDescent="0.35">
      <c r="A134" s="85">
        <v>4858</v>
      </c>
      <c r="B134" s="86">
        <v>2016</v>
      </c>
      <c r="C134" s="87" t="s">
        <v>35</v>
      </c>
      <c r="D134" s="87" t="s">
        <v>73</v>
      </c>
      <c r="E134" s="87" t="s">
        <v>20</v>
      </c>
      <c r="F134" s="87" t="s">
        <v>21</v>
      </c>
      <c r="G134" s="88">
        <v>1</v>
      </c>
      <c r="H134" s="85">
        <v>15177</v>
      </c>
      <c r="I134" s="87" t="s">
        <v>66</v>
      </c>
      <c r="J134" s="85">
        <v>54</v>
      </c>
      <c r="K134" s="85">
        <v>54</v>
      </c>
      <c r="L134" s="85"/>
      <c r="M134" s="85">
        <v>1</v>
      </c>
      <c r="N134" s="85">
        <v>1</v>
      </c>
      <c r="O134" s="85"/>
      <c r="P134" s="90"/>
      <c r="Q134" s="90"/>
      <c r="R134" s="90"/>
      <c r="S134" s="90"/>
      <c r="T134" s="89"/>
      <c r="U134" s="85"/>
      <c r="V134" s="85"/>
      <c r="W134" s="83">
        <f t="shared" ca="1" si="6"/>
        <v>27</v>
      </c>
      <c r="X134" s="64" t="str">
        <f t="shared" ca="1" si="7"/>
        <v>1</v>
      </c>
      <c r="Y134" s="82" t="str">
        <f t="shared" ca="1" si="8"/>
        <v>2</v>
      </c>
      <c r="Z134" s="87"/>
      <c r="AA134" s="87" t="s">
        <v>22</v>
      </c>
      <c r="AB134"/>
    </row>
    <row r="135" spans="1:28" s="6" customFormat="1" ht="25" x14ac:dyDescent="0.35">
      <c r="A135" s="85">
        <v>4858</v>
      </c>
      <c r="B135" s="86">
        <v>2016</v>
      </c>
      <c r="C135" s="87" t="s">
        <v>35</v>
      </c>
      <c r="D135" s="87" t="s">
        <v>73</v>
      </c>
      <c r="E135" s="87" t="s">
        <v>20</v>
      </c>
      <c r="F135" s="87" t="s">
        <v>21</v>
      </c>
      <c r="G135" s="88">
        <v>1</v>
      </c>
      <c r="H135" s="85">
        <v>15177</v>
      </c>
      <c r="I135" s="87" t="s">
        <v>185</v>
      </c>
      <c r="J135" s="85"/>
      <c r="K135" s="85"/>
      <c r="L135" s="85">
        <v>36</v>
      </c>
      <c r="M135" s="85">
        <v>1</v>
      </c>
      <c r="N135" s="85"/>
      <c r="O135" s="85"/>
      <c r="P135" s="90"/>
      <c r="Q135" s="90"/>
      <c r="R135" s="90"/>
      <c r="S135" s="90"/>
      <c r="T135" s="89"/>
      <c r="U135" s="85"/>
      <c r="V135" s="85"/>
      <c r="W135" s="83">
        <f t="shared" ca="1" si="6"/>
        <v>27</v>
      </c>
      <c r="X135" s="64" t="str">
        <f t="shared" ca="1" si="7"/>
        <v>1</v>
      </c>
      <c r="Y135" s="82" t="str">
        <f t="shared" ca="1" si="8"/>
        <v>2</v>
      </c>
      <c r="Z135" s="87"/>
      <c r="AA135" s="87" t="s">
        <v>22</v>
      </c>
      <c r="AB135"/>
    </row>
    <row r="136" spans="1:28" s="6" customFormat="1" ht="25" x14ac:dyDescent="0.35">
      <c r="A136" s="85">
        <v>4858</v>
      </c>
      <c r="B136" s="86">
        <v>2016</v>
      </c>
      <c r="C136" s="87" t="s">
        <v>35</v>
      </c>
      <c r="D136" s="87" t="s">
        <v>186</v>
      </c>
      <c r="E136" s="87" t="s">
        <v>30</v>
      </c>
      <c r="F136" s="87" t="s">
        <v>25</v>
      </c>
      <c r="G136" s="88">
        <v>0.25</v>
      </c>
      <c r="H136" s="85">
        <v>15177</v>
      </c>
      <c r="I136" s="87" t="s">
        <v>136</v>
      </c>
      <c r="J136" s="85"/>
      <c r="K136" s="85"/>
      <c r="L136" s="85">
        <v>45</v>
      </c>
      <c r="M136" s="85"/>
      <c r="N136" s="85"/>
      <c r="O136" s="85"/>
      <c r="P136" s="91"/>
      <c r="Q136" s="91"/>
      <c r="R136" s="91"/>
      <c r="S136" s="91"/>
      <c r="T136" s="89"/>
      <c r="U136" s="85"/>
      <c r="V136" s="85"/>
      <c r="W136" s="83">
        <f t="shared" ca="1" si="6"/>
        <v>27</v>
      </c>
      <c r="X136" s="64" t="str">
        <f t="shared" ca="1" si="7"/>
        <v>1</v>
      </c>
      <c r="Y136" s="82" t="str">
        <f t="shared" ca="1" si="8"/>
        <v>2</v>
      </c>
      <c r="Z136" s="87"/>
      <c r="AA136" s="87" t="s">
        <v>22</v>
      </c>
      <c r="AB136"/>
    </row>
    <row r="137" spans="1:28" s="6" customFormat="1" ht="25" x14ac:dyDescent="0.35">
      <c r="A137" s="85">
        <v>4858</v>
      </c>
      <c r="B137" s="86">
        <v>2017</v>
      </c>
      <c r="C137" s="87" t="s">
        <v>35</v>
      </c>
      <c r="D137" s="87" t="s">
        <v>150</v>
      </c>
      <c r="E137" s="87" t="s">
        <v>20</v>
      </c>
      <c r="F137" s="87" t="s">
        <v>82</v>
      </c>
      <c r="G137" s="88">
        <v>1</v>
      </c>
      <c r="H137" s="85">
        <v>16002</v>
      </c>
      <c r="I137" s="87" t="s">
        <v>54</v>
      </c>
      <c r="J137" s="85"/>
      <c r="K137" s="85"/>
      <c r="L137" s="85">
        <v>36</v>
      </c>
      <c r="M137" s="85"/>
      <c r="N137" s="85"/>
      <c r="O137" s="85"/>
      <c r="P137" s="91"/>
      <c r="Q137" s="91"/>
      <c r="R137" s="91"/>
      <c r="S137" s="91"/>
      <c r="T137" s="89"/>
      <c r="U137" s="85"/>
      <c r="V137" s="85"/>
      <c r="W137" s="83">
        <f t="shared" ca="1" si="6"/>
        <v>27</v>
      </c>
      <c r="X137" s="64" t="str">
        <f t="shared" ca="1" si="7"/>
        <v>1</v>
      </c>
      <c r="Y137" s="82" t="str">
        <f t="shared" ca="1" si="8"/>
        <v>2</v>
      </c>
      <c r="Z137" s="87"/>
      <c r="AA137" s="87" t="s">
        <v>22</v>
      </c>
      <c r="AB137"/>
    </row>
    <row r="138" spans="1:28" s="6" customFormat="1" ht="25" x14ac:dyDescent="0.35">
      <c r="A138" s="85">
        <v>4858</v>
      </c>
      <c r="B138" s="86">
        <v>2017</v>
      </c>
      <c r="C138" s="87" t="s">
        <v>35</v>
      </c>
      <c r="D138" s="87" t="s">
        <v>70</v>
      </c>
      <c r="E138" s="87" t="s">
        <v>28</v>
      </c>
      <c r="F138" s="87" t="s">
        <v>23</v>
      </c>
      <c r="G138" s="88">
        <v>1</v>
      </c>
      <c r="H138" s="85">
        <v>16002</v>
      </c>
      <c r="I138" s="87" t="s">
        <v>54</v>
      </c>
      <c r="J138" s="85">
        <v>4</v>
      </c>
      <c r="K138" s="85">
        <v>14</v>
      </c>
      <c r="L138" s="85">
        <v>36</v>
      </c>
      <c r="M138" s="85">
        <v>1</v>
      </c>
      <c r="N138" s="85"/>
      <c r="O138" s="85"/>
      <c r="P138" s="91">
        <v>1</v>
      </c>
      <c r="Q138" s="91"/>
      <c r="R138" s="91"/>
      <c r="S138" s="91"/>
      <c r="T138" s="89"/>
      <c r="U138" s="85"/>
      <c r="V138" s="85"/>
      <c r="W138" s="83">
        <f t="shared" ca="1" si="6"/>
        <v>27</v>
      </c>
      <c r="X138" s="64" t="str">
        <f t="shared" ca="1" si="7"/>
        <v>1</v>
      </c>
      <c r="Y138" s="82" t="str">
        <f t="shared" ca="1" si="8"/>
        <v>2</v>
      </c>
      <c r="Z138" s="87"/>
      <c r="AA138" s="87" t="s">
        <v>22</v>
      </c>
      <c r="AB138"/>
    </row>
    <row r="139" spans="1:28" s="6" customFormat="1" ht="25" x14ac:dyDescent="0.35">
      <c r="A139" s="85">
        <v>4858</v>
      </c>
      <c r="B139" s="86">
        <v>2017</v>
      </c>
      <c r="C139" s="87" t="s">
        <v>35</v>
      </c>
      <c r="D139" s="87" t="s">
        <v>72</v>
      </c>
      <c r="E139" s="87" t="s">
        <v>26</v>
      </c>
      <c r="F139" s="87" t="s">
        <v>25</v>
      </c>
      <c r="G139" s="88">
        <v>1</v>
      </c>
      <c r="H139" s="85">
        <v>16002</v>
      </c>
      <c r="I139" s="87" t="s">
        <v>125</v>
      </c>
      <c r="J139" s="85">
        <v>18</v>
      </c>
      <c r="K139" s="85"/>
      <c r="L139" s="85">
        <v>12</v>
      </c>
      <c r="M139" s="85">
        <v>1</v>
      </c>
      <c r="N139" s="85"/>
      <c r="O139" s="85"/>
      <c r="P139" s="91"/>
      <c r="Q139" s="91"/>
      <c r="R139" s="91"/>
      <c r="S139" s="91"/>
      <c r="T139" s="89"/>
      <c r="U139" s="85"/>
      <c r="V139" s="85"/>
      <c r="W139" s="83">
        <f t="shared" ca="1" si="6"/>
        <v>27</v>
      </c>
      <c r="X139" s="64" t="str">
        <f t="shared" ca="1" si="7"/>
        <v>1</v>
      </c>
      <c r="Y139" s="82" t="str">
        <f t="shared" ca="1" si="8"/>
        <v>2</v>
      </c>
      <c r="Z139" s="87"/>
      <c r="AA139" s="87" t="s">
        <v>22</v>
      </c>
      <c r="AB139"/>
    </row>
    <row r="140" spans="1:28" s="6" customFormat="1" ht="25" x14ac:dyDescent="0.35">
      <c r="A140" s="85">
        <v>4858</v>
      </c>
      <c r="B140" s="86">
        <v>2017</v>
      </c>
      <c r="C140" s="87" t="s">
        <v>35</v>
      </c>
      <c r="D140" s="87" t="s">
        <v>116</v>
      </c>
      <c r="E140" s="87" t="s">
        <v>28</v>
      </c>
      <c r="F140" s="87" t="s">
        <v>56</v>
      </c>
      <c r="G140" s="88">
        <v>1</v>
      </c>
      <c r="H140" s="85">
        <v>16002</v>
      </c>
      <c r="I140" s="87" t="s">
        <v>126</v>
      </c>
      <c r="J140" s="85"/>
      <c r="K140" s="85"/>
      <c r="L140" s="85"/>
      <c r="M140" s="85">
        <v>1</v>
      </c>
      <c r="N140" s="85">
        <v>1</v>
      </c>
      <c r="O140" s="85"/>
      <c r="P140" s="91"/>
      <c r="Q140" s="91"/>
      <c r="R140" s="91"/>
      <c r="S140" s="91"/>
      <c r="T140" s="89"/>
      <c r="U140" s="85"/>
      <c r="V140" s="85"/>
      <c r="W140" s="83">
        <f t="shared" ca="1" si="6"/>
        <v>27</v>
      </c>
      <c r="X140" s="64" t="str">
        <f t="shared" ca="1" si="7"/>
        <v>1</v>
      </c>
      <c r="Y140" s="82" t="str">
        <f t="shared" ca="1" si="8"/>
        <v>2</v>
      </c>
      <c r="Z140" s="87"/>
      <c r="AA140" s="87" t="s">
        <v>22</v>
      </c>
      <c r="AB140"/>
    </row>
    <row r="141" spans="1:28" s="6" customFormat="1" ht="25" x14ac:dyDescent="0.35">
      <c r="A141" s="85">
        <v>4858</v>
      </c>
      <c r="B141" s="86">
        <v>2017</v>
      </c>
      <c r="C141" s="87" t="s">
        <v>35</v>
      </c>
      <c r="D141" s="87" t="s">
        <v>116</v>
      </c>
      <c r="E141" s="87" t="s">
        <v>28</v>
      </c>
      <c r="F141" s="87" t="s">
        <v>56</v>
      </c>
      <c r="G141" s="88">
        <v>1</v>
      </c>
      <c r="H141" s="85">
        <v>16002</v>
      </c>
      <c r="I141" s="87" t="s">
        <v>127</v>
      </c>
      <c r="J141" s="85">
        <v>18</v>
      </c>
      <c r="K141" s="85"/>
      <c r="L141" s="85"/>
      <c r="M141" s="85">
        <v>1</v>
      </c>
      <c r="N141" s="85"/>
      <c r="O141" s="85"/>
      <c r="P141" s="91"/>
      <c r="Q141" s="91"/>
      <c r="R141" s="91"/>
      <c r="S141" s="91"/>
      <c r="T141" s="89"/>
      <c r="U141" s="85"/>
      <c r="V141" s="85"/>
      <c r="W141" s="83">
        <f t="shared" ca="1" si="6"/>
        <v>27</v>
      </c>
      <c r="X141" s="64" t="str">
        <f t="shared" ca="1" si="7"/>
        <v>1</v>
      </c>
      <c r="Y141" s="82" t="str">
        <f t="shared" ca="1" si="8"/>
        <v>2</v>
      </c>
      <c r="Z141" s="87"/>
      <c r="AA141" s="87" t="s">
        <v>22</v>
      </c>
      <c r="AB141"/>
    </row>
    <row r="142" spans="1:28" s="6" customFormat="1" ht="25" x14ac:dyDescent="0.35">
      <c r="A142" s="85">
        <v>4858</v>
      </c>
      <c r="B142" s="86">
        <v>2017</v>
      </c>
      <c r="C142" s="87" t="s">
        <v>35</v>
      </c>
      <c r="D142" s="87" t="s">
        <v>116</v>
      </c>
      <c r="E142" s="87" t="s">
        <v>28</v>
      </c>
      <c r="F142" s="87" t="s">
        <v>56</v>
      </c>
      <c r="G142" s="88">
        <v>1</v>
      </c>
      <c r="H142" s="85">
        <v>16002</v>
      </c>
      <c r="I142" s="87" t="s">
        <v>128</v>
      </c>
      <c r="J142" s="85">
        <v>18</v>
      </c>
      <c r="K142" s="85"/>
      <c r="L142" s="85">
        <v>36</v>
      </c>
      <c r="M142" s="85">
        <v>1</v>
      </c>
      <c r="N142" s="85"/>
      <c r="O142" s="85"/>
      <c r="P142" s="91"/>
      <c r="Q142" s="91"/>
      <c r="R142" s="91"/>
      <c r="S142" s="91"/>
      <c r="T142" s="89"/>
      <c r="U142" s="85"/>
      <c r="V142" s="85"/>
      <c r="W142" s="83">
        <f t="shared" ca="1" si="6"/>
        <v>27</v>
      </c>
      <c r="X142" s="64" t="str">
        <f t="shared" ca="1" si="7"/>
        <v>1</v>
      </c>
      <c r="Y142" s="82" t="str">
        <f t="shared" ca="1" si="8"/>
        <v>2</v>
      </c>
      <c r="Z142" s="87"/>
      <c r="AA142" s="87" t="s">
        <v>22</v>
      </c>
      <c r="AB142"/>
    </row>
    <row r="143" spans="1:28" s="6" customFormat="1" ht="25" x14ac:dyDescent="0.35">
      <c r="A143" s="85">
        <v>4858</v>
      </c>
      <c r="B143" s="86">
        <v>2017</v>
      </c>
      <c r="C143" s="87" t="s">
        <v>35</v>
      </c>
      <c r="D143" s="87" t="s">
        <v>116</v>
      </c>
      <c r="E143" s="87" t="s">
        <v>28</v>
      </c>
      <c r="F143" s="87" t="s">
        <v>56</v>
      </c>
      <c r="G143" s="88">
        <v>1</v>
      </c>
      <c r="H143" s="85">
        <v>16002</v>
      </c>
      <c r="I143" s="87" t="s">
        <v>129</v>
      </c>
      <c r="J143" s="85">
        <v>18</v>
      </c>
      <c r="K143" s="85"/>
      <c r="L143" s="85">
        <v>54</v>
      </c>
      <c r="M143" s="85">
        <v>1</v>
      </c>
      <c r="N143" s="85"/>
      <c r="O143" s="85"/>
      <c r="P143" s="91"/>
      <c r="Q143" s="91"/>
      <c r="R143" s="91"/>
      <c r="S143" s="91"/>
      <c r="T143" s="89"/>
      <c r="U143" s="85"/>
      <c r="V143" s="85"/>
      <c r="W143" s="83">
        <f t="shared" ca="1" si="6"/>
        <v>27</v>
      </c>
      <c r="X143" s="64" t="str">
        <f t="shared" ca="1" si="7"/>
        <v>1</v>
      </c>
      <c r="Y143" s="82" t="str">
        <f t="shared" ca="1" si="8"/>
        <v>2</v>
      </c>
      <c r="Z143" s="87"/>
      <c r="AA143" s="87" t="s">
        <v>22</v>
      </c>
      <c r="AB143"/>
    </row>
    <row r="144" spans="1:28" s="6" customFormat="1" ht="25" x14ac:dyDescent="0.35">
      <c r="A144" s="85">
        <v>4858</v>
      </c>
      <c r="B144" s="86">
        <v>2017</v>
      </c>
      <c r="C144" s="87" t="s">
        <v>35</v>
      </c>
      <c r="D144" s="87" t="s">
        <v>36</v>
      </c>
      <c r="E144" s="87" t="s">
        <v>26</v>
      </c>
      <c r="F144" s="87" t="s">
        <v>25</v>
      </c>
      <c r="G144" s="88">
        <v>1</v>
      </c>
      <c r="H144" s="85">
        <v>16002</v>
      </c>
      <c r="I144" s="87" t="s">
        <v>126</v>
      </c>
      <c r="J144" s="85"/>
      <c r="K144" s="85"/>
      <c r="L144" s="85"/>
      <c r="M144" s="85">
        <v>1</v>
      </c>
      <c r="N144" s="85">
        <v>1</v>
      </c>
      <c r="O144" s="85"/>
      <c r="P144" s="91"/>
      <c r="Q144" s="91"/>
      <c r="R144" s="91"/>
      <c r="S144" s="91"/>
      <c r="T144" s="89"/>
      <c r="U144" s="85"/>
      <c r="V144" s="85"/>
      <c r="W144" s="83">
        <f t="shared" ca="1" si="6"/>
        <v>27</v>
      </c>
      <c r="X144" s="64" t="str">
        <f t="shared" ca="1" si="7"/>
        <v>1</v>
      </c>
      <c r="Y144" s="82" t="str">
        <f t="shared" ca="1" si="8"/>
        <v>2</v>
      </c>
      <c r="Z144" s="87"/>
      <c r="AA144" s="87" t="s">
        <v>22</v>
      </c>
      <c r="AB144"/>
    </row>
    <row r="145" spans="1:28" s="6" customFormat="1" ht="25" x14ac:dyDescent="0.35">
      <c r="A145" s="85">
        <v>4858</v>
      </c>
      <c r="B145" s="86">
        <v>2017</v>
      </c>
      <c r="C145" s="87" t="s">
        <v>35</v>
      </c>
      <c r="D145" s="87" t="s">
        <v>36</v>
      </c>
      <c r="E145" s="87" t="s">
        <v>26</v>
      </c>
      <c r="F145" s="87" t="s">
        <v>25</v>
      </c>
      <c r="G145" s="88">
        <v>1</v>
      </c>
      <c r="H145" s="85">
        <v>16002</v>
      </c>
      <c r="I145" s="87" t="s">
        <v>127</v>
      </c>
      <c r="J145" s="85"/>
      <c r="K145" s="85"/>
      <c r="L145" s="85">
        <v>72</v>
      </c>
      <c r="M145" s="85">
        <v>1</v>
      </c>
      <c r="N145" s="85"/>
      <c r="O145" s="85"/>
      <c r="P145" s="91"/>
      <c r="Q145" s="91"/>
      <c r="R145" s="91"/>
      <c r="S145" s="91"/>
      <c r="T145" s="89"/>
      <c r="U145" s="85"/>
      <c r="V145" s="85"/>
      <c r="W145" s="83">
        <f t="shared" ca="1" si="6"/>
        <v>27</v>
      </c>
      <c r="X145" s="64" t="str">
        <f t="shared" ca="1" si="7"/>
        <v>1</v>
      </c>
      <c r="Y145" s="82" t="str">
        <f t="shared" ca="1" si="8"/>
        <v>2</v>
      </c>
      <c r="Z145" s="87"/>
      <c r="AA145" s="87" t="s">
        <v>22</v>
      </c>
      <c r="AB145"/>
    </row>
    <row r="146" spans="1:28" s="6" customFormat="1" ht="25" x14ac:dyDescent="0.35">
      <c r="A146" s="85">
        <v>4858</v>
      </c>
      <c r="B146" s="86">
        <v>2017</v>
      </c>
      <c r="C146" s="87" t="s">
        <v>35</v>
      </c>
      <c r="D146" s="87" t="s">
        <v>36</v>
      </c>
      <c r="E146" s="87" t="s">
        <v>26</v>
      </c>
      <c r="F146" s="87" t="s">
        <v>25</v>
      </c>
      <c r="G146" s="88">
        <v>1</v>
      </c>
      <c r="H146" s="85">
        <v>16002</v>
      </c>
      <c r="I146" s="87" t="s">
        <v>128</v>
      </c>
      <c r="J146" s="85"/>
      <c r="K146" s="85"/>
      <c r="L146" s="85">
        <v>36</v>
      </c>
      <c r="M146" s="85">
        <v>1</v>
      </c>
      <c r="N146" s="85"/>
      <c r="O146" s="85"/>
      <c r="P146" s="91"/>
      <c r="Q146" s="91"/>
      <c r="R146" s="91"/>
      <c r="S146" s="91"/>
      <c r="T146" s="89"/>
      <c r="U146" s="85"/>
      <c r="V146" s="85"/>
      <c r="W146" s="83">
        <f t="shared" ca="1" si="6"/>
        <v>27</v>
      </c>
      <c r="X146" s="64" t="str">
        <f t="shared" ca="1" si="7"/>
        <v>1</v>
      </c>
      <c r="Y146" s="82" t="str">
        <f t="shared" ca="1" si="8"/>
        <v>2</v>
      </c>
      <c r="Z146" s="87"/>
      <c r="AA146" s="87" t="s">
        <v>22</v>
      </c>
      <c r="AB146"/>
    </row>
    <row r="147" spans="1:28" s="6" customFormat="1" ht="25" x14ac:dyDescent="0.35">
      <c r="A147" s="85">
        <v>4858</v>
      </c>
      <c r="B147" s="86">
        <v>2017</v>
      </c>
      <c r="C147" s="87" t="s">
        <v>35</v>
      </c>
      <c r="D147" s="87" t="s">
        <v>36</v>
      </c>
      <c r="E147" s="87" t="s">
        <v>26</v>
      </c>
      <c r="F147" s="87" t="s">
        <v>25</v>
      </c>
      <c r="G147" s="88">
        <v>1</v>
      </c>
      <c r="H147" s="85">
        <v>16002</v>
      </c>
      <c r="I147" s="87" t="s">
        <v>129</v>
      </c>
      <c r="J147" s="85"/>
      <c r="K147" s="85"/>
      <c r="L147" s="85">
        <v>54</v>
      </c>
      <c r="M147" s="85">
        <v>1</v>
      </c>
      <c r="N147" s="85"/>
      <c r="O147" s="85"/>
      <c r="P147" s="91"/>
      <c r="Q147" s="91"/>
      <c r="R147" s="91"/>
      <c r="S147" s="91"/>
      <c r="T147" s="89"/>
      <c r="U147" s="85"/>
      <c r="V147" s="85"/>
      <c r="W147" s="83">
        <f t="shared" ca="1" si="6"/>
        <v>27</v>
      </c>
      <c r="X147" s="64" t="str">
        <f t="shared" ca="1" si="7"/>
        <v>1</v>
      </c>
      <c r="Y147" s="82" t="str">
        <f t="shared" ca="1" si="8"/>
        <v>2</v>
      </c>
      <c r="Z147" s="87"/>
      <c r="AA147" s="87" t="s">
        <v>22</v>
      </c>
      <c r="AB147"/>
    </row>
    <row r="148" spans="1:28" s="6" customFormat="1" ht="25" x14ac:dyDescent="0.35">
      <c r="A148" s="85">
        <v>4858</v>
      </c>
      <c r="B148" s="86">
        <v>2017</v>
      </c>
      <c r="C148" s="87" t="s">
        <v>35</v>
      </c>
      <c r="D148" s="87" t="s">
        <v>130</v>
      </c>
      <c r="E148" s="87" t="s">
        <v>26</v>
      </c>
      <c r="F148" s="87" t="s">
        <v>25</v>
      </c>
      <c r="G148" s="88">
        <v>1</v>
      </c>
      <c r="H148" s="85">
        <v>16002</v>
      </c>
      <c r="I148" s="87" t="s">
        <v>131</v>
      </c>
      <c r="J148" s="85"/>
      <c r="K148" s="85"/>
      <c r="L148" s="85"/>
      <c r="M148" s="85">
        <v>1</v>
      </c>
      <c r="N148" s="85">
        <v>1</v>
      </c>
      <c r="O148" s="85"/>
      <c r="P148" s="91"/>
      <c r="Q148" s="91"/>
      <c r="R148" s="91"/>
      <c r="S148" s="91"/>
      <c r="T148" s="89"/>
      <c r="U148" s="85"/>
      <c r="V148" s="85"/>
      <c r="W148" s="83">
        <f t="shared" ca="1" si="6"/>
        <v>27</v>
      </c>
      <c r="X148" s="64" t="str">
        <f t="shared" ca="1" si="7"/>
        <v>1</v>
      </c>
      <c r="Y148" s="82" t="str">
        <f t="shared" ca="1" si="8"/>
        <v>2</v>
      </c>
      <c r="Z148" s="87"/>
      <c r="AA148" s="87" t="s">
        <v>22</v>
      </c>
      <c r="AB148"/>
    </row>
    <row r="149" spans="1:28" s="6" customFormat="1" ht="25" x14ac:dyDescent="0.35">
      <c r="A149" s="85">
        <v>4858</v>
      </c>
      <c r="B149" s="86">
        <v>2017</v>
      </c>
      <c r="C149" s="87" t="s">
        <v>35</v>
      </c>
      <c r="D149" s="87" t="s">
        <v>130</v>
      </c>
      <c r="E149" s="87" t="s">
        <v>26</v>
      </c>
      <c r="F149" s="87" t="s">
        <v>25</v>
      </c>
      <c r="G149" s="88">
        <v>1</v>
      </c>
      <c r="H149" s="85">
        <v>16002</v>
      </c>
      <c r="I149" s="87" t="s">
        <v>132</v>
      </c>
      <c r="J149" s="85">
        <v>18</v>
      </c>
      <c r="K149" s="85">
        <v>18</v>
      </c>
      <c r="L149" s="85">
        <v>72</v>
      </c>
      <c r="M149" s="85">
        <v>1</v>
      </c>
      <c r="N149" s="85"/>
      <c r="O149" s="85"/>
      <c r="P149" s="91"/>
      <c r="Q149" s="91"/>
      <c r="R149" s="91"/>
      <c r="S149" s="91"/>
      <c r="T149" s="89"/>
      <c r="U149" s="85"/>
      <c r="V149" s="85"/>
      <c r="W149" s="83">
        <f t="shared" ca="1" si="6"/>
        <v>27</v>
      </c>
      <c r="X149" s="64" t="str">
        <f t="shared" ca="1" si="7"/>
        <v>1</v>
      </c>
      <c r="Y149" s="82" t="str">
        <f t="shared" ca="1" si="8"/>
        <v>2</v>
      </c>
      <c r="Z149" s="87"/>
      <c r="AA149" s="87" t="s">
        <v>22</v>
      </c>
      <c r="AB149"/>
    </row>
    <row r="150" spans="1:28" s="6" customFormat="1" ht="25" x14ac:dyDescent="0.35">
      <c r="A150" s="85">
        <v>4858</v>
      </c>
      <c r="B150" s="86">
        <v>2017</v>
      </c>
      <c r="C150" s="87" t="s">
        <v>35</v>
      </c>
      <c r="D150" s="87" t="s">
        <v>135</v>
      </c>
      <c r="E150" s="87" t="s">
        <v>20</v>
      </c>
      <c r="F150" s="87" t="s">
        <v>82</v>
      </c>
      <c r="G150" s="88">
        <v>1</v>
      </c>
      <c r="H150" s="85">
        <v>16002</v>
      </c>
      <c r="I150" s="87" t="s">
        <v>133</v>
      </c>
      <c r="J150" s="85"/>
      <c r="K150" s="85"/>
      <c r="L150" s="85">
        <v>27</v>
      </c>
      <c r="M150" s="85"/>
      <c r="N150" s="85"/>
      <c r="O150" s="85"/>
      <c r="P150" s="91"/>
      <c r="Q150" s="91"/>
      <c r="R150" s="91"/>
      <c r="S150" s="91"/>
      <c r="T150" s="89"/>
      <c r="U150" s="85"/>
      <c r="V150" s="85"/>
      <c r="W150" s="83">
        <f t="shared" ca="1" si="6"/>
        <v>27</v>
      </c>
      <c r="X150" s="64" t="str">
        <f t="shared" ca="1" si="7"/>
        <v>1</v>
      </c>
      <c r="Y150" s="82" t="str">
        <f t="shared" ca="1" si="8"/>
        <v>2</v>
      </c>
      <c r="Z150" s="87"/>
      <c r="AA150" s="87" t="s">
        <v>22</v>
      </c>
      <c r="AB150"/>
    </row>
    <row r="151" spans="1:28" s="6" customFormat="1" ht="25" x14ac:dyDescent="0.35">
      <c r="A151" s="85">
        <v>4858</v>
      </c>
      <c r="B151" s="86">
        <v>2017</v>
      </c>
      <c r="C151" s="87" t="s">
        <v>35</v>
      </c>
      <c r="D151" s="87" t="s">
        <v>130</v>
      </c>
      <c r="E151" s="87" t="s">
        <v>26</v>
      </c>
      <c r="F151" s="87" t="s">
        <v>25</v>
      </c>
      <c r="G151" s="88">
        <v>1</v>
      </c>
      <c r="H151" s="85">
        <v>16002</v>
      </c>
      <c r="I151" s="87" t="s">
        <v>133</v>
      </c>
      <c r="J151" s="85"/>
      <c r="K151" s="85"/>
      <c r="L151" s="85">
        <v>45</v>
      </c>
      <c r="M151" s="85">
        <v>1</v>
      </c>
      <c r="N151" s="85"/>
      <c r="O151" s="85"/>
      <c r="P151" s="91"/>
      <c r="Q151" s="91"/>
      <c r="R151" s="91"/>
      <c r="S151" s="91"/>
      <c r="T151" s="89"/>
      <c r="U151" s="85"/>
      <c r="V151" s="85"/>
      <c r="W151" s="83">
        <f t="shared" ca="1" si="6"/>
        <v>27</v>
      </c>
      <c r="X151" s="64" t="str">
        <f t="shared" ca="1" si="7"/>
        <v>1</v>
      </c>
      <c r="Y151" s="82" t="str">
        <f t="shared" ca="1" si="8"/>
        <v>2</v>
      </c>
      <c r="Z151" s="87"/>
      <c r="AA151" s="87" t="s">
        <v>22</v>
      </c>
      <c r="AB151"/>
    </row>
    <row r="152" spans="1:28" s="6" customFormat="1" ht="25" x14ac:dyDescent="0.35">
      <c r="A152" s="85">
        <v>4858</v>
      </c>
      <c r="B152" s="86">
        <v>2017</v>
      </c>
      <c r="C152" s="87" t="s">
        <v>35</v>
      </c>
      <c r="D152" s="87" t="s">
        <v>130</v>
      </c>
      <c r="E152" s="87" t="s">
        <v>26</v>
      </c>
      <c r="F152" s="87" t="s">
        <v>25</v>
      </c>
      <c r="G152" s="88">
        <v>1</v>
      </c>
      <c r="H152" s="85">
        <v>16002</v>
      </c>
      <c r="I152" s="87" t="s">
        <v>134</v>
      </c>
      <c r="J152" s="85"/>
      <c r="K152" s="85"/>
      <c r="L152" s="85">
        <v>72</v>
      </c>
      <c r="M152" s="85">
        <v>1</v>
      </c>
      <c r="N152" s="85"/>
      <c r="O152" s="85"/>
      <c r="P152" s="91"/>
      <c r="Q152" s="91"/>
      <c r="R152" s="91"/>
      <c r="S152" s="91"/>
      <c r="T152" s="89"/>
      <c r="U152" s="85"/>
      <c r="V152" s="85"/>
      <c r="W152" s="83">
        <f t="shared" ca="1" si="6"/>
        <v>27</v>
      </c>
      <c r="X152" s="64" t="str">
        <f t="shared" ca="1" si="7"/>
        <v>1</v>
      </c>
      <c r="Y152" s="82" t="str">
        <f t="shared" ca="1" si="8"/>
        <v>2</v>
      </c>
      <c r="Z152" s="87"/>
      <c r="AA152" s="87" t="s">
        <v>22</v>
      </c>
      <c r="AB152"/>
    </row>
    <row r="153" spans="1:28" s="6" customFormat="1" ht="25" x14ac:dyDescent="0.35">
      <c r="A153" s="85">
        <v>4858</v>
      </c>
      <c r="B153" s="86">
        <v>2017</v>
      </c>
      <c r="C153" s="87" t="s">
        <v>35</v>
      </c>
      <c r="D153" s="87" t="s">
        <v>135</v>
      </c>
      <c r="E153" s="87" t="s">
        <v>20</v>
      </c>
      <c r="F153" s="87" t="s">
        <v>82</v>
      </c>
      <c r="G153" s="88">
        <v>1</v>
      </c>
      <c r="H153" s="85">
        <v>16002</v>
      </c>
      <c r="I153" s="87" t="s">
        <v>125</v>
      </c>
      <c r="J153" s="85"/>
      <c r="K153" s="85"/>
      <c r="L153" s="85">
        <v>24</v>
      </c>
      <c r="M153" s="85"/>
      <c r="N153" s="85"/>
      <c r="O153" s="85"/>
      <c r="P153" s="91"/>
      <c r="Q153" s="91"/>
      <c r="R153" s="91"/>
      <c r="S153" s="91"/>
      <c r="T153" s="89"/>
      <c r="U153" s="85"/>
      <c r="V153" s="85"/>
      <c r="W153" s="83">
        <f t="shared" ca="1" si="6"/>
        <v>27</v>
      </c>
      <c r="X153" s="64" t="str">
        <f t="shared" ca="1" si="7"/>
        <v>1</v>
      </c>
      <c r="Y153" s="82" t="str">
        <f t="shared" ca="1" si="8"/>
        <v>2</v>
      </c>
      <c r="Z153" s="87"/>
      <c r="AA153" s="87" t="s">
        <v>22</v>
      </c>
      <c r="AB153"/>
    </row>
    <row r="154" spans="1:28" s="6" customFormat="1" ht="25" x14ac:dyDescent="0.35">
      <c r="A154" s="85">
        <v>4858</v>
      </c>
      <c r="B154" s="86">
        <v>2017</v>
      </c>
      <c r="C154" s="87" t="s">
        <v>35</v>
      </c>
      <c r="D154" s="87" t="s">
        <v>135</v>
      </c>
      <c r="E154" s="87" t="s">
        <v>20</v>
      </c>
      <c r="F154" s="87" t="s">
        <v>82</v>
      </c>
      <c r="G154" s="88">
        <v>1</v>
      </c>
      <c r="H154" s="85">
        <v>16002</v>
      </c>
      <c r="I154" s="87" t="s">
        <v>136</v>
      </c>
      <c r="J154" s="85"/>
      <c r="K154" s="85"/>
      <c r="L154" s="85">
        <v>96</v>
      </c>
      <c r="M154" s="85">
        <v>1</v>
      </c>
      <c r="N154" s="85">
        <v>1</v>
      </c>
      <c r="O154" s="85"/>
      <c r="P154" s="91"/>
      <c r="Q154" s="91"/>
      <c r="R154" s="91"/>
      <c r="S154" s="91"/>
      <c r="T154" s="89"/>
      <c r="U154" s="85"/>
      <c r="V154" s="85"/>
      <c r="W154" s="83">
        <f t="shared" ca="1" si="6"/>
        <v>27</v>
      </c>
      <c r="X154" s="64" t="str">
        <f t="shared" ca="1" si="7"/>
        <v>1</v>
      </c>
      <c r="Y154" s="82" t="str">
        <f t="shared" ca="1" si="8"/>
        <v>2</v>
      </c>
      <c r="Z154" s="87"/>
      <c r="AA154" s="87" t="s">
        <v>22</v>
      </c>
      <c r="AB154"/>
    </row>
    <row r="155" spans="1:28" s="6" customFormat="1" ht="25" x14ac:dyDescent="0.35">
      <c r="A155" s="85">
        <v>4858</v>
      </c>
      <c r="B155" s="86">
        <v>2017</v>
      </c>
      <c r="C155" s="87" t="s">
        <v>35</v>
      </c>
      <c r="D155" s="87" t="s">
        <v>130</v>
      </c>
      <c r="E155" s="87" t="s">
        <v>26</v>
      </c>
      <c r="F155" s="87" t="s">
        <v>25</v>
      </c>
      <c r="G155" s="88">
        <v>1</v>
      </c>
      <c r="H155" s="85">
        <v>16002</v>
      </c>
      <c r="I155" s="87" t="s">
        <v>137</v>
      </c>
      <c r="J155" s="85">
        <v>27</v>
      </c>
      <c r="K155" s="85"/>
      <c r="L155" s="85"/>
      <c r="M155" s="85"/>
      <c r="N155" s="85"/>
      <c r="O155" s="85"/>
      <c r="P155" s="91"/>
      <c r="Q155" s="91"/>
      <c r="R155" s="91"/>
      <c r="S155" s="91"/>
      <c r="T155" s="89"/>
      <c r="U155" s="85"/>
      <c r="V155" s="85"/>
      <c r="W155" s="83">
        <f t="shared" ca="1" si="6"/>
        <v>27</v>
      </c>
      <c r="X155" s="64" t="str">
        <f t="shared" ca="1" si="7"/>
        <v>1</v>
      </c>
      <c r="Y155" s="82" t="str">
        <f t="shared" ca="1" si="8"/>
        <v>2</v>
      </c>
      <c r="Z155" s="87"/>
      <c r="AA155" s="87" t="s">
        <v>22</v>
      </c>
      <c r="AB155"/>
    </row>
    <row r="156" spans="1:28" s="6" customFormat="1" ht="25" x14ac:dyDescent="0.35">
      <c r="A156" s="85">
        <v>4858</v>
      </c>
      <c r="B156" s="86">
        <v>2017</v>
      </c>
      <c r="C156" s="87" t="s">
        <v>35</v>
      </c>
      <c r="D156" s="87" t="s">
        <v>135</v>
      </c>
      <c r="E156" s="87" t="s">
        <v>20</v>
      </c>
      <c r="F156" s="87" t="s">
        <v>82</v>
      </c>
      <c r="G156" s="88">
        <v>1</v>
      </c>
      <c r="H156" s="85">
        <v>16002</v>
      </c>
      <c r="I156" s="87" t="s">
        <v>137</v>
      </c>
      <c r="J156" s="85"/>
      <c r="K156" s="85"/>
      <c r="L156" s="85">
        <v>54</v>
      </c>
      <c r="M156" s="85">
        <v>1</v>
      </c>
      <c r="N156" s="85"/>
      <c r="O156" s="85"/>
      <c r="P156" s="91">
        <v>1</v>
      </c>
      <c r="Q156" s="91"/>
      <c r="R156" s="91"/>
      <c r="S156" s="91"/>
      <c r="T156" s="89"/>
      <c r="U156" s="85"/>
      <c r="V156" s="85"/>
      <c r="W156" s="83">
        <f t="shared" ca="1" si="6"/>
        <v>27</v>
      </c>
      <c r="X156" s="64" t="str">
        <f t="shared" ca="1" si="7"/>
        <v>1</v>
      </c>
      <c r="Y156" s="82" t="str">
        <f t="shared" ca="1" si="8"/>
        <v>2</v>
      </c>
      <c r="Z156" s="87"/>
      <c r="AA156" s="87" t="s">
        <v>22</v>
      </c>
      <c r="AB156"/>
    </row>
    <row r="157" spans="1:28" s="6" customFormat="1" ht="25" x14ac:dyDescent="0.35">
      <c r="A157" s="85">
        <v>4858</v>
      </c>
      <c r="B157" s="86">
        <v>2017</v>
      </c>
      <c r="C157" s="87" t="s">
        <v>35</v>
      </c>
      <c r="D157" s="87" t="s">
        <v>73</v>
      </c>
      <c r="E157" s="87" t="s">
        <v>20</v>
      </c>
      <c r="F157" s="87" t="s">
        <v>21</v>
      </c>
      <c r="G157" s="88">
        <v>1</v>
      </c>
      <c r="H157" s="85">
        <v>16002</v>
      </c>
      <c r="I157" s="87" t="s">
        <v>66</v>
      </c>
      <c r="J157" s="85">
        <v>54</v>
      </c>
      <c r="K157" s="85">
        <v>54</v>
      </c>
      <c r="L157" s="85"/>
      <c r="M157" s="85">
        <v>1</v>
      </c>
      <c r="N157" s="85"/>
      <c r="O157" s="85">
        <v>1</v>
      </c>
      <c r="P157" s="91">
        <v>1</v>
      </c>
      <c r="Q157" s="91"/>
      <c r="R157" s="91"/>
      <c r="S157" s="91"/>
      <c r="T157" s="89"/>
      <c r="U157" s="85"/>
      <c r="V157" s="85"/>
      <c r="W157" s="83">
        <f t="shared" ca="1" si="6"/>
        <v>27</v>
      </c>
      <c r="X157" s="64" t="str">
        <f t="shared" ca="1" si="7"/>
        <v>1</v>
      </c>
      <c r="Y157" s="82" t="str">
        <f t="shared" ca="1" si="8"/>
        <v>2</v>
      </c>
      <c r="Z157" s="87"/>
      <c r="AA157" s="87" t="s">
        <v>61</v>
      </c>
      <c r="AB157"/>
    </row>
    <row r="158" spans="1:28" s="6" customFormat="1" ht="25" x14ac:dyDescent="0.35">
      <c r="A158" s="85">
        <v>4858</v>
      </c>
      <c r="B158" s="86">
        <v>2017</v>
      </c>
      <c r="C158" s="87" t="s">
        <v>35</v>
      </c>
      <c r="D158" s="87" t="s">
        <v>70</v>
      </c>
      <c r="E158" s="87" t="s">
        <v>28</v>
      </c>
      <c r="F158" s="87" t="s">
        <v>25</v>
      </c>
      <c r="G158" s="88">
        <v>1</v>
      </c>
      <c r="H158" s="85">
        <v>16002</v>
      </c>
      <c r="I158" s="87" t="s">
        <v>124</v>
      </c>
      <c r="J158" s="85">
        <v>36</v>
      </c>
      <c r="K158" s="85"/>
      <c r="L158" s="85"/>
      <c r="M158" s="85"/>
      <c r="N158" s="85"/>
      <c r="O158" s="85"/>
      <c r="P158" s="91"/>
      <c r="Q158" s="91"/>
      <c r="R158" s="91"/>
      <c r="S158" s="91"/>
      <c r="T158" s="89"/>
      <c r="U158" s="85"/>
      <c r="V158" s="85"/>
      <c r="W158" s="83">
        <f t="shared" ca="1" si="6"/>
        <v>27</v>
      </c>
      <c r="X158" s="64" t="str">
        <f t="shared" ca="1" si="7"/>
        <v>1</v>
      </c>
      <c r="Y158" s="82" t="str">
        <f t="shared" ca="1" si="8"/>
        <v>2</v>
      </c>
      <c r="Z158" s="87"/>
      <c r="AA158" s="87" t="s">
        <v>22</v>
      </c>
      <c r="AB158"/>
    </row>
    <row r="159" spans="1:28" s="6" customFormat="1" ht="25" x14ac:dyDescent="0.35">
      <c r="A159" s="85">
        <v>4858</v>
      </c>
      <c r="B159" s="86">
        <v>2017</v>
      </c>
      <c r="C159" s="87" t="s">
        <v>35</v>
      </c>
      <c r="D159" s="87" t="s">
        <v>150</v>
      </c>
      <c r="E159" s="87" t="s">
        <v>30</v>
      </c>
      <c r="F159" s="87" t="s">
        <v>82</v>
      </c>
      <c r="G159" s="88">
        <v>1</v>
      </c>
      <c r="H159" s="85">
        <v>16002</v>
      </c>
      <c r="I159" s="87" t="s">
        <v>124</v>
      </c>
      <c r="J159" s="85"/>
      <c r="K159" s="85">
        <v>12</v>
      </c>
      <c r="L159" s="85">
        <v>120</v>
      </c>
      <c r="M159" s="85">
        <v>1</v>
      </c>
      <c r="N159" s="85">
        <v>1</v>
      </c>
      <c r="O159" s="85"/>
      <c r="P159" s="91"/>
      <c r="Q159" s="91"/>
      <c r="R159" s="91"/>
      <c r="S159" s="91"/>
      <c r="T159" s="89"/>
      <c r="U159" s="85"/>
      <c r="V159" s="85"/>
      <c r="W159" s="83">
        <f t="shared" ca="1" si="6"/>
        <v>27</v>
      </c>
      <c r="X159" s="64" t="str">
        <f t="shared" ca="1" si="7"/>
        <v>1</v>
      </c>
      <c r="Y159" s="82" t="str">
        <f t="shared" ca="1" si="8"/>
        <v>2</v>
      </c>
      <c r="Z159" s="87"/>
      <c r="AA159" s="87" t="s">
        <v>22</v>
      </c>
      <c r="AB159"/>
    </row>
    <row r="160" spans="1:28" s="6" customFormat="1" ht="25" x14ac:dyDescent="0.35">
      <c r="A160" s="85">
        <v>4858</v>
      </c>
      <c r="B160" s="86">
        <v>2018</v>
      </c>
      <c r="C160" s="87" t="s">
        <v>35</v>
      </c>
      <c r="D160" s="87" t="s">
        <v>135</v>
      </c>
      <c r="E160" s="87" t="s">
        <v>20</v>
      </c>
      <c r="F160" s="87" t="s">
        <v>82</v>
      </c>
      <c r="G160" s="88">
        <v>1</v>
      </c>
      <c r="H160" s="85">
        <v>17232</v>
      </c>
      <c r="I160" s="87" t="s">
        <v>142</v>
      </c>
      <c r="J160" s="85"/>
      <c r="K160" s="85"/>
      <c r="L160" s="85"/>
      <c r="M160" s="85"/>
      <c r="N160" s="85"/>
      <c r="O160" s="85"/>
      <c r="P160" s="91"/>
      <c r="Q160" s="91"/>
      <c r="R160" s="91"/>
      <c r="S160" s="91"/>
      <c r="T160" s="89"/>
      <c r="U160" s="85"/>
      <c r="V160" s="85"/>
      <c r="W160" s="83">
        <f t="shared" ca="1" si="6"/>
        <v>27</v>
      </c>
      <c r="X160" s="64" t="str">
        <f t="shared" ca="1" si="7"/>
        <v>1</v>
      </c>
      <c r="Y160" s="82" t="str">
        <f t="shared" ca="1" si="8"/>
        <v>2</v>
      </c>
      <c r="Z160" s="87"/>
      <c r="AA160" s="87" t="s">
        <v>61</v>
      </c>
      <c r="AB160"/>
    </row>
    <row r="161" spans="1:28" s="6" customFormat="1" ht="25" x14ac:dyDescent="0.35">
      <c r="A161" s="85">
        <v>4858</v>
      </c>
      <c r="B161" s="86">
        <v>2018</v>
      </c>
      <c r="C161" s="87" t="s">
        <v>35</v>
      </c>
      <c r="D161" s="87" t="s">
        <v>72</v>
      </c>
      <c r="E161" s="87" t="s">
        <v>26</v>
      </c>
      <c r="F161" s="87" t="s">
        <v>25</v>
      </c>
      <c r="G161" s="88">
        <v>1</v>
      </c>
      <c r="H161" s="85">
        <v>17232</v>
      </c>
      <c r="I161" s="87" t="s">
        <v>142</v>
      </c>
      <c r="J161" s="85"/>
      <c r="K161" s="85">
        <v>63</v>
      </c>
      <c r="L161" s="85">
        <v>126</v>
      </c>
      <c r="M161" s="85">
        <v>1</v>
      </c>
      <c r="N161" s="85">
        <v>1</v>
      </c>
      <c r="O161" s="85"/>
      <c r="P161" s="91">
        <v>1</v>
      </c>
      <c r="Q161" s="91"/>
      <c r="R161" s="91"/>
      <c r="S161" s="91"/>
      <c r="T161" s="89"/>
      <c r="U161" s="85"/>
      <c r="V161" s="85"/>
      <c r="W161" s="83">
        <f t="shared" ca="1" si="6"/>
        <v>27</v>
      </c>
      <c r="X161" s="64" t="str">
        <f t="shared" ca="1" si="7"/>
        <v>1</v>
      </c>
      <c r="Y161" s="82" t="str">
        <f t="shared" ca="1" si="8"/>
        <v>2</v>
      </c>
      <c r="Z161" s="87"/>
      <c r="AA161" s="87" t="s">
        <v>22</v>
      </c>
      <c r="AB161"/>
    </row>
    <row r="162" spans="1:28" s="6" customFormat="1" ht="25" x14ac:dyDescent="0.35">
      <c r="A162" s="85">
        <v>4858</v>
      </c>
      <c r="B162" s="86">
        <v>2018</v>
      </c>
      <c r="C162" s="87" t="s">
        <v>35</v>
      </c>
      <c r="D162" s="87" t="s">
        <v>72</v>
      </c>
      <c r="E162" s="87" t="s">
        <v>26</v>
      </c>
      <c r="F162" s="87" t="s">
        <v>25</v>
      </c>
      <c r="G162" s="88">
        <v>1</v>
      </c>
      <c r="H162" s="85">
        <v>17232</v>
      </c>
      <c r="I162" s="87" t="s">
        <v>143</v>
      </c>
      <c r="J162" s="85">
        <v>24</v>
      </c>
      <c r="K162" s="85"/>
      <c r="L162" s="85">
        <v>96</v>
      </c>
      <c r="M162" s="85">
        <v>1</v>
      </c>
      <c r="N162" s="85">
        <v>1</v>
      </c>
      <c r="O162" s="85"/>
      <c r="P162" s="91"/>
      <c r="Q162" s="91"/>
      <c r="R162" s="91"/>
      <c r="S162" s="91"/>
      <c r="T162" s="89"/>
      <c r="U162" s="85"/>
      <c r="V162" s="85"/>
      <c r="W162" s="83">
        <f t="shared" ca="1" si="6"/>
        <v>27</v>
      </c>
      <c r="X162" s="64" t="str">
        <f t="shared" ca="1" si="7"/>
        <v>1</v>
      </c>
      <c r="Y162" s="82" t="str">
        <f t="shared" ca="1" si="8"/>
        <v>2</v>
      </c>
      <c r="Z162" s="87"/>
      <c r="AA162" s="87" t="s">
        <v>61</v>
      </c>
      <c r="AB162"/>
    </row>
    <row r="163" spans="1:28" s="6" customFormat="1" ht="25" x14ac:dyDescent="0.35">
      <c r="A163" s="85">
        <v>4858</v>
      </c>
      <c r="B163" s="86">
        <v>2018</v>
      </c>
      <c r="C163" s="87" t="s">
        <v>35</v>
      </c>
      <c r="D163" s="87" t="s">
        <v>115</v>
      </c>
      <c r="E163" s="87" t="s">
        <v>20</v>
      </c>
      <c r="F163" s="87" t="s">
        <v>82</v>
      </c>
      <c r="G163" s="88">
        <v>0.25</v>
      </c>
      <c r="H163" s="85">
        <v>17232</v>
      </c>
      <c r="I163" s="87" t="s">
        <v>144</v>
      </c>
      <c r="J163" s="85"/>
      <c r="K163" s="85">
        <v>10</v>
      </c>
      <c r="L163" s="85">
        <v>20</v>
      </c>
      <c r="M163" s="85">
        <v>1</v>
      </c>
      <c r="N163" s="85"/>
      <c r="O163" s="85"/>
      <c r="P163" s="91"/>
      <c r="Q163" s="91"/>
      <c r="R163" s="91"/>
      <c r="S163" s="91"/>
      <c r="T163" s="89"/>
      <c r="U163" s="85"/>
      <c r="V163" s="85"/>
      <c r="W163" s="83">
        <f t="shared" ca="1" si="6"/>
        <v>27</v>
      </c>
      <c r="X163" s="64" t="str">
        <f t="shared" ca="1" si="7"/>
        <v>1</v>
      </c>
      <c r="Y163" s="82" t="str">
        <f t="shared" ca="1" si="8"/>
        <v>2</v>
      </c>
      <c r="Z163" s="87"/>
      <c r="AA163" s="87" t="s">
        <v>22</v>
      </c>
      <c r="AB163"/>
    </row>
    <row r="164" spans="1:28" s="6" customFormat="1" ht="50" x14ac:dyDescent="0.35">
      <c r="A164" s="85">
        <v>4858</v>
      </c>
      <c r="B164" s="86">
        <v>2018</v>
      </c>
      <c r="C164" s="87" t="s">
        <v>35</v>
      </c>
      <c r="D164" s="87" t="s">
        <v>115</v>
      </c>
      <c r="E164" s="87" t="s">
        <v>20</v>
      </c>
      <c r="F164" s="87" t="s">
        <v>82</v>
      </c>
      <c r="G164" s="88">
        <v>0.25</v>
      </c>
      <c r="H164" s="85">
        <v>17232</v>
      </c>
      <c r="I164" s="87" t="s">
        <v>191</v>
      </c>
      <c r="J164" s="85"/>
      <c r="K164" s="85"/>
      <c r="L164" s="85"/>
      <c r="M164" s="85"/>
      <c r="N164" s="85"/>
      <c r="O164" s="85"/>
      <c r="P164" s="91"/>
      <c r="Q164" s="91"/>
      <c r="R164" s="91"/>
      <c r="S164" s="91"/>
      <c r="T164" s="89"/>
      <c r="U164" s="85">
        <v>15</v>
      </c>
      <c r="V164" s="85"/>
      <c r="W164" s="83">
        <f t="shared" ca="1" si="6"/>
        <v>27</v>
      </c>
      <c r="X164" s="64" t="str">
        <f t="shared" ca="1" si="7"/>
        <v>1</v>
      </c>
      <c r="Y164" s="82" t="str">
        <f t="shared" ca="1" si="8"/>
        <v>2</v>
      </c>
      <c r="Z164" s="87"/>
      <c r="AA164" s="87" t="s">
        <v>22</v>
      </c>
      <c r="AB164"/>
    </row>
    <row r="165" spans="1:28" s="6" customFormat="1" ht="25" x14ac:dyDescent="0.35">
      <c r="A165" s="85">
        <v>4858</v>
      </c>
      <c r="B165" s="86">
        <v>2018</v>
      </c>
      <c r="C165" s="87" t="s">
        <v>35</v>
      </c>
      <c r="D165" s="87" t="s">
        <v>190</v>
      </c>
      <c r="E165" s="87" t="s">
        <v>26</v>
      </c>
      <c r="F165" s="87" t="s">
        <v>25</v>
      </c>
      <c r="G165" s="88">
        <v>1</v>
      </c>
      <c r="H165" s="85">
        <v>17232</v>
      </c>
      <c r="I165" s="87" t="s">
        <v>281</v>
      </c>
      <c r="J165" s="85">
        <v>18</v>
      </c>
      <c r="K165" s="85">
        <v>18</v>
      </c>
      <c r="L165" s="85"/>
      <c r="M165" s="85">
        <v>1</v>
      </c>
      <c r="N165" s="85"/>
      <c r="O165" s="85"/>
      <c r="P165" s="91">
        <v>1</v>
      </c>
      <c r="Q165" s="91"/>
      <c r="R165" s="91"/>
      <c r="S165" s="91"/>
      <c r="T165" s="89"/>
      <c r="U165" s="85"/>
      <c r="V165" s="85"/>
      <c r="W165" s="83">
        <f t="shared" ca="1" si="6"/>
        <v>27</v>
      </c>
      <c r="X165" s="64" t="str">
        <f t="shared" ca="1" si="7"/>
        <v>1</v>
      </c>
      <c r="Y165" s="82" t="str">
        <f t="shared" ca="1" si="8"/>
        <v>2</v>
      </c>
      <c r="Z165" s="87"/>
      <c r="AA165" s="87" t="s">
        <v>61</v>
      </c>
      <c r="AB165"/>
    </row>
    <row r="166" spans="1:28" s="6" customFormat="1" ht="25" x14ac:dyDescent="0.35">
      <c r="A166" s="85">
        <v>4858</v>
      </c>
      <c r="B166" s="86">
        <v>2018</v>
      </c>
      <c r="C166" s="87" t="s">
        <v>35</v>
      </c>
      <c r="D166" s="87" t="s">
        <v>190</v>
      </c>
      <c r="E166" s="87" t="s">
        <v>26</v>
      </c>
      <c r="F166" s="87" t="s">
        <v>25</v>
      </c>
      <c r="G166" s="88">
        <v>1</v>
      </c>
      <c r="H166" s="85">
        <v>17232</v>
      </c>
      <c r="I166" s="87" t="s">
        <v>144</v>
      </c>
      <c r="J166" s="85">
        <v>14</v>
      </c>
      <c r="K166" s="85"/>
      <c r="L166" s="85"/>
      <c r="M166" s="85"/>
      <c r="N166" s="85"/>
      <c r="O166" s="85"/>
      <c r="P166" s="91"/>
      <c r="Q166" s="91"/>
      <c r="R166" s="91"/>
      <c r="S166" s="91"/>
      <c r="T166" s="89"/>
      <c r="U166" s="85"/>
      <c r="V166" s="85"/>
      <c r="W166" s="83">
        <f t="shared" ca="1" si="6"/>
        <v>27</v>
      </c>
      <c r="X166" s="64" t="str">
        <f t="shared" ca="1" si="7"/>
        <v>1</v>
      </c>
      <c r="Y166" s="82" t="str">
        <f t="shared" ca="1" si="8"/>
        <v>2</v>
      </c>
      <c r="Z166" s="87"/>
      <c r="AA166" s="87" t="s">
        <v>22</v>
      </c>
      <c r="AB166"/>
    </row>
    <row r="167" spans="1:28" s="6" customFormat="1" ht="50" x14ac:dyDescent="0.35">
      <c r="A167" s="85">
        <v>4858</v>
      </c>
      <c r="B167" s="86">
        <v>2018</v>
      </c>
      <c r="C167" s="87" t="s">
        <v>35</v>
      </c>
      <c r="D167" s="87" t="s">
        <v>309</v>
      </c>
      <c r="E167" s="87" t="s">
        <v>20</v>
      </c>
      <c r="F167" s="87" t="s">
        <v>310</v>
      </c>
      <c r="G167" s="88">
        <v>1</v>
      </c>
      <c r="H167" s="85">
        <v>17232</v>
      </c>
      <c r="I167" s="87" t="s">
        <v>191</v>
      </c>
      <c r="J167" s="85"/>
      <c r="K167" s="85"/>
      <c r="L167" s="85"/>
      <c r="M167" s="85"/>
      <c r="N167" s="85"/>
      <c r="O167" s="85"/>
      <c r="P167" s="91"/>
      <c r="Q167" s="91"/>
      <c r="R167" s="91"/>
      <c r="S167" s="91"/>
      <c r="T167" s="89"/>
      <c r="U167" s="85">
        <v>9</v>
      </c>
      <c r="V167" s="85"/>
      <c r="W167" s="83">
        <f t="shared" ca="1" si="6"/>
        <v>27</v>
      </c>
      <c r="X167" s="64" t="str">
        <f t="shared" ca="1" si="7"/>
        <v>1</v>
      </c>
      <c r="Y167" s="82" t="str">
        <f t="shared" ca="1" si="8"/>
        <v>2</v>
      </c>
      <c r="Z167" s="87"/>
      <c r="AA167" s="87" t="s">
        <v>61</v>
      </c>
      <c r="AB167"/>
    </row>
    <row r="168" spans="1:28" s="6" customFormat="1" ht="25" x14ac:dyDescent="0.35">
      <c r="A168" s="85">
        <v>4858</v>
      </c>
      <c r="B168" s="86">
        <v>2018</v>
      </c>
      <c r="C168" s="87" t="s">
        <v>35</v>
      </c>
      <c r="D168" s="87" t="s">
        <v>116</v>
      </c>
      <c r="E168" s="87" t="s">
        <v>28</v>
      </c>
      <c r="F168" s="87" t="s">
        <v>56</v>
      </c>
      <c r="G168" s="88">
        <v>1</v>
      </c>
      <c r="H168" s="85">
        <v>17232</v>
      </c>
      <c r="I168" s="87" t="s">
        <v>146</v>
      </c>
      <c r="J168" s="85"/>
      <c r="K168" s="85"/>
      <c r="L168" s="85"/>
      <c r="M168" s="85"/>
      <c r="N168" s="85">
        <v>1</v>
      </c>
      <c r="O168" s="85"/>
      <c r="P168" s="91"/>
      <c r="Q168" s="91"/>
      <c r="R168" s="91"/>
      <c r="S168" s="91"/>
      <c r="T168" s="89"/>
      <c r="U168" s="85"/>
      <c r="V168" s="85"/>
      <c r="W168" s="83">
        <f t="shared" ca="1" si="6"/>
        <v>27</v>
      </c>
      <c r="X168" s="64" t="str">
        <f t="shared" ca="1" si="7"/>
        <v>1</v>
      </c>
      <c r="Y168" s="82" t="str">
        <f t="shared" ca="1" si="8"/>
        <v>2</v>
      </c>
      <c r="Z168" s="87"/>
      <c r="AA168" s="87" t="s">
        <v>22</v>
      </c>
      <c r="AB168"/>
    </row>
    <row r="169" spans="1:28" s="6" customFormat="1" ht="25" x14ac:dyDescent="0.35">
      <c r="A169" s="85">
        <v>4858</v>
      </c>
      <c r="B169" s="86">
        <v>2018</v>
      </c>
      <c r="C169" s="87" t="s">
        <v>35</v>
      </c>
      <c r="D169" s="87" t="s">
        <v>116</v>
      </c>
      <c r="E169" s="87" t="s">
        <v>28</v>
      </c>
      <c r="F169" s="87" t="s">
        <v>56</v>
      </c>
      <c r="G169" s="88">
        <v>1</v>
      </c>
      <c r="H169" s="85">
        <v>17232</v>
      </c>
      <c r="I169" s="87" t="s">
        <v>144</v>
      </c>
      <c r="J169" s="85">
        <v>14</v>
      </c>
      <c r="K169" s="85"/>
      <c r="L169" s="85"/>
      <c r="M169" s="85"/>
      <c r="N169" s="85"/>
      <c r="O169" s="85"/>
      <c r="P169" s="91"/>
      <c r="Q169" s="91"/>
      <c r="R169" s="91"/>
      <c r="S169" s="91"/>
      <c r="T169" s="89"/>
      <c r="U169" s="85"/>
      <c r="V169" s="85"/>
      <c r="W169" s="83">
        <f t="shared" ca="1" si="6"/>
        <v>27</v>
      </c>
      <c r="X169" s="64" t="str">
        <f t="shared" ca="1" si="7"/>
        <v>1</v>
      </c>
      <c r="Y169" s="82" t="str">
        <f t="shared" ca="1" si="8"/>
        <v>2</v>
      </c>
      <c r="Z169" s="87"/>
      <c r="AA169" s="87" t="s">
        <v>61</v>
      </c>
      <c r="AB169"/>
    </row>
    <row r="170" spans="1:28" s="6" customFormat="1" ht="25" x14ac:dyDescent="0.35">
      <c r="A170" s="85">
        <v>4858</v>
      </c>
      <c r="B170" s="86">
        <v>2018</v>
      </c>
      <c r="C170" s="87" t="s">
        <v>35</v>
      </c>
      <c r="D170" s="87" t="s">
        <v>116</v>
      </c>
      <c r="E170" s="87" t="s">
        <v>28</v>
      </c>
      <c r="F170" s="87" t="s">
        <v>56</v>
      </c>
      <c r="G170" s="88">
        <v>1</v>
      </c>
      <c r="H170" s="85">
        <v>17232</v>
      </c>
      <c r="I170" s="87" t="s">
        <v>145</v>
      </c>
      <c r="J170" s="85">
        <v>6</v>
      </c>
      <c r="K170" s="85"/>
      <c r="L170" s="85"/>
      <c r="M170" s="85"/>
      <c r="N170" s="85"/>
      <c r="O170" s="85"/>
      <c r="P170" s="91"/>
      <c r="Q170" s="91"/>
      <c r="R170" s="91"/>
      <c r="S170" s="91"/>
      <c r="T170" s="89"/>
      <c r="U170" s="85"/>
      <c r="V170" s="85"/>
      <c r="W170" s="83">
        <f t="shared" ca="1" si="6"/>
        <v>27</v>
      </c>
      <c r="X170" s="64" t="str">
        <f t="shared" ca="1" si="7"/>
        <v>1</v>
      </c>
      <c r="Y170" s="82" t="str">
        <f t="shared" ca="1" si="8"/>
        <v>2</v>
      </c>
      <c r="Z170" s="87"/>
      <c r="AA170" s="87" t="s">
        <v>61</v>
      </c>
      <c r="AB170"/>
    </row>
    <row r="171" spans="1:28" s="6" customFormat="1" ht="25" x14ac:dyDescent="0.35">
      <c r="A171" s="85">
        <v>4858</v>
      </c>
      <c r="B171" s="86">
        <v>2018</v>
      </c>
      <c r="C171" s="87" t="s">
        <v>35</v>
      </c>
      <c r="D171" s="87" t="s">
        <v>116</v>
      </c>
      <c r="E171" s="87" t="s">
        <v>28</v>
      </c>
      <c r="F171" s="87" t="s">
        <v>56</v>
      </c>
      <c r="G171" s="88">
        <v>1</v>
      </c>
      <c r="H171" s="85">
        <v>17232</v>
      </c>
      <c r="I171" s="87" t="s">
        <v>58</v>
      </c>
      <c r="J171" s="85">
        <v>10</v>
      </c>
      <c r="K171" s="85">
        <v>8</v>
      </c>
      <c r="L171" s="85"/>
      <c r="M171" s="85">
        <v>1</v>
      </c>
      <c r="N171" s="85"/>
      <c r="O171" s="85"/>
      <c r="P171" s="91">
        <v>1</v>
      </c>
      <c r="Q171" s="91"/>
      <c r="R171" s="91"/>
      <c r="S171" s="91"/>
      <c r="T171" s="89"/>
      <c r="U171" s="85"/>
      <c r="V171" s="85"/>
      <c r="W171" s="83">
        <f t="shared" ca="1" si="6"/>
        <v>27</v>
      </c>
      <c r="X171" s="64" t="str">
        <f t="shared" ca="1" si="7"/>
        <v>1</v>
      </c>
      <c r="Y171" s="82" t="str">
        <f t="shared" ca="1" si="8"/>
        <v>2</v>
      </c>
      <c r="Z171" s="87"/>
      <c r="AA171" s="87" t="s">
        <v>22</v>
      </c>
      <c r="AB171"/>
    </row>
    <row r="172" spans="1:28" s="6" customFormat="1" ht="25" x14ac:dyDescent="0.35">
      <c r="A172" s="85">
        <v>4858</v>
      </c>
      <c r="B172" s="86">
        <v>2017</v>
      </c>
      <c r="C172" s="87" t="s">
        <v>35</v>
      </c>
      <c r="D172" s="87" t="s">
        <v>72</v>
      </c>
      <c r="E172" s="87" t="s">
        <v>26</v>
      </c>
      <c r="F172" s="87" t="s">
        <v>25</v>
      </c>
      <c r="G172" s="88">
        <v>1</v>
      </c>
      <c r="H172" s="85">
        <v>16002</v>
      </c>
      <c r="I172" s="87" t="s">
        <v>136</v>
      </c>
      <c r="J172" s="85">
        <v>24</v>
      </c>
      <c r="K172" s="85"/>
      <c r="L172" s="85"/>
      <c r="M172" s="85"/>
      <c r="N172" s="85"/>
      <c r="O172" s="85"/>
      <c r="P172" s="91"/>
      <c r="Q172" s="91"/>
      <c r="R172" s="91"/>
      <c r="S172" s="91"/>
      <c r="T172" s="89"/>
      <c r="U172" s="85"/>
      <c r="V172" s="85"/>
      <c r="W172" s="83">
        <f t="shared" ca="1" si="6"/>
        <v>27</v>
      </c>
      <c r="X172" s="64" t="str">
        <f t="shared" ca="1" si="7"/>
        <v>1</v>
      </c>
      <c r="Y172" s="82" t="str">
        <f t="shared" ca="1" si="8"/>
        <v>2</v>
      </c>
      <c r="Z172" s="87"/>
      <c r="AA172" s="87" t="s">
        <v>22</v>
      </c>
      <c r="AB172"/>
    </row>
    <row r="173" spans="1:28" s="6" customFormat="1" ht="25" x14ac:dyDescent="0.35">
      <c r="A173" s="85">
        <v>4858</v>
      </c>
      <c r="B173" s="86">
        <v>2018</v>
      </c>
      <c r="C173" s="87" t="s">
        <v>35</v>
      </c>
      <c r="D173" s="87" t="s">
        <v>130</v>
      </c>
      <c r="E173" s="87" t="s">
        <v>26</v>
      </c>
      <c r="F173" s="87" t="s">
        <v>25</v>
      </c>
      <c r="G173" s="88">
        <v>1</v>
      </c>
      <c r="H173" s="85">
        <v>17232</v>
      </c>
      <c r="I173" s="87" t="s">
        <v>136</v>
      </c>
      <c r="J173" s="85">
        <v>54</v>
      </c>
      <c r="K173" s="85"/>
      <c r="L173" s="85"/>
      <c r="M173" s="85">
        <v>1</v>
      </c>
      <c r="N173" s="85">
        <v>1</v>
      </c>
      <c r="O173" s="85">
        <v>1</v>
      </c>
      <c r="P173" s="91"/>
      <c r="Q173" s="91"/>
      <c r="R173" s="91"/>
      <c r="S173" s="91"/>
      <c r="T173" s="89"/>
      <c r="U173" s="85"/>
      <c r="V173" s="85"/>
      <c r="W173" s="83">
        <f t="shared" ca="1" si="6"/>
        <v>27</v>
      </c>
      <c r="X173" s="64" t="str">
        <f t="shared" ca="1" si="7"/>
        <v>1</v>
      </c>
      <c r="Y173" s="82" t="str">
        <f t="shared" ca="1" si="8"/>
        <v>2</v>
      </c>
      <c r="Z173" s="87"/>
      <c r="AA173" s="87" t="s">
        <v>22</v>
      </c>
      <c r="AB173"/>
    </row>
    <row r="174" spans="1:28" s="6" customFormat="1" ht="25" x14ac:dyDescent="0.35">
      <c r="A174" s="85">
        <v>4858</v>
      </c>
      <c r="B174" s="86">
        <v>2018</v>
      </c>
      <c r="C174" s="87" t="s">
        <v>35</v>
      </c>
      <c r="D174" s="87" t="s">
        <v>135</v>
      </c>
      <c r="E174" s="87" t="s">
        <v>20</v>
      </c>
      <c r="F174" s="87" t="s">
        <v>82</v>
      </c>
      <c r="G174" s="88">
        <v>1</v>
      </c>
      <c r="H174" s="85">
        <v>17232</v>
      </c>
      <c r="I174" s="87" t="s">
        <v>136</v>
      </c>
      <c r="J174" s="85"/>
      <c r="K174" s="85"/>
      <c r="L174" s="85">
        <v>180</v>
      </c>
      <c r="M174" s="85">
        <v>1</v>
      </c>
      <c r="N174" s="85"/>
      <c r="O174" s="85"/>
      <c r="P174" s="91"/>
      <c r="Q174" s="91"/>
      <c r="R174" s="91"/>
      <c r="S174" s="91"/>
      <c r="T174" s="89"/>
      <c r="U174" s="85"/>
      <c r="V174" s="85"/>
      <c r="W174" s="83">
        <f t="shared" ca="1" si="6"/>
        <v>27</v>
      </c>
      <c r="X174" s="64" t="str">
        <f t="shared" ca="1" si="7"/>
        <v>1</v>
      </c>
      <c r="Y174" s="82" t="str">
        <f t="shared" ca="1" si="8"/>
        <v>2</v>
      </c>
      <c r="Z174" s="87"/>
      <c r="AA174" s="87"/>
      <c r="AB174"/>
    </row>
    <row r="175" spans="1:28" s="6" customFormat="1" ht="50" x14ac:dyDescent="0.35">
      <c r="A175" s="85">
        <v>4858</v>
      </c>
      <c r="B175" s="86">
        <v>2018</v>
      </c>
      <c r="C175" s="87" t="s">
        <v>35</v>
      </c>
      <c r="D175" s="87" t="s">
        <v>135</v>
      </c>
      <c r="E175" s="87" t="s">
        <v>20</v>
      </c>
      <c r="F175" s="87" t="s">
        <v>82</v>
      </c>
      <c r="G175" s="88">
        <v>1</v>
      </c>
      <c r="H175" s="85">
        <v>17232</v>
      </c>
      <c r="I175" s="87" t="s">
        <v>191</v>
      </c>
      <c r="J175" s="85"/>
      <c r="K175" s="85"/>
      <c r="L175" s="85"/>
      <c r="M175" s="85"/>
      <c r="N175" s="85"/>
      <c r="O175" s="85"/>
      <c r="P175" s="91"/>
      <c r="Q175" s="91"/>
      <c r="R175" s="91"/>
      <c r="S175" s="91"/>
      <c r="T175" s="89"/>
      <c r="U175" s="85">
        <v>20</v>
      </c>
      <c r="V175" s="85"/>
      <c r="W175" s="83">
        <f t="shared" ca="1" si="6"/>
        <v>27</v>
      </c>
      <c r="X175" s="64" t="str">
        <f t="shared" ca="1" si="7"/>
        <v>1</v>
      </c>
      <c r="Y175" s="82" t="str">
        <f t="shared" ca="1" si="8"/>
        <v>2</v>
      </c>
      <c r="Z175" s="87"/>
      <c r="AA175" s="87"/>
      <c r="AB175"/>
    </row>
    <row r="176" spans="1:28" s="6" customFormat="1" ht="50" x14ac:dyDescent="0.35">
      <c r="A176" s="85">
        <v>4858</v>
      </c>
      <c r="B176" s="86">
        <v>2018</v>
      </c>
      <c r="C176" s="87" t="s">
        <v>35</v>
      </c>
      <c r="D176" s="87" t="s">
        <v>135</v>
      </c>
      <c r="E176" s="87" t="s">
        <v>20</v>
      </c>
      <c r="F176" s="87" t="s">
        <v>82</v>
      </c>
      <c r="G176" s="88">
        <v>1</v>
      </c>
      <c r="H176" s="85">
        <v>17232</v>
      </c>
      <c r="I176" s="87" t="s">
        <v>191</v>
      </c>
      <c r="J176" s="85"/>
      <c r="K176" s="85"/>
      <c r="L176" s="85"/>
      <c r="M176" s="85"/>
      <c r="N176" s="85"/>
      <c r="O176" s="85"/>
      <c r="P176" s="91"/>
      <c r="Q176" s="91"/>
      <c r="R176" s="91"/>
      <c r="S176" s="91"/>
      <c r="T176" s="89"/>
      <c r="U176" s="85">
        <v>33</v>
      </c>
      <c r="V176" s="85"/>
      <c r="W176" s="83">
        <f t="shared" ca="1" si="6"/>
        <v>27</v>
      </c>
      <c r="X176" s="64" t="str">
        <f t="shared" ca="1" si="7"/>
        <v>1</v>
      </c>
      <c r="Y176" s="82" t="str">
        <f t="shared" ca="1" si="8"/>
        <v>2</v>
      </c>
      <c r="Z176" s="87"/>
      <c r="AA176" s="87"/>
      <c r="AB176"/>
    </row>
    <row r="177" spans="1:28" s="6" customFormat="1" ht="25" x14ac:dyDescent="0.35">
      <c r="A177" s="85">
        <v>4858</v>
      </c>
      <c r="B177" s="86">
        <v>2018</v>
      </c>
      <c r="C177" s="87" t="s">
        <v>35</v>
      </c>
      <c r="D177" s="87" t="s">
        <v>169</v>
      </c>
      <c r="E177" s="87" t="s">
        <v>20</v>
      </c>
      <c r="F177" s="87" t="s">
        <v>82</v>
      </c>
      <c r="G177" s="88">
        <v>0.25</v>
      </c>
      <c r="H177" s="85">
        <v>17232</v>
      </c>
      <c r="I177" s="87" t="s">
        <v>144</v>
      </c>
      <c r="J177" s="85"/>
      <c r="K177" s="85">
        <v>12</v>
      </c>
      <c r="L177" s="85">
        <v>24</v>
      </c>
      <c r="M177" s="85">
        <v>1</v>
      </c>
      <c r="N177" s="85"/>
      <c r="O177" s="85"/>
      <c r="P177" s="91"/>
      <c r="Q177" s="91"/>
      <c r="R177" s="91"/>
      <c r="S177" s="91"/>
      <c r="T177" s="89"/>
      <c r="U177" s="85"/>
      <c r="V177" s="85"/>
      <c r="W177" s="83">
        <f t="shared" ca="1" si="6"/>
        <v>27</v>
      </c>
      <c r="X177" s="64" t="str">
        <f t="shared" ca="1" si="7"/>
        <v>1</v>
      </c>
      <c r="Y177" s="82" t="str">
        <f t="shared" ca="1" si="8"/>
        <v>2</v>
      </c>
      <c r="Z177" s="87"/>
      <c r="AA177" s="87"/>
      <c r="AB177"/>
    </row>
    <row r="178" spans="1:28" s="6" customFormat="1" ht="25" x14ac:dyDescent="0.35">
      <c r="A178" s="85">
        <v>4858</v>
      </c>
      <c r="B178" s="86">
        <v>2018</v>
      </c>
      <c r="C178" s="87" t="s">
        <v>35</v>
      </c>
      <c r="D178" s="87" t="s">
        <v>169</v>
      </c>
      <c r="E178" s="87" t="s">
        <v>20</v>
      </c>
      <c r="F178" s="87" t="s">
        <v>82</v>
      </c>
      <c r="G178" s="88">
        <v>0.25</v>
      </c>
      <c r="H178" s="85">
        <v>17232</v>
      </c>
      <c r="I178" s="87" t="s">
        <v>145</v>
      </c>
      <c r="J178" s="85"/>
      <c r="K178" s="85">
        <v>12</v>
      </c>
      <c r="L178" s="85">
        <v>36</v>
      </c>
      <c r="M178" s="85">
        <v>1</v>
      </c>
      <c r="N178" s="85"/>
      <c r="O178" s="85"/>
      <c r="P178" s="91"/>
      <c r="Q178" s="91"/>
      <c r="R178" s="91"/>
      <c r="S178" s="91"/>
      <c r="T178" s="89"/>
      <c r="U178" s="85"/>
      <c r="V178" s="85"/>
      <c r="W178" s="83">
        <f t="shared" ca="1" si="6"/>
        <v>27</v>
      </c>
      <c r="X178" s="64" t="str">
        <f t="shared" ca="1" si="7"/>
        <v>1</v>
      </c>
      <c r="Y178" s="82" t="str">
        <f t="shared" ca="1" si="8"/>
        <v>2</v>
      </c>
      <c r="Z178" s="87"/>
      <c r="AA178" s="87"/>
      <c r="AB178"/>
    </row>
    <row r="179" spans="1:28" s="6" customFormat="1" ht="25" x14ac:dyDescent="0.35">
      <c r="A179" s="85">
        <v>4858</v>
      </c>
      <c r="B179" s="86">
        <v>2018</v>
      </c>
      <c r="C179" s="87" t="s">
        <v>35</v>
      </c>
      <c r="D179" s="87" t="s">
        <v>73</v>
      </c>
      <c r="E179" s="87" t="s">
        <v>20</v>
      </c>
      <c r="F179" s="87" t="s">
        <v>21</v>
      </c>
      <c r="G179" s="88">
        <v>1</v>
      </c>
      <c r="H179" s="85">
        <v>17232</v>
      </c>
      <c r="I179" s="87" t="s">
        <v>146</v>
      </c>
      <c r="J179" s="85"/>
      <c r="K179" s="85"/>
      <c r="L179" s="85"/>
      <c r="M179" s="85">
        <v>1</v>
      </c>
      <c r="N179" s="85">
        <v>1</v>
      </c>
      <c r="O179" s="85"/>
      <c r="P179" s="91"/>
      <c r="Q179" s="91"/>
      <c r="R179" s="91"/>
      <c r="S179" s="91"/>
      <c r="T179" s="89"/>
      <c r="U179" s="85"/>
      <c r="V179" s="85"/>
      <c r="W179" s="83">
        <f t="shared" ca="1" si="6"/>
        <v>27</v>
      </c>
      <c r="X179" s="64" t="str">
        <f t="shared" ca="1" si="7"/>
        <v>1</v>
      </c>
      <c r="Y179" s="82" t="str">
        <f t="shared" ca="1" si="8"/>
        <v>2</v>
      </c>
      <c r="Z179" s="87"/>
      <c r="AA179" s="87"/>
      <c r="AB179"/>
    </row>
    <row r="180" spans="1:28" s="6" customFormat="1" ht="25" x14ac:dyDescent="0.35">
      <c r="A180" s="85">
        <v>4858</v>
      </c>
      <c r="B180" s="86">
        <v>2018</v>
      </c>
      <c r="C180" s="87" t="s">
        <v>35</v>
      </c>
      <c r="D180" s="87" t="s">
        <v>73</v>
      </c>
      <c r="E180" s="87" t="s">
        <v>20</v>
      </c>
      <c r="F180" s="87" t="s">
        <v>21</v>
      </c>
      <c r="G180" s="88">
        <v>1</v>
      </c>
      <c r="H180" s="85">
        <v>17232</v>
      </c>
      <c r="I180" s="87" t="s">
        <v>148</v>
      </c>
      <c r="J180" s="85">
        <v>18</v>
      </c>
      <c r="K180" s="85"/>
      <c r="L180" s="85">
        <v>36</v>
      </c>
      <c r="M180" s="85">
        <v>1</v>
      </c>
      <c r="N180" s="85"/>
      <c r="O180" s="85"/>
      <c r="P180" s="91"/>
      <c r="Q180" s="91"/>
      <c r="R180" s="91"/>
      <c r="S180" s="91"/>
      <c r="T180" s="89"/>
      <c r="U180" s="85"/>
      <c r="V180" s="85"/>
      <c r="W180" s="83">
        <f t="shared" ca="1" si="6"/>
        <v>27</v>
      </c>
      <c r="X180" s="64" t="str">
        <f t="shared" ca="1" si="7"/>
        <v>1</v>
      </c>
      <c r="Y180" s="82" t="str">
        <f t="shared" ca="1" si="8"/>
        <v>2</v>
      </c>
      <c r="Z180" s="87"/>
      <c r="AA180" s="87"/>
      <c r="AB180"/>
    </row>
    <row r="181" spans="1:28" s="6" customFormat="1" ht="25" x14ac:dyDescent="0.35">
      <c r="A181" s="85">
        <v>4858</v>
      </c>
      <c r="B181" s="86">
        <v>2018</v>
      </c>
      <c r="C181" s="87" t="s">
        <v>35</v>
      </c>
      <c r="D181" s="87" t="s">
        <v>117</v>
      </c>
      <c r="E181" s="87" t="s">
        <v>33</v>
      </c>
      <c r="F181" s="87" t="s">
        <v>25</v>
      </c>
      <c r="G181" s="88">
        <v>0.75</v>
      </c>
      <c r="H181" s="85">
        <v>17232</v>
      </c>
      <c r="I181" s="87" t="s">
        <v>146</v>
      </c>
      <c r="J181" s="85"/>
      <c r="K181" s="85"/>
      <c r="L181" s="85"/>
      <c r="M181" s="85">
        <v>1</v>
      </c>
      <c r="N181" s="85">
        <v>1</v>
      </c>
      <c r="O181" s="85"/>
      <c r="P181" s="91"/>
      <c r="Q181" s="91"/>
      <c r="R181" s="91"/>
      <c r="S181" s="91"/>
      <c r="T181" s="89"/>
      <c r="U181" s="85"/>
      <c r="V181" s="85"/>
      <c r="W181" s="83">
        <f t="shared" ca="1" si="6"/>
        <v>27</v>
      </c>
      <c r="X181" s="64" t="str">
        <f t="shared" ca="1" si="7"/>
        <v>1</v>
      </c>
      <c r="Y181" s="82" t="str">
        <f t="shared" ca="1" si="8"/>
        <v>2</v>
      </c>
      <c r="Z181" s="87"/>
      <c r="AA181" s="87"/>
      <c r="AB181"/>
    </row>
    <row r="182" spans="1:28" s="6" customFormat="1" ht="25" x14ac:dyDescent="0.35">
      <c r="A182" s="85">
        <v>4858</v>
      </c>
      <c r="B182" s="86">
        <v>2019</v>
      </c>
      <c r="C182" s="87" t="s">
        <v>35</v>
      </c>
      <c r="D182" s="87" t="s">
        <v>116</v>
      </c>
      <c r="E182" s="87" t="s">
        <v>28</v>
      </c>
      <c r="F182" s="87" t="s">
        <v>56</v>
      </c>
      <c r="G182" s="88">
        <v>1</v>
      </c>
      <c r="H182" s="85">
        <v>17232</v>
      </c>
      <c r="I182" s="87" t="s">
        <v>358</v>
      </c>
      <c r="J182" s="85"/>
      <c r="K182" s="85"/>
      <c r="L182" s="85"/>
      <c r="M182" s="85"/>
      <c r="N182" s="85"/>
      <c r="O182" s="85"/>
      <c r="P182" s="91"/>
      <c r="Q182" s="91"/>
      <c r="R182" s="91"/>
      <c r="S182" s="91"/>
      <c r="T182" s="89"/>
      <c r="U182" s="85"/>
      <c r="V182" s="85"/>
      <c r="W182" s="83">
        <f t="shared" ca="1" si="6"/>
        <v>27</v>
      </c>
      <c r="X182" s="64" t="str">
        <f t="shared" ca="1" si="7"/>
        <v>1</v>
      </c>
      <c r="Y182" s="82" t="str">
        <f t="shared" ca="1" si="8"/>
        <v>2</v>
      </c>
      <c r="Z182" s="87"/>
      <c r="AA182" s="87"/>
      <c r="AB182"/>
    </row>
    <row r="183" spans="1:28" s="6" customFormat="1" ht="25" x14ac:dyDescent="0.35">
      <c r="A183" s="85">
        <v>4858</v>
      </c>
      <c r="B183" s="86">
        <v>2019</v>
      </c>
      <c r="C183" s="87" t="s">
        <v>35</v>
      </c>
      <c r="D183" s="87" t="s">
        <v>36</v>
      </c>
      <c r="E183" s="87" t="s">
        <v>26</v>
      </c>
      <c r="F183" s="87" t="s">
        <v>25</v>
      </c>
      <c r="G183" s="88">
        <v>1</v>
      </c>
      <c r="H183" s="85">
        <v>17232</v>
      </c>
      <c r="I183" s="87" t="s">
        <v>358</v>
      </c>
      <c r="J183" s="85"/>
      <c r="K183" s="85"/>
      <c r="L183" s="85"/>
      <c r="M183" s="85"/>
      <c r="N183" s="85"/>
      <c r="O183" s="85"/>
      <c r="P183" s="91"/>
      <c r="Q183" s="91"/>
      <c r="R183" s="91"/>
      <c r="S183" s="91"/>
      <c r="T183" s="89"/>
      <c r="U183" s="85"/>
      <c r="V183" s="85"/>
      <c r="W183" s="83">
        <f t="shared" ca="1" si="6"/>
        <v>27</v>
      </c>
      <c r="X183" s="64" t="str">
        <f t="shared" ca="1" si="7"/>
        <v>1</v>
      </c>
      <c r="Y183" s="82" t="str">
        <f t="shared" ca="1" si="8"/>
        <v>2</v>
      </c>
      <c r="Z183" s="87"/>
      <c r="AA183" s="87" t="s">
        <v>22</v>
      </c>
      <c r="AB183"/>
    </row>
    <row r="184" spans="1:28" s="6" customFormat="1" ht="25" x14ac:dyDescent="0.35">
      <c r="A184" s="85">
        <v>4858</v>
      </c>
      <c r="B184" s="86">
        <v>2019</v>
      </c>
      <c r="C184" s="87" t="s">
        <v>35</v>
      </c>
      <c r="D184" s="87" t="s">
        <v>117</v>
      </c>
      <c r="E184" s="87" t="s">
        <v>33</v>
      </c>
      <c r="F184" s="87" t="s">
        <v>25</v>
      </c>
      <c r="G184" s="88">
        <v>0.75</v>
      </c>
      <c r="H184" s="85">
        <v>17232</v>
      </c>
      <c r="I184" s="87" t="s">
        <v>358</v>
      </c>
      <c r="J184" s="85"/>
      <c r="K184" s="85"/>
      <c r="L184" s="85"/>
      <c r="M184" s="85"/>
      <c r="N184" s="85"/>
      <c r="O184" s="85"/>
      <c r="P184" s="59"/>
      <c r="Q184" s="59"/>
      <c r="R184" s="59"/>
      <c r="S184" s="59"/>
      <c r="T184" s="89"/>
      <c r="U184" s="85"/>
      <c r="V184" s="85"/>
      <c r="W184" s="83">
        <f t="shared" ca="1" si="6"/>
        <v>27</v>
      </c>
      <c r="X184" s="64" t="str">
        <f t="shared" ca="1" si="7"/>
        <v>1</v>
      </c>
      <c r="Y184" s="82" t="str">
        <f t="shared" ca="1" si="8"/>
        <v>2</v>
      </c>
      <c r="Z184" s="87"/>
      <c r="AA184" s="87" t="s">
        <v>22</v>
      </c>
      <c r="AB184"/>
    </row>
    <row r="185" spans="1:28" s="6" customFormat="1" ht="25" x14ac:dyDescent="0.35">
      <c r="A185" s="85">
        <v>5791</v>
      </c>
      <c r="B185" s="86">
        <v>2020</v>
      </c>
      <c r="C185" s="87" t="s">
        <v>35</v>
      </c>
      <c r="D185" s="87" t="s">
        <v>116</v>
      </c>
      <c r="E185" s="87" t="s">
        <v>28</v>
      </c>
      <c r="F185" s="87" t="s">
        <v>56</v>
      </c>
      <c r="G185" s="88">
        <v>1</v>
      </c>
      <c r="H185" s="85">
        <v>17232</v>
      </c>
      <c r="I185" s="87" t="s">
        <v>358</v>
      </c>
      <c r="J185" s="85"/>
      <c r="K185" s="85"/>
      <c r="L185" s="85"/>
      <c r="M185" s="85"/>
      <c r="N185" s="85"/>
      <c r="O185" s="85"/>
      <c r="P185" s="59"/>
      <c r="Q185" s="59"/>
      <c r="R185" s="59"/>
      <c r="S185" s="59"/>
      <c r="T185" s="89"/>
      <c r="U185" s="85"/>
      <c r="V185" s="85"/>
      <c r="W185" s="83">
        <f t="shared" ca="1" si="6"/>
        <v>27</v>
      </c>
      <c r="X185" s="64" t="str">
        <f t="shared" ca="1" si="7"/>
        <v>1</v>
      </c>
      <c r="Y185" s="82" t="str">
        <f t="shared" ca="1" si="8"/>
        <v>2</v>
      </c>
      <c r="Z185" s="87"/>
      <c r="AA185" s="87" t="s">
        <v>22</v>
      </c>
      <c r="AB185"/>
    </row>
    <row r="186" spans="1:28" s="6" customFormat="1" ht="25" x14ac:dyDescent="0.35">
      <c r="A186" s="85">
        <v>5791</v>
      </c>
      <c r="B186" s="86">
        <v>2020</v>
      </c>
      <c r="C186" s="87" t="s">
        <v>35</v>
      </c>
      <c r="D186" s="87" t="s">
        <v>36</v>
      </c>
      <c r="E186" s="87" t="s">
        <v>26</v>
      </c>
      <c r="F186" s="87" t="s">
        <v>25</v>
      </c>
      <c r="G186" s="88">
        <v>1</v>
      </c>
      <c r="H186" s="85">
        <v>17232</v>
      </c>
      <c r="I186" s="87" t="s">
        <v>358</v>
      </c>
      <c r="J186" s="85"/>
      <c r="K186" s="85"/>
      <c r="L186" s="85"/>
      <c r="M186" s="85"/>
      <c r="N186" s="85"/>
      <c r="O186" s="85"/>
      <c r="P186" s="59"/>
      <c r="Q186" s="59"/>
      <c r="R186" s="59"/>
      <c r="S186" s="59"/>
      <c r="T186" s="89"/>
      <c r="U186" s="85"/>
      <c r="V186" s="85"/>
      <c r="W186" s="83">
        <f t="shared" ca="1" si="6"/>
        <v>27</v>
      </c>
      <c r="X186" s="64" t="str">
        <f t="shared" ca="1" si="7"/>
        <v>1</v>
      </c>
      <c r="Y186" s="82" t="str">
        <f t="shared" ca="1" si="8"/>
        <v>2</v>
      </c>
      <c r="Z186" s="87"/>
      <c r="AA186" s="87" t="s">
        <v>22</v>
      </c>
      <c r="AB186"/>
    </row>
    <row r="187" spans="1:28" s="6" customFormat="1" ht="25" x14ac:dyDescent="0.35">
      <c r="A187" s="85">
        <v>5791</v>
      </c>
      <c r="B187" s="86">
        <v>2020</v>
      </c>
      <c r="C187" s="87" t="s">
        <v>35</v>
      </c>
      <c r="D187" s="87" t="s">
        <v>117</v>
      </c>
      <c r="E187" s="87" t="s">
        <v>33</v>
      </c>
      <c r="F187" s="87" t="s">
        <v>25</v>
      </c>
      <c r="G187" s="88">
        <v>0.75</v>
      </c>
      <c r="H187" s="85">
        <v>17232</v>
      </c>
      <c r="I187" s="87" t="s">
        <v>358</v>
      </c>
      <c r="J187" s="85"/>
      <c r="K187" s="85"/>
      <c r="L187" s="85"/>
      <c r="M187" s="85"/>
      <c r="N187" s="85"/>
      <c r="O187" s="85"/>
      <c r="P187" s="59"/>
      <c r="Q187" s="59"/>
      <c r="R187" s="59"/>
      <c r="S187" s="59"/>
      <c r="T187" s="89"/>
      <c r="U187" s="85"/>
      <c r="V187" s="85"/>
      <c r="W187" s="83">
        <f t="shared" ca="1" si="6"/>
        <v>27</v>
      </c>
      <c r="X187" s="64" t="str">
        <f t="shared" ca="1" si="7"/>
        <v>1</v>
      </c>
      <c r="Y187" s="82" t="str">
        <f t="shared" ca="1" si="8"/>
        <v>2</v>
      </c>
      <c r="Z187" s="87"/>
      <c r="AA187" s="87" t="s">
        <v>22</v>
      </c>
      <c r="AB187"/>
    </row>
    <row r="188" spans="1:28" s="6" customFormat="1" ht="25" x14ac:dyDescent="0.35">
      <c r="A188" s="85">
        <v>6368</v>
      </c>
      <c r="B188" s="86">
        <v>2021</v>
      </c>
      <c r="C188" s="87" t="s">
        <v>35</v>
      </c>
      <c r="D188" s="87" t="s">
        <v>116</v>
      </c>
      <c r="E188" s="87" t="s">
        <v>28</v>
      </c>
      <c r="F188" s="87" t="s">
        <v>56</v>
      </c>
      <c r="G188" s="88">
        <v>1</v>
      </c>
      <c r="H188" s="85">
        <v>17232</v>
      </c>
      <c r="I188" s="87" t="s">
        <v>358</v>
      </c>
      <c r="J188" s="85"/>
      <c r="K188" s="85"/>
      <c r="L188" s="85"/>
      <c r="M188" s="85"/>
      <c r="N188" s="85"/>
      <c r="O188" s="85"/>
      <c r="P188" s="90"/>
      <c r="Q188" s="90"/>
      <c r="R188" s="90"/>
      <c r="S188" s="90"/>
      <c r="T188" s="89"/>
      <c r="U188" s="85"/>
      <c r="V188" s="85"/>
      <c r="W188" s="83">
        <f t="shared" ca="1" si="6"/>
        <v>27</v>
      </c>
      <c r="X188" s="64" t="str">
        <f t="shared" ca="1" si="7"/>
        <v>1</v>
      </c>
      <c r="Y188" s="82" t="str">
        <f t="shared" ca="1" si="8"/>
        <v>2</v>
      </c>
      <c r="Z188" s="87"/>
      <c r="AA188" s="87" t="s">
        <v>22</v>
      </c>
      <c r="AB188"/>
    </row>
    <row r="189" spans="1:28" s="6" customFormat="1" ht="25" x14ac:dyDescent="0.35">
      <c r="A189" s="85">
        <v>6368</v>
      </c>
      <c r="B189" s="86">
        <v>2021</v>
      </c>
      <c r="C189" s="87" t="s">
        <v>35</v>
      </c>
      <c r="D189" s="87" t="s">
        <v>36</v>
      </c>
      <c r="E189" s="87" t="s">
        <v>26</v>
      </c>
      <c r="F189" s="87" t="s">
        <v>25</v>
      </c>
      <c r="G189" s="88">
        <v>1</v>
      </c>
      <c r="H189" s="85">
        <v>17232</v>
      </c>
      <c r="I189" s="87" t="s">
        <v>358</v>
      </c>
      <c r="J189" s="85"/>
      <c r="K189" s="85"/>
      <c r="L189" s="85"/>
      <c r="M189" s="85"/>
      <c r="N189" s="85"/>
      <c r="O189" s="85"/>
      <c r="P189" s="90"/>
      <c r="Q189" s="90"/>
      <c r="R189" s="90"/>
      <c r="S189" s="90"/>
      <c r="T189" s="89"/>
      <c r="U189" s="85"/>
      <c r="V189" s="85"/>
      <c r="W189" s="83">
        <f t="shared" ca="1" si="6"/>
        <v>27</v>
      </c>
      <c r="X189" s="64" t="str">
        <f t="shared" ca="1" si="7"/>
        <v>1</v>
      </c>
      <c r="Y189" s="82" t="str">
        <f t="shared" ca="1" si="8"/>
        <v>2</v>
      </c>
      <c r="Z189" s="87"/>
      <c r="AA189" s="87" t="s">
        <v>61</v>
      </c>
      <c r="AB189"/>
    </row>
    <row r="190" spans="1:28" s="6" customFormat="1" ht="25" x14ac:dyDescent="0.35">
      <c r="A190" s="85">
        <v>6368</v>
      </c>
      <c r="B190" s="86">
        <v>2021</v>
      </c>
      <c r="C190" s="87" t="s">
        <v>35</v>
      </c>
      <c r="D190" s="87" t="s">
        <v>117</v>
      </c>
      <c r="E190" s="87" t="s">
        <v>33</v>
      </c>
      <c r="F190" s="87" t="s">
        <v>25</v>
      </c>
      <c r="G190" s="88">
        <v>0.75</v>
      </c>
      <c r="H190" s="85">
        <v>17232</v>
      </c>
      <c r="I190" s="87" t="s">
        <v>358</v>
      </c>
      <c r="J190" s="85"/>
      <c r="K190" s="85"/>
      <c r="L190" s="85"/>
      <c r="M190" s="85"/>
      <c r="N190" s="85"/>
      <c r="O190" s="85"/>
      <c r="P190" s="90"/>
      <c r="Q190" s="90"/>
      <c r="R190" s="90"/>
      <c r="S190" s="90"/>
      <c r="T190" s="89"/>
      <c r="U190" s="85"/>
      <c r="V190" s="85"/>
      <c r="W190" s="83">
        <f t="shared" ca="1" si="6"/>
        <v>27</v>
      </c>
      <c r="X190" s="64" t="str">
        <f t="shared" ca="1" si="7"/>
        <v>1</v>
      </c>
      <c r="Y190" s="82" t="str">
        <f t="shared" ca="1" si="8"/>
        <v>2</v>
      </c>
      <c r="Z190" s="87"/>
      <c r="AA190" s="87" t="s">
        <v>22</v>
      </c>
      <c r="AB190"/>
    </row>
    <row r="191" spans="1:28" s="6" customFormat="1" ht="25" x14ac:dyDescent="0.35">
      <c r="A191" s="85">
        <v>4858</v>
      </c>
      <c r="B191" s="86">
        <v>2018</v>
      </c>
      <c r="C191" s="87" t="s">
        <v>35</v>
      </c>
      <c r="D191" s="87" t="s">
        <v>117</v>
      </c>
      <c r="E191" s="87" t="s">
        <v>33</v>
      </c>
      <c r="F191" s="87" t="s">
        <v>25</v>
      </c>
      <c r="G191" s="88">
        <v>0.75</v>
      </c>
      <c r="H191" s="85">
        <v>17232</v>
      </c>
      <c r="I191" s="87" t="s">
        <v>149</v>
      </c>
      <c r="J191" s="85">
        <v>16</v>
      </c>
      <c r="K191" s="85"/>
      <c r="L191" s="85">
        <v>40</v>
      </c>
      <c r="M191" s="85">
        <v>1</v>
      </c>
      <c r="N191" s="85"/>
      <c r="O191" s="85"/>
      <c r="P191" s="90"/>
      <c r="Q191" s="90"/>
      <c r="R191" s="90"/>
      <c r="S191" s="90"/>
      <c r="T191" s="89"/>
      <c r="U191" s="85"/>
      <c r="V191" s="85"/>
      <c r="W191" s="83">
        <f t="shared" ca="1" si="6"/>
        <v>27</v>
      </c>
      <c r="X191" s="64" t="str">
        <f t="shared" ca="1" si="7"/>
        <v>1</v>
      </c>
      <c r="Y191" s="82" t="str">
        <f t="shared" ca="1" si="8"/>
        <v>2</v>
      </c>
      <c r="Z191" s="87"/>
      <c r="AA191" s="87" t="s">
        <v>22</v>
      </c>
      <c r="AB191"/>
    </row>
    <row r="192" spans="1:28" s="6" customFormat="1" ht="25" x14ac:dyDescent="0.35">
      <c r="A192" s="85">
        <v>5719</v>
      </c>
      <c r="B192" s="86">
        <v>2017</v>
      </c>
      <c r="C192" s="87" t="s">
        <v>35</v>
      </c>
      <c r="D192" s="87" t="s">
        <v>36</v>
      </c>
      <c r="E192" s="87" t="s">
        <v>26</v>
      </c>
      <c r="F192" s="87" t="s">
        <v>25</v>
      </c>
      <c r="G192" s="88">
        <v>1</v>
      </c>
      <c r="H192" s="85">
        <v>16536</v>
      </c>
      <c r="I192" s="87" t="s">
        <v>194</v>
      </c>
      <c r="J192" s="85"/>
      <c r="K192" s="85">
        <v>32</v>
      </c>
      <c r="L192" s="85"/>
      <c r="M192" s="85"/>
      <c r="N192" s="85"/>
      <c r="O192" s="85"/>
      <c r="P192" s="90"/>
      <c r="Q192" s="90"/>
      <c r="R192" s="90"/>
      <c r="S192" s="90"/>
      <c r="T192" s="89">
        <v>10</v>
      </c>
      <c r="U192" s="85"/>
      <c r="V192" s="85"/>
      <c r="W192" s="83">
        <f t="shared" ca="1" si="6"/>
        <v>23</v>
      </c>
      <c r="X192" s="64" t="str">
        <f t="shared" ca="1" si="7"/>
        <v>1</v>
      </c>
      <c r="Y192" s="82" t="str">
        <f t="shared" ca="1" si="8"/>
        <v>2</v>
      </c>
      <c r="Z192" s="87"/>
      <c r="AA192" s="87" t="s">
        <v>22</v>
      </c>
      <c r="AB192"/>
    </row>
    <row r="193" spans="1:28" s="6" customFormat="1" ht="25" x14ac:dyDescent="0.35">
      <c r="A193" s="85">
        <v>5719</v>
      </c>
      <c r="B193" s="86">
        <v>2017</v>
      </c>
      <c r="C193" s="87" t="s">
        <v>35</v>
      </c>
      <c r="D193" s="87" t="s">
        <v>117</v>
      </c>
      <c r="E193" s="87" t="s">
        <v>33</v>
      </c>
      <c r="F193" s="87" t="s">
        <v>25</v>
      </c>
      <c r="G193" s="88">
        <v>1</v>
      </c>
      <c r="H193" s="85">
        <v>16536</v>
      </c>
      <c r="I193" s="87" t="s">
        <v>194</v>
      </c>
      <c r="J193" s="85">
        <v>9</v>
      </c>
      <c r="K193" s="85">
        <v>16</v>
      </c>
      <c r="L193" s="85"/>
      <c r="M193" s="85"/>
      <c r="N193" s="85"/>
      <c r="O193" s="85"/>
      <c r="P193" s="90"/>
      <c r="Q193" s="90"/>
      <c r="R193" s="90"/>
      <c r="S193" s="90"/>
      <c r="T193" s="89"/>
      <c r="U193" s="85"/>
      <c r="V193" s="85"/>
      <c r="W193" s="83">
        <f t="shared" ca="1" si="6"/>
        <v>23</v>
      </c>
      <c r="X193" s="64" t="str">
        <f t="shared" ca="1" si="7"/>
        <v>1</v>
      </c>
      <c r="Y193" s="82" t="str">
        <f t="shared" ca="1" si="8"/>
        <v>2</v>
      </c>
      <c r="Z193" s="87"/>
      <c r="AA193" s="87" t="s">
        <v>22</v>
      </c>
      <c r="AB193"/>
    </row>
    <row r="194" spans="1:28" s="6" customFormat="1" ht="25" x14ac:dyDescent="0.35">
      <c r="A194" s="85">
        <v>5720</v>
      </c>
      <c r="B194" s="86">
        <v>2017</v>
      </c>
      <c r="C194" s="87" t="s">
        <v>35</v>
      </c>
      <c r="D194" s="87" t="s">
        <v>150</v>
      </c>
      <c r="E194" s="87" t="s">
        <v>30</v>
      </c>
      <c r="F194" s="87" t="s">
        <v>82</v>
      </c>
      <c r="G194" s="88">
        <v>1</v>
      </c>
      <c r="H194" s="85">
        <v>16497</v>
      </c>
      <c r="I194" s="87" t="s">
        <v>194</v>
      </c>
      <c r="J194" s="85">
        <v>9</v>
      </c>
      <c r="K194" s="85">
        <v>96</v>
      </c>
      <c r="L194" s="85"/>
      <c r="M194" s="85"/>
      <c r="N194" s="85"/>
      <c r="O194" s="85"/>
      <c r="P194" s="90"/>
      <c r="Q194" s="90"/>
      <c r="R194" s="90"/>
      <c r="S194" s="90"/>
      <c r="T194" s="89">
        <v>18</v>
      </c>
      <c r="U194" s="85"/>
      <c r="V194" s="85"/>
      <c r="W194" s="83">
        <f t="shared" ca="1" si="6"/>
        <v>24</v>
      </c>
      <c r="X194" s="64" t="str">
        <f t="shared" ca="1" si="7"/>
        <v>1</v>
      </c>
      <c r="Y194" s="82" t="str">
        <f t="shared" ca="1" si="8"/>
        <v>2</v>
      </c>
      <c r="Z194" s="87"/>
      <c r="AA194" s="87" t="s">
        <v>22</v>
      </c>
      <c r="AB194"/>
    </row>
    <row r="195" spans="1:28" s="6" customFormat="1" ht="29.25" customHeight="1" x14ac:dyDescent="0.35">
      <c r="A195" s="85">
        <v>5720</v>
      </c>
      <c r="B195" s="86">
        <v>2018</v>
      </c>
      <c r="C195" s="87" t="s">
        <v>35</v>
      </c>
      <c r="D195" s="87" t="s">
        <v>93</v>
      </c>
      <c r="E195" s="87" t="s">
        <v>28</v>
      </c>
      <c r="F195" s="87" t="s">
        <v>23</v>
      </c>
      <c r="G195" s="88">
        <v>0.75</v>
      </c>
      <c r="H195" s="85">
        <v>17240</v>
      </c>
      <c r="I195" s="87" t="s">
        <v>201</v>
      </c>
      <c r="J195" s="85">
        <v>18</v>
      </c>
      <c r="K195" s="85">
        <v>72</v>
      </c>
      <c r="L195" s="85"/>
      <c r="M195" s="85"/>
      <c r="N195" s="85"/>
      <c r="O195" s="85"/>
      <c r="P195" s="90"/>
      <c r="Q195" s="90"/>
      <c r="R195" s="90"/>
      <c r="S195" s="90"/>
      <c r="T195" s="89">
        <v>19</v>
      </c>
      <c r="U195" s="85"/>
      <c r="V195" s="85"/>
      <c r="W195" s="83">
        <f t="shared" ca="1" si="6"/>
        <v>7</v>
      </c>
      <c r="X195" s="64" t="str">
        <f t="shared" ca="1" si="7"/>
        <v>1</v>
      </c>
      <c r="Y195" s="82" t="str">
        <f t="shared" ca="1" si="8"/>
        <v>1</v>
      </c>
      <c r="Z195" s="87"/>
      <c r="AA195" s="87" t="s">
        <v>22</v>
      </c>
      <c r="AB195"/>
    </row>
    <row r="196" spans="1:28" s="6" customFormat="1" ht="25" x14ac:dyDescent="0.35">
      <c r="A196" s="85">
        <v>5791</v>
      </c>
      <c r="B196" s="86">
        <v>2017</v>
      </c>
      <c r="C196" s="87" t="s">
        <v>35</v>
      </c>
      <c r="D196" s="87" t="s">
        <v>70</v>
      </c>
      <c r="E196" s="87" t="s">
        <v>28</v>
      </c>
      <c r="F196" s="87" t="s">
        <v>23</v>
      </c>
      <c r="G196" s="88">
        <v>1</v>
      </c>
      <c r="H196" s="85">
        <v>16591</v>
      </c>
      <c r="I196" s="87" t="s">
        <v>202</v>
      </c>
      <c r="J196" s="85">
        <v>18</v>
      </c>
      <c r="K196" s="85"/>
      <c r="L196" s="85">
        <v>72</v>
      </c>
      <c r="M196" s="85">
        <v>1</v>
      </c>
      <c r="N196" s="85">
        <v>1</v>
      </c>
      <c r="O196" s="85"/>
      <c r="P196" s="90"/>
      <c r="Q196" s="90"/>
      <c r="R196" s="90"/>
      <c r="S196" s="90"/>
      <c r="T196" s="89"/>
      <c r="U196" s="85"/>
      <c r="V196" s="85"/>
      <c r="W196" s="83">
        <f t="shared" ref="W196:W259" ca="1" si="9">IFERROR(OFFSET($AC$11,0,MATCH(H196,$AD$4:$BE$4,0)),IFERROR(OFFSET($AC$12,0,MATCH(H196,$AD$5:$BE$5,0)),MOD(H196,20)+7))</f>
        <v>29</v>
      </c>
      <c r="X196" s="64" t="str">
        <f t="shared" ref="X196:X259" ca="1" si="10">IF(W196&lt;=30, "1", "2")</f>
        <v>1</v>
      </c>
      <c r="Y196" s="82" t="str">
        <f t="shared" ref="Y196:Y259" ca="1" si="11" xml:space="preserve"> IF(W196&lt;=15, "1", IF(W196&lt;=30, "2", IF(W196&lt;=45, "3", IF(W196&lt;=60, "4"))))</f>
        <v>2</v>
      </c>
      <c r="Z196" s="87"/>
      <c r="AA196" s="87" t="s">
        <v>22</v>
      </c>
      <c r="AB196"/>
    </row>
    <row r="197" spans="1:28" s="6" customFormat="1" ht="25" x14ac:dyDescent="0.35">
      <c r="A197" s="85">
        <v>5791</v>
      </c>
      <c r="B197" s="86">
        <v>2017</v>
      </c>
      <c r="C197" s="87" t="s">
        <v>35</v>
      </c>
      <c r="D197" s="87" t="s">
        <v>116</v>
      </c>
      <c r="E197" s="87" t="s">
        <v>28</v>
      </c>
      <c r="F197" s="87" t="s">
        <v>56</v>
      </c>
      <c r="G197" s="88">
        <v>1</v>
      </c>
      <c r="H197" s="85">
        <v>16591</v>
      </c>
      <c r="I197" s="87" t="s">
        <v>203</v>
      </c>
      <c r="J197" s="85"/>
      <c r="K197" s="85"/>
      <c r="L197" s="85"/>
      <c r="M197" s="85"/>
      <c r="N197" s="85"/>
      <c r="O197" s="85"/>
      <c r="P197" s="90"/>
      <c r="Q197" s="90"/>
      <c r="R197" s="90"/>
      <c r="S197" s="90"/>
      <c r="T197" s="89"/>
      <c r="U197" s="85"/>
      <c r="V197" s="85"/>
      <c r="W197" s="83">
        <f t="shared" ca="1" si="9"/>
        <v>29</v>
      </c>
      <c r="X197" s="64" t="str">
        <f t="shared" ca="1" si="10"/>
        <v>1</v>
      </c>
      <c r="Y197" s="82" t="str">
        <f t="shared" ca="1" si="11"/>
        <v>2</v>
      </c>
      <c r="Z197" s="87"/>
      <c r="AA197" s="87" t="s">
        <v>22</v>
      </c>
      <c r="AB197"/>
    </row>
    <row r="198" spans="1:28" s="6" customFormat="1" ht="25" x14ac:dyDescent="0.35">
      <c r="A198" s="85">
        <v>5791</v>
      </c>
      <c r="B198" s="86">
        <v>2017</v>
      </c>
      <c r="C198" s="87" t="s">
        <v>35</v>
      </c>
      <c r="D198" s="87" t="s">
        <v>116</v>
      </c>
      <c r="E198" s="87" t="s">
        <v>28</v>
      </c>
      <c r="F198" s="87" t="s">
        <v>56</v>
      </c>
      <c r="G198" s="88">
        <v>1</v>
      </c>
      <c r="H198" s="85">
        <v>16591</v>
      </c>
      <c r="I198" s="87" t="s">
        <v>203</v>
      </c>
      <c r="J198" s="85">
        <v>36</v>
      </c>
      <c r="K198" s="85"/>
      <c r="L198" s="85"/>
      <c r="M198" s="85">
        <v>1</v>
      </c>
      <c r="N198" s="85">
        <v>1</v>
      </c>
      <c r="O198" s="85"/>
      <c r="P198" s="90"/>
      <c r="Q198" s="90"/>
      <c r="R198" s="90"/>
      <c r="S198" s="90"/>
      <c r="T198" s="89"/>
      <c r="U198" s="85"/>
      <c r="V198" s="85"/>
      <c r="W198" s="83">
        <f t="shared" ca="1" si="9"/>
        <v>29</v>
      </c>
      <c r="X198" s="64" t="str">
        <f t="shared" ca="1" si="10"/>
        <v>1</v>
      </c>
      <c r="Y198" s="82" t="str">
        <f t="shared" ca="1" si="11"/>
        <v>2</v>
      </c>
      <c r="Z198" s="87"/>
      <c r="AA198" s="87" t="s">
        <v>22</v>
      </c>
      <c r="AB198"/>
    </row>
    <row r="199" spans="1:28" s="6" customFormat="1" ht="25" x14ac:dyDescent="0.35">
      <c r="A199" s="85">
        <v>5791</v>
      </c>
      <c r="B199" s="86">
        <v>2017</v>
      </c>
      <c r="C199" s="87" t="s">
        <v>35</v>
      </c>
      <c r="D199" s="87" t="s">
        <v>116</v>
      </c>
      <c r="E199" s="87" t="s">
        <v>28</v>
      </c>
      <c r="F199" s="87" t="s">
        <v>56</v>
      </c>
      <c r="G199" s="88">
        <v>1</v>
      </c>
      <c r="H199" s="85">
        <v>16591</v>
      </c>
      <c r="I199" s="87" t="s">
        <v>204</v>
      </c>
      <c r="J199" s="85"/>
      <c r="K199" s="85"/>
      <c r="L199" s="85"/>
      <c r="M199" s="85">
        <v>1</v>
      </c>
      <c r="N199" s="85">
        <v>1</v>
      </c>
      <c r="O199" s="85"/>
      <c r="P199" s="90"/>
      <c r="Q199" s="90"/>
      <c r="R199" s="90"/>
      <c r="S199" s="90"/>
      <c r="T199" s="89"/>
      <c r="U199" s="85"/>
      <c r="V199" s="85"/>
      <c r="W199" s="83">
        <f t="shared" ca="1" si="9"/>
        <v>29</v>
      </c>
      <c r="X199" s="64" t="str">
        <f t="shared" ca="1" si="10"/>
        <v>1</v>
      </c>
      <c r="Y199" s="82" t="str">
        <f t="shared" ca="1" si="11"/>
        <v>2</v>
      </c>
      <c r="Z199" s="87"/>
      <c r="AA199" s="87" t="s">
        <v>22</v>
      </c>
      <c r="AB199"/>
    </row>
    <row r="200" spans="1:28" s="6" customFormat="1" ht="25" x14ac:dyDescent="0.35">
      <c r="A200" s="85">
        <v>5791</v>
      </c>
      <c r="B200" s="86">
        <v>2017</v>
      </c>
      <c r="C200" s="87" t="s">
        <v>35</v>
      </c>
      <c r="D200" s="87" t="s">
        <v>116</v>
      </c>
      <c r="E200" s="87" t="s">
        <v>28</v>
      </c>
      <c r="F200" s="87" t="s">
        <v>56</v>
      </c>
      <c r="G200" s="88">
        <v>1</v>
      </c>
      <c r="H200" s="85">
        <v>16591</v>
      </c>
      <c r="I200" s="87" t="s">
        <v>182</v>
      </c>
      <c r="J200" s="85">
        <v>12</v>
      </c>
      <c r="K200" s="85"/>
      <c r="L200" s="85"/>
      <c r="M200" s="85">
        <v>1</v>
      </c>
      <c r="N200" s="85"/>
      <c r="O200" s="85"/>
      <c r="P200" s="90">
        <v>1</v>
      </c>
      <c r="Q200" s="90">
        <v>31</v>
      </c>
      <c r="R200" s="90"/>
      <c r="S200" s="90"/>
      <c r="T200" s="89"/>
      <c r="U200" s="85"/>
      <c r="V200" s="85"/>
      <c r="W200" s="83">
        <f t="shared" ca="1" si="9"/>
        <v>29</v>
      </c>
      <c r="X200" s="64" t="str">
        <f t="shared" ca="1" si="10"/>
        <v>1</v>
      </c>
      <c r="Y200" s="82" t="str">
        <f t="shared" ca="1" si="11"/>
        <v>2</v>
      </c>
      <c r="Z200" s="87"/>
      <c r="AA200" s="87" t="s">
        <v>22</v>
      </c>
      <c r="AB200"/>
    </row>
    <row r="201" spans="1:28" s="6" customFormat="1" ht="25" x14ac:dyDescent="0.35">
      <c r="A201" s="85">
        <v>5791</v>
      </c>
      <c r="B201" s="86">
        <v>2017</v>
      </c>
      <c r="C201" s="87" t="s">
        <v>35</v>
      </c>
      <c r="D201" s="87" t="s">
        <v>116</v>
      </c>
      <c r="E201" s="87" t="s">
        <v>28</v>
      </c>
      <c r="F201" s="87" t="s">
        <v>56</v>
      </c>
      <c r="G201" s="88">
        <v>1</v>
      </c>
      <c r="H201" s="85">
        <v>16591</v>
      </c>
      <c r="I201" s="87" t="s">
        <v>205</v>
      </c>
      <c r="J201" s="85">
        <v>18</v>
      </c>
      <c r="K201" s="85"/>
      <c r="L201" s="85"/>
      <c r="M201" s="85">
        <v>1</v>
      </c>
      <c r="N201" s="85">
        <v>1</v>
      </c>
      <c r="O201" s="85"/>
      <c r="P201" s="90"/>
      <c r="Q201" s="90"/>
      <c r="R201" s="90"/>
      <c r="S201" s="90"/>
      <c r="T201" s="89"/>
      <c r="U201" s="85"/>
      <c r="V201" s="85"/>
      <c r="W201" s="83">
        <f t="shared" ca="1" si="9"/>
        <v>29</v>
      </c>
      <c r="X201" s="64" t="str">
        <f t="shared" ca="1" si="10"/>
        <v>1</v>
      </c>
      <c r="Y201" s="82" t="str">
        <f t="shared" ca="1" si="11"/>
        <v>2</v>
      </c>
      <c r="Z201" s="87"/>
      <c r="AA201" s="87" t="s">
        <v>22</v>
      </c>
      <c r="AB201"/>
    </row>
    <row r="202" spans="1:28" s="6" customFormat="1" ht="25" x14ac:dyDescent="0.35">
      <c r="A202" s="85">
        <v>5791</v>
      </c>
      <c r="B202" s="86">
        <v>2017</v>
      </c>
      <c r="C202" s="87" t="s">
        <v>35</v>
      </c>
      <c r="D202" s="87" t="s">
        <v>36</v>
      </c>
      <c r="E202" s="87" t="s">
        <v>26</v>
      </c>
      <c r="F202" s="87" t="s">
        <v>25</v>
      </c>
      <c r="G202" s="88">
        <v>1</v>
      </c>
      <c r="H202" s="85">
        <v>16591</v>
      </c>
      <c r="I202" s="87" t="s">
        <v>203</v>
      </c>
      <c r="J202" s="85"/>
      <c r="K202" s="85"/>
      <c r="L202" s="85"/>
      <c r="M202" s="85"/>
      <c r="N202" s="85"/>
      <c r="O202" s="85"/>
      <c r="P202" s="90"/>
      <c r="Q202" s="90"/>
      <c r="R202" s="90"/>
      <c r="S202" s="90"/>
      <c r="T202" s="89"/>
      <c r="U202" s="85"/>
      <c r="V202" s="85"/>
      <c r="W202" s="83">
        <f t="shared" ca="1" si="9"/>
        <v>29</v>
      </c>
      <c r="X202" s="64" t="str">
        <f t="shared" ca="1" si="10"/>
        <v>1</v>
      </c>
      <c r="Y202" s="82" t="str">
        <f t="shared" ca="1" si="11"/>
        <v>2</v>
      </c>
      <c r="Z202" s="87"/>
      <c r="AA202" s="87" t="s">
        <v>22</v>
      </c>
      <c r="AB202"/>
    </row>
    <row r="203" spans="1:28" s="6" customFormat="1" ht="25" x14ac:dyDescent="0.35">
      <c r="A203" s="85">
        <v>5791</v>
      </c>
      <c r="B203" s="86">
        <v>2017</v>
      </c>
      <c r="C203" s="87" t="s">
        <v>35</v>
      </c>
      <c r="D203" s="87" t="s">
        <v>36</v>
      </c>
      <c r="E203" s="87" t="s">
        <v>26</v>
      </c>
      <c r="F203" s="87" t="s">
        <v>25</v>
      </c>
      <c r="G203" s="88">
        <v>1</v>
      </c>
      <c r="H203" s="85">
        <v>16591</v>
      </c>
      <c r="I203" s="87" t="s">
        <v>204</v>
      </c>
      <c r="J203" s="85"/>
      <c r="K203" s="85"/>
      <c r="L203" s="85"/>
      <c r="M203" s="85">
        <v>1</v>
      </c>
      <c r="N203" s="85">
        <v>1</v>
      </c>
      <c r="O203" s="85"/>
      <c r="P203" s="90"/>
      <c r="Q203" s="90"/>
      <c r="R203" s="90"/>
      <c r="S203" s="90"/>
      <c r="T203" s="89"/>
      <c r="U203" s="85"/>
      <c r="V203" s="85"/>
      <c r="W203" s="83">
        <f t="shared" ca="1" si="9"/>
        <v>29</v>
      </c>
      <c r="X203" s="64" t="str">
        <f t="shared" ca="1" si="10"/>
        <v>1</v>
      </c>
      <c r="Y203" s="82" t="str">
        <f t="shared" ca="1" si="11"/>
        <v>2</v>
      </c>
      <c r="Z203" s="87"/>
      <c r="AA203" s="87" t="s">
        <v>22</v>
      </c>
      <c r="AB203"/>
    </row>
    <row r="204" spans="1:28" s="6" customFormat="1" ht="25" x14ac:dyDescent="0.35">
      <c r="A204" s="85">
        <v>5791</v>
      </c>
      <c r="B204" s="86">
        <v>2017</v>
      </c>
      <c r="C204" s="87" t="s">
        <v>35</v>
      </c>
      <c r="D204" s="87" t="s">
        <v>36</v>
      </c>
      <c r="E204" s="87" t="s">
        <v>26</v>
      </c>
      <c r="F204" s="87" t="s">
        <v>25</v>
      </c>
      <c r="G204" s="88">
        <v>1</v>
      </c>
      <c r="H204" s="85">
        <v>16591</v>
      </c>
      <c r="I204" s="87" t="s">
        <v>182</v>
      </c>
      <c r="J204" s="85"/>
      <c r="K204" s="85"/>
      <c r="L204" s="85">
        <v>48</v>
      </c>
      <c r="M204" s="85"/>
      <c r="N204" s="85"/>
      <c r="O204" s="85"/>
      <c r="P204" s="90">
        <v>1</v>
      </c>
      <c r="Q204" s="90">
        <v>35</v>
      </c>
      <c r="R204" s="90"/>
      <c r="S204" s="90"/>
      <c r="T204" s="89"/>
      <c r="U204" s="85"/>
      <c r="V204" s="85"/>
      <c r="W204" s="83">
        <f t="shared" ca="1" si="9"/>
        <v>29</v>
      </c>
      <c r="X204" s="64" t="str">
        <f t="shared" ca="1" si="10"/>
        <v>1</v>
      </c>
      <c r="Y204" s="82" t="str">
        <f t="shared" ca="1" si="11"/>
        <v>2</v>
      </c>
      <c r="Z204" s="87"/>
      <c r="AA204" s="87" t="s">
        <v>22</v>
      </c>
      <c r="AB204"/>
    </row>
    <row r="205" spans="1:28" s="6" customFormat="1" ht="25" x14ac:dyDescent="0.35">
      <c r="A205" s="85">
        <v>5791</v>
      </c>
      <c r="B205" s="86">
        <v>2017</v>
      </c>
      <c r="C205" s="87" t="s">
        <v>35</v>
      </c>
      <c r="D205" s="87" t="s">
        <v>36</v>
      </c>
      <c r="E205" s="87" t="s">
        <v>26</v>
      </c>
      <c r="F205" s="87" t="s">
        <v>25</v>
      </c>
      <c r="G205" s="88">
        <v>1</v>
      </c>
      <c r="H205" s="85">
        <v>16591</v>
      </c>
      <c r="I205" s="87" t="s">
        <v>205</v>
      </c>
      <c r="J205" s="85"/>
      <c r="K205" s="85"/>
      <c r="L205" s="85">
        <v>36</v>
      </c>
      <c r="M205" s="85">
        <v>1</v>
      </c>
      <c r="N205" s="85">
        <v>1</v>
      </c>
      <c r="O205" s="85"/>
      <c r="P205" s="59"/>
      <c r="Q205" s="59"/>
      <c r="R205" s="59"/>
      <c r="S205" s="59"/>
      <c r="T205" s="89"/>
      <c r="U205" s="85"/>
      <c r="V205" s="85"/>
      <c r="W205" s="83">
        <f t="shared" ca="1" si="9"/>
        <v>29</v>
      </c>
      <c r="X205" s="64" t="str">
        <f t="shared" ca="1" si="10"/>
        <v>1</v>
      </c>
      <c r="Y205" s="82" t="str">
        <f t="shared" ca="1" si="11"/>
        <v>2</v>
      </c>
      <c r="Z205" s="87"/>
      <c r="AA205" s="87" t="s">
        <v>22</v>
      </c>
      <c r="AB205"/>
    </row>
    <row r="206" spans="1:28" s="6" customFormat="1" ht="25" x14ac:dyDescent="0.35">
      <c r="A206" s="85">
        <v>5791</v>
      </c>
      <c r="B206" s="86">
        <v>2017</v>
      </c>
      <c r="C206" s="87" t="s">
        <v>35</v>
      </c>
      <c r="D206" s="87" t="s">
        <v>130</v>
      </c>
      <c r="E206" s="87" t="s">
        <v>26</v>
      </c>
      <c r="F206" s="87" t="s">
        <v>25</v>
      </c>
      <c r="G206" s="88">
        <v>1</v>
      </c>
      <c r="H206" s="85">
        <v>16591</v>
      </c>
      <c r="I206" s="87" t="s">
        <v>183</v>
      </c>
      <c r="J206" s="85">
        <v>18</v>
      </c>
      <c r="K206" s="85">
        <v>18</v>
      </c>
      <c r="L206" s="85"/>
      <c r="M206" s="85">
        <v>1</v>
      </c>
      <c r="N206" s="85">
        <v>1</v>
      </c>
      <c r="O206" s="85"/>
      <c r="P206" s="59"/>
      <c r="Q206" s="59"/>
      <c r="R206" s="59"/>
      <c r="S206" s="59"/>
      <c r="T206" s="89"/>
      <c r="U206" s="85"/>
      <c r="V206" s="85"/>
      <c r="W206" s="83">
        <f t="shared" ca="1" si="9"/>
        <v>29</v>
      </c>
      <c r="X206" s="64" t="str">
        <f t="shared" ca="1" si="10"/>
        <v>1</v>
      </c>
      <c r="Y206" s="82" t="str">
        <f t="shared" ca="1" si="11"/>
        <v>2</v>
      </c>
      <c r="Z206" s="87"/>
      <c r="AA206" s="87" t="s">
        <v>61</v>
      </c>
      <c r="AB206"/>
    </row>
    <row r="207" spans="1:28" s="6" customFormat="1" ht="25" x14ac:dyDescent="0.35">
      <c r="A207" s="85">
        <v>5791</v>
      </c>
      <c r="B207" s="86">
        <v>2017</v>
      </c>
      <c r="C207" s="87" t="s">
        <v>35</v>
      </c>
      <c r="D207" s="87" t="s">
        <v>130</v>
      </c>
      <c r="E207" s="87" t="s">
        <v>26</v>
      </c>
      <c r="F207" s="87" t="s">
        <v>25</v>
      </c>
      <c r="G207" s="88">
        <v>1</v>
      </c>
      <c r="H207" s="85">
        <v>16591</v>
      </c>
      <c r="I207" s="87" t="s">
        <v>184</v>
      </c>
      <c r="J207" s="85">
        <v>9</v>
      </c>
      <c r="K207" s="85">
        <v>9</v>
      </c>
      <c r="L207" s="85"/>
      <c r="M207" s="85">
        <v>1</v>
      </c>
      <c r="N207" s="85"/>
      <c r="O207" s="85"/>
      <c r="P207" s="59">
        <v>1</v>
      </c>
      <c r="Q207" s="59"/>
      <c r="R207" s="59"/>
      <c r="S207" s="59"/>
      <c r="T207" s="89"/>
      <c r="U207" s="85"/>
      <c r="V207" s="85"/>
      <c r="W207" s="83">
        <f t="shared" ca="1" si="9"/>
        <v>29</v>
      </c>
      <c r="X207" s="64" t="str">
        <f t="shared" ca="1" si="10"/>
        <v>1</v>
      </c>
      <c r="Y207" s="82" t="str">
        <f t="shared" ca="1" si="11"/>
        <v>2</v>
      </c>
      <c r="Z207" s="87"/>
      <c r="AA207" s="87" t="s">
        <v>61</v>
      </c>
      <c r="AB207"/>
    </row>
    <row r="208" spans="1:28" s="6" customFormat="1" ht="25" x14ac:dyDescent="0.35">
      <c r="A208" s="85">
        <v>5791</v>
      </c>
      <c r="B208" s="86">
        <v>2017</v>
      </c>
      <c r="C208" s="87" t="s">
        <v>35</v>
      </c>
      <c r="D208" s="87" t="s">
        <v>169</v>
      </c>
      <c r="E208" s="87" t="s">
        <v>20</v>
      </c>
      <c r="F208" s="87" t="s">
        <v>82</v>
      </c>
      <c r="G208" s="88">
        <v>0.5</v>
      </c>
      <c r="H208" s="85">
        <v>16591</v>
      </c>
      <c r="I208" s="87" t="s">
        <v>204</v>
      </c>
      <c r="J208" s="85"/>
      <c r="K208" s="85"/>
      <c r="L208" s="85">
        <v>108</v>
      </c>
      <c r="M208" s="85">
        <v>1</v>
      </c>
      <c r="N208" s="85">
        <v>1</v>
      </c>
      <c r="O208" s="85"/>
      <c r="P208" s="59"/>
      <c r="Q208" s="59"/>
      <c r="R208" s="59"/>
      <c r="S208" s="59"/>
      <c r="T208" s="89"/>
      <c r="U208" s="85"/>
      <c r="V208" s="85"/>
      <c r="W208" s="83">
        <f t="shared" ca="1" si="9"/>
        <v>29</v>
      </c>
      <c r="X208" s="64" t="str">
        <f t="shared" ca="1" si="10"/>
        <v>1</v>
      </c>
      <c r="Y208" s="82" t="str">
        <f t="shared" ca="1" si="11"/>
        <v>2</v>
      </c>
      <c r="Z208" s="87"/>
      <c r="AA208" s="87" t="s">
        <v>22</v>
      </c>
      <c r="AB208"/>
    </row>
    <row r="209" spans="1:28" s="6" customFormat="1" ht="25" x14ac:dyDescent="0.35">
      <c r="A209" s="85">
        <v>5791</v>
      </c>
      <c r="B209" s="86">
        <v>2017</v>
      </c>
      <c r="C209" s="87" t="s">
        <v>35</v>
      </c>
      <c r="D209" s="87" t="s">
        <v>73</v>
      </c>
      <c r="E209" s="87" t="s">
        <v>20</v>
      </c>
      <c r="F209" s="87" t="s">
        <v>21</v>
      </c>
      <c r="G209" s="88">
        <v>1</v>
      </c>
      <c r="H209" s="85">
        <v>16591</v>
      </c>
      <c r="I209" s="87" t="s">
        <v>206</v>
      </c>
      <c r="J209" s="85">
        <v>44</v>
      </c>
      <c r="K209" s="85">
        <v>64</v>
      </c>
      <c r="L209" s="85"/>
      <c r="M209" s="85">
        <v>1</v>
      </c>
      <c r="N209" s="85"/>
      <c r="O209" s="85">
        <v>1</v>
      </c>
      <c r="P209" s="59"/>
      <c r="Q209" s="59"/>
      <c r="R209" s="59"/>
      <c r="S209" s="59"/>
      <c r="T209" s="89"/>
      <c r="U209" s="85"/>
      <c r="V209" s="85"/>
      <c r="W209" s="83">
        <f t="shared" ca="1" si="9"/>
        <v>29</v>
      </c>
      <c r="X209" s="64" t="str">
        <f t="shared" ca="1" si="10"/>
        <v>1</v>
      </c>
      <c r="Y209" s="82" t="str">
        <f t="shared" ca="1" si="11"/>
        <v>2</v>
      </c>
      <c r="Z209" s="87"/>
      <c r="AA209" s="87" t="s">
        <v>22</v>
      </c>
      <c r="AB209"/>
    </row>
    <row r="210" spans="1:28" s="6" customFormat="1" ht="25" x14ac:dyDescent="0.35">
      <c r="A210" s="85">
        <v>5791</v>
      </c>
      <c r="B210" s="86">
        <v>2017</v>
      </c>
      <c r="C210" s="87" t="s">
        <v>35</v>
      </c>
      <c r="D210" s="87" t="s">
        <v>73</v>
      </c>
      <c r="E210" s="87" t="s">
        <v>20</v>
      </c>
      <c r="F210" s="87" t="s">
        <v>21</v>
      </c>
      <c r="G210" s="88">
        <v>1</v>
      </c>
      <c r="H210" s="85">
        <v>16591</v>
      </c>
      <c r="I210" s="87" t="s">
        <v>185</v>
      </c>
      <c r="J210" s="85"/>
      <c r="K210" s="85"/>
      <c r="L210" s="85">
        <v>72</v>
      </c>
      <c r="M210" s="85">
        <v>1</v>
      </c>
      <c r="N210" s="85"/>
      <c r="O210" s="85"/>
      <c r="P210" s="59">
        <v>1</v>
      </c>
      <c r="Q210" s="59"/>
      <c r="R210" s="59"/>
      <c r="S210" s="59"/>
      <c r="T210" s="89"/>
      <c r="U210" s="85"/>
      <c r="V210" s="85"/>
      <c r="W210" s="83">
        <f t="shared" ca="1" si="9"/>
        <v>29</v>
      </c>
      <c r="X210" s="64" t="str">
        <f t="shared" ca="1" si="10"/>
        <v>1</v>
      </c>
      <c r="Y210" s="82" t="str">
        <f t="shared" ca="1" si="11"/>
        <v>2</v>
      </c>
      <c r="Z210" s="87"/>
      <c r="AA210" s="87" t="s">
        <v>61</v>
      </c>
      <c r="AB210"/>
    </row>
    <row r="211" spans="1:28" s="6" customFormat="1" ht="25" x14ac:dyDescent="0.35">
      <c r="A211" s="85">
        <v>5791</v>
      </c>
      <c r="B211" s="86">
        <v>2017</v>
      </c>
      <c r="C211" s="87" t="s">
        <v>35</v>
      </c>
      <c r="D211" s="87" t="s">
        <v>150</v>
      </c>
      <c r="E211" s="87" t="s">
        <v>30</v>
      </c>
      <c r="F211" s="87" t="s">
        <v>82</v>
      </c>
      <c r="G211" s="88">
        <v>1</v>
      </c>
      <c r="H211" s="85">
        <v>16591</v>
      </c>
      <c r="I211" s="87" t="s">
        <v>203</v>
      </c>
      <c r="J211" s="85"/>
      <c r="K211" s="85"/>
      <c r="L211" s="85">
        <v>72</v>
      </c>
      <c r="M211" s="85"/>
      <c r="N211" s="85"/>
      <c r="O211" s="85"/>
      <c r="P211" s="59"/>
      <c r="Q211" s="59"/>
      <c r="R211" s="59"/>
      <c r="S211" s="59"/>
      <c r="T211" s="89"/>
      <c r="U211" s="85"/>
      <c r="V211" s="85"/>
      <c r="W211" s="83">
        <f t="shared" ca="1" si="9"/>
        <v>29</v>
      </c>
      <c r="X211" s="64" t="str">
        <f t="shared" ca="1" si="10"/>
        <v>1</v>
      </c>
      <c r="Y211" s="82" t="str">
        <f t="shared" ca="1" si="11"/>
        <v>2</v>
      </c>
      <c r="Z211" s="87"/>
      <c r="AA211" s="87" t="s">
        <v>61</v>
      </c>
      <c r="AB211"/>
    </row>
    <row r="212" spans="1:28" s="6" customFormat="1" ht="25" x14ac:dyDescent="0.35">
      <c r="A212" s="85">
        <v>5791</v>
      </c>
      <c r="B212" s="86">
        <v>2017</v>
      </c>
      <c r="C212" s="87" t="s">
        <v>35</v>
      </c>
      <c r="D212" s="87" t="s">
        <v>150</v>
      </c>
      <c r="E212" s="87" t="s">
        <v>30</v>
      </c>
      <c r="F212" s="87" t="s">
        <v>82</v>
      </c>
      <c r="G212" s="88">
        <v>1</v>
      </c>
      <c r="H212" s="85">
        <v>16591</v>
      </c>
      <c r="I212" s="87" t="s">
        <v>205</v>
      </c>
      <c r="J212" s="85"/>
      <c r="K212" s="85"/>
      <c r="L212" s="85">
        <v>36</v>
      </c>
      <c r="M212" s="85"/>
      <c r="N212" s="85">
        <v>1</v>
      </c>
      <c r="O212" s="85"/>
      <c r="P212" s="59"/>
      <c r="Q212" s="59"/>
      <c r="R212" s="59"/>
      <c r="S212" s="59"/>
      <c r="T212" s="89"/>
      <c r="U212" s="85"/>
      <c r="V212" s="85"/>
      <c r="W212" s="83">
        <f t="shared" ca="1" si="9"/>
        <v>29</v>
      </c>
      <c r="X212" s="64" t="str">
        <f t="shared" ca="1" si="10"/>
        <v>1</v>
      </c>
      <c r="Y212" s="82" t="str">
        <f t="shared" ca="1" si="11"/>
        <v>2</v>
      </c>
      <c r="Z212" s="87"/>
      <c r="AA212" s="87" t="s">
        <v>61</v>
      </c>
      <c r="AB212"/>
    </row>
    <row r="213" spans="1:28" s="6" customFormat="1" ht="25" x14ac:dyDescent="0.35">
      <c r="A213" s="85">
        <v>5791</v>
      </c>
      <c r="B213" s="86">
        <v>2018</v>
      </c>
      <c r="C213" s="87" t="s">
        <v>35</v>
      </c>
      <c r="D213" s="87" t="s">
        <v>70</v>
      </c>
      <c r="E213" s="87" t="s">
        <v>28</v>
      </c>
      <c r="F213" s="87" t="s">
        <v>23</v>
      </c>
      <c r="G213" s="88">
        <v>1</v>
      </c>
      <c r="H213" s="85">
        <v>17236</v>
      </c>
      <c r="I213" s="87" t="s">
        <v>210</v>
      </c>
      <c r="J213" s="85">
        <v>18</v>
      </c>
      <c r="K213" s="85"/>
      <c r="L213" s="85">
        <v>108</v>
      </c>
      <c r="M213" s="85">
        <v>1</v>
      </c>
      <c r="N213" s="85"/>
      <c r="O213" s="85"/>
      <c r="P213" s="59">
        <v>1</v>
      </c>
      <c r="Q213" s="59"/>
      <c r="R213" s="59"/>
      <c r="S213" s="59"/>
      <c r="T213" s="89"/>
      <c r="U213" s="85"/>
      <c r="V213" s="85"/>
      <c r="W213" s="83">
        <f t="shared" ca="1" si="9"/>
        <v>29</v>
      </c>
      <c r="X213" s="64" t="str">
        <f t="shared" ca="1" si="10"/>
        <v>1</v>
      </c>
      <c r="Y213" s="82" t="str">
        <f t="shared" ca="1" si="11"/>
        <v>2</v>
      </c>
      <c r="Z213" s="87"/>
      <c r="AA213" s="87" t="s">
        <v>22</v>
      </c>
      <c r="AB213"/>
    </row>
    <row r="214" spans="1:28" s="6" customFormat="1" ht="25" x14ac:dyDescent="0.35">
      <c r="A214" s="85">
        <v>5791</v>
      </c>
      <c r="B214" s="86">
        <v>2018</v>
      </c>
      <c r="C214" s="87" t="s">
        <v>35</v>
      </c>
      <c r="D214" s="87" t="s">
        <v>72</v>
      </c>
      <c r="E214" s="87" t="s">
        <v>26</v>
      </c>
      <c r="F214" s="87" t="s">
        <v>25</v>
      </c>
      <c r="G214" s="88">
        <v>1</v>
      </c>
      <c r="H214" s="85">
        <v>17236</v>
      </c>
      <c r="I214" s="87" t="s">
        <v>205</v>
      </c>
      <c r="J214" s="85">
        <v>18</v>
      </c>
      <c r="K214" s="85"/>
      <c r="L214" s="85"/>
      <c r="M214" s="85"/>
      <c r="N214" s="85"/>
      <c r="O214" s="85"/>
      <c r="P214" s="59"/>
      <c r="Q214" s="59"/>
      <c r="R214" s="59"/>
      <c r="S214" s="59"/>
      <c r="T214" s="89"/>
      <c r="U214" s="85"/>
      <c r="V214" s="85"/>
      <c r="W214" s="83">
        <f t="shared" ca="1" si="9"/>
        <v>29</v>
      </c>
      <c r="X214" s="64" t="str">
        <f t="shared" ca="1" si="10"/>
        <v>1</v>
      </c>
      <c r="Y214" s="82" t="str">
        <f t="shared" ca="1" si="11"/>
        <v>2</v>
      </c>
      <c r="Z214" s="87"/>
      <c r="AA214" s="87" t="s">
        <v>22</v>
      </c>
      <c r="AB214"/>
    </row>
    <row r="215" spans="1:28" s="6" customFormat="1" ht="25" x14ac:dyDescent="0.35">
      <c r="A215" s="85">
        <v>5791</v>
      </c>
      <c r="B215" s="86">
        <v>2018</v>
      </c>
      <c r="C215" s="87" t="s">
        <v>35</v>
      </c>
      <c r="D215" s="87" t="s">
        <v>72</v>
      </c>
      <c r="E215" s="87" t="s">
        <v>26</v>
      </c>
      <c r="F215" s="87" t="s">
        <v>25</v>
      </c>
      <c r="G215" s="88">
        <v>1</v>
      </c>
      <c r="H215" s="85">
        <v>17236</v>
      </c>
      <c r="I215" s="87" t="s">
        <v>125</v>
      </c>
      <c r="J215" s="85"/>
      <c r="K215" s="85"/>
      <c r="L215" s="85">
        <v>36</v>
      </c>
      <c r="M215" s="85"/>
      <c r="N215" s="85"/>
      <c r="O215" s="85"/>
      <c r="P215" s="59"/>
      <c r="Q215" s="59"/>
      <c r="R215" s="59"/>
      <c r="S215" s="59"/>
      <c r="T215" s="89"/>
      <c r="U215" s="85"/>
      <c r="V215" s="85"/>
      <c r="W215" s="83">
        <f t="shared" ca="1" si="9"/>
        <v>29</v>
      </c>
      <c r="X215" s="64" t="str">
        <f t="shared" ca="1" si="10"/>
        <v>1</v>
      </c>
      <c r="Y215" s="82" t="str">
        <f t="shared" ca="1" si="11"/>
        <v>2</v>
      </c>
      <c r="Z215" s="87"/>
      <c r="AA215" s="87" t="s">
        <v>22</v>
      </c>
      <c r="AB215"/>
    </row>
    <row r="216" spans="1:28" s="6" customFormat="1" ht="25" x14ac:dyDescent="0.35">
      <c r="A216" s="85">
        <v>5791</v>
      </c>
      <c r="B216" s="86">
        <v>2018</v>
      </c>
      <c r="C216" s="87" t="s">
        <v>35</v>
      </c>
      <c r="D216" s="87" t="s">
        <v>72</v>
      </c>
      <c r="E216" s="87" t="s">
        <v>26</v>
      </c>
      <c r="F216" s="87" t="s">
        <v>25</v>
      </c>
      <c r="G216" s="88">
        <v>1</v>
      </c>
      <c r="H216" s="85">
        <v>17236</v>
      </c>
      <c r="I216" s="87" t="s">
        <v>125</v>
      </c>
      <c r="J216" s="85">
        <v>18</v>
      </c>
      <c r="K216" s="85"/>
      <c r="L216" s="85">
        <v>72</v>
      </c>
      <c r="M216" s="85">
        <v>1</v>
      </c>
      <c r="N216" s="85"/>
      <c r="O216" s="85"/>
      <c r="P216" s="59">
        <v>1</v>
      </c>
      <c r="Q216" s="59"/>
      <c r="R216" s="59"/>
      <c r="S216" s="59"/>
      <c r="T216" s="89"/>
      <c r="U216" s="85"/>
      <c r="V216" s="85"/>
      <c r="W216" s="83">
        <f t="shared" ca="1" si="9"/>
        <v>29</v>
      </c>
      <c r="X216" s="64" t="str">
        <f t="shared" ca="1" si="10"/>
        <v>1</v>
      </c>
      <c r="Y216" s="82" t="str">
        <f t="shared" ca="1" si="11"/>
        <v>2</v>
      </c>
      <c r="Z216" s="87"/>
      <c r="AA216" s="87" t="s">
        <v>22</v>
      </c>
      <c r="AB216"/>
    </row>
    <row r="217" spans="1:28" s="6" customFormat="1" ht="37.5" x14ac:dyDescent="0.35">
      <c r="A217" s="85">
        <v>5791</v>
      </c>
      <c r="B217" s="86">
        <v>2018</v>
      </c>
      <c r="C217" s="87" t="s">
        <v>35</v>
      </c>
      <c r="D217" s="87" t="s">
        <v>190</v>
      </c>
      <c r="E217" s="87" t="s">
        <v>26</v>
      </c>
      <c r="F217" s="87" t="s">
        <v>25</v>
      </c>
      <c r="G217" s="88">
        <v>1</v>
      </c>
      <c r="H217" s="85">
        <v>17236</v>
      </c>
      <c r="I217" s="87" t="s">
        <v>211</v>
      </c>
      <c r="J217" s="85">
        <v>18</v>
      </c>
      <c r="K217" s="85"/>
      <c r="L217" s="85">
        <v>54</v>
      </c>
      <c r="M217" s="85">
        <v>1</v>
      </c>
      <c r="N217" s="85"/>
      <c r="O217" s="85">
        <v>1</v>
      </c>
      <c r="P217" s="59"/>
      <c r="Q217" s="59"/>
      <c r="R217" s="59"/>
      <c r="S217" s="59"/>
      <c r="T217" s="89"/>
      <c r="U217" s="85"/>
      <c r="V217" s="85"/>
      <c r="W217" s="83">
        <f t="shared" ca="1" si="9"/>
        <v>29</v>
      </c>
      <c r="X217" s="64" t="str">
        <f t="shared" ca="1" si="10"/>
        <v>1</v>
      </c>
      <c r="Y217" s="82" t="str">
        <f t="shared" ca="1" si="11"/>
        <v>2</v>
      </c>
      <c r="Z217" s="87"/>
      <c r="AA217" s="87" t="s">
        <v>61</v>
      </c>
      <c r="AB217"/>
    </row>
    <row r="218" spans="1:28" s="6" customFormat="1" ht="25" x14ac:dyDescent="0.35">
      <c r="A218" s="85">
        <v>5791</v>
      </c>
      <c r="B218" s="86">
        <v>2018</v>
      </c>
      <c r="C218" s="87" t="s">
        <v>35</v>
      </c>
      <c r="D218" s="87" t="s">
        <v>311</v>
      </c>
      <c r="E218" s="87" t="s">
        <v>63</v>
      </c>
      <c r="F218" s="87" t="s">
        <v>374</v>
      </c>
      <c r="G218" s="88">
        <v>1</v>
      </c>
      <c r="H218" s="85">
        <v>17236</v>
      </c>
      <c r="I218" s="87" t="s">
        <v>129</v>
      </c>
      <c r="J218" s="85">
        <v>4</v>
      </c>
      <c r="K218" s="85"/>
      <c r="L218" s="85"/>
      <c r="M218" s="85"/>
      <c r="N218" s="85"/>
      <c r="O218" s="85"/>
      <c r="P218" s="59"/>
      <c r="Q218" s="59"/>
      <c r="R218" s="59"/>
      <c r="S218" s="59"/>
      <c r="T218" s="89"/>
      <c r="U218" s="85"/>
      <c r="V218" s="85"/>
      <c r="W218" s="83">
        <f t="shared" ca="1" si="9"/>
        <v>29</v>
      </c>
      <c r="X218" s="64" t="str">
        <f t="shared" ca="1" si="10"/>
        <v>1</v>
      </c>
      <c r="Y218" s="82" t="str">
        <f t="shared" ca="1" si="11"/>
        <v>2</v>
      </c>
      <c r="Z218" s="87"/>
      <c r="AA218" s="87" t="s">
        <v>22</v>
      </c>
      <c r="AB218"/>
    </row>
    <row r="219" spans="1:28" s="6" customFormat="1" ht="25" x14ac:dyDescent="0.35">
      <c r="A219" s="85">
        <v>5791</v>
      </c>
      <c r="B219" s="86">
        <v>2018</v>
      </c>
      <c r="C219" s="87" t="s">
        <v>35</v>
      </c>
      <c r="D219" s="87" t="s">
        <v>311</v>
      </c>
      <c r="E219" s="87" t="s">
        <v>63</v>
      </c>
      <c r="F219" s="87" t="s">
        <v>374</v>
      </c>
      <c r="G219" s="88">
        <v>1</v>
      </c>
      <c r="H219" s="85">
        <v>17236</v>
      </c>
      <c r="I219" s="87" t="s">
        <v>128</v>
      </c>
      <c r="J219" s="85">
        <v>4</v>
      </c>
      <c r="K219" s="85"/>
      <c r="L219" s="85"/>
      <c r="M219" s="85"/>
      <c r="N219" s="85"/>
      <c r="O219" s="85"/>
      <c r="P219" s="59"/>
      <c r="Q219" s="59"/>
      <c r="R219" s="59"/>
      <c r="S219" s="59"/>
      <c r="T219" s="89"/>
      <c r="U219" s="85"/>
      <c r="V219" s="85"/>
      <c r="W219" s="83">
        <f t="shared" ca="1" si="9"/>
        <v>29</v>
      </c>
      <c r="X219" s="64" t="str">
        <f t="shared" ca="1" si="10"/>
        <v>1</v>
      </c>
      <c r="Y219" s="82" t="str">
        <f t="shared" ca="1" si="11"/>
        <v>2</v>
      </c>
      <c r="Z219" s="87"/>
      <c r="AA219" s="87" t="s">
        <v>61</v>
      </c>
      <c r="AB219"/>
    </row>
    <row r="220" spans="1:28" s="6" customFormat="1" ht="25" x14ac:dyDescent="0.35">
      <c r="A220" s="85">
        <v>5791</v>
      </c>
      <c r="B220" s="86">
        <v>2018</v>
      </c>
      <c r="C220" s="87" t="s">
        <v>35</v>
      </c>
      <c r="D220" s="87" t="s">
        <v>309</v>
      </c>
      <c r="E220" s="87" t="s">
        <v>20</v>
      </c>
      <c r="F220" s="87" t="s">
        <v>310</v>
      </c>
      <c r="G220" s="88">
        <v>1</v>
      </c>
      <c r="H220" s="85">
        <v>17236</v>
      </c>
      <c r="I220" s="87" t="s">
        <v>212</v>
      </c>
      <c r="J220" s="85"/>
      <c r="K220" s="85"/>
      <c r="L220" s="85">
        <v>10</v>
      </c>
      <c r="M220" s="85"/>
      <c r="N220" s="85"/>
      <c r="O220" s="85"/>
      <c r="P220" s="59"/>
      <c r="Q220" s="59"/>
      <c r="R220" s="59"/>
      <c r="S220" s="59"/>
      <c r="T220" s="89"/>
      <c r="U220" s="85"/>
      <c r="V220" s="85"/>
      <c r="W220" s="83">
        <f t="shared" ca="1" si="9"/>
        <v>29</v>
      </c>
      <c r="X220" s="64" t="str">
        <f t="shared" ca="1" si="10"/>
        <v>1</v>
      </c>
      <c r="Y220" s="82" t="str">
        <f t="shared" ca="1" si="11"/>
        <v>2</v>
      </c>
      <c r="Z220" s="87"/>
      <c r="AA220" s="87" t="s">
        <v>22</v>
      </c>
      <c r="AB220"/>
    </row>
    <row r="221" spans="1:28" s="6" customFormat="1" ht="25" x14ac:dyDescent="0.35">
      <c r="A221" s="85">
        <v>5791</v>
      </c>
      <c r="B221" s="86">
        <v>2018</v>
      </c>
      <c r="C221" s="87" t="s">
        <v>35</v>
      </c>
      <c r="D221" s="87" t="s">
        <v>116</v>
      </c>
      <c r="E221" s="87" t="s">
        <v>28</v>
      </c>
      <c r="F221" s="87" t="s">
        <v>56</v>
      </c>
      <c r="G221" s="88">
        <v>1</v>
      </c>
      <c r="H221" s="85">
        <v>17236</v>
      </c>
      <c r="I221" s="87" t="s">
        <v>212</v>
      </c>
      <c r="J221" s="85">
        <v>8</v>
      </c>
      <c r="K221" s="85"/>
      <c r="L221" s="85"/>
      <c r="M221" s="85">
        <v>1</v>
      </c>
      <c r="N221" s="85"/>
      <c r="O221" s="85"/>
      <c r="P221" s="59"/>
      <c r="Q221" s="59"/>
      <c r="R221" s="59"/>
      <c r="S221" s="59"/>
      <c r="T221" s="89"/>
      <c r="U221" s="85"/>
      <c r="V221" s="85"/>
      <c r="W221" s="83">
        <f t="shared" ca="1" si="9"/>
        <v>29</v>
      </c>
      <c r="X221" s="64" t="str">
        <f t="shared" ca="1" si="10"/>
        <v>1</v>
      </c>
      <c r="Y221" s="82" t="str">
        <f t="shared" ca="1" si="11"/>
        <v>2</v>
      </c>
      <c r="Z221" s="87"/>
      <c r="AA221" s="87" t="s">
        <v>22</v>
      </c>
      <c r="AB221"/>
    </row>
    <row r="222" spans="1:28" s="6" customFormat="1" ht="25" x14ac:dyDescent="0.35">
      <c r="A222" s="85">
        <v>5791</v>
      </c>
      <c r="B222" s="86">
        <v>2018</v>
      </c>
      <c r="C222" s="87" t="s">
        <v>35</v>
      </c>
      <c r="D222" s="87" t="s">
        <v>116</v>
      </c>
      <c r="E222" s="87" t="s">
        <v>28</v>
      </c>
      <c r="F222" s="87" t="s">
        <v>56</v>
      </c>
      <c r="G222" s="88">
        <v>1</v>
      </c>
      <c r="H222" s="85">
        <v>17236</v>
      </c>
      <c r="I222" s="87" t="s">
        <v>127</v>
      </c>
      <c r="J222" s="85">
        <v>18</v>
      </c>
      <c r="K222" s="85"/>
      <c r="L222" s="85"/>
      <c r="M222" s="85">
        <v>1</v>
      </c>
      <c r="N222" s="85">
        <v>1</v>
      </c>
      <c r="O222" s="85"/>
      <c r="P222" s="59"/>
      <c r="Q222" s="59"/>
      <c r="R222" s="59"/>
      <c r="S222" s="59"/>
      <c r="T222" s="89"/>
      <c r="U222" s="85"/>
      <c r="V222" s="85"/>
      <c r="W222" s="83">
        <f t="shared" ca="1" si="9"/>
        <v>29</v>
      </c>
      <c r="X222" s="64" t="str">
        <f t="shared" ca="1" si="10"/>
        <v>1</v>
      </c>
      <c r="Y222" s="82" t="str">
        <f t="shared" ca="1" si="11"/>
        <v>2</v>
      </c>
      <c r="Z222" s="87"/>
      <c r="AA222" s="87" t="s">
        <v>61</v>
      </c>
      <c r="AB222"/>
    </row>
    <row r="223" spans="1:28" s="6" customFormat="1" ht="25" x14ac:dyDescent="0.35">
      <c r="A223" s="85">
        <v>5791</v>
      </c>
      <c r="B223" s="86">
        <v>2018</v>
      </c>
      <c r="C223" s="87" t="s">
        <v>35</v>
      </c>
      <c r="D223" s="87" t="s">
        <v>116</v>
      </c>
      <c r="E223" s="87" t="s">
        <v>28</v>
      </c>
      <c r="F223" s="87" t="s">
        <v>56</v>
      </c>
      <c r="G223" s="88">
        <v>1</v>
      </c>
      <c r="H223" s="85">
        <v>17236</v>
      </c>
      <c r="I223" s="87" t="s">
        <v>128</v>
      </c>
      <c r="J223" s="85">
        <v>14</v>
      </c>
      <c r="K223" s="85"/>
      <c r="L223" s="85">
        <v>36</v>
      </c>
      <c r="M223" s="85">
        <v>1</v>
      </c>
      <c r="N223" s="85">
        <v>1</v>
      </c>
      <c r="O223" s="85"/>
      <c r="P223" s="59"/>
      <c r="Q223" s="59"/>
      <c r="R223" s="59"/>
      <c r="S223" s="59"/>
      <c r="T223" s="89"/>
      <c r="U223" s="85"/>
      <c r="V223" s="85"/>
      <c r="W223" s="83">
        <f t="shared" ca="1" si="9"/>
        <v>29</v>
      </c>
      <c r="X223" s="64" t="str">
        <f t="shared" ca="1" si="10"/>
        <v>1</v>
      </c>
      <c r="Y223" s="82" t="str">
        <f t="shared" ca="1" si="11"/>
        <v>2</v>
      </c>
      <c r="Z223" s="87"/>
      <c r="AA223" s="87" t="s">
        <v>22</v>
      </c>
      <c r="AB223"/>
    </row>
    <row r="224" spans="1:28" s="6" customFormat="1" ht="25" x14ac:dyDescent="0.35">
      <c r="A224" s="85">
        <v>5791</v>
      </c>
      <c r="B224" s="86">
        <v>2018</v>
      </c>
      <c r="C224" s="87" t="s">
        <v>35</v>
      </c>
      <c r="D224" s="87" t="s">
        <v>116</v>
      </c>
      <c r="E224" s="87" t="s">
        <v>28</v>
      </c>
      <c r="F224" s="87" t="s">
        <v>56</v>
      </c>
      <c r="G224" s="88">
        <v>1</v>
      </c>
      <c r="H224" s="85">
        <v>17236</v>
      </c>
      <c r="I224" s="87" t="s">
        <v>129</v>
      </c>
      <c r="J224" s="85"/>
      <c r="K224" s="85"/>
      <c r="L224" s="85">
        <v>81</v>
      </c>
      <c r="M224" s="85">
        <v>1</v>
      </c>
      <c r="N224" s="85">
        <v>1</v>
      </c>
      <c r="O224" s="85"/>
      <c r="P224" s="59"/>
      <c r="Q224" s="59">
        <v>32</v>
      </c>
      <c r="R224" s="59"/>
      <c r="S224" s="59"/>
      <c r="T224" s="89"/>
      <c r="U224" s="85"/>
      <c r="V224" s="85"/>
      <c r="W224" s="83">
        <f t="shared" ca="1" si="9"/>
        <v>29</v>
      </c>
      <c r="X224" s="64" t="str">
        <f t="shared" ca="1" si="10"/>
        <v>1</v>
      </c>
      <c r="Y224" s="82" t="str">
        <f t="shared" ca="1" si="11"/>
        <v>2</v>
      </c>
      <c r="Z224" s="87"/>
      <c r="AA224" s="87" t="s">
        <v>22</v>
      </c>
      <c r="AB224"/>
    </row>
    <row r="225" spans="1:28" s="6" customFormat="1" ht="25" x14ac:dyDescent="0.35">
      <c r="A225" s="85">
        <v>5791</v>
      </c>
      <c r="B225" s="86">
        <v>2018</v>
      </c>
      <c r="C225" s="87" t="s">
        <v>35</v>
      </c>
      <c r="D225" s="87" t="s">
        <v>116</v>
      </c>
      <c r="E225" s="87" t="s">
        <v>28</v>
      </c>
      <c r="F225" s="87" t="s">
        <v>56</v>
      </c>
      <c r="G225" s="88">
        <v>1</v>
      </c>
      <c r="H225" s="85">
        <v>17236</v>
      </c>
      <c r="I225" s="87" t="s">
        <v>129</v>
      </c>
      <c r="J225" s="85">
        <v>14</v>
      </c>
      <c r="K225" s="85"/>
      <c r="L225" s="85"/>
      <c r="M225" s="85"/>
      <c r="N225" s="85"/>
      <c r="O225" s="85"/>
      <c r="P225" s="59"/>
      <c r="Q225" s="59"/>
      <c r="R225" s="59"/>
      <c r="S225" s="59"/>
      <c r="T225" s="89"/>
      <c r="U225" s="85"/>
      <c r="V225" s="85"/>
      <c r="W225" s="83">
        <f t="shared" ca="1" si="9"/>
        <v>29</v>
      </c>
      <c r="X225" s="64" t="str">
        <f t="shared" ca="1" si="10"/>
        <v>1</v>
      </c>
      <c r="Y225" s="82" t="str">
        <f t="shared" ca="1" si="11"/>
        <v>2</v>
      </c>
      <c r="Z225" s="87"/>
      <c r="AA225" s="87" t="s">
        <v>22</v>
      </c>
      <c r="AB225"/>
    </row>
    <row r="226" spans="1:28" s="6" customFormat="1" ht="25" x14ac:dyDescent="0.35">
      <c r="A226" s="85">
        <v>5791</v>
      </c>
      <c r="B226" s="86">
        <v>2018</v>
      </c>
      <c r="C226" s="87" t="s">
        <v>35</v>
      </c>
      <c r="D226" s="87" t="s">
        <v>36</v>
      </c>
      <c r="E226" s="87" t="s">
        <v>26</v>
      </c>
      <c r="F226" s="87" t="s">
        <v>25</v>
      </c>
      <c r="G226" s="88">
        <v>1</v>
      </c>
      <c r="H226" s="85">
        <v>17236</v>
      </c>
      <c r="I226" s="87" t="s">
        <v>205</v>
      </c>
      <c r="J226" s="85">
        <v>18</v>
      </c>
      <c r="K226" s="85"/>
      <c r="L226" s="85"/>
      <c r="M226" s="85"/>
      <c r="N226" s="85"/>
      <c r="O226" s="85"/>
      <c r="P226" s="59"/>
      <c r="Q226" s="59"/>
      <c r="R226" s="59"/>
      <c r="S226" s="59"/>
      <c r="T226" s="89"/>
      <c r="U226" s="85"/>
      <c r="V226" s="85"/>
      <c r="W226" s="83">
        <f t="shared" ca="1" si="9"/>
        <v>29</v>
      </c>
      <c r="X226" s="64" t="str">
        <f t="shared" ca="1" si="10"/>
        <v>1</v>
      </c>
      <c r="Y226" s="82" t="str">
        <f t="shared" ca="1" si="11"/>
        <v>2</v>
      </c>
      <c r="Z226" s="87"/>
      <c r="AA226" s="87" t="s">
        <v>22</v>
      </c>
      <c r="AB226"/>
    </row>
    <row r="227" spans="1:28" s="6" customFormat="1" ht="25" x14ac:dyDescent="0.35">
      <c r="A227" s="85">
        <v>5791</v>
      </c>
      <c r="B227" s="86">
        <v>2018</v>
      </c>
      <c r="C227" s="87" t="s">
        <v>35</v>
      </c>
      <c r="D227" s="87" t="s">
        <v>36</v>
      </c>
      <c r="E227" s="87" t="s">
        <v>26</v>
      </c>
      <c r="F227" s="87" t="s">
        <v>25</v>
      </c>
      <c r="G227" s="88">
        <v>1</v>
      </c>
      <c r="H227" s="85">
        <v>17236</v>
      </c>
      <c r="I227" s="87" t="s">
        <v>127</v>
      </c>
      <c r="J227" s="85"/>
      <c r="K227" s="85"/>
      <c r="L227" s="85">
        <v>36</v>
      </c>
      <c r="M227" s="85"/>
      <c r="N227" s="85"/>
      <c r="O227" s="85"/>
      <c r="P227" s="59"/>
      <c r="Q227" s="59"/>
      <c r="R227" s="59"/>
      <c r="S227" s="59"/>
      <c r="T227" s="89"/>
      <c r="U227" s="85"/>
      <c r="V227" s="85"/>
      <c r="W227" s="83">
        <f t="shared" ca="1" si="9"/>
        <v>29</v>
      </c>
      <c r="X227" s="64" t="str">
        <f t="shared" ca="1" si="10"/>
        <v>1</v>
      </c>
      <c r="Y227" s="82" t="str">
        <f t="shared" ca="1" si="11"/>
        <v>2</v>
      </c>
      <c r="Z227" s="87"/>
      <c r="AA227" s="87" t="s">
        <v>22</v>
      </c>
      <c r="AB227"/>
    </row>
    <row r="228" spans="1:28" s="6" customFormat="1" ht="25" x14ac:dyDescent="0.35">
      <c r="A228" s="85">
        <v>5791</v>
      </c>
      <c r="B228" s="86">
        <v>2018</v>
      </c>
      <c r="C228" s="87" t="s">
        <v>35</v>
      </c>
      <c r="D228" s="87" t="s">
        <v>36</v>
      </c>
      <c r="E228" s="87" t="s">
        <v>26</v>
      </c>
      <c r="F228" s="87" t="s">
        <v>25</v>
      </c>
      <c r="G228" s="88">
        <v>1</v>
      </c>
      <c r="H228" s="85">
        <v>17236</v>
      </c>
      <c r="I228" s="87" t="s">
        <v>127</v>
      </c>
      <c r="J228" s="85"/>
      <c r="K228" s="85"/>
      <c r="L228" s="85">
        <v>72</v>
      </c>
      <c r="M228" s="85">
        <v>1</v>
      </c>
      <c r="N228" s="85">
        <v>1</v>
      </c>
      <c r="O228" s="85"/>
      <c r="P228" s="59"/>
      <c r="Q228" s="59"/>
      <c r="R228" s="59"/>
      <c r="S228" s="59"/>
      <c r="T228" s="89"/>
      <c r="U228" s="85"/>
      <c r="V228" s="85"/>
      <c r="W228" s="83">
        <f t="shared" ca="1" si="9"/>
        <v>29</v>
      </c>
      <c r="X228" s="64" t="str">
        <f t="shared" ca="1" si="10"/>
        <v>1</v>
      </c>
      <c r="Y228" s="82" t="str">
        <f t="shared" ca="1" si="11"/>
        <v>2</v>
      </c>
      <c r="Z228" s="87"/>
      <c r="AA228" s="87" t="s">
        <v>22</v>
      </c>
      <c r="AB228"/>
    </row>
    <row r="229" spans="1:28" s="6" customFormat="1" ht="25" x14ac:dyDescent="0.35">
      <c r="A229" s="85">
        <v>5791</v>
      </c>
      <c r="B229" s="86">
        <v>2018</v>
      </c>
      <c r="C229" s="87" t="s">
        <v>35</v>
      </c>
      <c r="D229" s="87" t="s">
        <v>36</v>
      </c>
      <c r="E229" s="87" t="s">
        <v>26</v>
      </c>
      <c r="F229" s="87" t="s">
        <v>25</v>
      </c>
      <c r="G229" s="88">
        <v>1</v>
      </c>
      <c r="H229" s="85">
        <v>17236</v>
      </c>
      <c r="I229" s="87" t="s">
        <v>128</v>
      </c>
      <c r="J229" s="85"/>
      <c r="K229" s="85"/>
      <c r="L229" s="85">
        <v>72</v>
      </c>
      <c r="M229" s="85">
        <v>1</v>
      </c>
      <c r="N229" s="85">
        <v>1</v>
      </c>
      <c r="O229" s="85"/>
      <c r="P229" s="59"/>
      <c r="Q229" s="59"/>
      <c r="R229" s="59"/>
      <c r="S229" s="59"/>
      <c r="T229" s="89"/>
      <c r="U229" s="85"/>
      <c r="V229" s="85"/>
      <c r="W229" s="83">
        <f t="shared" ca="1" si="9"/>
        <v>29</v>
      </c>
      <c r="X229" s="64" t="str">
        <f t="shared" ca="1" si="10"/>
        <v>1</v>
      </c>
      <c r="Y229" s="82" t="str">
        <f t="shared" ca="1" si="11"/>
        <v>2</v>
      </c>
      <c r="Z229" s="87"/>
      <c r="AA229" s="87" t="s">
        <v>22</v>
      </c>
      <c r="AB229"/>
    </row>
    <row r="230" spans="1:28" s="6" customFormat="1" ht="25" x14ac:dyDescent="0.35">
      <c r="A230" s="85">
        <v>5791</v>
      </c>
      <c r="B230" s="86">
        <v>2018</v>
      </c>
      <c r="C230" s="87" t="s">
        <v>35</v>
      </c>
      <c r="D230" s="87" t="s">
        <v>36</v>
      </c>
      <c r="E230" s="87" t="s">
        <v>26</v>
      </c>
      <c r="F230" s="87" t="s">
        <v>25</v>
      </c>
      <c r="G230" s="88">
        <v>1</v>
      </c>
      <c r="H230" s="85">
        <v>17236</v>
      </c>
      <c r="I230" s="87" t="s">
        <v>129</v>
      </c>
      <c r="J230" s="85"/>
      <c r="K230" s="85"/>
      <c r="L230" s="85">
        <v>27</v>
      </c>
      <c r="M230" s="85"/>
      <c r="N230" s="85"/>
      <c r="O230" s="85"/>
      <c r="P230" s="59"/>
      <c r="Q230" s="59"/>
      <c r="R230" s="59"/>
      <c r="S230" s="59"/>
      <c r="T230" s="89"/>
      <c r="U230" s="85"/>
      <c r="V230" s="85"/>
      <c r="W230" s="83">
        <f t="shared" ca="1" si="9"/>
        <v>29</v>
      </c>
      <c r="X230" s="64" t="str">
        <f t="shared" ca="1" si="10"/>
        <v>1</v>
      </c>
      <c r="Y230" s="82" t="str">
        <f t="shared" ca="1" si="11"/>
        <v>2</v>
      </c>
      <c r="Z230" s="87"/>
      <c r="AA230" s="87" t="s">
        <v>61</v>
      </c>
      <c r="AB230"/>
    </row>
    <row r="231" spans="1:28" s="6" customFormat="1" ht="25" x14ac:dyDescent="0.35">
      <c r="A231" s="85">
        <v>5791</v>
      </c>
      <c r="B231" s="86">
        <v>2018</v>
      </c>
      <c r="C231" s="87" t="s">
        <v>35</v>
      </c>
      <c r="D231" s="87" t="s">
        <v>36</v>
      </c>
      <c r="E231" s="87" t="s">
        <v>26</v>
      </c>
      <c r="F231" s="87" t="s">
        <v>25</v>
      </c>
      <c r="G231" s="88">
        <v>1</v>
      </c>
      <c r="H231" s="85">
        <v>17236</v>
      </c>
      <c r="I231" s="87" t="s">
        <v>129</v>
      </c>
      <c r="J231" s="85"/>
      <c r="K231" s="85"/>
      <c r="L231" s="85">
        <v>54</v>
      </c>
      <c r="M231" s="85">
        <v>1</v>
      </c>
      <c r="N231" s="85">
        <v>1</v>
      </c>
      <c r="O231" s="85"/>
      <c r="P231" s="92"/>
      <c r="Q231" s="59">
        <v>34</v>
      </c>
      <c r="R231" s="59"/>
      <c r="S231" s="59"/>
      <c r="T231" s="89"/>
      <c r="U231" s="85"/>
      <c r="V231" s="85"/>
      <c r="W231" s="83">
        <f t="shared" ca="1" si="9"/>
        <v>29</v>
      </c>
      <c r="X231" s="64" t="str">
        <f t="shared" ca="1" si="10"/>
        <v>1</v>
      </c>
      <c r="Y231" s="82" t="str">
        <f t="shared" ca="1" si="11"/>
        <v>2</v>
      </c>
      <c r="Z231" s="87"/>
      <c r="AA231" s="87" t="s">
        <v>22</v>
      </c>
      <c r="AB231"/>
    </row>
    <row r="232" spans="1:28" s="6" customFormat="1" ht="25" x14ac:dyDescent="0.35">
      <c r="A232" s="85">
        <v>5791</v>
      </c>
      <c r="B232" s="86">
        <v>2018</v>
      </c>
      <c r="C232" s="87" t="s">
        <v>35</v>
      </c>
      <c r="D232" s="87" t="s">
        <v>130</v>
      </c>
      <c r="E232" s="87" t="s">
        <v>26</v>
      </c>
      <c r="F232" s="87" t="s">
        <v>25</v>
      </c>
      <c r="G232" s="88">
        <v>1</v>
      </c>
      <c r="H232" s="85">
        <v>17236</v>
      </c>
      <c r="I232" s="87" t="s">
        <v>363</v>
      </c>
      <c r="J232" s="85"/>
      <c r="K232" s="85"/>
      <c r="L232" s="85"/>
      <c r="M232" s="85">
        <v>1</v>
      </c>
      <c r="N232" s="85">
        <v>1</v>
      </c>
      <c r="O232" s="85"/>
      <c r="P232" s="59"/>
      <c r="Q232" s="59"/>
      <c r="R232" s="59"/>
      <c r="S232" s="59"/>
      <c r="T232" s="89"/>
      <c r="U232" s="85"/>
      <c r="V232" s="85"/>
      <c r="W232" s="83">
        <f t="shared" ca="1" si="9"/>
        <v>29</v>
      </c>
      <c r="X232" s="64" t="str">
        <f t="shared" ca="1" si="10"/>
        <v>1</v>
      </c>
      <c r="Y232" s="82" t="str">
        <f t="shared" ca="1" si="11"/>
        <v>2</v>
      </c>
      <c r="Z232" s="87"/>
      <c r="AA232" s="87" t="s">
        <v>22</v>
      </c>
      <c r="AB232"/>
    </row>
    <row r="233" spans="1:28" s="6" customFormat="1" ht="25" x14ac:dyDescent="0.35">
      <c r="A233" s="85">
        <v>5791</v>
      </c>
      <c r="B233" s="86">
        <v>2018</v>
      </c>
      <c r="C233" s="87" t="s">
        <v>35</v>
      </c>
      <c r="D233" s="87" t="s">
        <v>130</v>
      </c>
      <c r="E233" s="87" t="s">
        <v>26</v>
      </c>
      <c r="F233" s="87" t="s">
        <v>25</v>
      </c>
      <c r="G233" s="88">
        <v>1</v>
      </c>
      <c r="H233" s="85">
        <v>17236</v>
      </c>
      <c r="I233" s="87" t="s">
        <v>213</v>
      </c>
      <c r="J233" s="85">
        <v>18</v>
      </c>
      <c r="K233" s="85">
        <v>36</v>
      </c>
      <c r="L233" s="85">
        <v>108</v>
      </c>
      <c r="M233" s="85">
        <v>1</v>
      </c>
      <c r="N233" s="85"/>
      <c r="O233" s="85"/>
      <c r="P233" s="59"/>
      <c r="Q233" s="59"/>
      <c r="R233" s="59"/>
      <c r="S233" s="59"/>
      <c r="T233" s="89"/>
      <c r="U233" s="85"/>
      <c r="V233" s="85"/>
      <c r="W233" s="83">
        <f t="shared" ca="1" si="9"/>
        <v>29</v>
      </c>
      <c r="X233" s="64" t="str">
        <f t="shared" ca="1" si="10"/>
        <v>1</v>
      </c>
      <c r="Y233" s="82" t="str">
        <f t="shared" ca="1" si="11"/>
        <v>2</v>
      </c>
      <c r="Z233" s="87"/>
      <c r="AA233" s="87" t="s">
        <v>22</v>
      </c>
      <c r="AB233"/>
    </row>
    <row r="234" spans="1:28" s="6" customFormat="1" ht="37.5" x14ac:dyDescent="0.35">
      <c r="A234" s="85">
        <v>5791</v>
      </c>
      <c r="B234" s="86">
        <v>2018</v>
      </c>
      <c r="C234" s="87" t="s">
        <v>35</v>
      </c>
      <c r="D234" s="87" t="s">
        <v>130</v>
      </c>
      <c r="E234" s="87" t="s">
        <v>26</v>
      </c>
      <c r="F234" s="87" t="s">
        <v>25</v>
      </c>
      <c r="G234" s="88">
        <v>1</v>
      </c>
      <c r="H234" s="85">
        <v>17236</v>
      </c>
      <c r="I234" s="87" t="s">
        <v>214</v>
      </c>
      <c r="J234" s="85"/>
      <c r="K234" s="85"/>
      <c r="L234" s="85">
        <v>72</v>
      </c>
      <c r="M234" s="85">
        <v>1</v>
      </c>
      <c r="N234" s="85"/>
      <c r="O234" s="85"/>
      <c r="P234" s="59"/>
      <c r="Q234" s="59"/>
      <c r="R234" s="59"/>
      <c r="S234" s="59"/>
      <c r="T234" s="89"/>
      <c r="U234" s="85"/>
      <c r="V234" s="85"/>
      <c r="W234" s="83">
        <f t="shared" ca="1" si="9"/>
        <v>29</v>
      </c>
      <c r="X234" s="64" t="str">
        <f t="shared" ca="1" si="10"/>
        <v>1</v>
      </c>
      <c r="Y234" s="82" t="str">
        <f t="shared" ca="1" si="11"/>
        <v>2</v>
      </c>
      <c r="Z234" s="87"/>
      <c r="AA234" s="87" t="s">
        <v>22</v>
      </c>
      <c r="AB234"/>
    </row>
    <row r="235" spans="1:28" s="6" customFormat="1" ht="25" x14ac:dyDescent="0.35">
      <c r="A235" s="85">
        <v>5791</v>
      </c>
      <c r="B235" s="86">
        <v>2018</v>
      </c>
      <c r="C235" s="87" t="s">
        <v>35</v>
      </c>
      <c r="D235" s="87" t="s">
        <v>130</v>
      </c>
      <c r="E235" s="87" t="s">
        <v>26</v>
      </c>
      <c r="F235" s="87" t="s">
        <v>25</v>
      </c>
      <c r="G235" s="88">
        <v>1</v>
      </c>
      <c r="H235" s="85">
        <v>17236</v>
      </c>
      <c r="I235" s="87" t="s">
        <v>133</v>
      </c>
      <c r="J235" s="85"/>
      <c r="K235" s="85"/>
      <c r="L235" s="85">
        <v>108</v>
      </c>
      <c r="M235" s="85">
        <v>1</v>
      </c>
      <c r="N235" s="85"/>
      <c r="O235" s="85"/>
      <c r="P235" s="59"/>
      <c r="Q235" s="59"/>
      <c r="R235" s="59"/>
      <c r="S235" s="59"/>
      <c r="T235" s="89"/>
      <c r="U235" s="85"/>
      <c r="V235" s="85"/>
      <c r="W235" s="83">
        <f t="shared" ca="1" si="9"/>
        <v>29</v>
      </c>
      <c r="X235" s="64" t="str">
        <f t="shared" ca="1" si="10"/>
        <v>1</v>
      </c>
      <c r="Y235" s="82" t="str">
        <f t="shared" ca="1" si="11"/>
        <v>2</v>
      </c>
      <c r="Z235" s="87"/>
      <c r="AA235" s="87" t="s">
        <v>61</v>
      </c>
      <c r="AB235"/>
    </row>
    <row r="236" spans="1:28" s="6" customFormat="1" ht="25" x14ac:dyDescent="0.35">
      <c r="A236" s="85">
        <v>5791</v>
      </c>
      <c r="B236" s="86">
        <v>2018</v>
      </c>
      <c r="C236" s="87" t="s">
        <v>35</v>
      </c>
      <c r="D236" s="87" t="s">
        <v>135</v>
      </c>
      <c r="E236" s="87" t="s">
        <v>20</v>
      </c>
      <c r="F236" s="87" t="s">
        <v>82</v>
      </c>
      <c r="G236" s="88">
        <v>1</v>
      </c>
      <c r="H236" s="85">
        <v>17236</v>
      </c>
      <c r="I236" s="87" t="s">
        <v>205</v>
      </c>
      <c r="J236" s="85"/>
      <c r="K236" s="85"/>
      <c r="L236" s="85">
        <v>216</v>
      </c>
      <c r="M236" s="85">
        <v>1</v>
      </c>
      <c r="N236" s="85"/>
      <c r="O236" s="85"/>
      <c r="P236" s="59"/>
      <c r="Q236" s="59"/>
      <c r="R236" s="59"/>
      <c r="S236" s="59"/>
      <c r="T236" s="89"/>
      <c r="U236" s="85"/>
      <c r="V236" s="85"/>
      <c r="W236" s="83">
        <f t="shared" ca="1" si="9"/>
        <v>29</v>
      </c>
      <c r="X236" s="64" t="str">
        <f t="shared" ca="1" si="10"/>
        <v>1</v>
      </c>
      <c r="Y236" s="82" t="str">
        <f t="shared" ca="1" si="11"/>
        <v>2</v>
      </c>
      <c r="Z236" s="87"/>
      <c r="AA236" s="87" t="s">
        <v>61</v>
      </c>
      <c r="AB236"/>
    </row>
    <row r="237" spans="1:28" s="6" customFormat="1" ht="25" x14ac:dyDescent="0.35">
      <c r="A237" s="85">
        <v>5791</v>
      </c>
      <c r="B237" s="86">
        <v>2018</v>
      </c>
      <c r="C237" s="87" t="s">
        <v>35</v>
      </c>
      <c r="D237" s="87" t="s">
        <v>73</v>
      </c>
      <c r="E237" s="87" t="s">
        <v>20</v>
      </c>
      <c r="F237" s="87" t="s">
        <v>21</v>
      </c>
      <c r="G237" s="88">
        <v>1</v>
      </c>
      <c r="H237" s="85">
        <v>17236</v>
      </c>
      <c r="I237" s="87" t="s">
        <v>206</v>
      </c>
      <c r="J237" s="85"/>
      <c r="K237" s="85">
        <v>72</v>
      </c>
      <c r="L237" s="85"/>
      <c r="M237" s="85"/>
      <c r="N237" s="85"/>
      <c r="O237" s="85"/>
      <c r="P237" s="59"/>
      <c r="Q237" s="59"/>
      <c r="R237" s="59"/>
      <c r="S237" s="59"/>
      <c r="T237" s="89"/>
      <c r="U237" s="85"/>
      <c r="V237" s="85"/>
      <c r="W237" s="83">
        <f t="shared" ca="1" si="9"/>
        <v>29</v>
      </c>
      <c r="X237" s="64" t="str">
        <f t="shared" ca="1" si="10"/>
        <v>1</v>
      </c>
      <c r="Y237" s="82" t="str">
        <f t="shared" ca="1" si="11"/>
        <v>2</v>
      </c>
      <c r="Z237" s="87"/>
      <c r="AA237" s="87" t="s">
        <v>22</v>
      </c>
      <c r="AB237"/>
    </row>
    <row r="238" spans="1:28" s="6" customFormat="1" ht="25" x14ac:dyDescent="0.35">
      <c r="A238" s="85">
        <v>5791</v>
      </c>
      <c r="B238" s="86">
        <v>2018</v>
      </c>
      <c r="C238" s="87" t="s">
        <v>35</v>
      </c>
      <c r="D238" s="87" t="s">
        <v>73</v>
      </c>
      <c r="E238" s="87" t="s">
        <v>20</v>
      </c>
      <c r="F238" s="87" t="s">
        <v>21</v>
      </c>
      <c r="G238" s="88">
        <v>1</v>
      </c>
      <c r="H238" s="85">
        <v>17236</v>
      </c>
      <c r="I238" s="87" t="s">
        <v>206</v>
      </c>
      <c r="J238" s="85">
        <v>36</v>
      </c>
      <c r="K238" s="85">
        <v>36</v>
      </c>
      <c r="L238" s="85"/>
      <c r="M238" s="85">
        <v>1</v>
      </c>
      <c r="N238" s="85">
        <v>1</v>
      </c>
      <c r="O238" s="85"/>
      <c r="P238" s="59"/>
      <c r="Q238" s="59"/>
      <c r="R238" s="59"/>
      <c r="S238" s="59"/>
      <c r="T238" s="89"/>
      <c r="U238" s="85"/>
      <c r="V238" s="85"/>
      <c r="W238" s="83">
        <f t="shared" ca="1" si="9"/>
        <v>29</v>
      </c>
      <c r="X238" s="64" t="str">
        <f t="shared" ca="1" si="10"/>
        <v>1</v>
      </c>
      <c r="Y238" s="82" t="str">
        <f t="shared" ca="1" si="11"/>
        <v>2</v>
      </c>
      <c r="Z238" s="87"/>
      <c r="AA238" s="87" t="s">
        <v>22</v>
      </c>
      <c r="AB238"/>
    </row>
    <row r="239" spans="1:28" s="6" customFormat="1" ht="37.5" x14ac:dyDescent="0.35">
      <c r="A239" s="93">
        <v>5791</v>
      </c>
      <c r="B239" s="94">
        <v>2018</v>
      </c>
      <c r="C239" s="94" t="s">
        <v>35</v>
      </c>
      <c r="D239" s="94" t="s">
        <v>73</v>
      </c>
      <c r="E239" s="94" t="s">
        <v>20</v>
      </c>
      <c r="F239" s="94" t="s">
        <v>21</v>
      </c>
      <c r="G239" s="94">
        <v>1</v>
      </c>
      <c r="H239" s="93">
        <v>17236</v>
      </c>
      <c r="I239" s="94" t="s">
        <v>215</v>
      </c>
      <c r="J239" s="93"/>
      <c r="K239" s="93"/>
      <c r="L239" s="93">
        <v>36</v>
      </c>
      <c r="M239" s="93">
        <v>1</v>
      </c>
      <c r="N239" s="93"/>
      <c r="O239" s="93"/>
      <c r="P239" s="59">
        <v>1</v>
      </c>
      <c r="Q239" s="59"/>
      <c r="R239" s="59"/>
      <c r="S239" s="59"/>
      <c r="T239" s="95"/>
      <c r="U239" s="93"/>
      <c r="V239" s="93"/>
      <c r="W239" s="83">
        <f t="shared" ca="1" si="9"/>
        <v>29</v>
      </c>
      <c r="X239" s="64" t="str">
        <f t="shared" ca="1" si="10"/>
        <v>1</v>
      </c>
      <c r="Y239" s="82" t="str">
        <f t="shared" ca="1" si="11"/>
        <v>2</v>
      </c>
      <c r="Z239" s="94"/>
      <c r="AA239" s="94" t="s">
        <v>22</v>
      </c>
      <c r="AB239"/>
    </row>
    <row r="240" spans="1:28" s="6" customFormat="1" ht="25" x14ac:dyDescent="0.35">
      <c r="A240" s="93">
        <v>5791</v>
      </c>
      <c r="B240" s="94">
        <v>2018</v>
      </c>
      <c r="C240" s="94" t="s">
        <v>35</v>
      </c>
      <c r="D240" s="94" t="s">
        <v>150</v>
      </c>
      <c r="E240" s="94" t="s">
        <v>30</v>
      </c>
      <c r="F240" s="94" t="s">
        <v>25</v>
      </c>
      <c r="G240" s="94">
        <v>1</v>
      </c>
      <c r="H240" s="93">
        <v>17236</v>
      </c>
      <c r="I240" s="94" t="s">
        <v>212</v>
      </c>
      <c r="J240" s="93"/>
      <c r="K240" s="93"/>
      <c r="L240" s="93">
        <v>20</v>
      </c>
      <c r="M240" s="93"/>
      <c r="N240" s="93"/>
      <c r="O240" s="93"/>
      <c r="P240" s="59">
        <v>1</v>
      </c>
      <c r="Q240" s="59"/>
      <c r="R240" s="59"/>
      <c r="S240" s="59"/>
      <c r="T240" s="95"/>
      <c r="U240" s="93"/>
      <c r="V240" s="93"/>
      <c r="W240" s="83">
        <f t="shared" ca="1" si="9"/>
        <v>29</v>
      </c>
      <c r="X240" s="64" t="str">
        <f t="shared" ca="1" si="10"/>
        <v>1</v>
      </c>
      <c r="Y240" s="82" t="str">
        <f t="shared" ca="1" si="11"/>
        <v>2</v>
      </c>
      <c r="Z240" s="94"/>
      <c r="AA240" s="94" t="s">
        <v>61</v>
      </c>
      <c r="AB240"/>
    </row>
    <row r="241" spans="1:60" s="6" customFormat="1" ht="25" x14ac:dyDescent="0.35">
      <c r="A241" s="93">
        <v>5791</v>
      </c>
      <c r="B241" s="94">
        <v>2018</v>
      </c>
      <c r="C241" s="94" t="s">
        <v>35</v>
      </c>
      <c r="D241" s="94" t="s">
        <v>150</v>
      </c>
      <c r="E241" s="94" t="s">
        <v>30</v>
      </c>
      <c r="F241" s="94" t="s">
        <v>25</v>
      </c>
      <c r="G241" s="94">
        <v>1</v>
      </c>
      <c r="H241" s="93">
        <v>17236</v>
      </c>
      <c r="I241" s="94" t="s">
        <v>216</v>
      </c>
      <c r="J241" s="93">
        <v>36</v>
      </c>
      <c r="K241" s="93"/>
      <c r="L241" s="93">
        <v>108</v>
      </c>
      <c r="M241" s="93">
        <v>1</v>
      </c>
      <c r="N241" s="93"/>
      <c r="O241" s="93">
        <v>1</v>
      </c>
      <c r="P241" s="59"/>
      <c r="Q241" s="59"/>
      <c r="R241" s="59"/>
      <c r="S241" s="59"/>
      <c r="T241" s="95"/>
      <c r="U241" s="93"/>
      <c r="V241" s="93"/>
      <c r="W241" s="83">
        <f t="shared" ca="1" si="9"/>
        <v>29</v>
      </c>
      <c r="X241" s="64" t="str">
        <f t="shared" ca="1" si="10"/>
        <v>1</v>
      </c>
      <c r="Y241" s="82" t="str">
        <f t="shared" ca="1" si="11"/>
        <v>2</v>
      </c>
      <c r="Z241" s="94"/>
      <c r="AA241" s="94" t="s">
        <v>61</v>
      </c>
      <c r="AB241"/>
    </row>
    <row r="242" spans="1:60" s="6" customFormat="1" ht="25" x14ac:dyDescent="0.35">
      <c r="A242" s="93">
        <v>5792</v>
      </c>
      <c r="B242" s="94">
        <v>2017</v>
      </c>
      <c r="C242" s="94" t="s">
        <v>35</v>
      </c>
      <c r="D242" s="94" t="s">
        <v>115</v>
      </c>
      <c r="E242" s="94" t="s">
        <v>20</v>
      </c>
      <c r="F242" s="94" t="s">
        <v>82</v>
      </c>
      <c r="G242" s="94">
        <v>0.5</v>
      </c>
      <c r="H242" s="93">
        <v>16561</v>
      </c>
      <c r="I242" s="94" t="s">
        <v>218</v>
      </c>
      <c r="J242" s="93">
        <v>16</v>
      </c>
      <c r="K242" s="93"/>
      <c r="L242" s="93">
        <v>64</v>
      </c>
      <c r="M242" s="93"/>
      <c r="N242" s="93"/>
      <c r="O242" s="93"/>
      <c r="P242" s="59"/>
      <c r="Q242" s="59"/>
      <c r="R242" s="59"/>
      <c r="S242" s="59"/>
      <c r="T242" s="95">
        <v>16</v>
      </c>
      <c r="U242" s="93"/>
      <c r="V242" s="93"/>
      <c r="W242" s="83">
        <f t="shared" ca="1" si="9"/>
        <v>8</v>
      </c>
      <c r="X242" s="64" t="str">
        <f t="shared" ca="1" si="10"/>
        <v>1</v>
      </c>
      <c r="Y242" s="82" t="str">
        <f t="shared" ca="1" si="11"/>
        <v>1</v>
      </c>
      <c r="Z242" s="94"/>
      <c r="AA242" s="94" t="s">
        <v>22</v>
      </c>
      <c r="AB242"/>
    </row>
    <row r="243" spans="1:60" s="6" customFormat="1" ht="25" x14ac:dyDescent="0.35">
      <c r="A243" s="93">
        <v>5792</v>
      </c>
      <c r="B243" s="94">
        <v>2017</v>
      </c>
      <c r="C243" s="94" t="s">
        <v>35</v>
      </c>
      <c r="D243" s="94" t="s">
        <v>116</v>
      </c>
      <c r="E243" s="94" t="s">
        <v>28</v>
      </c>
      <c r="F243" s="94" t="s">
        <v>56</v>
      </c>
      <c r="G243" s="94">
        <v>1</v>
      </c>
      <c r="H243" s="93">
        <v>16561</v>
      </c>
      <c r="I243" s="94" t="s">
        <v>219</v>
      </c>
      <c r="J243" s="93"/>
      <c r="K243" s="93"/>
      <c r="L243" s="93">
        <v>8</v>
      </c>
      <c r="M243" s="93"/>
      <c r="N243" s="93"/>
      <c r="O243" s="93"/>
      <c r="P243" s="59"/>
      <c r="Q243" s="59"/>
      <c r="R243" s="59"/>
      <c r="S243" s="59"/>
      <c r="T243" s="95"/>
      <c r="U243" s="93"/>
      <c r="V243" s="93"/>
      <c r="W243" s="83">
        <f t="shared" ca="1" si="9"/>
        <v>8</v>
      </c>
      <c r="X243" s="64" t="str">
        <f t="shared" ca="1" si="10"/>
        <v>1</v>
      </c>
      <c r="Y243" s="82" t="str">
        <f t="shared" ca="1" si="11"/>
        <v>1</v>
      </c>
      <c r="Z243" s="94"/>
      <c r="AA243" s="94" t="s">
        <v>22</v>
      </c>
      <c r="AB243"/>
    </row>
    <row r="244" spans="1:60" s="6" customFormat="1" ht="25" x14ac:dyDescent="0.35">
      <c r="A244" s="93">
        <v>5792</v>
      </c>
      <c r="B244" s="94">
        <v>2017</v>
      </c>
      <c r="C244" s="94" t="s">
        <v>35</v>
      </c>
      <c r="D244" s="94" t="s">
        <v>116</v>
      </c>
      <c r="E244" s="94" t="s">
        <v>28</v>
      </c>
      <c r="F244" s="94" t="s">
        <v>56</v>
      </c>
      <c r="G244" s="94">
        <v>1</v>
      </c>
      <c r="H244" s="93">
        <v>16561</v>
      </c>
      <c r="I244" s="94" t="s">
        <v>218</v>
      </c>
      <c r="J244" s="93"/>
      <c r="K244" s="93"/>
      <c r="L244" s="93"/>
      <c r="M244" s="93"/>
      <c r="N244" s="93"/>
      <c r="O244" s="93"/>
      <c r="P244" s="59"/>
      <c r="Q244" s="59"/>
      <c r="R244" s="59"/>
      <c r="S244" s="59"/>
      <c r="T244" s="95">
        <v>2</v>
      </c>
      <c r="U244" s="93"/>
      <c r="V244" s="93"/>
      <c r="W244" s="83">
        <f t="shared" ca="1" si="9"/>
        <v>8</v>
      </c>
      <c r="X244" s="64" t="str">
        <f t="shared" ca="1" si="10"/>
        <v>1</v>
      </c>
      <c r="Y244" s="82" t="str">
        <f t="shared" ca="1" si="11"/>
        <v>1</v>
      </c>
      <c r="Z244" s="94"/>
      <c r="AA244" s="94" t="s">
        <v>22</v>
      </c>
      <c r="AB244"/>
    </row>
    <row r="245" spans="1:60" s="6" customFormat="1" ht="25" x14ac:dyDescent="0.35">
      <c r="A245" s="93">
        <v>5792</v>
      </c>
      <c r="B245" s="94">
        <v>2017</v>
      </c>
      <c r="C245" s="94" t="s">
        <v>35</v>
      </c>
      <c r="D245" s="94" t="s">
        <v>36</v>
      </c>
      <c r="E245" s="94" t="s">
        <v>26</v>
      </c>
      <c r="F245" s="94" t="s">
        <v>25</v>
      </c>
      <c r="G245" s="94">
        <v>1</v>
      </c>
      <c r="H245" s="93">
        <v>16561</v>
      </c>
      <c r="I245" s="94" t="s">
        <v>219</v>
      </c>
      <c r="J245" s="93">
        <v>20</v>
      </c>
      <c r="K245" s="93"/>
      <c r="L245" s="93">
        <v>34</v>
      </c>
      <c r="M245" s="93"/>
      <c r="N245" s="93"/>
      <c r="O245" s="93"/>
      <c r="P245" s="59"/>
      <c r="Q245" s="59"/>
      <c r="R245" s="59"/>
      <c r="S245" s="59"/>
      <c r="T245" s="95">
        <v>2</v>
      </c>
      <c r="U245" s="93"/>
      <c r="V245" s="93"/>
      <c r="W245" s="83">
        <f t="shared" ca="1" si="9"/>
        <v>8</v>
      </c>
      <c r="X245" s="64" t="str">
        <f t="shared" ca="1" si="10"/>
        <v>1</v>
      </c>
      <c r="Y245" s="82" t="str">
        <f t="shared" ca="1" si="11"/>
        <v>1</v>
      </c>
      <c r="Z245" s="94"/>
      <c r="AA245" s="94" t="s">
        <v>61</v>
      </c>
      <c r="AB245"/>
    </row>
    <row r="246" spans="1:60" s="6" customFormat="1" ht="25" x14ac:dyDescent="0.35">
      <c r="A246" s="93">
        <v>5792</v>
      </c>
      <c r="B246" s="94">
        <v>2017</v>
      </c>
      <c r="C246" s="94" t="s">
        <v>35</v>
      </c>
      <c r="D246" s="94" t="s">
        <v>150</v>
      </c>
      <c r="E246" s="94" t="s">
        <v>30</v>
      </c>
      <c r="F246" s="94" t="s">
        <v>82</v>
      </c>
      <c r="G246" s="94">
        <v>1</v>
      </c>
      <c r="H246" s="93">
        <v>16561</v>
      </c>
      <c r="I246" s="94" t="s">
        <v>219</v>
      </c>
      <c r="J246" s="93"/>
      <c r="K246" s="93"/>
      <c r="L246" s="93">
        <v>26</v>
      </c>
      <c r="M246" s="93"/>
      <c r="N246" s="93"/>
      <c r="O246" s="93"/>
      <c r="P246" s="59"/>
      <c r="Q246" s="59"/>
      <c r="R246" s="59"/>
      <c r="S246" s="59"/>
      <c r="T246" s="95">
        <v>16</v>
      </c>
      <c r="U246" s="93"/>
      <c r="V246" s="93"/>
      <c r="W246" s="83">
        <f t="shared" ca="1" si="9"/>
        <v>8</v>
      </c>
      <c r="X246" s="64" t="str">
        <f t="shared" ca="1" si="10"/>
        <v>1</v>
      </c>
      <c r="Y246" s="82" t="str">
        <f t="shared" ca="1" si="11"/>
        <v>1</v>
      </c>
      <c r="Z246" s="94"/>
      <c r="AA246" s="94" t="s">
        <v>61</v>
      </c>
      <c r="AB246"/>
    </row>
    <row r="247" spans="1:60" s="6" customFormat="1" ht="25" x14ac:dyDescent="0.35">
      <c r="A247" s="93">
        <v>6368</v>
      </c>
      <c r="B247" s="94">
        <v>2018</v>
      </c>
      <c r="C247" s="94" t="s">
        <v>35</v>
      </c>
      <c r="D247" s="94" t="s">
        <v>70</v>
      </c>
      <c r="E247" s="94" t="s">
        <v>28</v>
      </c>
      <c r="F247" s="94" t="s">
        <v>23</v>
      </c>
      <c r="G247" s="94">
        <v>1</v>
      </c>
      <c r="H247" s="93">
        <v>17043</v>
      </c>
      <c r="I247" s="94" t="s">
        <v>202</v>
      </c>
      <c r="J247" s="93">
        <v>18</v>
      </c>
      <c r="K247" s="93"/>
      <c r="L247" s="93">
        <v>108</v>
      </c>
      <c r="M247" s="93">
        <v>1</v>
      </c>
      <c r="N247" s="93">
        <v>1</v>
      </c>
      <c r="O247" s="93"/>
      <c r="P247" s="59"/>
      <c r="Q247" s="59"/>
      <c r="R247" s="59"/>
      <c r="S247" s="59"/>
      <c r="T247" s="95"/>
      <c r="U247" s="93"/>
      <c r="V247" s="93"/>
      <c r="W247" s="83">
        <f t="shared" ca="1" si="9"/>
        <v>39</v>
      </c>
      <c r="X247" s="64" t="str">
        <f t="shared" ca="1" si="10"/>
        <v>2</v>
      </c>
      <c r="Y247" s="82" t="str">
        <f t="shared" ca="1" si="11"/>
        <v>3</v>
      </c>
      <c r="Z247" s="94"/>
      <c r="AA247" s="94" t="s">
        <v>22</v>
      </c>
      <c r="AB247"/>
    </row>
    <row r="248" spans="1:60" s="6" customFormat="1" ht="25" x14ac:dyDescent="0.35">
      <c r="A248" s="93">
        <v>6368</v>
      </c>
      <c r="B248" s="94">
        <v>2018</v>
      </c>
      <c r="C248" s="94" t="s">
        <v>35</v>
      </c>
      <c r="D248" s="94" t="s">
        <v>115</v>
      </c>
      <c r="E248" s="94" t="s">
        <v>20</v>
      </c>
      <c r="F248" s="94" t="s">
        <v>82</v>
      </c>
      <c r="G248" s="94">
        <v>1</v>
      </c>
      <c r="H248" s="93">
        <v>17043</v>
      </c>
      <c r="I248" s="94" t="s">
        <v>204</v>
      </c>
      <c r="J248" s="93"/>
      <c r="K248" s="93"/>
      <c r="L248" s="93">
        <v>162</v>
      </c>
      <c r="M248" s="93">
        <v>1</v>
      </c>
      <c r="N248" s="93"/>
      <c r="O248" s="93"/>
      <c r="P248" s="59"/>
      <c r="Q248" s="59"/>
      <c r="R248" s="59"/>
      <c r="S248" s="59"/>
      <c r="T248" s="95"/>
      <c r="U248" s="93"/>
      <c r="V248" s="93"/>
      <c r="W248" s="83">
        <f t="shared" ca="1" si="9"/>
        <v>39</v>
      </c>
      <c r="X248" s="64" t="str">
        <f t="shared" ca="1" si="10"/>
        <v>2</v>
      </c>
      <c r="Y248" s="82" t="str">
        <f t="shared" ca="1" si="11"/>
        <v>3</v>
      </c>
      <c r="Z248" s="94"/>
      <c r="AA248" s="94" t="s">
        <v>22</v>
      </c>
      <c r="AB248"/>
    </row>
    <row r="249" spans="1:60" s="6" customFormat="1" ht="25" x14ac:dyDescent="0.35">
      <c r="A249" s="93">
        <v>6368</v>
      </c>
      <c r="B249" s="94">
        <v>2018</v>
      </c>
      <c r="C249" s="94" t="s">
        <v>35</v>
      </c>
      <c r="D249" s="94" t="s">
        <v>309</v>
      </c>
      <c r="E249" s="94" t="s">
        <v>20</v>
      </c>
      <c r="F249" s="94" t="s">
        <v>310</v>
      </c>
      <c r="G249" s="94">
        <v>1</v>
      </c>
      <c r="H249" s="93">
        <v>17043</v>
      </c>
      <c r="I249" s="94" t="s">
        <v>205</v>
      </c>
      <c r="J249" s="93"/>
      <c r="K249" s="93"/>
      <c r="L249" s="93">
        <v>108</v>
      </c>
      <c r="M249" s="93">
        <v>1</v>
      </c>
      <c r="N249" s="93"/>
      <c r="O249" s="93"/>
      <c r="P249" s="59"/>
      <c r="Q249" s="59"/>
      <c r="R249" s="59"/>
      <c r="S249" s="59"/>
      <c r="T249" s="95"/>
      <c r="U249" s="93"/>
      <c r="V249" s="93"/>
      <c r="W249" s="83">
        <f t="shared" ca="1" si="9"/>
        <v>39</v>
      </c>
      <c r="X249" s="64" t="str">
        <f t="shared" ca="1" si="10"/>
        <v>2</v>
      </c>
      <c r="Y249" s="82" t="str">
        <f t="shared" ca="1" si="11"/>
        <v>3</v>
      </c>
      <c r="Z249" s="94"/>
      <c r="AA249" s="94" t="s">
        <v>22</v>
      </c>
      <c r="AB249"/>
    </row>
    <row r="250" spans="1:60" s="6" customFormat="1" ht="25" x14ac:dyDescent="0.35">
      <c r="A250" s="93">
        <v>6368</v>
      </c>
      <c r="B250" s="94">
        <v>2018</v>
      </c>
      <c r="C250" s="94" t="s">
        <v>35</v>
      </c>
      <c r="D250" s="94" t="s">
        <v>116</v>
      </c>
      <c r="E250" s="94" t="s">
        <v>28</v>
      </c>
      <c r="F250" s="94" t="s">
        <v>56</v>
      </c>
      <c r="G250" s="94">
        <v>1</v>
      </c>
      <c r="H250" s="93">
        <v>17043</v>
      </c>
      <c r="I250" s="94" t="s">
        <v>203</v>
      </c>
      <c r="J250" s="93">
        <v>36</v>
      </c>
      <c r="K250" s="93"/>
      <c r="L250" s="93"/>
      <c r="M250" s="93">
        <v>1</v>
      </c>
      <c r="N250" s="93">
        <v>1</v>
      </c>
      <c r="O250" s="93"/>
      <c r="P250" s="59"/>
      <c r="Q250" s="59"/>
      <c r="R250" s="59"/>
      <c r="S250" s="59"/>
      <c r="T250" s="95"/>
      <c r="U250" s="93"/>
      <c r="V250" s="93"/>
      <c r="W250" s="83">
        <f t="shared" ca="1" si="9"/>
        <v>39</v>
      </c>
      <c r="X250" s="64" t="str">
        <f t="shared" ca="1" si="10"/>
        <v>2</v>
      </c>
      <c r="Y250" s="82" t="str">
        <f t="shared" ca="1" si="11"/>
        <v>3</v>
      </c>
      <c r="Z250" s="94"/>
      <c r="AA250" s="94" t="s">
        <v>22</v>
      </c>
      <c r="AB250"/>
    </row>
    <row r="251" spans="1:60" s="6" customFormat="1" ht="25" x14ac:dyDescent="0.35">
      <c r="A251" s="93">
        <v>6368</v>
      </c>
      <c r="B251" s="94">
        <v>2018</v>
      </c>
      <c r="C251" s="94" t="s">
        <v>35</v>
      </c>
      <c r="D251" s="94" t="s">
        <v>116</v>
      </c>
      <c r="E251" s="94" t="s">
        <v>28</v>
      </c>
      <c r="F251" s="94" t="s">
        <v>56</v>
      </c>
      <c r="G251" s="94">
        <v>1</v>
      </c>
      <c r="H251" s="93">
        <v>17043</v>
      </c>
      <c r="I251" s="94" t="s">
        <v>204</v>
      </c>
      <c r="J251" s="93"/>
      <c r="K251" s="93"/>
      <c r="L251" s="93"/>
      <c r="M251" s="93">
        <v>1</v>
      </c>
      <c r="N251" s="93">
        <v>1</v>
      </c>
      <c r="O251" s="93"/>
      <c r="P251" s="59"/>
      <c r="Q251" s="59"/>
      <c r="R251" s="59"/>
      <c r="S251" s="59"/>
      <c r="T251" s="95"/>
      <c r="U251" s="93"/>
      <c r="V251" s="93"/>
      <c r="W251" s="83">
        <f t="shared" ca="1" si="9"/>
        <v>39</v>
      </c>
      <c r="X251" s="64" t="str">
        <f t="shared" ca="1" si="10"/>
        <v>2</v>
      </c>
      <c r="Y251" s="82" t="str">
        <f t="shared" ca="1" si="11"/>
        <v>3</v>
      </c>
      <c r="Z251" s="94"/>
      <c r="AA251" s="94" t="s">
        <v>61</v>
      </c>
      <c r="AB251"/>
      <c r="BF251"/>
      <c r="BG251"/>
      <c r="BH251"/>
    </row>
    <row r="252" spans="1:60" s="6" customFormat="1" ht="25" x14ac:dyDescent="0.35">
      <c r="A252" s="93">
        <v>6368</v>
      </c>
      <c r="B252" s="94">
        <v>2018</v>
      </c>
      <c r="C252" s="94" t="s">
        <v>35</v>
      </c>
      <c r="D252" s="94" t="s">
        <v>116</v>
      </c>
      <c r="E252" s="94" t="s">
        <v>28</v>
      </c>
      <c r="F252" s="94" t="s">
        <v>56</v>
      </c>
      <c r="G252" s="94">
        <v>1</v>
      </c>
      <c r="H252" s="93">
        <v>17043</v>
      </c>
      <c r="I252" s="94" t="s">
        <v>182</v>
      </c>
      <c r="J252" s="93">
        <v>12</v>
      </c>
      <c r="K252" s="93"/>
      <c r="L252" s="93"/>
      <c r="M252" s="93">
        <v>1</v>
      </c>
      <c r="N252" s="93"/>
      <c r="O252" s="93"/>
      <c r="P252" s="59">
        <v>1</v>
      </c>
      <c r="Q252" s="59">
        <v>39</v>
      </c>
      <c r="R252" s="59"/>
      <c r="S252" s="59"/>
      <c r="T252" s="95"/>
      <c r="U252" s="93"/>
      <c r="V252" s="93"/>
      <c r="W252" s="83">
        <f t="shared" ca="1" si="9"/>
        <v>39</v>
      </c>
      <c r="X252" s="64" t="str">
        <f t="shared" ca="1" si="10"/>
        <v>2</v>
      </c>
      <c r="Y252" s="82" t="str">
        <f t="shared" ca="1" si="11"/>
        <v>3</v>
      </c>
      <c r="Z252" s="94"/>
      <c r="AA252" s="94" t="s">
        <v>22</v>
      </c>
      <c r="AB252"/>
      <c r="BF252"/>
      <c r="BG252"/>
      <c r="BH252"/>
    </row>
    <row r="253" spans="1:60" s="6" customFormat="1" ht="25" x14ac:dyDescent="0.35">
      <c r="A253" s="93">
        <v>6368</v>
      </c>
      <c r="B253" s="94">
        <v>2018</v>
      </c>
      <c r="C253" s="94" t="s">
        <v>35</v>
      </c>
      <c r="D253" s="94" t="s">
        <v>116</v>
      </c>
      <c r="E253" s="94" t="s">
        <v>28</v>
      </c>
      <c r="F253" s="94" t="s">
        <v>56</v>
      </c>
      <c r="G253" s="94">
        <v>1</v>
      </c>
      <c r="H253" s="93">
        <v>17043</v>
      </c>
      <c r="I253" s="94" t="s">
        <v>205</v>
      </c>
      <c r="J253" s="93">
        <v>18</v>
      </c>
      <c r="K253" s="93"/>
      <c r="L253" s="93"/>
      <c r="M253" s="93"/>
      <c r="N253" s="93">
        <v>1</v>
      </c>
      <c r="O253" s="93"/>
      <c r="P253" s="59"/>
      <c r="Q253" s="59"/>
      <c r="R253" s="59"/>
      <c r="S253" s="59"/>
      <c r="T253" s="95"/>
      <c r="U253" s="93"/>
      <c r="V253" s="93"/>
      <c r="W253" s="83">
        <f t="shared" ca="1" si="9"/>
        <v>39</v>
      </c>
      <c r="X253" s="64" t="str">
        <f t="shared" ca="1" si="10"/>
        <v>2</v>
      </c>
      <c r="Y253" s="82" t="str">
        <f t="shared" ca="1" si="11"/>
        <v>3</v>
      </c>
      <c r="Z253" s="94"/>
      <c r="AA253" s="94" t="s">
        <v>22</v>
      </c>
      <c r="AB253"/>
      <c r="BF253"/>
      <c r="BG253"/>
      <c r="BH253"/>
    </row>
    <row r="254" spans="1:60" s="6" customFormat="1" ht="25" x14ac:dyDescent="0.35">
      <c r="A254" s="93">
        <v>6368</v>
      </c>
      <c r="B254" s="94">
        <v>2018</v>
      </c>
      <c r="C254" s="94" t="s">
        <v>35</v>
      </c>
      <c r="D254" s="94" t="s">
        <v>36</v>
      </c>
      <c r="E254" s="94" t="s">
        <v>26</v>
      </c>
      <c r="F254" s="94" t="s">
        <v>25</v>
      </c>
      <c r="G254" s="94">
        <v>1</v>
      </c>
      <c r="H254" s="93">
        <v>17043</v>
      </c>
      <c r="I254" s="94" t="s">
        <v>203</v>
      </c>
      <c r="J254" s="93"/>
      <c r="K254" s="93"/>
      <c r="L254" s="93">
        <v>36</v>
      </c>
      <c r="M254" s="93"/>
      <c r="N254" s="93"/>
      <c r="O254" s="93"/>
      <c r="P254" s="59"/>
      <c r="Q254" s="59"/>
      <c r="R254" s="59"/>
      <c r="S254" s="59"/>
      <c r="T254" s="95"/>
      <c r="U254" s="93"/>
      <c r="V254" s="93"/>
      <c r="W254" s="83">
        <f t="shared" ca="1" si="9"/>
        <v>39</v>
      </c>
      <c r="X254" s="64" t="str">
        <f t="shared" ca="1" si="10"/>
        <v>2</v>
      </c>
      <c r="Y254" s="82" t="str">
        <f t="shared" ca="1" si="11"/>
        <v>3</v>
      </c>
      <c r="Z254" s="94"/>
      <c r="AA254" s="94" t="s">
        <v>22</v>
      </c>
      <c r="AB254"/>
      <c r="BF254"/>
      <c r="BG254"/>
      <c r="BH254"/>
    </row>
    <row r="255" spans="1:60" s="6" customFormat="1" ht="25" x14ac:dyDescent="0.35">
      <c r="A255" s="93">
        <v>6368</v>
      </c>
      <c r="B255" s="94">
        <v>2018</v>
      </c>
      <c r="C255" s="94" t="s">
        <v>35</v>
      </c>
      <c r="D255" s="94" t="s">
        <v>36</v>
      </c>
      <c r="E255" s="94" t="s">
        <v>26</v>
      </c>
      <c r="F255" s="94" t="s">
        <v>25</v>
      </c>
      <c r="G255" s="94">
        <v>1</v>
      </c>
      <c r="H255" s="93">
        <v>17043</v>
      </c>
      <c r="I255" s="94" t="s">
        <v>203</v>
      </c>
      <c r="J255" s="93"/>
      <c r="K255" s="93"/>
      <c r="L255" s="93">
        <v>36</v>
      </c>
      <c r="M255" s="93">
        <v>1</v>
      </c>
      <c r="N255" s="93">
        <v>1</v>
      </c>
      <c r="O255" s="93"/>
      <c r="P255" s="59"/>
      <c r="Q255" s="59"/>
      <c r="R255" s="59"/>
      <c r="S255" s="59"/>
      <c r="T255" s="95"/>
      <c r="U255" s="93"/>
      <c r="V255" s="93"/>
      <c r="W255" s="83">
        <f t="shared" ca="1" si="9"/>
        <v>39</v>
      </c>
      <c r="X255" s="64" t="str">
        <f t="shared" ca="1" si="10"/>
        <v>2</v>
      </c>
      <c r="Y255" s="82" t="str">
        <f t="shared" ca="1" si="11"/>
        <v>3</v>
      </c>
      <c r="Z255" s="94"/>
      <c r="AA255" s="94" t="s">
        <v>61</v>
      </c>
      <c r="AB255"/>
      <c r="BF255"/>
      <c r="BG255"/>
      <c r="BH255"/>
    </row>
    <row r="256" spans="1:60" s="6" customFormat="1" ht="25" x14ac:dyDescent="0.35">
      <c r="A256" s="93">
        <v>6368</v>
      </c>
      <c r="B256" s="94">
        <v>2018</v>
      </c>
      <c r="C256" s="94" t="s">
        <v>35</v>
      </c>
      <c r="D256" s="94" t="s">
        <v>36</v>
      </c>
      <c r="E256" s="94" t="s">
        <v>26</v>
      </c>
      <c r="F256" s="94" t="s">
        <v>25</v>
      </c>
      <c r="G256" s="94">
        <v>1</v>
      </c>
      <c r="H256" s="93">
        <v>17043</v>
      </c>
      <c r="I256" s="94" t="s">
        <v>182</v>
      </c>
      <c r="J256" s="93"/>
      <c r="K256" s="93"/>
      <c r="L256" s="93">
        <v>72</v>
      </c>
      <c r="M256" s="93"/>
      <c r="N256" s="93"/>
      <c r="O256" s="93"/>
      <c r="P256" s="59">
        <v>1</v>
      </c>
      <c r="Q256" s="59">
        <v>39</v>
      </c>
      <c r="R256" s="59"/>
      <c r="S256" s="59"/>
      <c r="T256" s="95"/>
      <c r="U256" s="93"/>
      <c r="V256" s="93"/>
      <c r="W256" s="83">
        <f t="shared" ca="1" si="9"/>
        <v>39</v>
      </c>
      <c r="X256" s="64" t="str">
        <f t="shared" ca="1" si="10"/>
        <v>2</v>
      </c>
      <c r="Y256" s="82" t="str">
        <f t="shared" ca="1" si="11"/>
        <v>3</v>
      </c>
      <c r="Z256" s="94"/>
      <c r="AA256" s="94" t="s">
        <v>22</v>
      </c>
      <c r="AB256"/>
      <c r="BF256"/>
      <c r="BG256"/>
      <c r="BH256"/>
    </row>
    <row r="257" spans="1:57" ht="25" x14ac:dyDescent="0.35">
      <c r="A257" s="93">
        <v>6368</v>
      </c>
      <c r="B257" s="94">
        <v>2018</v>
      </c>
      <c r="C257" s="94" t="s">
        <v>35</v>
      </c>
      <c r="D257" s="94" t="s">
        <v>73</v>
      </c>
      <c r="E257" s="94" t="s">
        <v>20</v>
      </c>
      <c r="F257" s="94" t="s">
        <v>21</v>
      </c>
      <c r="G257" s="94">
        <v>1</v>
      </c>
      <c r="H257" s="93">
        <v>17043</v>
      </c>
      <c r="I257" s="94" t="s">
        <v>206</v>
      </c>
      <c r="J257" s="93">
        <v>44</v>
      </c>
      <c r="K257" s="93">
        <v>128</v>
      </c>
      <c r="L257" s="93"/>
      <c r="M257" s="93">
        <v>1</v>
      </c>
      <c r="N257" s="93"/>
      <c r="O257" s="93">
        <v>1</v>
      </c>
      <c r="P257" s="59"/>
      <c r="Q257" s="59"/>
      <c r="R257" s="59"/>
      <c r="S257" s="59"/>
      <c r="T257" s="95"/>
      <c r="U257" s="93"/>
      <c r="V257" s="93"/>
      <c r="W257" s="83">
        <f t="shared" ca="1" si="9"/>
        <v>39</v>
      </c>
      <c r="X257" s="64" t="str">
        <f t="shared" ca="1" si="10"/>
        <v>2</v>
      </c>
      <c r="Y257" s="82" t="str">
        <f t="shared" ca="1" si="11"/>
        <v>3</v>
      </c>
      <c r="Z257" s="94"/>
      <c r="AA257" s="94" t="s">
        <v>22</v>
      </c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</row>
    <row r="258" spans="1:57" ht="25" x14ac:dyDescent="0.35">
      <c r="A258" s="93">
        <v>6368</v>
      </c>
      <c r="B258" s="94">
        <v>2018</v>
      </c>
      <c r="C258" s="94" t="s">
        <v>35</v>
      </c>
      <c r="D258" s="94" t="s">
        <v>73</v>
      </c>
      <c r="E258" s="94" t="s">
        <v>20</v>
      </c>
      <c r="F258" s="94" t="s">
        <v>21</v>
      </c>
      <c r="G258" s="94">
        <v>1</v>
      </c>
      <c r="H258" s="93">
        <v>17043</v>
      </c>
      <c r="I258" s="94" t="s">
        <v>185</v>
      </c>
      <c r="J258" s="93"/>
      <c r="K258" s="93"/>
      <c r="L258" s="93">
        <v>108</v>
      </c>
      <c r="M258" s="93">
        <v>1</v>
      </c>
      <c r="N258" s="93"/>
      <c r="O258" s="93"/>
      <c r="P258" s="59">
        <v>1</v>
      </c>
      <c r="Q258" s="59"/>
      <c r="R258" s="59"/>
      <c r="S258" s="59"/>
      <c r="T258" s="95"/>
      <c r="U258" s="93"/>
      <c r="V258" s="93"/>
      <c r="W258" s="83">
        <f t="shared" ca="1" si="9"/>
        <v>39</v>
      </c>
      <c r="X258" s="64" t="str">
        <f t="shared" ca="1" si="10"/>
        <v>2</v>
      </c>
      <c r="Y258" s="82" t="str">
        <f t="shared" ca="1" si="11"/>
        <v>3</v>
      </c>
      <c r="Z258" s="94"/>
      <c r="AA258" s="94" t="s">
        <v>61</v>
      </c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</row>
    <row r="259" spans="1:57" ht="25" x14ac:dyDescent="0.35">
      <c r="A259" s="93">
        <v>6368</v>
      </c>
      <c r="B259" s="94">
        <v>2018</v>
      </c>
      <c r="C259" s="94" t="s">
        <v>35</v>
      </c>
      <c r="D259" s="94" t="s">
        <v>312</v>
      </c>
      <c r="E259" s="94" t="s">
        <v>63</v>
      </c>
      <c r="F259" s="94" t="s">
        <v>374</v>
      </c>
      <c r="G259" s="94">
        <v>1</v>
      </c>
      <c r="H259" s="93">
        <v>17043</v>
      </c>
      <c r="I259" s="94" t="s">
        <v>183</v>
      </c>
      <c r="J259" s="93">
        <v>18</v>
      </c>
      <c r="K259" s="93">
        <v>36</v>
      </c>
      <c r="L259" s="93"/>
      <c r="M259" s="93">
        <v>1</v>
      </c>
      <c r="N259" s="93">
        <v>1</v>
      </c>
      <c r="O259" s="93"/>
      <c r="P259" s="59"/>
      <c r="Q259" s="59"/>
      <c r="R259" s="59"/>
      <c r="S259" s="59"/>
      <c r="T259" s="95"/>
      <c r="U259" s="93"/>
      <c r="V259" s="93"/>
      <c r="W259" s="83">
        <f t="shared" ca="1" si="9"/>
        <v>39</v>
      </c>
      <c r="X259" s="64" t="str">
        <f t="shared" ca="1" si="10"/>
        <v>2</v>
      </c>
      <c r="Y259" s="82" t="str">
        <f t="shared" ca="1" si="11"/>
        <v>3</v>
      </c>
      <c r="Z259" s="94"/>
      <c r="AA259" s="94" t="s">
        <v>22</v>
      </c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</row>
    <row r="260" spans="1:57" ht="25" x14ac:dyDescent="0.35">
      <c r="A260" s="93">
        <v>6368</v>
      </c>
      <c r="B260" s="94">
        <v>2018</v>
      </c>
      <c r="C260" s="94" t="s">
        <v>35</v>
      </c>
      <c r="D260" s="94" t="s">
        <v>150</v>
      </c>
      <c r="E260" s="94" t="s">
        <v>30</v>
      </c>
      <c r="F260" s="94" t="s">
        <v>25</v>
      </c>
      <c r="G260" s="94">
        <v>1</v>
      </c>
      <c r="H260" s="93">
        <v>17043</v>
      </c>
      <c r="I260" s="94" t="s">
        <v>203</v>
      </c>
      <c r="J260" s="93"/>
      <c r="K260" s="93"/>
      <c r="L260" s="93">
        <v>36</v>
      </c>
      <c r="M260" s="93"/>
      <c r="N260" s="93"/>
      <c r="O260" s="93"/>
      <c r="P260" s="59"/>
      <c r="Q260" s="59"/>
      <c r="R260" s="59"/>
      <c r="S260" s="59"/>
      <c r="T260" s="95"/>
      <c r="U260" s="93"/>
      <c r="V260" s="93"/>
      <c r="W260" s="83">
        <f t="shared" ref="W260:W323" ca="1" si="12">IFERROR(OFFSET($AC$11,0,MATCH(H260,$AD$4:$BE$4,0)),IFERROR(OFFSET($AC$12,0,MATCH(H260,$AD$5:$BE$5,0)),MOD(H260,20)+7))</f>
        <v>39</v>
      </c>
      <c r="X260" s="64" t="str">
        <f t="shared" ref="X260:X323" ca="1" si="13">IF(W260&lt;=30, "1", "2")</f>
        <v>2</v>
      </c>
      <c r="Y260" s="82" t="str">
        <f t="shared" ref="Y260:Y323" ca="1" si="14" xml:space="preserve"> IF(W260&lt;=15, "1", IF(W260&lt;=30, "2", IF(W260&lt;=45, "3", IF(W260&lt;=60, "4"))))</f>
        <v>3</v>
      </c>
      <c r="Z260" s="94"/>
      <c r="AA260" s="94" t="s">
        <v>22</v>
      </c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</row>
    <row r="261" spans="1:57" ht="25" x14ac:dyDescent="0.35">
      <c r="A261" s="85">
        <v>6372</v>
      </c>
      <c r="B261" s="86">
        <v>2018</v>
      </c>
      <c r="C261" s="87" t="s">
        <v>35</v>
      </c>
      <c r="D261" s="87" t="s">
        <v>36</v>
      </c>
      <c r="E261" s="87" t="s">
        <v>26</v>
      </c>
      <c r="F261" s="87" t="s">
        <v>25</v>
      </c>
      <c r="G261" s="88">
        <v>1</v>
      </c>
      <c r="H261" s="93">
        <v>17044</v>
      </c>
      <c r="I261" s="87" t="s">
        <v>194</v>
      </c>
      <c r="J261" s="85">
        <v>9</v>
      </c>
      <c r="K261" s="85">
        <v>32</v>
      </c>
      <c r="L261" s="85"/>
      <c r="M261" s="85"/>
      <c r="N261" s="85"/>
      <c r="O261" s="85"/>
      <c r="P261" s="90"/>
      <c r="Q261" s="90"/>
      <c r="R261" s="90"/>
      <c r="S261" s="90"/>
      <c r="T261" s="89">
        <v>9</v>
      </c>
      <c r="U261" s="85"/>
      <c r="V261" s="85"/>
      <c r="W261" s="83">
        <f t="shared" ca="1" si="12"/>
        <v>11</v>
      </c>
      <c r="X261" s="64" t="str">
        <f t="shared" ca="1" si="13"/>
        <v>1</v>
      </c>
      <c r="Y261" s="82" t="str">
        <f t="shared" ca="1" si="14"/>
        <v>1</v>
      </c>
      <c r="Z261" s="87"/>
      <c r="AA261" s="87" t="s">
        <v>22</v>
      </c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</row>
    <row r="262" spans="1:57" ht="25" x14ac:dyDescent="0.35">
      <c r="A262" s="85">
        <v>6373</v>
      </c>
      <c r="B262" s="86">
        <v>2018</v>
      </c>
      <c r="C262" s="87" t="s">
        <v>35</v>
      </c>
      <c r="D262" s="87" t="s">
        <v>36</v>
      </c>
      <c r="E262" s="87" t="s">
        <v>26</v>
      </c>
      <c r="F262" s="87" t="s">
        <v>25</v>
      </c>
      <c r="G262" s="88">
        <v>1</v>
      </c>
      <c r="H262" s="93">
        <v>17045</v>
      </c>
      <c r="I262" s="87" t="s">
        <v>219</v>
      </c>
      <c r="J262" s="85">
        <v>20</v>
      </c>
      <c r="K262" s="85"/>
      <c r="L262" s="85">
        <v>34</v>
      </c>
      <c r="M262" s="85"/>
      <c r="N262" s="85"/>
      <c r="O262" s="85"/>
      <c r="P262" s="90"/>
      <c r="Q262" s="90"/>
      <c r="R262" s="90"/>
      <c r="S262" s="90"/>
      <c r="T262" s="89">
        <v>10</v>
      </c>
      <c r="U262" s="85"/>
      <c r="V262" s="85"/>
      <c r="W262" s="83">
        <f t="shared" ca="1" si="12"/>
        <v>12</v>
      </c>
      <c r="X262" s="64" t="str">
        <f t="shared" ca="1" si="13"/>
        <v>1</v>
      </c>
      <c r="Y262" s="82" t="str">
        <f t="shared" ca="1" si="14"/>
        <v>1</v>
      </c>
      <c r="Z262" s="87"/>
      <c r="AA262" s="87" t="s">
        <v>22</v>
      </c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</row>
    <row r="263" spans="1:57" ht="25" x14ac:dyDescent="0.35">
      <c r="A263" s="85">
        <v>6373</v>
      </c>
      <c r="B263" s="86">
        <v>2018</v>
      </c>
      <c r="C263" s="87" t="s">
        <v>35</v>
      </c>
      <c r="D263" s="87" t="s">
        <v>36</v>
      </c>
      <c r="E263" s="87" t="s">
        <v>26</v>
      </c>
      <c r="F263" s="87" t="s">
        <v>25</v>
      </c>
      <c r="G263" s="88">
        <v>1</v>
      </c>
      <c r="H263" s="93">
        <v>17045</v>
      </c>
      <c r="I263" s="87" t="s">
        <v>218</v>
      </c>
      <c r="J263" s="85">
        <v>16</v>
      </c>
      <c r="K263" s="85"/>
      <c r="L263" s="85"/>
      <c r="M263" s="85"/>
      <c r="N263" s="85"/>
      <c r="O263" s="85"/>
      <c r="P263" s="90"/>
      <c r="Q263" s="90"/>
      <c r="R263" s="90"/>
      <c r="S263" s="90"/>
      <c r="T263" s="89">
        <v>13</v>
      </c>
      <c r="U263" s="85"/>
      <c r="V263" s="85"/>
      <c r="W263" s="83">
        <f t="shared" ca="1" si="12"/>
        <v>12</v>
      </c>
      <c r="X263" s="64" t="str">
        <f t="shared" ca="1" si="13"/>
        <v>1</v>
      </c>
      <c r="Y263" s="82" t="str">
        <f t="shared" ca="1" si="14"/>
        <v>1</v>
      </c>
      <c r="Z263" s="87"/>
      <c r="AA263" s="87" t="s">
        <v>61</v>
      </c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</row>
    <row r="264" spans="1:57" ht="25" x14ac:dyDescent="0.35">
      <c r="A264" s="85">
        <v>6373</v>
      </c>
      <c r="B264" s="86">
        <v>2018</v>
      </c>
      <c r="C264" s="87" t="s">
        <v>35</v>
      </c>
      <c r="D264" s="87" t="s">
        <v>150</v>
      </c>
      <c r="E264" s="87" t="s">
        <v>30</v>
      </c>
      <c r="F264" s="87" t="s">
        <v>25</v>
      </c>
      <c r="G264" s="88">
        <v>1</v>
      </c>
      <c r="H264" s="93">
        <v>17045</v>
      </c>
      <c r="I264" s="87" t="s">
        <v>219</v>
      </c>
      <c r="J264" s="85"/>
      <c r="K264" s="85"/>
      <c r="L264" s="85">
        <v>68</v>
      </c>
      <c r="M264" s="85"/>
      <c r="N264" s="85"/>
      <c r="O264" s="85"/>
      <c r="P264" s="90"/>
      <c r="Q264" s="90"/>
      <c r="R264" s="90"/>
      <c r="S264" s="90"/>
      <c r="T264" s="89">
        <v>8</v>
      </c>
      <c r="U264" s="85"/>
      <c r="V264" s="85"/>
      <c r="W264" s="83">
        <f t="shared" ca="1" si="12"/>
        <v>12</v>
      </c>
      <c r="X264" s="64" t="str">
        <f t="shared" ca="1" si="13"/>
        <v>1</v>
      </c>
      <c r="Y264" s="82" t="str">
        <f t="shared" ca="1" si="14"/>
        <v>1</v>
      </c>
      <c r="Z264" s="87"/>
      <c r="AA264" s="87" t="s">
        <v>22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</row>
    <row r="265" spans="1:57" ht="25" x14ac:dyDescent="0.35">
      <c r="A265" s="85">
        <v>6380</v>
      </c>
      <c r="B265" s="86">
        <v>2018</v>
      </c>
      <c r="C265" s="87" t="s">
        <v>35</v>
      </c>
      <c r="D265" s="87" t="s">
        <v>115</v>
      </c>
      <c r="E265" s="87" t="s">
        <v>20</v>
      </c>
      <c r="F265" s="87" t="s">
        <v>82</v>
      </c>
      <c r="G265" s="88">
        <v>0.25</v>
      </c>
      <c r="H265" s="93">
        <v>17577</v>
      </c>
      <c r="I265" s="87" t="s">
        <v>194</v>
      </c>
      <c r="J265" s="85"/>
      <c r="K265" s="85">
        <v>32</v>
      </c>
      <c r="L265" s="85"/>
      <c r="M265" s="85"/>
      <c r="N265" s="85"/>
      <c r="O265" s="85"/>
      <c r="P265" s="90"/>
      <c r="Q265" s="90"/>
      <c r="R265" s="90"/>
      <c r="S265" s="90"/>
      <c r="T265" s="89">
        <v>14</v>
      </c>
      <c r="U265" s="85"/>
      <c r="V265" s="85"/>
      <c r="W265" s="83">
        <f t="shared" ca="1" si="12"/>
        <v>24</v>
      </c>
      <c r="X265" s="64" t="str">
        <f t="shared" ca="1" si="13"/>
        <v>1</v>
      </c>
      <c r="Y265" s="82" t="str">
        <f t="shared" ca="1" si="14"/>
        <v>2</v>
      </c>
      <c r="Z265" s="87"/>
      <c r="AA265" s="87" t="s">
        <v>22</v>
      </c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</row>
    <row r="266" spans="1:57" ht="25" x14ac:dyDescent="0.35">
      <c r="A266" s="85">
        <v>6380</v>
      </c>
      <c r="B266" s="86">
        <v>2018</v>
      </c>
      <c r="C266" s="87" t="s">
        <v>35</v>
      </c>
      <c r="D266" s="87" t="s">
        <v>36</v>
      </c>
      <c r="E266" s="87" t="s">
        <v>26</v>
      </c>
      <c r="F266" s="87" t="s">
        <v>25</v>
      </c>
      <c r="G266" s="88">
        <v>1</v>
      </c>
      <c r="H266" s="93">
        <v>17577</v>
      </c>
      <c r="I266" s="87" t="s">
        <v>194</v>
      </c>
      <c r="J266" s="85">
        <v>9</v>
      </c>
      <c r="K266" s="85"/>
      <c r="L266" s="85"/>
      <c r="M266" s="85"/>
      <c r="N266" s="85"/>
      <c r="O266" s="85"/>
      <c r="P266" s="90"/>
      <c r="Q266" s="90"/>
      <c r="R266" s="90"/>
      <c r="S266" s="90"/>
      <c r="T266" s="89"/>
      <c r="U266" s="85"/>
      <c r="V266" s="85"/>
      <c r="W266" s="83">
        <f t="shared" ca="1" si="12"/>
        <v>24</v>
      </c>
      <c r="X266" s="64" t="str">
        <f t="shared" ca="1" si="13"/>
        <v>1</v>
      </c>
      <c r="Y266" s="82" t="str">
        <f t="shared" ca="1" si="14"/>
        <v>2</v>
      </c>
      <c r="Z266" s="87"/>
      <c r="AA266" s="87" t="s">
        <v>22</v>
      </c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</row>
    <row r="267" spans="1:57" ht="25" x14ac:dyDescent="0.35">
      <c r="A267" s="85">
        <v>6380</v>
      </c>
      <c r="B267" s="86">
        <v>2018</v>
      </c>
      <c r="C267" s="87" t="s">
        <v>35</v>
      </c>
      <c r="D267" s="87" t="s">
        <v>169</v>
      </c>
      <c r="E267" s="87" t="s">
        <v>20</v>
      </c>
      <c r="F267" s="87" t="s">
        <v>82</v>
      </c>
      <c r="G267" s="88">
        <v>0.25</v>
      </c>
      <c r="H267" s="93">
        <v>17577</v>
      </c>
      <c r="I267" s="87" t="s">
        <v>194</v>
      </c>
      <c r="J267" s="85"/>
      <c r="K267" s="85">
        <v>32</v>
      </c>
      <c r="L267" s="85"/>
      <c r="M267" s="85"/>
      <c r="N267" s="85"/>
      <c r="O267" s="85"/>
      <c r="P267" s="90"/>
      <c r="Q267" s="90"/>
      <c r="R267" s="90"/>
      <c r="S267" s="90"/>
      <c r="T267" s="89"/>
      <c r="U267" s="85"/>
      <c r="V267" s="85"/>
      <c r="W267" s="83">
        <f t="shared" ca="1" si="12"/>
        <v>24</v>
      </c>
      <c r="X267" s="64" t="str">
        <f t="shared" ca="1" si="13"/>
        <v>1</v>
      </c>
      <c r="Y267" s="82" t="str">
        <f t="shared" ca="1" si="14"/>
        <v>2</v>
      </c>
      <c r="Z267" s="87"/>
      <c r="AA267" s="87" t="s">
        <v>22</v>
      </c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</row>
    <row r="268" spans="1:57" ht="25" x14ac:dyDescent="0.35">
      <c r="A268" s="85">
        <v>6380</v>
      </c>
      <c r="B268" s="86">
        <v>2018</v>
      </c>
      <c r="C268" s="87" t="s">
        <v>35</v>
      </c>
      <c r="D268" s="87" t="s">
        <v>150</v>
      </c>
      <c r="E268" s="87" t="s">
        <v>30</v>
      </c>
      <c r="F268" s="87" t="s">
        <v>25</v>
      </c>
      <c r="G268" s="88">
        <v>1</v>
      </c>
      <c r="H268" s="93">
        <v>17577</v>
      </c>
      <c r="I268" s="87" t="s">
        <v>194</v>
      </c>
      <c r="J268" s="85"/>
      <c r="K268" s="85"/>
      <c r="L268" s="85"/>
      <c r="M268" s="85"/>
      <c r="N268" s="85"/>
      <c r="O268" s="85"/>
      <c r="P268" s="90"/>
      <c r="Q268" s="90"/>
      <c r="R268" s="90"/>
      <c r="S268" s="90"/>
      <c r="T268" s="89"/>
      <c r="U268" s="85"/>
      <c r="V268" s="85"/>
      <c r="W268" s="83">
        <f t="shared" ca="1" si="12"/>
        <v>24</v>
      </c>
      <c r="X268" s="64" t="str">
        <f t="shared" ca="1" si="13"/>
        <v>1</v>
      </c>
      <c r="Y268" s="82" t="str">
        <f t="shared" ca="1" si="14"/>
        <v>2</v>
      </c>
      <c r="Z268" s="87"/>
      <c r="AA268" s="87" t="s">
        <v>22</v>
      </c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</row>
    <row r="269" spans="1:57" ht="37.5" x14ac:dyDescent="0.35">
      <c r="A269" s="85">
        <v>4848</v>
      </c>
      <c r="B269" s="86">
        <v>2019</v>
      </c>
      <c r="C269" s="87" t="s">
        <v>35</v>
      </c>
      <c r="D269" s="87" t="s">
        <v>70</v>
      </c>
      <c r="E269" s="87" t="s">
        <v>28</v>
      </c>
      <c r="F269" s="87" t="s">
        <v>23</v>
      </c>
      <c r="G269" s="88">
        <v>1</v>
      </c>
      <c r="H269" s="93" t="s">
        <v>323</v>
      </c>
      <c r="I269" s="87" t="s">
        <v>160</v>
      </c>
      <c r="J269" s="85">
        <v>8</v>
      </c>
      <c r="K269" s="85">
        <v>14</v>
      </c>
      <c r="L269" s="85">
        <v>28</v>
      </c>
      <c r="M269" s="85">
        <v>1</v>
      </c>
      <c r="N269" s="85"/>
      <c r="O269" s="85"/>
      <c r="P269" s="90"/>
      <c r="Q269" s="90"/>
      <c r="R269" s="90"/>
      <c r="S269" s="90"/>
      <c r="T269" s="89"/>
      <c r="U269" s="85"/>
      <c r="V269" s="85"/>
      <c r="W269" s="83">
        <f t="shared" ca="1" si="12"/>
        <v>27</v>
      </c>
      <c r="X269" s="64" t="str">
        <f t="shared" ca="1" si="13"/>
        <v>1</v>
      </c>
      <c r="Y269" s="82" t="str">
        <f t="shared" ca="1" si="14"/>
        <v>2</v>
      </c>
      <c r="Z269" s="87"/>
      <c r="AA269" s="87" t="s">
        <v>22</v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</row>
    <row r="270" spans="1:57" ht="37.5" x14ac:dyDescent="0.35">
      <c r="A270" s="85">
        <v>4848</v>
      </c>
      <c r="B270" s="86">
        <v>2019</v>
      </c>
      <c r="C270" s="87" t="s">
        <v>35</v>
      </c>
      <c r="D270" s="87" t="s">
        <v>72</v>
      </c>
      <c r="E270" s="87" t="s">
        <v>26</v>
      </c>
      <c r="F270" s="87" t="s">
        <v>25</v>
      </c>
      <c r="G270" s="88">
        <v>1</v>
      </c>
      <c r="H270" s="93" t="s">
        <v>323</v>
      </c>
      <c r="I270" s="87" t="s">
        <v>161</v>
      </c>
      <c r="J270" s="85">
        <v>12</v>
      </c>
      <c r="K270" s="85"/>
      <c r="L270" s="85"/>
      <c r="M270" s="85"/>
      <c r="N270" s="85"/>
      <c r="O270" s="85"/>
      <c r="P270" s="90"/>
      <c r="Q270" s="90"/>
      <c r="R270" s="90"/>
      <c r="S270" s="90"/>
      <c r="T270" s="89"/>
      <c r="U270" s="85"/>
      <c r="V270" s="85"/>
      <c r="W270" s="83">
        <f t="shared" ca="1" si="12"/>
        <v>27</v>
      </c>
      <c r="X270" s="64" t="str">
        <f t="shared" ca="1" si="13"/>
        <v>1</v>
      </c>
      <c r="Y270" s="82" t="str">
        <f t="shared" ca="1" si="14"/>
        <v>2</v>
      </c>
      <c r="Z270" s="87"/>
      <c r="AA270" s="87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</row>
    <row r="271" spans="1:57" ht="50" x14ac:dyDescent="0.35">
      <c r="A271" s="85">
        <v>4848</v>
      </c>
      <c r="B271" s="86">
        <v>2019</v>
      </c>
      <c r="C271" s="87" t="s">
        <v>35</v>
      </c>
      <c r="D271" s="87" t="s">
        <v>72</v>
      </c>
      <c r="E271" s="87" t="s">
        <v>26</v>
      </c>
      <c r="F271" s="87" t="s">
        <v>25</v>
      </c>
      <c r="G271" s="88">
        <v>1</v>
      </c>
      <c r="H271" s="93" t="s">
        <v>323</v>
      </c>
      <c r="I271" s="87" t="s">
        <v>162</v>
      </c>
      <c r="J271" s="85">
        <v>12</v>
      </c>
      <c r="K271" s="85"/>
      <c r="L271" s="85">
        <v>48</v>
      </c>
      <c r="M271" s="85">
        <v>1</v>
      </c>
      <c r="N271" s="85"/>
      <c r="O271" s="85"/>
      <c r="P271" s="90"/>
      <c r="Q271" s="90"/>
      <c r="R271" s="90"/>
      <c r="S271" s="90"/>
      <c r="T271" s="89"/>
      <c r="U271" s="85"/>
      <c r="V271" s="85"/>
      <c r="W271" s="83">
        <f t="shared" ca="1" si="12"/>
        <v>27</v>
      </c>
      <c r="X271" s="64" t="str">
        <f t="shared" ca="1" si="13"/>
        <v>1</v>
      </c>
      <c r="Y271" s="82" t="str">
        <f t="shared" ca="1" si="14"/>
        <v>2</v>
      </c>
      <c r="Z271" s="87"/>
      <c r="AA271" s="87" t="s">
        <v>61</v>
      </c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</row>
    <row r="272" spans="1:57" ht="37.5" x14ac:dyDescent="0.35">
      <c r="A272" s="85">
        <v>4848</v>
      </c>
      <c r="B272" s="86">
        <v>2019</v>
      </c>
      <c r="C272" s="87" t="s">
        <v>35</v>
      </c>
      <c r="D272" s="87" t="s">
        <v>72</v>
      </c>
      <c r="E272" s="87" t="s">
        <v>26</v>
      </c>
      <c r="F272" s="87" t="s">
        <v>25</v>
      </c>
      <c r="G272" s="88">
        <v>1</v>
      </c>
      <c r="H272" s="93" t="s">
        <v>323</v>
      </c>
      <c r="I272" s="87" t="s">
        <v>159</v>
      </c>
      <c r="J272" s="85"/>
      <c r="K272" s="85"/>
      <c r="L272" s="85"/>
      <c r="M272" s="85">
        <v>1</v>
      </c>
      <c r="N272" s="85">
        <v>1</v>
      </c>
      <c r="O272" s="85"/>
      <c r="P272" s="90"/>
      <c r="Q272" s="90"/>
      <c r="R272" s="90"/>
      <c r="S272" s="90"/>
      <c r="T272" s="89"/>
      <c r="U272" s="85"/>
      <c r="V272" s="85"/>
      <c r="W272" s="83">
        <f t="shared" ca="1" si="12"/>
        <v>27</v>
      </c>
      <c r="X272" s="64" t="str">
        <f t="shared" ca="1" si="13"/>
        <v>1</v>
      </c>
      <c r="Y272" s="82" t="str">
        <f t="shared" ca="1" si="14"/>
        <v>2</v>
      </c>
      <c r="Z272" s="87"/>
      <c r="AA272" s="87" t="s">
        <v>22</v>
      </c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</row>
    <row r="273" spans="1:57" ht="37.5" x14ac:dyDescent="0.35">
      <c r="A273" s="85">
        <v>4848</v>
      </c>
      <c r="B273" s="86">
        <v>2019</v>
      </c>
      <c r="C273" s="87" t="s">
        <v>35</v>
      </c>
      <c r="D273" s="87" t="s">
        <v>312</v>
      </c>
      <c r="E273" s="87" t="s">
        <v>63</v>
      </c>
      <c r="F273" s="87" t="s">
        <v>374</v>
      </c>
      <c r="G273" s="88">
        <v>1</v>
      </c>
      <c r="H273" s="93" t="s">
        <v>323</v>
      </c>
      <c r="I273" s="87" t="s">
        <v>163</v>
      </c>
      <c r="J273" s="85">
        <v>9</v>
      </c>
      <c r="K273" s="85"/>
      <c r="L273" s="85">
        <v>54</v>
      </c>
      <c r="M273" s="85">
        <v>1</v>
      </c>
      <c r="N273" s="85"/>
      <c r="O273" s="85"/>
      <c r="P273" s="90"/>
      <c r="Q273" s="90"/>
      <c r="R273" s="90"/>
      <c r="S273" s="90"/>
      <c r="T273" s="89"/>
      <c r="U273" s="85"/>
      <c r="V273" s="85"/>
      <c r="W273" s="83">
        <f t="shared" ca="1" si="12"/>
        <v>27</v>
      </c>
      <c r="X273" s="64" t="str">
        <f t="shared" ca="1" si="13"/>
        <v>1</v>
      </c>
      <c r="Y273" s="82" t="str">
        <f t="shared" ca="1" si="14"/>
        <v>2</v>
      </c>
      <c r="Z273" s="87"/>
      <c r="AA273" s="87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</row>
    <row r="274" spans="1:57" ht="37.5" x14ac:dyDescent="0.35">
      <c r="A274" s="85">
        <v>4848</v>
      </c>
      <c r="B274" s="86">
        <v>2019</v>
      </c>
      <c r="C274" s="87" t="s">
        <v>35</v>
      </c>
      <c r="D274" s="87" t="s">
        <v>72</v>
      </c>
      <c r="E274" s="87" t="s">
        <v>26</v>
      </c>
      <c r="F274" s="87" t="s">
        <v>25</v>
      </c>
      <c r="G274" s="88">
        <v>1</v>
      </c>
      <c r="H274" s="93" t="s">
        <v>323</v>
      </c>
      <c r="I274" s="87" t="s">
        <v>357</v>
      </c>
      <c r="J274" s="85"/>
      <c r="K274" s="85"/>
      <c r="L274" s="85"/>
      <c r="M274" s="85"/>
      <c r="N274" s="85"/>
      <c r="O274" s="85"/>
      <c r="P274" s="90"/>
      <c r="Q274" s="90"/>
      <c r="R274" s="90"/>
      <c r="S274" s="90"/>
      <c r="T274" s="89"/>
      <c r="U274" s="85"/>
      <c r="V274" s="85">
        <v>60</v>
      </c>
      <c r="W274" s="83">
        <f t="shared" ca="1" si="12"/>
        <v>27</v>
      </c>
      <c r="X274" s="64" t="str">
        <f t="shared" ca="1" si="13"/>
        <v>1</v>
      </c>
      <c r="Y274" s="82" t="str">
        <f t="shared" ca="1" si="14"/>
        <v>2</v>
      </c>
      <c r="Z274" s="87"/>
      <c r="AA274" s="87" t="s">
        <v>22</v>
      </c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</row>
    <row r="275" spans="1:57" ht="37.5" x14ac:dyDescent="0.35">
      <c r="A275" s="85">
        <v>4848</v>
      </c>
      <c r="B275" s="86">
        <v>2019</v>
      </c>
      <c r="C275" s="87" t="s">
        <v>35</v>
      </c>
      <c r="D275" s="87" t="s">
        <v>72</v>
      </c>
      <c r="E275" s="87" t="s">
        <v>26</v>
      </c>
      <c r="F275" s="87" t="s">
        <v>25</v>
      </c>
      <c r="G275" s="88">
        <v>1</v>
      </c>
      <c r="H275" s="93" t="s">
        <v>323</v>
      </c>
      <c r="I275" s="87" t="s">
        <v>164</v>
      </c>
      <c r="J275" s="85"/>
      <c r="K275" s="85"/>
      <c r="L275" s="85"/>
      <c r="M275" s="85"/>
      <c r="N275" s="85"/>
      <c r="O275" s="85"/>
      <c r="P275" s="90"/>
      <c r="Q275" s="90"/>
      <c r="R275" s="90"/>
      <c r="S275" s="90"/>
      <c r="T275" s="89"/>
      <c r="U275" s="85">
        <v>6</v>
      </c>
      <c r="V275" s="85"/>
      <c r="W275" s="83">
        <f t="shared" ca="1" si="12"/>
        <v>27</v>
      </c>
      <c r="X275" s="64" t="str">
        <f t="shared" ca="1" si="13"/>
        <v>1</v>
      </c>
      <c r="Y275" s="82" t="str">
        <f t="shared" ca="1" si="14"/>
        <v>2</v>
      </c>
      <c r="Z275" s="87"/>
      <c r="AA275" s="87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</row>
    <row r="276" spans="1:57" ht="37.5" x14ac:dyDescent="0.35">
      <c r="A276" s="85">
        <v>4848</v>
      </c>
      <c r="B276" s="86">
        <v>2019</v>
      </c>
      <c r="C276" s="87" t="s">
        <v>35</v>
      </c>
      <c r="D276" s="87" t="s">
        <v>72</v>
      </c>
      <c r="E276" s="87" t="s">
        <v>26</v>
      </c>
      <c r="F276" s="87" t="s">
        <v>25</v>
      </c>
      <c r="G276" s="88">
        <v>1</v>
      </c>
      <c r="H276" s="93" t="s">
        <v>323</v>
      </c>
      <c r="I276" s="87" t="s">
        <v>165</v>
      </c>
      <c r="J276" s="85"/>
      <c r="K276" s="85"/>
      <c r="L276" s="85"/>
      <c r="M276" s="85"/>
      <c r="N276" s="85"/>
      <c r="O276" s="85"/>
      <c r="P276" s="90"/>
      <c r="Q276" s="90"/>
      <c r="R276" s="90"/>
      <c r="S276" s="90"/>
      <c r="T276" s="89"/>
      <c r="U276" s="85">
        <v>6</v>
      </c>
      <c r="V276" s="85"/>
      <c r="W276" s="83">
        <f t="shared" ca="1" si="12"/>
        <v>27</v>
      </c>
      <c r="X276" s="64" t="str">
        <f t="shared" ca="1" si="13"/>
        <v>1</v>
      </c>
      <c r="Y276" s="82" t="str">
        <f t="shared" ca="1" si="14"/>
        <v>2</v>
      </c>
      <c r="Z276" s="87"/>
      <c r="AA276" s="87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</row>
    <row r="277" spans="1:57" ht="37.5" x14ac:dyDescent="0.35">
      <c r="A277" s="85">
        <v>4848</v>
      </c>
      <c r="B277" s="86">
        <v>2019</v>
      </c>
      <c r="C277" s="87" t="s">
        <v>35</v>
      </c>
      <c r="D277" s="87" t="s">
        <v>190</v>
      </c>
      <c r="E277" s="87" t="s">
        <v>26</v>
      </c>
      <c r="F277" s="87" t="s">
        <v>25</v>
      </c>
      <c r="G277" s="88">
        <v>1</v>
      </c>
      <c r="H277" s="93" t="s">
        <v>323</v>
      </c>
      <c r="I277" s="87" t="s">
        <v>271</v>
      </c>
      <c r="J277" s="85">
        <v>18</v>
      </c>
      <c r="K277" s="85"/>
      <c r="L277" s="85"/>
      <c r="M277" s="85">
        <v>1</v>
      </c>
      <c r="N277" s="85"/>
      <c r="O277" s="85"/>
      <c r="P277" s="90">
        <v>1</v>
      </c>
      <c r="Q277" s="90"/>
      <c r="R277" s="90"/>
      <c r="S277" s="90"/>
      <c r="T277" s="89"/>
      <c r="U277" s="85"/>
      <c r="V277" s="85"/>
      <c r="W277" s="83">
        <f t="shared" ca="1" si="12"/>
        <v>27</v>
      </c>
      <c r="X277" s="64" t="str">
        <f t="shared" ca="1" si="13"/>
        <v>1</v>
      </c>
      <c r="Y277" s="82" t="str">
        <f t="shared" ca="1" si="14"/>
        <v>2</v>
      </c>
      <c r="Z277" s="87"/>
      <c r="AA277" s="8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</row>
    <row r="278" spans="1:57" ht="37.5" x14ac:dyDescent="0.35">
      <c r="A278" s="85">
        <v>4848</v>
      </c>
      <c r="B278" s="86">
        <v>2019</v>
      </c>
      <c r="C278" s="87" t="s">
        <v>35</v>
      </c>
      <c r="D278" s="87" t="s">
        <v>116</v>
      </c>
      <c r="E278" s="87" t="s">
        <v>28</v>
      </c>
      <c r="F278" s="87" t="s">
        <v>56</v>
      </c>
      <c r="G278" s="88">
        <v>1</v>
      </c>
      <c r="H278" s="93" t="s">
        <v>323</v>
      </c>
      <c r="I278" s="87" t="s">
        <v>170</v>
      </c>
      <c r="J278" s="85">
        <v>9</v>
      </c>
      <c r="K278" s="85"/>
      <c r="L278" s="85"/>
      <c r="M278" s="85"/>
      <c r="N278" s="85"/>
      <c r="O278" s="85"/>
      <c r="P278" s="90"/>
      <c r="Q278" s="90"/>
      <c r="R278" s="90"/>
      <c r="S278" s="90"/>
      <c r="T278" s="89"/>
      <c r="U278" s="85"/>
      <c r="V278" s="85"/>
      <c r="W278" s="83">
        <f t="shared" ca="1" si="12"/>
        <v>27</v>
      </c>
      <c r="X278" s="64" t="str">
        <f t="shared" ca="1" si="13"/>
        <v>1</v>
      </c>
      <c r="Y278" s="82" t="str">
        <f t="shared" ca="1" si="14"/>
        <v>2</v>
      </c>
      <c r="Z278" s="87"/>
      <c r="AA278" s="87" t="s">
        <v>22</v>
      </c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</row>
    <row r="279" spans="1:57" ht="37.5" x14ac:dyDescent="0.35">
      <c r="A279" s="85">
        <v>4848</v>
      </c>
      <c r="B279" s="86">
        <v>2019</v>
      </c>
      <c r="C279" s="87" t="s">
        <v>35</v>
      </c>
      <c r="D279" s="87" t="s">
        <v>116</v>
      </c>
      <c r="E279" s="87" t="s">
        <v>28</v>
      </c>
      <c r="F279" s="87" t="s">
        <v>56</v>
      </c>
      <c r="G279" s="88">
        <v>1</v>
      </c>
      <c r="H279" s="93" t="s">
        <v>323</v>
      </c>
      <c r="I279" s="87" t="s">
        <v>357</v>
      </c>
      <c r="J279" s="85"/>
      <c r="K279" s="85"/>
      <c r="L279" s="85"/>
      <c r="M279" s="85"/>
      <c r="N279" s="85"/>
      <c r="O279" s="85"/>
      <c r="P279" s="90"/>
      <c r="Q279" s="90"/>
      <c r="R279" s="90"/>
      <c r="S279" s="90"/>
      <c r="T279" s="89"/>
      <c r="U279" s="85"/>
      <c r="V279" s="85"/>
      <c r="W279" s="83">
        <f t="shared" ca="1" si="12"/>
        <v>27</v>
      </c>
      <c r="X279" s="64" t="str">
        <f t="shared" ca="1" si="13"/>
        <v>1</v>
      </c>
      <c r="Y279" s="82" t="str">
        <f t="shared" ca="1" si="14"/>
        <v>2</v>
      </c>
      <c r="Z279" s="87"/>
      <c r="AA279" s="87" t="s">
        <v>22</v>
      </c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</row>
    <row r="280" spans="1:57" ht="37.5" x14ac:dyDescent="0.35">
      <c r="A280" s="85">
        <v>4848</v>
      </c>
      <c r="B280" s="86">
        <v>2019</v>
      </c>
      <c r="C280" s="87" t="s">
        <v>35</v>
      </c>
      <c r="D280" s="87" t="s">
        <v>116</v>
      </c>
      <c r="E280" s="87" t="s">
        <v>28</v>
      </c>
      <c r="F280" s="87" t="s">
        <v>56</v>
      </c>
      <c r="G280" s="88">
        <v>1</v>
      </c>
      <c r="H280" s="93" t="s">
        <v>323</v>
      </c>
      <c r="I280" s="87" t="s">
        <v>358</v>
      </c>
      <c r="J280" s="85"/>
      <c r="K280" s="85"/>
      <c r="L280" s="85"/>
      <c r="M280" s="85"/>
      <c r="N280" s="85"/>
      <c r="O280" s="85"/>
      <c r="P280" s="90"/>
      <c r="Q280" s="90"/>
      <c r="R280" s="90">
        <v>7</v>
      </c>
      <c r="S280" s="90">
        <v>10</v>
      </c>
      <c r="T280" s="89"/>
      <c r="U280" s="85"/>
      <c r="V280" s="85"/>
      <c r="W280" s="83">
        <f t="shared" ca="1" si="12"/>
        <v>27</v>
      </c>
      <c r="X280" s="64" t="str">
        <f t="shared" ca="1" si="13"/>
        <v>1</v>
      </c>
      <c r="Y280" s="82" t="str">
        <f t="shared" ca="1" si="14"/>
        <v>2</v>
      </c>
      <c r="Z280" s="87"/>
      <c r="AA280" s="87" t="s">
        <v>22</v>
      </c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</row>
    <row r="281" spans="1:57" ht="37.5" x14ac:dyDescent="0.35">
      <c r="A281" s="85">
        <v>4848</v>
      </c>
      <c r="B281" s="86">
        <v>2019</v>
      </c>
      <c r="C281" s="87" t="s">
        <v>35</v>
      </c>
      <c r="D281" s="87" t="s">
        <v>116</v>
      </c>
      <c r="E281" s="87" t="s">
        <v>28</v>
      </c>
      <c r="F281" s="87" t="s">
        <v>56</v>
      </c>
      <c r="G281" s="88">
        <v>1</v>
      </c>
      <c r="H281" s="93" t="s">
        <v>323</v>
      </c>
      <c r="I281" s="87" t="s">
        <v>165</v>
      </c>
      <c r="J281" s="85"/>
      <c r="K281" s="85"/>
      <c r="L281" s="85"/>
      <c r="M281" s="85"/>
      <c r="N281" s="85"/>
      <c r="O281" s="85"/>
      <c r="P281" s="90"/>
      <c r="Q281" s="90"/>
      <c r="R281" s="90"/>
      <c r="S281" s="90"/>
      <c r="T281" s="89"/>
      <c r="U281" s="85"/>
      <c r="V281" s="85"/>
      <c r="W281" s="83">
        <f t="shared" ca="1" si="12"/>
        <v>27</v>
      </c>
      <c r="X281" s="64" t="str">
        <f t="shared" ca="1" si="13"/>
        <v>1</v>
      </c>
      <c r="Y281" s="82" t="str">
        <f t="shared" ca="1" si="14"/>
        <v>2</v>
      </c>
      <c r="Z281" s="87"/>
      <c r="AA281" s="87" t="s">
        <v>22</v>
      </c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</row>
    <row r="282" spans="1:57" ht="37.5" x14ac:dyDescent="0.35">
      <c r="A282" s="85">
        <v>4848</v>
      </c>
      <c r="B282" s="86">
        <v>2019</v>
      </c>
      <c r="C282" s="87" t="s">
        <v>35</v>
      </c>
      <c r="D282" s="87" t="s">
        <v>116</v>
      </c>
      <c r="E282" s="87" t="s">
        <v>28</v>
      </c>
      <c r="F282" s="87" t="s">
        <v>56</v>
      </c>
      <c r="G282" s="88">
        <v>1</v>
      </c>
      <c r="H282" s="93" t="s">
        <v>323</v>
      </c>
      <c r="I282" s="87" t="s">
        <v>164</v>
      </c>
      <c r="J282" s="85"/>
      <c r="K282" s="85"/>
      <c r="L282" s="85"/>
      <c r="M282" s="85"/>
      <c r="N282" s="85"/>
      <c r="O282" s="85"/>
      <c r="P282" s="90"/>
      <c r="Q282" s="90"/>
      <c r="R282" s="90"/>
      <c r="S282" s="90"/>
      <c r="T282" s="89"/>
      <c r="U282" s="85"/>
      <c r="V282" s="85"/>
      <c r="W282" s="83">
        <f t="shared" ca="1" si="12"/>
        <v>27</v>
      </c>
      <c r="X282" s="64" t="str">
        <f t="shared" ca="1" si="13"/>
        <v>1</v>
      </c>
      <c r="Y282" s="82" t="str">
        <f t="shared" ca="1" si="14"/>
        <v>2</v>
      </c>
      <c r="Z282" s="87"/>
      <c r="AA282" s="87" t="s">
        <v>22</v>
      </c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</row>
    <row r="283" spans="1:57" ht="37.5" x14ac:dyDescent="0.35">
      <c r="A283" s="85">
        <v>4848</v>
      </c>
      <c r="B283" s="86">
        <v>2019</v>
      </c>
      <c r="C283" s="87" t="s">
        <v>35</v>
      </c>
      <c r="D283" s="87" t="s">
        <v>311</v>
      </c>
      <c r="E283" s="87" t="s">
        <v>63</v>
      </c>
      <c r="F283" s="87" t="s">
        <v>374</v>
      </c>
      <c r="G283" s="88">
        <v>1</v>
      </c>
      <c r="H283" s="93" t="s">
        <v>323</v>
      </c>
      <c r="I283" s="87" t="s">
        <v>164</v>
      </c>
      <c r="J283" s="85"/>
      <c r="K283" s="85"/>
      <c r="L283" s="85"/>
      <c r="M283" s="85"/>
      <c r="N283" s="85"/>
      <c r="O283" s="85"/>
      <c r="P283" s="90"/>
      <c r="Q283" s="90"/>
      <c r="R283" s="90"/>
      <c r="S283" s="90"/>
      <c r="T283" s="89"/>
      <c r="U283" s="85">
        <v>14</v>
      </c>
      <c r="V283" s="85"/>
      <c r="W283" s="83">
        <f t="shared" ca="1" si="12"/>
        <v>27</v>
      </c>
      <c r="X283" s="64" t="str">
        <f t="shared" ca="1" si="13"/>
        <v>1</v>
      </c>
      <c r="Y283" s="82" t="str">
        <f t="shared" ca="1" si="14"/>
        <v>2</v>
      </c>
      <c r="Z283" s="87"/>
      <c r="AA283" s="87" t="s">
        <v>22</v>
      </c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</row>
    <row r="284" spans="1:57" ht="37.5" x14ac:dyDescent="0.35">
      <c r="A284" s="85">
        <v>4848</v>
      </c>
      <c r="B284" s="86">
        <v>2019</v>
      </c>
      <c r="C284" s="87" t="s">
        <v>35</v>
      </c>
      <c r="D284" s="87" t="s">
        <v>311</v>
      </c>
      <c r="E284" s="87" t="s">
        <v>63</v>
      </c>
      <c r="F284" s="87" t="s">
        <v>374</v>
      </c>
      <c r="G284" s="88">
        <v>1</v>
      </c>
      <c r="H284" s="93" t="s">
        <v>323</v>
      </c>
      <c r="I284" s="87" t="s">
        <v>165</v>
      </c>
      <c r="J284" s="85"/>
      <c r="K284" s="85"/>
      <c r="L284" s="85"/>
      <c r="M284" s="85"/>
      <c r="N284" s="85"/>
      <c r="O284" s="85"/>
      <c r="P284" s="90"/>
      <c r="Q284" s="90"/>
      <c r="R284" s="90"/>
      <c r="S284" s="90"/>
      <c r="T284" s="89"/>
      <c r="U284" s="85">
        <v>14</v>
      </c>
      <c r="V284" s="85"/>
      <c r="W284" s="83">
        <f t="shared" ca="1" si="12"/>
        <v>27</v>
      </c>
      <c r="X284" s="64" t="str">
        <f t="shared" ca="1" si="13"/>
        <v>1</v>
      </c>
      <c r="Y284" s="82" t="str">
        <f t="shared" ca="1" si="14"/>
        <v>2</v>
      </c>
      <c r="Z284" s="87"/>
      <c r="AA284" s="87" t="s">
        <v>22</v>
      </c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</row>
    <row r="285" spans="1:57" ht="37.5" x14ac:dyDescent="0.35">
      <c r="A285" s="85">
        <v>4848</v>
      </c>
      <c r="B285" s="86">
        <v>2019</v>
      </c>
      <c r="C285" s="87" t="s">
        <v>35</v>
      </c>
      <c r="D285" s="87" t="s">
        <v>311</v>
      </c>
      <c r="E285" s="87" t="s">
        <v>63</v>
      </c>
      <c r="F285" s="87" t="s">
        <v>374</v>
      </c>
      <c r="G285" s="88">
        <v>1</v>
      </c>
      <c r="H285" s="93" t="s">
        <v>323</v>
      </c>
      <c r="I285" s="87" t="s">
        <v>357</v>
      </c>
      <c r="J285" s="85"/>
      <c r="K285" s="85"/>
      <c r="L285" s="85"/>
      <c r="M285" s="85"/>
      <c r="N285" s="85"/>
      <c r="O285" s="85"/>
      <c r="P285" s="90"/>
      <c r="Q285" s="90"/>
      <c r="R285" s="90"/>
      <c r="S285" s="90"/>
      <c r="T285" s="89"/>
      <c r="U285" s="85"/>
      <c r="V285" s="85">
        <v>140</v>
      </c>
      <c r="W285" s="83">
        <f t="shared" ca="1" si="12"/>
        <v>27</v>
      </c>
      <c r="X285" s="64" t="str">
        <f t="shared" ca="1" si="13"/>
        <v>1</v>
      </c>
      <c r="Y285" s="82" t="str">
        <f t="shared" ca="1" si="14"/>
        <v>2</v>
      </c>
      <c r="Z285" s="87"/>
      <c r="AA285" s="87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</row>
    <row r="286" spans="1:57" ht="37.5" x14ac:dyDescent="0.35">
      <c r="A286" s="85">
        <v>4848</v>
      </c>
      <c r="B286" s="86">
        <v>2019</v>
      </c>
      <c r="C286" s="87" t="s">
        <v>35</v>
      </c>
      <c r="D286" s="87" t="s">
        <v>36</v>
      </c>
      <c r="E286" s="87" t="s">
        <v>26</v>
      </c>
      <c r="F286" s="87" t="s">
        <v>25</v>
      </c>
      <c r="G286" s="88">
        <v>1</v>
      </c>
      <c r="H286" s="93" t="s">
        <v>323</v>
      </c>
      <c r="I286" s="87" t="s">
        <v>358</v>
      </c>
      <c r="J286" s="85"/>
      <c r="K286" s="85"/>
      <c r="L286" s="85"/>
      <c r="M286" s="85"/>
      <c r="N286" s="85"/>
      <c r="O286" s="85"/>
      <c r="P286" s="90"/>
      <c r="Q286" s="90"/>
      <c r="R286" s="90">
        <v>5</v>
      </c>
      <c r="S286" s="90">
        <v>8</v>
      </c>
      <c r="T286" s="89"/>
      <c r="U286" s="85"/>
      <c r="V286" s="85"/>
      <c r="W286" s="83">
        <f t="shared" ca="1" si="12"/>
        <v>27</v>
      </c>
      <c r="X286" s="64" t="str">
        <f t="shared" ca="1" si="13"/>
        <v>1</v>
      </c>
      <c r="Y286" s="82" t="str">
        <f t="shared" ca="1" si="14"/>
        <v>2</v>
      </c>
      <c r="Z286" s="87"/>
      <c r="AA286" s="87" t="s">
        <v>22</v>
      </c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</row>
    <row r="287" spans="1:57" ht="37.5" x14ac:dyDescent="0.35">
      <c r="A287" s="85">
        <v>4848</v>
      </c>
      <c r="B287" s="86">
        <v>2019</v>
      </c>
      <c r="C287" s="87" t="s">
        <v>35</v>
      </c>
      <c r="D287" s="87" t="s">
        <v>130</v>
      </c>
      <c r="E287" s="87" t="s">
        <v>26</v>
      </c>
      <c r="F287" s="87" t="s">
        <v>25</v>
      </c>
      <c r="G287" s="88">
        <v>1</v>
      </c>
      <c r="H287" s="93" t="s">
        <v>323</v>
      </c>
      <c r="I287" s="87" t="s">
        <v>166</v>
      </c>
      <c r="J287" s="85"/>
      <c r="K287" s="85"/>
      <c r="L287" s="85"/>
      <c r="M287" s="85">
        <v>1</v>
      </c>
      <c r="N287" s="85">
        <v>1</v>
      </c>
      <c r="O287" s="85"/>
      <c r="P287" s="90"/>
      <c r="Q287" s="90"/>
      <c r="R287" s="90"/>
      <c r="S287" s="90"/>
      <c r="T287" s="89"/>
      <c r="U287" s="85"/>
      <c r="V287" s="85"/>
      <c r="W287" s="83">
        <f t="shared" ca="1" si="12"/>
        <v>27</v>
      </c>
      <c r="X287" s="64" t="str">
        <f t="shared" ca="1" si="13"/>
        <v>1</v>
      </c>
      <c r="Y287" s="82" t="str">
        <f t="shared" ca="1" si="14"/>
        <v>2</v>
      </c>
      <c r="Z287" s="87"/>
      <c r="AA287" s="87" t="s">
        <v>22</v>
      </c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</row>
    <row r="288" spans="1:57" ht="37.5" x14ac:dyDescent="0.35">
      <c r="A288" s="85">
        <v>4848</v>
      </c>
      <c r="B288" s="86">
        <v>2019</v>
      </c>
      <c r="C288" s="87" t="s">
        <v>35</v>
      </c>
      <c r="D288" s="87" t="s">
        <v>115</v>
      </c>
      <c r="E288" s="87" t="s">
        <v>20</v>
      </c>
      <c r="F288" s="87" t="s">
        <v>374</v>
      </c>
      <c r="G288" s="88">
        <v>1</v>
      </c>
      <c r="H288" s="93" t="s">
        <v>323</v>
      </c>
      <c r="I288" s="87" t="s">
        <v>167</v>
      </c>
      <c r="J288" s="85"/>
      <c r="K288" s="85">
        <v>6</v>
      </c>
      <c r="L288" s="85">
        <v>48</v>
      </c>
      <c r="M288" s="85">
        <v>1</v>
      </c>
      <c r="N288" s="85"/>
      <c r="O288" s="85"/>
      <c r="P288" s="90"/>
      <c r="Q288" s="90"/>
      <c r="R288" s="90"/>
      <c r="S288" s="90"/>
      <c r="T288" s="89"/>
      <c r="U288" s="85"/>
      <c r="V288" s="85"/>
      <c r="W288" s="83">
        <f t="shared" ca="1" si="12"/>
        <v>27</v>
      </c>
      <c r="X288" s="64" t="str">
        <f t="shared" ca="1" si="13"/>
        <v>1</v>
      </c>
      <c r="Y288" s="82" t="str">
        <f t="shared" ca="1" si="14"/>
        <v>2</v>
      </c>
      <c r="Z288" s="87"/>
      <c r="AA288" s="87" t="s">
        <v>22</v>
      </c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</row>
    <row r="289" spans="1:57" ht="37.5" x14ac:dyDescent="0.35">
      <c r="A289" s="85">
        <v>4848</v>
      </c>
      <c r="B289" s="86">
        <v>2019</v>
      </c>
      <c r="C289" s="87" t="s">
        <v>35</v>
      </c>
      <c r="D289" s="87" t="s">
        <v>130</v>
      </c>
      <c r="E289" s="87" t="s">
        <v>26</v>
      </c>
      <c r="F289" s="87" t="s">
        <v>25</v>
      </c>
      <c r="G289" s="88">
        <v>1</v>
      </c>
      <c r="H289" s="93" t="s">
        <v>323</v>
      </c>
      <c r="I289" s="87" t="s">
        <v>167</v>
      </c>
      <c r="J289" s="85">
        <v>6</v>
      </c>
      <c r="K289" s="85"/>
      <c r="L289" s="85"/>
      <c r="M289" s="85"/>
      <c r="N289" s="85"/>
      <c r="O289" s="85"/>
      <c r="P289" s="90"/>
      <c r="Q289" s="90"/>
      <c r="R289" s="90"/>
      <c r="S289" s="90"/>
      <c r="T289" s="89"/>
      <c r="U289" s="85"/>
      <c r="V289" s="85"/>
      <c r="W289" s="83">
        <f t="shared" ca="1" si="12"/>
        <v>27</v>
      </c>
      <c r="X289" s="64" t="str">
        <f t="shared" ca="1" si="13"/>
        <v>1</v>
      </c>
      <c r="Y289" s="82" t="str">
        <f t="shared" ca="1" si="14"/>
        <v>2</v>
      </c>
      <c r="Z289" s="87"/>
      <c r="AA289" s="87" t="s">
        <v>61</v>
      </c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</row>
    <row r="290" spans="1:57" ht="37.5" x14ac:dyDescent="0.35">
      <c r="A290" s="85">
        <v>4848</v>
      </c>
      <c r="B290" s="86">
        <v>2019</v>
      </c>
      <c r="C290" s="87" t="s">
        <v>35</v>
      </c>
      <c r="D290" s="87" t="s">
        <v>380</v>
      </c>
      <c r="E290" s="87" t="s">
        <v>33</v>
      </c>
      <c r="F290" s="87" t="s">
        <v>374</v>
      </c>
      <c r="G290" s="88">
        <v>1</v>
      </c>
      <c r="H290" s="93" t="s">
        <v>323</v>
      </c>
      <c r="I290" s="87" t="s">
        <v>168</v>
      </c>
      <c r="J290" s="85"/>
      <c r="K290" s="85"/>
      <c r="L290" s="85">
        <v>72</v>
      </c>
      <c r="M290" s="85">
        <v>1</v>
      </c>
      <c r="N290" s="85"/>
      <c r="O290" s="85"/>
      <c r="P290" s="90"/>
      <c r="Q290" s="90"/>
      <c r="R290" s="90"/>
      <c r="S290" s="90"/>
      <c r="T290" s="89"/>
      <c r="U290" s="85"/>
      <c r="V290" s="85"/>
      <c r="W290" s="83">
        <f t="shared" ca="1" si="12"/>
        <v>27</v>
      </c>
      <c r="X290" s="64" t="str">
        <f t="shared" ca="1" si="13"/>
        <v>1</v>
      </c>
      <c r="Y290" s="82" t="str">
        <f t="shared" ca="1" si="14"/>
        <v>2</v>
      </c>
      <c r="Z290" s="87"/>
      <c r="AA290" s="87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</row>
    <row r="291" spans="1:57" ht="37.5" x14ac:dyDescent="0.35">
      <c r="A291" s="85">
        <v>4848</v>
      </c>
      <c r="B291" s="86">
        <v>2019</v>
      </c>
      <c r="C291" s="87" t="s">
        <v>35</v>
      </c>
      <c r="D291" s="87" t="s">
        <v>130</v>
      </c>
      <c r="E291" s="87" t="s">
        <v>26</v>
      </c>
      <c r="F291" s="87" t="s">
        <v>25</v>
      </c>
      <c r="G291" s="88">
        <v>1</v>
      </c>
      <c r="H291" s="93" t="s">
        <v>323</v>
      </c>
      <c r="I291" s="87" t="s">
        <v>357</v>
      </c>
      <c r="J291" s="85"/>
      <c r="K291" s="85"/>
      <c r="L291" s="85"/>
      <c r="M291" s="85">
        <v>1</v>
      </c>
      <c r="N291" s="85"/>
      <c r="O291" s="85"/>
      <c r="P291" s="90"/>
      <c r="Q291" s="90"/>
      <c r="R291" s="90"/>
      <c r="S291" s="90"/>
      <c r="T291" s="89"/>
      <c r="U291" s="85"/>
      <c r="V291" s="85">
        <v>60</v>
      </c>
      <c r="W291" s="83">
        <f t="shared" ca="1" si="12"/>
        <v>27</v>
      </c>
      <c r="X291" s="64" t="str">
        <f t="shared" ca="1" si="13"/>
        <v>1</v>
      </c>
      <c r="Y291" s="82" t="str">
        <f t="shared" ca="1" si="14"/>
        <v>2</v>
      </c>
      <c r="Z291" s="87"/>
      <c r="AA291" s="87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</row>
    <row r="292" spans="1:57" ht="37.5" x14ac:dyDescent="0.35">
      <c r="A292" s="85">
        <v>4848</v>
      </c>
      <c r="B292" s="86">
        <v>2019</v>
      </c>
      <c r="C292" s="87" t="s">
        <v>35</v>
      </c>
      <c r="D292" s="87" t="s">
        <v>130</v>
      </c>
      <c r="E292" s="87" t="s">
        <v>26</v>
      </c>
      <c r="F292" s="87" t="s">
        <v>25</v>
      </c>
      <c r="G292" s="88">
        <v>1</v>
      </c>
      <c r="H292" s="93" t="s">
        <v>323</v>
      </c>
      <c r="I292" s="87" t="s">
        <v>164</v>
      </c>
      <c r="J292" s="85"/>
      <c r="K292" s="85"/>
      <c r="L292" s="85"/>
      <c r="M292" s="85"/>
      <c r="N292" s="85"/>
      <c r="O292" s="85"/>
      <c r="P292" s="90"/>
      <c r="Q292" s="90"/>
      <c r="R292" s="90"/>
      <c r="S292" s="90"/>
      <c r="T292" s="89"/>
      <c r="U292" s="85">
        <v>6</v>
      </c>
      <c r="V292" s="85"/>
      <c r="W292" s="83">
        <f t="shared" ca="1" si="12"/>
        <v>27</v>
      </c>
      <c r="X292" s="64" t="str">
        <f t="shared" ca="1" si="13"/>
        <v>1</v>
      </c>
      <c r="Y292" s="82" t="str">
        <f t="shared" ca="1" si="14"/>
        <v>2</v>
      </c>
      <c r="Z292" s="87"/>
      <c r="AA292" s="87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</row>
    <row r="293" spans="1:57" ht="37.5" x14ac:dyDescent="0.35">
      <c r="A293" s="85">
        <v>4848</v>
      </c>
      <c r="B293" s="86">
        <v>2019</v>
      </c>
      <c r="C293" s="87" t="s">
        <v>35</v>
      </c>
      <c r="D293" s="87" t="s">
        <v>130</v>
      </c>
      <c r="E293" s="87" t="s">
        <v>26</v>
      </c>
      <c r="F293" s="87" t="s">
        <v>25</v>
      </c>
      <c r="G293" s="88">
        <v>1</v>
      </c>
      <c r="H293" s="93" t="s">
        <v>323</v>
      </c>
      <c r="I293" s="87" t="s">
        <v>165</v>
      </c>
      <c r="J293" s="85"/>
      <c r="K293" s="85"/>
      <c r="L293" s="85"/>
      <c r="M293" s="85"/>
      <c r="N293" s="85"/>
      <c r="O293" s="85"/>
      <c r="P293" s="90"/>
      <c r="Q293" s="90"/>
      <c r="R293" s="90"/>
      <c r="S293" s="90"/>
      <c r="T293" s="89"/>
      <c r="U293" s="85">
        <v>6</v>
      </c>
      <c r="V293" s="85"/>
      <c r="W293" s="83">
        <f t="shared" ca="1" si="12"/>
        <v>27</v>
      </c>
      <c r="X293" s="64" t="str">
        <f t="shared" ca="1" si="13"/>
        <v>1</v>
      </c>
      <c r="Y293" s="82" t="str">
        <f t="shared" ca="1" si="14"/>
        <v>2</v>
      </c>
      <c r="Z293" s="87"/>
      <c r="AA293" s="87" t="s">
        <v>22</v>
      </c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</row>
    <row r="294" spans="1:57" ht="37.5" x14ac:dyDescent="0.35">
      <c r="A294" s="85">
        <v>4848</v>
      </c>
      <c r="B294" s="86">
        <v>2019</v>
      </c>
      <c r="C294" s="87" t="s">
        <v>35</v>
      </c>
      <c r="D294" s="87" t="s">
        <v>380</v>
      </c>
      <c r="E294" s="87" t="s">
        <v>33</v>
      </c>
      <c r="F294" s="87" t="s">
        <v>374</v>
      </c>
      <c r="G294" s="88"/>
      <c r="H294" s="93" t="s">
        <v>323</v>
      </c>
      <c r="I294" s="87" t="s">
        <v>357</v>
      </c>
      <c r="J294" s="85"/>
      <c r="K294" s="85"/>
      <c r="L294" s="85"/>
      <c r="M294" s="85"/>
      <c r="N294" s="85"/>
      <c r="O294" s="85"/>
      <c r="P294" s="90"/>
      <c r="Q294" s="90"/>
      <c r="R294" s="90"/>
      <c r="S294" s="90"/>
      <c r="T294" s="89"/>
      <c r="U294" s="85"/>
      <c r="V294" s="85">
        <v>80</v>
      </c>
      <c r="W294" s="83">
        <f t="shared" ca="1" si="12"/>
        <v>27</v>
      </c>
      <c r="X294" s="64" t="str">
        <f t="shared" ca="1" si="13"/>
        <v>1</v>
      </c>
      <c r="Y294" s="82" t="str">
        <f t="shared" ca="1" si="14"/>
        <v>2</v>
      </c>
      <c r="Z294" s="87"/>
      <c r="AA294" s="87" t="s">
        <v>22</v>
      </c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</row>
    <row r="295" spans="1:57" ht="37.5" x14ac:dyDescent="0.35">
      <c r="A295" s="85">
        <v>4848</v>
      </c>
      <c r="B295" s="86">
        <v>2019</v>
      </c>
      <c r="C295" s="87" t="s">
        <v>35</v>
      </c>
      <c r="D295" s="87" t="s">
        <v>135</v>
      </c>
      <c r="E295" s="87" t="s">
        <v>20</v>
      </c>
      <c r="F295" s="87" t="s">
        <v>82</v>
      </c>
      <c r="G295" s="88">
        <v>1</v>
      </c>
      <c r="H295" s="93" t="s">
        <v>323</v>
      </c>
      <c r="I295" s="87" t="s">
        <v>357</v>
      </c>
      <c r="J295" s="85"/>
      <c r="K295" s="85"/>
      <c r="L295" s="85"/>
      <c r="M295" s="85"/>
      <c r="N295" s="85"/>
      <c r="O295" s="85"/>
      <c r="P295" s="90"/>
      <c r="Q295" s="90"/>
      <c r="R295" s="90"/>
      <c r="S295" s="90"/>
      <c r="T295" s="89"/>
      <c r="U295" s="85"/>
      <c r="V295" s="85">
        <v>20</v>
      </c>
      <c r="W295" s="83">
        <f t="shared" ca="1" si="12"/>
        <v>27</v>
      </c>
      <c r="X295" s="64" t="str">
        <f t="shared" ca="1" si="13"/>
        <v>1</v>
      </c>
      <c r="Y295" s="82" t="str">
        <f t="shared" ca="1" si="14"/>
        <v>2</v>
      </c>
      <c r="Z295" s="87"/>
      <c r="AA295" s="87" t="s">
        <v>22</v>
      </c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</row>
    <row r="296" spans="1:57" ht="37.5" x14ac:dyDescent="0.35">
      <c r="A296" s="85">
        <v>4848</v>
      </c>
      <c r="B296" s="86">
        <v>2019</v>
      </c>
      <c r="C296" s="87" t="s">
        <v>35</v>
      </c>
      <c r="D296" s="87" t="s">
        <v>135</v>
      </c>
      <c r="E296" s="87" t="s">
        <v>20</v>
      </c>
      <c r="F296" s="87" t="s">
        <v>82</v>
      </c>
      <c r="G296" s="88">
        <v>1</v>
      </c>
      <c r="H296" s="93" t="s">
        <v>323</v>
      </c>
      <c r="I296" s="87" t="s">
        <v>161</v>
      </c>
      <c r="J296" s="85"/>
      <c r="K296" s="85">
        <v>24</v>
      </c>
      <c r="L296" s="85"/>
      <c r="M296" s="85">
        <v>1</v>
      </c>
      <c r="N296" s="85"/>
      <c r="O296" s="85"/>
      <c r="P296" s="90"/>
      <c r="Q296" s="90"/>
      <c r="R296" s="90"/>
      <c r="S296" s="90"/>
      <c r="T296" s="89"/>
      <c r="U296" s="85"/>
      <c r="V296" s="85"/>
      <c r="W296" s="83">
        <f t="shared" ca="1" si="12"/>
        <v>27</v>
      </c>
      <c r="X296" s="64" t="str">
        <f t="shared" ca="1" si="13"/>
        <v>1</v>
      </c>
      <c r="Y296" s="82" t="str">
        <f t="shared" ca="1" si="14"/>
        <v>2</v>
      </c>
      <c r="Z296" s="87"/>
      <c r="AA296" s="87" t="s">
        <v>61</v>
      </c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</row>
    <row r="297" spans="1:57" ht="37.5" x14ac:dyDescent="0.35">
      <c r="A297" s="85">
        <v>4848</v>
      </c>
      <c r="B297" s="86">
        <v>2019</v>
      </c>
      <c r="C297" s="87" t="s">
        <v>35</v>
      </c>
      <c r="D297" s="87" t="s">
        <v>380</v>
      </c>
      <c r="E297" s="87" t="s">
        <v>33</v>
      </c>
      <c r="F297" s="87" t="s">
        <v>374</v>
      </c>
      <c r="G297" s="88"/>
      <c r="H297" s="93" t="s">
        <v>323</v>
      </c>
      <c r="I297" s="87" t="s">
        <v>164</v>
      </c>
      <c r="J297" s="85"/>
      <c r="K297" s="85"/>
      <c r="L297" s="85"/>
      <c r="M297" s="85"/>
      <c r="N297" s="85"/>
      <c r="O297" s="85"/>
      <c r="P297" s="91"/>
      <c r="Q297" s="91"/>
      <c r="R297" s="91"/>
      <c r="S297" s="91"/>
      <c r="T297" s="89"/>
      <c r="U297" s="85">
        <v>8</v>
      </c>
      <c r="V297" s="85"/>
      <c r="W297" s="83">
        <f t="shared" ca="1" si="12"/>
        <v>27</v>
      </c>
      <c r="X297" s="64" t="str">
        <f t="shared" ca="1" si="13"/>
        <v>1</v>
      </c>
      <c r="Y297" s="82" t="str">
        <f t="shared" ca="1" si="14"/>
        <v>2</v>
      </c>
      <c r="Z297" s="87"/>
      <c r="AA297" s="87" t="s">
        <v>22</v>
      </c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</row>
    <row r="298" spans="1:57" ht="37.5" x14ac:dyDescent="0.35">
      <c r="A298" s="85">
        <v>4848</v>
      </c>
      <c r="B298" s="86">
        <v>2019</v>
      </c>
      <c r="C298" s="87" t="s">
        <v>35</v>
      </c>
      <c r="D298" s="87" t="s">
        <v>135</v>
      </c>
      <c r="E298" s="87" t="s">
        <v>20</v>
      </c>
      <c r="F298" s="87" t="s">
        <v>82</v>
      </c>
      <c r="G298" s="88">
        <v>1</v>
      </c>
      <c r="H298" s="93" t="s">
        <v>323</v>
      </c>
      <c r="I298" s="87" t="s">
        <v>164</v>
      </c>
      <c r="J298" s="85"/>
      <c r="K298" s="85"/>
      <c r="L298" s="85"/>
      <c r="M298" s="85"/>
      <c r="N298" s="85"/>
      <c r="O298" s="85"/>
      <c r="P298" s="91"/>
      <c r="Q298" s="91"/>
      <c r="R298" s="91"/>
      <c r="S298" s="91"/>
      <c r="T298" s="89"/>
      <c r="U298" s="85">
        <v>2</v>
      </c>
      <c r="V298" s="85"/>
      <c r="W298" s="83">
        <f t="shared" ca="1" si="12"/>
        <v>27</v>
      </c>
      <c r="X298" s="64" t="str">
        <f t="shared" ca="1" si="13"/>
        <v>1</v>
      </c>
      <c r="Y298" s="82" t="str">
        <f t="shared" ca="1" si="14"/>
        <v>2</v>
      </c>
      <c r="Z298" s="87"/>
      <c r="AA298" s="87" t="s">
        <v>22</v>
      </c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</row>
    <row r="299" spans="1:57" ht="37.5" x14ac:dyDescent="0.35">
      <c r="A299" s="85">
        <v>4848</v>
      </c>
      <c r="B299" s="86">
        <v>2019</v>
      </c>
      <c r="C299" s="87" t="s">
        <v>35</v>
      </c>
      <c r="D299" s="87" t="s">
        <v>380</v>
      </c>
      <c r="E299" s="87" t="s">
        <v>33</v>
      </c>
      <c r="F299" s="87" t="s">
        <v>374</v>
      </c>
      <c r="G299" s="88"/>
      <c r="H299" s="93" t="s">
        <v>323</v>
      </c>
      <c r="I299" s="87" t="s">
        <v>165</v>
      </c>
      <c r="J299" s="85"/>
      <c r="K299" s="85"/>
      <c r="L299" s="85"/>
      <c r="M299" s="85"/>
      <c r="N299" s="85"/>
      <c r="O299" s="85"/>
      <c r="P299" s="91"/>
      <c r="Q299" s="91"/>
      <c r="R299" s="91"/>
      <c r="S299" s="91"/>
      <c r="T299" s="89"/>
      <c r="U299" s="85">
        <v>8</v>
      </c>
      <c r="V299" s="85"/>
      <c r="W299" s="83">
        <f t="shared" ca="1" si="12"/>
        <v>27</v>
      </c>
      <c r="X299" s="64" t="str">
        <f t="shared" ca="1" si="13"/>
        <v>1</v>
      </c>
      <c r="Y299" s="82" t="str">
        <f t="shared" ca="1" si="14"/>
        <v>2</v>
      </c>
      <c r="Z299" s="87"/>
      <c r="AA299" s="87" t="s">
        <v>22</v>
      </c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</row>
    <row r="300" spans="1:57" ht="37.5" x14ac:dyDescent="0.35">
      <c r="A300" s="85">
        <v>4848</v>
      </c>
      <c r="B300" s="86">
        <v>2019</v>
      </c>
      <c r="C300" s="87" t="s">
        <v>35</v>
      </c>
      <c r="D300" s="87" t="s">
        <v>135</v>
      </c>
      <c r="E300" s="87" t="s">
        <v>20</v>
      </c>
      <c r="F300" s="87" t="s">
        <v>82</v>
      </c>
      <c r="G300" s="88">
        <v>1</v>
      </c>
      <c r="H300" s="93" t="s">
        <v>323</v>
      </c>
      <c r="I300" s="87" t="s">
        <v>165</v>
      </c>
      <c r="J300" s="85"/>
      <c r="K300" s="85"/>
      <c r="L300" s="85"/>
      <c r="M300" s="85"/>
      <c r="N300" s="85"/>
      <c r="O300" s="85"/>
      <c r="P300" s="91"/>
      <c r="Q300" s="91"/>
      <c r="R300" s="91"/>
      <c r="S300" s="91"/>
      <c r="T300" s="89"/>
      <c r="U300" s="85">
        <v>2</v>
      </c>
      <c r="V300" s="85"/>
      <c r="W300" s="83">
        <f t="shared" ca="1" si="12"/>
        <v>27</v>
      </c>
      <c r="X300" s="64" t="str">
        <f t="shared" ca="1" si="13"/>
        <v>1</v>
      </c>
      <c r="Y300" s="82" t="str">
        <f t="shared" ca="1" si="14"/>
        <v>2</v>
      </c>
      <c r="Z300" s="87"/>
      <c r="AA300" s="87" t="s">
        <v>353</v>
      </c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</row>
    <row r="301" spans="1:57" ht="37.5" x14ac:dyDescent="0.35">
      <c r="A301" s="85">
        <v>4848</v>
      </c>
      <c r="B301" s="86">
        <v>2019</v>
      </c>
      <c r="C301" s="87" t="s">
        <v>35</v>
      </c>
      <c r="D301" s="87" t="s">
        <v>169</v>
      </c>
      <c r="E301" s="87" t="s">
        <v>20</v>
      </c>
      <c r="F301" s="87" t="s">
        <v>82</v>
      </c>
      <c r="G301" s="88">
        <v>0.25</v>
      </c>
      <c r="H301" s="93" t="s">
        <v>323</v>
      </c>
      <c r="I301" s="87" t="s">
        <v>170</v>
      </c>
      <c r="J301" s="85"/>
      <c r="K301" s="85"/>
      <c r="L301" s="85">
        <v>18</v>
      </c>
      <c r="M301" s="85">
        <v>1</v>
      </c>
      <c r="N301" s="85"/>
      <c r="O301" s="85"/>
      <c r="P301" s="91"/>
      <c r="Q301" s="91"/>
      <c r="R301" s="91"/>
      <c r="S301" s="91"/>
      <c r="T301" s="89"/>
      <c r="U301" s="85"/>
      <c r="V301" s="85"/>
      <c r="W301" s="83">
        <f t="shared" ca="1" si="12"/>
        <v>27</v>
      </c>
      <c r="X301" s="64" t="str">
        <f t="shared" ca="1" si="13"/>
        <v>1</v>
      </c>
      <c r="Y301" s="82" t="str">
        <f t="shared" ca="1" si="14"/>
        <v>2</v>
      </c>
      <c r="Z301" s="87"/>
      <c r="AA301" s="87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</row>
    <row r="302" spans="1:57" ht="37.5" x14ac:dyDescent="0.35">
      <c r="A302" s="85">
        <v>4848</v>
      </c>
      <c r="B302" s="86">
        <v>2019</v>
      </c>
      <c r="C302" s="87" t="s">
        <v>35</v>
      </c>
      <c r="D302" s="87" t="s">
        <v>312</v>
      </c>
      <c r="E302" s="87" t="s">
        <v>63</v>
      </c>
      <c r="F302" s="87" t="s">
        <v>374</v>
      </c>
      <c r="G302" s="88">
        <v>1</v>
      </c>
      <c r="H302" s="93" t="s">
        <v>323</v>
      </c>
      <c r="I302" s="87" t="s">
        <v>164</v>
      </c>
      <c r="J302" s="85"/>
      <c r="K302" s="85"/>
      <c r="L302" s="85"/>
      <c r="M302" s="85"/>
      <c r="N302" s="85"/>
      <c r="O302" s="85"/>
      <c r="P302" s="91"/>
      <c r="Q302" s="91"/>
      <c r="R302" s="91"/>
      <c r="S302" s="91"/>
      <c r="T302" s="89"/>
      <c r="U302" s="85">
        <v>6</v>
      </c>
      <c r="V302" s="85"/>
      <c r="W302" s="83">
        <f t="shared" ca="1" si="12"/>
        <v>27</v>
      </c>
      <c r="X302" s="64" t="str">
        <f t="shared" ca="1" si="13"/>
        <v>1</v>
      </c>
      <c r="Y302" s="82" t="str">
        <f t="shared" ca="1" si="14"/>
        <v>2</v>
      </c>
      <c r="Z302" s="87"/>
      <c r="AA302" s="87" t="s">
        <v>22</v>
      </c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</row>
    <row r="303" spans="1:57" ht="37.5" x14ac:dyDescent="0.35">
      <c r="A303" s="85">
        <v>4848</v>
      </c>
      <c r="B303" s="86">
        <v>2019</v>
      </c>
      <c r="C303" s="87" t="s">
        <v>35</v>
      </c>
      <c r="D303" s="87" t="s">
        <v>312</v>
      </c>
      <c r="E303" s="87" t="s">
        <v>63</v>
      </c>
      <c r="F303" s="87" t="s">
        <v>374</v>
      </c>
      <c r="G303" s="88">
        <v>1</v>
      </c>
      <c r="H303" s="93" t="s">
        <v>323</v>
      </c>
      <c r="I303" s="87" t="s">
        <v>165</v>
      </c>
      <c r="J303" s="85"/>
      <c r="K303" s="85"/>
      <c r="L303" s="85"/>
      <c r="M303" s="85"/>
      <c r="N303" s="85"/>
      <c r="O303" s="85"/>
      <c r="P303" s="91"/>
      <c r="Q303" s="91"/>
      <c r="R303" s="91"/>
      <c r="S303" s="91"/>
      <c r="T303" s="89"/>
      <c r="U303" s="85">
        <v>6</v>
      </c>
      <c r="V303" s="85"/>
      <c r="W303" s="83">
        <f t="shared" ca="1" si="12"/>
        <v>27</v>
      </c>
      <c r="X303" s="64" t="str">
        <f t="shared" ca="1" si="13"/>
        <v>1</v>
      </c>
      <c r="Y303" s="82" t="str">
        <f t="shared" ca="1" si="14"/>
        <v>2</v>
      </c>
      <c r="Z303" s="87"/>
      <c r="AA303" s="87" t="s">
        <v>22</v>
      </c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</row>
    <row r="304" spans="1:57" ht="37.5" x14ac:dyDescent="0.35">
      <c r="A304" s="85">
        <v>4848</v>
      </c>
      <c r="B304" s="86">
        <v>2019</v>
      </c>
      <c r="C304" s="87" t="s">
        <v>35</v>
      </c>
      <c r="D304" s="87" t="s">
        <v>312</v>
      </c>
      <c r="E304" s="87" t="s">
        <v>63</v>
      </c>
      <c r="F304" s="87" t="s">
        <v>374</v>
      </c>
      <c r="G304" s="88">
        <v>1</v>
      </c>
      <c r="H304" s="93" t="s">
        <v>323</v>
      </c>
      <c r="I304" s="87" t="s">
        <v>357</v>
      </c>
      <c r="J304" s="85"/>
      <c r="K304" s="85"/>
      <c r="L304" s="85"/>
      <c r="M304" s="85"/>
      <c r="N304" s="85"/>
      <c r="O304" s="85"/>
      <c r="P304" s="91"/>
      <c r="Q304" s="91"/>
      <c r="R304" s="91"/>
      <c r="S304" s="91"/>
      <c r="T304" s="89"/>
      <c r="U304" s="85"/>
      <c r="V304" s="85">
        <v>60</v>
      </c>
      <c r="W304" s="83">
        <f t="shared" ca="1" si="12"/>
        <v>27</v>
      </c>
      <c r="X304" s="64" t="str">
        <f t="shared" ca="1" si="13"/>
        <v>1</v>
      </c>
      <c r="Y304" s="82" t="str">
        <f t="shared" ca="1" si="14"/>
        <v>2</v>
      </c>
      <c r="Z304" s="87"/>
      <c r="AA304" s="87" t="s">
        <v>22</v>
      </c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</row>
    <row r="305" spans="1:57" ht="37.5" x14ac:dyDescent="0.35">
      <c r="A305" s="85">
        <v>4848</v>
      </c>
      <c r="B305" s="86">
        <v>2019</v>
      </c>
      <c r="C305" s="87" t="s">
        <v>35</v>
      </c>
      <c r="D305" s="87" t="s">
        <v>117</v>
      </c>
      <c r="E305" s="87" t="s">
        <v>33</v>
      </c>
      <c r="F305" s="87" t="s">
        <v>25</v>
      </c>
      <c r="G305" s="88">
        <v>0.75</v>
      </c>
      <c r="H305" s="93" t="s">
        <v>323</v>
      </c>
      <c r="I305" s="87" t="s">
        <v>166</v>
      </c>
      <c r="J305" s="85"/>
      <c r="K305" s="85"/>
      <c r="L305" s="85"/>
      <c r="M305" s="85">
        <v>1</v>
      </c>
      <c r="N305" s="85">
        <v>1</v>
      </c>
      <c r="O305" s="85"/>
      <c r="P305" s="91"/>
      <c r="Q305" s="91"/>
      <c r="R305" s="91"/>
      <c r="S305" s="91"/>
      <c r="T305" s="89"/>
      <c r="U305" s="85"/>
      <c r="V305" s="85"/>
      <c r="W305" s="83">
        <f t="shared" ca="1" si="12"/>
        <v>27</v>
      </c>
      <c r="X305" s="64" t="str">
        <f t="shared" ca="1" si="13"/>
        <v>1</v>
      </c>
      <c r="Y305" s="82" t="str">
        <f t="shared" ca="1" si="14"/>
        <v>2</v>
      </c>
      <c r="Z305" s="87"/>
      <c r="AA305" s="87" t="s">
        <v>353</v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</row>
    <row r="306" spans="1:57" ht="37.5" x14ac:dyDescent="0.35">
      <c r="A306" s="85">
        <v>4848</v>
      </c>
      <c r="B306" s="86">
        <v>2019</v>
      </c>
      <c r="C306" s="87" t="s">
        <v>35</v>
      </c>
      <c r="D306" s="87" t="s">
        <v>117</v>
      </c>
      <c r="E306" s="87" t="s">
        <v>33</v>
      </c>
      <c r="F306" s="87" t="s">
        <v>25</v>
      </c>
      <c r="G306" s="88">
        <v>0.75</v>
      </c>
      <c r="H306" s="93" t="s">
        <v>323</v>
      </c>
      <c r="I306" s="87" t="s">
        <v>171</v>
      </c>
      <c r="J306" s="85">
        <v>14</v>
      </c>
      <c r="K306" s="85">
        <v>22</v>
      </c>
      <c r="L306" s="85"/>
      <c r="M306" s="85">
        <v>1</v>
      </c>
      <c r="N306" s="85"/>
      <c r="O306" s="85"/>
      <c r="P306" s="91"/>
      <c r="Q306" s="91"/>
      <c r="R306" s="91"/>
      <c r="S306" s="91"/>
      <c r="T306" s="89"/>
      <c r="U306" s="85"/>
      <c r="V306" s="85"/>
      <c r="W306" s="83">
        <f t="shared" ca="1" si="12"/>
        <v>27</v>
      </c>
      <c r="X306" s="64" t="str">
        <f t="shared" ca="1" si="13"/>
        <v>1</v>
      </c>
      <c r="Y306" s="82" t="str">
        <f t="shared" ca="1" si="14"/>
        <v>2</v>
      </c>
      <c r="Z306" s="87"/>
      <c r="AA306" s="87" t="s">
        <v>22</v>
      </c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</row>
    <row r="307" spans="1:57" ht="37.5" x14ac:dyDescent="0.35">
      <c r="A307" s="85">
        <v>4848</v>
      </c>
      <c r="B307" s="86">
        <v>2019</v>
      </c>
      <c r="C307" s="87" t="s">
        <v>35</v>
      </c>
      <c r="D307" s="87" t="s">
        <v>115</v>
      </c>
      <c r="E307" s="87" t="s">
        <v>20</v>
      </c>
      <c r="F307" s="87" t="s">
        <v>374</v>
      </c>
      <c r="G307" s="88"/>
      <c r="H307" s="93" t="s">
        <v>323</v>
      </c>
      <c r="I307" s="87" t="s">
        <v>172</v>
      </c>
      <c r="J307" s="85"/>
      <c r="K307" s="85">
        <v>12</v>
      </c>
      <c r="L307" s="85"/>
      <c r="M307" s="85"/>
      <c r="N307" s="85"/>
      <c r="O307" s="85"/>
      <c r="P307" s="91"/>
      <c r="Q307" s="91"/>
      <c r="R307" s="91"/>
      <c r="S307" s="91"/>
      <c r="T307" s="89"/>
      <c r="U307" s="85"/>
      <c r="V307" s="85"/>
      <c r="W307" s="83">
        <f t="shared" ca="1" si="12"/>
        <v>27</v>
      </c>
      <c r="X307" s="64" t="str">
        <f t="shared" ca="1" si="13"/>
        <v>1</v>
      </c>
      <c r="Y307" s="82" t="str">
        <f t="shared" ca="1" si="14"/>
        <v>2</v>
      </c>
      <c r="Z307" s="87"/>
      <c r="AA307" s="87" t="s">
        <v>61</v>
      </c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</row>
    <row r="308" spans="1:57" ht="37.5" x14ac:dyDescent="0.35">
      <c r="A308" s="85">
        <v>4848</v>
      </c>
      <c r="B308" s="86">
        <v>2019</v>
      </c>
      <c r="C308" s="87" t="s">
        <v>35</v>
      </c>
      <c r="D308" s="87" t="s">
        <v>380</v>
      </c>
      <c r="E308" s="87" t="s">
        <v>33</v>
      </c>
      <c r="F308" s="87" t="s">
        <v>374</v>
      </c>
      <c r="G308" s="88"/>
      <c r="H308" s="93" t="s">
        <v>323</v>
      </c>
      <c r="I308" s="87" t="s">
        <v>172</v>
      </c>
      <c r="J308" s="85">
        <v>12</v>
      </c>
      <c r="K308" s="85"/>
      <c r="L308" s="85"/>
      <c r="M308" s="85">
        <v>1</v>
      </c>
      <c r="N308" s="85"/>
      <c r="O308" s="85"/>
      <c r="P308" s="91"/>
      <c r="Q308" s="91"/>
      <c r="R308" s="91"/>
      <c r="S308" s="91"/>
      <c r="T308" s="89"/>
      <c r="U308" s="85"/>
      <c r="V308" s="85"/>
      <c r="W308" s="83">
        <f t="shared" ca="1" si="12"/>
        <v>27</v>
      </c>
      <c r="X308" s="64" t="str">
        <f t="shared" ca="1" si="13"/>
        <v>1</v>
      </c>
      <c r="Y308" s="82" t="str">
        <f t="shared" ca="1" si="14"/>
        <v>2</v>
      </c>
      <c r="Z308" s="87"/>
      <c r="AA308" s="87" t="s">
        <v>22</v>
      </c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</row>
    <row r="309" spans="1:57" ht="37.5" x14ac:dyDescent="0.35">
      <c r="A309" s="85">
        <v>4848</v>
      </c>
      <c r="B309" s="86">
        <v>2019</v>
      </c>
      <c r="C309" s="87" t="s">
        <v>35</v>
      </c>
      <c r="D309" s="87" t="s">
        <v>309</v>
      </c>
      <c r="E309" s="87" t="s">
        <v>20</v>
      </c>
      <c r="F309" s="87" t="s">
        <v>374</v>
      </c>
      <c r="G309" s="88">
        <v>0.75</v>
      </c>
      <c r="H309" s="93" t="s">
        <v>323</v>
      </c>
      <c r="I309" s="87" t="s">
        <v>172</v>
      </c>
      <c r="J309" s="85"/>
      <c r="K309" s="85">
        <v>12</v>
      </c>
      <c r="L309" s="85"/>
      <c r="M309" s="85">
        <v>1</v>
      </c>
      <c r="N309" s="85"/>
      <c r="O309" s="85"/>
      <c r="P309" s="91"/>
      <c r="Q309" s="91"/>
      <c r="R309" s="91"/>
      <c r="S309" s="91"/>
      <c r="T309" s="89"/>
      <c r="U309" s="85"/>
      <c r="V309" s="85"/>
      <c r="W309" s="83">
        <f t="shared" ca="1" si="12"/>
        <v>27</v>
      </c>
      <c r="X309" s="64" t="str">
        <f t="shared" ca="1" si="13"/>
        <v>1</v>
      </c>
      <c r="Y309" s="82" t="str">
        <f t="shared" ca="1" si="14"/>
        <v>2</v>
      </c>
      <c r="Z309" s="87"/>
      <c r="AA309" s="87" t="s">
        <v>353</v>
      </c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</row>
    <row r="310" spans="1:57" ht="37.5" x14ac:dyDescent="0.35">
      <c r="A310" s="85">
        <v>4848</v>
      </c>
      <c r="B310" s="86">
        <v>2019</v>
      </c>
      <c r="C310" s="87" t="s">
        <v>35</v>
      </c>
      <c r="D310" s="87" t="s">
        <v>117</v>
      </c>
      <c r="E310" s="87" t="s">
        <v>33</v>
      </c>
      <c r="F310" s="87" t="s">
        <v>25</v>
      </c>
      <c r="G310" s="88">
        <v>0.75</v>
      </c>
      <c r="H310" s="93" t="s">
        <v>323</v>
      </c>
      <c r="I310" s="87" t="s">
        <v>358</v>
      </c>
      <c r="J310" s="85"/>
      <c r="K310" s="85"/>
      <c r="L310" s="85"/>
      <c r="M310" s="85"/>
      <c r="N310" s="85"/>
      <c r="O310" s="85"/>
      <c r="P310" s="91"/>
      <c r="Q310" s="91"/>
      <c r="R310" s="91">
        <v>5</v>
      </c>
      <c r="S310" s="91">
        <v>8</v>
      </c>
      <c r="T310" s="89"/>
      <c r="U310" s="85"/>
      <c r="V310" s="85"/>
      <c r="W310" s="83">
        <f t="shared" ca="1" si="12"/>
        <v>27</v>
      </c>
      <c r="X310" s="64" t="str">
        <f t="shared" ca="1" si="13"/>
        <v>1</v>
      </c>
      <c r="Y310" s="82" t="str">
        <f t="shared" ca="1" si="14"/>
        <v>2</v>
      </c>
      <c r="Z310" s="87"/>
      <c r="AA310" s="87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</row>
    <row r="311" spans="1:57" ht="37.5" x14ac:dyDescent="0.35">
      <c r="A311" s="85">
        <v>5791</v>
      </c>
      <c r="B311" s="86">
        <v>2019</v>
      </c>
      <c r="C311" s="87" t="s">
        <v>35</v>
      </c>
      <c r="D311" s="87" t="s">
        <v>72</v>
      </c>
      <c r="E311" s="87" t="s">
        <v>26</v>
      </c>
      <c r="F311" s="87" t="s">
        <v>25</v>
      </c>
      <c r="G311" s="88">
        <v>1</v>
      </c>
      <c r="H311" s="93" t="s">
        <v>324</v>
      </c>
      <c r="I311" s="87" t="s">
        <v>352</v>
      </c>
      <c r="J311" s="85"/>
      <c r="K311" s="85">
        <v>54</v>
      </c>
      <c r="L311" s="85">
        <v>144</v>
      </c>
      <c r="M311" s="85">
        <v>1</v>
      </c>
      <c r="N311" s="85">
        <v>1</v>
      </c>
      <c r="O311" s="85"/>
      <c r="P311" s="91"/>
      <c r="Q311" s="91"/>
      <c r="R311" s="91"/>
      <c r="S311" s="91"/>
      <c r="T311" s="89"/>
      <c r="U311" s="85"/>
      <c r="V311" s="85"/>
      <c r="W311" s="83">
        <f t="shared" ca="1" si="12"/>
        <v>29</v>
      </c>
      <c r="X311" s="64" t="str">
        <f t="shared" ca="1" si="13"/>
        <v>1</v>
      </c>
      <c r="Y311" s="82" t="str">
        <f t="shared" ca="1" si="14"/>
        <v>2</v>
      </c>
      <c r="Z311" s="87"/>
      <c r="AA311" s="87" t="s">
        <v>61</v>
      </c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</row>
    <row r="312" spans="1:57" ht="37.5" x14ac:dyDescent="0.35">
      <c r="A312" s="85">
        <v>5791</v>
      </c>
      <c r="B312" s="86">
        <v>2019</v>
      </c>
      <c r="C312" s="87" t="s">
        <v>35</v>
      </c>
      <c r="D312" s="87" t="s">
        <v>72</v>
      </c>
      <c r="E312" s="87" t="s">
        <v>26</v>
      </c>
      <c r="F312" s="87" t="s">
        <v>25</v>
      </c>
      <c r="G312" s="88">
        <v>1</v>
      </c>
      <c r="H312" s="93" t="s">
        <v>324</v>
      </c>
      <c r="I312" s="87" t="s">
        <v>349</v>
      </c>
      <c r="J312" s="85">
        <v>18</v>
      </c>
      <c r="K312" s="85"/>
      <c r="L312" s="85">
        <v>72</v>
      </c>
      <c r="M312" s="85">
        <v>1</v>
      </c>
      <c r="N312" s="85">
        <v>1</v>
      </c>
      <c r="O312" s="85"/>
      <c r="P312" s="91"/>
      <c r="Q312" s="91"/>
      <c r="R312" s="91"/>
      <c r="S312" s="91"/>
      <c r="T312" s="89"/>
      <c r="U312" s="85"/>
      <c r="V312" s="85"/>
      <c r="W312" s="83">
        <f t="shared" ca="1" si="12"/>
        <v>29</v>
      </c>
      <c r="X312" s="64" t="str">
        <f t="shared" ca="1" si="13"/>
        <v>1</v>
      </c>
      <c r="Y312" s="82" t="str">
        <f t="shared" ca="1" si="14"/>
        <v>2</v>
      </c>
      <c r="Z312" s="87"/>
      <c r="AA312" s="87" t="s">
        <v>22</v>
      </c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</row>
    <row r="313" spans="1:57" ht="37.5" x14ac:dyDescent="0.35">
      <c r="A313" s="85">
        <v>5791</v>
      </c>
      <c r="B313" s="86">
        <v>2019</v>
      </c>
      <c r="C313" s="87" t="s">
        <v>35</v>
      </c>
      <c r="D313" s="87" t="s">
        <v>115</v>
      </c>
      <c r="E313" s="87" t="s">
        <v>20</v>
      </c>
      <c r="F313" s="87" t="s">
        <v>82</v>
      </c>
      <c r="G313" s="88">
        <v>0.25</v>
      </c>
      <c r="H313" s="93" t="s">
        <v>324</v>
      </c>
      <c r="I313" s="87" t="s">
        <v>144</v>
      </c>
      <c r="J313" s="85"/>
      <c r="K313" s="85">
        <v>22</v>
      </c>
      <c r="L313" s="85">
        <v>44</v>
      </c>
      <c r="M313" s="85">
        <v>1</v>
      </c>
      <c r="N313" s="85"/>
      <c r="O313" s="85"/>
      <c r="P313" s="91"/>
      <c r="Q313" s="91"/>
      <c r="R313" s="91"/>
      <c r="S313" s="91"/>
      <c r="T313" s="89"/>
      <c r="U313" s="85"/>
      <c r="V313" s="85"/>
      <c r="W313" s="83">
        <f t="shared" ca="1" si="12"/>
        <v>29</v>
      </c>
      <c r="X313" s="64" t="str">
        <f t="shared" ca="1" si="13"/>
        <v>1</v>
      </c>
      <c r="Y313" s="82" t="str">
        <f t="shared" ca="1" si="14"/>
        <v>2</v>
      </c>
      <c r="Z313" s="87"/>
      <c r="AA313" s="87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</row>
    <row r="314" spans="1:57" ht="50" x14ac:dyDescent="0.35">
      <c r="A314" s="85">
        <v>5791</v>
      </c>
      <c r="B314" s="86">
        <v>2019</v>
      </c>
      <c r="C314" s="87" t="s">
        <v>35</v>
      </c>
      <c r="D314" s="87" t="s">
        <v>115</v>
      </c>
      <c r="E314" s="87" t="s">
        <v>20</v>
      </c>
      <c r="F314" s="87" t="s">
        <v>82</v>
      </c>
      <c r="G314" s="88">
        <v>0.25</v>
      </c>
      <c r="H314" s="93" t="s">
        <v>324</v>
      </c>
      <c r="I314" s="87" t="s">
        <v>191</v>
      </c>
      <c r="J314" s="85"/>
      <c r="K314" s="85"/>
      <c r="L314" s="85"/>
      <c r="M314" s="85"/>
      <c r="N314" s="85"/>
      <c r="O314" s="85"/>
      <c r="P314" s="91"/>
      <c r="Q314" s="91"/>
      <c r="R314" s="91"/>
      <c r="S314" s="91"/>
      <c r="T314" s="89"/>
      <c r="U314" s="85">
        <v>40</v>
      </c>
      <c r="V314" s="85"/>
      <c r="W314" s="83">
        <f t="shared" ca="1" si="12"/>
        <v>29</v>
      </c>
      <c r="X314" s="64" t="str">
        <f t="shared" ca="1" si="13"/>
        <v>1</v>
      </c>
      <c r="Y314" s="82" t="str">
        <f t="shared" ca="1" si="14"/>
        <v>2</v>
      </c>
      <c r="Z314" s="87"/>
      <c r="AA314" s="87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</row>
    <row r="315" spans="1:57" ht="37.5" x14ac:dyDescent="0.35">
      <c r="A315" s="85">
        <v>5791</v>
      </c>
      <c r="B315" s="86">
        <v>2019</v>
      </c>
      <c r="C315" s="87" t="s">
        <v>35</v>
      </c>
      <c r="D315" s="87" t="s">
        <v>190</v>
      </c>
      <c r="E315" s="87" t="s">
        <v>26</v>
      </c>
      <c r="F315" s="87" t="s">
        <v>25</v>
      </c>
      <c r="G315" s="88">
        <v>1</v>
      </c>
      <c r="H315" s="93" t="s">
        <v>324</v>
      </c>
      <c r="I315" s="87" t="s">
        <v>331</v>
      </c>
      <c r="J315" s="85">
        <v>18</v>
      </c>
      <c r="K315" s="85"/>
      <c r="L315" s="85">
        <v>72</v>
      </c>
      <c r="M315" s="85">
        <v>1</v>
      </c>
      <c r="N315" s="85"/>
      <c r="O315" s="85"/>
      <c r="P315" s="91">
        <v>1</v>
      </c>
      <c r="Q315" s="91"/>
      <c r="R315" s="91"/>
      <c r="S315" s="91"/>
      <c r="T315" s="89"/>
      <c r="U315" s="85"/>
      <c r="V315" s="85"/>
      <c r="W315" s="83">
        <f t="shared" ca="1" si="12"/>
        <v>29</v>
      </c>
      <c r="X315" s="64" t="str">
        <f t="shared" ca="1" si="13"/>
        <v>1</v>
      </c>
      <c r="Y315" s="82" t="str">
        <f t="shared" ca="1" si="14"/>
        <v>2</v>
      </c>
      <c r="Z315" s="87"/>
      <c r="AA315" s="87" t="s">
        <v>61</v>
      </c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</row>
    <row r="316" spans="1:57" ht="37.5" x14ac:dyDescent="0.35">
      <c r="A316" s="85">
        <v>5791</v>
      </c>
      <c r="B316" s="86">
        <v>2019</v>
      </c>
      <c r="C316" s="87" t="s">
        <v>35</v>
      </c>
      <c r="D316" s="87" t="s">
        <v>190</v>
      </c>
      <c r="E316" s="87" t="s">
        <v>26</v>
      </c>
      <c r="F316" s="87" t="s">
        <v>25</v>
      </c>
      <c r="G316" s="88">
        <v>1</v>
      </c>
      <c r="H316" s="93" t="s">
        <v>324</v>
      </c>
      <c r="I316" s="87" t="s">
        <v>329</v>
      </c>
      <c r="J316" s="85">
        <v>18</v>
      </c>
      <c r="K316" s="85"/>
      <c r="L316" s="85">
        <v>36</v>
      </c>
      <c r="M316" s="85">
        <v>1</v>
      </c>
      <c r="N316" s="85"/>
      <c r="O316" s="85"/>
      <c r="P316" s="91">
        <v>1</v>
      </c>
      <c r="Q316" s="91"/>
      <c r="R316" s="91"/>
      <c r="S316" s="91"/>
      <c r="T316" s="89"/>
      <c r="U316" s="85"/>
      <c r="V316" s="85"/>
      <c r="W316" s="83">
        <f t="shared" ca="1" si="12"/>
        <v>29</v>
      </c>
      <c r="X316" s="64" t="str">
        <f t="shared" ca="1" si="13"/>
        <v>1</v>
      </c>
      <c r="Y316" s="82" t="str">
        <f t="shared" ca="1" si="14"/>
        <v>2</v>
      </c>
      <c r="Z316" s="87"/>
      <c r="AA316" s="87" t="s">
        <v>22</v>
      </c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</row>
    <row r="317" spans="1:57" ht="37.5" x14ac:dyDescent="0.35">
      <c r="A317" s="85">
        <v>5791</v>
      </c>
      <c r="B317" s="86">
        <v>2019</v>
      </c>
      <c r="C317" s="87" t="s">
        <v>35</v>
      </c>
      <c r="D317" s="87" t="s">
        <v>190</v>
      </c>
      <c r="E317" s="87" t="s">
        <v>26</v>
      </c>
      <c r="F317" s="87" t="s">
        <v>25</v>
      </c>
      <c r="G317" s="88">
        <v>1</v>
      </c>
      <c r="H317" s="93" t="s">
        <v>324</v>
      </c>
      <c r="I317" s="87" t="s">
        <v>328</v>
      </c>
      <c r="J317" s="85"/>
      <c r="K317" s="85">
        <v>18</v>
      </c>
      <c r="L317" s="85"/>
      <c r="M317" s="85">
        <v>1</v>
      </c>
      <c r="N317" s="85"/>
      <c r="O317" s="85"/>
      <c r="P317" s="91">
        <v>1</v>
      </c>
      <c r="Q317" s="91"/>
      <c r="R317" s="91"/>
      <c r="S317" s="91"/>
      <c r="T317" s="89"/>
      <c r="U317" s="85"/>
      <c r="V317" s="85"/>
      <c r="W317" s="83">
        <f t="shared" ca="1" si="12"/>
        <v>29</v>
      </c>
      <c r="X317" s="64" t="str">
        <f t="shared" ca="1" si="13"/>
        <v>1</v>
      </c>
      <c r="Y317" s="82" t="str">
        <f t="shared" ca="1" si="14"/>
        <v>2</v>
      </c>
      <c r="Z317" s="87"/>
      <c r="AA317" s="8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</row>
    <row r="318" spans="1:57" ht="37.5" x14ac:dyDescent="0.35">
      <c r="A318" s="85">
        <v>5791</v>
      </c>
      <c r="B318" s="86">
        <v>2019</v>
      </c>
      <c r="C318" s="87" t="s">
        <v>35</v>
      </c>
      <c r="D318" s="87" t="s">
        <v>190</v>
      </c>
      <c r="E318" s="87" t="s">
        <v>26</v>
      </c>
      <c r="F318" s="87" t="s">
        <v>25</v>
      </c>
      <c r="G318" s="88">
        <v>1</v>
      </c>
      <c r="H318" s="93" t="s">
        <v>324</v>
      </c>
      <c r="I318" s="87" t="s">
        <v>144</v>
      </c>
      <c r="J318" s="85"/>
      <c r="K318" s="85"/>
      <c r="L318" s="85"/>
      <c r="M318" s="85"/>
      <c r="N318" s="85"/>
      <c r="O318" s="85"/>
      <c r="P318" s="91"/>
      <c r="Q318" s="91"/>
      <c r="R318" s="91"/>
      <c r="S318" s="91"/>
      <c r="T318" s="89"/>
      <c r="U318" s="85"/>
      <c r="V318" s="85"/>
      <c r="W318" s="83">
        <f t="shared" ca="1" si="12"/>
        <v>29</v>
      </c>
      <c r="X318" s="64" t="str">
        <f t="shared" ca="1" si="13"/>
        <v>1</v>
      </c>
      <c r="Y318" s="82" t="str">
        <f t="shared" ca="1" si="14"/>
        <v>2</v>
      </c>
      <c r="Z318" s="87"/>
      <c r="AA318" s="87" t="s">
        <v>61</v>
      </c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</row>
    <row r="319" spans="1:57" ht="50" x14ac:dyDescent="0.35">
      <c r="A319" s="85">
        <v>5791</v>
      </c>
      <c r="B319" s="86">
        <v>2019</v>
      </c>
      <c r="C319" s="87" t="s">
        <v>35</v>
      </c>
      <c r="D319" s="87" t="s">
        <v>309</v>
      </c>
      <c r="E319" s="87" t="s">
        <v>20</v>
      </c>
      <c r="F319" s="87" t="s">
        <v>310</v>
      </c>
      <c r="G319" s="88">
        <v>1</v>
      </c>
      <c r="H319" s="93" t="s">
        <v>324</v>
      </c>
      <c r="I319" s="87" t="s">
        <v>191</v>
      </c>
      <c r="J319" s="85"/>
      <c r="K319" s="85"/>
      <c r="L319" s="85"/>
      <c r="M319" s="85"/>
      <c r="N319" s="85"/>
      <c r="O319" s="85"/>
      <c r="P319" s="91"/>
      <c r="Q319" s="91"/>
      <c r="R319" s="91"/>
      <c r="S319" s="91"/>
      <c r="T319" s="89"/>
      <c r="U319" s="85">
        <v>40</v>
      </c>
      <c r="V319" s="85"/>
      <c r="W319" s="83">
        <f t="shared" ca="1" si="12"/>
        <v>29</v>
      </c>
      <c r="X319" s="64" t="str">
        <f t="shared" ca="1" si="13"/>
        <v>1</v>
      </c>
      <c r="Y319" s="82" t="str">
        <f t="shared" ca="1" si="14"/>
        <v>2</v>
      </c>
      <c r="Z319" s="87"/>
      <c r="AA319" s="87" t="s">
        <v>61</v>
      </c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</row>
    <row r="320" spans="1:57" ht="37.5" x14ac:dyDescent="0.35">
      <c r="A320" s="85">
        <v>5791</v>
      </c>
      <c r="B320" s="86">
        <v>2019</v>
      </c>
      <c r="C320" s="87" t="s">
        <v>35</v>
      </c>
      <c r="D320" s="87" t="s">
        <v>116</v>
      </c>
      <c r="E320" s="87" t="s">
        <v>28</v>
      </c>
      <c r="F320" s="87" t="s">
        <v>56</v>
      </c>
      <c r="G320" s="88">
        <v>1</v>
      </c>
      <c r="H320" s="93" t="s">
        <v>324</v>
      </c>
      <c r="I320" s="87" t="s">
        <v>146</v>
      </c>
      <c r="J320" s="85"/>
      <c r="K320" s="85"/>
      <c r="L320" s="85"/>
      <c r="M320" s="85"/>
      <c r="N320" s="85"/>
      <c r="O320" s="85"/>
      <c r="P320" s="91"/>
      <c r="Q320" s="91"/>
      <c r="R320" s="91"/>
      <c r="S320" s="91"/>
      <c r="T320" s="89"/>
      <c r="U320" s="85"/>
      <c r="V320" s="85"/>
      <c r="W320" s="83">
        <f t="shared" ca="1" si="12"/>
        <v>29</v>
      </c>
      <c r="X320" s="64" t="str">
        <f t="shared" ca="1" si="13"/>
        <v>1</v>
      </c>
      <c r="Y320" s="82" t="str">
        <f t="shared" ca="1" si="14"/>
        <v>2</v>
      </c>
      <c r="Z320" s="87"/>
      <c r="AA320" s="87" t="s">
        <v>22</v>
      </c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</row>
    <row r="321" spans="1:57" ht="37.5" x14ac:dyDescent="0.35">
      <c r="A321" s="85">
        <v>5791</v>
      </c>
      <c r="B321" s="86">
        <v>2019</v>
      </c>
      <c r="C321" s="87" t="s">
        <v>35</v>
      </c>
      <c r="D321" s="87" t="s">
        <v>116</v>
      </c>
      <c r="E321" s="87" t="s">
        <v>28</v>
      </c>
      <c r="F321" s="87" t="s">
        <v>56</v>
      </c>
      <c r="G321" s="88">
        <v>1</v>
      </c>
      <c r="H321" s="93" t="s">
        <v>324</v>
      </c>
      <c r="I321" s="87" t="s">
        <v>144</v>
      </c>
      <c r="J321" s="85"/>
      <c r="K321" s="85"/>
      <c r="L321" s="85"/>
      <c r="M321" s="85"/>
      <c r="N321" s="85"/>
      <c r="O321" s="85"/>
      <c r="P321" s="91"/>
      <c r="Q321" s="91"/>
      <c r="R321" s="91"/>
      <c r="S321" s="91"/>
      <c r="T321" s="89"/>
      <c r="U321" s="85"/>
      <c r="V321" s="85"/>
      <c r="W321" s="83">
        <f t="shared" ca="1" si="12"/>
        <v>29</v>
      </c>
      <c r="X321" s="64" t="str">
        <f t="shared" ca="1" si="13"/>
        <v>1</v>
      </c>
      <c r="Y321" s="82" t="str">
        <f t="shared" ca="1" si="14"/>
        <v>2</v>
      </c>
      <c r="Z321" s="87"/>
      <c r="AA321" s="87" t="s">
        <v>22</v>
      </c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</row>
    <row r="322" spans="1:57" ht="37.5" x14ac:dyDescent="0.35">
      <c r="A322" s="85">
        <v>5791</v>
      </c>
      <c r="B322" s="86">
        <v>2019</v>
      </c>
      <c r="C322" s="87" t="s">
        <v>35</v>
      </c>
      <c r="D322" s="87" t="s">
        <v>116</v>
      </c>
      <c r="E322" s="87" t="s">
        <v>28</v>
      </c>
      <c r="F322" s="87" t="s">
        <v>56</v>
      </c>
      <c r="G322" s="88">
        <v>1</v>
      </c>
      <c r="H322" s="93" t="s">
        <v>324</v>
      </c>
      <c r="I322" s="87" t="s">
        <v>145</v>
      </c>
      <c r="J322" s="85">
        <v>6</v>
      </c>
      <c r="K322" s="85"/>
      <c r="L322" s="85"/>
      <c r="M322" s="85">
        <v>1</v>
      </c>
      <c r="N322" s="85">
        <v>1</v>
      </c>
      <c r="O322" s="85"/>
      <c r="P322" s="91"/>
      <c r="Q322" s="91"/>
      <c r="R322" s="91"/>
      <c r="S322" s="91"/>
      <c r="T322" s="89"/>
      <c r="U322" s="85"/>
      <c r="V322" s="85"/>
      <c r="W322" s="83">
        <f t="shared" ca="1" si="12"/>
        <v>29</v>
      </c>
      <c r="X322" s="64" t="str">
        <f t="shared" ca="1" si="13"/>
        <v>1</v>
      </c>
      <c r="Y322" s="82" t="str">
        <f t="shared" ca="1" si="14"/>
        <v>2</v>
      </c>
      <c r="Z322" s="87"/>
      <c r="AA322" s="87" t="s">
        <v>22</v>
      </c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</row>
    <row r="323" spans="1:57" ht="37.5" x14ac:dyDescent="0.35">
      <c r="A323" s="85">
        <v>5791</v>
      </c>
      <c r="B323" s="86">
        <v>2019</v>
      </c>
      <c r="C323" s="87" t="s">
        <v>35</v>
      </c>
      <c r="D323" s="94" t="s">
        <v>311</v>
      </c>
      <c r="E323" s="87" t="s">
        <v>63</v>
      </c>
      <c r="F323" s="87" t="s">
        <v>374</v>
      </c>
      <c r="G323" s="94">
        <v>1</v>
      </c>
      <c r="H323" s="93" t="s">
        <v>324</v>
      </c>
      <c r="I323" s="94" t="s">
        <v>333</v>
      </c>
      <c r="J323" s="93">
        <v>18</v>
      </c>
      <c r="K323" s="93"/>
      <c r="L323" s="93"/>
      <c r="M323" s="93">
        <v>1</v>
      </c>
      <c r="N323" s="93">
        <v>1</v>
      </c>
      <c r="O323" s="93"/>
      <c r="P323" s="59"/>
      <c r="Q323" s="59">
        <v>30</v>
      </c>
      <c r="R323" s="59"/>
      <c r="S323" s="59"/>
      <c r="T323" s="95"/>
      <c r="U323" s="93"/>
      <c r="V323" s="93"/>
      <c r="W323" s="83">
        <f t="shared" ca="1" si="12"/>
        <v>29</v>
      </c>
      <c r="X323" s="64" t="str">
        <f t="shared" ca="1" si="13"/>
        <v>1</v>
      </c>
      <c r="Y323" s="82" t="str">
        <f t="shared" ca="1" si="14"/>
        <v>2</v>
      </c>
      <c r="Z323" s="94"/>
      <c r="AA323" s="94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</row>
    <row r="324" spans="1:57" ht="37.5" x14ac:dyDescent="0.35">
      <c r="A324" s="85">
        <v>5791</v>
      </c>
      <c r="B324" s="86">
        <v>2019</v>
      </c>
      <c r="C324" s="87" t="s">
        <v>35</v>
      </c>
      <c r="D324" s="94" t="s">
        <v>130</v>
      </c>
      <c r="E324" s="87" t="s">
        <v>26</v>
      </c>
      <c r="F324" s="87" t="s">
        <v>25</v>
      </c>
      <c r="G324" s="94">
        <v>1</v>
      </c>
      <c r="H324" s="93" t="s">
        <v>324</v>
      </c>
      <c r="I324" s="94" t="s">
        <v>330</v>
      </c>
      <c r="J324" s="93"/>
      <c r="K324" s="93"/>
      <c r="L324" s="93">
        <v>72</v>
      </c>
      <c r="M324" s="93">
        <v>1</v>
      </c>
      <c r="N324" s="93"/>
      <c r="O324" s="93"/>
      <c r="P324" s="59">
        <v>1</v>
      </c>
      <c r="Q324" s="59"/>
      <c r="R324" s="59"/>
      <c r="S324" s="59"/>
      <c r="T324" s="95"/>
      <c r="U324" s="93"/>
      <c r="V324" s="93"/>
      <c r="W324" s="83">
        <f t="shared" ref="W324:W387" ca="1" si="15">IFERROR(OFFSET($AC$11,0,MATCH(H324,$AD$4:$BE$4,0)),IFERROR(OFFSET($AC$12,0,MATCH(H324,$AD$5:$BE$5,0)),MOD(H324,20)+7))</f>
        <v>29</v>
      </c>
      <c r="X324" s="64" t="str">
        <f t="shared" ref="X324:X387" ca="1" si="16">IF(W324&lt;=30, "1", "2")</f>
        <v>1</v>
      </c>
      <c r="Y324" s="82" t="str">
        <f t="shared" ref="Y324:Y387" ca="1" si="17" xml:space="preserve"> IF(W324&lt;=15, "1", IF(W324&lt;=30, "2", IF(W324&lt;=45, "3", IF(W324&lt;=60, "4"))))</f>
        <v>2</v>
      </c>
      <c r="Z324" s="94"/>
      <c r="AA324" s="9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</row>
    <row r="325" spans="1:57" ht="37.5" x14ac:dyDescent="0.35">
      <c r="A325" s="85">
        <v>5791</v>
      </c>
      <c r="B325" s="86">
        <v>2019</v>
      </c>
      <c r="C325" s="87" t="s">
        <v>35</v>
      </c>
      <c r="D325" s="94" t="s">
        <v>130</v>
      </c>
      <c r="E325" s="87" t="s">
        <v>26</v>
      </c>
      <c r="F325" s="87" t="s">
        <v>25</v>
      </c>
      <c r="G325" s="88">
        <v>1</v>
      </c>
      <c r="H325" s="93" t="s">
        <v>324</v>
      </c>
      <c r="I325" s="94" t="s">
        <v>205</v>
      </c>
      <c r="J325" s="93">
        <v>36</v>
      </c>
      <c r="K325" s="93"/>
      <c r="L325" s="93"/>
      <c r="M325" s="93">
        <v>1</v>
      </c>
      <c r="N325" s="93">
        <v>1</v>
      </c>
      <c r="O325" s="93"/>
      <c r="P325" s="59"/>
      <c r="Q325" s="59"/>
      <c r="R325" s="59"/>
      <c r="S325" s="59"/>
      <c r="T325" s="95"/>
      <c r="U325" s="93"/>
      <c r="V325" s="93"/>
      <c r="W325" s="83">
        <f t="shared" ca="1" si="15"/>
        <v>29</v>
      </c>
      <c r="X325" s="64" t="str">
        <f t="shared" ca="1" si="16"/>
        <v>1</v>
      </c>
      <c r="Y325" s="82" t="str">
        <f t="shared" ca="1" si="17"/>
        <v>2</v>
      </c>
      <c r="Z325" s="94"/>
      <c r="AA325" s="94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</row>
    <row r="326" spans="1:57" ht="37.5" x14ac:dyDescent="0.35">
      <c r="A326" s="85">
        <v>5791</v>
      </c>
      <c r="B326" s="86">
        <v>2019</v>
      </c>
      <c r="C326" s="87" t="s">
        <v>35</v>
      </c>
      <c r="D326" s="94" t="s">
        <v>135</v>
      </c>
      <c r="E326" s="87" t="s">
        <v>20</v>
      </c>
      <c r="F326" s="87" t="s">
        <v>82</v>
      </c>
      <c r="G326" s="88">
        <v>1</v>
      </c>
      <c r="H326" s="93" t="s">
        <v>324</v>
      </c>
      <c r="I326" s="94" t="s">
        <v>205</v>
      </c>
      <c r="J326" s="93"/>
      <c r="K326" s="93"/>
      <c r="L326" s="93">
        <v>144</v>
      </c>
      <c r="M326" s="93"/>
      <c r="N326" s="93"/>
      <c r="O326" s="93"/>
      <c r="P326" s="59"/>
      <c r="Q326" s="59"/>
      <c r="R326" s="59"/>
      <c r="S326" s="59"/>
      <c r="T326" s="95"/>
      <c r="U326" s="93"/>
      <c r="V326" s="93"/>
      <c r="W326" s="83">
        <f t="shared" ca="1" si="15"/>
        <v>29</v>
      </c>
      <c r="X326" s="64" t="str">
        <f t="shared" ca="1" si="16"/>
        <v>1</v>
      </c>
      <c r="Y326" s="82" t="str">
        <f t="shared" ca="1" si="17"/>
        <v>2</v>
      </c>
      <c r="Z326" s="94"/>
      <c r="AA326" s="94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</row>
    <row r="327" spans="1:57" ht="37.5" x14ac:dyDescent="0.35">
      <c r="A327" s="85">
        <v>5791</v>
      </c>
      <c r="B327" s="86">
        <v>2019</v>
      </c>
      <c r="C327" s="87" t="s">
        <v>35</v>
      </c>
      <c r="D327" s="94" t="s">
        <v>312</v>
      </c>
      <c r="E327" s="87" t="s">
        <v>63</v>
      </c>
      <c r="F327" s="87" t="s">
        <v>374</v>
      </c>
      <c r="G327" s="88">
        <v>1</v>
      </c>
      <c r="H327" s="93" t="s">
        <v>324</v>
      </c>
      <c r="I327" s="94" t="s">
        <v>333</v>
      </c>
      <c r="J327" s="93"/>
      <c r="K327" s="93"/>
      <c r="L327" s="93"/>
      <c r="M327" s="93"/>
      <c r="N327" s="93"/>
      <c r="O327" s="93"/>
      <c r="P327" s="59"/>
      <c r="Q327" s="59">
        <v>20</v>
      </c>
      <c r="R327" s="59"/>
      <c r="S327" s="59"/>
      <c r="T327" s="95"/>
      <c r="U327" s="93"/>
      <c r="V327" s="93"/>
      <c r="W327" s="83">
        <f t="shared" ca="1" si="15"/>
        <v>29</v>
      </c>
      <c r="X327" s="64" t="str">
        <f t="shared" ca="1" si="16"/>
        <v>1</v>
      </c>
      <c r="Y327" s="82" t="str">
        <f t="shared" ca="1" si="17"/>
        <v>2</v>
      </c>
      <c r="Z327" s="94"/>
      <c r="AA327" s="94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</row>
    <row r="328" spans="1:57" ht="37.5" x14ac:dyDescent="0.35">
      <c r="A328" s="85">
        <v>5791</v>
      </c>
      <c r="B328" s="86">
        <v>2019</v>
      </c>
      <c r="C328" s="87" t="s">
        <v>35</v>
      </c>
      <c r="D328" s="94" t="s">
        <v>135</v>
      </c>
      <c r="E328" s="87" t="s">
        <v>20</v>
      </c>
      <c r="F328" s="87" t="s">
        <v>82</v>
      </c>
      <c r="G328" s="88">
        <v>1</v>
      </c>
      <c r="H328" s="93" t="s">
        <v>324</v>
      </c>
      <c r="I328" s="94" t="s">
        <v>333</v>
      </c>
      <c r="J328" s="93"/>
      <c r="K328" s="93"/>
      <c r="L328" s="93">
        <v>72</v>
      </c>
      <c r="M328" s="93"/>
      <c r="N328" s="93"/>
      <c r="O328" s="93"/>
      <c r="P328" s="59"/>
      <c r="Q328" s="59">
        <v>8</v>
      </c>
      <c r="R328" s="59"/>
      <c r="S328" s="59"/>
      <c r="T328" s="95"/>
      <c r="U328" s="93"/>
      <c r="V328" s="93"/>
      <c r="W328" s="83">
        <f t="shared" ca="1" si="15"/>
        <v>29</v>
      </c>
      <c r="X328" s="64" t="str">
        <f t="shared" ca="1" si="16"/>
        <v>1</v>
      </c>
      <c r="Y328" s="82" t="str">
        <f t="shared" ca="1" si="17"/>
        <v>2</v>
      </c>
      <c r="Z328" s="94"/>
      <c r="AA328" s="94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</row>
    <row r="329" spans="1:57" ht="50" x14ac:dyDescent="0.35">
      <c r="A329" s="85">
        <v>5791</v>
      </c>
      <c r="B329" s="86">
        <v>2019</v>
      </c>
      <c r="C329" s="87" t="s">
        <v>35</v>
      </c>
      <c r="D329" s="94" t="s">
        <v>135</v>
      </c>
      <c r="E329" s="87" t="s">
        <v>20</v>
      </c>
      <c r="F329" s="87" t="s">
        <v>82</v>
      </c>
      <c r="G329" s="88">
        <v>1</v>
      </c>
      <c r="H329" s="93" t="s">
        <v>324</v>
      </c>
      <c r="I329" s="94" t="s">
        <v>191</v>
      </c>
      <c r="J329" s="93"/>
      <c r="K329" s="93"/>
      <c r="L329" s="93"/>
      <c r="M329" s="93"/>
      <c r="N329" s="93"/>
      <c r="O329" s="93"/>
      <c r="P329" s="59"/>
      <c r="Q329" s="59"/>
      <c r="R329" s="59"/>
      <c r="S329" s="59"/>
      <c r="T329" s="95"/>
      <c r="U329" s="93"/>
      <c r="V329" s="93"/>
      <c r="W329" s="83">
        <f t="shared" ca="1" si="15"/>
        <v>29</v>
      </c>
      <c r="X329" s="64" t="str">
        <f t="shared" ca="1" si="16"/>
        <v>1</v>
      </c>
      <c r="Y329" s="82" t="str">
        <f t="shared" ca="1" si="17"/>
        <v>2</v>
      </c>
      <c r="Z329" s="94"/>
      <c r="AA329" s="94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</row>
    <row r="330" spans="1:57" ht="50" x14ac:dyDescent="0.35">
      <c r="A330" s="85">
        <v>5791</v>
      </c>
      <c r="B330" s="86">
        <v>2019</v>
      </c>
      <c r="C330" s="87" t="s">
        <v>35</v>
      </c>
      <c r="D330" s="94" t="s">
        <v>135</v>
      </c>
      <c r="E330" s="87" t="s">
        <v>20</v>
      </c>
      <c r="F330" s="87" t="s">
        <v>82</v>
      </c>
      <c r="G330" s="88">
        <v>1</v>
      </c>
      <c r="H330" s="93" t="s">
        <v>324</v>
      </c>
      <c r="I330" s="94" t="s">
        <v>191</v>
      </c>
      <c r="J330" s="93"/>
      <c r="K330" s="93"/>
      <c r="L330" s="93"/>
      <c r="M330" s="93"/>
      <c r="N330" s="93"/>
      <c r="O330" s="93"/>
      <c r="P330" s="59"/>
      <c r="Q330" s="59"/>
      <c r="R330" s="59"/>
      <c r="S330" s="59"/>
      <c r="T330" s="95"/>
      <c r="U330" s="93">
        <v>22</v>
      </c>
      <c r="V330" s="93"/>
      <c r="W330" s="83">
        <f t="shared" ca="1" si="15"/>
        <v>29</v>
      </c>
      <c r="X330" s="64" t="str">
        <f t="shared" ca="1" si="16"/>
        <v>1</v>
      </c>
      <c r="Y330" s="82" t="str">
        <f t="shared" ca="1" si="17"/>
        <v>2</v>
      </c>
      <c r="Z330" s="94"/>
      <c r="AA330" s="94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</row>
    <row r="331" spans="1:57" ht="37.5" x14ac:dyDescent="0.35">
      <c r="A331" s="85">
        <v>5791</v>
      </c>
      <c r="B331" s="86">
        <v>2019</v>
      </c>
      <c r="C331" s="87" t="s">
        <v>35</v>
      </c>
      <c r="D331" s="94" t="s">
        <v>117</v>
      </c>
      <c r="E331" s="87" t="s">
        <v>33</v>
      </c>
      <c r="F331" s="87" t="s">
        <v>25</v>
      </c>
      <c r="G331" s="88">
        <v>0.75</v>
      </c>
      <c r="H331" s="93" t="s">
        <v>324</v>
      </c>
      <c r="I331" s="94" t="s">
        <v>144</v>
      </c>
      <c r="J331" s="93">
        <v>28</v>
      </c>
      <c r="K331" s="93"/>
      <c r="L331" s="93"/>
      <c r="M331" s="93">
        <v>1</v>
      </c>
      <c r="N331" s="93">
        <v>1</v>
      </c>
      <c r="O331" s="93"/>
      <c r="P331" s="59"/>
      <c r="Q331" s="59"/>
      <c r="R331" s="59"/>
      <c r="S331" s="59"/>
      <c r="T331" s="95"/>
      <c r="U331" s="93"/>
      <c r="V331" s="93"/>
      <c r="W331" s="83">
        <f t="shared" ca="1" si="15"/>
        <v>29</v>
      </c>
      <c r="X331" s="64" t="str">
        <f t="shared" ca="1" si="16"/>
        <v>1</v>
      </c>
      <c r="Y331" s="82" t="str">
        <f t="shared" ca="1" si="17"/>
        <v>2</v>
      </c>
      <c r="Z331" s="94"/>
      <c r="AA331" s="94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</row>
    <row r="332" spans="1:57" ht="37.5" x14ac:dyDescent="0.35">
      <c r="A332" s="85">
        <v>5791</v>
      </c>
      <c r="B332" s="86">
        <v>2019</v>
      </c>
      <c r="C332" s="87" t="s">
        <v>35</v>
      </c>
      <c r="D332" s="94" t="s">
        <v>169</v>
      </c>
      <c r="E332" s="87" t="s">
        <v>20</v>
      </c>
      <c r="F332" s="87" t="s">
        <v>82</v>
      </c>
      <c r="G332" s="88">
        <v>0.25</v>
      </c>
      <c r="H332" s="93" t="s">
        <v>324</v>
      </c>
      <c r="I332" s="94" t="s">
        <v>144</v>
      </c>
      <c r="J332" s="93"/>
      <c r="K332" s="93"/>
      <c r="L332" s="93"/>
      <c r="M332" s="93"/>
      <c r="N332" s="93"/>
      <c r="O332" s="93"/>
      <c r="P332" s="59"/>
      <c r="Q332" s="59"/>
      <c r="R332" s="59"/>
      <c r="S332" s="59"/>
      <c r="T332" s="95"/>
      <c r="U332" s="93"/>
      <c r="V332" s="93"/>
      <c r="W332" s="83">
        <f t="shared" ca="1" si="15"/>
        <v>29</v>
      </c>
      <c r="X332" s="64" t="str">
        <f t="shared" ca="1" si="16"/>
        <v>1</v>
      </c>
      <c r="Y332" s="82" t="str">
        <f t="shared" ca="1" si="17"/>
        <v>2</v>
      </c>
      <c r="Z332" s="94"/>
      <c r="AA332" s="94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</row>
    <row r="333" spans="1:57" ht="37.5" x14ac:dyDescent="0.35">
      <c r="A333" s="85">
        <v>5791</v>
      </c>
      <c r="B333" s="86">
        <v>2019</v>
      </c>
      <c r="C333" s="87" t="s">
        <v>35</v>
      </c>
      <c r="D333" s="94" t="s">
        <v>169</v>
      </c>
      <c r="E333" s="87" t="s">
        <v>20</v>
      </c>
      <c r="F333" s="87" t="s">
        <v>82</v>
      </c>
      <c r="G333" s="88">
        <v>0.25</v>
      </c>
      <c r="H333" s="93" t="s">
        <v>324</v>
      </c>
      <c r="I333" s="94" t="s">
        <v>145</v>
      </c>
      <c r="J333" s="93"/>
      <c r="K333" s="93">
        <v>12</v>
      </c>
      <c r="L333" s="93">
        <v>36</v>
      </c>
      <c r="M333" s="93"/>
      <c r="N333" s="93"/>
      <c r="O333" s="93"/>
      <c r="P333" s="59"/>
      <c r="Q333" s="59"/>
      <c r="R333" s="59"/>
      <c r="S333" s="59"/>
      <c r="T333" s="95"/>
      <c r="U333" s="93"/>
      <c r="V333" s="93"/>
      <c r="W333" s="83">
        <f t="shared" ca="1" si="15"/>
        <v>29</v>
      </c>
      <c r="X333" s="64" t="str">
        <f t="shared" ca="1" si="16"/>
        <v>1</v>
      </c>
      <c r="Y333" s="82" t="str">
        <f t="shared" ca="1" si="17"/>
        <v>2</v>
      </c>
      <c r="Z333" s="94"/>
      <c r="AA333" s="94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</row>
    <row r="334" spans="1:57" ht="37.5" x14ac:dyDescent="0.35">
      <c r="A334" s="85">
        <v>5791</v>
      </c>
      <c r="B334" s="86">
        <v>2019</v>
      </c>
      <c r="C334" s="87" t="s">
        <v>35</v>
      </c>
      <c r="D334" s="94" t="s">
        <v>73</v>
      </c>
      <c r="E334" s="87" t="s">
        <v>20</v>
      </c>
      <c r="F334" s="87" t="s">
        <v>21</v>
      </c>
      <c r="G334" s="94">
        <v>1</v>
      </c>
      <c r="H334" s="93" t="s">
        <v>324</v>
      </c>
      <c r="I334" s="94" t="s">
        <v>146</v>
      </c>
      <c r="J334" s="93"/>
      <c r="K334" s="93"/>
      <c r="L334" s="93"/>
      <c r="M334" s="93"/>
      <c r="N334" s="93"/>
      <c r="O334" s="93"/>
      <c r="P334" s="59"/>
      <c r="Q334" s="59"/>
      <c r="R334" s="59"/>
      <c r="S334" s="59"/>
      <c r="T334" s="95"/>
      <c r="U334" s="93"/>
      <c r="V334" s="93"/>
      <c r="W334" s="83">
        <f t="shared" ca="1" si="15"/>
        <v>29</v>
      </c>
      <c r="X334" s="64" t="str">
        <f t="shared" ca="1" si="16"/>
        <v>1</v>
      </c>
      <c r="Y334" s="82" t="str">
        <f t="shared" ca="1" si="17"/>
        <v>2</v>
      </c>
      <c r="Z334" s="94"/>
      <c r="AA334" s="9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</row>
    <row r="335" spans="1:57" ht="37.5" x14ac:dyDescent="0.35">
      <c r="A335" s="85">
        <v>5791</v>
      </c>
      <c r="B335" s="86">
        <v>2019</v>
      </c>
      <c r="C335" s="87" t="s">
        <v>35</v>
      </c>
      <c r="D335" s="94" t="s">
        <v>73</v>
      </c>
      <c r="E335" s="87" t="s">
        <v>20</v>
      </c>
      <c r="F335" s="87" t="s">
        <v>21</v>
      </c>
      <c r="G335" s="94">
        <v>1</v>
      </c>
      <c r="H335" s="93" t="s">
        <v>324</v>
      </c>
      <c r="I335" s="94" t="s">
        <v>148</v>
      </c>
      <c r="J335" s="93">
        <v>18</v>
      </c>
      <c r="K335" s="93"/>
      <c r="L335" s="93">
        <v>36</v>
      </c>
      <c r="M335" s="93">
        <v>1</v>
      </c>
      <c r="N335" s="93"/>
      <c r="O335" s="93">
        <v>1</v>
      </c>
      <c r="P335" s="59"/>
      <c r="Q335" s="59"/>
      <c r="R335" s="59"/>
      <c r="S335" s="59"/>
      <c r="T335" s="95"/>
      <c r="U335" s="93"/>
      <c r="V335" s="93"/>
      <c r="W335" s="83">
        <f t="shared" ca="1" si="15"/>
        <v>29</v>
      </c>
      <c r="X335" s="64" t="str">
        <f t="shared" ca="1" si="16"/>
        <v>1</v>
      </c>
      <c r="Y335" s="82" t="str">
        <f t="shared" ca="1" si="17"/>
        <v>2</v>
      </c>
      <c r="Z335" s="94"/>
      <c r="AA335" s="94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</row>
    <row r="336" spans="1:57" ht="37.5" x14ac:dyDescent="0.35">
      <c r="A336" s="85">
        <v>5791</v>
      </c>
      <c r="B336" s="86">
        <v>2019</v>
      </c>
      <c r="C336" s="87" t="s">
        <v>35</v>
      </c>
      <c r="D336" s="94" t="s">
        <v>117</v>
      </c>
      <c r="E336" s="87" t="s">
        <v>33</v>
      </c>
      <c r="F336" s="87" t="s">
        <v>25</v>
      </c>
      <c r="G336" s="94">
        <v>0.75</v>
      </c>
      <c r="H336" s="93" t="s">
        <v>324</v>
      </c>
      <c r="I336" s="94" t="s">
        <v>149</v>
      </c>
      <c r="J336" s="93">
        <v>16</v>
      </c>
      <c r="K336" s="93"/>
      <c r="L336" s="93">
        <v>40</v>
      </c>
      <c r="M336" s="93">
        <v>1</v>
      </c>
      <c r="N336" s="93"/>
      <c r="O336" s="93"/>
      <c r="P336" s="59">
        <v>1</v>
      </c>
      <c r="Q336" s="59"/>
      <c r="R336" s="59"/>
      <c r="S336" s="59"/>
      <c r="T336" s="95"/>
      <c r="U336" s="93"/>
      <c r="V336" s="93"/>
      <c r="W336" s="83">
        <f t="shared" ca="1" si="15"/>
        <v>29</v>
      </c>
      <c r="X336" s="64" t="str">
        <f t="shared" ca="1" si="16"/>
        <v>1</v>
      </c>
      <c r="Y336" s="82" t="str">
        <f t="shared" ca="1" si="17"/>
        <v>2</v>
      </c>
      <c r="Z336" s="94"/>
      <c r="AA336" s="94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</row>
    <row r="337" spans="1:57" ht="37.5" x14ac:dyDescent="0.35">
      <c r="A337" s="85">
        <v>5791</v>
      </c>
      <c r="B337" s="86">
        <v>2020</v>
      </c>
      <c r="C337" s="87" t="s">
        <v>35</v>
      </c>
      <c r="D337" s="94" t="s">
        <v>72</v>
      </c>
      <c r="E337" s="87" t="s">
        <v>26</v>
      </c>
      <c r="F337" s="87" t="s">
        <v>25</v>
      </c>
      <c r="G337" s="94">
        <v>1</v>
      </c>
      <c r="H337" s="93" t="s">
        <v>326</v>
      </c>
      <c r="I337" s="94" t="s">
        <v>355</v>
      </c>
      <c r="J337" s="93">
        <v>18</v>
      </c>
      <c r="K337" s="93"/>
      <c r="L337" s="93"/>
      <c r="M337" s="93">
        <v>1</v>
      </c>
      <c r="N337" s="93">
        <v>1</v>
      </c>
      <c r="O337" s="93"/>
      <c r="P337" s="59"/>
      <c r="Q337" s="59"/>
      <c r="R337" s="59"/>
      <c r="S337" s="59"/>
      <c r="T337" s="95"/>
      <c r="U337" s="93"/>
      <c r="V337" s="93"/>
      <c r="W337" s="83">
        <f t="shared" ca="1" si="15"/>
        <v>27</v>
      </c>
      <c r="X337" s="64" t="str">
        <f t="shared" ca="1" si="16"/>
        <v>1</v>
      </c>
      <c r="Y337" s="82" t="str">
        <f t="shared" ca="1" si="17"/>
        <v>2</v>
      </c>
      <c r="Z337" s="94"/>
      <c r="AA337" s="94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</row>
    <row r="338" spans="1:57" ht="37.5" x14ac:dyDescent="0.35">
      <c r="A338" s="85">
        <v>5791</v>
      </c>
      <c r="B338" s="86">
        <v>2020</v>
      </c>
      <c r="C338" s="87" t="s">
        <v>35</v>
      </c>
      <c r="D338" s="94" t="s">
        <v>135</v>
      </c>
      <c r="E338" s="87" t="s">
        <v>20</v>
      </c>
      <c r="F338" s="87" t="s">
        <v>82</v>
      </c>
      <c r="G338" s="94">
        <v>1</v>
      </c>
      <c r="H338" s="93" t="s">
        <v>326</v>
      </c>
      <c r="I338" s="94" t="s">
        <v>355</v>
      </c>
      <c r="J338" s="93"/>
      <c r="K338" s="93"/>
      <c r="L338" s="93">
        <v>72</v>
      </c>
      <c r="M338" s="93"/>
      <c r="N338" s="93"/>
      <c r="O338" s="93"/>
      <c r="P338" s="59"/>
      <c r="Q338" s="59"/>
      <c r="R338" s="59"/>
      <c r="S338" s="59"/>
      <c r="T338" s="95"/>
      <c r="U338" s="93"/>
      <c r="V338" s="93"/>
      <c r="W338" s="83">
        <f t="shared" ca="1" si="15"/>
        <v>27</v>
      </c>
      <c r="X338" s="64" t="str">
        <f t="shared" ca="1" si="16"/>
        <v>1</v>
      </c>
      <c r="Y338" s="82" t="str">
        <f t="shared" ca="1" si="17"/>
        <v>2</v>
      </c>
      <c r="Z338" s="94"/>
      <c r="AA338" s="94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</row>
    <row r="339" spans="1:57" ht="37.5" x14ac:dyDescent="0.35">
      <c r="A339" s="85">
        <v>5791</v>
      </c>
      <c r="B339" s="86">
        <v>2020</v>
      </c>
      <c r="C339" s="87" t="s">
        <v>35</v>
      </c>
      <c r="D339" s="94" t="s">
        <v>190</v>
      </c>
      <c r="E339" s="87" t="s">
        <v>26</v>
      </c>
      <c r="F339" s="87" t="s">
        <v>25</v>
      </c>
      <c r="G339" s="88">
        <v>1</v>
      </c>
      <c r="H339" s="93" t="s">
        <v>326</v>
      </c>
      <c r="I339" s="94" t="s">
        <v>365</v>
      </c>
      <c r="J339" s="93">
        <v>18</v>
      </c>
      <c r="K339" s="93"/>
      <c r="L339" s="93">
        <v>36</v>
      </c>
      <c r="M339" s="93">
        <v>1</v>
      </c>
      <c r="N339" s="93"/>
      <c r="O339" s="93"/>
      <c r="P339" s="59">
        <v>1</v>
      </c>
      <c r="Q339" s="59"/>
      <c r="R339" s="59"/>
      <c r="S339" s="59"/>
      <c r="T339" s="95"/>
      <c r="U339" s="93"/>
      <c r="V339" s="93"/>
      <c r="W339" s="83">
        <f t="shared" ca="1" si="15"/>
        <v>27</v>
      </c>
      <c r="X339" s="64" t="str">
        <f t="shared" ca="1" si="16"/>
        <v>1</v>
      </c>
      <c r="Y339" s="82" t="str">
        <f t="shared" ca="1" si="17"/>
        <v>2</v>
      </c>
      <c r="Z339" s="94"/>
      <c r="AA339" s="94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</row>
    <row r="340" spans="1:57" ht="37.5" x14ac:dyDescent="0.35">
      <c r="A340" s="85">
        <v>5791</v>
      </c>
      <c r="B340" s="86">
        <v>2020</v>
      </c>
      <c r="C340" s="87" t="s">
        <v>35</v>
      </c>
      <c r="D340" s="94" t="s">
        <v>311</v>
      </c>
      <c r="E340" s="87" t="s">
        <v>63</v>
      </c>
      <c r="F340" s="87" t="s">
        <v>374</v>
      </c>
      <c r="G340" s="88">
        <v>1</v>
      </c>
      <c r="H340" s="93" t="s">
        <v>326</v>
      </c>
      <c r="I340" s="94" t="s">
        <v>166</v>
      </c>
      <c r="J340" s="93"/>
      <c r="K340" s="93"/>
      <c r="L340" s="93"/>
      <c r="M340" s="93">
        <v>1</v>
      </c>
      <c r="N340" s="93">
        <v>1</v>
      </c>
      <c r="O340" s="93"/>
      <c r="P340" s="59"/>
      <c r="Q340" s="59"/>
      <c r="R340" s="59"/>
      <c r="S340" s="59"/>
      <c r="T340" s="95"/>
      <c r="U340" s="93"/>
      <c r="V340" s="93"/>
      <c r="W340" s="83">
        <f t="shared" ca="1" si="15"/>
        <v>27</v>
      </c>
      <c r="X340" s="64" t="str">
        <f t="shared" ca="1" si="16"/>
        <v>1</v>
      </c>
      <c r="Y340" s="82" t="str">
        <f t="shared" ca="1" si="17"/>
        <v>2</v>
      </c>
      <c r="Z340" s="94"/>
      <c r="AA340" s="94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</row>
    <row r="341" spans="1:57" ht="37.5" x14ac:dyDescent="0.35">
      <c r="A341" s="85">
        <v>5791</v>
      </c>
      <c r="B341" s="86">
        <v>2020</v>
      </c>
      <c r="C341" s="87" t="s">
        <v>35</v>
      </c>
      <c r="D341" s="94" t="s">
        <v>117</v>
      </c>
      <c r="E341" s="87" t="s">
        <v>33</v>
      </c>
      <c r="F341" s="87" t="s">
        <v>25</v>
      </c>
      <c r="G341" s="88">
        <v>0.75</v>
      </c>
      <c r="H341" s="93" t="s">
        <v>326</v>
      </c>
      <c r="I341" s="94" t="s">
        <v>166</v>
      </c>
      <c r="J341" s="93"/>
      <c r="K341" s="93"/>
      <c r="L341" s="93"/>
      <c r="M341" s="93"/>
      <c r="N341" s="93">
        <v>1</v>
      </c>
      <c r="O341" s="93"/>
      <c r="P341" s="59"/>
      <c r="Q341" s="59"/>
      <c r="R341" s="59"/>
      <c r="S341" s="59"/>
      <c r="T341" s="95"/>
      <c r="U341" s="93"/>
      <c r="V341" s="93"/>
      <c r="W341" s="83">
        <f t="shared" ca="1" si="15"/>
        <v>27</v>
      </c>
      <c r="X341" s="64" t="str">
        <f t="shared" ca="1" si="16"/>
        <v>1</v>
      </c>
      <c r="Y341" s="82" t="str">
        <f t="shared" ca="1" si="17"/>
        <v>2</v>
      </c>
      <c r="Z341" s="94"/>
      <c r="AA341" s="94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</row>
    <row r="342" spans="1:57" ht="37.5" x14ac:dyDescent="0.35">
      <c r="A342" s="85">
        <v>5791</v>
      </c>
      <c r="B342" s="86">
        <v>2020</v>
      </c>
      <c r="C342" s="87" t="s">
        <v>35</v>
      </c>
      <c r="D342" s="94" t="s">
        <v>117</v>
      </c>
      <c r="E342" s="87" t="s">
        <v>33</v>
      </c>
      <c r="F342" s="87" t="s">
        <v>25</v>
      </c>
      <c r="G342" s="88">
        <v>0.75</v>
      </c>
      <c r="H342" s="93" t="s">
        <v>326</v>
      </c>
      <c r="I342" s="94" t="s">
        <v>337</v>
      </c>
      <c r="J342" s="93">
        <v>14</v>
      </c>
      <c r="K342" s="93">
        <v>22</v>
      </c>
      <c r="L342" s="93"/>
      <c r="M342" s="93">
        <v>1</v>
      </c>
      <c r="N342" s="93"/>
      <c r="O342" s="93"/>
      <c r="P342" s="59"/>
      <c r="Q342" s="59"/>
      <c r="R342" s="59"/>
      <c r="S342" s="59"/>
      <c r="T342" s="95"/>
      <c r="U342" s="93"/>
      <c r="V342" s="93"/>
      <c r="W342" s="83">
        <f t="shared" ca="1" si="15"/>
        <v>27</v>
      </c>
      <c r="X342" s="64" t="str">
        <f t="shared" ca="1" si="16"/>
        <v>1</v>
      </c>
      <c r="Y342" s="82" t="str">
        <f t="shared" ca="1" si="17"/>
        <v>2</v>
      </c>
      <c r="Z342" s="94"/>
      <c r="AA342" s="94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</row>
    <row r="343" spans="1:57" ht="37.5" x14ac:dyDescent="0.35">
      <c r="A343" s="85">
        <v>5791</v>
      </c>
      <c r="B343" s="86">
        <v>2020</v>
      </c>
      <c r="C343" s="87" t="s">
        <v>35</v>
      </c>
      <c r="D343" s="94" t="s">
        <v>115</v>
      </c>
      <c r="E343" s="87" t="s">
        <v>20</v>
      </c>
      <c r="F343" s="87" t="s">
        <v>374</v>
      </c>
      <c r="G343" s="88">
        <v>0.25</v>
      </c>
      <c r="H343" s="93" t="s">
        <v>326</v>
      </c>
      <c r="I343" s="94" t="s">
        <v>167</v>
      </c>
      <c r="J343" s="93"/>
      <c r="K343" s="93">
        <v>6</v>
      </c>
      <c r="L343" s="93">
        <v>48</v>
      </c>
      <c r="M343" s="93">
        <v>1</v>
      </c>
      <c r="N343" s="93"/>
      <c r="O343" s="93">
        <v>1</v>
      </c>
      <c r="P343" s="59"/>
      <c r="Q343" s="59">
        <v>24</v>
      </c>
      <c r="R343" s="59"/>
      <c r="S343" s="59"/>
      <c r="T343" s="95"/>
      <c r="U343" s="93"/>
      <c r="V343" s="93"/>
      <c r="W343" s="83">
        <f t="shared" ca="1" si="15"/>
        <v>27</v>
      </c>
      <c r="X343" s="64" t="str">
        <f t="shared" ca="1" si="16"/>
        <v>1</v>
      </c>
      <c r="Y343" s="82" t="str">
        <f t="shared" ca="1" si="17"/>
        <v>2</v>
      </c>
      <c r="Z343" s="94"/>
      <c r="AA343" s="94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</row>
    <row r="344" spans="1:57" ht="37.5" x14ac:dyDescent="0.35">
      <c r="A344" s="85">
        <v>5791</v>
      </c>
      <c r="B344" s="86">
        <v>2020</v>
      </c>
      <c r="C344" s="87" t="s">
        <v>35</v>
      </c>
      <c r="D344" s="94" t="s">
        <v>311</v>
      </c>
      <c r="E344" s="87" t="s">
        <v>63</v>
      </c>
      <c r="F344" s="87" t="s">
        <v>374</v>
      </c>
      <c r="G344" s="88">
        <v>1</v>
      </c>
      <c r="H344" s="93" t="s">
        <v>326</v>
      </c>
      <c r="I344" s="94" t="s">
        <v>167</v>
      </c>
      <c r="J344" s="93"/>
      <c r="K344" s="93"/>
      <c r="L344" s="93"/>
      <c r="M344" s="93"/>
      <c r="N344" s="93"/>
      <c r="O344" s="93"/>
      <c r="P344" s="59"/>
      <c r="Q344" s="59">
        <v>24</v>
      </c>
      <c r="R344" s="59"/>
      <c r="S344" s="59"/>
      <c r="T344" s="95"/>
      <c r="U344" s="93"/>
      <c r="V344" s="93"/>
      <c r="W344" s="83">
        <f t="shared" ca="1" si="15"/>
        <v>27</v>
      </c>
      <c r="X344" s="64" t="str">
        <f t="shared" ca="1" si="16"/>
        <v>1</v>
      </c>
      <c r="Y344" s="82" t="str">
        <f t="shared" ca="1" si="17"/>
        <v>2</v>
      </c>
      <c r="Z344" s="94"/>
      <c r="AA344" s="9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</row>
    <row r="345" spans="1:57" ht="37.5" x14ac:dyDescent="0.35">
      <c r="A345" s="85">
        <v>5791</v>
      </c>
      <c r="B345" s="86">
        <v>2020</v>
      </c>
      <c r="C345" s="87" t="s">
        <v>35</v>
      </c>
      <c r="D345" s="94" t="s">
        <v>130</v>
      </c>
      <c r="E345" s="94" t="s">
        <v>26</v>
      </c>
      <c r="F345" s="94" t="s">
        <v>25</v>
      </c>
      <c r="G345" s="94">
        <v>1</v>
      </c>
      <c r="H345" s="93" t="s">
        <v>326</v>
      </c>
      <c r="I345" s="94" t="s">
        <v>167</v>
      </c>
      <c r="J345" s="93">
        <v>6</v>
      </c>
      <c r="K345" s="93"/>
      <c r="L345" s="93"/>
      <c r="M345" s="93"/>
      <c r="N345" s="93"/>
      <c r="O345" s="93"/>
      <c r="P345" s="59"/>
      <c r="Q345" s="59">
        <v>10</v>
      </c>
      <c r="R345" s="59"/>
      <c r="S345" s="59"/>
      <c r="T345" s="95"/>
      <c r="U345" s="93"/>
      <c r="V345" s="93"/>
      <c r="W345" s="83">
        <f t="shared" ca="1" si="15"/>
        <v>27</v>
      </c>
      <c r="X345" s="64" t="str">
        <f t="shared" ca="1" si="16"/>
        <v>1</v>
      </c>
      <c r="Y345" s="82" t="str">
        <f t="shared" ca="1" si="17"/>
        <v>2</v>
      </c>
      <c r="Z345" s="94"/>
      <c r="AA345" s="94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</row>
    <row r="346" spans="1:57" ht="37.5" x14ac:dyDescent="0.35">
      <c r="A346" s="85">
        <v>5791</v>
      </c>
      <c r="B346" s="86">
        <v>2020</v>
      </c>
      <c r="C346" s="87" t="s">
        <v>35</v>
      </c>
      <c r="D346" s="94" t="s">
        <v>115</v>
      </c>
      <c r="E346" s="94" t="s">
        <v>20</v>
      </c>
      <c r="F346" s="94" t="s">
        <v>374</v>
      </c>
      <c r="G346" s="94">
        <v>1</v>
      </c>
      <c r="H346" s="93" t="s">
        <v>326</v>
      </c>
      <c r="I346" s="94" t="s">
        <v>172</v>
      </c>
      <c r="J346" s="93"/>
      <c r="K346" s="93">
        <v>12</v>
      </c>
      <c r="L346" s="93"/>
      <c r="M346" s="93"/>
      <c r="N346" s="93"/>
      <c r="O346" s="93"/>
      <c r="P346" s="59"/>
      <c r="Q346" s="59"/>
      <c r="R346" s="59"/>
      <c r="S346" s="59"/>
      <c r="T346" s="95"/>
      <c r="U346" s="93"/>
      <c r="V346" s="93"/>
      <c r="W346" s="83">
        <f t="shared" ca="1" si="15"/>
        <v>27</v>
      </c>
      <c r="X346" s="64" t="str">
        <f t="shared" ca="1" si="16"/>
        <v>1</v>
      </c>
      <c r="Y346" s="82" t="str">
        <f t="shared" ca="1" si="17"/>
        <v>2</v>
      </c>
      <c r="Z346" s="94"/>
      <c r="AA346" s="94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</row>
    <row r="347" spans="1:57" ht="37.5" x14ac:dyDescent="0.35">
      <c r="A347" s="85">
        <v>5791</v>
      </c>
      <c r="B347" s="86">
        <v>2020</v>
      </c>
      <c r="C347" s="87" t="s">
        <v>35</v>
      </c>
      <c r="D347" s="94" t="s">
        <v>309</v>
      </c>
      <c r="E347" s="94" t="s">
        <v>20</v>
      </c>
      <c r="F347" s="94" t="s">
        <v>374</v>
      </c>
      <c r="G347" s="94">
        <v>1</v>
      </c>
      <c r="H347" s="93" t="s">
        <v>326</v>
      </c>
      <c r="I347" s="94" t="s">
        <v>172</v>
      </c>
      <c r="J347" s="93"/>
      <c r="K347" s="93">
        <v>12</v>
      </c>
      <c r="L347" s="93"/>
      <c r="M347" s="93">
        <v>1</v>
      </c>
      <c r="N347" s="93"/>
      <c r="O347" s="93"/>
      <c r="P347" s="59"/>
      <c r="Q347" s="59"/>
      <c r="R347" s="59"/>
      <c r="S347" s="59"/>
      <c r="T347" s="95"/>
      <c r="U347" s="93"/>
      <c r="V347" s="93"/>
      <c r="W347" s="83">
        <f t="shared" ca="1" si="15"/>
        <v>27</v>
      </c>
      <c r="X347" s="64" t="str">
        <f t="shared" ca="1" si="16"/>
        <v>1</v>
      </c>
      <c r="Y347" s="82" t="str">
        <f t="shared" ca="1" si="17"/>
        <v>2</v>
      </c>
      <c r="Z347" s="94"/>
      <c r="AA347" s="94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</row>
    <row r="348" spans="1:57" ht="37.5" x14ac:dyDescent="0.35">
      <c r="A348" s="85">
        <v>5791</v>
      </c>
      <c r="B348" s="86">
        <v>2020</v>
      </c>
      <c r="C348" s="87" t="s">
        <v>35</v>
      </c>
      <c r="D348" s="87" t="s">
        <v>380</v>
      </c>
      <c r="E348" s="94" t="s">
        <v>33</v>
      </c>
      <c r="F348" s="94" t="s">
        <v>374</v>
      </c>
      <c r="G348" s="94">
        <v>1</v>
      </c>
      <c r="H348" s="93" t="s">
        <v>326</v>
      </c>
      <c r="I348" s="94" t="s">
        <v>172</v>
      </c>
      <c r="J348" s="93">
        <v>12</v>
      </c>
      <c r="K348" s="93"/>
      <c r="L348" s="93"/>
      <c r="M348" s="93">
        <v>1</v>
      </c>
      <c r="N348" s="93"/>
      <c r="O348" s="93"/>
      <c r="P348" s="59"/>
      <c r="Q348" s="59"/>
      <c r="R348" s="59"/>
      <c r="S348" s="59"/>
      <c r="T348" s="95"/>
      <c r="U348" s="93"/>
      <c r="V348" s="93"/>
      <c r="W348" s="83">
        <f t="shared" ca="1" si="15"/>
        <v>27</v>
      </c>
      <c r="X348" s="64" t="str">
        <f t="shared" ca="1" si="16"/>
        <v>1</v>
      </c>
      <c r="Y348" s="82" t="str">
        <f t="shared" ca="1" si="17"/>
        <v>2</v>
      </c>
      <c r="Z348" s="94"/>
      <c r="AA348" s="94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</row>
    <row r="349" spans="1:57" ht="37.5" x14ac:dyDescent="0.35">
      <c r="A349" s="85">
        <v>5791</v>
      </c>
      <c r="B349" s="86">
        <v>2020</v>
      </c>
      <c r="C349" s="87" t="s">
        <v>35</v>
      </c>
      <c r="D349" s="94" t="s">
        <v>115</v>
      </c>
      <c r="E349" s="87" t="s">
        <v>20</v>
      </c>
      <c r="F349" s="87" t="s">
        <v>82</v>
      </c>
      <c r="G349" s="88">
        <v>0.25</v>
      </c>
      <c r="H349" s="93" t="s">
        <v>326</v>
      </c>
      <c r="I349" s="94" t="s">
        <v>338</v>
      </c>
      <c r="J349" s="93"/>
      <c r="K349" s="93"/>
      <c r="L349" s="93">
        <v>36</v>
      </c>
      <c r="M349" s="93">
        <v>1</v>
      </c>
      <c r="N349" s="93"/>
      <c r="O349" s="93"/>
      <c r="P349" s="59"/>
      <c r="Q349" s="59"/>
      <c r="R349" s="59"/>
      <c r="S349" s="59"/>
      <c r="T349" s="95"/>
      <c r="U349" s="93"/>
      <c r="V349" s="93"/>
      <c r="W349" s="83">
        <f t="shared" ca="1" si="15"/>
        <v>27</v>
      </c>
      <c r="X349" s="64" t="str">
        <f t="shared" ca="1" si="16"/>
        <v>1</v>
      </c>
      <c r="Y349" s="82" t="str">
        <f t="shared" ca="1" si="17"/>
        <v>2</v>
      </c>
      <c r="Z349" s="94"/>
      <c r="AA349" s="94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</row>
    <row r="350" spans="1:57" ht="37.5" x14ac:dyDescent="0.35">
      <c r="A350" s="85">
        <v>4858</v>
      </c>
      <c r="B350" s="86">
        <v>2019</v>
      </c>
      <c r="C350" s="87" t="s">
        <v>35</v>
      </c>
      <c r="D350" s="94" t="s">
        <v>309</v>
      </c>
      <c r="E350" s="94" t="s">
        <v>20</v>
      </c>
      <c r="F350" s="94" t="s">
        <v>374</v>
      </c>
      <c r="G350" s="94"/>
      <c r="H350" s="93" t="s">
        <v>323</v>
      </c>
      <c r="I350" s="94" t="s">
        <v>339</v>
      </c>
      <c r="J350" s="93"/>
      <c r="K350" s="93"/>
      <c r="L350" s="93">
        <v>48</v>
      </c>
      <c r="M350" s="93"/>
      <c r="N350" s="93"/>
      <c r="O350" s="93"/>
      <c r="P350" s="59"/>
      <c r="Q350" s="59"/>
      <c r="R350" s="59"/>
      <c r="S350" s="59"/>
      <c r="T350" s="95"/>
      <c r="U350" s="93"/>
      <c r="V350" s="93"/>
      <c r="W350" s="83">
        <f t="shared" ca="1" si="15"/>
        <v>27</v>
      </c>
      <c r="X350" s="64" t="str">
        <f t="shared" ca="1" si="16"/>
        <v>1</v>
      </c>
      <c r="Y350" s="82" t="str">
        <f t="shared" ca="1" si="17"/>
        <v>2</v>
      </c>
      <c r="Z350" s="94"/>
      <c r="AA350" s="94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</row>
    <row r="351" spans="1:57" ht="37.5" x14ac:dyDescent="0.35">
      <c r="A351" s="85">
        <v>4858</v>
      </c>
      <c r="B351" s="86">
        <v>2019</v>
      </c>
      <c r="C351" s="87" t="s">
        <v>35</v>
      </c>
      <c r="D351" s="94" t="s">
        <v>311</v>
      </c>
      <c r="E351" s="87" t="s">
        <v>63</v>
      </c>
      <c r="F351" s="87" t="s">
        <v>374</v>
      </c>
      <c r="G351" s="94"/>
      <c r="H351" s="93" t="s">
        <v>323</v>
      </c>
      <c r="I351" s="94" t="s">
        <v>339</v>
      </c>
      <c r="J351" s="93">
        <v>12</v>
      </c>
      <c r="K351" s="93"/>
      <c r="L351" s="93"/>
      <c r="M351" s="93"/>
      <c r="N351" s="93"/>
      <c r="O351" s="93"/>
      <c r="P351" s="59"/>
      <c r="Q351" s="59"/>
      <c r="R351" s="59"/>
      <c r="S351" s="59"/>
      <c r="T351" s="95"/>
      <c r="U351" s="93"/>
      <c r="V351" s="93"/>
      <c r="W351" s="83">
        <f t="shared" ca="1" si="15"/>
        <v>27</v>
      </c>
      <c r="X351" s="64" t="str">
        <f t="shared" ca="1" si="16"/>
        <v>1</v>
      </c>
      <c r="Y351" s="82" t="str">
        <f t="shared" ca="1" si="17"/>
        <v>2</v>
      </c>
      <c r="Z351" s="94"/>
      <c r="AA351" s="94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</row>
    <row r="352" spans="1:57" ht="37.5" x14ac:dyDescent="0.35">
      <c r="A352" s="85">
        <v>5791</v>
      </c>
      <c r="B352" s="86">
        <v>2020</v>
      </c>
      <c r="C352" s="87" t="s">
        <v>35</v>
      </c>
      <c r="D352" s="94" t="s">
        <v>309</v>
      </c>
      <c r="E352" s="87" t="s">
        <v>20</v>
      </c>
      <c r="F352" s="87" t="s">
        <v>374</v>
      </c>
      <c r="G352" s="88">
        <v>1</v>
      </c>
      <c r="H352" s="93" t="s">
        <v>326</v>
      </c>
      <c r="I352" s="94" t="s">
        <v>339</v>
      </c>
      <c r="J352" s="93"/>
      <c r="K352" s="93">
        <v>24</v>
      </c>
      <c r="L352" s="93"/>
      <c r="M352" s="93"/>
      <c r="N352" s="93"/>
      <c r="O352" s="93">
        <v>1</v>
      </c>
      <c r="P352" s="59"/>
      <c r="Q352" s="59"/>
      <c r="R352" s="59"/>
      <c r="S352" s="59"/>
      <c r="T352" s="95"/>
      <c r="U352" s="93"/>
      <c r="V352" s="93"/>
      <c r="W352" s="83">
        <f t="shared" ca="1" si="15"/>
        <v>27</v>
      </c>
      <c r="X352" s="64" t="str">
        <f t="shared" ca="1" si="16"/>
        <v>1</v>
      </c>
      <c r="Y352" s="82" t="str">
        <f t="shared" ca="1" si="17"/>
        <v>2</v>
      </c>
      <c r="Z352" s="94"/>
      <c r="AA352" s="94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</row>
    <row r="353" spans="1:57" ht="37.5" x14ac:dyDescent="0.35">
      <c r="A353" s="85">
        <v>5791</v>
      </c>
      <c r="B353" s="86">
        <v>2020</v>
      </c>
      <c r="C353" s="87" t="s">
        <v>35</v>
      </c>
      <c r="D353" s="94" t="s">
        <v>311</v>
      </c>
      <c r="E353" s="87" t="s">
        <v>63</v>
      </c>
      <c r="F353" s="87" t="s">
        <v>374</v>
      </c>
      <c r="G353" s="88">
        <v>1</v>
      </c>
      <c r="H353" s="93" t="s">
        <v>326</v>
      </c>
      <c r="I353" s="94" t="s">
        <v>339</v>
      </c>
      <c r="J353" s="93">
        <v>12</v>
      </c>
      <c r="K353" s="93"/>
      <c r="L353" s="93"/>
      <c r="M353" s="93">
        <v>1</v>
      </c>
      <c r="N353" s="93"/>
      <c r="O353" s="93"/>
      <c r="P353" s="59"/>
      <c r="Q353" s="59"/>
      <c r="R353" s="59"/>
      <c r="S353" s="59"/>
      <c r="T353" s="95"/>
      <c r="U353" s="93"/>
      <c r="V353" s="93"/>
      <c r="W353" s="83">
        <f t="shared" ca="1" si="15"/>
        <v>27</v>
      </c>
      <c r="X353" s="64" t="str">
        <f t="shared" ca="1" si="16"/>
        <v>1</v>
      </c>
      <c r="Y353" s="82" t="str">
        <f t="shared" ca="1" si="17"/>
        <v>2</v>
      </c>
      <c r="Z353" s="94"/>
      <c r="AA353" s="94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</row>
    <row r="354" spans="1:57" ht="37.5" x14ac:dyDescent="0.35">
      <c r="A354" s="85">
        <v>5791</v>
      </c>
      <c r="B354" s="86">
        <v>2020</v>
      </c>
      <c r="C354" s="87" t="s">
        <v>35</v>
      </c>
      <c r="D354" s="94" t="s">
        <v>190</v>
      </c>
      <c r="E354" s="87" t="s">
        <v>26</v>
      </c>
      <c r="F354" s="87" t="s">
        <v>25</v>
      </c>
      <c r="G354" s="88">
        <v>1</v>
      </c>
      <c r="H354" s="93" t="s">
        <v>326</v>
      </c>
      <c r="I354" s="94" t="s">
        <v>356</v>
      </c>
      <c r="J354" s="93">
        <v>18</v>
      </c>
      <c r="K354" s="93"/>
      <c r="L354" s="93">
        <v>36</v>
      </c>
      <c r="M354" s="93">
        <v>1</v>
      </c>
      <c r="N354" s="93"/>
      <c r="O354" s="93"/>
      <c r="P354" s="59">
        <v>1</v>
      </c>
      <c r="Q354" s="59"/>
      <c r="R354" s="59"/>
      <c r="S354" s="59"/>
      <c r="T354" s="95"/>
      <c r="U354" s="93"/>
      <c r="V354" s="93"/>
      <c r="W354" s="83">
        <f t="shared" ca="1" si="15"/>
        <v>27</v>
      </c>
      <c r="X354" s="64" t="str">
        <f t="shared" ca="1" si="16"/>
        <v>1</v>
      </c>
      <c r="Y354" s="82" t="str">
        <f t="shared" ca="1" si="17"/>
        <v>2</v>
      </c>
      <c r="Z354" s="94"/>
      <c r="AA354" s="9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</row>
    <row r="355" spans="1:57" ht="37.5" x14ac:dyDescent="0.35">
      <c r="A355" s="85">
        <v>5791</v>
      </c>
      <c r="B355" s="86">
        <v>2020</v>
      </c>
      <c r="C355" s="87" t="s">
        <v>35</v>
      </c>
      <c r="D355" s="94" t="s">
        <v>116</v>
      </c>
      <c r="E355" s="94" t="s">
        <v>28</v>
      </c>
      <c r="F355" s="94" t="s">
        <v>56</v>
      </c>
      <c r="G355" s="94">
        <v>1</v>
      </c>
      <c r="H355" s="93" t="s">
        <v>326</v>
      </c>
      <c r="I355" s="94" t="s">
        <v>368</v>
      </c>
      <c r="J355" s="93"/>
      <c r="K355" s="93"/>
      <c r="L355" s="93"/>
      <c r="M355" s="93"/>
      <c r="N355" s="93">
        <v>1</v>
      </c>
      <c r="O355" s="93"/>
      <c r="P355" s="59"/>
      <c r="Q355" s="59"/>
      <c r="R355" s="59"/>
      <c r="S355" s="59"/>
      <c r="T355" s="95"/>
      <c r="U355" s="93"/>
      <c r="V355" s="93"/>
      <c r="W355" s="83">
        <f t="shared" ca="1" si="15"/>
        <v>27</v>
      </c>
      <c r="X355" s="64" t="str">
        <f t="shared" ca="1" si="16"/>
        <v>1</v>
      </c>
      <c r="Y355" s="82" t="str">
        <f t="shared" ca="1" si="17"/>
        <v>2</v>
      </c>
      <c r="Z355" s="94"/>
      <c r="AA355" s="94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</row>
    <row r="356" spans="1:57" ht="37.5" x14ac:dyDescent="0.35">
      <c r="A356" s="85">
        <v>5791</v>
      </c>
      <c r="B356" s="86">
        <v>2020</v>
      </c>
      <c r="C356" s="87" t="s">
        <v>35</v>
      </c>
      <c r="D356" s="94" t="s">
        <v>70</v>
      </c>
      <c r="E356" s="94" t="s">
        <v>28</v>
      </c>
      <c r="F356" s="94" t="s">
        <v>23</v>
      </c>
      <c r="G356" s="94">
        <v>1</v>
      </c>
      <c r="H356" s="93" t="s">
        <v>326</v>
      </c>
      <c r="I356" s="94" t="s">
        <v>368</v>
      </c>
      <c r="J356" s="93"/>
      <c r="K356" s="93"/>
      <c r="L356" s="93"/>
      <c r="M356" s="93">
        <v>1</v>
      </c>
      <c r="N356" s="93">
        <v>1</v>
      </c>
      <c r="O356" s="93"/>
      <c r="P356" s="59"/>
      <c r="Q356" s="59"/>
      <c r="R356" s="59"/>
      <c r="S356" s="59"/>
      <c r="T356" s="95"/>
      <c r="U356" s="93"/>
      <c r="V356" s="93"/>
      <c r="W356" s="83">
        <f t="shared" ca="1" si="15"/>
        <v>27</v>
      </c>
      <c r="X356" s="64" t="str">
        <f t="shared" ca="1" si="16"/>
        <v>1</v>
      </c>
      <c r="Y356" s="82" t="str">
        <f t="shared" ca="1" si="17"/>
        <v>2</v>
      </c>
      <c r="Z356" s="94"/>
      <c r="AA356" s="94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</row>
    <row r="357" spans="1:57" ht="37.5" x14ac:dyDescent="0.35">
      <c r="A357" s="85">
        <v>5791</v>
      </c>
      <c r="B357" s="86">
        <v>2020</v>
      </c>
      <c r="C357" s="87" t="s">
        <v>35</v>
      </c>
      <c r="D357" s="94" t="s">
        <v>116</v>
      </c>
      <c r="E357" s="87" t="s">
        <v>28</v>
      </c>
      <c r="F357" s="87" t="s">
        <v>56</v>
      </c>
      <c r="G357" s="88">
        <v>1</v>
      </c>
      <c r="H357" s="93" t="s">
        <v>326</v>
      </c>
      <c r="I357" s="94" t="s">
        <v>369</v>
      </c>
      <c r="J357" s="93">
        <v>18</v>
      </c>
      <c r="K357" s="93"/>
      <c r="L357" s="93">
        <v>36</v>
      </c>
      <c r="M357" s="93">
        <v>1</v>
      </c>
      <c r="N357" s="93"/>
      <c r="O357" s="93"/>
      <c r="P357" s="59"/>
      <c r="Q357" s="59"/>
      <c r="R357" s="59"/>
      <c r="S357" s="59"/>
      <c r="T357" s="95"/>
      <c r="U357" s="93"/>
      <c r="V357" s="93"/>
      <c r="W357" s="83">
        <f t="shared" ca="1" si="15"/>
        <v>27</v>
      </c>
      <c r="X357" s="64" t="str">
        <f t="shared" ca="1" si="16"/>
        <v>1</v>
      </c>
      <c r="Y357" s="82" t="str">
        <f t="shared" ca="1" si="17"/>
        <v>2</v>
      </c>
      <c r="Z357" s="94"/>
      <c r="AA357" s="94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</row>
    <row r="358" spans="1:57" ht="37.5" x14ac:dyDescent="0.35">
      <c r="A358" s="85">
        <v>5791</v>
      </c>
      <c r="B358" s="86">
        <v>2020</v>
      </c>
      <c r="C358" s="87" t="s">
        <v>35</v>
      </c>
      <c r="D358" s="94" t="s">
        <v>70</v>
      </c>
      <c r="E358" s="87" t="s">
        <v>28</v>
      </c>
      <c r="F358" s="87" t="s">
        <v>23</v>
      </c>
      <c r="G358" s="88">
        <v>1</v>
      </c>
      <c r="H358" s="93" t="s">
        <v>326</v>
      </c>
      <c r="I358" s="94" t="s">
        <v>370</v>
      </c>
      <c r="J358" s="93">
        <v>18</v>
      </c>
      <c r="K358" s="93"/>
      <c r="L358" s="93"/>
      <c r="M358" s="93">
        <v>1</v>
      </c>
      <c r="N358" s="93"/>
      <c r="O358" s="93"/>
      <c r="P358" s="59"/>
      <c r="Q358" s="59"/>
      <c r="R358" s="59"/>
      <c r="S358" s="59"/>
      <c r="T358" s="95"/>
      <c r="U358" s="93"/>
      <c r="V358" s="93"/>
      <c r="W358" s="83">
        <f t="shared" ca="1" si="15"/>
        <v>27</v>
      </c>
      <c r="X358" s="64" t="str">
        <f t="shared" ca="1" si="16"/>
        <v>1</v>
      </c>
      <c r="Y358" s="82" t="str">
        <f t="shared" ca="1" si="17"/>
        <v>2</v>
      </c>
      <c r="Z358" s="94"/>
      <c r="AA358" s="94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</row>
    <row r="359" spans="1:57" ht="37.5" x14ac:dyDescent="0.35">
      <c r="A359" s="85">
        <v>5791</v>
      </c>
      <c r="B359" s="86">
        <v>2020</v>
      </c>
      <c r="C359" s="87" t="s">
        <v>35</v>
      </c>
      <c r="D359" s="94" t="s">
        <v>130</v>
      </c>
      <c r="E359" s="87" t="s">
        <v>26</v>
      </c>
      <c r="F359" s="87" t="s">
        <v>25</v>
      </c>
      <c r="G359" s="94">
        <v>1</v>
      </c>
      <c r="H359" s="93" t="s">
        <v>326</v>
      </c>
      <c r="I359" s="94" t="s">
        <v>340</v>
      </c>
      <c r="J359" s="93"/>
      <c r="K359" s="93"/>
      <c r="L359" s="93"/>
      <c r="M359" s="93">
        <v>1</v>
      </c>
      <c r="N359" s="93">
        <v>1</v>
      </c>
      <c r="O359" s="93"/>
      <c r="P359" s="59"/>
      <c r="Q359" s="59"/>
      <c r="R359" s="59"/>
      <c r="S359" s="59"/>
      <c r="T359" s="95"/>
      <c r="U359" s="93"/>
      <c r="V359" s="93"/>
      <c r="W359" s="83">
        <f t="shared" ca="1" si="15"/>
        <v>27</v>
      </c>
      <c r="X359" s="64" t="str">
        <f t="shared" ca="1" si="16"/>
        <v>1</v>
      </c>
      <c r="Y359" s="82" t="str">
        <f t="shared" ca="1" si="17"/>
        <v>2</v>
      </c>
      <c r="Z359" s="94"/>
      <c r="AA359" s="94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</row>
    <row r="360" spans="1:57" ht="37.5" x14ac:dyDescent="0.35">
      <c r="A360" s="85">
        <v>5791</v>
      </c>
      <c r="B360" s="86">
        <v>2020</v>
      </c>
      <c r="C360" s="87" t="s">
        <v>35</v>
      </c>
      <c r="D360" s="94" t="s">
        <v>72</v>
      </c>
      <c r="E360" s="87" t="s">
        <v>26</v>
      </c>
      <c r="F360" s="87" t="s">
        <v>25</v>
      </c>
      <c r="G360" s="88">
        <v>1</v>
      </c>
      <c r="H360" s="93" t="s">
        <v>326</v>
      </c>
      <c r="I360" s="94" t="s">
        <v>340</v>
      </c>
      <c r="J360" s="93"/>
      <c r="K360" s="93"/>
      <c r="L360" s="93"/>
      <c r="M360" s="93">
        <v>1</v>
      </c>
      <c r="N360" s="93">
        <v>1</v>
      </c>
      <c r="O360" s="93"/>
      <c r="P360" s="59"/>
      <c r="Q360" s="59"/>
      <c r="R360" s="59"/>
      <c r="S360" s="59"/>
      <c r="T360" s="95"/>
      <c r="U360" s="93"/>
      <c r="V360" s="93"/>
      <c r="W360" s="83">
        <f t="shared" ca="1" si="15"/>
        <v>27</v>
      </c>
      <c r="X360" s="64" t="str">
        <f t="shared" ca="1" si="16"/>
        <v>1</v>
      </c>
      <c r="Y360" s="82" t="str">
        <f t="shared" ca="1" si="17"/>
        <v>2</v>
      </c>
      <c r="Z360" s="94"/>
      <c r="AA360" s="94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</row>
    <row r="361" spans="1:57" ht="37.5" x14ac:dyDescent="0.35">
      <c r="A361" s="85">
        <v>5791</v>
      </c>
      <c r="B361" s="86">
        <v>2020</v>
      </c>
      <c r="C361" s="87" t="s">
        <v>35</v>
      </c>
      <c r="D361" s="87" t="s">
        <v>380</v>
      </c>
      <c r="E361" s="87" t="s">
        <v>33</v>
      </c>
      <c r="F361" s="87" t="s">
        <v>374</v>
      </c>
      <c r="G361" s="88">
        <v>1</v>
      </c>
      <c r="H361" s="93" t="s">
        <v>326</v>
      </c>
      <c r="I361" s="94" t="s">
        <v>341</v>
      </c>
      <c r="J361" s="93"/>
      <c r="K361" s="93"/>
      <c r="L361" s="93">
        <v>36</v>
      </c>
      <c r="M361" s="93">
        <v>1</v>
      </c>
      <c r="N361" s="93"/>
      <c r="O361" s="93"/>
      <c r="P361" s="59"/>
      <c r="Q361" s="59"/>
      <c r="R361" s="59"/>
      <c r="S361" s="59"/>
      <c r="T361" s="95"/>
      <c r="U361" s="93"/>
      <c r="V361" s="93"/>
      <c r="W361" s="83">
        <f t="shared" ca="1" si="15"/>
        <v>27</v>
      </c>
      <c r="X361" s="64" t="str">
        <f t="shared" ca="1" si="16"/>
        <v>1</v>
      </c>
      <c r="Y361" s="82" t="str">
        <f t="shared" ca="1" si="17"/>
        <v>2</v>
      </c>
      <c r="Z361" s="94"/>
      <c r="AA361" s="94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</row>
    <row r="362" spans="1:57" ht="37.5" x14ac:dyDescent="0.35">
      <c r="A362" s="85">
        <v>5791</v>
      </c>
      <c r="B362" s="86">
        <v>2020</v>
      </c>
      <c r="C362" s="87" t="s">
        <v>35</v>
      </c>
      <c r="D362" s="94" t="s">
        <v>116</v>
      </c>
      <c r="E362" s="94" t="s">
        <v>28</v>
      </c>
      <c r="F362" s="94" t="s">
        <v>56</v>
      </c>
      <c r="G362" s="94">
        <v>1</v>
      </c>
      <c r="H362" s="93" t="s">
        <v>326</v>
      </c>
      <c r="I362" s="94" t="s">
        <v>342</v>
      </c>
      <c r="J362" s="93">
        <v>12</v>
      </c>
      <c r="K362" s="93"/>
      <c r="L362" s="93">
        <v>48</v>
      </c>
      <c r="M362" s="93">
        <v>1</v>
      </c>
      <c r="N362" s="93"/>
      <c r="O362" s="93"/>
      <c r="P362" s="59"/>
      <c r="Q362" s="59"/>
      <c r="R362" s="59"/>
      <c r="S362" s="59"/>
      <c r="T362" s="95"/>
      <c r="U362" s="93"/>
      <c r="V362" s="93"/>
      <c r="W362" s="83">
        <f t="shared" ca="1" si="15"/>
        <v>27</v>
      </c>
      <c r="X362" s="64" t="str">
        <f t="shared" ca="1" si="16"/>
        <v>1</v>
      </c>
      <c r="Y362" s="82" t="str">
        <f t="shared" ca="1" si="17"/>
        <v>2</v>
      </c>
      <c r="Z362" s="94"/>
      <c r="AA362" s="94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</row>
    <row r="363" spans="1:57" ht="37.5" x14ac:dyDescent="0.35">
      <c r="A363" s="85">
        <v>5791</v>
      </c>
      <c r="B363" s="86">
        <v>2020</v>
      </c>
      <c r="C363" s="87" t="s">
        <v>35</v>
      </c>
      <c r="D363" s="94" t="s">
        <v>72</v>
      </c>
      <c r="E363" s="94" t="s">
        <v>26</v>
      </c>
      <c r="F363" s="94" t="s">
        <v>25</v>
      </c>
      <c r="G363" s="94">
        <v>1</v>
      </c>
      <c r="H363" s="93" t="s">
        <v>326</v>
      </c>
      <c r="I363" s="94" t="s">
        <v>343</v>
      </c>
      <c r="J363" s="93">
        <v>18</v>
      </c>
      <c r="K363" s="93"/>
      <c r="L363" s="93">
        <v>36</v>
      </c>
      <c r="M363" s="93">
        <v>1</v>
      </c>
      <c r="N363" s="93"/>
      <c r="O363" s="93"/>
      <c r="P363" s="59"/>
      <c r="Q363" s="59"/>
      <c r="R363" s="59"/>
      <c r="S363" s="59"/>
      <c r="T363" s="95"/>
      <c r="U363" s="93"/>
      <c r="V363" s="93"/>
      <c r="W363" s="83">
        <f t="shared" ca="1" si="15"/>
        <v>27</v>
      </c>
      <c r="X363" s="64" t="str">
        <f t="shared" ca="1" si="16"/>
        <v>1</v>
      </c>
      <c r="Y363" s="82" t="str">
        <f t="shared" ca="1" si="17"/>
        <v>2</v>
      </c>
      <c r="Z363" s="94"/>
      <c r="AA363" s="94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</row>
    <row r="364" spans="1:57" ht="37.5" x14ac:dyDescent="0.35">
      <c r="A364" s="85">
        <v>5791</v>
      </c>
      <c r="B364" s="86">
        <v>2020</v>
      </c>
      <c r="C364" s="87" t="s">
        <v>35</v>
      </c>
      <c r="D364" s="94" t="s">
        <v>311</v>
      </c>
      <c r="E364" s="87" t="s">
        <v>63</v>
      </c>
      <c r="F364" s="87" t="s">
        <v>374</v>
      </c>
      <c r="G364" s="88">
        <v>1</v>
      </c>
      <c r="H364" s="93" t="s">
        <v>326</v>
      </c>
      <c r="I364" s="94" t="s">
        <v>165</v>
      </c>
      <c r="J364" s="93"/>
      <c r="K364" s="93"/>
      <c r="L364" s="93"/>
      <c r="M364" s="93"/>
      <c r="N364" s="93"/>
      <c r="O364" s="93"/>
      <c r="P364" s="59"/>
      <c r="Q364" s="59"/>
      <c r="R364" s="59"/>
      <c r="S364" s="59"/>
      <c r="T364" s="95"/>
      <c r="U364" s="93">
        <v>12</v>
      </c>
      <c r="V364" s="93"/>
      <c r="W364" s="83">
        <f t="shared" ca="1" si="15"/>
        <v>27</v>
      </c>
      <c r="X364" s="64" t="str">
        <f t="shared" ca="1" si="16"/>
        <v>1</v>
      </c>
      <c r="Y364" s="82" t="str">
        <f t="shared" ca="1" si="17"/>
        <v>2</v>
      </c>
      <c r="Z364" s="94"/>
      <c r="AA364" s="9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</row>
    <row r="365" spans="1:57" ht="37.5" x14ac:dyDescent="0.35">
      <c r="A365" s="85">
        <v>5791</v>
      </c>
      <c r="B365" s="86">
        <v>2020</v>
      </c>
      <c r="C365" s="87" t="s">
        <v>35</v>
      </c>
      <c r="D365" s="94" t="s">
        <v>70</v>
      </c>
      <c r="E365" s="87" t="s">
        <v>28</v>
      </c>
      <c r="F365" s="87" t="s">
        <v>23</v>
      </c>
      <c r="G365" s="88">
        <v>1</v>
      </c>
      <c r="H365" s="93" t="s">
        <v>326</v>
      </c>
      <c r="I365" s="94" t="s">
        <v>165</v>
      </c>
      <c r="J365" s="93"/>
      <c r="K365" s="93"/>
      <c r="L365" s="93"/>
      <c r="M365" s="93"/>
      <c r="N365" s="93"/>
      <c r="O365" s="93"/>
      <c r="P365" s="59"/>
      <c r="Q365" s="59"/>
      <c r="R365" s="59"/>
      <c r="S365" s="59"/>
      <c r="T365" s="95"/>
      <c r="U365" s="93">
        <v>1</v>
      </c>
      <c r="V365" s="93"/>
      <c r="W365" s="83">
        <f t="shared" ca="1" si="15"/>
        <v>27</v>
      </c>
      <c r="X365" s="64" t="str">
        <f t="shared" ca="1" si="16"/>
        <v>1</v>
      </c>
      <c r="Y365" s="82" t="str">
        <f t="shared" ca="1" si="17"/>
        <v>2</v>
      </c>
      <c r="Z365" s="94"/>
      <c r="AA365" s="94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</row>
    <row r="366" spans="1:57" ht="37.5" x14ac:dyDescent="0.35">
      <c r="A366" s="85">
        <v>5791</v>
      </c>
      <c r="B366" s="86">
        <v>2020</v>
      </c>
      <c r="C366" s="87" t="s">
        <v>35</v>
      </c>
      <c r="D366" s="94" t="s">
        <v>312</v>
      </c>
      <c r="E366" s="87" t="s">
        <v>63</v>
      </c>
      <c r="F366" s="87" t="s">
        <v>374</v>
      </c>
      <c r="G366" s="94">
        <v>1</v>
      </c>
      <c r="H366" s="93" t="s">
        <v>326</v>
      </c>
      <c r="I366" s="94" t="s">
        <v>165</v>
      </c>
      <c r="J366" s="93"/>
      <c r="K366" s="93"/>
      <c r="L366" s="93"/>
      <c r="M366" s="93"/>
      <c r="N366" s="93"/>
      <c r="O366" s="93"/>
      <c r="P366" s="59"/>
      <c r="Q366" s="59"/>
      <c r="R366" s="59"/>
      <c r="S366" s="59"/>
      <c r="T366" s="95"/>
      <c r="U366" s="93">
        <v>12</v>
      </c>
      <c r="V366" s="93"/>
      <c r="W366" s="83">
        <f t="shared" ca="1" si="15"/>
        <v>27</v>
      </c>
      <c r="X366" s="64" t="str">
        <f t="shared" ca="1" si="16"/>
        <v>1</v>
      </c>
      <c r="Y366" s="82" t="str">
        <f t="shared" ca="1" si="17"/>
        <v>2</v>
      </c>
      <c r="Z366" s="94"/>
      <c r="AA366" s="94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</row>
    <row r="367" spans="1:57" ht="37.5" x14ac:dyDescent="0.35">
      <c r="A367" s="85">
        <v>5791</v>
      </c>
      <c r="B367" s="86">
        <v>2020</v>
      </c>
      <c r="C367" s="87" t="s">
        <v>35</v>
      </c>
      <c r="D367" s="87" t="s">
        <v>380</v>
      </c>
      <c r="E367" s="87" t="s">
        <v>33</v>
      </c>
      <c r="F367" s="87" t="s">
        <v>374</v>
      </c>
      <c r="G367" s="94">
        <v>0.75</v>
      </c>
      <c r="H367" s="93" t="s">
        <v>326</v>
      </c>
      <c r="I367" s="94" t="s">
        <v>165</v>
      </c>
      <c r="J367" s="93"/>
      <c r="K367" s="93"/>
      <c r="L367" s="93"/>
      <c r="M367" s="93"/>
      <c r="N367" s="93"/>
      <c r="O367" s="93"/>
      <c r="P367" s="59"/>
      <c r="Q367" s="59"/>
      <c r="R367" s="59"/>
      <c r="S367" s="59"/>
      <c r="T367" s="95"/>
      <c r="U367" s="93">
        <v>10</v>
      </c>
      <c r="V367" s="93"/>
      <c r="W367" s="83">
        <f t="shared" ca="1" si="15"/>
        <v>27</v>
      </c>
      <c r="X367" s="64" t="str">
        <f t="shared" ca="1" si="16"/>
        <v>1</v>
      </c>
      <c r="Y367" s="82" t="str">
        <f t="shared" ca="1" si="17"/>
        <v>2</v>
      </c>
      <c r="Z367" s="94"/>
      <c r="AA367" s="94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</row>
    <row r="368" spans="1:57" ht="37.5" x14ac:dyDescent="0.35">
      <c r="A368" s="85">
        <v>5791</v>
      </c>
      <c r="B368" s="86">
        <v>2020</v>
      </c>
      <c r="C368" s="87" t="s">
        <v>35</v>
      </c>
      <c r="D368" s="94" t="s">
        <v>72</v>
      </c>
      <c r="E368" s="87" t="s">
        <v>26</v>
      </c>
      <c r="F368" s="87" t="s">
        <v>25</v>
      </c>
      <c r="G368" s="94">
        <v>1</v>
      </c>
      <c r="H368" s="93" t="s">
        <v>326</v>
      </c>
      <c r="I368" s="94" t="s">
        <v>165</v>
      </c>
      <c r="J368" s="93"/>
      <c r="K368" s="93"/>
      <c r="L368" s="93"/>
      <c r="M368" s="93"/>
      <c r="N368" s="93"/>
      <c r="O368" s="93"/>
      <c r="P368" s="59"/>
      <c r="Q368" s="59"/>
      <c r="R368" s="59"/>
      <c r="S368" s="59"/>
      <c r="T368" s="95"/>
      <c r="U368" s="93">
        <v>5</v>
      </c>
      <c r="V368" s="93"/>
      <c r="W368" s="83">
        <f t="shared" ca="1" si="15"/>
        <v>27</v>
      </c>
      <c r="X368" s="64" t="str">
        <f t="shared" ca="1" si="16"/>
        <v>1</v>
      </c>
      <c r="Y368" s="82" t="str">
        <f t="shared" ca="1" si="17"/>
        <v>2</v>
      </c>
      <c r="Z368" s="94"/>
      <c r="AA368" s="94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</row>
    <row r="369" spans="1:57" ht="37.5" x14ac:dyDescent="0.35">
      <c r="A369" s="85">
        <v>5791</v>
      </c>
      <c r="B369" s="86">
        <v>2020</v>
      </c>
      <c r="C369" s="87" t="s">
        <v>35</v>
      </c>
      <c r="D369" s="94" t="s">
        <v>135</v>
      </c>
      <c r="E369" s="87" t="s">
        <v>20</v>
      </c>
      <c r="F369" s="87" t="s">
        <v>82</v>
      </c>
      <c r="G369" s="94">
        <v>1</v>
      </c>
      <c r="H369" s="93" t="s">
        <v>326</v>
      </c>
      <c r="I369" s="94" t="s">
        <v>165</v>
      </c>
      <c r="J369" s="93"/>
      <c r="K369" s="93"/>
      <c r="L369" s="93"/>
      <c r="M369" s="93"/>
      <c r="N369" s="93"/>
      <c r="O369" s="93"/>
      <c r="P369" s="59"/>
      <c r="Q369" s="59"/>
      <c r="R369" s="59"/>
      <c r="S369" s="59"/>
      <c r="T369" s="95"/>
      <c r="U369" s="93"/>
      <c r="V369" s="93"/>
      <c r="W369" s="83">
        <f t="shared" ca="1" si="15"/>
        <v>27</v>
      </c>
      <c r="X369" s="64" t="str">
        <f t="shared" ca="1" si="16"/>
        <v>1</v>
      </c>
      <c r="Y369" s="82" t="str">
        <f t="shared" ca="1" si="17"/>
        <v>2</v>
      </c>
      <c r="Z369" s="94"/>
      <c r="AA369" s="94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</row>
    <row r="370" spans="1:57" ht="37.5" x14ac:dyDescent="0.35">
      <c r="A370" s="85">
        <v>5791</v>
      </c>
      <c r="B370" s="86">
        <v>2020</v>
      </c>
      <c r="C370" s="87" t="s">
        <v>35</v>
      </c>
      <c r="D370" s="94" t="s">
        <v>130</v>
      </c>
      <c r="E370" s="87" t="s">
        <v>26</v>
      </c>
      <c r="F370" s="87" t="s">
        <v>25</v>
      </c>
      <c r="G370" s="94">
        <v>1</v>
      </c>
      <c r="H370" s="93" t="s">
        <v>326</v>
      </c>
      <c r="I370" s="94" t="s">
        <v>165</v>
      </c>
      <c r="J370" s="93"/>
      <c r="K370" s="93"/>
      <c r="L370" s="93"/>
      <c r="M370" s="93"/>
      <c r="N370" s="93"/>
      <c r="O370" s="93"/>
      <c r="P370" s="59"/>
      <c r="Q370" s="59"/>
      <c r="R370" s="59"/>
      <c r="S370" s="59"/>
      <c r="T370" s="95"/>
      <c r="U370" s="93">
        <v>5</v>
      </c>
      <c r="V370" s="93"/>
      <c r="W370" s="83">
        <f t="shared" ca="1" si="15"/>
        <v>27</v>
      </c>
      <c r="X370" s="64" t="str">
        <f t="shared" ca="1" si="16"/>
        <v>1</v>
      </c>
      <c r="Y370" s="82" t="str">
        <f t="shared" ca="1" si="17"/>
        <v>2</v>
      </c>
      <c r="Z370" s="94"/>
      <c r="AA370" s="94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</row>
    <row r="371" spans="1:57" ht="37.5" x14ac:dyDescent="0.35">
      <c r="A371" s="85">
        <v>5791</v>
      </c>
      <c r="B371" s="86">
        <v>2020</v>
      </c>
      <c r="C371" s="87" t="s">
        <v>35</v>
      </c>
      <c r="D371" s="94" t="s">
        <v>130</v>
      </c>
      <c r="E371" s="87" t="s">
        <v>26</v>
      </c>
      <c r="F371" s="87" t="s">
        <v>25</v>
      </c>
      <c r="G371" s="94">
        <v>1</v>
      </c>
      <c r="H371" s="93" t="s">
        <v>326</v>
      </c>
      <c r="I371" s="94" t="s">
        <v>164</v>
      </c>
      <c r="J371" s="93"/>
      <c r="K371" s="93"/>
      <c r="L371" s="93"/>
      <c r="M371" s="93"/>
      <c r="N371" s="93"/>
      <c r="O371" s="93"/>
      <c r="P371" s="59"/>
      <c r="Q371" s="59"/>
      <c r="R371" s="59"/>
      <c r="S371" s="59"/>
      <c r="T371" s="95"/>
      <c r="U371" s="93">
        <v>10</v>
      </c>
      <c r="V371" s="93"/>
      <c r="W371" s="83">
        <f t="shared" ca="1" si="15"/>
        <v>27</v>
      </c>
      <c r="X371" s="64" t="str">
        <f t="shared" ca="1" si="16"/>
        <v>1</v>
      </c>
      <c r="Y371" s="82" t="str">
        <f t="shared" ca="1" si="17"/>
        <v>2</v>
      </c>
      <c r="Z371" s="94"/>
      <c r="AA371" s="94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</row>
    <row r="372" spans="1:57" ht="37.5" x14ac:dyDescent="0.35">
      <c r="A372" s="85">
        <v>5791</v>
      </c>
      <c r="B372" s="86">
        <v>2020</v>
      </c>
      <c r="C372" s="87" t="s">
        <v>35</v>
      </c>
      <c r="D372" s="94" t="s">
        <v>72</v>
      </c>
      <c r="E372" s="87" t="s">
        <v>26</v>
      </c>
      <c r="F372" s="87" t="s">
        <v>25</v>
      </c>
      <c r="G372" s="88">
        <v>1</v>
      </c>
      <c r="H372" s="93" t="s">
        <v>326</v>
      </c>
      <c r="I372" s="94" t="s">
        <v>164</v>
      </c>
      <c r="J372" s="93"/>
      <c r="K372" s="93"/>
      <c r="L372" s="93"/>
      <c r="M372" s="93"/>
      <c r="N372" s="93"/>
      <c r="O372" s="93"/>
      <c r="P372" s="59"/>
      <c r="Q372" s="59"/>
      <c r="R372" s="59"/>
      <c r="S372" s="59"/>
      <c r="T372" s="95"/>
      <c r="U372" s="93">
        <v>10</v>
      </c>
      <c r="V372" s="93"/>
      <c r="W372" s="83">
        <f t="shared" ca="1" si="15"/>
        <v>27</v>
      </c>
      <c r="X372" s="64" t="str">
        <f t="shared" ca="1" si="16"/>
        <v>1</v>
      </c>
      <c r="Y372" s="82" t="str">
        <f t="shared" ca="1" si="17"/>
        <v>2</v>
      </c>
      <c r="Z372" s="94"/>
      <c r="AA372" s="94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</row>
    <row r="373" spans="1:57" ht="37.5" x14ac:dyDescent="0.35">
      <c r="A373" s="85">
        <v>5791</v>
      </c>
      <c r="B373" s="86">
        <v>2020</v>
      </c>
      <c r="C373" s="87" t="s">
        <v>35</v>
      </c>
      <c r="D373" s="94" t="s">
        <v>311</v>
      </c>
      <c r="E373" s="87" t="s">
        <v>63</v>
      </c>
      <c r="F373" s="87" t="s">
        <v>374</v>
      </c>
      <c r="G373" s="88">
        <v>1</v>
      </c>
      <c r="H373" s="93" t="s">
        <v>326</v>
      </c>
      <c r="I373" s="94" t="s">
        <v>164</v>
      </c>
      <c r="J373" s="93"/>
      <c r="K373" s="93"/>
      <c r="L373" s="93"/>
      <c r="M373" s="93"/>
      <c r="N373" s="93"/>
      <c r="O373" s="93"/>
      <c r="P373" s="59"/>
      <c r="Q373" s="59"/>
      <c r="R373" s="59"/>
      <c r="S373" s="59"/>
      <c r="T373" s="95"/>
      <c r="U373" s="93">
        <v>10</v>
      </c>
      <c r="V373" s="93"/>
      <c r="W373" s="83">
        <f t="shared" ca="1" si="15"/>
        <v>27</v>
      </c>
      <c r="X373" s="64" t="str">
        <f t="shared" ca="1" si="16"/>
        <v>1</v>
      </c>
      <c r="Y373" s="82" t="str">
        <f t="shared" ca="1" si="17"/>
        <v>2</v>
      </c>
      <c r="Z373" s="94"/>
      <c r="AA373" s="94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</row>
    <row r="374" spans="1:57" ht="37.5" x14ac:dyDescent="0.35">
      <c r="A374" s="85">
        <v>5791</v>
      </c>
      <c r="B374" s="86">
        <v>2020</v>
      </c>
      <c r="C374" s="87" t="s">
        <v>35</v>
      </c>
      <c r="D374" s="94" t="s">
        <v>312</v>
      </c>
      <c r="E374" s="87" t="s">
        <v>63</v>
      </c>
      <c r="F374" s="87" t="s">
        <v>374</v>
      </c>
      <c r="G374" s="88">
        <v>1</v>
      </c>
      <c r="H374" s="93" t="s">
        <v>326</v>
      </c>
      <c r="I374" s="94" t="s">
        <v>164</v>
      </c>
      <c r="J374" s="93"/>
      <c r="K374" s="93"/>
      <c r="L374" s="93"/>
      <c r="M374" s="93"/>
      <c r="N374" s="93"/>
      <c r="O374" s="93"/>
      <c r="P374" s="59"/>
      <c r="Q374" s="59"/>
      <c r="R374" s="59"/>
      <c r="S374" s="59"/>
      <c r="T374" s="95"/>
      <c r="U374" s="93">
        <v>8</v>
      </c>
      <c r="V374" s="93"/>
      <c r="W374" s="83">
        <f t="shared" ca="1" si="15"/>
        <v>27</v>
      </c>
      <c r="X374" s="64" t="str">
        <f t="shared" ca="1" si="16"/>
        <v>1</v>
      </c>
      <c r="Y374" s="82" t="str">
        <f t="shared" ca="1" si="17"/>
        <v>2</v>
      </c>
      <c r="Z374" s="94"/>
      <c r="AA374" s="9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</row>
    <row r="375" spans="1:57" ht="37.5" x14ac:dyDescent="0.35">
      <c r="A375" s="85">
        <v>5791</v>
      </c>
      <c r="B375" s="86">
        <v>2020</v>
      </c>
      <c r="C375" s="87" t="s">
        <v>35</v>
      </c>
      <c r="D375" s="87" t="s">
        <v>380</v>
      </c>
      <c r="E375" s="87" t="s">
        <v>33</v>
      </c>
      <c r="F375" s="87" t="s">
        <v>374</v>
      </c>
      <c r="G375" s="88">
        <v>0.75</v>
      </c>
      <c r="H375" s="93" t="s">
        <v>326</v>
      </c>
      <c r="I375" s="94" t="s">
        <v>164</v>
      </c>
      <c r="J375" s="93"/>
      <c r="K375" s="93"/>
      <c r="L375" s="93"/>
      <c r="M375" s="93"/>
      <c r="N375" s="93"/>
      <c r="O375" s="93"/>
      <c r="P375" s="59"/>
      <c r="Q375" s="59"/>
      <c r="R375" s="59"/>
      <c r="S375" s="59"/>
      <c r="T375" s="95"/>
      <c r="U375" s="93">
        <v>10</v>
      </c>
      <c r="V375" s="93"/>
      <c r="W375" s="83">
        <f t="shared" ca="1" si="15"/>
        <v>27</v>
      </c>
      <c r="X375" s="64" t="str">
        <f t="shared" ca="1" si="16"/>
        <v>1</v>
      </c>
      <c r="Y375" s="82" t="str">
        <f t="shared" ca="1" si="17"/>
        <v>2</v>
      </c>
      <c r="Z375" s="94"/>
      <c r="AA375" s="94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</row>
    <row r="376" spans="1:57" ht="37.5" x14ac:dyDescent="0.35">
      <c r="A376" s="85">
        <v>5791</v>
      </c>
      <c r="B376" s="86">
        <v>2020</v>
      </c>
      <c r="C376" s="87" t="s">
        <v>35</v>
      </c>
      <c r="D376" s="94" t="s">
        <v>70</v>
      </c>
      <c r="E376" s="87" t="s">
        <v>28</v>
      </c>
      <c r="F376" s="87" t="s">
        <v>23</v>
      </c>
      <c r="G376" s="88">
        <v>1</v>
      </c>
      <c r="H376" s="93" t="s">
        <v>326</v>
      </c>
      <c r="I376" s="94" t="s">
        <v>164</v>
      </c>
      <c r="J376" s="93"/>
      <c r="K376" s="93"/>
      <c r="L376" s="93"/>
      <c r="M376" s="93"/>
      <c r="N376" s="93"/>
      <c r="O376" s="93"/>
      <c r="P376" s="59"/>
      <c r="Q376" s="59"/>
      <c r="R376" s="59"/>
      <c r="S376" s="59"/>
      <c r="T376" s="95"/>
      <c r="U376" s="93">
        <v>2</v>
      </c>
      <c r="V376" s="93"/>
      <c r="W376" s="83">
        <f t="shared" ca="1" si="15"/>
        <v>27</v>
      </c>
      <c r="X376" s="64" t="str">
        <f t="shared" ca="1" si="16"/>
        <v>1</v>
      </c>
      <c r="Y376" s="82" t="str">
        <f t="shared" ca="1" si="17"/>
        <v>2</v>
      </c>
      <c r="Z376" s="94"/>
      <c r="AA376" s="94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</row>
    <row r="377" spans="1:57" ht="37.5" x14ac:dyDescent="0.35">
      <c r="A377" s="85">
        <v>5791</v>
      </c>
      <c r="B377" s="86">
        <v>2020</v>
      </c>
      <c r="C377" s="87" t="s">
        <v>35</v>
      </c>
      <c r="D377" s="94" t="s">
        <v>135</v>
      </c>
      <c r="E377" s="87" t="s">
        <v>20</v>
      </c>
      <c r="F377" s="87" t="s">
        <v>82</v>
      </c>
      <c r="G377" s="88">
        <v>1</v>
      </c>
      <c r="H377" s="93" t="s">
        <v>326</v>
      </c>
      <c r="I377" s="94" t="s">
        <v>164</v>
      </c>
      <c r="J377" s="93"/>
      <c r="K377" s="93"/>
      <c r="L377" s="93"/>
      <c r="M377" s="93"/>
      <c r="N377" s="93"/>
      <c r="O377" s="93"/>
      <c r="P377" s="59"/>
      <c r="Q377" s="59"/>
      <c r="R377" s="59"/>
      <c r="S377" s="59"/>
      <c r="T377" s="95"/>
      <c r="U377" s="93"/>
      <c r="V377" s="93"/>
      <c r="W377" s="83">
        <f t="shared" ca="1" si="15"/>
        <v>27</v>
      </c>
      <c r="X377" s="64" t="str">
        <f t="shared" ca="1" si="16"/>
        <v>1</v>
      </c>
      <c r="Y377" s="82" t="str">
        <f t="shared" ca="1" si="17"/>
        <v>2</v>
      </c>
      <c r="Z377" s="94"/>
      <c r="AA377" s="94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</row>
    <row r="378" spans="1:57" ht="37.5" x14ac:dyDescent="0.35">
      <c r="A378" s="85">
        <v>5791</v>
      </c>
      <c r="B378" s="86">
        <v>2020</v>
      </c>
      <c r="C378" s="87" t="s">
        <v>35</v>
      </c>
      <c r="D378" s="94" t="s">
        <v>130</v>
      </c>
      <c r="E378" s="87" t="s">
        <v>26</v>
      </c>
      <c r="F378" s="87" t="s">
        <v>25</v>
      </c>
      <c r="G378" s="88">
        <v>1</v>
      </c>
      <c r="H378" s="93" t="s">
        <v>326</v>
      </c>
      <c r="I378" s="94" t="s">
        <v>357</v>
      </c>
      <c r="J378" s="93"/>
      <c r="K378" s="93"/>
      <c r="L378" s="93"/>
      <c r="M378" s="93"/>
      <c r="N378" s="93"/>
      <c r="O378" s="93"/>
      <c r="P378" s="59"/>
      <c r="Q378" s="59"/>
      <c r="R378" s="59"/>
      <c r="S378" s="59"/>
      <c r="T378" s="95"/>
      <c r="U378" s="93"/>
      <c r="V378" s="93">
        <v>100</v>
      </c>
      <c r="W378" s="83">
        <f t="shared" ca="1" si="15"/>
        <v>27</v>
      </c>
      <c r="X378" s="64" t="str">
        <f t="shared" ca="1" si="16"/>
        <v>1</v>
      </c>
      <c r="Y378" s="82" t="str">
        <f t="shared" ca="1" si="17"/>
        <v>2</v>
      </c>
      <c r="Z378" s="94"/>
      <c r="AA378" s="94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</row>
    <row r="379" spans="1:57" ht="37.5" x14ac:dyDescent="0.35">
      <c r="A379" s="85">
        <v>5791</v>
      </c>
      <c r="B379" s="86">
        <v>2020</v>
      </c>
      <c r="C379" s="87" t="s">
        <v>35</v>
      </c>
      <c r="D379" s="94" t="s">
        <v>72</v>
      </c>
      <c r="E379" s="87" t="s">
        <v>26</v>
      </c>
      <c r="F379" s="87" t="s">
        <v>25</v>
      </c>
      <c r="G379" s="94">
        <v>1</v>
      </c>
      <c r="H379" s="93" t="s">
        <v>326</v>
      </c>
      <c r="I379" s="94" t="s">
        <v>357</v>
      </c>
      <c r="J379" s="93"/>
      <c r="K379" s="93"/>
      <c r="L379" s="93"/>
      <c r="M379" s="93"/>
      <c r="N379" s="93"/>
      <c r="O379" s="93"/>
      <c r="P379" s="59"/>
      <c r="Q379" s="59"/>
      <c r="R379" s="59"/>
      <c r="S379" s="59"/>
      <c r="T379" s="95"/>
      <c r="U379" s="93"/>
      <c r="V379" s="93">
        <v>100</v>
      </c>
      <c r="W379" s="83">
        <f t="shared" ca="1" si="15"/>
        <v>27</v>
      </c>
      <c r="X379" s="64" t="str">
        <f t="shared" ca="1" si="16"/>
        <v>1</v>
      </c>
      <c r="Y379" s="82" t="str">
        <f t="shared" ca="1" si="17"/>
        <v>2</v>
      </c>
      <c r="Z379" s="94"/>
      <c r="AA379" s="94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</row>
    <row r="380" spans="1:57" ht="37.5" x14ac:dyDescent="0.35">
      <c r="A380" s="85">
        <v>5791</v>
      </c>
      <c r="B380" s="86">
        <v>2020</v>
      </c>
      <c r="C380" s="87" t="s">
        <v>35</v>
      </c>
      <c r="D380" s="94" t="s">
        <v>311</v>
      </c>
      <c r="E380" s="87" t="s">
        <v>63</v>
      </c>
      <c r="F380" s="87" t="s">
        <v>374</v>
      </c>
      <c r="G380" s="94">
        <v>1</v>
      </c>
      <c r="H380" s="93" t="s">
        <v>326</v>
      </c>
      <c r="I380" s="94" t="s">
        <v>357</v>
      </c>
      <c r="J380" s="93"/>
      <c r="K380" s="93"/>
      <c r="L380" s="93"/>
      <c r="M380" s="93"/>
      <c r="N380" s="93"/>
      <c r="O380" s="93"/>
      <c r="P380" s="59"/>
      <c r="Q380" s="59"/>
      <c r="R380" s="59"/>
      <c r="S380" s="59"/>
      <c r="T380" s="95"/>
      <c r="U380" s="93"/>
      <c r="V380" s="93">
        <v>100</v>
      </c>
      <c r="W380" s="83">
        <f t="shared" ca="1" si="15"/>
        <v>27</v>
      </c>
      <c r="X380" s="64" t="str">
        <f t="shared" ca="1" si="16"/>
        <v>1</v>
      </c>
      <c r="Y380" s="82" t="str">
        <f t="shared" ca="1" si="17"/>
        <v>2</v>
      </c>
      <c r="Z380" s="94"/>
      <c r="AA380" s="94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</row>
    <row r="381" spans="1:57" ht="37.5" x14ac:dyDescent="0.35">
      <c r="A381" s="85">
        <v>5791</v>
      </c>
      <c r="B381" s="86">
        <v>2020</v>
      </c>
      <c r="C381" s="87" t="s">
        <v>35</v>
      </c>
      <c r="D381" s="94" t="s">
        <v>312</v>
      </c>
      <c r="E381" s="87" t="s">
        <v>63</v>
      </c>
      <c r="F381" s="87" t="s">
        <v>374</v>
      </c>
      <c r="G381" s="94">
        <v>1</v>
      </c>
      <c r="H381" s="93" t="s">
        <v>326</v>
      </c>
      <c r="I381" s="94" t="s">
        <v>357</v>
      </c>
      <c r="J381" s="93"/>
      <c r="K381" s="93"/>
      <c r="L381" s="93"/>
      <c r="M381" s="93"/>
      <c r="N381" s="93"/>
      <c r="O381" s="93"/>
      <c r="P381" s="59"/>
      <c r="Q381" s="59"/>
      <c r="R381" s="59"/>
      <c r="S381" s="59"/>
      <c r="T381" s="95"/>
      <c r="U381" s="93"/>
      <c r="V381" s="93">
        <v>80</v>
      </c>
      <c r="W381" s="83">
        <f t="shared" ca="1" si="15"/>
        <v>27</v>
      </c>
      <c r="X381" s="64" t="str">
        <f t="shared" ca="1" si="16"/>
        <v>1</v>
      </c>
      <c r="Y381" s="82" t="str">
        <f t="shared" ca="1" si="17"/>
        <v>2</v>
      </c>
      <c r="Z381" s="94"/>
      <c r="AA381" s="94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</row>
    <row r="382" spans="1:57" ht="37.5" x14ac:dyDescent="0.35">
      <c r="A382" s="85">
        <v>5791</v>
      </c>
      <c r="B382" s="86">
        <v>2020</v>
      </c>
      <c r="C382" s="87" t="s">
        <v>35</v>
      </c>
      <c r="D382" s="87" t="s">
        <v>380</v>
      </c>
      <c r="E382" s="87" t="s">
        <v>33</v>
      </c>
      <c r="F382" s="87" t="s">
        <v>374</v>
      </c>
      <c r="G382" s="94">
        <v>1</v>
      </c>
      <c r="H382" s="93" t="s">
        <v>326</v>
      </c>
      <c r="I382" s="94" t="s">
        <v>357</v>
      </c>
      <c r="J382" s="93"/>
      <c r="K382" s="93"/>
      <c r="L382" s="93"/>
      <c r="M382" s="93"/>
      <c r="N382" s="93"/>
      <c r="O382" s="93"/>
      <c r="P382" s="59"/>
      <c r="Q382" s="59"/>
      <c r="R382" s="59"/>
      <c r="S382" s="59"/>
      <c r="T382" s="95"/>
      <c r="U382" s="93"/>
      <c r="V382" s="93">
        <v>100</v>
      </c>
      <c r="W382" s="83">
        <f t="shared" ca="1" si="15"/>
        <v>27</v>
      </c>
      <c r="X382" s="64" t="str">
        <f t="shared" ca="1" si="16"/>
        <v>1</v>
      </c>
      <c r="Y382" s="82" t="str">
        <f t="shared" ca="1" si="17"/>
        <v>2</v>
      </c>
      <c r="Z382" s="94"/>
      <c r="AA382" s="94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</row>
    <row r="383" spans="1:57" ht="37.5" x14ac:dyDescent="0.35">
      <c r="A383" s="85">
        <v>5791</v>
      </c>
      <c r="B383" s="86">
        <v>2020</v>
      </c>
      <c r="C383" s="87" t="s">
        <v>35</v>
      </c>
      <c r="D383" s="94" t="s">
        <v>70</v>
      </c>
      <c r="E383" s="87" t="s">
        <v>28</v>
      </c>
      <c r="F383" s="87" t="s">
        <v>23</v>
      </c>
      <c r="G383" s="94">
        <v>1</v>
      </c>
      <c r="H383" s="93" t="s">
        <v>326</v>
      </c>
      <c r="I383" s="94" t="s">
        <v>357</v>
      </c>
      <c r="J383" s="93"/>
      <c r="K383" s="93"/>
      <c r="L383" s="93"/>
      <c r="M383" s="93"/>
      <c r="N383" s="93"/>
      <c r="O383" s="93"/>
      <c r="P383" s="59"/>
      <c r="Q383" s="59"/>
      <c r="R383" s="59"/>
      <c r="S383" s="59"/>
      <c r="T383" s="95"/>
      <c r="U383" s="93"/>
      <c r="V383" s="93">
        <v>20</v>
      </c>
      <c r="W383" s="83">
        <f t="shared" ca="1" si="15"/>
        <v>27</v>
      </c>
      <c r="X383" s="64" t="str">
        <f t="shared" ca="1" si="16"/>
        <v>1</v>
      </c>
      <c r="Y383" s="82" t="str">
        <f t="shared" ca="1" si="17"/>
        <v>2</v>
      </c>
      <c r="Z383" s="94"/>
      <c r="AA383" s="94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</row>
    <row r="384" spans="1:57" ht="37.5" x14ac:dyDescent="0.35">
      <c r="A384" s="85">
        <v>5791</v>
      </c>
      <c r="B384" s="86">
        <v>2020</v>
      </c>
      <c r="C384" s="87" t="s">
        <v>35</v>
      </c>
      <c r="D384" s="94" t="s">
        <v>135</v>
      </c>
      <c r="E384" s="87" t="s">
        <v>20</v>
      </c>
      <c r="F384" s="87" t="s">
        <v>82</v>
      </c>
      <c r="G384" s="88">
        <v>1</v>
      </c>
      <c r="H384" s="93" t="s">
        <v>326</v>
      </c>
      <c r="I384" s="94" t="s">
        <v>357</v>
      </c>
      <c r="J384" s="93"/>
      <c r="K384" s="93"/>
      <c r="L384" s="93"/>
      <c r="M384" s="93"/>
      <c r="N384" s="93"/>
      <c r="O384" s="93"/>
      <c r="P384" s="59"/>
      <c r="Q384" s="59"/>
      <c r="R384" s="59"/>
      <c r="S384" s="59"/>
      <c r="T384" s="95"/>
      <c r="U384" s="93"/>
      <c r="V384" s="93"/>
      <c r="W384" s="83">
        <f t="shared" ca="1" si="15"/>
        <v>27</v>
      </c>
      <c r="X384" s="64" t="str">
        <f t="shared" ca="1" si="16"/>
        <v>1</v>
      </c>
      <c r="Y384" s="82" t="str">
        <f t="shared" ca="1" si="17"/>
        <v>2</v>
      </c>
      <c r="Z384" s="94"/>
      <c r="AA384" s="9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</row>
    <row r="385" spans="1:57" ht="37.5" x14ac:dyDescent="0.35">
      <c r="A385" s="85">
        <v>5791</v>
      </c>
      <c r="B385" s="86">
        <v>2020</v>
      </c>
      <c r="C385" s="87" t="s">
        <v>35</v>
      </c>
      <c r="D385" s="94" t="s">
        <v>312</v>
      </c>
      <c r="E385" s="87" t="s">
        <v>63</v>
      </c>
      <c r="F385" s="87" t="s">
        <v>374</v>
      </c>
      <c r="G385" s="88">
        <v>1</v>
      </c>
      <c r="H385" s="93" t="s">
        <v>326</v>
      </c>
      <c r="I385" s="94" t="s">
        <v>358</v>
      </c>
      <c r="J385" s="93"/>
      <c r="K385" s="93"/>
      <c r="L385" s="93"/>
      <c r="M385" s="93"/>
      <c r="N385" s="93"/>
      <c r="O385" s="93"/>
      <c r="P385" s="59"/>
      <c r="Q385" s="59"/>
      <c r="R385" s="59">
        <v>5</v>
      </c>
      <c r="S385" s="59">
        <v>4</v>
      </c>
      <c r="T385" s="95"/>
      <c r="U385" s="93"/>
      <c r="V385" s="93"/>
      <c r="W385" s="83">
        <f t="shared" ca="1" si="15"/>
        <v>27</v>
      </c>
      <c r="X385" s="64" t="str">
        <f t="shared" ca="1" si="16"/>
        <v>1</v>
      </c>
      <c r="Y385" s="82" t="str">
        <f t="shared" ca="1" si="17"/>
        <v>2</v>
      </c>
      <c r="Z385" s="94"/>
      <c r="AA385" s="94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</row>
    <row r="386" spans="1:57" ht="37.5" x14ac:dyDescent="0.35">
      <c r="A386" s="85">
        <v>5791</v>
      </c>
      <c r="B386" s="86">
        <v>2020</v>
      </c>
      <c r="C386" s="87" t="s">
        <v>35</v>
      </c>
      <c r="D386" s="94" t="s">
        <v>117</v>
      </c>
      <c r="E386" s="87" t="s">
        <v>33</v>
      </c>
      <c r="F386" s="87" t="s">
        <v>25</v>
      </c>
      <c r="G386" s="88">
        <v>0.75</v>
      </c>
      <c r="H386" s="93" t="s">
        <v>326</v>
      </c>
      <c r="I386" s="94" t="s">
        <v>358</v>
      </c>
      <c r="J386" s="93"/>
      <c r="K386" s="93"/>
      <c r="L386" s="93"/>
      <c r="M386" s="93"/>
      <c r="N386" s="93"/>
      <c r="O386" s="93"/>
      <c r="P386" s="59"/>
      <c r="Q386" s="59"/>
      <c r="R386" s="59">
        <v>5</v>
      </c>
      <c r="S386" s="59">
        <v>4</v>
      </c>
      <c r="T386" s="95"/>
      <c r="U386" s="93"/>
      <c r="V386" s="93"/>
      <c r="W386" s="83">
        <f t="shared" ca="1" si="15"/>
        <v>27</v>
      </c>
      <c r="X386" s="64" t="str">
        <f t="shared" ca="1" si="16"/>
        <v>1</v>
      </c>
      <c r="Y386" s="82" t="str">
        <f t="shared" ca="1" si="17"/>
        <v>2</v>
      </c>
      <c r="Z386" s="94"/>
      <c r="AA386" s="94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</row>
    <row r="387" spans="1:57" ht="37.5" x14ac:dyDescent="0.35">
      <c r="A387" s="85">
        <v>5791</v>
      </c>
      <c r="B387" s="86">
        <v>2020</v>
      </c>
      <c r="C387" s="87" t="s">
        <v>35</v>
      </c>
      <c r="D387" s="94" t="s">
        <v>116</v>
      </c>
      <c r="E387" s="87" t="s">
        <v>28</v>
      </c>
      <c r="F387" s="87" t="s">
        <v>56</v>
      </c>
      <c r="G387" s="88">
        <v>1</v>
      </c>
      <c r="H387" s="93" t="s">
        <v>326</v>
      </c>
      <c r="I387" s="94" t="s">
        <v>358</v>
      </c>
      <c r="J387" s="93"/>
      <c r="K387" s="93"/>
      <c r="L387" s="93"/>
      <c r="M387" s="93"/>
      <c r="N387" s="93"/>
      <c r="O387" s="93"/>
      <c r="P387" s="59"/>
      <c r="Q387" s="59"/>
      <c r="R387" s="59">
        <v>5</v>
      </c>
      <c r="S387" s="59">
        <v>2</v>
      </c>
      <c r="T387" s="95"/>
      <c r="U387" s="93"/>
      <c r="V387" s="93"/>
      <c r="W387" s="83">
        <f t="shared" ca="1" si="15"/>
        <v>27</v>
      </c>
      <c r="X387" s="64" t="str">
        <f t="shared" ca="1" si="16"/>
        <v>1</v>
      </c>
      <c r="Y387" s="82" t="str">
        <f t="shared" ca="1" si="17"/>
        <v>2</v>
      </c>
      <c r="Z387" s="94"/>
      <c r="AA387" s="94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</row>
    <row r="388" spans="1:57" ht="37.5" x14ac:dyDescent="0.35">
      <c r="A388" s="85">
        <v>6368</v>
      </c>
      <c r="B388" s="86">
        <v>2021</v>
      </c>
      <c r="C388" s="87" t="s">
        <v>35</v>
      </c>
      <c r="D388" s="94" t="s">
        <v>72</v>
      </c>
      <c r="E388" s="87" t="s">
        <v>26</v>
      </c>
      <c r="F388" s="87" t="s">
        <v>25</v>
      </c>
      <c r="G388" s="88">
        <v>1</v>
      </c>
      <c r="H388" s="93" t="s">
        <v>327</v>
      </c>
      <c r="I388" s="94" t="s">
        <v>355</v>
      </c>
      <c r="J388" s="93">
        <v>18</v>
      </c>
      <c r="K388" s="93"/>
      <c r="L388" s="93"/>
      <c r="M388" s="93">
        <v>1</v>
      </c>
      <c r="N388" s="93">
        <v>1</v>
      </c>
      <c r="O388" s="93"/>
      <c r="P388" s="59"/>
      <c r="Q388" s="59"/>
      <c r="R388" s="59"/>
      <c r="S388" s="59"/>
      <c r="T388" s="95"/>
      <c r="U388" s="93"/>
      <c r="V388" s="93"/>
      <c r="W388" s="83">
        <f t="shared" ref="W388:W451" ca="1" si="18">IFERROR(OFFSET($AC$11,0,MATCH(H388,$AD$4:$BE$4,0)),IFERROR(OFFSET($AC$12,0,MATCH(H388,$AD$5:$BE$5,0)),MOD(H388,20)+7))</f>
        <v>39</v>
      </c>
      <c r="X388" s="64" t="str">
        <f t="shared" ref="X388:X451" ca="1" si="19">IF(W388&lt;=30, "1", "2")</f>
        <v>2</v>
      </c>
      <c r="Y388" s="82" t="str">
        <f t="shared" ref="Y388:Y451" ca="1" si="20" xml:space="preserve"> IF(W388&lt;=15, "1", IF(W388&lt;=30, "2", IF(W388&lt;=45, "3", IF(W388&lt;=60, "4"))))</f>
        <v>3</v>
      </c>
      <c r="Z388" s="94"/>
      <c r="AA388" s="94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</row>
    <row r="389" spans="1:57" ht="37.5" x14ac:dyDescent="0.35">
      <c r="A389" s="85">
        <v>6368</v>
      </c>
      <c r="B389" s="86">
        <v>2021</v>
      </c>
      <c r="C389" s="87" t="s">
        <v>35</v>
      </c>
      <c r="D389" s="94" t="s">
        <v>135</v>
      </c>
      <c r="E389" s="87" t="s">
        <v>20</v>
      </c>
      <c r="F389" s="87" t="s">
        <v>82</v>
      </c>
      <c r="G389" s="88">
        <v>1</v>
      </c>
      <c r="H389" s="93" t="s">
        <v>327</v>
      </c>
      <c r="I389" s="94" t="s">
        <v>355</v>
      </c>
      <c r="J389" s="93"/>
      <c r="K389" s="93"/>
      <c r="L389" s="93">
        <v>108</v>
      </c>
      <c r="M389" s="93"/>
      <c r="N389" s="93"/>
      <c r="O389" s="93"/>
      <c r="P389" s="59"/>
      <c r="Q389" s="59"/>
      <c r="R389" s="59"/>
      <c r="S389" s="59"/>
      <c r="T389" s="95"/>
      <c r="U389" s="93"/>
      <c r="V389" s="93"/>
      <c r="W389" s="83">
        <f t="shared" ca="1" si="18"/>
        <v>39</v>
      </c>
      <c r="X389" s="64" t="str">
        <f t="shared" ca="1" si="19"/>
        <v>2</v>
      </c>
      <c r="Y389" s="82" t="str">
        <f t="shared" ca="1" si="20"/>
        <v>3</v>
      </c>
      <c r="Z389" s="94"/>
      <c r="AA389" s="94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</row>
    <row r="390" spans="1:57" ht="37.5" x14ac:dyDescent="0.35">
      <c r="A390" s="85">
        <v>6368</v>
      </c>
      <c r="B390" s="86">
        <v>2021</v>
      </c>
      <c r="C390" s="87" t="s">
        <v>35</v>
      </c>
      <c r="D390" s="94" t="s">
        <v>190</v>
      </c>
      <c r="E390" s="94" t="s">
        <v>26</v>
      </c>
      <c r="F390" s="94" t="s">
        <v>25</v>
      </c>
      <c r="G390" s="94">
        <v>1</v>
      </c>
      <c r="H390" s="93" t="s">
        <v>327</v>
      </c>
      <c r="I390" s="94" t="s">
        <v>336</v>
      </c>
      <c r="J390" s="93"/>
      <c r="K390" s="93"/>
      <c r="L390" s="93"/>
      <c r="M390" s="93"/>
      <c r="N390" s="93"/>
      <c r="O390" s="93"/>
      <c r="P390" s="59"/>
      <c r="Q390" s="59"/>
      <c r="R390" s="59"/>
      <c r="S390" s="59"/>
      <c r="T390" s="95"/>
      <c r="U390" s="93"/>
      <c r="V390" s="93"/>
      <c r="W390" s="83">
        <f t="shared" ca="1" si="18"/>
        <v>39</v>
      </c>
      <c r="X390" s="64" t="str">
        <f t="shared" ca="1" si="19"/>
        <v>2</v>
      </c>
      <c r="Y390" s="82" t="str">
        <f t="shared" ca="1" si="20"/>
        <v>3</v>
      </c>
      <c r="Z390" s="94"/>
      <c r="AA390" s="94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</row>
    <row r="391" spans="1:57" ht="37.5" x14ac:dyDescent="0.35">
      <c r="A391" s="85">
        <v>6368</v>
      </c>
      <c r="B391" s="86">
        <v>2021</v>
      </c>
      <c r="C391" s="87" t="s">
        <v>35</v>
      </c>
      <c r="D391" s="94" t="s">
        <v>311</v>
      </c>
      <c r="E391" s="94" t="s">
        <v>63</v>
      </c>
      <c r="F391" s="94" t="s">
        <v>374</v>
      </c>
      <c r="G391" s="94">
        <v>1</v>
      </c>
      <c r="H391" s="93" t="s">
        <v>327</v>
      </c>
      <c r="I391" s="94" t="s">
        <v>166</v>
      </c>
      <c r="J391" s="93"/>
      <c r="K391" s="93"/>
      <c r="L391" s="93"/>
      <c r="M391" s="93">
        <v>1</v>
      </c>
      <c r="N391" s="93">
        <v>1</v>
      </c>
      <c r="O391" s="93"/>
      <c r="P391" s="59"/>
      <c r="Q391" s="59"/>
      <c r="R391" s="59"/>
      <c r="S391" s="59"/>
      <c r="T391" s="95"/>
      <c r="U391" s="93"/>
      <c r="V391" s="93"/>
      <c r="W391" s="83">
        <f t="shared" ca="1" si="18"/>
        <v>39</v>
      </c>
      <c r="X391" s="64" t="str">
        <f t="shared" ca="1" si="19"/>
        <v>2</v>
      </c>
      <c r="Y391" s="82" t="str">
        <f t="shared" ca="1" si="20"/>
        <v>3</v>
      </c>
      <c r="Z391" s="94"/>
      <c r="AA391" s="94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</row>
    <row r="392" spans="1:57" ht="37.5" x14ac:dyDescent="0.35">
      <c r="A392" s="85">
        <v>6368</v>
      </c>
      <c r="B392" s="86">
        <v>2021</v>
      </c>
      <c r="C392" s="87" t="s">
        <v>35</v>
      </c>
      <c r="D392" s="94" t="s">
        <v>117</v>
      </c>
      <c r="E392" s="94" t="s">
        <v>33</v>
      </c>
      <c r="F392" s="94" t="s">
        <v>25</v>
      </c>
      <c r="G392" s="94">
        <v>0.75</v>
      </c>
      <c r="H392" s="93" t="s">
        <v>327</v>
      </c>
      <c r="I392" s="94" t="s">
        <v>166</v>
      </c>
      <c r="J392" s="93"/>
      <c r="K392" s="93"/>
      <c r="L392" s="93"/>
      <c r="M392" s="93"/>
      <c r="N392" s="93">
        <v>1</v>
      </c>
      <c r="O392" s="93"/>
      <c r="P392" s="59"/>
      <c r="Q392" s="59"/>
      <c r="R392" s="59"/>
      <c r="S392" s="59"/>
      <c r="T392" s="95"/>
      <c r="U392" s="93"/>
      <c r="V392" s="93"/>
      <c r="W392" s="83">
        <f t="shared" ca="1" si="18"/>
        <v>39</v>
      </c>
      <c r="X392" s="64" t="str">
        <f t="shared" ca="1" si="19"/>
        <v>2</v>
      </c>
      <c r="Y392" s="82" t="str">
        <f t="shared" ca="1" si="20"/>
        <v>3</v>
      </c>
      <c r="Z392" s="94"/>
      <c r="AA392" s="94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</row>
    <row r="393" spans="1:57" ht="37.5" x14ac:dyDescent="0.35">
      <c r="A393" s="85">
        <v>6368</v>
      </c>
      <c r="B393" s="86">
        <v>2021</v>
      </c>
      <c r="C393" s="87" t="s">
        <v>35</v>
      </c>
      <c r="D393" s="94" t="s">
        <v>117</v>
      </c>
      <c r="E393" s="94" t="s">
        <v>33</v>
      </c>
      <c r="F393" s="94" t="s">
        <v>25</v>
      </c>
      <c r="G393" s="94">
        <v>0.75</v>
      </c>
      <c r="H393" s="93" t="s">
        <v>327</v>
      </c>
      <c r="I393" s="94" t="s">
        <v>337</v>
      </c>
      <c r="J393" s="93">
        <v>14</v>
      </c>
      <c r="K393" s="93">
        <v>44</v>
      </c>
      <c r="L393" s="93"/>
      <c r="M393" s="93">
        <v>1</v>
      </c>
      <c r="N393" s="93"/>
      <c r="O393" s="93"/>
      <c r="P393" s="59"/>
      <c r="Q393" s="59"/>
      <c r="R393" s="59"/>
      <c r="S393" s="59"/>
      <c r="T393" s="95"/>
      <c r="U393" s="93"/>
      <c r="V393" s="93"/>
      <c r="W393" s="83">
        <f t="shared" ca="1" si="18"/>
        <v>39</v>
      </c>
      <c r="X393" s="64" t="str">
        <f t="shared" ca="1" si="19"/>
        <v>2</v>
      </c>
      <c r="Y393" s="82" t="str">
        <f t="shared" ca="1" si="20"/>
        <v>3</v>
      </c>
      <c r="Z393" s="94"/>
      <c r="AA393" s="94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</row>
    <row r="394" spans="1:57" ht="37.5" x14ac:dyDescent="0.35">
      <c r="A394" s="85">
        <v>6368</v>
      </c>
      <c r="B394" s="86">
        <v>2021</v>
      </c>
      <c r="C394" s="87" t="s">
        <v>35</v>
      </c>
      <c r="D394" s="94" t="s">
        <v>130</v>
      </c>
      <c r="E394" s="87" t="s">
        <v>26</v>
      </c>
      <c r="F394" s="87" t="s">
        <v>25</v>
      </c>
      <c r="G394" s="88">
        <v>1</v>
      </c>
      <c r="H394" s="93" t="s">
        <v>327</v>
      </c>
      <c r="I394" s="94" t="s">
        <v>167</v>
      </c>
      <c r="J394" s="93"/>
      <c r="K394" s="93"/>
      <c r="L394" s="93"/>
      <c r="M394" s="93"/>
      <c r="N394" s="93"/>
      <c r="O394" s="93"/>
      <c r="P394" s="59"/>
      <c r="Q394" s="59"/>
      <c r="R394" s="59"/>
      <c r="S394" s="59"/>
      <c r="T394" s="95"/>
      <c r="U394" s="93"/>
      <c r="V394" s="93"/>
      <c r="W394" s="83">
        <f t="shared" ca="1" si="18"/>
        <v>39</v>
      </c>
      <c r="X394" s="64" t="str">
        <f t="shared" ca="1" si="19"/>
        <v>2</v>
      </c>
      <c r="Y394" s="82" t="str">
        <f t="shared" ca="1" si="20"/>
        <v>3</v>
      </c>
      <c r="Z394" s="94"/>
      <c r="AA394" s="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</row>
    <row r="395" spans="1:57" ht="37.5" x14ac:dyDescent="0.35">
      <c r="A395" s="85">
        <v>6368</v>
      </c>
      <c r="B395" s="86">
        <v>2021</v>
      </c>
      <c r="C395" s="87" t="s">
        <v>35</v>
      </c>
      <c r="D395" s="94" t="s">
        <v>117</v>
      </c>
      <c r="E395" s="94" t="s">
        <v>33</v>
      </c>
      <c r="F395" s="94" t="s">
        <v>25</v>
      </c>
      <c r="G395" s="94">
        <v>0.75</v>
      </c>
      <c r="H395" s="93" t="s">
        <v>327</v>
      </c>
      <c r="I395" s="94" t="s">
        <v>172</v>
      </c>
      <c r="J395" s="93">
        <v>12</v>
      </c>
      <c r="K395" s="93">
        <v>48</v>
      </c>
      <c r="L395" s="93"/>
      <c r="M395" s="93">
        <v>1</v>
      </c>
      <c r="N395" s="93"/>
      <c r="O395" s="93"/>
      <c r="P395" s="59"/>
      <c r="Q395" s="59"/>
      <c r="R395" s="59"/>
      <c r="S395" s="59"/>
      <c r="T395" s="95"/>
      <c r="U395" s="93"/>
      <c r="V395" s="93"/>
      <c r="W395" s="83">
        <f t="shared" ca="1" si="18"/>
        <v>39</v>
      </c>
      <c r="X395" s="64" t="str">
        <f t="shared" ca="1" si="19"/>
        <v>2</v>
      </c>
      <c r="Y395" s="82" t="str">
        <f t="shared" ca="1" si="20"/>
        <v>3</v>
      </c>
      <c r="Z395" s="94"/>
      <c r="AA395" s="94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</row>
    <row r="396" spans="1:57" ht="37.5" x14ac:dyDescent="0.35">
      <c r="A396" s="85">
        <v>6368</v>
      </c>
      <c r="B396" s="86">
        <v>2021</v>
      </c>
      <c r="C396" s="87" t="s">
        <v>35</v>
      </c>
      <c r="D396" s="94" t="s">
        <v>169</v>
      </c>
      <c r="E396" s="87" t="s">
        <v>20</v>
      </c>
      <c r="F396" s="96" t="s">
        <v>82</v>
      </c>
      <c r="G396" s="94">
        <v>0.25</v>
      </c>
      <c r="H396" s="93" t="s">
        <v>327</v>
      </c>
      <c r="I396" s="94" t="s">
        <v>338</v>
      </c>
      <c r="J396" s="93"/>
      <c r="K396" s="93"/>
      <c r="L396" s="93">
        <v>54</v>
      </c>
      <c r="M396" s="93">
        <v>1</v>
      </c>
      <c r="N396" s="93"/>
      <c r="O396" s="93"/>
      <c r="P396" s="59"/>
      <c r="Q396" s="59"/>
      <c r="R396" s="59"/>
      <c r="S396" s="59"/>
      <c r="T396" s="95"/>
      <c r="U396" s="93"/>
      <c r="V396" s="93"/>
      <c r="W396" s="83">
        <f t="shared" ca="1" si="18"/>
        <v>39</v>
      </c>
      <c r="X396" s="64" t="str">
        <f t="shared" ca="1" si="19"/>
        <v>2</v>
      </c>
      <c r="Y396" s="82" t="str">
        <f t="shared" ca="1" si="20"/>
        <v>3</v>
      </c>
      <c r="Z396" s="94"/>
      <c r="AA396" s="94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</row>
    <row r="397" spans="1:57" ht="37.5" x14ac:dyDescent="0.35">
      <c r="A397" s="85">
        <v>6368</v>
      </c>
      <c r="B397" s="86">
        <v>2021</v>
      </c>
      <c r="C397" s="87" t="s">
        <v>35</v>
      </c>
      <c r="D397" s="94" t="s">
        <v>135</v>
      </c>
      <c r="E397" s="87" t="s">
        <v>20</v>
      </c>
      <c r="F397" s="87" t="s">
        <v>82</v>
      </c>
      <c r="G397" s="88">
        <v>1</v>
      </c>
      <c r="H397" s="93" t="s">
        <v>327</v>
      </c>
      <c r="I397" s="94" t="s">
        <v>339</v>
      </c>
      <c r="J397" s="93"/>
      <c r="K397" s="93">
        <v>48</v>
      </c>
      <c r="L397" s="93"/>
      <c r="M397" s="93"/>
      <c r="N397" s="93"/>
      <c r="O397" s="93">
        <v>1</v>
      </c>
      <c r="P397" s="59"/>
      <c r="Q397" s="59"/>
      <c r="R397" s="59"/>
      <c r="S397" s="59"/>
      <c r="T397" s="95"/>
      <c r="U397" s="93"/>
      <c r="V397" s="93"/>
      <c r="W397" s="83">
        <f t="shared" ca="1" si="18"/>
        <v>39</v>
      </c>
      <c r="X397" s="64" t="str">
        <f t="shared" ca="1" si="19"/>
        <v>2</v>
      </c>
      <c r="Y397" s="82" t="str">
        <f t="shared" ca="1" si="20"/>
        <v>3</v>
      </c>
      <c r="Z397" s="94"/>
      <c r="AA397" s="94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</row>
    <row r="398" spans="1:57" ht="37.5" x14ac:dyDescent="0.35">
      <c r="A398" s="85">
        <v>6368</v>
      </c>
      <c r="B398" s="86">
        <v>2021</v>
      </c>
      <c r="C398" s="87" t="s">
        <v>35</v>
      </c>
      <c r="D398" s="94" t="s">
        <v>311</v>
      </c>
      <c r="E398" s="87" t="s">
        <v>63</v>
      </c>
      <c r="F398" s="87" t="s">
        <v>374</v>
      </c>
      <c r="G398" s="88">
        <v>1</v>
      </c>
      <c r="H398" s="93" t="s">
        <v>327</v>
      </c>
      <c r="I398" s="94" t="s">
        <v>339</v>
      </c>
      <c r="J398" s="93">
        <v>12</v>
      </c>
      <c r="K398" s="93"/>
      <c r="L398" s="93"/>
      <c r="M398" s="93">
        <v>1</v>
      </c>
      <c r="N398" s="93"/>
      <c r="O398" s="93"/>
      <c r="P398" s="59"/>
      <c r="Q398" s="59"/>
      <c r="R398" s="59"/>
      <c r="S398" s="59"/>
      <c r="T398" s="95"/>
      <c r="U398" s="93"/>
      <c r="V398" s="93"/>
      <c r="W398" s="83">
        <f t="shared" ca="1" si="18"/>
        <v>39</v>
      </c>
      <c r="X398" s="64" t="str">
        <f t="shared" ca="1" si="19"/>
        <v>2</v>
      </c>
      <c r="Y398" s="82" t="str">
        <f t="shared" ca="1" si="20"/>
        <v>3</v>
      </c>
      <c r="Z398" s="94"/>
      <c r="AA398" s="94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</row>
    <row r="399" spans="1:57" ht="37.5" x14ac:dyDescent="0.35">
      <c r="A399" s="85">
        <v>6368</v>
      </c>
      <c r="B399" s="86">
        <v>2021</v>
      </c>
      <c r="C399" s="87" t="s">
        <v>35</v>
      </c>
      <c r="D399" s="94" t="s">
        <v>190</v>
      </c>
      <c r="E399" s="87" t="s">
        <v>26</v>
      </c>
      <c r="F399" s="96" t="s">
        <v>25</v>
      </c>
      <c r="G399" s="88">
        <v>1</v>
      </c>
      <c r="H399" s="93" t="s">
        <v>327</v>
      </c>
      <c r="I399" s="94" t="s">
        <v>356</v>
      </c>
      <c r="J399" s="93">
        <v>18</v>
      </c>
      <c r="K399" s="93"/>
      <c r="L399" s="93">
        <v>54</v>
      </c>
      <c r="M399" s="93">
        <v>1</v>
      </c>
      <c r="N399" s="93"/>
      <c r="O399" s="93"/>
      <c r="P399" s="59">
        <v>1</v>
      </c>
      <c r="Q399" s="59"/>
      <c r="R399" s="59"/>
      <c r="S399" s="59"/>
      <c r="T399" s="95"/>
      <c r="U399" s="93"/>
      <c r="V399" s="93"/>
      <c r="W399" s="83">
        <f t="shared" ca="1" si="18"/>
        <v>39</v>
      </c>
      <c r="X399" s="64" t="str">
        <f t="shared" ca="1" si="19"/>
        <v>2</v>
      </c>
      <c r="Y399" s="82" t="str">
        <f t="shared" ca="1" si="20"/>
        <v>3</v>
      </c>
      <c r="Z399" s="94"/>
      <c r="AA399" s="94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</row>
    <row r="400" spans="1:57" ht="37.5" x14ac:dyDescent="0.35">
      <c r="A400" s="85">
        <v>6368</v>
      </c>
      <c r="B400" s="86">
        <v>2021</v>
      </c>
      <c r="C400" s="87" t="s">
        <v>35</v>
      </c>
      <c r="D400" s="94" t="s">
        <v>116</v>
      </c>
      <c r="E400" s="87" t="s">
        <v>28</v>
      </c>
      <c r="F400" s="87" t="s">
        <v>56</v>
      </c>
      <c r="G400" s="88">
        <v>1</v>
      </c>
      <c r="H400" s="93" t="s">
        <v>327</v>
      </c>
      <c r="I400" s="94" t="s">
        <v>368</v>
      </c>
      <c r="J400" s="93"/>
      <c r="K400" s="93"/>
      <c r="L400" s="93"/>
      <c r="M400" s="93"/>
      <c r="N400" s="93">
        <v>1</v>
      </c>
      <c r="O400" s="93"/>
      <c r="P400" s="59"/>
      <c r="Q400" s="59"/>
      <c r="R400" s="59"/>
      <c r="S400" s="59"/>
      <c r="T400" s="95"/>
      <c r="U400" s="93"/>
      <c r="V400" s="93"/>
      <c r="W400" s="83">
        <f t="shared" ca="1" si="18"/>
        <v>39</v>
      </c>
      <c r="X400" s="64" t="str">
        <f t="shared" ca="1" si="19"/>
        <v>2</v>
      </c>
      <c r="Y400" s="82" t="str">
        <f t="shared" ca="1" si="20"/>
        <v>3</v>
      </c>
      <c r="Z400" s="94"/>
      <c r="AA400" s="94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</row>
    <row r="401" spans="1:57" ht="37.5" x14ac:dyDescent="0.35">
      <c r="A401" s="85">
        <v>6368</v>
      </c>
      <c r="B401" s="86">
        <v>2021</v>
      </c>
      <c r="C401" s="87" t="s">
        <v>35</v>
      </c>
      <c r="D401" s="94" t="s">
        <v>70</v>
      </c>
      <c r="E401" s="87" t="s">
        <v>28</v>
      </c>
      <c r="F401" s="87" t="s">
        <v>23</v>
      </c>
      <c r="G401" s="88">
        <v>1</v>
      </c>
      <c r="H401" s="93" t="s">
        <v>327</v>
      </c>
      <c r="I401" s="94" t="s">
        <v>368</v>
      </c>
      <c r="J401" s="93"/>
      <c r="K401" s="93"/>
      <c r="L401" s="93"/>
      <c r="M401" s="93">
        <v>1</v>
      </c>
      <c r="N401" s="93">
        <v>1</v>
      </c>
      <c r="O401" s="93"/>
      <c r="P401" s="59"/>
      <c r="Q401" s="59"/>
      <c r="R401" s="59"/>
      <c r="S401" s="59"/>
      <c r="T401" s="95"/>
      <c r="U401" s="93"/>
      <c r="V401" s="93"/>
      <c r="W401" s="83">
        <f t="shared" ca="1" si="18"/>
        <v>39</v>
      </c>
      <c r="X401" s="64" t="str">
        <f t="shared" ca="1" si="19"/>
        <v>2</v>
      </c>
      <c r="Y401" s="82" t="str">
        <f t="shared" ca="1" si="20"/>
        <v>3</v>
      </c>
      <c r="Z401" s="94"/>
      <c r="AA401" s="94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</row>
    <row r="402" spans="1:57" ht="37.5" x14ac:dyDescent="0.35">
      <c r="A402" s="85">
        <v>6368</v>
      </c>
      <c r="B402" s="86">
        <v>2021</v>
      </c>
      <c r="C402" s="87" t="s">
        <v>35</v>
      </c>
      <c r="D402" s="94" t="s">
        <v>116</v>
      </c>
      <c r="E402" s="87" t="s">
        <v>28</v>
      </c>
      <c r="F402" s="87" t="s">
        <v>56</v>
      </c>
      <c r="G402" s="88">
        <v>1</v>
      </c>
      <c r="H402" s="93" t="s">
        <v>327</v>
      </c>
      <c r="I402" s="94" t="s">
        <v>369</v>
      </c>
      <c r="J402" s="93">
        <v>18</v>
      </c>
      <c r="K402" s="93"/>
      <c r="L402" s="93">
        <v>54</v>
      </c>
      <c r="M402" s="93">
        <v>1</v>
      </c>
      <c r="N402" s="93"/>
      <c r="O402" s="93"/>
      <c r="P402" s="59"/>
      <c r="Q402" s="59"/>
      <c r="R402" s="59"/>
      <c r="S402" s="59"/>
      <c r="T402" s="95"/>
      <c r="U402" s="93"/>
      <c r="V402" s="93"/>
      <c r="W402" s="83">
        <f t="shared" ca="1" si="18"/>
        <v>39</v>
      </c>
      <c r="X402" s="64" t="str">
        <f t="shared" ca="1" si="19"/>
        <v>2</v>
      </c>
      <c r="Y402" s="82" t="str">
        <f t="shared" ca="1" si="20"/>
        <v>3</v>
      </c>
      <c r="Z402" s="94"/>
      <c r="AA402" s="94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</row>
    <row r="403" spans="1:57" ht="37.5" x14ac:dyDescent="0.35">
      <c r="A403" s="85">
        <v>6368</v>
      </c>
      <c r="B403" s="86">
        <v>2021</v>
      </c>
      <c r="C403" s="87" t="s">
        <v>35</v>
      </c>
      <c r="D403" s="94" t="s">
        <v>70</v>
      </c>
      <c r="E403" s="87" t="s">
        <v>28</v>
      </c>
      <c r="F403" s="87" t="s">
        <v>23</v>
      </c>
      <c r="G403" s="88">
        <v>1</v>
      </c>
      <c r="H403" s="93" t="s">
        <v>327</v>
      </c>
      <c r="I403" s="94" t="s">
        <v>370</v>
      </c>
      <c r="J403" s="93">
        <v>18</v>
      </c>
      <c r="K403" s="93"/>
      <c r="L403" s="93"/>
      <c r="M403" s="93">
        <v>1</v>
      </c>
      <c r="N403" s="93"/>
      <c r="O403" s="93"/>
      <c r="P403" s="59"/>
      <c r="Q403" s="59"/>
      <c r="R403" s="59"/>
      <c r="S403" s="59"/>
      <c r="T403" s="95"/>
      <c r="U403" s="93"/>
      <c r="V403" s="93"/>
      <c r="W403" s="83">
        <f t="shared" ca="1" si="18"/>
        <v>39</v>
      </c>
      <c r="X403" s="64" t="str">
        <f t="shared" ca="1" si="19"/>
        <v>2</v>
      </c>
      <c r="Y403" s="82" t="str">
        <f t="shared" ca="1" si="20"/>
        <v>3</v>
      </c>
      <c r="Z403" s="94"/>
      <c r="AA403" s="94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</row>
    <row r="404" spans="1:57" ht="37.5" x14ac:dyDescent="0.35">
      <c r="A404" s="85">
        <v>6368</v>
      </c>
      <c r="B404" s="86">
        <v>2021</v>
      </c>
      <c r="C404" s="87" t="s">
        <v>35</v>
      </c>
      <c r="D404" s="94" t="s">
        <v>130</v>
      </c>
      <c r="E404" s="87" t="s">
        <v>26</v>
      </c>
      <c r="F404" s="87" t="s">
        <v>25</v>
      </c>
      <c r="G404" s="88">
        <v>1</v>
      </c>
      <c r="H404" s="93" t="s">
        <v>327</v>
      </c>
      <c r="I404" s="94" t="s">
        <v>340</v>
      </c>
      <c r="J404" s="93"/>
      <c r="K404" s="93"/>
      <c r="L404" s="93"/>
      <c r="M404" s="93">
        <v>1</v>
      </c>
      <c r="N404" s="93">
        <v>1</v>
      </c>
      <c r="O404" s="93"/>
      <c r="P404" s="59"/>
      <c r="Q404" s="59"/>
      <c r="R404" s="59"/>
      <c r="S404" s="59"/>
      <c r="T404" s="95"/>
      <c r="U404" s="93"/>
      <c r="V404" s="93"/>
      <c r="W404" s="83">
        <f t="shared" ca="1" si="18"/>
        <v>39</v>
      </c>
      <c r="X404" s="64" t="str">
        <f t="shared" ca="1" si="19"/>
        <v>2</v>
      </c>
      <c r="Y404" s="82" t="str">
        <f t="shared" ca="1" si="20"/>
        <v>3</v>
      </c>
      <c r="Z404" s="94"/>
      <c r="AA404" s="9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</row>
    <row r="405" spans="1:57" ht="37.5" x14ac:dyDescent="0.35">
      <c r="A405" s="85">
        <v>6368</v>
      </c>
      <c r="B405" s="86">
        <v>2021</v>
      </c>
      <c r="C405" s="87" t="s">
        <v>35</v>
      </c>
      <c r="D405" s="94" t="s">
        <v>72</v>
      </c>
      <c r="E405" s="94" t="s">
        <v>26</v>
      </c>
      <c r="F405" s="94" t="s">
        <v>25</v>
      </c>
      <c r="G405" s="94">
        <v>1</v>
      </c>
      <c r="H405" s="93" t="s">
        <v>327</v>
      </c>
      <c r="I405" s="94" t="s">
        <v>340</v>
      </c>
      <c r="J405" s="93"/>
      <c r="K405" s="93"/>
      <c r="L405" s="93"/>
      <c r="M405" s="93">
        <v>1</v>
      </c>
      <c r="N405" s="93">
        <v>1</v>
      </c>
      <c r="O405" s="93"/>
      <c r="P405" s="59"/>
      <c r="Q405" s="59"/>
      <c r="R405" s="59"/>
      <c r="S405" s="59"/>
      <c r="T405" s="95"/>
      <c r="U405" s="93"/>
      <c r="V405" s="93"/>
      <c r="W405" s="83">
        <f t="shared" ca="1" si="18"/>
        <v>39</v>
      </c>
      <c r="X405" s="64" t="str">
        <f t="shared" ca="1" si="19"/>
        <v>2</v>
      </c>
      <c r="Y405" s="82" t="str">
        <f t="shared" ca="1" si="20"/>
        <v>3</v>
      </c>
      <c r="Z405" s="94"/>
      <c r="AA405" s="94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</row>
    <row r="406" spans="1:57" ht="37.5" x14ac:dyDescent="0.35">
      <c r="A406" s="85">
        <v>6368</v>
      </c>
      <c r="B406" s="86">
        <v>2021</v>
      </c>
      <c r="C406" s="87" t="s">
        <v>35</v>
      </c>
      <c r="D406" s="94" t="s">
        <v>130</v>
      </c>
      <c r="E406" s="94" t="s">
        <v>26</v>
      </c>
      <c r="F406" s="94" t="s">
        <v>25</v>
      </c>
      <c r="G406" s="94">
        <v>1</v>
      </c>
      <c r="H406" s="93" t="s">
        <v>327</v>
      </c>
      <c r="I406" s="94" t="s">
        <v>341</v>
      </c>
      <c r="J406" s="93"/>
      <c r="K406" s="93"/>
      <c r="L406" s="93">
        <v>54</v>
      </c>
      <c r="M406" s="93">
        <v>1</v>
      </c>
      <c r="N406" s="93"/>
      <c r="O406" s="93"/>
      <c r="P406" s="59"/>
      <c r="Q406" s="59"/>
      <c r="R406" s="59"/>
      <c r="S406" s="59"/>
      <c r="T406" s="95"/>
      <c r="U406" s="93"/>
      <c r="V406" s="93"/>
      <c r="W406" s="83">
        <f t="shared" ca="1" si="18"/>
        <v>39</v>
      </c>
      <c r="X406" s="64" t="str">
        <f t="shared" ca="1" si="19"/>
        <v>2</v>
      </c>
      <c r="Y406" s="82" t="str">
        <f t="shared" ca="1" si="20"/>
        <v>3</v>
      </c>
      <c r="Z406" s="94"/>
      <c r="AA406" s="94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</row>
    <row r="407" spans="1:57" ht="37.5" x14ac:dyDescent="0.35">
      <c r="A407" s="85">
        <v>6368</v>
      </c>
      <c r="B407" s="86">
        <v>2021</v>
      </c>
      <c r="C407" s="87" t="s">
        <v>35</v>
      </c>
      <c r="D407" s="94" t="s">
        <v>116</v>
      </c>
      <c r="E407" s="87" t="s">
        <v>28</v>
      </c>
      <c r="F407" s="87" t="s">
        <v>56</v>
      </c>
      <c r="G407" s="88">
        <v>1</v>
      </c>
      <c r="H407" s="93" t="s">
        <v>327</v>
      </c>
      <c r="I407" s="94" t="s">
        <v>342</v>
      </c>
      <c r="J407" s="93">
        <v>12</v>
      </c>
      <c r="K407" s="93"/>
      <c r="L407" s="93">
        <v>72</v>
      </c>
      <c r="M407" s="93">
        <v>1</v>
      </c>
      <c r="N407" s="93"/>
      <c r="O407" s="93"/>
      <c r="P407" s="59"/>
      <c r="Q407" s="59"/>
      <c r="R407" s="59"/>
      <c r="S407" s="59"/>
      <c r="T407" s="95"/>
      <c r="U407" s="93"/>
      <c r="V407" s="93"/>
      <c r="W407" s="83">
        <f t="shared" ca="1" si="18"/>
        <v>39</v>
      </c>
      <c r="X407" s="64" t="str">
        <f t="shared" ca="1" si="19"/>
        <v>2</v>
      </c>
      <c r="Y407" s="82" t="str">
        <f t="shared" ca="1" si="20"/>
        <v>3</v>
      </c>
      <c r="Z407" s="94"/>
      <c r="AA407" s="94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</row>
    <row r="408" spans="1:57" ht="37.5" x14ac:dyDescent="0.35">
      <c r="A408" s="85">
        <v>6368</v>
      </c>
      <c r="B408" s="86">
        <v>2021</v>
      </c>
      <c r="C408" s="87" t="s">
        <v>35</v>
      </c>
      <c r="D408" s="94" t="s">
        <v>72</v>
      </c>
      <c r="E408" s="87" t="s">
        <v>26</v>
      </c>
      <c r="F408" s="87" t="s">
        <v>25</v>
      </c>
      <c r="G408" s="88">
        <v>1</v>
      </c>
      <c r="H408" s="93" t="s">
        <v>327</v>
      </c>
      <c r="I408" s="94" t="s">
        <v>343</v>
      </c>
      <c r="J408" s="93">
        <v>18</v>
      </c>
      <c r="K408" s="93"/>
      <c r="L408" s="93">
        <v>54</v>
      </c>
      <c r="M408" s="93">
        <v>1</v>
      </c>
      <c r="N408" s="93"/>
      <c r="O408" s="93"/>
      <c r="P408" s="59"/>
      <c r="Q408" s="59"/>
      <c r="R408" s="59"/>
      <c r="S408" s="59"/>
      <c r="T408" s="95"/>
      <c r="U408" s="93"/>
      <c r="V408" s="93"/>
      <c r="W408" s="83">
        <f t="shared" ca="1" si="18"/>
        <v>39</v>
      </c>
      <c r="X408" s="64" t="str">
        <f t="shared" ca="1" si="19"/>
        <v>2</v>
      </c>
      <c r="Y408" s="82" t="str">
        <f t="shared" ca="1" si="20"/>
        <v>3</v>
      </c>
      <c r="Z408" s="94"/>
      <c r="AA408" s="94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</row>
    <row r="409" spans="1:57" ht="37.5" x14ac:dyDescent="0.35">
      <c r="A409" s="85">
        <v>6368</v>
      </c>
      <c r="B409" s="86">
        <v>2021</v>
      </c>
      <c r="C409" s="87" t="s">
        <v>35</v>
      </c>
      <c r="D409" s="94" t="s">
        <v>311</v>
      </c>
      <c r="E409" s="87" t="s">
        <v>63</v>
      </c>
      <c r="F409" s="87" t="s">
        <v>374</v>
      </c>
      <c r="G409" s="94">
        <v>1</v>
      </c>
      <c r="H409" s="93" t="s">
        <v>327</v>
      </c>
      <c r="I409" s="94" t="s">
        <v>165</v>
      </c>
      <c r="J409" s="93"/>
      <c r="K409" s="93"/>
      <c r="L409" s="93"/>
      <c r="M409" s="93"/>
      <c r="N409" s="93"/>
      <c r="O409" s="93"/>
      <c r="P409" s="59"/>
      <c r="Q409" s="59"/>
      <c r="R409" s="59"/>
      <c r="S409" s="59"/>
      <c r="T409" s="95"/>
      <c r="U409" s="93">
        <v>15</v>
      </c>
      <c r="V409" s="93"/>
      <c r="W409" s="83">
        <f t="shared" ca="1" si="18"/>
        <v>39</v>
      </c>
      <c r="X409" s="64" t="str">
        <f t="shared" ca="1" si="19"/>
        <v>2</v>
      </c>
      <c r="Y409" s="82" t="str">
        <f t="shared" ca="1" si="20"/>
        <v>3</v>
      </c>
      <c r="Z409" s="94"/>
      <c r="AA409" s="94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</row>
    <row r="410" spans="1:57" ht="37.5" x14ac:dyDescent="0.35">
      <c r="A410" s="85">
        <v>6368</v>
      </c>
      <c r="B410" s="86">
        <v>2021</v>
      </c>
      <c r="C410" s="87" t="s">
        <v>35</v>
      </c>
      <c r="D410" s="94" t="s">
        <v>70</v>
      </c>
      <c r="E410" s="87" t="s">
        <v>28</v>
      </c>
      <c r="F410" s="87" t="s">
        <v>23</v>
      </c>
      <c r="G410" s="88">
        <v>1</v>
      </c>
      <c r="H410" s="93" t="s">
        <v>327</v>
      </c>
      <c r="I410" s="94" t="s">
        <v>165</v>
      </c>
      <c r="J410" s="93"/>
      <c r="K410" s="93"/>
      <c r="L410" s="93"/>
      <c r="M410" s="93"/>
      <c r="N410" s="93"/>
      <c r="O410" s="93"/>
      <c r="P410" s="59"/>
      <c r="Q410" s="59"/>
      <c r="R410" s="59"/>
      <c r="S410" s="59"/>
      <c r="T410" s="95"/>
      <c r="U410" s="93">
        <v>2</v>
      </c>
      <c r="V410" s="93"/>
      <c r="W410" s="83">
        <f t="shared" ca="1" si="18"/>
        <v>39</v>
      </c>
      <c r="X410" s="64" t="str">
        <f t="shared" ca="1" si="19"/>
        <v>2</v>
      </c>
      <c r="Y410" s="82" t="str">
        <f t="shared" ca="1" si="20"/>
        <v>3</v>
      </c>
      <c r="Z410" s="94"/>
      <c r="AA410" s="94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</row>
    <row r="411" spans="1:57" ht="37.5" x14ac:dyDescent="0.35">
      <c r="A411" s="85">
        <v>6368</v>
      </c>
      <c r="B411" s="86">
        <v>2021</v>
      </c>
      <c r="C411" s="87" t="s">
        <v>35</v>
      </c>
      <c r="D411" s="94" t="s">
        <v>312</v>
      </c>
      <c r="E411" s="87" t="s">
        <v>63</v>
      </c>
      <c r="F411" s="87" t="s">
        <v>374</v>
      </c>
      <c r="G411" s="88">
        <v>1</v>
      </c>
      <c r="H411" s="93" t="s">
        <v>327</v>
      </c>
      <c r="I411" s="94" t="s">
        <v>165</v>
      </c>
      <c r="J411" s="93"/>
      <c r="K411" s="93"/>
      <c r="L411" s="93"/>
      <c r="M411" s="93"/>
      <c r="N411" s="93"/>
      <c r="O411" s="93"/>
      <c r="P411" s="59"/>
      <c r="Q411" s="59"/>
      <c r="R411" s="59"/>
      <c r="S411" s="59"/>
      <c r="T411" s="95"/>
      <c r="U411" s="93">
        <v>15</v>
      </c>
      <c r="V411" s="93"/>
      <c r="W411" s="83">
        <f t="shared" ca="1" si="18"/>
        <v>39</v>
      </c>
      <c r="X411" s="64" t="str">
        <f t="shared" ca="1" si="19"/>
        <v>2</v>
      </c>
      <c r="Y411" s="82" t="str">
        <f t="shared" ca="1" si="20"/>
        <v>3</v>
      </c>
      <c r="Z411" s="94"/>
      <c r="AA411" s="94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</row>
    <row r="412" spans="1:57" ht="37.5" x14ac:dyDescent="0.35">
      <c r="A412" s="85">
        <v>6368</v>
      </c>
      <c r="B412" s="86">
        <v>2021</v>
      </c>
      <c r="C412" s="87" t="s">
        <v>35</v>
      </c>
      <c r="D412" s="94" t="s">
        <v>117</v>
      </c>
      <c r="E412" s="94" t="s">
        <v>33</v>
      </c>
      <c r="F412" s="94" t="s">
        <v>25</v>
      </c>
      <c r="G412" s="94">
        <v>0.75</v>
      </c>
      <c r="H412" s="93" t="s">
        <v>327</v>
      </c>
      <c r="I412" s="94" t="s">
        <v>165</v>
      </c>
      <c r="J412" s="93"/>
      <c r="K412" s="93"/>
      <c r="L412" s="93"/>
      <c r="M412" s="93"/>
      <c r="N412" s="93"/>
      <c r="O412" s="93"/>
      <c r="P412" s="59"/>
      <c r="Q412" s="59"/>
      <c r="R412" s="59"/>
      <c r="S412" s="59"/>
      <c r="T412" s="95"/>
      <c r="U412" s="93">
        <v>4</v>
      </c>
      <c r="V412" s="93"/>
      <c r="W412" s="83">
        <f t="shared" ca="1" si="18"/>
        <v>39</v>
      </c>
      <c r="X412" s="64" t="str">
        <f t="shared" ca="1" si="19"/>
        <v>2</v>
      </c>
      <c r="Y412" s="82" t="str">
        <f t="shared" ca="1" si="20"/>
        <v>3</v>
      </c>
      <c r="Z412" s="94"/>
      <c r="AA412" s="94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</row>
    <row r="413" spans="1:57" ht="37.5" x14ac:dyDescent="0.35">
      <c r="A413" s="85">
        <v>6368</v>
      </c>
      <c r="B413" s="86">
        <v>2021</v>
      </c>
      <c r="C413" s="87" t="s">
        <v>35</v>
      </c>
      <c r="D413" s="94" t="s">
        <v>72</v>
      </c>
      <c r="E413" s="94" t="s">
        <v>26</v>
      </c>
      <c r="F413" s="94" t="s">
        <v>25</v>
      </c>
      <c r="G413" s="94">
        <v>1</v>
      </c>
      <c r="H413" s="93" t="s">
        <v>327</v>
      </c>
      <c r="I413" s="94" t="s">
        <v>165</v>
      </c>
      <c r="J413" s="93"/>
      <c r="K413" s="93"/>
      <c r="L413" s="93"/>
      <c r="M413" s="93"/>
      <c r="N413" s="93"/>
      <c r="O413" s="93"/>
      <c r="P413" s="59"/>
      <c r="Q413" s="59"/>
      <c r="R413" s="59"/>
      <c r="S413" s="59"/>
      <c r="T413" s="95"/>
      <c r="U413" s="93">
        <v>5</v>
      </c>
      <c r="V413" s="93"/>
      <c r="W413" s="83">
        <f t="shared" ca="1" si="18"/>
        <v>39</v>
      </c>
      <c r="X413" s="64" t="str">
        <f t="shared" ca="1" si="19"/>
        <v>2</v>
      </c>
      <c r="Y413" s="82" t="str">
        <f t="shared" ca="1" si="20"/>
        <v>3</v>
      </c>
      <c r="Z413" s="94"/>
      <c r="AA413" s="94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</row>
    <row r="414" spans="1:57" ht="37.5" x14ac:dyDescent="0.35">
      <c r="A414" s="85">
        <v>6368</v>
      </c>
      <c r="B414" s="86">
        <v>2021</v>
      </c>
      <c r="C414" s="87" t="s">
        <v>35</v>
      </c>
      <c r="D414" s="87" t="s">
        <v>380</v>
      </c>
      <c r="E414" s="87" t="s">
        <v>33</v>
      </c>
      <c r="F414" s="87" t="s">
        <v>374</v>
      </c>
      <c r="G414" s="88">
        <v>1</v>
      </c>
      <c r="H414" s="93" t="s">
        <v>327</v>
      </c>
      <c r="I414" s="94" t="s">
        <v>165</v>
      </c>
      <c r="J414" s="93"/>
      <c r="K414" s="93"/>
      <c r="L414" s="93"/>
      <c r="M414" s="93"/>
      <c r="N414" s="93"/>
      <c r="O414" s="93"/>
      <c r="P414" s="59"/>
      <c r="Q414" s="59"/>
      <c r="R414" s="59"/>
      <c r="S414" s="59"/>
      <c r="T414" s="95"/>
      <c r="U414" s="93">
        <v>15</v>
      </c>
      <c r="V414" s="93"/>
      <c r="W414" s="83">
        <f t="shared" ca="1" si="18"/>
        <v>39</v>
      </c>
      <c r="X414" s="64" t="str">
        <f t="shared" ca="1" si="19"/>
        <v>2</v>
      </c>
      <c r="Y414" s="82" t="str">
        <f t="shared" ca="1" si="20"/>
        <v>3</v>
      </c>
      <c r="Z414" s="94"/>
      <c r="AA414" s="9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</row>
    <row r="415" spans="1:57" ht="37.5" x14ac:dyDescent="0.35">
      <c r="A415" s="85">
        <v>6368</v>
      </c>
      <c r="B415" s="86">
        <v>2021</v>
      </c>
      <c r="C415" s="87" t="s">
        <v>35</v>
      </c>
      <c r="D415" s="94" t="s">
        <v>130</v>
      </c>
      <c r="E415" s="87" t="s">
        <v>26</v>
      </c>
      <c r="F415" s="87" t="s">
        <v>25</v>
      </c>
      <c r="G415" s="88">
        <v>1</v>
      </c>
      <c r="H415" s="93" t="s">
        <v>327</v>
      </c>
      <c r="I415" s="94" t="s">
        <v>165</v>
      </c>
      <c r="J415" s="93"/>
      <c r="K415" s="93"/>
      <c r="L415" s="93"/>
      <c r="M415" s="93"/>
      <c r="N415" s="93"/>
      <c r="O415" s="93"/>
      <c r="P415" s="59"/>
      <c r="Q415" s="59"/>
      <c r="R415" s="59"/>
      <c r="S415" s="59"/>
      <c r="T415" s="95"/>
      <c r="U415" s="93">
        <v>5</v>
      </c>
      <c r="V415" s="93"/>
      <c r="W415" s="83">
        <f t="shared" ca="1" si="18"/>
        <v>39</v>
      </c>
      <c r="X415" s="64" t="str">
        <f t="shared" ca="1" si="19"/>
        <v>2</v>
      </c>
      <c r="Y415" s="82" t="str">
        <f t="shared" ca="1" si="20"/>
        <v>3</v>
      </c>
      <c r="Z415" s="94"/>
      <c r="AA415" s="94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</row>
    <row r="416" spans="1:57" ht="37.5" x14ac:dyDescent="0.35">
      <c r="A416" s="85">
        <v>6368</v>
      </c>
      <c r="B416" s="86">
        <v>2021</v>
      </c>
      <c r="C416" s="87" t="s">
        <v>35</v>
      </c>
      <c r="D416" s="94" t="s">
        <v>130</v>
      </c>
      <c r="E416" s="87" t="s">
        <v>26</v>
      </c>
      <c r="F416" s="87" t="s">
        <v>25</v>
      </c>
      <c r="G416" s="94">
        <v>1</v>
      </c>
      <c r="H416" s="93" t="s">
        <v>327</v>
      </c>
      <c r="I416" s="94" t="s">
        <v>164</v>
      </c>
      <c r="J416" s="93"/>
      <c r="K416" s="93"/>
      <c r="L416" s="93"/>
      <c r="M416" s="93"/>
      <c r="N416" s="93"/>
      <c r="O416" s="93"/>
      <c r="P416" s="59"/>
      <c r="Q416" s="59"/>
      <c r="R416" s="59"/>
      <c r="S416" s="59"/>
      <c r="T416" s="95"/>
      <c r="U416" s="93">
        <v>6</v>
      </c>
      <c r="V416" s="93"/>
      <c r="W416" s="83">
        <f t="shared" ca="1" si="18"/>
        <v>39</v>
      </c>
      <c r="X416" s="64" t="str">
        <f t="shared" ca="1" si="19"/>
        <v>2</v>
      </c>
      <c r="Y416" s="82" t="str">
        <f t="shared" ca="1" si="20"/>
        <v>3</v>
      </c>
      <c r="Z416" s="94"/>
      <c r="AA416" s="94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</row>
    <row r="417" spans="1:57" ht="37.5" x14ac:dyDescent="0.35">
      <c r="A417" s="85">
        <v>6368</v>
      </c>
      <c r="B417" s="86">
        <v>2021</v>
      </c>
      <c r="C417" s="87" t="s">
        <v>35</v>
      </c>
      <c r="D417" s="87" t="s">
        <v>380</v>
      </c>
      <c r="E417" s="87" t="s">
        <v>33</v>
      </c>
      <c r="F417" s="87" t="s">
        <v>374</v>
      </c>
      <c r="G417" s="94"/>
      <c r="H417" s="93" t="s">
        <v>327</v>
      </c>
      <c r="I417" s="94" t="s">
        <v>164</v>
      </c>
      <c r="J417" s="93"/>
      <c r="K417" s="93"/>
      <c r="L417" s="93"/>
      <c r="M417" s="93"/>
      <c r="N417" s="93"/>
      <c r="O417" s="93"/>
      <c r="P417" s="59"/>
      <c r="Q417" s="59"/>
      <c r="R417" s="59"/>
      <c r="S417" s="59"/>
      <c r="T417" s="95"/>
      <c r="U417" s="93">
        <v>20</v>
      </c>
      <c r="V417" s="93"/>
      <c r="W417" s="83">
        <f t="shared" ca="1" si="18"/>
        <v>39</v>
      </c>
      <c r="X417" s="64" t="str">
        <f t="shared" ca="1" si="19"/>
        <v>2</v>
      </c>
      <c r="Y417" s="82" t="str">
        <f t="shared" ca="1" si="20"/>
        <v>3</v>
      </c>
      <c r="Z417" s="94"/>
      <c r="AA417" s="94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</row>
    <row r="418" spans="1:57" ht="37.5" x14ac:dyDescent="0.35">
      <c r="A418" s="85">
        <v>6368</v>
      </c>
      <c r="B418" s="86">
        <v>2021</v>
      </c>
      <c r="C418" s="87" t="s">
        <v>35</v>
      </c>
      <c r="D418" s="87" t="s">
        <v>311</v>
      </c>
      <c r="E418" s="87" t="s">
        <v>63</v>
      </c>
      <c r="F418" s="87" t="s">
        <v>374</v>
      </c>
      <c r="G418" s="88">
        <v>1</v>
      </c>
      <c r="H418" s="93" t="s">
        <v>327</v>
      </c>
      <c r="I418" s="87" t="s">
        <v>164</v>
      </c>
      <c r="J418" s="85"/>
      <c r="K418" s="85"/>
      <c r="L418" s="85"/>
      <c r="M418" s="85"/>
      <c r="N418" s="85"/>
      <c r="O418" s="85"/>
      <c r="P418" s="91"/>
      <c r="Q418" s="91"/>
      <c r="R418" s="91"/>
      <c r="S418" s="91"/>
      <c r="T418" s="89"/>
      <c r="U418" s="85">
        <v>20</v>
      </c>
      <c r="V418" s="85"/>
      <c r="W418" s="83">
        <f t="shared" ca="1" si="18"/>
        <v>39</v>
      </c>
      <c r="X418" s="64" t="str">
        <f t="shared" ca="1" si="19"/>
        <v>2</v>
      </c>
      <c r="Y418" s="82" t="str">
        <f t="shared" ca="1" si="20"/>
        <v>3</v>
      </c>
      <c r="Z418" s="87"/>
      <c r="AA418" s="87" t="s">
        <v>22</v>
      </c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</row>
    <row r="419" spans="1:57" ht="37.5" x14ac:dyDescent="0.35">
      <c r="A419" s="85">
        <v>6368</v>
      </c>
      <c r="B419" s="86">
        <v>2021</v>
      </c>
      <c r="C419" s="87" t="s">
        <v>35</v>
      </c>
      <c r="D419" s="87" t="s">
        <v>312</v>
      </c>
      <c r="E419" s="87" t="s">
        <v>63</v>
      </c>
      <c r="F419" s="87" t="s">
        <v>374</v>
      </c>
      <c r="G419" s="88">
        <v>1</v>
      </c>
      <c r="H419" s="93" t="s">
        <v>327</v>
      </c>
      <c r="I419" s="87" t="s">
        <v>164</v>
      </c>
      <c r="J419" s="85"/>
      <c r="K419" s="85"/>
      <c r="L419" s="85"/>
      <c r="M419" s="85"/>
      <c r="N419" s="85"/>
      <c r="O419" s="85"/>
      <c r="P419" s="91"/>
      <c r="Q419" s="91"/>
      <c r="R419" s="91"/>
      <c r="S419" s="91"/>
      <c r="T419" s="89"/>
      <c r="U419" s="85">
        <v>20</v>
      </c>
      <c r="V419" s="85"/>
      <c r="W419" s="83">
        <f t="shared" ca="1" si="18"/>
        <v>39</v>
      </c>
      <c r="X419" s="64" t="str">
        <f t="shared" ca="1" si="19"/>
        <v>2</v>
      </c>
      <c r="Y419" s="82" t="str">
        <f t="shared" ca="1" si="20"/>
        <v>3</v>
      </c>
      <c r="Z419" s="87"/>
      <c r="AA419" s="87" t="s">
        <v>22</v>
      </c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</row>
    <row r="420" spans="1:57" ht="37.5" x14ac:dyDescent="0.35">
      <c r="A420" s="85">
        <v>6368</v>
      </c>
      <c r="B420" s="86">
        <v>2021</v>
      </c>
      <c r="C420" s="87" t="s">
        <v>35</v>
      </c>
      <c r="D420" s="87" t="s">
        <v>117</v>
      </c>
      <c r="E420" s="87" t="s">
        <v>33</v>
      </c>
      <c r="F420" s="87" t="s">
        <v>25</v>
      </c>
      <c r="G420" s="88">
        <v>0.75</v>
      </c>
      <c r="H420" s="93" t="s">
        <v>327</v>
      </c>
      <c r="I420" s="87" t="s">
        <v>164</v>
      </c>
      <c r="J420" s="85"/>
      <c r="K420" s="85"/>
      <c r="L420" s="85"/>
      <c r="M420" s="85"/>
      <c r="N420" s="85"/>
      <c r="O420" s="85"/>
      <c r="P420" s="91"/>
      <c r="Q420" s="91"/>
      <c r="R420" s="91"/>
      <c r="S420" s="91"/>
      <c r="T420" s="89"/>
      <c r="U420" s="85">
        <v>4</v>
      </c>
      <c r="V420" s="85"/>
      <c r="W420" s="83">
        <f t="shared" ca="1" si="18"/>
        <v>39</v>
      </c>
      <c r="X420" s="64" t="str">
        <f t="shared" ca="1" si="19"/>
        <v>2</v>
      </c>
      <c r="Y420" s="82" t="str">
        <f t="shared" ca="1" si="20"/>
        <v>3</v>
      </c>
      <c r="Z420" s="87"/>
      <c r="AA420" s="87" t="s">
        <v>22</v>
      </c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</row>
    <row r="421" spans="1:57" ht="37.5" x14ac:dyDescent="0.35">
      <c r="A421" s="85">
        <v>6368</v>
      </c>
      <c r="B421" s="86">
        <v>2021</v>
      </c>
      <c r="C421" s="87" t="s">
        <v>35</v>
      </c>
      <c r="D421" s="87" t="s">
        <v>70</v>
      </c>
      <c r="E421" s="87" t="s">
        <v>28</v>
      </c>
      <c r="F421" s="87" t="s">
        <v>23</v>
      </c>
      <c r="G421" s="88">
        <v>1</v>
      </c>
      <c r="H421" s="93" t="s">
        <v>327</v>
      </c>
      <c r="I421" s="87" t="s">
        <v>164</v>
      </c>
      <c r="J421" s="85"/>
      <c r="K421" s="85"/>
      <c r="L421" s="85"/>
      <c r="M421" s="85"/>
      <c r="N421" s="85"/>
      <c r="O421" s="85"/>
      <c r="P421" s="91"/>
      <c r="Q421" s="91"/>
      <c r="R421" s="91"/>
      <c r="S421" s="91"/>
      <c r="T421" s="89"/>
      <c r="U421" s="85">
        <v>2</v>
      </c>
      <c r="V421" s="85"/>
      <c r="W421" s="83">
        <f t="shared" ca="1" si="18"/>
        <v>39</v>
      </c>
      <c r="X421" s="64" t="str">
        <f t="shared" ca="1" si="19"/>
        <v>2</v>
      </c>
      <c r="Y421" s="82" t="str">
        <f t="shared" ca="1" si="20"/>
        <v>3</v>
      </c>
      <c r="Z421" s="87"/>
      <c r="AA421" s="87" t="s">
        <v>353</v>
      </c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</row>
    <row r="422" spans="1:57" ht="37.5" x14ac:dyDescent="0.35">
      <c r="A422" s="85">
        <v>6368</v>
      </c>
      <c r="B422" s="86">
        <v>2021</v>
      </c>
      <c r="C422" s="87" t="s">
        <v>35</v>
      </c>
      <c r="D422" s="87" t="s">
        <v>72</v>
      </c>
      <c r="E422" s="87" t="s">
        <v>26</v>
      </c>
      <c r="F422" s="87" t="s">
        <v>25</v>
      </c>
      <c r="G422" s="88">
        <v>1</v>
      </c>
      <c r="H422" s="93" t="s">
        <v>327</v>
      </c>
      <c r="I422" s="87" t="s">
        <v>164</v>
      </c>
      <c r="J422" s="85"/>
      <c r="K422" s="85"/>
      <c r="L422" s="85"/>
      <c r="M422" s="85"/>
      <c r="N422" s="85"/>
      <c r="O422" s="85"/>
      <c r="P422" s="91"/>
      <c r="Q422" s="91"/>
      <c r="R422" s="91"/>
      <c r="S422" s="91"/>
      <c r="T422" s="89"/>
      <c r="U422" s="85">
        <v>6</v>
      </c>
      <c r="V422" s="85"/>
      <c r="W422" s="83">
        <f t="shared" ca="1" si="18"/>
        <v>39</v>
      </c>
      <c r="X422" s="64" t="str">
        <f t="shared" ca="1" si="19"/>
        <v>2</v>
      </c>
      <c r="Y422" s="82" t="str">
        <f t="shared" ca="1" si="20"/>
        <v>3</v>
      </c>
      <c r="Z422" s="87"/>
      <c r="AA422" s="87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</row>
    <row r="423" spans="1:57" ht="37.5" x14ac:dyDescent="0.35">
      <c r="A423" s="85">
        <v>5791</v>
      </c>
      <c r="B423" s="86">
        <v>2020</v>
      </c>
      <c r="C423" s="87" t="s">
        <v>35</v>
      </c>
      <c r="D423" s="87" t="s">
        <v>311</v>
      </c>
      <c r="E423" s="87" t="s">
        <v>63</v>
      </c>
      <c r="F423" s="87" t="s">
        <v>374</v>
      </c>
      <c r="G423" s="88">
        <v>1</v>
      </c>
      <c r="H423" s="93" t="s">
        <v>326</v>
      </c>
      <c r="I423" s="87" t="s">
        <v>164</v>
      </c>
      <c r="J423" s="85"/>
      <c r="K423" s="85"/>
      <c r="L423" s="85"/>
      <c r="M423" s="85"/>
      <c r="N423" s="85"/>
      <c r="O423" s="85"/>
      <c r="P423" s="91"/>
      <c r="Q423" s="91"/>
      <c r="R423" s="91"/>
      <c r="S423" s="91"/>
      <c r="T423" s="89"/>
      <c r="U423" s="85"/>
      <c r="V423" s="85"/>
      <c r="W423" s="83">
        <f t="shared" ca="1" si="18"/>
        <v>27</v>
      </c>
      <c r="X423" s="64" t="str">
        <f t="shared" ca="1" si="19"/>
        <v>1</v>
      </c>
      <c r="Y423" s="82" t="str">
        <f t="shared" ca="1" si="20"/>
        <v>2</v>
      </c>
      <c r="Z423" s="87"/>
      <c r="AA423" s="87" t="s">
        <v>22</v>
      </c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</row>
    <row r="424" spans="1:57" ht="37.5" x14ac:dyDescent="0.35">
      <c r="A424" s="85">
        <v>5791</v>
      </c>
      <c r="B424" s="86">
        <v>2020</v>
      </c>
      <c r="C424" s="87" t="s">
        <v>35</v>
      </c>
      <c r="D424" s="87" t="s">
        <v>312</v>
      </c>
      <c r="E424" s="87" t="s">
        <v>63</v>
      </c>
      <c r="F424" s="87" t="s">
        <v>374</v>
      </c>
      <c r="G424" s="88">
        <v>1</v>
      </c>
      <c r="H424" s="93" t="s">
        <v>326</v>
      </c>
      <c r="I424" s="87" t="s">
        <v>164</v>
      </c>
      <c r="J424" s="85"/>
      <c r="K424" s="85"/>
      <c r="L424" s="85"/>
      <c r="M424" s="85"/>
      <c r="N424" s="85"/>
      <c r="O424" s="85"/>
      <c r="P424" s="91"/>
      <c r="Q424" s="91"/>
      <c r="R424" s="91"/>
      <c r="S424" s="91"/>
      <c r="T424" s="89"/>
      <c r="U424" s="85"/>
      <c r="V424" s="85"/>
      <c r="W424" s="83">
        <f t="shared" ca="1" si="18"/>
        <v>27</v>
      </c>
      <c r="X424" s="64" t="str">
        <f t="shared" ca="1" si="19"/>
        <v>1</v>
      </c>
      <c r="Y424" s="82" t="str">
        <f t="shared" ca="1" si="20"/>
        <v>2</v>
      </c>
      <c r="Z424" s="87"/>
      <c r="AA424" s="87" t="s">
        <v>22</v>
      </c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</row>
    <row r="425" spans="1:57" ht="37.5" x14ac:dyDescent="0.35">
      <c r="A425" s="85">
        <v>5791</v>
      </c>
      <c r="B425" s="86">
        <v>2020</v>
      </c>
      <c r="C425" s="87" t="s">
        <v>35</v>
      </c>
      <c r="D425" s="87" t="s">
        <v>117</v>
      </c>
      <c r="E425" s="87" t="s">
        <v>33</v>
      </c>
      <c r="F425" s="87" t="s">
        <v>25</v>
      </c>
      <c r="G425" s="88">
        <v>0.75</v>
      </c>
      <c r="H425" s="93" t="s">
        <v>326</v>
      </c>
      <c r="I425" s="87" t="s">
        <v>164</v>
      </c>
      <c r="J425" s="85"/>
      <c r="K425" s="85"/>
      <c r="L425" s="85"/>
      <c r="M425" s="85"/>
      <c r="N425" s="85"/>
      <c r="O425" s="85"/>
      <c r="P425" s="91"/>
      <c r="Q425" s="91"/>
      <c r="R425" s="91"/>
      <c r="S425" s="91"/>
      <c r="T425" s="89"/>
      <c r="U425" s="85"/>
      <c r="V425" s="85"/>
      <c r="W425" s="83">
        <f t="shared" ca="1" si="18"/>
        <v>27</v>
      </c>
      <c r="X425" s="64" t="str">
        <f t="shared" ca="1" si="19"/>
        <v>1</v>
      </c>
      <c r="Y425" s="82" t="str">
        <f t="shared" ca="1" si="20"/>
        <v>2</v>
      </c>
      <c r="Z425" s="87"/>
      <c r="AA425" s="87" t="s">
        <v>22</v>
      </c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</row>
    <row r="426" spans="1:57" ht="37.5" x14ac:dyDescent="0.35">
      <c r="A426" s="85">
        <v>5791</v>
      </c>
      <c r="B426" s="86">
        <v>2020</v>
      </c>
      <c r="C426" s="87" t="s">
        <v>35</v>
      </c>
      <c r="D426" s="87" t="s">
        <v>70</v>
      </c>
      <c r="E426" s="87" t="s">
        <v>28</v>
      </c>
      <c r="F426" s="87" t="s">
        <v>23</v>
      </c>
      <c r="G426" s="88">
        <v>1</v>
      </c>
      <c r="H426" s="93" t="s">
        <v>326</v>
      </c>
      <c r="I426" s="87" t="s">
        <v>164</v>
      </c>
      <c r="J426" s="85"/>
      <c r="K426" s="85"/>
      <c r="L426" s="85"/>
      <c r="M426" s="85"/>
      <c r="N426" s="85"/>
      <c r="O426" s="85"/>
      <c r="P426" s="91"/>
      <c r="Q426" s="91"/>
      <c r="R426" s="91"/>
      <c r="S426" s="91"/>
      <c r="T426" s="89"/>
      <c r="U426" s="85"/>
      <c r="V426" s="85"/>
      <c r="W426" s="83">
        <f t="shared" ca="1" si="18"/>
        <v>27</v>
      </c>
      <c r="X426" s="64" t="str">
        <f t="shared" ca="1" si="19"/>
        <v>1</v>
      </c>
      <c r="Y426" s="82" t="str">
        <f t="shared" ca="1" si="20"/>
        <v>2</v>
      </c>
      <c r="Z426" s="87"/>
      <c r="AA426" s="87" t="s">
        <v>353</v>
      </c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</row>
    <row r="427" spans="1:57" ht="37.5" x14ac:dyDescent="0.35">
      <c r="A427" s="85">
        <v>5791</v>
      </c>
      <c r="B427" s="86">
        <v>2020</v>
      </c>
      <c r="C427" s="87" t="s">
        <v>35</v>
      </c>
      <c r="D427" s="87" t="s">
        <v>116</v>
      </c>
      <c r="E427" s="87" t="s">
        <v>28</v>
      </c>
      <c r="F427" s="87" t="s">
        <v>56</v>
      </c>
      <c r="G427" s="88">
        <v>1</v>
      </c>
      <c r="H427" s="93" t="s">
        <v>326</v>
      </c>
      <c r="I427" s="87" t="s">
        <v>164</v>
      </c>
      <c r="J427" s="85"/>
      <c r="K427" s="85"/>
      <c r="L427" s="85"/>
      <c r="M427" s="85"/>
      <c r="N427" s="85"/>
      <c r="O427" s="85"/>
      <c r="P427" s="91"/>
      <c r="Q427" s="91"/>
      <c r="R427" s="91"/>
      <c r="S427" s="91"/>
      <c r="T427" s="89"/>
      <c r="U427" s="85">
        <v>8</v>
      </c>
      <c r="V427" s="85"/>
      <c r="W427" s="83">
        <f t="shared" ca="1" si="18"/>
        <v>27</v>
      </c>
      <c r="X427" s="64" t="str">
        <f t="shared" ca="1" si="19"/>
        <v>1</v>
      </c>
      <c r="Y427" s="82" t="str">
        <f t="shared" ca="1" si="20"/>
        <v>2</v>
      </c>
      <c r="Z427" s="87"/>
      <c r="AA427" s="87" t="s">
        <v>22</v>
      </c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</row>
    <row r="428" spans="1:57" ht="37.5" x14ac:dyDescent="0.35">
      <c r="A428" s="85">
        <v>5791</v>
      </c>
      <c r="B428" s="86">
        <v>2020</v>
      </c>
      <c r="C428" s="87" t="s">
        <v>35</v>
      </c>
      <c r="D428" s="87" t="s">
        <v>130</v>
      </c>
      <c r="E428" s="87" t="s">
        <v>26</v>
      </c>
      <c r="F428" s="87" t="s">
        <v>25</v>
      </c>
      <c r="G428" s="88">
        <v>1</v>
      </c>
      <c r="H428" s="93" t="s">
        <v>326</v>
      </c>
      <c r="I428" s="87" t="s">
        <v>357</v>
      </c>
      <c r="J428" s="85"/>
      <c r="K428" s="85"/>
      <c r="L428" s="85"/>
      <c r="M428" s="85"/>
      <c r="N428" s="85"/>
      <c r="O428" s="85"/>
      <c r="P428" s="91"/>
      <c r="Q428" s="91"/>
      <c r="R428" s="91"/>
      <c r="S428" s="91"/>
      <c r="T428" s="89"/>
      <c r="U428" s="85"/>
      <c r="V428" s="85"/>
      <c r="W428" s="83">
        <f t="shared" ca="1" si="18"/>
        <v>27</v>
      </c>
      <c r="X428" s="64" t="str">
        <f t="shared" ca="1" si="19"/>
        <v>1</v>
      </c>
      <c r="Y428" s="82" t="str">
        <f t="shared" ca="1" si="20"/>
        <v>2</v>
      </c>
      <c r="Z428" s="87"/>
      <c r="AA428" s="87" t="s">
        <v>61</v>
      </c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</row>
    <row r="429" spans="1:57" ht="37.5" x14ac:dyDescent="0.35">
      <c r="A429" s="85">
        <v>5791</v>
      </c>
      <c r="B429" s="86">
        <v>2020</v>
      </c>
      <c r="C429" s="87" t="s">
        <v>35</v>
      </c>
      <c r="D429" s="87" t="s">
        <v>72</v>
      </c>
      <c r="E429" s="87" t="s">
        <v>26</v>
      </c>
      <c r="F429" s="87" t="s">
        <v>25</v>
      </c>
      <c r="G429" s="88">
        <v>1</v>
      </c>
      <c r="H429" s="93" t="s">
        <v>326</v>
      </c>
      <c r="I429" s="87" t="s">
        <v>357</v>
      </c>
      <c r="J429" s="85"/>
      <c r="K429" s="85"/>
      <c r="L429" s="85"/>
      <c r="M429" s="85"/>
      <c r="N429" s="85"/>
      <c r="O429" s="85"/>
      <c r="P429" s="91"/>
      <c r="Q429" s="91"/>
      <c r="R429" s="91"/>
      <c r="S429" s="91"/>
      <c r="T429" s="89"/>
      <c r="U429" s="85"/>
      <c r="V429" s="85"/>
      <c r="W429" s="83">
        <f t="shared" ca="1" si="18"/>
        <v>27</v>
      </c>
      <c r="X429" s="64" t="str">
        <f t="shared" ca="1" si="19"/>
        <v>1</v>
      </c>
      <c r="Y429" s="82" t="str">
        <f t="shared" ca="1" si="20"/>
        <v>2</v>
      </c>
      <c r="Z429" s="87"/>
      <c r="AA429" s="87" t="s">
        <v>22</v>
      </c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</row>
    <row r="430" spans="1:57" ht="37.5" x14ac:dyDescent="0.35">
      <c r="A430" s="85">
        <v>5791</v>
      </c>
      <c r="B430" s="86">
        <v>2020</v>
      </c>
      <c r="C430" s="87" t="s">
        <v>35</v>
      </c>
      <c r="D430" s="87" t="s">
        <v>311</v>
      </c>
      <c r="E430" s="87" t="s">
        <v>63</v>
      </c>
      <c r="F430" s="87" t="s">
        <v>374</v>
      </c>
      <c r="G430" s="88">
        <v>1</v>
      </c>
      <c r="H430" s="93" t="s">
        <v>326</v>
      </c>
      <c r="I430" s="87" t="s">
        <v>357</v>
      </c>
      <c r="J430" s="85"/>
      <c r="K430" s="85"/>
      <c r="L430" s="85"/>
      <c r="M430" s="85"/>
      <c r="N430" s="85"/>
      <c r="O430" s="85"/>
      <c r="P430" s="91"/>
      <c r="Q430" s="91"/>
      <c r="R430" s="91"/>
      <c r="S430" s="91"/>
      <c r="T430" s="89"/>
      <c r="U430" s="85"/>
      <c r="V430" s="85"/>
      <c r="W430" s="83">
        <f t="shared" ca="1" si="18"/>
        <v>27</v>
      </c>
      <c r="X430" s="64" t="str">
        <f t="shared" ca="1" si="19"/>
        <v>1</v>
      </c>
      <c r="Y430" s="82" t="str">
        <f t="shared" ca="1" si="20"/>
        <v>2</v>
      </c>
      <c r="Z430" s="87"/>
      <c r="AA430" s="87" t="s">
        <v>353</v>
      </c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</row>
    <row r="431" spans="1:57" ht="37.5" x14ac:dyDescent="0.35">
      <c r="A431" s="85">
        <v>5791</v>
      </c>
      <c r="B431" s="86">
        <v>2020</v>
      </c>
      <c r="C431" s="87" t="s">
        <v>35</v>
      </c>
      <c r="D431" s="87" t="s">
        <v>312</v>
      </c>
      <c r="E431" s="87" t="s">
        <v>63</v>
      </c>
      <c r="F431" s="87" t="s">
        <v>374</v>
      </c>
      <c r="G431" s="88">
        <v>1</v>
      </c>
      <c r="H431" s="93" t="s">
        <v>326</v>
      </c>
      <c r="I431" s="87" t="s">
        <v>357</v>
      </c>
      <c r="J431" s="85"/>
      <c r="K431" s="85"/>
      <c r="L431" s="85"/>
      <c r="M431" s="85"/>
      <c r="N431" s="85"/>
      <c r="O431" s="85"/>
      <c r="P431" s="91"/>
      <c r="Q431" s="91"/>
      <c r="R431" s="91"/>
      <c r="S431" s="91"/>
      <c r="T431" s="89"/>
      <c r="U431" s="85"/>
      <c r="V431" s="85"/>
      <c r="W431" s="83">
        <f t="shared" ca="1" si="18"/>
        <v>27</v>
      </c>
      <c r="X431" s="64" t="str">
        <f t="shared" ca="1" si="19"/>
        <v>1</v>
      </c>
      <c r="Y431" s="82" t="str">
        <f t="shared" ca="1" si="20"/>
        <v>2</v>
      </c>
      <c r="Z431" s="87"/>
      <c r="AA431" s="87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</row>
    <row r="432" spans="1:57" ht="37.5" x14ac:dyDescent="0.35">
      <c r="A432" s="85">
        <v>5791</v>
      </c>
      <c r="B432" s="86">
        <v>2020</v>
      </c>
      <c r="C432" s="87" t="s">
        <v>35</v>
      </c>
      <c r="D432" s="87" t="s">
        <v>117</v>
      </c>
      <c r="E432" s="87" t="s">
        <v>33</v>
      </c>
      <c r="F432" s="87" t="s">
        <v>25</v>
      </c>
      <c r="G432" s="88">
        <v>0.75</v>
      </c>
      <c r="H432" s="93" t="s">
        <v>326</v>
      </c>
      <c r="I432" s="87" t="s">
        <v>357</v>
      </c>
      <c r="J432" s="85"/>
      <c r="K432" s="85"/>
      <c r="L432" s="85"/>
      <c r="M432" s="85"/>
      <c r="N432" s="85"/>
      <c r="O432" s="85"/>
      <c r="P432" s="91"/>
      <c r="Q432" s="91"/>
      <c r="R432" s="91"/>
      <c r="S432" s="91"/>
      <c r="T432" s="89"/>
      <c r="U432" s="85"/>
      <c r="V432" s="85"/>
      <c r="W432" s="83">
        <f t="shared" ca="1" si="18"/>
        <v>27</v>
      </c>
      <c r="X432" s="64" t="str">
        <f t="shared" ca="1" si="19"/>
        <v>1</v>
      </c>
      <c r="Y432" s="82" t="str">
        <f t="shared" ca="1" si="20"/>
        <v>2</v>
      </c>
      <c r="Z432" s="87"/>
      <c r="AA432" s="87" t="s">
        <v>61</v>
      </c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</row>
    <row r="433" spans="1:57" ht="37.5" x14ac:dyDescent="0.35">
      <c r="A433" s="85">
        <v>5791</v>
      </c>
      <c r="B433" s="86">
        <v>2020</v>
      </c>
      <c r="C433" s="87" t="s">
        <v>35</v>
      </c>
      <c r="D433" s="87" t="s">
        <v>70</v>
      </c>
      <c r="E433" s="87" t="s">
        <v>28</v>
      </c>
      <c r="F433" s="87" t="s">
        <v>23</v>
      </c>
      <c r="G433" s="88">
        <v>1</v>
      </c>
      <c r="H433" s="93" t="s">
        <v>326</v>
      </c>
      <c r="I433" s="87" t="s">
        <v>357</v>
      </c>
      <c r="J433" s="85"/>
      <c r="K433" s="85"/>
      <c r="L433" s="85"/>
      <c r="M433" s="85"/>
      <c r="N433" s="85"/>
      <c r="O433" s="85"/>
      <c r="P433" s="91"/>
      <c r="Q433" s="91"/>
      <c r="R433" s="91"/>
      <c r="S433" s="91"/>
      <c r="T433" s="89"/>
      <c r="U433" s="85"/>
      <c r="V433" s="85"/>
      <c r="W433" s="83">
        <f t="shared" ca="1" si="18"/>
        <v>27</v>
      </c>
      <c r="X433" s="64" t="str">
        <f t="shared" ca="1" si="19"/>
        <v>1</v>
      </c>
      <c r="Y433" s="82" t="str">
        <f t="shared" ca="1" si="20"/>
        <v>2</v>
      </c>
      <c r="Z433" s="87"/>
      <c r="AA433" s="87" t="s">
        <v>22</v>
      </c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</row>
    <row r="434" spans="1:57" ht="37.5" x14ac:dyDescent="0.35">
      <c r="A434" s="85">
        <v>6368</v>
      </c>
      <c r="B434" s="86">
        <v>2020</v>
      </c>
      <c r="C434" s="87" t="s">
        <v>35</v>
      </c>
      <c r="D434" s="87" t="s">
        <v>380</v>
      </c>
      <c r="E434" s="87" t="s">
        <v>33</v>
      </c>
      <c r="F434" s="87" t="s">
        <v>374</v>
      </c>
      <c r="G434" s="88">
        <v>1</v>
      </c>
      <c r="H434" s="93" t="s">
        <v>327</v>
      </c>
      <c r="I434" s="87" t="s">
        <v>357</v>
      </c>
      <c r="J434" s="85"/>
      <c r="K434" s="85"/>
      <c r="L434" s="85"/>
      <c r="M434" s="85"/>
      <c r="N434" s="85"/>
      <c r="O434" s="85"/>
      <c r="P434" s="91"/>
      <c r="Q434" s="91"/>
      <c r="R434" s="91"/>
      <c r="S434" s="91"/>
      <c r="T434" s="89"/>
      <c r="U434" s="85"/>
      <c r="V434" s="85">
        <v>200</v>
      </c>
      <c r="W434" s="83">
        <f t="shared" ca="1" si="18"/>
        <v>39</v>
      </c>
      <c r="X434" s="64" t="str">
        <f t="shared" ca="1" si="19"/>
        <v>2</v>
      </c>
      <c r="Y434" s="82" t="str">
        <f t="shared" ca="1" si="20"/>
        <v>3</v>
      </c>
      <c r="Z434" s="87"/>
      <c r="AA434" s="87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</row>
    <row r="435" spans="1:57" ht="37.5" x14ac:dyDescent="0.35">
      <c r="A435" s="85">
        <v>5791</v>
      </c>
      <c r="B435" s="86">
        <v>2020</v>
      </c>
      <c r="C435" s="87" t="s">
        <v>35</v>
      </c>
      <c r="D435" s="87" t="s">
        <v>311</v>
      </c>
      <c r="E435" s="87" t="s">
        <v>63</v>
      </c>
      <c r="F435" s="87" t="s">
        <v>374</v>
      </c>
      <c r="G435" s="88">
        <v>1</v>
      </c>
      <c r="H435" s="93" t="s">
        <v>326</v>
      </c>
      <c r="I435" s="87" t="s">
        <v>371</v>
      </c>
      <c r="J435" s="85"/>
      <c r="K435" s="85"/>
      <c r="L435" s="85"/>
      <c r="M435" s="85">
        <v>1</v>
      </c>
      <c r="N435" s="85"/>
      <c r="O435" s="85"/>
      <c r="P435" s="91"/>
      <c r="Q435" s="91"/>
      <c r="R435" s="91"/>
      <c r="S435" s="91"/>
      <c r="T435" s="89"/>
      <c r="U435" s="85"/>
      <c r="V435" s="85"/>
      <c r="W435" s="83">
        <f t="shared" ca="1" si="18"/>
        <v>27</v>
      </c>
      <c r="X435" s="64" t="str">
        <f t="shared" ca="1" si="19"/>
        <v>1</v>
      </c>
      <c r="Y435" s="82" t="str">
        <f t="shared" ca="1" si="20"/>
        <v>2</v>
      </c>
      <c r="Z435" s="87"/>
      <c r="AA435" s="87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</row>
    <row r="436" spans="1:57" ht="37.5" x14ac:dyDescent="0.35">
      <c r="A436" s="85">
        <v>6368</v>
      </c>
      <c r="B436" s="86">
        <v>2020</v>
      </c>
      <c r="C436" s="87" t="s">
        <v>35</v>
      </c>
      <c r="D436" s="87" t="s">
        <v>72</v>
      </c>
      <c r="E436" s="87" t="s">
        <v>26</v>
      </c>
      <c r="F436" s="87" t="s">
        <v>25</v>
      </c>
      <c r="G436" s="88">
        <v>1</v>
      </c>
      <c r="H436" s="93" t="s">
        <v>325</v>
      </c>
      <c r="I436" s="87" t="s">
        <v>352</v>
      </c>
      <c r="J436" s="85"/>
      <c r="K436" s="85">
        <v>108</v>
      </c>
      <c r="L436" s="85">
        <v>216</v>
      </c>
      <c r="M436" s="85">
        <v>1</v>
      </c>
      <c r="N436" s="85">
        <v>1</v>
      </c>
      <c r="O436" s="85"/>
      <c r="P436" s="91"/>
      <c r="Q436" s="91"/>
      <c r="R436" s="91"/>
      <c r="S436" s="91"/>
      <c r="T436" s="89"/>
      <c r="U436" s="85"/>
      <c r="V436" s="85"/>
      <c r="W436" s="83">
        <f t="shared" ca="1" si="18"/>
        <v>29</v>
      </c>
      <c r="X436" s="64" t="str">
        <f t="shared" ca="1" si="19"/>
        <v>1</v>
      </c>
      <c r="Y436" s="82" t="str">
        <f t="shared" ca="1" si="20"/>
        <v>2</v>
      </c>
      <c r="Z436" s="87"/>
      <c r="AA436" s="87" t="s">
        <v>61</v>
      </c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</row>
    <row r="437" spans="1:57" ht="37.5" x14ac:dyDescent="0.35">
      <c r="A437" s="85">
        <v>6368</v>
      </c>
      <c r="B437" s="86">
        <v>2020</v>
      </c>
      <c r="C437" s="87" t="s">
        <v>35</v>
      </c>
      <c r="D437" s="87" t="s">
        <v>72</v>
      </c>
      <c r="E437" s="87" t="s">
        <v>26</v>
      </c>
      <c r="F437" s="87" t="s">
        <v>25</v>
      </c>
      <c r="G437" s="88">
        <v>1</v>
      </c>
      <c r="H437" s="93" t="s">
        <v>325</v>
      </c>
      <c r="I437" s="87" t="s">
        <v>349</v>
      </c>
      <c r="J437" s="85">
        <v>18</v>
      </c>
      <c r="K437" s="85"/>
      <c r="L437" s="85">
        <v>108</v>
      </c>
      <c r="M437" s="85">
        <v>1</v>
      </c>
      <c r="N437" s="85">
        <v>1</v>
      </c>
      <c r="O437" s="85"/>
      <c r="P437" s="91"/>
      <c r="Q437" s="91"/>
      <c r="R437" s="91"/>
      <c r="S437" s="91"/>
      <c r="T437" s="89"/>
      <c r="U437" s="85"/>
      <c r="V437" s="85"/>
      <c r="W437" s="83">
        <f t="shared" ca="1" si="18"/>
        <v>29</v>
      </c>
      <c r="X437" s="64" t="str">
        <f t="shared" ca="1" si="19"/>
        <v>1</v>
      </c>
      <c r="Y437" s="82" t="str">
        <f t="shared" ca="1" si="20"/>
        <v>2</v>
      </c>
      <c r="Z437" s="87"/>
      <c r="AA437" s="87" t="s">
        <v>22</v>
      </c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</row>
    <row r="438" spans="1:57" ht="37.5" x14ac:dyDescent="0.35">
      <c r="A438" s="85">
        <v>6368</v>
      </c>
      <c r="B438" s="86">
        <v>2020</v>
      </c>
      <c r="C438" s="87" t="s">
        <v>35</v>
      </c>
      <c r="D438" s="87" t="s">
        <v>115</v>
      </c>
      <c r="E438" s="87" t="s">
        <v>20</v>
      </c>
      <c r="F438" s="87" t="s">
        <v>82</v>
      </c>
      <c r="G438" s="88">
        <v>0.25</v>
      </c>
      <c r="H438" s="93" t="s">
        <v>325</v>
      </c>
      <c r="I438" s="87" t="s">
        <v>144</v>
      </c>
      <c r="J438" s="85"/>
      <c r="K438" s="85">
        <v>44</v>
      </c>
      <c r="L438" s="85">
        <v>66</v>
      </c>
      <c r="M438" s="85">
        <v>1</v>
      </c>
      <c r="N438" s="85"/>
      <c r="O438" s="85"/>
      <c r="P438" s="91"/>
      <c r="Q438" s="91"/>
      <c r="R438" s="91"/>
      <c r="S438" s="91"/>
      <c r="T438" s="89"/>
      <c r="U438" s="85"/>
      <c r="V438" s="85"/>
      <c r="W438" s="83">
        <f t="shared" ca="1" si="18"/>
        <v>29</v>
      </c>
      <c r="X438" s="64" t="str">
        <f t="shared" ca="1" si="19"/>
        <v>1</v>
      </c>
      <c r="Y438" s="82" t="str">
        <f t="shared" ca="1" si="20"/>
        <v>2</v>
      </c>
      <c r="Z438" s="87"/>
      <c r="AA438" s="87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</row>
    <row r="439" spans="1:57" ht="50" x14ac:dyDescent="0.35">
      <c r="A439" s="85">
        <v>6368</v>
      </c>
      <c r="B439" s="86">
        <v>2020</v>
      </c>
      <c r="C439" s="87" t="s">
        <v>35</v>
      </c>
      <c r="D439" s="87" t="s">
        <v>115</v>
      </c>
      <c r="E439" s="87" t="s">
        <v>20</v>
      </c>
      <c r="F439" s="87" t="s">
        <v>82</v>
      </c>
      <c r="G439" s="88">
        <v>0.25</v>
      </c>
      <c r="H439" s="93" t="s">
        <v>325</v>
      </c>
      <c r="I439" s="87" t="s">
        <v>191</v>
      </c>
      <c r="J439" s="85"/>
      <c r="K439" s="85"/>
      <c r="L439" s="85"/>
      <c r="M439" s="85"/>
      <c r="N439" s="85"/>
      <c r="O439" s="85"/>
      <c r="P439" s="91"/>
      <c r="Q439" s="91"/>
      <c r="R439" s="91"/>
      <c r="S439" s="91"/>
      <c r="T439" s="89"/>
      <c r="U439" s="85">
        <v>52</v>
      </c>
      <c r="V439" s="85"/>
      <c r="W439" s="83">
        <f t="shared" ca="1" si="18"/>
        <v>29</v>
      </c>
      <c r="X439" s="64" t="str">
        <f t="shared" ca="1" si="19"/>
        <v>1</v>
      </c>
      <c r="Y439" s="82" t="str">
        <f t="shared" ca="1" si="20"/>
        <v>2</v>
      </c>
      <c r="Z439" s="87"/>
      <c r="AA439" s="87" t="s">
        <v>61</v>
      </c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</row>
    <row r="440" spans="1:57" ht="37.5" x14ac:dyDescent="0.35">
      <c r="A440" s="85">
        <v>6368</v>
      </c>
      <c r="B440" s="86">
        <v>2020</v>
      </c>
      <c r="C440" s="87" t="s">
        <v>35</v>
      </c>
      <c r="D440" s="87" t="s">
        <v>190</v>
      </c>
      <c r="E440" s="87" t="s">
        <v>26</v>
      </c>
      <c r="F440" s="87" t="s">
        <v>25</v>
      </c>
      <c r="G440" s="88">
        <v>1</v>
      </c>
      <c r="H440" s="93" t="s">
        <v>325</v>
      </c>
      <c r="I440" s="87" t="s">
        <v>331</v>
      </c>
      <c r="J440" s="85">
        <v>18</v>
      </c>
      <c r="K440" s="85"/>
      <c r="L440" s="85">
        <v>108</v>
      </c>
      <c r="M440" s="85">
        <v>1</v>
      </c>
      <c r="N440" s="85"/>
      <c r="O440" s="85"/>
      <c r="P440" s="91">
        <v>1</v>
      </c>
      <c r="Q440" s="91"/>
      <c r="R440" s="91"/>
      <c r="S440" s="91"/>
      <c r="T440" s="89"/>
      <c r="U440" s="85"/>
      <c r="V440" s="85"/>
      <c r="W440" s="83">
        <f t="shared" ca="1" si="18"/>
        <v>29</v>
      </c>
      <c r="X440" s="64" t="str">
        <f t="shared" ca="1" si="19"/>
        <v>1</v>
      </c>
      <c r="Y440" s="82" t="str">
        <f t="shared" ca="1" si="20"/>
        <v>2</v>
      </c>
      <c r="Z440" s="87"/>
      <c r="AA440" s="87" t="s">
        <v>61</v>
      </c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</row>
    <row r="441" spans="1:57" ht="37.5" x14ac:dyDescent="0.35">
      <c r="A441" s="85">
        <v>6368</v>
      </c>
      <c r="B441" s="86">
        <v>2020</v>
      </c>
      <c r="C441" s="87" t="s">
        <v>35</v>
      </c>
      <c r="D441" s="87" t="s">
        <v>190</v>
      </c>
      <c r="E441" s="87" t="s">
        <v>26</v>
      </c>
      <c r="F441" s="87" t="s">
        <v>25</v>
      </c>
      <c r="G441" s="88">
        <v>1</v>
      </c>
      <c r="H441" s="93" t="s">
        <v>325</v>
      </c>
      <c r="I441" s="87" t="s">
        <v>329</v>
      </c>
      <c r="J441" s="85">
        <v>18</v>
      </c>
      <c r="K441" s="85"/>
      <c r="L441" s="85">
        <v>54</v>
      </c>
      <c r="M441" s="85">
        <v>1</v>
      </c>
      <c r="N441" s="85"/>
      <c r="O441" s="85"/>
      <c r="P441" s="91">
        <v>1</v>
      </c>
      <c r="Q441" s="91"/>
      <c r="R441" s="91"/>
      <c r="S441" s="91"/>
      <c r="T441" s="89"/>
      <c r="U441" s="85"/>
      <c r="V441" s="85"/>
      <c r="W441" s="83">
        <f t="shared" ca="1" si="18"/>
        <v>29</v>
      </c>
      <c r="X441" s="64" t="str">
        <f t="shared" ca="1" si="19"/>
        <v>1</v>
      </c>
      <c r="Y441" s="82" t="str">
        <f t="shared" ca="1" si="20"/>
        <v>2</v>
      </c>
      <c r="Z441" s="87"/>
      <c r="AA441" s="87" t="s">
        <v>22</v>
      </c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</row>
    <row r="442" spans="1:57" ht="37.5" x14ac:dyDescent="0.35">
      <c r="A442" s="85">
        <v>6368</v>
      </c>
      <c r="B442" s="86">
        <v>2020</v>
      </c>
      <c r="C442" s="87" t="s">
        <v>35</v>
      </c>
      <c r="D442" s="87" t="s">
        <v>190</v>
      </c>
      <c r="E442" s="87" t="s">
        <v>26</v>
      </c>
      <c r="F442" s="87" t="s">
        <v>25</v>
      </c>
      <c r="G442" s="88">
        <v>1</v>
      </c>
      <c r="H442" s="93" t="s">
        <v>325</v>
      </c>
      <c r="I442" s="87" t="s">
        <v>328</v>
      </c>
      <c r="J442" s="85"/>
      <c r="K442" s="85">
        <v>36</v>
      </c>
      <c r="L442" s="85"/>
      <c r="M442" s="85">
        <v>1</v>
      </c>
      <c r="N442" s="85"/>
      <c r="O442" s="85"/>
      <c r="P442" s="91">
        <v>1</v>
      </c>
      <c r="Q442" s="91"/>
      <c r="R442" s="91"/>
      <c r="S442" s="91"/>
      <c r="T442" s="89"/>
      <c r="U442" s="85"/>
      <c r="V442" s="85"/>
      <c r="W442" s="83">
        <f t="shared" ca="1" si="18"/>
        <v>29</v>
      </c>
      <c r="X442" s="64" t="str">
        <f t="shared" ca="1" si="19"/>
        <v>1</v>
      </c>
      <c r="Y442" s="82" t="str">
        <f t="shared" ca="1" si="20"/>
        <v>2</v>
      </c>
      <c r="Z442" s="87"/>
      <c r="AA442" s="87" t="s">
        <v>22</v>
      </c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</row>
    <row r="443" spans="1:57" ht="37.5" x14ac:dyDescent="0.35">
      <c r="A443" s="85">
        <v>6368</v>
      </c>
      <c r="B443" s="86">
        <v>2020</v>
      </c>
      <c r="C443" s="87" t="s">
        <v>35</v>
      </c>
      <c r="D443" s="87" t="s">
        <v>190</v>
      </c>
      <c r="E443" s="87" t="s">
        <v>26</v>
      </c>
      <c r="F443" s="87" t="s">
        <v>25</v>
      </c>
      <c r="G443" s="88">
        <v>1</v>
      </c>
      <c r="H443" s="93" t="s">
        <v>325</v>
      </c>
      <c r="I443" s="87" t="s">
        <v>144</v>
      </c>
      <c r="J443" s="85"/>
      <c r="K443" s="85"/>
      <c r="L443" s="85"/>
      <c r="M443" s="85"/>
      <c r="N443" s="85"/>
      <c r="O443" s="85"/>
      <c r="P443" s="91"/>
      <c r="Q443" s="91"/>
      <c r="R443" s="91"/>
      <c r="S443" s="91"/>
      <c r="T443" s="89"/>
      <c r="U443" s="85"/>
      <c r="V443" s="85"/>
      <c r="W443" s="83">
        <f t="shared" ca="1" si="18"/>
        <v>29</v>
      </c>
      <c r="X443" s="64" t="str">
        <f t="shared" ca="1" si="19"/>
        <v>1</v>
      </c>
      <c r="Y443" s="82" t="str">
        <f t="shared" ca="1" si="20"/>
        <v>2</v>
      </c>
      <c r="Z443" s="87"/>
      <c r="AA443" s="87" t="s">
        <v>22</v>
      </c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</row>
    <row r="444" spans="1:57" ht="50" x14ac:dyDescent="0.35">
      <c r="A444" s="85">
        <v>6368</v>
      </c>
      <c r="B444" s="86">
        <v>2020</v>
      </c>
      <c r="C444" s="87" t="s">
        <v>35</v>
      </c>
      <c r="D444" s="87" t="s">
        <v>309</v>
      </c>
      <c r="E444" s="87" t="s">
        <v>20</v>
      </c>
      <c r="F444" s="87" t="s">
        <v>310</v>
      </c>
      <c r="G444" s="88">
        <v>1</v>
      </c>
      <c r="H444" s="85" t="s">
        <v>325</v>
      </c>
      <c r="I444" s="87" t="s">
        <v>191</v>
      </c>
      <c r="J444" s="85"/>
      <c r="K444" s="85"/>
      <c r="L444" s="85"/>
      <c r="M444" s="97"/>
      <c r="N444" s="97"/>
      <c r="O444" s="97"/>
      <c r="P444" s="91"/>
      <c r="Q444" s="91"/>
      <c r="R444" s="91"/>
      <c r="S444" s="91"/>
      <c r="T444" s="95"/>
      <c r="U444" s="85">
        <v>52</v>
      </c>
      <c r="V444" s="85"/>
      <c r="W444" s="83">
        <f t="shared" ca="1" si="18"/>
        <v>29</v>
      </c>
      <c r="X444" s="64" t="str">
        <f t="shared" ca="1" si="19"/>
        <v>1</v>
      </c>
      <c r="Y444" s="82" t="str">
        <f t="shared" ca="1" si="20"/>
        <v>2</v>
      </c>
      <c r="Z444" s="87"/>
      <c r="AA444" s="87" t="s">
        <v>22</v>
      </c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</row>
    <row r="445" spans="1:57" ht="37.5" x14ac:dyDescent="0.35">
      <c r="A445" s="85">
        <v>6368</v>
      </c>
      <c r="B445" s="86">
        <v>2020</v>
      </c>
      <c r="C445" s="87" t="s">
        <v>35</v>
      </c>
      <c r="D445" s="87" t="s">
        <v>116</v>
      </c>
      <c r="E445" s="87" t="s">
        <v>28</v>
      </c>
      <c r="F445" s="87" t="s">
        <v>56</v>
      </c>
      <c r="G445" s="88">
        <v>1</v>
      </c>
      <c r="H445" s="85" t="s">
        <v>325</v>
      </c>
      <c r="I445" s="87" t="s">
        <v>146</v>
      </c>
      <c r="J445" s="85"/>
      <c r="K445" s="85"/>
      <c r="L445" s="85"/>
      <c r="M445" s="97"/>
      <c r="N445" s="97"/>
      <c r="O445" s="97"/>
      <c r="P445" s="91"/>
      <c r="Q445" s="91"/>
      <c r="R445" s="91"/>
      <c r="S445" s="91"/>
      <c r="T445" s="95"/>
      <c r="U445" s="85"/>
      <c r="V445" s="85"/>
      <c r="W445" s="83">
        <f t="shared" ca="1" si="18"/>
        <v>29</v>
      </c>
      <c r="X445" s="64" t="str">
        <f t="shared" ca="1" si="19"/>
        <v>1</v>
      </c>
      <c r="Y445" s="82" t="str">
        <f t="shared" ca="1" si="20"/>
        <v>2</v>
      </c>
      <c r="Z445" s="87"/>
      <c r="AA445" s="87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</row>
    <row r="446" spans="1:57" ht="37.5" x14ac:dyDescent="0.35">
      <c r="A446" s="85">
        <v>6368</v>
      </c>
      <c r="B446" s="86">
        <v>2020</v>
      </c>
      <c r="C446" s="87" t="s">
        <v>35</v>
      </c>
      <c r="D446" s="87" t="s">
        <v>116</v>
      </c>
      <c r="E446" s="87" t="s">
        <v>28</v>
      </c>
      <c r="F446" s="87" t="s">
        <v>56</v>
      </c>
      <c r="G446" s="88">
        <v>1</v>
      </c>
      <c r="H446" s="85" t="s">
        <v>325</v>
      </c>
      <c r="I446" s="87" t="s">
        <v>144</v>
      </c>
      <c r="J446" s="85"/>
      <c r="K446" s="85"/>
      <c r="L446" s="85"/>
      <c r="M446" s="97"/>
      <c r="N446" s="97"/>
      <c r="O446" s="97"/>
      <c r="P446" s="91"/>
      <c r="Q446" s="91"/>
      <c r="R446" s="91"/>
      <c r="S446" s="91"/>
      <c r="T446" s="95"/>
      <c r="U446" s="85"/>
      <c r="V446" s="85"/>
      <c r="W446" s="83">
        <f t="shared" ca="1" si="18"/>
        <v>29</v>
      </c>
      <c r="X446" s="64" t="str">
        <f t="shared" ca="1" si="19"/>
        <v>1</v>
      </c>
      <c r="Y446" s="82" t="str">
        <f t="shared" ca="1" si="20"/>
        <v>2</v>
      </c>
      <c r="Z446" s="87"/>
      <c r="AA446" s="87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</row>
    <row r="447" spans="1:57" ht="37.5" x14ac:dyDescent="0.35">
      <c r="A447" s="85">
        <v>6368</v>
      </c>
      <c r="B447" s="86">
        <v>2020</v>
      </c>
      <c r="C447" s="87" t="s">
        <v>35</v>
      </c>
      <c r="D447" s="87" t="s">
        <v>116</v>
      </c>
      <c r="E447" s="87" t="s">
        <v>28</v>
      </c>
      <c r="F447" s="87" t="s">
        <v>56</v>
      </c>
      <c r="G447" s="88">
        <v>1</v>
      </c>
      <c r="H447" s="85" t="s">
        <v>325</v>
      </c>
      <c r="I447" s="87" t="s">
        <v>145</v>
      </c>
      <c r="J447" s="85">
        <v>6</v>
      </c>
      <c r="K447" s="85"/>
      <c r="L447" s="85"/>
      <c r="M447" s="97">
        <v>1</v>
      </c>
      <c r="N447" s="97">
        <v>1</v>
      </c>
      <c r="O447" s="91"/>
      <c r="P447" s="91"/>
      <c r="Q447" s="91"/>
      <c r="R447" s="91"/>
      <c r="S447" s="91"/>
      <c r="T447" s="95"/>
      <c r="U447" s="85"/>
      <c r="V447" s="85"/>
      <c r="W447" s="83">
        <f t="shared" ca="1" si="18"/>
        <v>29</v>
      </c>
      <c r="X447" s="64" t="str">
        <f t="shared" ca="1" si="19"/>
        <v>1</v>
      </c>
      <c r="Y447" s="82" t="str">
        <f t="shared" ca="1" si="20"/>
        <v>2</v>
      </c>
      <c r="Z447" s="87"/>
      <c r="AA447" s="87" t="s">
        <v>22</v>
      </c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</row>
    <row r="448" spans="1:57" ht="37.5" x14ac:dyDescent="0.35">
      <c r="A448" s="85">
        <v>6368</v>
      </c>
      <c r="B448" s="86">
        <v>2020</v>
      </c>
      <c r="C448" s="87" t="s">
        <v>35</v>
      </c>
      <c r="D448" s="87" t="s">
        <v>311</v>
      </c>
      <c r="E448" s="87" t="s">
        <v>63</v>
      </c>
      <c r="F448" s="87" t="s">
        <v>374</v>
      </c>
      <c r="G448" s="88">
        <v>1</v>
      </c>
      <c r="H448" s="85" t="s">
        <v>325</v>
      </c>
      <c r="I448" s="87" t="s">
        <v>333</v>
      </c>
      <c r="J448" s="85">
        <v>18</v>
      </c>
      <c r="K448" s="85"/>
      <c r="L448" s="85"/>
      <c r="M448" s="97">
        <v>1</v>
      </c>
      <c r="N448" s="97">
        <v>1</v>
      </c>
      <c r="O448" s="97"/>
      <c r="P448" s="91"/>
      <c r="Q448" s="91">
        <v>36</v>
      </c>
      <c r="R448" s="91"/>
      <c r="S448" s="91"/>
      <c r="T448" s="95"/>
      <c r="U448" s="85"/>
      <c r="V448" s="85"/>
      <c r="W448" s="83">
        <f t="shared" ca="1" si="18"/>
        <v>29</v>
      </c>
      <c r="X448" s="64" t="str">
        <f t="shared" ca="1" si="19"/>
        <v>1</v>
      </c>
      <c r="Y448" s="82" t="str">
        <f t="shared" ca="1" si="20"/>
        <v>2</v>
      </c>
      <c r="Z448" s="87"/>
      <c r="AA448" s="87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</row>
    <row r="449" spans="1:57" ht="37.5" x14ac:dyDescent="0.35">
      <c r="A449" s="85">
        <v>6368</v>
      </c>
      <c r="B449" s="86">
        <v>2020</v>
      </c>
      <c r="C449" s="87" t="s">
        <v>35</v>
      </c>
      <c r="D449" s="87" t="s">
        <v>130</v>
      </c>
      <c r="E449" s="87" t="s">
        <v>26</v>
      </c>
      <c r="F449" s="87" t="s">
        <v>25</v>
      </c>
      <c r="G449" s="88">
        <v>1</v>
      </c>
      <c r="H449" s="85" t="s">
        <v>325</v>
      </c>
      <c r="I449" s="87" t="s">
        <v>330</v>
      </c>
      <c r="J449" s="85"/>
      <c r="K449" s="85"/>
      <c r="L449" s="85">
        <v>108</v>
      </c>
      <c r="M449" s="97">
        <v>1</v>
      </c>
      <c r="N449" s="97"/>
      <c r="O449" s="97"/>
      <c r="P449" s="91">
        <v>1</v>
      </c>
      <c r="Q449" s="91"/>
      <c r="R449" s="91"/>
      <c r="S449" s="91"/>
      <c r="T449" s="95"/>
      <c r="U449" s="85"/>
      <c r="V449" s="85"/>
      <c r="W449" s="83">
        <f t="shared" ca="1" si="18"/>
        <v>29</v>
      </c>
      <c r="X449" s="64" t="str">
        <f t="shared" ca="1" si="19"/>
        <v>1</v>
      </c>
      <c r="Y449" s="82" t="str">
        <f t="shared" ca="1" si="20"/>
        <v>2</v>
      </c>
      <c r="Z449" s="87"/>
      <c r="AA449" s="87" t="s">
        <v>22</v>
      </c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</row>
    <row r="450" spans="1:57" ht="37.5" x14ac:dyDescent="0.35">
      <c r="A450" s="85">
        <v>6368</v>
      </c>
      <c r="B450" s="86">
        <v>2020</v>
      </c>
      <c r="C450" s="87" t="s">
        <v>35</v>
      </c>
      <c r="D450" s="87" t="s">
        <v>130</v>
      </c>
      <c r="E450" s="87" t="s">
        <v>26</v>
      </c>
      <c r="F450" s="87" t="s">
        <v>25</v>
      </c>
      <c r="G450" s="88">
        <v>1</v>
      </c>
      <c r="H450" s="85" t="s">
        <v>325</v>
      </c>
      <c r="I450" s="87" t="s">
        <v>205</v>
      </c>
      <c r="J450" s="85">
        <v>36</v>
      </c>
      <c r="K450" s="85"/>
      <c r="L450" s="85"/>
      <c r="M450" s="85">
        <v>1</v>
      </c>
      <c r="N450" s="97">
        <v>1</v>
      </c>
      <c r="O450" s="97"/>
      <c r="P450" s="91"/>
      <c r="Q450" s="91"/>
      <c r="R450" s="91"/>
      <c r="S450" s="91"/>
      <c r="T450" s="95"/>
      <c r="U450" s="85"/>
      <c r="V450" s="85"/>
      <c r="W450" s="83">
        <f t="shared" ca="1" si="18"/>
        <v>29</v>
      </c>
      <c r="X450" s="64" t="str">
        <f t="shared" ca="1" si="19"/>
        <v>1</v>
      </c>
      <c r="Y450" s="82" t="str">
        <f t="shared" ca="1" si="20"/>
        <v>2</v>
      </c>
      <c r="Z450" s="87"/>
      <c r="AA450" s="87" t="s">
        <v>22</v>
      </c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</row>
    <row r="451" spans="1:57" ht="37.5" x14ac:dyDescent="0.35">
      <c r="A451" s="85">
        <v>6368</v>
      </c>
      <c r="B451" s="86">
        <v>2020</v>
      </c>
      <c r="C451" s="87" t="s">
        <v>35</v>
      </c>
      <c r="D451" s="87" t="s">
        <v>135</v>
      </c>
      <c r="E451" s="87" t="s">
        <v>20</v>
      </c>
      <c r="F451" s="87" t="s">
        <v>82</v>
      </c>
      <c r="G451" s="88">
        <v>1</v>
      </c>
      <c r="H451" s="85" t="s">
        <v>325</v>
      </c>
      <c r="I451" s="87" t="s">
        <v>205</v>
      </c>
      <c r="J451" s="85"/>
      <c r="K451" s="85"/>
      <c r="L451" s="85">
        <v>216</v>
      </c>
      <c r="M451" s="97"/>
      <c r="N451" s="97"/>
      <c r="O451" s="97"/>
      <c r="P451" s="91"/>
      <c r="Q451" s="91"/>
      <c r="R451" s="91"/>
      <c r="S451" s="91"/>
      <c r="T451" s="95"/>
      <c r="U451" s="85"/>
      <c r="V451" s="85"/>
      <c r="W451" s="83">
        <f t="shared" ca="1" si="18"/>
        <v>29</v>
      </c>
      <c r="X451" s="64" t="str">
        <f t="shared" ca="1" si="19"/>
        <v>1</v>
      </c>
      <c r="Y451" s="82" t="str">
        <f t="shared" ca="1" si="20"/>
        <v>2</v>
      </c>
      <c r="Z451" s="87"/>
      <c r="AA451" s="87" t="s">
        <v>22</v>
      </c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</row>
    <row r="452" spans="1:57" ht="37.5" x14ac:dyDescent="0.35">
      <c r="A452" s="85">
        <v>6368</v>
      </c>
      <c r="B452" s="86">
        <v>2020</v>
      </c>
      <c r="C452" s="87" t="s">
        <v>35</v>
      </c>
      <c r="D452" s="87" t="s">
        <v>312</v>
      </c>
      <c r="E452" s="87" t="s">
        <v>63</v>
      </c>
      <c r="F452" s="87" t="s">
        <v>374</v>
      </c>
      <c r="G452" s="88">
        <v>1</v>
      </c>
      <c r="H452" s="85" t="s">
        <v>325</v>
      </c>
      <c r="I452" s="87" t="s">
        <v>333</v>
      </c>
      <c r="J452" s="85"/>
      <c r="K452" s="85"/>
      <c r="L452" s="85"/>
      <c r="M452" s="85"/>
      <c r="N452" s="97"/>
      <c r="O452" s="97"/>
      <c r="P452" s="91"/>
      <c r="Q452" s="91">
        <v>26</v>
      </c>
      <c r="R452" s="91"/>
      <c r="S452" s="91"/>
      <c r="T452" s="95"/>
      <c r="U452" s="85"/>
      <c r="V452" s="85"/>
      <c r="W452" s="83">
        <f t="shared" ref="W452:W515" ca="1" si="21">IFERROR(OFFSET($AC$11,0,MATCH(H452,$AD$4:$BE$4,0)),IFERROR(OFFSET($AC$12,0,MATCH(H452,$AD$5:$BE$5,0)),MOD(H452,20)+7))</f>
        <v>29</v>
      </c>
      <c r="X452" s="64" t="str">
        <f t="shared" ref="X452:X515" ca="1" si="22">IF(W452&lt;=30, "1", "2")</f>
        <v>1</v>
      </c>
      <c r="Y452" s="82" t="str">
        <f t="shared" ref="Y452:Y515" ca="1" si="23" xml:space="preserve"> IF(W452&lt;=15, "1", IF(W452&lt;=30, "2", IF(W452&lt;=45, "3", IF(W452&lt;=60, "4"))))</f>
        <v>2</v>
      </c>
      <c r="Z452" s="87"/>
      <c r="AA452" s="87" t="s">
        <v>22</v>
      </c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</row>
    <row r="453" spans="1:57" ht="37.5" x14ac:dyDescent="0.35">
      <c r="A453" s="85">
        <v>6368</v>
      </c>
      <c r="B453" s="86">
        <v>2020</v>
      </c>
      <c r="C453" s="87" t="s">
        <v>35</v>
      </c>
      <c r="D453" s="87" t="s">
        <v>135</v>
      </c>
      <c r="E453" s="87" t="s">
        <v>20</v>
      </c>
      <c r="F453" s="87" t="s">
        <v>82</v>
      </c>
      <c r="G453" s="88">
        <v>1</v>
      </c>
      <c r="H453" s="85" t="s">
        <v>325</v>
      </c>
      <c r="I453" s="87" t="s">
        <v>333</v>
      </c>
      <c r="J453" s="85"/>
      <c r="K453" s="85"/>
      <c r="L453" s="85">
        <v>108</v>
      </c>
      <c r="M453" s="97"/>
      <c r="N453" s="97"/>
      <c r="O453" s="97"/>
      <c r="P453" s="91"/>
      <c r="Q453" s="91">
        <v>16</v>
      </c>
      <c r="R453" s="91"/>
      <c r="S453" s="91"/>
      <c r="T453" s="95"/>
      <c r="U453" s="85"/>
      <c r="V453" s="85"/>
      <c r="W453" s="83">
        <f t="shared" ca="1" si="21"/>
        <v>29</v>
      </c>
      <c r="X453" s="64" t="str">
        <f t="shared" ca="1" si="22"/>
        <v>1</v>
      </c>
      <c r="Y453" s="82" t="str">
        <f t="shared" ca="1" si="23"/>
        <v>2</v>
      </c>
      <c r="Z453" s="87"/>
      <c r="AA453" s="87" t="s">
        <v>22</v>
      </c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</row>
    <row r="454" spans="1:57" ht="50" x14ac:dyDescent="0.35">
      <c r="A454" s="85">
        <v>6368</v>
      </c>
      <c r="B454" s="86">
        <v>2020</v>
      </c>
      <c r="C454" s="87" t="s">
        <v>35</v>
      </c>
      <c r="D454" s="87" t="s">
        <v>135</v>
      </c>
      <c r="E454" s="87" t="s">
        <v>20</v>
      </c>
      <c r="F454" s="87" t="s">
        <v>82</v>
      </c>
      <c r="G454" s="88">
        <v>1</v>
      </c>
      <c r="H454" s="85" t="s">
        <v>325</v>
      </c>
      <c r="I454" s="87" t="s">
        <v>191</v>
      </c>
      <c r="J454" s="85"/>
      <c r="K454" s="85"/>
      <c r="L454" s="85"/>
      <c r="M454" s="97"/>
      <c r="N454" s="97"/>
      <c r="O454" s="97"/>
      <c r="P454" s="91"/>
      <c r="Q454" s="91"/>
      <c r="R454" s="91"/>
      <c r="S454" s="91"/>
      <c r="T454" s="95"/>
      <c r="U454" s="85"/>
      <c r="V454" s="85"/>
      <c r="W454" s="83">
        <f t="shared" ca="1" si="21"/>
        <v>29</v>
      </c>
      <c r="X454" s="64" t="str">
        <f t="shared" ca="1" si="22"/>
        <v>1</v>
      </c>
      <c r="Y454" s="82" t="str">
        <f t="shared" ca="1" si="23"/>
        <v>2</v>
      </c>
      <c r="Z454" s="87"/>
      <c r="AA454" s="87" t="s">
        <v>22</v>
      </c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</row>
    <row r="455" spans="1:57" ht="50" x14ac:dyDescent="0.35">
      <c r="A455" s="85">
        <v>6368</v>
      </c>
      <c r="B455" s="86">
        <v>2020</v>
      </c>
      <c r="C455" s="87" t="s">
        <v>35</v>
      </c>
      <c r="D455" s="87" t="s">
        <v>135</v>
      </c>
      <c r="E455" s="87" t="s">
        <v>20</v>
      </c>
      <c r="F455" s="87" t="s">
        <v>82</v>
      </c>
      <c r="G455" s="88">
        <v>1</v>
      </c>
      <c r="H455" s="85" t="s">
        <v>325</v>
      </c>
      <c r="I455" s="87" t="s">
        <v>191</v>
      </c>
      <c r="J455" s="85"/>
      <c r="K455" s="85"/>
      <c r="L455" s="85"/>
      <c r="M455" s="97"/>
      <c r="N455" s="97"/>
      <c r="O455" s="97"/>
      <c r="P455" s="91"/>
      <c r="Q455" s="91"/>
      <c r="R455" s="91"/>
      <c r="S455" s="91"/>
      <c r="T455" s="95"/>
      <c r="U455" s="85">
        <v>33</v>
      </c>
      <c r="V455" s="85"/>
      <c r="W455" s="83">
        <f t="shared" ca="1" si="21"/>
        <v>29</v>
      </c>
      <c r="X455" s="64" t="str">
        <f t="shared" ca="1" si="22"/>
        <v>1</v>
      </c>
      <c r="Y455" s="82" t="str">
        <f t="shared" ca="1" si="23"/>
        <v>2</v>
      </c>
      <c r="Z455" s="87"/>
      <c r="AA455" s="87" t="s">
        <v>22</v>
      </c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</row>
    <row r="456" spans="1:57" ht="37.5" x14ac:dyDescent="0.35">
      <c r="A456" s="85">
        <v>6368</v>
      </c>
      <c r="B456" s="86">
        <v>2020</v>
      </c>
      <c r="C456" s="87" t="s">
        <v>35</v>
      </c>
      <c r="D456" s="87" t="s">
        <v>117</v>
      </c>
      <c r="E456" s="87" t="s">
        <v>33</v>
      </c>
      <c r="F456" s="87" t="s">
        <v>25</v>
      </c>
      <c r="G456" s="88">
        <v>0.75</v>
      </c>
      <c r="H456" s="85" t="s">
        <v>325</v>
      </c>
      <c r="I456" s="87" t="s">
        <v>144</v>
      </c>
      <c r="J456" s="85">
        <v>28</v>
      </c>
      <c r="K456" s="85"/>
      <c r="L456" s="85"/>
      <c r="M456" s="97">
        <v>1</v>
      </c>
      <c r="N456" s="97">
        <v>1</v>
      </c>
      <c r="O456" s="97"/>
      <c r="P456" s="91"/>
      <c r="Q456" s="91"/>
      <c r="R456" s="91"/>
      <c r="S456" s="91"/>
      <c r="T456" s="95"/>
      <c r="U456" s="85"/>
      <c r="V456" s="85"/>
      <c r="W456" s="83">
        <f t="shared" ca="1" si="21"/>
        <v>29</v>
      </c>
      <c r="X456" s="64" t="str">
        <f t="shared" ca="1" si="22"/>
        <v>1</v>
      </c>
      <c r="Y456" s="82" t="str">
        <f t="shared" ca="1" si="23"/>
        <v>2</v>
      </c>
      <c r="Z456" s="87"/>
      <c r="AA456" s="87" t="s">
        <v>22</v>
      </c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</row>
    <row r="457" spans="1:57" ht="37.5" x14ac:dyDescent="0.35">
      <c r="A457" s="85">
        <v>6368</v>
      </c>
      <c r="B457" s="86">
        <v>2020</v>
      </c>
      <c r="C457" s="87" t="s">
        <v>35</v>
      </c>
      <c r="D457" s="87" t="s">
        <v>169</v>
      </c>
      <c r="E457" s="87" t="s">
        <v>20</v>
      </c>
      <c r="F457" s="87" t="s">
        <v>82</v>
      </c>
      <c r="G457" s="88">
        <v>0.25</v>
      </c>
      <c r="H457" s="85" t="s">
        <v>325</v>
      </c>
      <c r="I457" s="87" t="s">
        <v>144</v>
      </c>
      <c r="J457" s="85"/>
      <c r="K457" s="85"/>
      <c r="L457" s="85"/>
      <c r="M457" s="91"/>
      <c r="N457" s="91"/>
      <c r="O457" s="91"/>
      <c r="P457" s="91"/>
      <c r="Q457" s="91"/>
      <c r="R457" s="91"/>
      <c r="S457" s="98"/>
      <c r="T457" s="89"/>
      <c r="U457" s="85"/>
      <c r="V457" s="85"/>
      <c r="W457" s="83">
        <f t="shared" ca="1" si="21"/>
        <v>29</v>
      </c>
      <c r="X457" s="64" t="str">
        <f t="shared" ca="1" si="22"/>
        <v>1</v>
      </c>
      <c r="Y457" s="82" t="str">
        <f t="shared" ca="1" si="23"/>
        <v>2</v>
      </c>
      <c r="Z457" s="87"/>
      <c r="AA457" s="87" t="s">
        <v>22</v>
      </c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</row>
    <row r="458" spans="1:57" ht="37.5" x14ac:dyDescent="0.35">
      <c r="A458" s="85">
        <v>6368</v>
      </c>
      <c r="B458" s="86">
        <v>2020</v>
      </c>
      <c r="C458" s="87" t="s">
        <v>35</v>
      </c>
      <c r="D458" s="87" t="s">
        <v>169</v>
      </c>
      <c r="E458" s="87" t="s">
        <v>20</v>
      </c>
      <c r="F458" s="87" t="s">
        <v>82</v>
      </c>
      <c r="G458" s="88">
        <v>0.25</v>
      </c>
      <c r="H458" s="85" t="s">
        <v>325</v>
      </c>
      <c r="I458" s="87" t="s">
        <v>145</v>
      </c>
      <c r="J458" s="85"/>
      <c r="K458" s="85">
        <v>24</v>
      </c>
      <c r="L458" s="85">
        <v>54</v>
      </c>
      <c r="M458" s="91"/>
      <c r="N458" s="91"/>
      <c r="O458" s="91"/>
      <c r="P458" s="91"/>
      <c r="Q458" s="91"/>
      <c r="R458" s="91"/>
      <c r="S458" s="98"/>
      <c r="T458" s="89"/>
      <c r="U458" s="85"/>
      <c r="V458" s="85"/>
      <c r="W458" s="83">
        <f t="shared" ca="1" si="21"/>
        <v>29</v>
      </c>
      <c r="X458" s="64" t="str">
        <f t="shared" ca="1" si="22"/>
        <v>1</v>
      </c>
      <c r="Y458" s="82" t="str">
        <f t="shared" ca="1" si="23"/>
        <v>2</v>
      </c>
      <c r="Z458" s="87"/>
      <c r="AA458" s="87" t="s">
        <v>22</v>
      </c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</row>
    <row r="459" spans="1:57" ht="37.5" x14ac:dyDescent="0.35">
      <c r="A459" s="85">
        <v>6368</v>
      </c>
      <c r="B459" s="86">
        <v>2020</v>
      </c>
      <c r="C459" s="87" t="s">
        <v>35</v>
      </c>
      <c r="D459" s="87" t="s">
        <v>73</v>
      </c>
      <c r="E459" s="87" t="s">
        <v>20</v>
      </c>
      <c r="F459" s="87" t="s">
        <v>21</v>
      </c>
      <c r="G459" s="88">
        <v>1</v>
      </c>
      <c r="H459" s="85" t="s">
        <v>325</v>
      </c>
      <c r="I459" s="87" t="s">
        <v>146</v>
      </c>
      <c r="J459" s="85"/>
      <c r="K459" s="85"/>
      <c r="L459" s="85"/>
      <c r="M459" s="91"/>
      <c r="N459" s="91"/>
      <c r="O459" s="91"/>
      <c r="P459" s="91"/>
      <c r="Q459" s="91"/>
      <c r="R459" s="91"/>
      <c r="S459" s="98"/>
      <c r="T459" s="89"/>
      <c r="U459" s="85"/>
      <c r="V459" s="85"/>
      <c r="W459" s="83">
        <f t="shared" ca="1" si="21"/>
        <v>29</v>
      </c>
      <c r="X459" s="64" t="str">
        <f t="shared" ca="1" si="22"/>
        <v>1</v>
      </c>
      <c r="Y459" s="82" t="str">
        <f t="shared" ca="1" si="23"/>
        <v>2</v>
      </c>
      <c r="Z459" s="87"/>
      <c r="AA459" s="87" t="s">
        <v>22</v>
      </c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</row>
    <row r="460" spans="1:57" ht="37.5" x14ac:dyDescent="0.35">
      <c r="A460" s="85">
        <v>6368</v>
      </c>
      <c r="B460" s="86">
        <v>2020</v>
      </c>
      <c r="C460" s="87" t="s">
        <v>35</v>
      </c>
      <c r="D460" s="87" t="s">
        <v>73</v>
      </c>
      <c r="E460" s="87" t="s">
        <v>20</v>
      </c>
      <c r="F460" s="87" t="s">
        <v>21</v>
      </c>
      <c r="G460" s="88">
        <v>1</v>
      </c>
      <c r="H460" s="85" t="s">
        <v>325</v>
      </c>
      <c r="I460" s="87" t="s">
        <v>148</v>
      </c>
      <c r="J460" s="85">
        <v>18</v>
      </c>
      <c r="K460" s="85"/>
      <c r="L460" s="85">
        <v>54</v>
      </c>
      <c r="M460" s="91">
        <v>1</v>
      </c>
      <c r="N460" s="91"/>
      <c r="O460" s="91">
        <v>1</v>
      </c>
      <c r="P460" s="91"/>
      <c r="Q460" s="91"/>
      <c r="R460" s="91"/>
      <c r="S460" s="98"/>
      <c r="T460" s="89"/>
      <c r="U460" s="85"/>
      <c r="V460" s="85"/>
      <c r="W460" s="83">
        <f t="shared" ca="1" si="21"/>
        <v>29</v>
      </c>
      <c r="X460" s="64" t="str">
        <f t="shared" ca="1" si="22"/>
        <v>1</v>
      </c>
      <c r="Y460" s="82" t="str">
        <f t="shared" ca="1" si="23"/>
        <v>2</v>
      </c>
      <c r="Z460" s="87"/>
      <c r="AA460" s="87" t="s">
        <v>22</v>
      </c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</row>
    <row r="461" spans="1:57" ht="37.5" x14ac:dyDescent="0.35">
      <c r="A461" s="85">
        <v>6368</v>
      </c>
      <c r="B461" s="86">
        <v>2020</v>
      </c>
      <c r="C461" s="87" t="s">
        <v>35</v>
      </c>
      <c r="D461" s="87" t="s">
        <v>117</v>
      </c>
      <c r="E461" s="87" t="s">
        <v>33</v>
      </c>
      <c r="F461" s="87" t="s">
        <v>25</v>
      </c>
      <c r="G461" s="88">
        <v>0.75</v>
      </c>
      <c r="H461" s="85" t="s">
        <v>325</v>
      </c>
      <c r="I461" s="87" t="s">
        <v>149</v>
      </c>
      <c r="J461" s="85">
        <v>16</v>
      </c>
      <c r="K461" s="85"/>
      <c r="L461" s="85">
        <v>60</v>
      </c>
      <c r="M461" s="91">
        <v>1</v>
      </c>
      <c r="N461" s="91"/>
      <c r="O461" s="91"/>
      <c r="P461" s="91">
        <v>1</v>
      </c>
      <c r="Q461" s="91"/>
      <c r="R461" s="91"/>
      <c r="S461" s="98"/>
      <c r="T461" s="89"/>
      <c r="U461" s="85"/>
      <c r="V461" s="85"/>
      <c r="W461" s="83">
        <f t="shared" ca="1" si="21"/>
        <v>29</v>
      </c>
      <c r="X461" s="64" t="str">
        <f t="shared" ca="1" si="22"/>
        <v>1</v>
      </c>
      <c r="Y461" s="82" t="str">
        <f t="shared" ca="1" si="23"/>
        <v>2</v>
      </c>
      <c r="Z461" s="87"/>
      <c r="AA461" s="87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</row>
    <row r="462" spans="1:57" ht="25" x14ac:dyDescent="0.35">
      <c r="A462" s="85">
        <v>4848</v>
      </c>
      <c r="B462" s="86">
        <v>2015</v>
      </c>
      <c r="C462" s="87" t="s">
        <v>64</v>
      </c>
      <c r="D462" s="87" t="s">
        <v>106</v>
      </c>
      <c r="E462" s="87" t="s">
        <v>30</v>
      </c>
      <c r="F462" s="87" t="s">
        <v>25</v>
      </c>
      <c r="G462" s="88">
        <v>1</v>
      </c>
      <c r="H462" s="85">
        <v>14014</v>
      </c>
      <c r="I462" s="87" t="s">
        <v>177</v>
      </c>
      <c r="J462" s="85">
        <v>17</v>
      </c>
      <c r="K462" s="85">
        <v>17</v>
      </c>
      <c r="L462" s="85"/>
      <c r="M462" s="91"/>
      <c r="N462" s="91"/>
      <c r="O462" s="91"/>
      <c r="P462" s="91"/>
      <c r="Q462" s="91"/>
      <c r="R462" s="91"/>
      <c r="S462" s="98"/>
      <c r="T462" s="89"/>
      <c r="U462" s="85"/>
      <c r="V462" s="85"/>
      <c r="W462" s="83">
        <f t="shared" ca="1" si="21"/>
        <v>13</v>
      </c>
      <c r="X462" s="64" t="str">
        <f t="shared" ca="1" si="22"/>
        <v>1</v>
      </c>
      <c r="Y462" s="82" t="str">
        <f t="shared" ca="1" si="23"/>
        <v>1</v>
      </c>
      <c r="Z462" s="87"/>
      <c r="AA462" s="87" t="s">
        <v>22</v>
      </c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</row>
    <row r="463" spans="1:57" ht="25" x14ac:dyDescent="0.35">
      <c r="A463" s="85">
        <v>4848</v>
      </c>
      <c r="B463" s="86">
        <v>2015</v>
      </c>
      <c r="C463" s="87" t="s">
        <v>45</v>
      </c>
      <c r="D463" s="87" t="s">
        <v>96</v>
      </c>
      <c r="E463" s="87" t="s">
        <v>20</v>
      </c>
      <c r="F463" s="87" t="s">
        <v>21</v>
      </c>
      <c r="G463" s="88"/>
      <c r="H463" s="85">
        <v>14014</v>
      </c>
      <c r="I463" s="87" t="s">
        <v>361</v>
      </c>
      <c r="J463" s="85"/>
      <c r="K463" s="85">
        <v>28</v>
      </c>
      <c r="L463" s="85"/>
      <c r="M463" s="91"/>
      <c r="N463" s="91"/>
      <c r="O463" s="91"/>
      <c r="P463" s="91">
        <v>1</v>
      </c>
      <c r="Q463" s="91"/>
      <c r="R463" s="91"/>
      <c r="S463" s="59"/>
      <c r="T463" s="89"/>
      <c r="U463" s="85"/>
      <c r="V463" s="85"/>
      <c r="W463" s="83">
        <f t="shared" ca="1" si="21"/>
        <v>13</v>
      </c>
      <c r="X463" s="64" t="str">
        <f t="shared" ca="1" si="22"/>
        <v>1</v>
      </c>
      <c r="Y463" s="82" t="str">
        <f t="shared" ca="1" si="23"/>
        <v>1</v>
      </c>
      <c r="Z463" s="87"/>
      <c r="AA463" s="87" t="s">
        <v>22</v>
      </c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</row>
    <row r="464" spans="1:57" ht="25" x14ac:dyDescent="0.35">
      <c r="A464" s="85">
        <v>4848</v>
      </c>
      <c r="B464" s="86">
        <v>2015</v>
      </c>
      <c r="C464" s="87" t="s">
        <v>86</v>
      </c>
      <c r="D464" s="87" t="s">
        <v>89</v>
      </c>
      <c r="E464" s="87" t="s">
        <v>90</v>
      </c>
      <c r="F464" s="87" t="s">
        <v>23</v>
      </c>
      <c r="G464" s="88"/>
      <c r="H464" s="85">
        <v>14014</v>
      </c>
      <c r="I464" s="87" t="s">
        <v>88</v>
      </c>
      <c r="J464" s="85">
        <v>17</v>
      </c>
      <c r="K464" s="85">
        <v>34</v>
      </c>
      <c r="L464" s="85"/>
      <c r="M464" s="91"/>
      <c r="N464" s="91"/>
      <c r="O464" s="91">
        <v>1</v>
      </c>
      <c r="P464" s="91"/>
      <c r="Q464" s="91"/>
      <c r="R464" s="91"/>
      <c r="S464" s="59"/>
      <c r="T464" s="89"/>
      <c r="U464" s="85"/>
      <c r="V464" s="85"/>
      <c r="W464" s="83">
        <f t="shared" ca="1" si="21"/>
        <v>13</v>
      </c>
      <c r="X464" s="64" t="str">
        <f t="shared" ca="1" si="22"/>
        <v>1</v>
      </c>
      <c r="Y464" s="82" t="str">
        <f t="shared" ca="1" si="23"/>
        <v>1</v>
      </c>
      <c r="Z464" s="87"/>
      <c r="AA464" s="87" t="s">
        <v>22</v>
      </c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</row>
    <row r="465" spans="1:57" ht="25" x14ac:dyDescent="0.35">
      <c r="A465" s="85">
        <v>4848</v>
      </c>
      <c r="B465" s="86">
        <v>2015</v>
      </c>
      <c r="C465" s="87" t="s">
        <v>67</v>
      </c>
      <c r="D465" s="87" t="s">
        <v>262</v>
      </c>
      <c r="E465" s="87" t="s">
        <v>24</v>
      </c>
      <c r="F465" s="87" t="s">
        <v>25</v>
      </c>
      <c r="G465" s="88">
        <v>1</v>
      </c>
      <c r="H465" s="85">
        <v>14014</v>
      </c>
      <c r="I465" s="87" t="s">
        <v>179</v>
      </c>
      <c r="J465" s="85">
        <v>34</v>
      </c>
      <c r="K465" s="85">
        <v>17</v>
      </c>
      <c r="L465" s="85"/>
      <c r="M465" s="91"/>
      <c r="N465" s="91"/>
      <c r="O465" s="91">
        <v>1</v>
      </c>
      <c r="P465" s="91"/>
      <c r="Q465" s="91"/>
      <c r="R465" s="91"/>
      <c r="S465" s="59"/>
      <c r="T465" s="89"/>
      <c r="U465" s="85"/>
      <c r="V465" s="85"/>
      <c r="W465" s="83">
        <f t="shared" ca="1" si="21"/>
        <v>13</v>
      </c>
      <c r="X465" s="64" t="str">
        <f t="shared" ca="1" si="22"/>
        <v>1</v>
      </c>
      <c r="Y465" s="82" t="str">
        <f t="shared" ca="1" si="23"/>
        <v>1</v>
      </c>
      <c r="Z465" s="87"/>
      <c r="AA465" s="87" t="s">
        <v>22</v>
      </c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</row>
    <row r="466" spans="1:57" ht="25" x14ac:dyDescent="0.35">
      <c r="A466" s="85">
        <v>4848</v>
      </c>
      <c r="B466" s="86">
        <v>2015</v>
      </c>
      <c r="C466" s="87" t="s">
        <v>42</v>
      </c>
      <c r="D466" s="87" t="s">
        <v>83</v>
      </c>
      <c r="E466" s="87" t="s">
        <v>26</v>
      </c>
      <c r="F466" s="87" t="s">
        <v>25</v>
      </c>
      <c r="G466" s="88">
        <v>1</v>
      </c>
      <c r="H466" s="85">
        <v>14014</v>
      </c>
      <c r="I466" s="87" t="s">
        <v>75</v>
      </c>
      <c r="J466" s="85">
        <v>17</v>
      </c>
      <c r="K466" s="85">
        <v>34</v>
      </c>
      <c r="L466" s="85"/>
      <c r="M466" s="91"/>
      <c r="N466" s="91"/>
      <c r="O466" s="91"/>
      <c r="P466" s="91">
        <v>1</v>
      </c>
      <c r="Q466" s="91"/>
      <c r="R466" s="91"/>
      <c r="S466" s="59"/>
      <c r="T466" s="89"/>
      <c r="U466" s="85"/>
      <c r="V466" s="85"/>
      <c r="W466" s="83">
        <f t="shared" ca="1" si="21"/>
        <v>13</v>
      </c>
      <c r="X466" s="64" t="str">
        <f t="shared" ca="1" si="22"/>
        <v>1</v>
      </c>
      <c r="Y466" s="82" t="str">
        <f t="shared" ca="1" si="23"/>
        <v>1</v>
      </c>
      <c r="Z466" s="87"/>
      <c r="AA466" s="87" t="s">
        <v>22</v>
      </c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</row>
    <row r="467" spans="1:57" ht="25" x14ac:dyDescent="0.35">
      <c r="A467" s="85">
        <v>4848</v>
      </c>
      <c r="B467" s="86">
        <v>2015</v>
      </c>
      <c r="C467" s="87" t="s">
        <v>107</v>
      </c>
      <c r="D467" s="87" t="s">
        <v>110</v>
      </c>
      <c r="E467" s="87" t="s">
        <v>30</v>
      </c>
      <c r="F467" s="87" t="s">
        <v>25</v>
      </c>
      <c r="G467" s="88">
        <v>1</v>
      </c>
      <c r="H467" s="85">
        <v>14014</v>
      </c>
      <c r="I467" s="87" t="s">
        <v>187</v>
      </c>
      <c r="J467" s="85">
        <v>18</v>
      </c>
      <c r="K467" s="85">
        <v>18</v>
      </c>
      <c r="L467" s="85"/>
      <c r="M467" s="91"/>
      <c r="N467" s="91"/>
      <c r="O467" s="91"/>
      <c r="P467" s="91"/>
      <c r="Q467" s="91"/>
      <c r="R467" s="91"/>
      <c r="S467" s="59"/>
      <c r="T467" s="89"/>
      <c r="U467" s="85"/>
      <c r="V467" s="85"/>
      <c r="W467" s="83">
        <f t="shared" ca="1" si="21"/>
        <v>13</v>
      </c>
      <c r="X467" s="64" t="str">
        <f t="shared" ca="1" si="22"/>
        <v>1</v>
      </c>
      <c r="Y467" s="82" t="str">
        <f t="shared" ca="1" si="23"/>
        <v>1</v>
      </c>
      <c r="Z467" s="87"/>
      <c r="AA467" s="87" t="s">
        <v>22</v>
      </c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</row>
    <row r="468" spans="1:57" ht="25" x14ac:dyDescent="0.35">
      <c r="A468" s="85">
        <v>4848</v>
      </c>
      <c r="B468" s="86">
        <v>2015</v>
      </c>
      <c r="C468" s="87" t="s">
        <v>38</v>
      </c>
      <c r="D468" s="87" t="s">
        <v>317</v>
      </c>
      <c r="E468" s="87" t="s">
        <v>27</v>
      </c>
      <c r="F468" s="87" t="s">
        <v>318</v>
      </c>
      <c r="G468" s="88">
        <v>0.25</v>
      </c>
      <c r="H468" s="85">
        <v>14014</v>
      </c>
      <c r="I468" s="87" t="s">
        <v>319</v>
      </c>
      <c r="J468" s="85"/>
      <c r="K468" s="85"/>
      <c r="L468" s="85">
        <v>34</v>
      </c>
      <c r="M468" s="91">
        <v>1</v>
      </c>
      <c r="N468" s="91">
        <v>1</v>
      </c>
      <c r="O468" s="91">
        <v>1</v>
      </c>
      <c r="P468" s="91"/>
      <c r="Q468" s="91"/>
      <c r="R468" s="91"/>
      <c r="S468" s="59"/>
      <c r="T468" s="89"/>
      <c r="U468" s="85"/>
      <c r="V468" s="85"/>
      <c r="W468" s="83">
        <f t="shared" ca="1" si="21"/>
        <v>13</v>
      </c>
      <c r="X468" s="64" t="str">
        <f t="shared" ca="1" si="22"/>
        <v>1</v>
      </c>
      <c r="Y468" s="82" t="str">
        <f t="shared" ca="1" si="23"/>
        <v>1</v>
      </c>
      <c r="Z468" s="87"/>
      <c r="AA468" s="87" t="s">
        <v>22</v>
      </c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</row>
    <row r="469" spans="1:57" ht="25" x14ac:dyDescent="0.35">
      <c r="A469" s="85">
        <v>4848</v>
      </c>
      <c r="B469" s="86">
        <v>2015</v>
      </c>
      <c r="C469" s="87" t="s">
        <v>38</v>
      </c>
      <c r="D469" s="87" t="s">
        <v>59</v>
      </c>
      <c r="E469" s="87" t="s">
        <v>20</v>
      </c>
      <c r="F469" s="87" t="s">
        <v>21</v>
      </c>
      <c r="G469" s="88">
        <v>1</v>
      </c>
      <c r="H469" s="85">
        <v>14014</v>
      </c>
      <c r="I469" s="87" t="s">
        <v>40</v>
      </c>
      <c r="J469" s="85"/>
      <c r="K469" s="85"/>
      <c r="L469" s="85"/>
      <c r="M469" s="91"/>
      <c r="N469" s="91"/>
      <c r="O469" s="91"/>
      <c r="P469" s="91"/>
      <c r="Q469" s="91"/>
      <c r="R469" s="91"/>
      <c r="S469" s="59"/>
      <c r="T469" s="89"/>
      <c r="U469" s="85"/>
      <c r="V469" s="85"/>
      <c r="W469" s="83">
        <f t="shared" ca="1" si="21"/>
        <v>13</v>
      </c>
      <c r="X469" s="64" t="str">
        <f t="shared" ca="1" si="22"/>
        <v>1</v>
      </c>
      <c r="Y469" s="82" t="str">
        <f t="shared" ca="1" si="23"/>
        <v>1</v>
      </c>
      <c r="Z469" s="87"/>
      <c r="AA469" s="87" t="s">
        <v>22</v>
      </c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</row>
    <row r="470" spans="1:57" ht="25" x14ac:dyDescent="0.35">
      <c r="A470" s="85">
        <v>4848</v>
      </c>
      <c r="B470" s="86">
        <v>2015</v>
      </c>
      <c r="C470" s="87" t="s">
        <v>38</v>
      </c>
      <c r="D470" s="87" t="s">
        <v>41</v>
      </c>
      <c r="E470" s="87" t="s">
        <v>27</v>
      </c>
      <c r="F470" s="87" t="s">
        <v>25</v>
      </c>
      <c r="G470" s="88">
        <v>0.5</v>
      </c>
      <c r="H470" s="85">
        <v>14014</v>
      </c>
      <c r="I470" s="87" t="s">
        <v>40</v>
      </c>
      <c r="J470" s="85"/>
      <c r="K470" s="85"/>
      <c r="L470" s="85">
        <v>34</v>
      </c>
      <c r="M470" s="91">
        <v>1</v>
      </c>
      <c r="N470" s="91">
        <v>1</v>
      </c>
      <c r="O470" s="91">
        <v>1</v>
      </c>
      <c r="P470" s="91"/>
      <c r="Q470" s="91"/>
      <c r="R470" s="91"/>
      <c r="S470" s="59"/>
      <c r="T470" s="89"/>
      <c r="U470" s="85"/>
      <c r="V470" s="85"/>
      <c r="W470" s="83">
        <f t="shared" ca="1" si="21"/>
        <v>13</v>
      </c>
      <c r="X470" s="64" t="str">
        <f t="shared" ca="1" si="22"/>
        <v>1</v>
      </c>
      <c r="Y470" s="82" t="str">
        <f t="shared" ca="1" si="23"/>
        <v>1</v>
      </c>
      <c r="Z470" s="87"/>
      <c r="AA470" s="87" t="s">
        <v>22</v>
      </c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</row>
    <row r="471" spans="1:57" ht="25" x14ac:dyDescent="0.35">
      <c r="A471" s="85">
        <v>4848</v>
      </c>
      <c r="B471" s="86">
        <v>2015</v>
      </c>
      <c r="C471" s="87" t="s">
        <v>42</v>
      </c>
      <c r="D471" s="87" t="s">
        <v>43</v>
      </c>
      <c r="E471" s="87" t="s">
        <v>20</v>
      </c>
      <c r="F471" s="87" t="s">
        <v>21</v>
      </c>
      <c r="G471" s="88">
        <v>0.13</v>
      </c>
      <c r="H471" s="85">
        <v>14014</v>
      </c>
      <c r="I471" s="87" t="s">
        <v>44</v>
      </c>
      <c r="J471" s="85">
        <v>18</v>
      </c>
      <c r="K471" s="85">
        <v>18</v>
      </c>
      <c r="L471" s="85"/>
      <c r="M471" s="91"/>
      <c r="N471" s="91"/>
      <c r="O471" s="91"/>
      <c r="P471" s="91">
        <v>1</v>
      </c>
      <c r="Q471" s="91"/>
      <c r="R471" s="91"/>
      <c r="S471" s="59"/>
      <c r="T471" s="89"/>
      <c r="U471" s="85"/>
      <c r="V471" s="85"/>
      <c r="W471" s="83">
        <f t="shared" ca="1" si="21"/>
        <v>13</v>
      </c>
      <c r="X471" s="64" t="str">
        <f t="shared" ca="1" si="22"/>
        <v>1</v>
      </c>
      <c r="Y471" s="82" t="str">
        <f t="shared" ca="1" si="23"/>
        <v>1</v>
      </c>
      <c r="Z471" s="87"/>
      <c r="AA471" s="87" t="s">
        <v>22</v>
      </c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</row>
    <row r="472" spans="1:57" ht="25" x14ac:dyDescent="0.35">
      <c r="A472" s="85">
        <v>4848</v>
      </c>
      <c r="B472" s="86">
        <v>2015</v>
      </c>
      <c r="C472" s="87" t="s">
        <v>103</v>
      </c>
      <c r="D472" s="87" t="s">
        <v>104</v>
      </c>
      <c r="E472" s="87" t="s">
        <v>20</v>
      </c>
      <c r="F472" s="87" t="s">
        <v>21</v>
      </c>
      <c r="G472" s="88">
        <v>1</v>
      </c>
      <c r="H472" s="85">
        <v>14014</v>
      </c>
      <c r="I472" s="87" t="s">
        <v>111</v>
      </c>
      <c r="J472" s="85">
        <v>17</v>
      </c>
      <c r="K472" s="85">
        <v>17</v>
      </c>
      <c r="L472" s="85"/>
      <c r="M472" s="91"/>
      <c r="N472" s="91"/>
      <c r="O472" s="91"/>
      <c r="P472" s="91">
        <v>1</v>
      </c>
      <c r="Q472" s="91"/>
      <c r="R472" s="91"/>
      <c r="S472" s="59"/>
      <c r="T472" s="89"/>
      <c r="U472" s="85"/>
      <c r="V472" s="85"/>
      <c r="W472" s="83">
        <f t="shared" ca="1" si="21"/>
        <v>13</v>
      </c>
      <c r="X472" s="64" t="str">
        <f t="shared" ca="1" si="22"/>
        <v>1</v>
      </c>
      <c r="Y472" s="82" t="str">
        <f t="shared" ca="1" si="23"/>
        <v>1</v>
      </c>
      <c r="Z472" s="87"/>
      <c r="AA472" s="87" t="s">
        <v>22</v>
      </c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</row>
    <row r="473" spans="1:57" x14ac:dyDescent="0.35">
      <c r="A473" s="85">
        <v>4848</v>
      </c>
      <c r="B473" s="86">
        <v>2015</v>
      </c>
      <c r="C473" s="87" t="s">
        <v>48</v>
      </c>
      <c r="D473" s="87" t="s">
        <v>140</v>
      </c>
      <c r="E473" s="87" t="s">
        <v>55</v>
      </c>
      <c r="F473" s="87" t="s">
        <v>23</v>
      </c>
      <c r="G473" s="88">
        <v>1</v>
      </c>
      <c r="H473" s="85">
        <v>14014</v>
      </c>
      <c r="I473" s="87" t="s">
        <v>51</v>
      </c>
      <c r="J473" s="85">
        <v>35</v>
      </c>
      <c r="K473" s="85"/>
      <c r="L473" s="85">
        <v>70</v>
      </c>
      <c r="M473" s="91"/>
      <c r="N473" s="91"/>
      <c r="O473" s="91">
        <v>1</v>
      </c>
      <c r="P473" s="91">
        <v>1</v>
      </c>
      <c r="Q473" s="91"/>
      <c r="R473" s="91"/>
      <c r="S473" s="59"/>
      <c r="T473" s="89"/>
      <c r="U473" s="85"/>
      <c r="V473" s="85"/>
      <c r="W473" s="83">
        <f t="shared" ca="1" si="21"/>
        <v>13</v>
      </c>
      <c r="X473" s="64" t="str">
        <f t="shared" ca="1" si="22"/>
        <v>1</v>
      </c>
      <c r="Y473" s="82" t="str">
        <f t="shared" ca="1" si="23"/>
        <v>1</v>
      </c>
      <c r="Z473" s="87"/>
      <c r="AA473" s="87" t="s">
        <v>22</v>
      </c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</row>
    <row r="474" spans="1:57" ht="25" x14ac:dyDescent="0.35">
      <c r="A474" s="85">
        <v>4848</v>
      </c>
      <c r="B474" s="86">
        <v>2015</v>
      </c>
      <c r="C474" s="87" t="s">
        <v>1</v>
      </c>
      <c r="D474" s="87" t="s">
        <v>52</v>
      </c>
      <c r="E474" s="87" t="s">
        <v>26</v>
      </c>
      <c r="F474" s="87" t="s">
        <v>25</v>
      </c>
      <c r="G474" s="88">
        <v>0.25</v>
      </c>
      <c r="H474" s="85">
        <v>14014</v>
      </c>
      <c r="I474" s="87" t="s">
        <v>53</v>
      </c>
      <c r="J474" s="85">
        <v>17</v>
      </c>
      <c r="K474" s="85">
        <v>17</v>
      </c>
      <c r="L474" s="85"/>
      <c r="M474" s="91"/>
      <c r="N474" s="91"/>
      <c r="O474" s="91"/>
      <c r="P474" s="91">
        <v>1</v>
      </c>
      <c r="Q474" s="91"/>
      <c r="R474" s="91"/>
      <c r="S474" s="59"/>
      <c r="T474" s="89"/>
      <c r="U474" s="85"/>
      <c r="V474" s="85"/>
      <c r="W474" s="83">
        <f t="shared" ca="1" si="21"/>
        <v>13</v>
      </c>
      <c r="X474" s="64" t="str">
        <f t="shared" ca="1" si="22"/>
        <v>1</v>
      </c>
      <c r="Y474" s="82" t="str">
        <f t="shared" ca="1" si="23"/>
        <v>1</v>
      </c>
      <c r="Z474" s="87"/>
      <c r="AA474" s="87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</row>
    <row r="475" spans="1:57" ht="25" x14ac:dyDescent="0.35">
      <c r="A475" s="85">
        <v>4848</v>
      </c>
      <c r="B475" s="86">
        <v>2016</v>
      </c>
      <c r="C475" s="87" t="s">
        <v>119</v>
      </c>
      <c r="D475" s="87" t="s">
        <v>120</v>
      </c>
      <c r="E475" s="87" t="s">
        <v>24</v>
      </c>
      <c r="F475" s="87" t="s">
        <v>25</v>
      </c>
      <c r="G475" s="88">
        <v>1</v>
      </c>
      <c r="H475" s="85">
        <v>15377</v>
      </c>
      <c r="I475" s="87" t="s">
        <v>263</v>
      </c>
      <c r="J475" s="85">
        <v>17</v>
      </c>
      <c r="K475" s="85"/>
      <c r="L475" s="85"/>
      <c r="M475" s="91"/>
      <c r="N475" s="91"/>
      <c r="O475" s="91"/>
      <c r="P475" s="91">
        <v>1</v>
      </c>
      <c r="Q475" s="91"/>
      <c r="R475" s="91"/>
      <c r="S475" s="59"/>
      <c r="T475" s="89"/>
      <c r="U475" s="85"/>
      <c r="V475" s="85"/>
      <c r="W475" s="83">
        <f t="shared" ca="1" si="21"/>
        <v>13</v>
      </c>
      <c r="X475" s="64" t="str">
        <f t="shared" ca="1" si="22"/>
        <v>1</v>
      </c>
      <c r="Y475" s="82" t="str">
        <f t="shared" ca="1" si="23"/>
        <v>1</v>
      </c>
      <c r="Z475" s="87"/>
      <c r="AA475" s="87" t="s">
        <v>22</v>
      </c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</row>
    <row r="476" spans="1:57" ht="25" x14ac:dyDescent="0.35">
      <c r="A476" s="85">
        <v>4848</v>
      </c>
      <c r="B476" s="86">
        <v>2016</v>
      </c>
      <c r="C476" s="87" t="s">
        <v>119</v>
      </c>
      <c r="D476" s="87" t="s">
        <v>121</v>
      </c>
      <c r="E476" s="87" t="s">
        <v>24</v>
      </c>
      <c r="F476" s="87" t="s">
        <v>25</v>
      </c>
      <c r="G476" s="88">
        <v>1</v>
      </c>
      <c r="H476" s="85">
        <v>15377</v>
      </c>
      <c r="I476" s="87" t="s">
        <v>264</v>
      </c>
      <c r="J476" s="85">
        <v>17</v>
      </c>
      <c r="K476" s="85"/>
      <c r="L476" s="85"/>
      <c r="M476" s="91"/>
      <c r="N476" s="91"/>
      <c r="O476" s="91"/>
      <c r="P476" s="91">
        <v>1</v>
      </c>
      <c r="Q476" s="91"/>
      <c r="R476" s="91"/>
      <c r="S476" s="59"/>
      <c r="T476" s="89"/>
      <c r="U476" s="85"/>
      <c r="V476" s="85"/>
      <c r="W476" s="83">
        <f t="shared" ca="1" si="21"/>
        <v>13</v>
      </c>
      <c r="X476" s="64" t="str">
        <f t="shared" ca="1" si="22"/>
        <v>1</v>
      </c>
      <c r="Y476" s="82" t="str">
        <f t="shared" ca="1" si="23"/>
        <v>1</v>
      </c>
      <c r="Z476" s="87"/>
      <c r="AA476" s="87" t="s">
        <v>22</v>
      </c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</row>
    <row r="477" spans="1:57" ht="25" x14ac:dyDescent="0.35">
      <c r="A477" s="85">
        <v>4848</v>
      </c>
      <c r="B477" s="86">
        <v>2016</v>
      </c>
      <c r="C477" s="87" t="s">
        <v>38</v>
      </c>
      <c r="D477" s="87" t="s">
        <v>59</v>
      </c>
      <c r="E477" s="87" t="s">
        <v>20</v>
      </c>
      <c r="F477" s="87" t="s">
        <v>21</v>
      </c>
      <c r="G477" s="88">
        <v>1</v>
      </c>
      <c r="H477" s="85">
        <v>15377</v>
      </c>
      <c r="I477" s="87" t="s">
        <v>138</v>
      </c>
      <c r="J477" s="85"/>
      <c r="K477" s="85"/>
      <c r="L477" s="85">
        <v>54</v>
      </c>
      <c r="M477" s="91"/>
      <c r="N477" s="91"/>
      <c r="O477" s="91">
        <v>1</v>
      </c>
      <c r="P477" s="91"/>
      <c r="Q477" s="91"/>
      <c r="R477" s="91"/>
      <c r="S477" s="59"/>
      <c r="T477" s="89"/>
      <c r="U477" s="85"/>
      <c r="V477" s="85"/>
      <c r="W477" s="83">
        <f t="shared" ca="1" si="21"/>
        <v>13</v>
      </c>
      <c r="X477" s="64" t="str">
        <f t="shared" ca="1" si="22"/>
        <v>1</v>
      </c>
      <c r="Y477" s="82" t="str">
        <f t="shared" ca="1" si="23"/>
        <v>1</v>
      </c>
      <c r="Z477" s="87"/>
      <c r="AA477" s="87" t="s">
        <v>22</v>
      </c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</row>
    <row r="478" spans="1:57" ht="25" x14ac:dyDescent="0.35">
      <c r="A478" s="85">
        <v>4848</v>
      </c>
      <c r="B478" s="86">
        <v>2016</v>
      </c>
      <c r="C478" s="87" t="s">
        <v>38</v>
      </c>
      <c r="D478" s="87" t="s">
        <v>59</v>
      </c>
      <c r="E478" s="87" t="s">
        <v>20</v>
      </c>
      <c r="F478" s="87" t="s">
        <v>21</v>
      </c>
      <c r="G478" s="88">
        <v>1</v>
      </c>
      <c r="H478" s="85">
        <v>15377</v>
      </c>
      <c r="I478" s="87" t="s">
        <v>139</v>
      </c>
      <c r="J478" s="85"/>
      <c r="K478" s="85"/>
      <c r="L478" s="85">
        <v>36</v>
      </c>
      <c r="M478" s="91"/>
      <c r="N478" s="91"/>
      <c r="O478" s="91"/>
      <c r="P478" s="91">
        <v>1</v>
      </c>
      <c r="Q478" s="91"/>
      <c r="R478" s="91"/>
      <c r="S478" s="59"/>
      <c r="T478" s="89"/>
      <c r="U478" s="85"/>
      <c r="V478" s="85"/>
      <c r="W478" s="83">
        <f t="shared" ca="1" si="21"/>
        <v>13</v>
      </c>
      <c r="X478" s="64" t="str">
        <f t="shared" ca="1" si="22"/>
        <v>1</v>
      </c>
      <c r="Y478" s="82" t="str">
        <f t="shared" ca="1" si="23"/>
        <v>1</v>
      </c>
      <c r="Z478" s="87"/>
      <c r="AA478" s="87" t="s">
        <v>22</v>
      </c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</row>
    <row r="479" spans="1:57" ht="25" x14ac:dyDescent="0.35">
      <c r="A479" s="85">
        <v>4848</v>
      </c>
      <c r="B479" s="86">
        <v>2016</v>
      </c>
      <c r="C479" s="87" t="s">
        <v>45</v>
      </c>
      <c r="D479" s="87" t="s">
        <v>96</v>
      </c>
      <c r="E479" s="87" t="s">
        <v>20</v>
      </c>
      <c r="F479" s="87" t="s">
        <v>21</v>
      </c>
      <c r="G479" s="88"/>
      <c r="H479" s="85">
        <v>15377</v>
      </c>
      <c r="I479" s="87" t="s">
        <v>361</v>
      </c>
      <c r="J479" s="85"/>
      <c r="K479" s="85">
        <v>28</v>
      </c>
      <c r="L479" s="85"/>
      <c r="M479" s="91"/>
      <c r="N479" s="91"/>
      <c r="O479" s="91"/>
      <c r="P479" s="91">
        <v>1</v>
      </c>
      <c r="Q479" s="91"/>
      <c r="R479" s="91"/>
      <c r="S479" s="59"/>
      <c r="T479" s="89"/>
      <c r="U479" s="85"/>
      <c r="V479" s="85"/>
      <c r="W479" s="83">
        <f t="shared" ca="1" si="21"/>
        <v>13</v>
      </c>
      <c r="X479" s="64" t="str">
        <f t="shared" ca="1" si="22"/>
        <v>1</v>
      </c>
      <c r="Y479" s="82" t="str">
        <f t="shared" ca="1" si="23"/>
        <v>1</v>
      </c>
      <c r="Z479" s="87"/>
      <c r="AA479" s="87" t="s">
        <v>22</v>
      </c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</row>
    <row r="480" spans="1:57" x14ac:dyDescent="0.35">
      <c r="A480" s="85">
        <v>4848</v>
      </c>
      <c r="B480" s="86">
        <v>2016</v>
      </c>
      <c r="C480" s="87" t="s">
        <v>48</v>
      </c>
      <c r="D480" s="87" t="s">
        <v>140</v>
      </c>
      <c r="E480" s="87" t="s">
        <v>55</v>
      </c>
      <c r="F480" s="87" t="s">
        <v>23</v>
      </c>
      <c r="G480" s="88">
        <v>1</v>
      </c>
      <c r="H480" s="85">
        <v>15377</v>
      </c>
      <c r="I480" s="87" t="s">
        <v>51</v>
      </c>
      <c r="J480" s="85">
        <v>17</v>
      </c>
      <c r="K480" s="85"/>
      <c r="L480" s="85">
        <v>34</v>
      </c>
      <c r="M480" s="91">
        <v>1</v>
      </c>
      <c r="N480" s="91">
        <v>1</v>
      </c>
      <c r="O480" s="91"/>
      <c r="P480" s="91"/>
      <c r="Q480" s="91"/>
      <c r="R480" s="91"/>
      <c r="S480" s="59"/>
      <c r="T480" s="89"/>
      <c r="U480" s="85"/>
      <c r="V480" s="85"/>
      <c r="W480" s="83">
        <f t="shared" ca="1" si="21"/>
        <v>13</v>
      </c>
      <c r="X480" s="64" t="str">
        <f t="shared" ca="1" si="22"/>
        <v>1</v>
      </c>
      <c r="Y480" s="82" t="str">
        <f t="shared" ca="1" si="23"/>
        <v>1</v>
      </c>
      <c r="Z480" s="87"/>
      <c r="AA480" s="87" t="s">
        <v>22</v>
      </c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</row>
    <row r="481" spans="1:57" ht="25" x14ac:dyDescent="0.35">
      <c r="A481" s="85">
        <v>4848</v>
      </c>
      <c r="B481" s="86">
        <v>2017</v>
      </c>
      <c r="C481" s="87" t="s">
        <v>31</v>
      </c>
      <c r="D481" s="87" t="s">
        <v>32</v>
      </c>
      <c r="E481" s="87" t="s">
        <v>33</v>
      </c>
      <c r="F481" s="87" t="s">
        <v>25</v>
      </c>
      <c r="G481" s="88">
        <v>1</v>
      </c>
      <c r="H481" s="85">
        <v>16003</v>
      </c>
      <c r="I481" s="87" t="s">
        <v>141</v>
      </c>
      <c r="J481" s="85">
        <v>12</v>
      </c>
      <c r="K481" s="85"/>
      <c r="L481" s="85">
        <v>24</v>
      </c>
      <c r="M481" s="91"/>
      <c r="N481" s="91"/>
      <c r="O481" s="91"/>
      <c r="P481" s="91">
        <v>1</v>
      </c>
      <c r="Q481" s="91"/>
      <c r="R481" s="91"/>
      <c r="S481" s="59"/>
      <c r="T481" s="89"/>
      <c r="U481" s="85"/>
      <c r="V481" s="85"/>
      <c r="W481" s="83">
        <f t="shared" ca="1" si="21"/>
        <v>13</v>
      </c>
      <c r="X481" s="64" t="str">
        <f t="shared" ca="1" si="22"/>
        <v>1</v>
      </c>
      <c r="Y481" s="82" t="str">
        <f t="shared" ca="1" si="23"/>
        <v>1</v>
      </c>
      <c r="Z481" s="87"/>
      <c r="AA481" s="87" t="s">
        <v>22</v>
      </c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</row>
    <row r="482" spans="1:57" ht="25" x14ac:dyDescent="0.35">
      <c r="A482" s="85">
        <v>4848</v>
      </c>
      <c r="B482" s="86">
        <v>2017</v>
      </c>
      <c r="C482" s="87" t="s">
        <v>77</v>
      </c>
      <c r="D482" s="87" t="s">
        <v>102</v>
      </c>
      <c r="E482" s="87" t="s">
        <v>33</v>
      </c>
      <c r="F482" s="87" t="s">
        <v>25</v>
      </c>
      <c r="G482" s="88">
        <v>1</v>
      </c>
      <c r="H482" s="85">
        <v>16003</v>
      </c>
      <c r="I482" s="87" t="s">
        <v>151</v>
      </c>
      <c r="J482" s="85">
        <v>17</v>
      </c>
      <c r="K482" s="85">
        <v>17</v>
      </c>
      <c r="L482" s="85"/>
      <c r="M482" s="91"/>
      <c r="N482" s="91"/>
      <c r="O482" s="91"/>
      <c r="P482" s="91">
        <v>1</v>
      </c>
      <c r="Q482" s="91"/>
      <c r="R482" s="91"/>
      <c r="S482" s="59"/>
      <c r="T482" s="89"/>
      <c r="U482" s="85"/>
      <c r="V482" s="85"/>
      <c r="W482" s="83">
        <f t="shared" ca="1" si="21"/>
        <v>13</v>
      </c>
      <c r="X482" s="64" t="str">
        <f t="shared" ca="1" si="22"/>
        <v>1</v>
      </c>
      <c r="Y482" s="82" t="str">
        <f t="shared" ca="1" si="23"/>
        <v>1</v>
      </c>
      <c r="Z482" s="87"/>
      <c r="AA482" s="87" t="s">
        <v>22</v>
      </c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</row>
    <row r="483" spans="1:57" ht="25" x14ac:dyDescent="0.35">
      <c r="A483" s="85">
        <v>4848</v>
      </c>
      <c r="B483" s="86">
        <v>2017</v>
      </c>
      <c r="C483" s="87" t="s">
        <v>38</v>
      </c>
      <c r="D483" s="87" t="s">
        <v>229</v>
      </c>
      <c r="E483" s="87" t="s">
        <v>95</v>
      </c>
      <c r="F483" s="87" t="s">
        <v>25</v>
      </c>
      <c r="G483" s="88">
        <v>1</v>
      </c>
      <c r="H483" s="85">
        <v>16003</v>
      </c>
      <c r="I483" s="87" t="s">
        <v>265</v>
      </c>
      <c r="J483" s="85"/>
      <c r="K483" s="85"/>
      <c r="L483" s="85"/>
      <c r="M483" s="91"/>
      <c r="N483" s="91"/>
      <c r="O483" s="91"/>
      <c r="P483" s="91"/>
      <c r="Q483" s="91"/>
      <c r="R483" s="91"/>
      <c r="S483" s="59"/>
      <c r="T483" s="89"/>
      <c r="U483" s="85"/>
      <c r="V483" s="85"/>
      <c r="W483" s="83">
        <f t="shared" ca="1" si="21"/>
        <v>13</v>
      </c>
      <c r="X483" s="64" t="str">
        <f t="shared" ca="1" si="22"/>
        <v>1</v>
      </c>
      <c r="Y483" s="82" t="str">
        <f t="shared" ca="1" si="23"/>
        <v>1</v>
      </c>
      <c r="Z483" s="87"/>
      <c r="AA483" s="87" t="s">
        <v>22</v>
      </c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</row>
    <row r="484" spans="1:57" ht="25" x14ac:dyDescent="0.35">
      <c r="A484" s="85">
        <v>4848</v>
      </c>
      <c r="B484" s="86">
        <v>2017</v>
      </c>
      <c r="C484" s="87" t="s">
        <v>38</v>
      </c>
      <c r="D484" s="87" t="s">
        <v>152</v>
      </c>
      <c r="E484" s="87" t="s">
        <v>27</v>
      </c>
      <c r="F484" s="87" t="s">
        <v>25</v>
      </c>
      <c r="G484" s="88">
        <v>0.75</v>
      </c>
      <c r="H484" s="85">
        <v>16003</v>
      </c>
      <c r="I484" s="87" t="s">
        <v>153</v>
      </c>
      <c r="J484" s="85">
        <v>12</v>
      </c>
      <c r="K484" s="85">
        <v>6</v>
      </c>
      <c r="L484" s="85"/>
      <c r="M484" s="91"/>
      <c r="N484" s="91"/>
      <c r="O484" s="91"/>
      <c r="P484" s="91">
        <v>1</v>
      </c>
      <c r="Q484" s="91"/>
      <c r="R484" s="91"/>
      <c r="S484" s="59"/>
      <c r="T484" s="89"/>
      <c r="U484" s="85"/>
      <c r="V484" s="85"/>
      <c r="W484" s="83">
        <f t="shared" ca="1" si="21"/>
        <v>13</v>
      </c>
      <c r="X484" s="64" t="str">
        <f t="shared" ca="1" si="22"/>
        <v>1</v>
      </c>
      <c r="Y484" s="82" t="str">
        <f t="shared" ca="1" si="23"/>
        <v>1</v>
      </c>
      <c r="Z484" s="87"/>
      <c r="AA484" s="87" t="s">
        <v>22</v>
      </c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</row>
    <row r="485" spans="1:57" ht="25" x14ac:dyDescent="0.35">
      <c r="A485" s="85">
        <v>4848</v>
      </c>
      <c r="B485" s="86">
        <v>2017</v>
      </c>
      <c r="C485" s="87" t="s">
        <v>38</v>
      </c>
      <c r="D485" s="87" t="s">
        <v>41</v>
      </c>
      <c r="E485" s="87" t="s">
        <v>27</v>
      </c>
      <c r="F485" s="87" t="s">
        <v>25</v>
      </c>
      <c r="G485" s="88">
        <v>1</v>
      </c>
      <c r="H485" s="85">
        <v>16003</v>
      </c>
      <c r="I485" s="87" t="s">
        <v>265</v>
      </c>
      <c r="J485" s="85">
        <v>34</v>
      </c>
      <c r="K485" s="85"/>
      <c r="L485" s="85">
        <v>20</v>
      </c>
      <c r="M485" s="91"/>
      <c r="N485" s="91"/>
      <c r="O485" s="91">
        <v>1</v>
      </c>
      <c r="P485" s="91"/>
      <c r="Q485" s="91"/>
      <c r="R485" s="91"/>
      <c r="S485" s="59"/>
      <c r="T485" s="89"/>
      <c r="U485" s="85"/>
      <c r="V485" s="85"/>
      <c r="W485" s="83">
        <f t="shared" ca="1" si="21"/>
        <v>13</v>
      </c>
      <c r="X485" s="64" t="str">
        <f t="shared" ca="1" si="22"/>
        <v>1</v>
      </c>
      <c r="Y485" s="82" t="str">
        <f t="shared" ca="1" si="23"/>
        <v>1</v>
      </c>
      <c r="Z485" s="87"/>
      <c r="AA485" s="87" t="s">
        <v>22</v>
      </c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</row>
    <row r="486" spans="1:57" ht="25" x14ac:dyDescent="0.35">
      <c r="A486" s="85">
        <v>4848</v>
      </c>
      <c r="B486" s="86">
        <v>2017</v>
      </c>
      <c r="C486" s="87" t="s">
        <v>38</v>
      </c>
      <c r="D486" s="87" t="s">
        <v>41</v>
      </c>
      <c r="E486" s="87" t="s">
        <v>27</v>
      </c>
      <c r="F486" s="87" t="s">
        <v>25</v>
      </c>
      <c r="G486" s="88">
        <v>1</v>
      </c>
      <c r="H486" s="85">
        <v>16003</v>
      </c>
      <c r="I486" s="87" t="s">
        <v>139</v>
      </c>
      <c r="J486" s="85"/>
      <c r="K486" s="85"/>
      <c r="L486" s="85">
        <v>34</v>
      </c>
      <c r="M486" s="91">
        <v>1</v>
      </c>
      <c r="N486" s="91">
        <v>1</v>
      </c>
      <c r="O486" s="91"/>
      <c r="P486" s="91"/>
      <c r="Q486" s="91"/>
      <c r="R486" s="91"/>
      <c r="S486" s="59"/>
      <c r="T486" s="89"/>
      <c r="U486" s="85"/>
      <c r="V486" s="85"/>
      <c r="W486" s="83">
        <f t="shared" ca="1" si="21"/>
        <v>13</v>
      </c>
      <c r="X486" s="64" t="str">
        <f t="shared" ca="1" si="22"/>
        <v>1</v>
      </c>
      <c r="Y486" s="82" t="str">
        <f t="shared" ca="1" si="23"/>
        <v>1</v>
      </c>
      <c r="Z486" s="87"/>
      <c r="AA486" s="87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</row>
    <row r="487" spans="1:57" ht="25" x14ac:dyDescent="0.35">
      <c r="A487" s="85">
        <v>4848</v>
      </c>
      <c r="B487" s="86">
        <v>2017</v>
      </c>
      <c r="C487" s="87" t="s">
        <v>38</v>
      </c>
      <c r="D487" s="87" t="s">
        <v>266</v>
      </c>
      <c r="E487" s="87" t="s">
        <v>20</v>
      </c>
      <c r="F487" s="87" t="s">
        <v>21</v>
      </c>
      <c r="G487" s="88">
        <v>0.37</v>
      </c>
      <c r="H487" s="85">
        <v>16003</v>
      </c>
      <c r="I487" s="87" t="s">
        <v>267</v>
      </c>
      <c r="J487" s="85"/>
      <c r="K487" s="85"/>
      <c r="L487" s="85">
        <v>72</v>
      </c>
      <c r="M487" s="91"/>
      <c r="N487" s="91"/>
      <c r="O487" s="91">
        <v>1</v>
      </c>
      <c r="P487" s="91"/>
      <c r="Q487" s="91"/>
      <c r="R487" s="91"/>
      <c r="S487" s="59"/>
      <c r="T487" s="89"/>
      <c r="U487" s="85"/>
      <c r="V487" s="85"/>
      <c r="W487" s="83">
        <f t="shared" ca="1" si="21"/>
        <v>13</v>
      </c>
      <c r="X487" s="64" t="str">
        <f t="shared" ca="1" si="22"/>
        <v>1</v>
      </c>
      <c r="Y487" s="82" t="str">
        <f t="shared" ca="1" si="23"/>
        <v>1</v>
      </c>
      <c r="Z487" s="87"/>
      <c r="AA487" s="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</row>
    <row r="488" spans="1:57" ht="25" x14ac:dyDescent="0.35">
      <c r="A488" s="85">
        <v>4848</v>
      </c>
      <c r="B488" s="86">
        <v>2017</v>
      </c>
      <c r="C488" s="87" t="s">
        <v>268</v>
      </c>
      <c r="D488" s="87" t="s">
        <v>269</v>
      </c>
      <c r="E488" s="87" t="s">
        <v>91</v>
      </c>
      <c r="F488" s="87" t="s">
        <v>25</v>
      </c>
      <c r="G488" s="88">
        <v>1</v>
      </c>
      <c r="H488" s="85">
        <v>16003</v>
      </c>
      <c r="I488" s="87" t="s">
        <v>270</v>
      </c>
      <c r="J488" s="85">
        <v>18</v>
      </c>
      <c r="K488" s="85">
        <v>18</v>
      </c>
      <c r="L488" s="85"/>
      <c r="M488" s="91"/>
      <c r="N488" s="91"/>
      <c r="O488" s="91"/>
      <c r="P488" s="91">
        <v>1</v>
      </c>
      <c r="Q488" s="91"/>
      <c r="R488" s="91"/>
      <c r="S488" s="59"/>
      <c r="T488" s="89"/>
      <c r="U488" s="85"/>
      <c r="V488" s="85"/>
      <c r="W488" s="83">
        <f t="shared" ca="1" si="21"/>
        <v>13</v>
      </c>
      <c r="X488" s="64" t="str">
        <f t="shared" ca="1" si="22"/>
        <v>1</v>
      </c>
      <c r="Y488" s="82" t="str">
        <f t="shared" ca="1" si="23"/>
        <v>1</v>
      </c>
      <c r="Z488" s="87"/>
      <c r="AA488" s="87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</row>
    <row r="489" spans="1:57" ht="25" x14ac:dyDescent="0.35">
      <c r="A489" s="85">
        <v>4848</v>
      </c>
      <c r="B489" s="86">
        <v>2017</v>
      </c>
      <c r="C489" s="87" t="s">
        <v>48</v>
      </c>
      <c r="D489" s="87" t="s">
        <v>98</v>
      </c>
      <c r="E489" s="87" t="s">
        <v>30</v>
      </c>
      <c r="F489" s="87" t="s">
        <v>25</v>
      </c>
      <c r="G489" s="88">
        <v>0.5</v>
      </c>
      <c r="H489" s="85">
        <v>16003</v>
      </c>
      <c r="I489" s="87" t="s">
        <v>154</v>
      </c>
      <c r="J489" s="85">
        <v>16</v>
      </c>
      <c r="K489" s="85">
        <v>16</v>
      </c>
      <c r="L489" s="85">
        <v>16</v>
      </c>
      <c r="M489" s="91"/>
      <c r="N489" s="91"/>
      <c r="O489" s="91">
        <v>1</v>
      </c>
      <c r="P489" s="91"/>
      <c r="Q489" s="91"/>
      <c r="R489" s="91"/>
      <c r="S489" s="59"/>
      <c r="T489" s="89"/>
      <c r="U489" s="85"/>
      <c r="V489" s="85"/>
      <c r="W489" s="83">
        <f t="shared" ca="1" si="21"/>
        <v>13</v>
      </c>
      <c r="X489" s="64" t="str">
        <f t="shared" ca="1" si="22"/>
        <v>1</v>
      </c>
      <c r="Y489" s="82" t="str">
        <f t="shared" ca="1" si="23"/>
        <v>1</v>
      </c>
      <c r="Z489" s="87"/>
      <c r="AA489" s="87" t="s">
        <v>22</v>
      </c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</row>
    <row r="490" spans="1:57" ht="25" x14ac:dyDescent="0.35">
      <c r="A490" s="85">
        <v>4848</v>
      </c>
      <c r="B490" s="86">
        <v>2018</v>
      </c>
      <c r="C490" s="87" t="s">
        <v>155</v>
      </c>
      <c r="D490" s="87" t="s">
        <v>156</v>
      </c>
      <c r="E490" s="87" t="s">
        <v>157</v>
      </c>
      <c r="F490" s="87" t="s">
        <v>23</v>
      </c>
      <c r="G490" s="88">
        <v>1</v>
      </c>
      <c r="H490" s="85">
        <v>17231</v>
      </c>
      <c r="I490" s="87" t="s">
        <v>158</v>
      </c>
      <c r="J490" s="85"/>
      <c r="K490" s="85">
        <v>18</v>
      </c>
      <c r="L490" s="85"/>
      <c r="M490" s="91"/>
      <c r="N490" s="91"/>
      <c r="O490" s="91"/>
      <c r="P490" s="91"/>
      <c r="Q490" s="91"/>
      <c r="R490" s="91"/>
      <c r="S490" s="59"/>
      <c r="T490" s="89"/>
      <c r="U490" s="85"/>
      <c r="V490" s="85"/>
      <c r="W490" s="83">
        <f t="shared" ca="1" si="21"/>
        <v>13</v>
      </c>
      <c r="X490" s="64" t="str">
        <f t="shared" ca="1" si="22"/>
        <v>1</v>
      </c>
      <c r="Y490" s="82" t="str">
        <f t="shared" ca="1" si="23"/>
        <v>1</v>
      </c>
      <c r="Z490" s="87"/>
      <c r="AA490" s="87" t="s">
        <v>22</v>
      </c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</row>
    <row r="491" spans="1:57" ht="50" x14ac:dyDescent="0.35">
      <c r="A491" s="85">
        <v>4848</v>
      </c>
      <c r="B491" s="86">
        <v>2018</v>
      </c>
      <c r="C491" s="87" t="s">
        <v>0</v>
      </c>
      <c r="D491" s="87" t="s">
        <v>272</v>
      </c>
      <c r="E491" s="87" t="s">
        <v>27</v>
      </c>
      <c r="F491" s="87" t="s">
        <v>25</v>
      </c>
      <c r="G491" s="88">
        <v>0.75</v>
      </c>
      <c r="H491" s="85">
        <v>17231</v>
      </c>
      <c r="I491" s="87" t="s">
        <v>273</v>
      </c>
      <c r="J491" s="85">
        <v>18</v>
      </c>
      <c r="K491" s="85">
        <v>18</v>
      </c>
      <c r="L491" s="85"/>
      <c r="M491" s="91"/>
      <c r="N491" s="91"/>
      <c r="O491" s="91"/>
      <c r="P491" s="91"/>
      <c r="Q491" s="91"/>
      <c r="R491" s="91"/>
      <c r="S491" s="59"/>
      <c r="T491" s="89"/>
      <c r="U491" s="85"/>
      <c r="V491" s="85"/>
      <c r="W491" s="83">
        <f t="shared" ca="1" si="21"/>
        <v>13</v>
      </c>
      <c r="X491" s="64" t="str">
        <f t="shared" ca="1" si="22"/>
        <v>1</v>
      </c>
      <c r="Y491" s="82" t="str">
        <f t="shared" ca="1" si="23"/>
        <v>1</v>
      </c>
      <c r="Z491" s="87"/>
      <c r="AA491" s="87" t="s">
        <v>22</v>
      </c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</row>
    <row r="492" spans="1:57" ht="25" x14ac:dyDescent="0.35">
      <c r="A492" s="85">
        <v>4848</v>
      </c>
      <c r="B492" s="86">
        <v>2018</v>
      </c>
      <c r="C492" s="87" t="s">
        <v>38</v>
      </c>
      <c r="D492" s="87" t="s">
        <v>229</v>
      </c>
      <c r="E492" s="87" t="s">
        <v>95</v>
      </c>
      <c r="F492" s="87" t="s">
        <v>25</v>
      </c>
      <c r="G492" s="88">
        <v>1</v>
      </c>
      <c r="H492" s="85">
        <v>17231</v>
      </c>
      <c r="I492" s="87" t="s">
        <v>362</v>
      </c>
      <c r="J492" s="85"/>
      <c r="K492" s="85"/>
      <c r="L492" s="85"/>
      <c r="M492" s="91">
        <v>1</v>
      </c>
      <c r="N492" s="91">
        <v>1</v>
      </c>
      <c r="O492" s="91"/>
      <c r="P492" s="91"/>
      <c r="Q492" s="91"/>
      <c r="R492" s="91"/>
      <c r="S492" s="59"/>
      <c r="T492" s="89"/>
      <c r="U492" s="85"/>
      <c r="V492" s="85"/>
      <c r="W492" s="83">
        <f t="shared" ca="1" si="21"/>
        <v>13</v>
      </c>
      <c r="X492" s="64" t="str">
        <f t="shared" ca="1" si="22"/>
        <v>1</v>
      </c>
      <c r="Y492" s="82" t="str">
        <f t="shared" ca="1" si="23"/>
        <v>1</v>
      </c>
      <c r="Z492" s="87"/>
      <c r="AA492" s="87" t="s">
        <v>22</v>
      </c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</row>
    <row r="493" spans="1:57" ht="50" x14ac:dyDescent="0.35">
      <c r="A493" s="85">
        <v>4848</v>
      </c>
      <c r="B493" s="86">
        <v>2018</v>
      </c>
      <c r="C493" s="87" t="s">
        <v>38</v>
      </c>
      <c r="D493" s="87" t="s">
        <v>229</v>
      </c>
      <c r="E493" s="87" t="s">
        <v>95</v>
      </c>
      <c r="F493" s="87" t="s">
        <v>25</v>
      </c>
      <c r="G493" s="88">
        <v>1</v>
      </c>
      <c r="H493" s="85">
        <v>17231</v>
      </c>
      <c r="I493" s="87" t="s">
        <v>274</v>
      </c>
      <c r="J493" s="85">
        <v>36</v>
      </c>
      <c r="K493" s="85">
        <v>36</v>
      </c>
      <c r="L493" s="85"/>
      <c r="M493" s="91"/>
      <c r="N493" s="91"/>
      <c r="O493" s="91"/>
      <c r="P493" s="91"/>
      <c r="Q493" s="91"/>
      <c r="R493" s="91"/>
      <c r="S493" s="59"/>
      <c r="T493" s="89"/>
      <c r="U493" s="85"/>
      <c r="V493" s="85"/>
      <c r="W493" s="83">
        <f t="shared" ca="1" si="21"/>
        <v>13</v>
      </c>
      <c r="X493" s="64" t="str">
        <f t="shared" ca="1" si="22"/>
        <v>1</v>
      </c>
      <c r="Y493" s="82" t="str">
        <f t="shared" ca="1" si="23"/>
        <v>1</v>
      </c>
      <c r="Z493" s="87"/>
      <c r="AA493" s="87" t="s">
        <v>22</v>
      </c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</row>
    <row r="494" spans="1:57" ht="25" x14ac:dyDescent="0.35">
      <c r="A494" s="85">
        <v>4848</v>
      </c>
      <c r="B494" s="86">
        <v>2018</v>
      </c>
      <c r="C494" s="87" t="s">
        <v>38</v>
      </c>
      <c r="D494" s="87" t="s">
        <v>229</v>
      </c>
      <c r="E494" s="87" t="s">
        <v>95</v>
      </c>
      <c r="F494" s="87" t="s">
        <v>25</v>
      </c>
      <c r="G494" s="88">
        <v>1</v>
      </c>
      <c r="H494" s="85">
        <v>17231</v>
      </c>
      <c r="I494" s="87" t="s">
        <v>275</v>
      </c>
      <c r="J494" s="85"/>
      <c r="K494" s="85"/>
      <c r="L494" s="85">
        <v>36</v>
      </c>
      <c r="M494" s="91"/>
      <c r="N494" s="91"/>
      <c r="O494" s="91"/>
      <c r="P494" s="91"/>
      <c r="Q494" s="91"/>
      <c r="R494" s="91"/>
      <c r="S494" s="59"/>
      <c r="T494" s="89"/>
      <c r="U494" s="85"/>
      <c r="V494" s="85"/>
      <c r="W494" s="83">
        <f t="shared" ca="1" si="21"/>
        <v>13</v>
      </c>
      <c r="X494" s="64" t="str">
        <f t="shared" ca="1" si="22"/>
        <v>1</v>
      </c>
      <c r="Y494" s="82" t="str">
        <f t="shared" ca="1" si="23"/>
        <v>1</v>
      </c>
      <c r="Z494" s="87"/>
      <c r="AA494" s="87" t="s">
        <v>22</v>
      </c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</row>
    <row r="495" spans="1:57" ht="37.5" x14ac:dyDescent="0.35">
      <c r="A495" s="85">
        <v>4848</v>
      </c>
      <c r="B495" s="86">
        <v>2018</v>
      </c>
      <c r="C495" s="87" t="s">
        <v>38</v>
      </c>
      <c r="D495" s="87" t="s">
        <v>152</v>
      </c>
      <c r="E495" s="87" t="s">
        <v>27</v>
      </c>
      <c r="F495" s="87" t="s">
        <v>25</v>
      </c>
      <c r="G495" s="88">
        <v>0.75</v>
      </c>
      <c r="H495" s="85">
        <v>17231</v>
      </c>
      <c r="I495" s="87" t="s">
        <v>276</v>
      </c>
      <c r="J495" s="85">
        <v>18</v>
      </c>
      <c r="K495" s="85">
        <v>18</v>
      </c>
      <c r="L495" s="85"/>
      <c r="M495" s="91"/>
      <c r="N495" s="91"/>
      <c r="O495" s="91"/>
      <c r="P495" s="91"/>
      <c r="Q495" s="91"/>
      <c r="R495" s="91"/>
      <c r="S495" s="59"/>
      <c r="T495" s="89"/>
      <c r="U495" s="85"/>
      <c r="V495" s="85"/>
      <c r="W495" s="83">
        <f t="shared" ca="1" si="21"/>
        <v>13</v>
      </c>
      <c r="X495" s="64" t="str">
        <f t="shared" ca="1" si="22"/>
        <v>1</v>
      </c>
      <c r="Y495" s="82" t="str">
        <f t="shared" ca="1" si="23"/>
        <v>1</v>
      </c>
      <c r="Z495" s="87"/>
      <c r="AA495" s="87" t="s">
        <v>22</v>
      </c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</row>
    <row r="496" spans="1:57" ht="25" x14ac:dyDescent="0.35">
      <c r="A496" s="85">
        <v>4848</v>
      </c>
      <c r="B496" s="86">
        <v>2018</v>
      </c>
      <c r="C496" s="87" t="s">
        <v>38</v>
      </c>
      <c r="D496" s="87" t="s">
        <v>266</v>
      </c>
      <c r="E496" s="87" t="s">
        <v>20</v>
      </c>
      <c r="F496" s="87" t="s">
        <v>21</v>
      </c>
      <c r="G496" s="88">
        <v>0.37</v>
      </c>
      <c r="H496" s="85">
        <v>17231</v>
      </c>
      <c r="I496" s="87" t="s">
        <v>277</v>
      </c>
      <c r="J496" s="85"/>
      <c r="K496" s="85"/>
      <c r="L496" s="85"/>
      <c r="M496" s="91"/>
      <c r="N496" s="91"/>
      <c r="O496" s="91"/>
      <c r="P496" s="91"/>
      <c r="Q496" s="91"/>
      <c r="R496" s="91"/>
      <c r="S496" s="59"/>
      <c r="T496" s="89"/>
      <c r="U496" s="85"/>
      <c r="V496" s="85"/>
      <c r="W496" s="83">
        <f t="shared" ca="1" si="21"/>
        <v>13</v>
      </c>
      <c r="X496" s="64" t="str">
        <f t="shared" ca="1" si="22"/>
        <v>1</v>
      </c>
      <c r="Y496" s="82" t="str">
        <f t="shared" ca="1" si="23"/>
        <v>1</v>
      </c>
      <c r="Z496" s="87"/>
      <c r="AA496" s="87" t="s">
        <v>22</v>
      </c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</row>
    <row r="497" spans="1:57" ht="37.5" x14ac:dyDescent="0.35">
      <c r="A497" s="85">
        <v>4848</v>
      </c>
      <c r="B497" s="86">
        <v>2018</v>
      </c>
      <c r="C497" s="87" t="s">
        <v>38</v>
      </c>
      <c r="D497" s="87" t="s">
        <v>266</v>
      </c>
      <c r="E497" s="87" t="s">
        <v>20</v>
      </c>
      <c r="F497" s="87" t="s">
        <v>21</v>
      </c>
      <c r="G497" s="88">
        <v>0.37</v>
      </c>
      <c r="H497" s="85">
        <v>17231</v>
      </c>
      <c r="I497" s="87" t="s">
        <v>278</v>
      </c>
      <c r="J497" s="85">
        <v>18</v>
      </c>
      <c r="K497" s="85">
        <v>18</v>
      </c>
      <c r="L497" s="85"/>
      <c r="M497" s="91"/>
      <c r="N497" s="91"/>
      <c r="O497" s="91"/>
      <c r="P497" s="91"/>
      <c r="Q497" s="91"/>
      <c r="R497" s="91"/>
      <c r="S497" s="59"/>
      <c r="T497" s="89"/>
      <c r="U497" s="85"/>
      <c r="V497" s="85"/>
      <c r="W497" s="83">
        <f t="shared" ca="1" si="21"/>
        <v>13</v>
      </c>
      <c r="X497" s="64" t="str">
        <f t="shared" ca="1" si="22"/>
        <v>1</v>
      </c>
      <c r="Y497" s="82" t="str">
        <f t="shared" ca="1" si="23"/>
        <v>1</v>
      </c>
      <c r="Z497" s="87"/>
      <c r="AA497" s="87" t="s">
        <v>22</v>
      </c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</row>
    <row r="498" spans="1:57" ht="37.5" x14ac:dyDescent="0.35">
      <c r="A498" s="85">
        <v>4848</v>
      </c>
      <c r="B498" s="86">
        <v>2018</v>
      </c>
      <c r="C498" s="87" t="s">
        <v>38</v>
      </c>
      <c r="D498" s="87" t="s">
        <v>266</v>
      </c>
      <c r="E498" s="87" t="s">
        <v>20</v>
      </c>
      <c r="F498" s="87" t="s">
        <v>21</v>
      </c>
      <c r="G498" s="88">
        <v>0.37</v>
      </c>
      <c r="H498" s="85">
        <v>17231</v>
      </c>
      <c r="I498" s="87" t="s">
        <v>279</v>
      </c>
      <c r="J498" s="85">
        <v>18</v>
      </c>
      <c r="K498" s="85">
        <v>18</v>
      </c>
      <c r="L498" s="85"/>
      <c r="M498" s="91"/>
      <c r="N498" s="91"/>
      <c r="O498" s="91"/>
      <c r="P498" s="91"/>
      <c r="Q498" s="91"/>
      <c r="R498" s="91"/>
      <c r="S498" s="59"/>
      <c r="T498" s="89"/>
      <c r="U498" s="85"/>
      <c r="V498" s="85"/>
      <c r="W498" s="83">
        <f t="shared" ca="1" si="21"/>
        <v>13</v>
      </c>
      <c r="X498" s="64" t="str">
        <f t="shared" ca="1" si="22"/>
        <v>1</v>
      </c>
      <c r="Y498" s="82" t="str">
        <f t="shared" ca="1" si="23"/>
        <v>1</v>
      </c>
      <c r="Z498" s="87"/>
      <c r="AA498" s="87" t="s">
        <v>22</v>
      </c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</row>
    <row r="499" spans="1:57" ht="25" x14ac:dyDescent="0.35">
      <c r="A499" s="85">
        <v>4848</v>
      </c>
      <c r="B499" s="86">
        <v>2018</v>
      </c>
      <c r="C499" s="87" t="s">
        <v>48</v>
      </c>
      <c r="D499" s="87" t="s">
        <v>173</v>
      </c>
      <c r="E499" s="87" t="s">
        <v>55</v>
      </c>
      <c r="F499" s="87" t="s">
        <v>23</v>
      </c>
      <c r="G499" s="88">
        <v>0.5</v>
      </c>
      <c r="H499" s="85">
        <v>17231</v>
      </c>
      <c r="I499" s="87" t="s">
        <v>174</v>
      </c>
      <c r="J499" s="85"/>
      <c r="K499" s="85"/>
      <c r="L499" s="85"/>
      <c r="M499" s="91"/>
      <c r="N499" s="91"/>
      <c r="O499" s="91"/>
      <c r="P499" s="91"/>
      <c r="Q499" s="91"/>
      <c r="R499" s="91"/>
      <c r="S499" s="59"/>
      <c r="T499" s="89"/>
      <c r="U499" s="85"/>
      <c r="V499" s="85"/>
      <c r="W499" s="83">
        <f t="shared" ca="1" si="21"/>
        <v>13</v>
      </c>
      <c r="X499" s="64" t="str">
        <f t="shared" ca="1" si="22"/>
        <v>1</v>
      </c>
      <c r="Y499" s="82" t="str">
        <f t="shared" ca="1" si="23"/>
        <v>1</v>
      </c>
      <c r="Z499" s="87"/>
      <c r="AA499" s="87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</row>
    <row r="500" spans="1:57" ht="25" x14ac:dyDescent="0.35">
      <c r="A500" s="85">
        <v>4848</v>
      </c>
      <c r="B500" s="86">
        <v>2018</v>
      </c>
      <c r="C500" s="87" t="s">
        <v>48</v>
      </c>
      <c r="D500" s="87" t="s">
        <v>173</v>
      </c>
      <c r="E500" s="87" t="s">
        <v>55</v>
      </c>
      <c r="F500" s="87" t="s">
        <v>23</v>
      </c>
      <c r="G500" s="88">
        <v>0.5</v>
      </c>
      <c r="H500" s="85">
        <v>17231</v>
      </c>
      <c r="I500" s="87" t="s">
        <v>175</v>
      </c>
      <c r="J500" s="85">
        <v>18</v>
      </c>
      <c r="K500" s="85">
        <v>18</v>
      </c>
      <c r="L500" s="85"/>
      <c r="M500" s="91"/>
      <c r="N500" s="91"/>
      <c r="O500" s="91"/>
      <c r="P500" s="91"/>
      <c r="Q500" s="91"/>
      <c r="R500" s="91"/>
      <c r="S500" s="59"/>
      <c r="T500" s="89"/>
      <c r="U500" s="85"/>
      <c r="V500" s="85"/>
      <c r="W500" s="83">
        <f t="shared" ca="1" si="21"/>
        <v>13</v>
      </c>
      <c r="X500" s="64" t="str">
        <f t="shared" ca="1" si="22"/>
        <v>1</v>
      </c>
      <c r="Y500" s="82" t="str">
        <f t="shared" ca="1" si="23"/>
        <v>1</v>
      </c>
      <c r="Z500" s="87"/>
      <c r="AA500" s="87" t="s">
        <v>22</v>
      </c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</row>
    <row r="501" spans="1:57" ht="25" x14ac:dyDescent="0.35">
      <c r="A501" s="85">
        <v>4848</v>
      </c>
      <c r="B501" s="86">
        <v>2018</v>
      </c>
      <c r="C501" s="87" t="s">
        <v>48</v>
      </c>
      <c r="D501" s="87" t="s">
        <v>62</v>
      </c>
      <c r="E501" s="87" t="s">
        <v>28</v>
      </c>
      <c r="F501" s="87" t="s">
        <v>23</v>
      </c>
      <c r="G501" s="88">
        <v>0.75</v>
      </c>
      <c r="H501" s="85">
        <v>17231</v>
      </c>
      <c r="I501" s="87" t="s">
        <v>174</v>
      </c>
      <c r="J501" s="85"/>
      <c r="K501" s="85"/>
      <c r="L501" s="85"/>
      <c r="M501" s="91"/>
      <c r="N501" s="91"/>
      <c r="O501" s="91"/>
      <c r="P501" s="91"/>
      <c r="Q501" s="91"/>
      <c r="R501" s="91"/>
      <c r="S501" s="59"/>
      <c r="T501" s="89"/>
      <c r="U501" s="85"/>
      <c r="V501" s="85"/>
      <c r="W501" s="83">
        <f t="shared" ca="1" si="21"/>
        <v>13</v>
      </c>
      <c r="X501" s="64" t="str">
        <f t="shared" ca="1" si="22"/>
        <v>1</v>
      </c>
      <c r="Y501" s="82" t="str">
        <f t="shared" ca="1" si="23"/>
        <v>1</v>
      </c>
      <c r="Z501" s="87"/>
      <c r="AA501" s="87" t="s">
        <v>22</v>
      </c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</row>
    <row r="502" spans="1:57" ht="25" x14ac:dyDescent="0.35">
      <c r="A502" s="85">
        <v>4848</v>
      </c>
      <c r="B502" s="86">
        <v>2018</v>
      </c>
      <c r="C502" s="87" t="s">
        <v>48</v>
      </c>
      <c r="D502" s="87" t="s">
        <v>62</v>
      </c>
      <c r="E502" s="87" t="s">
        <v>28</v>
      </c>
      <c r="F502" s="87" t="s">
        <v>23</v>
      </c>
      <c r="G502" s="88">
        <v>0.75</v>
      </c>
      <c r="H502" s="85">
        <v>17231</v>
      </c>
      <c r="I502" s="87" t="s">
        <v>176</v>
      </c>
      <c r="J502" s="85">
        <v>9</v>
      </c>
      <c r="K502" s="85"/>
      <c r="L502" s="85">
        <v>27</v>
      </c>
      <c r="M502" s="91"/>
      <c r="N502" s="91"/>
      <c r="O502" s="91"/>
      <c r="P502" s="91"/>
      <c r="Q502" s="91"/>
      <c r="R502" s="91"/>
      <c r="S502" s="59"/>
      <c r="T502" s="89"/>
      <c r="U502" s="85"/>
      <c r="V502" s="85"/>
      <c r="W502" s="83">
        <f t="shared" ca="1" si="21"/>
        <v>13</v>
      </c>
      <c r="X502" s="64" t="str">
        <f t="shared" ca="1" si="22"/>
        <v>1</v>
      </c>
      <c r="Y502" s="82" t="str">
        <f t="shared" ca="1" si="23"/>
        <v>1</v>
      </c>
      <c r="Z502" s="87"/>
      <c r="AA502" s="87" t="s">
        <v>22</v>
      </c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</row>
    <row r="503" spans="1:57" ht="25" x14ac:dyDescent="0.35">
      <c r="A503" s="85">
        <v>4858</v>
      </c>
      <c r="B503" s="86">
        <v>2016</v>
      </c>
      <c r="C503" s="87" t="s">
        <v>64</v>
      </c>
      <c r="D503" s="87" t="s">
        <v>65</v>
      </c>
      <c r="E503" s="87" t="s">
        <v>30</v>
      </c>
      <c r="F503" s="87" t="s">
        <v>25</v>
      </c>
      <c r="G503" s="88">
        <v>1</v>
      </c>
      <c r="H503" s="85">
        <v>15177</v>
      </c>
      <c r="I503" s="87" t="s">
        <v>177</v>
      </c>
      <c r="J503" s="85">
        <v>18</v>
      </c>
      <c r="K503" s="85">
        <v>18</v>
      </c>
      <c r="L503" s="85"/>
      <c r="M503" s="91"/>
      <c r="N503" s="91"/>
      <c r="O503" s="91"/>
      <c r="P503" s="91"/>
      <c r="Q503" s="91"/>
      <c r="R503" s="91"/>
      <c r="S503" s="59"/>
      <c r="T503" s="89"/>
      <c r="U503" s="85"/>
      <c r="V503" s="85"/>
      <c r="W503" s="83">
        <f t="shared" ca="1" si="21"/>
        <v>27</v>
      </c>
      <c r="X503" s="64" t="str">
        <f t="shared" ca="1" si="22"/>
        <v>1</v>
      </c>
      <c r="Y503" s="82" t="str">
        <f t="shared" ca="1" si="23"/>
        <v>2</v>
      </c>
      <c r="Z503" s="87"/>
      <c r="AA503" s="87" t="s">
        <v>22</v>
      </c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</row>
    <row r="504" spans="1:57" ht="25" x14ac:dyDescent="0.35">
      <c r="A504" s="85">
        <v>4858</v>
      </c>
      <c r="B504" s="86">
        <v>2016</v>
      </c>
      <c r="C504" s="87" t="s">
        <v>45</v>
      </c>
      <c r="D504" s="87" t="s">
        <v>96</v>
      </c>
      <c r="E504" s="87" t="s">
        <v>20</v>
      </c>
      <c r="F504" s="87" t="s">
        <v>21</v>
      </c>
      <c r="G504" s="88"/>
      <c r="H504" s="85">
        <v>15177</v>
      </c>
      <c r="I504" s="87" t="s">
        <v>361</v>
      </c>
      <c r="J504" s="85"/>
      <c r="K504" s="85">
        <v>28</v>
      </c>
      <c r="L504" s="85"/>
      <c r="M504" s="91"/>
      <c r="N504" s="91"/>
      <c r="O504" s="91"/>
      <c r="P504" s="91">
        <v>1</v>
      </c>
      <c r="Q504" s="91"/>
      <c r="R504" s="91"/>
      <c r="S504" s="59"/>
      <c r="T504" s="89"/>
      <c r="U504" s="85"/>
      <c r="V504" s="85"/>
      <c r="W504" s="83">
        <f t="shared" ca="1" si="21"/>
        <v>27</v>
      </c>
      <c r="X504" s="64" t="str">
        <f t="shared" ca="1" si="22"/>
        <v>1</v>
      </c>
      <c r="Y504" s="82" t="str">
        <f t="shared" ca="1" si="23"/>
        <v>2</v>
      </c>
      <c r="Z504" s="87"/>
      <c r="AA504" s="87" t="s">
        <v>22</v>
      </c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</row>
    <row r="505" spans="1:57" ht="25" x14ac:dyDescent="0.35">
      <c r="A505" s="85">
        <v>4858</v>
      </c>
      <c r="B505" s="86">
        <v>2016</v>
      </c>
      <c r="C505" s="87" t="s">
        <v>42</v>
      </c>
      <c r="D505" s="87" t="s">
        <v>83</v>
      </c>
      <c r="E505" s="87" t="s">
        <v>26</v>
      </c>
      <c r="F505" s="87" t="s">
        <v>25</v>
      </c>
      <c r="G505" s="88">
        <v>1</v>
      </c>
      <c r="H505" s="85">
        <v>15177</v>
      </c>
      <c r="I505" s="87" t="s">
        <v>75</v>
      </c>
      <c r="J505" s="85">
        <v>17</v>
      </c>
      <c r="K505" s="85">
        <v>34</v>
      </c>
      <c r="L505" s="85"/>
      <c r="M505" s="91"/>
      <c r="N505" s="91"/>
      <c r="O505" s="91"/>
      <c r="P505" s="91">
        <v>1</v>
      </c>
      <c r="Q505" s="91"/>
      <c r="R505" s="91"/>
      <c r="S505" s="59"/>
      <c r="T505" s="89"/>
      <c r="U505" s="85"/>
      <c r="V505" s="85"/>
      <c r="W505" s="83">
        <f t="shared" ca="1" si="21"/>
        <v>27</v>
      </c>
      <c r="X505" s="64" t="str">
        <f t="shared" ca="1" si="22"/>
        <v>1</v>
      </c>
      <c r="Y505" s="82" t="str">
        <f t="shared" ca="1" si="23"/>
        <v>2</v>
      </c>
      <c r="Z505" s="87"/>
      <c r="AA505" s="87" t="s">
        <v>22</v>
      </c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</row>
    <row r="506" spans="1:57" ht="25" x14ac:dyDescent="0.35">
      <c r="A506" s="85">
        <v>4858</v>
      </c>
      <c r="B506" s="86">
        <v>2016</v>
      </c>
      <c r="C506" s="87" t="s">
        <v>86</v>
      </c>
      <c r="D506" s="87" t="s">
        <v>89</v>
      </c>
      <c r="E506" s="87" t="s">
        <v>90</v>
      </c>
      <c r="F506" s="87" t="s">
        <v>23</v>
      </c>
      <c r="G506" s="88"/>
      <c r="H506" s="85">
        <v>15177</v>
      </c>
      <c r="I506" s="87" t="s">
        <v>88</v>
      </c>
      <c r="J506" s="85">
        <v>17</v>
      </c>
      <c r="K506" s="85">
        <v>34</v>
      </c>
      <c r="L506" s="85"/>
      <c r="M506" s="91"/>
      <c r="N506" s="91"/>
      <c r="O506" s="91">
        <v>1</v>
      </c>
      <c r="P506" s="91"/>
      <c r="Q506" s="91"/>
      <c r="R506" s="91"/>
      <c r="S506" s="59"/>
      <c r="T506" s="89"/>
      <c r="U506" s="85"/>
      <c r="V506" s="85"/>
      <c r="W506" s="83">
        <f t="shared" ca="1" si="21"/>
        <v>27</v>
      </c>
      <c r="X506" s="64" t="str">
        <f t="shared" ca="1" si="22"/>
        <v>1</v>
      </c>
      <c r="Y506" s="82" t="str">
        <f t="shared" ca="1" si="23"/>
        <v>2</v>
      </c>
      <c r="Z506" s="87"/>
      <c r="AA506" s="87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</row>
    <row r="507" spans="1:57" ht="25" x14ac:dyDescent="0.35">
      <c r="A507" s="85">
        <v>4858</v>
      </c>
      <c r="B507" s="86">
        <v>2016</v>
      </c>
      <c r="C507" s="87" t="s">
        <v>67</v>
      </c>
      <c r="D507" s="87" t="s">
        <v>112</v>
      </c>
      <c r="E507" s="87" t="s">
        <v>24</v>
      </c>
      <c r="F507" s="87" t="s">
        <v>25</v>
      </c>
      <c r="G507" s="88">
        <v>1</v>
      </c>
      <c r="H507" s="85">
        <v>15177</v>
      </c>
      <c r="I507" s="87" t="s">
        <v>179</v>
      </c>
      <c r="J507" s="85">
        <v>34</v>
      </c>
      <c r="K507" s="85">
        <v>17</v>
      </c>
      <c r="L507" s="85"/>
      <c r="M507" s="91"/>
      <c r="N507" s="91"/>
      <c r="O507" s="91"/>
      <c r="P507" s="91"/>
      <c r="Q507" s="91"/>
      <c r="R507" s="91"/>
      <c r="S507" s="59"/>
      <c r="T507" s="89">
        <v>12</v>
      </c>
      <c r="U507" s="85"/>
      <c r="V507" s="85"/>
      <c r="W507" s="83">
        <f t="shared" ca="1" si="21"/>
        <v>27</v>
      </c>
      <c r="X507" s="64" t="str">
        <f t="shared" ca="1" si="22"/>
        <v>1</v>
      </c>
      <c r="Y507" s="82" t="str">
        <f t="shared" ca="1" si="23"/>
        <v>2</v>
      </c>
      <c r="Z507" s="87"/>
      <c r="AA507" s="87" t="s">
        <v>22</v>
      </c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</row>
    <row r="508" spans="1:57" ht="25" x14ac:dyDescent="0.35">
      <c r="A508" s="85">
        <v>4858</v>
      </c>
      <c r="B508" s="86">
        <v>2016</v>
      </c>
      <c r="C508" s="87" t="s">
        <v>107</v>
      </c>
      <c r="D508" s="87" t="s">
        <v>108</v>
      </c>
      <c r="E508" s="87" t="s">
        <v>26</v>
      </c>
      <c r="F508" s="87" t="s">
        <v>25</v>
      </c>
      <c r="G508" s="88">
        <v>1</v>
      </c>
      <c r="H508" s="85">
        <v>15177</v>
      </c>
      <c r="I508" s="87" t="s">
        <v>187</v>
      </c>
      <c r="J508" s="85">
        <v>18</v>
      </c>
      <c r="K508" s="85">
        <v>18</v>
      </c>
      <c r="L508" s="85"/>
      <c r="M508" s="91"/>
      <c r="N508" s="91"/>
      <c r="O508" s="91"/>
      <c r="P508" s="91"/>
      <c r="Q508" s="91"/>
      <c r="R508" s="91"/>
      <c r="S508" s="59"/>
      <c r="T508" s="89"/>
      <c r="U508" s="85"/>
      <c r="V508" s="85"/>
      <c r="W508" s="83">
        <f t="shared" ca="1" si="21"/>
        <v>27</v>
      </c>
      <c r="X508" s="64" t="str">
        <f t="shared" ca="1" si="22"/>
        <v>1</v>
      </c>
      <c r="Y508" s="82" t="str">
        <f t="shared" ca="1" si="23"/>
        <v>2</v>
      </c>
      <c r="Z508" s="87"/>
      <c r="AA508" s="87" t="s">
        <v>22</v>
      </c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</row>
    <row r="509" spans="1:57" ht="25" x14ac:dyDescent="0.35">
      <c r="A509" s="85">
        <v>4858</v>
      </c>
      <c r="B509" s="86">
        <v>2016</v>
      </c>
      <c r="C509" s="87" t="s">
        <v>38</v>
      </c>
      <c r="D509" s="87" t="s">
        <v>39</v>
      </c>
      <c r="E509" s="87" t="s">
        <v>20</v>
      </c>
      <c r="F509" s="87" t="s">
        <v>21</v>
      </c>
      <c r="G509" s="88">
        <v>0.5</v>
      </c>
      <c r="H509" s="85">
        <v>15177</v>
      </c>
      <c r="I509" s="87" t="s">
        <v>40</v>
      </c>
      <c r="J509" s="85"/>
      <c r="K509" s="85"/>
      <c r="L509" s="85">
        <v>68</v>
      </c>
      <c r="M509" s="91"/>
      <c r="N509" s="91"/>
      <c r="O509" s="91"/>
      <c r="P509" s="91"/>
      <c r="Q509" s="91"/>
      <c r="R509" s="91"/>
      <c r="S509" s="59"/>
      <c r="T509" s="89">
        <v>6</v>
      </c>
      <c r="U509" s="85"/>
      <c r="V509" s="85"/>
      <c r="W509" s="83">
        <f t="shared" ca="1" si="21"/>
        <v>27</v>
      </c>
      <c r="X509" s="64" t="str">
        <f t="shared" ca="1" si="22"/>
        <v>1</v>
      </c>
      <c r="Y509" s="82" t="str">
        <f t="shared" ca="1" si="23"/>
        <v>2</v>
      </c>
      <c r="Z509" s="87"/>
      <c r="AA509" s="87" t="s">
        <v>22</v>
      </c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</row>
    <row r="510" spans="1:57" ht="25" x14ac:dyDescent="0.35">
      <c r="A510" s="85">
        <v>4858</v>
      </c>
      <c r="B510" s="86">
        <v>2016</v>
      </c>
      <c r="C510" s="87" t="s">
        <v>38</v>
      </c>
      <c r="D510" s="87" t="s">
        <v>60</v>
      </c>
      <c r="E510" s="87" t="s">
        <v>20</v>
      </c>
      <c r="F510" s="87" t="s">
        <v>21</v>
      </c>
      <c r="G510" s="88">
        <v>0.75</v>
      </c>
      <c r="H510" s="85">
        <v>15177</v>
      </c>
      <c r="I510" s="87" t="s">
        <v>40</v>
      </c>
      <c r="J510" s="85"/>
      <c r="K510" s="85"/>
      <c r="L510" s="85">
        <v>68</v>
      </c>
      <c r="M510" s="91"/>
      <c r="N510" s="91"/>
      <c r="O510" s="91"/>
      <c r="P510" s="91"/>
      <c r="Q510" s="91"/>
      <c r="R510" s="91"/>
      <c r="S510" s="59"/>
      <c r="T510" s="89">
        <v>18</v>
      </c>
      <c r="U510" s="85"/>
      <c r="V510" s="85"/>
      <c r="W510" s="83">
        <f t="shared" ca="1" si="21"/>
        <v>27</v>
      </c>
      <c r="X510" s="64" t="str">
        <f t="shared" ca="1" si="22"/>
        <v>1</v>
      </c>
      <c r="Y510" s="82" t="str">
        <f t="shared" ca="1" si="23"/>
        <v>2</v>
      </c>
      <c r="Z510" s="87"/>
      <c r="AA510" s="87" t="s">
        <v>22</v>
      </c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</row>
    <row r="511" spans="1:57" ht="25" x14ac:dyDescent="0.35">
      <c r="A511" s="85">
        <v>4858</v>
      </c>
      <c r="B511" s="86">
        <v>2016</v>
      </c>
      <c r="C511" s="87" t="s">
        <v>42</v>
      </c>
      <c r="D511" s="87" t="s">
        <v>43</v>
      </c>
      <c r="E511" s="87" t="s">
        <v>20</v>
      </c>
      <c r="F511" s="87" t="s">
        <v>21</v>
      </c>
      <c r="G511" s="88">
        <v>0.12</v>
      </c>
      <c r="H511" s="85">
        <v>15177</v>
      </c>
      <c r="I511" s="87" t="s">
        <v>44</v>
      </c>
      <c r="J511" s="85">
        <v>18</v>
      </c>
      <c r="K511" s="85">
        <v>18</v>
      </c>
      <c r="L511" s="85"/>
      <c r="M511" s="91"/>
      <c r="N511" s="91"/>
      <c r="O511" s="91"/>
      <c r="P511" s="91">
        <v>1</v>
      </c>
      <c r="Q511" s="91"/>
      <c r="R511" s="91"/>
      <c r="S511" s="59"/>
      <c r="T511" s="89"/>
      <c r="U511" s="85"/>
      <c r="V511" s="85"/>
      <c r="W511" s="83">
        <f t="shared" ca="1" si="21"/>
        <v>27</v>
      </c>
      <c r="X511" s="64" t="str">
        <f t="shared" ca="1" si="22"/>
        <v>1</v>
      </c>
      <c r="Y511" s="82" t="str">
        <f t="shared" ca="1" si="23"/>
        <v>2</v>
      </c>
      <c r="Z511" s="87"/>
      <c r="AA511" s="87" t="s">
        <v>22</v>
      </c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</row>
    <row r="512" spans="1:57" ht="25" x14ac:dyDescent="0.35">
      <c r="A512" s="85">
        <v>4858</v>
      </c>
      <c r="B512" s="86">
        <v>2016</v>
      </c>
      <c r="C512" s="87" t="s">
        <v>103</v>
      </c>
      <c r="D512" s="87" t="s">
        <v>188</v>
      </c>
      <c r="E512" s="87" t="s">
        <v>105</v>
      </c>
      <c r="F512" s="87" t="s">
        <v>25</v>
      </c>
      <c r="G512" s="88">
        <v>0.5</v>
      </c>
      <c r="H512" s="85">
        <v>15177</v>
      </c>
      <c r="I512" s="87" t="s">
        <v>111</v>
      </c>
      <c r="J512" s="85">
        <v>18</v>
      </c>
      <c r="K512" s="85">
        <v>18</v>
      </c>
      <c r="L512" s="85"/>
      <c r="M512" s="91"/>
      <c r="N512" s="91"/>
      <c r="O512" s="91"/>
      <c r="P512" s="91">
        <v>1</v>
      </c>
      <c r="Q512" s="91"/>
      <c r="R512" s="91"/>
      <c r="S512" s="59"/>
      <c r="T512" s="89"/>
      <c r="U512" s="85"/>
      <c r="V512" s="85"/>
      <c r="W512" s="83">
        <f t="shared" ca="1" si="21"/>
        <v>27</v>
      </c>
      <c r="X512" s="64" t="str">
        <f t="shared" ca="1" si="22"/>
        <v>1</v>
      </c>
      <c r="Y512" s="82" t="str">
        <f t="shared" ca="1" si="23"/>
        <v>2</v>
      </c>
      <c r="Z512" s="87"/>
      <c r="AA512" s="87" t="s">
        <v>22</v>
      </c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</row>
    <row r="513" spans="1:57" x14ac:dyDescent="0.35">
      <c r="A513" s="85">
        <v>4858</v>
      </c>
      <c r="B513" s="86">
        <v>2016</v>
      </c>
      <c r="C513" s="87" t="s">
        <v>48</v>
      </c>
      <c r="D513" s="87" t="s">
        <v>140</v>
      </c>
      <c r="E513" s="87" t="s">
        <v>55</v>
      </c>
      <c r="F513" s="87" t="s">
        <v>23</v>
      </c>
      <c r="G513" s="88">
        <v>1</v>
      </c>
      <c r="H513" s="85">
        <v>15177</v>
      </c>
      <c r="I513" s="87" t="s">
        <v>51</v>
      </c>
      <c r="J513" s="85">
        <v>36</v>
      </c>
      <c r="K513" s="85"/>
      <c r="L513" s="85">
        <v>144</v>
      </c>
      <c r="M513" s="91"/>
      <c r="N513" s="91"/>
      <c r="O513" s="91">
        <v>1</v>
      </c>
      <c r="P513" s="91">
        <v>1</v>
      </c>
      <c r="Q513" s="91"/>
      <c r="R513" s="91"/>
      <c r="S513" s="59"/>
      <c r="T513" s="89"/>
      <c r="U513" s="85"/>
      <c r="V513" s="85"/>
      <c r="W513" s="83">
        <f t="shared" ca="1" si="21"/>
        <v>27</v>
      </c>
      <c r="X513" s="64" t="str">
        <f t="shared" ca="1" si="22"/>
        <v>1</v>
      </c>
      <c r="Y513" s="82" t="str">
        <f t="shared" ca="1" si="23"/>
        <v>2</v>
      </c>
      <c r="Z513" s="87"/>
      <c r="AA513" s="87" t="s">
        <v>22</v>
      </c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</row>
    <row r="514" spans="1:57" ht="25" x14ac:dyDescent="0.35">
      <c r="A514" s="85">
        <v>4858</v>
      </c>
      <c r="B514" s="86">
        <v>2016</v>
      </c>
      <c r="C514" s="87" t="s">
        <v>1</v>
      </c>
      <c r="D514" s="87" t="s">
        <v>118</v>
      </c>
      <c r="E514" s="87" t="s">
        <v>91</v>
      </c>
      <c r="F514" s="87" t="s">
        <v>25</v>
      </c>
      <c r="G514" s="88">
        <v>0.5</v>
      </c>
      <c r="H514" s="85">
        <v>15177</v>
      </c>
      <c r="I514" s="87" t="s">
        <v>53</v>
      </c>
      <c r="J514" s="85">
        <v>18</v>
      </c>
      <c r="K514" s="85">
        <v>18</v>
      </c>
      <c r="L514" s="85"/>
      <c r="M514" s="91"/>
      <c r="N514" s="91"/>
      <c r="O514" s="91"/>
      <c r="P514" s="91">
        <v>1</v>
      </c>
      <c r="Q514" s="91"/>
      <c r="R514" s="91"/>
      <c r="S514" s="59"/>
      <c r="T514" s="89"/>
      <c r="U514" s="85"/>
      <c r="V514" s="85"/>
      <c r="W514" s="83">
        <f t="shared" ca="1" si="21"/>
        <v>27</v>
      </c>
      <c r="X514" s="64" t="str">
        <f t="shared" ca="1" si="22"/>
        <v>1</v>
      </c>
      <c r="Y514" s="82" t="str">
        <f t="shared" ca="1" si="23"/>
        <v>2</v>
      </c>
      <c r="Z514" s="87"/>
      <c r="AA514" s="87" t="s">
        <v>22</v>
      </c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</row>
    <row r="515" spans="1:57" ht="25" x14ac:dyDescent="0.35">
      <c r="A515" s="85">
        <v>4858</v>
      </c>
      <c r="B515" s="86">
        <v>2017</v>
      </c>
      <c r="C515" s="87" t="s">
        <v>119</v>
      </c>
      <c r="D515" s="87" t="s">
        <v>120</v>
      </c>
      <c r="E515" s="87" t="s">
        <v>24</v>
      </c>
      <c r="F515" s="87" t="s">
        <v>25</v>
      </c>
      <c r="G515" s="88">
        <v>1</v>
      </c>
      <c r="H515" s="85">
        <v>16002</v>
      </c>
      <c r="I515" s="87" t="s">
        <v>263</v>
      </c>
      <c r="J515" s="85">
        <v>17</v>
      </c>
      <c r="K515" s="85"/>
      <c r="L515" s="85"/>
      <c r="M515" s="91"/>
      <c r="N515" s="91"/>
      <c r="O515" s="91"/>
      <c r="P515" s="91">
        <v>1</v>
      </c>
      <c r="Q515" s="91"/>
      <c r="R515" s="91"/>
      <c r="S515" s="59"/>
      <c r="T515" s="89"/>
      <c r="U515" s="85"/>
      <c r="V515" s="85"/>
      <c r="W515" s="83">
        <f t="shared" ca="1" si="21"/>
        <v>27</v>
      </c>
      <c r="X515" s="64" t="str">
        <f t="shared" ca="1" si="22"/>
        <v>1</v>
      </c>
      <c r="Y515" s="82" t="str">
        <f t="shared" ca="1" si="23"/>
        <v>2</v>
      </c>
      <c r="Z515" s="87"/>
      <c r="AA515" s="87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</row>
    <row r="516" spans="1:57" ht="25" x14ac:dyDescent="0.35">
      <c r="A516" s="85">
        <v>4858</v>
      </c>
      <c r="B516" s="86">
        <v>2017</v>
      </c>
      <c r="C516" s="87" t="s">
        <v>119</v>
      </c>
      <c r="D516" s="87" t="s">
        <v>121</v>
      </c>
      <c r="E516" s="87" t="s">
        <v>24</v>
      </c>
      <c r="F516" s="87" t="s">
        <v>25</v>
      </c>
      <c r="G516" s="88">
        <v>1</v>
      </c>
      <c r="H516" s="85">
        <v>16002</v>
      </c>
      <c r="I516" s="87" t="s">
        <v>189</v>
      </c>
      <c r="J516" s="85">
        <v>17</v>
      </c>
      <c r="K516" s="85"/>
      <c r="L516" s="85"/>
      <c r="M516" s="91"/>
      <c r="N516" s="91"/>
      <c r="O516" s="91"/>
      <c r="P516" s="91">
        <v>1</v>
      </c>
      <c r="Q516" s="91"/>
      <c r="R516" s="91"/>
      <c r="S516" s="59"/>
      <c r="T516" s="89"/>
      <c r="U516" s="85"/>
      <c r="V516" s="85"/>
      <c r="W516" s="83">
        <f t="shared" ref="W516:W579" ca="1" si="24">IFERROR(OFFSET($AC$11,0,MATCH(H516,$AD$4:$BE$4,0)),IFERROR(OFFSET($AC$12,0,MATCH(H516,$AD$5:$BE$5,0)),MOD(H516,20)+7))</f>
        <v>27</v>
      </c>
      <c r="X516" s="64" t="str">
        <f t="shared" ref="X516:X579" ca="1" si="25">IF(W516&lt;=30, "1", "2")</f>
        <v>1</v>
      </c>
      <c r="Y516" s="82" t="str">
        <f t="shared" ref="Y516:Y579" ca="1" si="26" xml:space="preserve"> IF(W516&lt;=15, "1", IF(W516&lt;=30, "2", IF(W516&lt;=45, "3", IF(W516&lt;=60, "4"))))</f>
        <v>2</v>
      </c>
      <c r="Z516" s="87"/>
      <c r="AA516" s="87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</row>
    <row r="517" spans="1:57" ht="25" x14ac:dyDescent="0.35">
      <c r="A517" s="85">
        <v>4858</v>
      </c>
      <c r="B517" s="86">
        <v>2017</v>
      </c>
      <c r="C517" s="87"/>
      <c r="D517" s="87" t="s">
        <v>97</v>
      </c>
      <c r="E517" s="87" t="s">
        <v>81</v>
      </c>
      <c r="F517" s="87" t="s">
        <v>25</v>
      </c>
      <c r="G517" s="88"/>
      <c r="H517" s="85">
        <v>16002</v>
      </c>
      <c r="I517" s="87" t="s">
        <v>46</v>
      </c>
      <c r="J517" s="85"/>
      <c r="K517" s="85">
        <v>28</v>
      </c>
      <c r="L517" s="85"/>
      <c r="M517" s="91">
        <v>1</v>
      </c>
      <c r="N517" s="91"/>
      <c r="O517" s="91"/>
      <c r="P517" s="91">
        <v>1</v>
      </c>
      <c r="Q517" s="91"/>
      <c r="R517" s="91"/>
      <c r="S517" s="59"/>
      <c r="T517" s="89"/>
      <c r="U517" s="85"/>
      <c r="V517" s="85"/>
      <c r="W517" s="83">
        <f t="shared" ca="1" si="24"/>
        <v>27</v>
      </c>
      <c r="X517" s="64" t="str">
        <f t="shared" ca="1" si="25"/>
        <v>1</v>
      </c>
      <c r="Y517" s="82" t="str">
        <f t="shared" ca="1" si="26"/>
        <v>2</v>
      </c>
      <c r="Z517" s="87"/>
      <c r="AA517" s="87" t="s">
        <v>22</v>
      </c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</row>
    <row r="518" spans="1:57" ht="25" x14ac:dyDescent="0.35">
      <c r="A518" s="85">
        <v>4858</v>
      </c>
      <c r="B518" s="86">
        <v>2017</v>
      </c>
      <c r="C518" s="87" t="s">
        <v>38</v>
      </c>
      <c r="D518" s="87" t="s">
        <v>59</v>
      </c>
      <c r="E518" s="87" t="s">
        <v>20</v>
      </c>
      <c r="F518" s="87" t="s">
        <v>21</v>
      </c>
      <c r="G518" s="88">
        <v>1</v>
      </c>
      <c r="H518" s="85">
        <v>16002</v>
      </c>
      <c r="I518" s="87" t="s">
        <v>139</v>
      </c>
      <c r="J518" s="85"/>
      <c r="K518" s="85"/>
      <c r="L518" s="85">
        <v>36</v>
      </c>
      <c r="M518" s="91">
        <v>1</v>
      </c>
      <c r="N518" s="91"/>
      <c r="O518" s="91"/>
      <c r="P518" s="91">
        <v>1</v>
      </c>
      <c r="Q518" s="91"/>
      <c r="R518" s="91"/>
      <c r="S518" s="59"/>
      <c r="T518" s="89"/>
      <c r="U518" s="85"/>
      <c r="V518" s="85"/>
      <c r="W518" s="83">
        <f t="shared" ca="1" si="24"/>
        <v>27</v>
      </c>
      <c r="X518" s="64" t="str">
        <f t="shared" ca="1" si="25"/>
        <v>1</v>
      </c>
      <c r="Y518" s="82" t="str">
        <f t="shared" ca="1" si="26"/>
        <v>2</v>
      </c>
      <c r="Z518" s="87"/>
      <c r="AA518" s="87" t="s">
        <v>22</v>
      </c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</row>
    <row r="519" spans="1:57" ht="25" x14ac:dyDescent="0.35">
      <c r="A519" s="85">
        <v>4858</v>
      </c>
      <c r="B519" s="86">
        <v>2017</v>
      </c>
      <c r="C519" s="87" t="s">
        <v>38</v>
      </c>
      <c r="D519" s="87" t="s">
        <v>60</v>
      </c>
      <c r="E519" s="87" t="s">
        <v>20</v>
      </c>
      <c r="F519" s="87" t="s">
        <v>21</v>
      </c>
      <c r="G519" s="88">
        <v>0.75</v>
      </c>
      <c r="H519" s="85">
        <v>16002</v>
      </c>
      <c r="I519" s="87" t="s">
        <v>138</v>
      </c>
      <c r="J519" s="85"/>
      <c r="K519" s="85"/>
      <c r="L519" s="85">
        <v>108</v>
      </c>
      <c r="M519" s="91">
        <v>1</v>
      </c>
      <c r="N519" s="91"/>
      <c r="O519" s="91">
        <v>1</v>
      </c>
      <c r="P519" s="91"/>
      <c r="Q519" s="91"/>
      <c r="R519" s="91"/>
      <c r="S519" s="59"/>
      <c r="T519" s="89"/>
      <c r="U519" s="85"/>
      <c r="V519" s="85"/>
      <c r="W519" s="83">
        <f t="shared" ca="1" si="24"/>
        <v>27</v>
      </c>
      <c r="X519" s="64" t="str">
        <f t="shared" ca="1" si="25"/>
        <v>1</v>
      </c>
      <c r="Y519" s="82" t="str">
        <f t="shared" ca="1" si="26"/>
        <v>2</v>
      </c>
      <c r="Z519" s="87"/>
      <c r="AA519" s="87" t="s">
        <v>22</v>
      </c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</row>
    <row r="520" spans="1:57" ht="25" x14ac:dyDescent="0.35">
      <c r="A520" s="85">
        <v>4858</v>
      </c>
      <c r="B520" s="86">
        <v>2017</v>
      </c>
      <c r="C520" s="87" t="s">
        <v>38</v>
      </c>
      <c r="D520" s="87" t="s">
        <v>60</v>
      </c>
      <c r="E520" s="87" t="s">
        <v>20</v>
      </c>
      <c r="F520" s="87" t="s">
        <v>21</v>
      </c>
      <c r="G520" s="88">
        <v>0.75</v>
      </c>
      <c r="H520" s="85">
        <v>16002</v>
      </c>
      <c r="I520" s="87" t="s">
        <v>139</v>
      </c>
      <c r="J520" s="85"/>
      <c r="K520" s="85"/>
      <c r="L520" s="85">
        <v>36</v>
      </c>
      <c r="M520" s="91">
        <v>1</v>
      </c>
      <c r="N520" s="91"/>
      <c r="O520" s="91"/>
      <c r="P520" s="91">
        <v>1</v>
      </c>
      <c r="Q520" s="91"/>
      <c r="R520" s="91"/>
      <c r="S520" s="59"/>
      <c r="T520" s="89"/>
      <c r="U520" s="85"/>
      <c r="V520" s="85"/>
      <c r="W520" s="83">
        <f t="shared" ca="1" si="24"/>
        <v>27</v>
      </c>
      <c r="X520" s="64" t="str">
        <f t="shared" ca="1" si="25"/>
        <v>1</v>
      </c>
      <c r="Y520" s="82" t="str">
        <f t="shared" ca="1" si="26"/>
        <v>2</v>
      </c>
      <c r="Z520" s="87"/>
      <c r="AA520" s="87" t="s">
        <v>22</v>
      </c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</row>
    <row r="521" spans="1:57" x14ac:dyDescent="0.35">
      <c r="A521" s="85">
        <v>4858</v>
      </c>
      <c r="B521" s="86">
        <v>2017</v>
      </c>
      <c r="C521" s="87" t="s">
        <v>48</v>
      </c>
      <c r="D521" s="87" t="s">
        <v>140</v>
      </c>
      <c r="E521" s="87" t="s">
        <v>55</v>
      </c>
      <c r="F521" s="87" t="s">
        <v>23</v>
      </c>
      <c r="G521" s="88">
        <v>1</v>
      </c>
      <c r="H521" s="85">
        <v>16002</v>
      </c>
      <c r="I521" s="87" t="s">
        <v>51</v>
      </c>
      <c r="J521" s="85">
        <v>18</v>
      </c>
      <c r="K521" s="85"/>
      <c r="L521" s="85">
        <v>72</v>
      </c>
      <c r="M521" s="91">
        <v>1</v>
      </c>
      <c r="N521" s="91">
        <v>1</v>
      </c>
      <c r="O521" s="91"/>
      <c r="P521" s="91"/>
      <c r="Q521" s="91"/>
      <c r="R521" s="91"/>
      <c r="S521" s="59"/>
      <c r="T521" s="89"/>
      <c r="U521" s="85"/>
      <c r="V521" s="85"/>
      <c r="W521" s="83">
        <f t="shared" ca="1" si="24"/>
        <v>27</v>
      </c>
      <c r="X521" s="64" t="str">
        <f t="shared" ca="1" si="25"/>
        <v>1</v>
      </c>
      <c r="Y521" s="82" t="str">
        <f t="shared" ca="1" si="26"/>
        <v>2</v>
      </c>
      <c r="Z521" s="87"/>
      <c r="AA521" s="87" t="s">
        <v>22</v>
      </c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</row>
    <row r="522" spans="1:57" ht="25" x14ac:dyDescent="0.35">
      <c r="A522" s="85">
        <v>4858</v>
      </c>
      <c r="B522" s="86">
        <v>2018</v>
      </c>
      <c r="C522" s="87" t="s">
        <v>31</v>
      </c>
      <c r="D522" s="87" t="s">
        <v>32</v>
      </c>
      <c r="E522" s="87" t="s">
        <v>33</v>
      </c>
      <c r="F522" s="87" t="s">
        <v>25</v>
      </c>
      <c r="G522" s="88">
        <v>1</v>
      </c>
      <c r="H522" s="85">
        <v>17232</v>
      </c>
      <c r="I522" s="87" t="s">
        <v>141</v>
      </c>
      <c r="J522" s="85">
        <v>12</v>
      </c>
      <c r="K522" s="85"/>
      <c r="L522" s="85">
        <v>48</v>
      </c>
      <c r="M522" s="91">
        <v>1</v>
      </c>
      <c r="N522" s="91"/>
      <c r="O522" s="91"/>
      <c r="P522" s="91">
        <v>1</v>
      </c>
      <c r="Q522" s="91"/>
      <c r="R522" s="91"/>
      <c r="S522" s="59"/>
      <c r="T522" s="89"/>
      <c r="U522" s="85"/>
      <c r="V522" s="85"/>
      <c r="W522" s="83">
        <f t="shared" ca="1" si="24"/>
        <v>27</v>
      </c>
      <c r="X522" s="64" t="str">
        <f t="shared" ca="1" si="25"/>
        <v>1</v>
      </c>
      <c r="Y522" s="82" t="str">
        <f t="shared" ca="1" si="26"/>
        <v>2</v>
      </c>
      <c r="Z522" s="87"/>
      <c r="AA522" s="87" t="s">
        <v>22</v>
      </c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</row>
    <row r="523" spans="1:57" ht="25" x14ac:dyDescent="0.35">
      <c r="A523" s="85">
        <v>4858</v>
      </c>
      <c r="B523" s="86">
        <v>2018</v>
      </c>
      <c r="C523" s="87" t="s">
        <v>77</v>
      </c>
      <c r="D523" s="87" t="s">
        <v>100</v>
      </c>
      <c r="E523" s="87" t="s">
        <v>26</v>
      </c>
      <c r="F523" s="87" t="s">
        <v>25</v>
      </c>
      <c r="G523" s="88">
        <v>0.75</v>
      </c>
      <c r="H523" s="85">
        <v>17232</v>
      </c>
      <c r="I523" s="87" t="s">
        <v>192</v>
      </c>
      <c r="J523" s="85">
        <v>18</v>
      </c>
      <c r="K523" s="85">
        <v>18</v>
      </c>
      <c r="L523" s="85"/>
      <c r="M523" s="91"/>
      <c r="N523" s="91"/>
      <c r="O523" s="91"/>
      <c r="P523" s="91"/>
      <c r="Q523" s="91"/>
      <c r="R523" s="91"/>
      <c r="S523" s="59"/>
      <c r="T523" s="89"/>
      <c r="U523" s="85"/>
      <c r="V523" s="85"/>
      <c r="W523" s="83">
        <f t="shared" ca="1" si="24"/>
        <v>27</v>
      </c>
      <c r="X523" s="64" t="str">
        <f t="shared" ca="1" si="25"/>
        <v>1</v>
      </c>
      <c r="Y523" s="82" t="str">
        <f t="shared" ca="1" si="26"/>
        <v>2</v>
      </c>
      <c r="Z523" s="87"/>
      <c r="AA523" s="87" t="s">
        <v>22</v>
      </c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</row>
    <row r="524" spans="1:57" ht="25" x14ac:dyDescent="0.35">
      <c r="A524" s="85">
        <v>4858</v>
      </c>
      <c r="B524" s="86">
        <v>2018</v>
      </c>
      <c r="C524" s="87" t="s">
        <v>38</v>
      </c>
      <c r="D524" s="87" t="s">
        <v>152</v>
      </c>
      <c r="E524" s="87" t="s">
        <v>27</v>
      </c>
      <c r="F524" s="87" t="s">
        <v>25</v>
      </c>
      <c r="G524" s="88"/>
      <c r="H524" s="85">
        <v>17232</v>
      </c>
      <c r="I524" s="87" t="s">
        <v>153</v>
      </c>
      <c r="J524" s="85"/>
      <c r="K524" s="85"/>
      <c r="L524" s="85">
        <v>36</v>
      </c>
      <c r="M524" s="91">
        <v>1</v>
      </c>
      <c r="N524" s="91"/>
      <c r="O524" s="91"/>
      <c r="P524" s="91">
        <v>1</v>
      </c>
      <c r="Q524" s="91"/>
      <c r="R524" s="91"/>
      <c r="S524" s="59"/>
      <c r="T524" s="89"/>
      <c r="U524" s="85"/>
      <c r="V524" s="85"/>
      <c r="W524" s="83">
        <f t="shared" ca="1" si="24"/>
        <v>27</v>
      </c>
      <c r="X524" s="64" t="str">
        <f t="shared" ca="1" si="25"/>
        <v>1</v>
      </c>
      <c r="Y524" s="82" t="str">
        <f t="shared" ca="1" si="26"/>
        <v>2</v>
      </c>
      <c r="Z524" s="87"/>
      <c r="AA524" s="87" t="s">
        <v>22</v>
      </c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</row>
    <row r="525" spans="1:57" ht="25.5" customHeight="1" x14ac:dyDescent="0.35">
      <c r="A525" s="85">
        <v>4858</v>
      </c>
      <c r="B525" s="86">
        <v>2018</v>
      </c>
      <c r="C525" s="87" t="s">
        <v>38</v>
      </c>
      <c r="D525" s="87" t="s">
        <v>229</v>
      </c>
      <c r="E525" s="87" t="s">
        <v>95</v>
      </c>
      <c r="F525" s="87" t="s">
        <v>25</v>
      </c>
      <c r="G525" s="88">
        <v>1</v>
      </c>
      <c r="H525" s="85">
        <v>17232</v>
      </c>
      <c r="I525" s="87" t="s">
        <v>265</v>
      </c>
      <c r="J525" s="85"/>
      <c r="K525" s="85"/>
      <c r="L525" s="85">
        <v>54</v>
      </c>
      <c r="M525" s="91">
        <v>1</v>
      </c>
      <c r="N525" s="91"/>
      <c r="O525" s="91">
        <v>1</v>
      </c>
      <c r="P525" s="91"/>
      <c r="Q525" s="91"/>
      <c r="R525" s="91"/>
      <c r="S525" s="59"/>
      <c r="T525" s="89"/>
      <c r="U525" s="85"/>
      <c r="V525" s="85"/>
      <c r="W525" s="83">
        <f t="shared" ca="1" si="24"/>
        <v>27</v>
      </c>
      <c r="X525" s="64" t="str">
        <f t="shared" ca="1" si="25"/>
        <v>1</v>
      </c>
      <c r="Y525" s="82" t="str">
        <f t="shared" ca="1" si="26"/>
        <v>2</v>
      </c>
      <c r="Z525" s="87"/>
      <c r="AA525" s="87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</row>
    <row r="526" spans="1:57" ht="25" x14ac:dyDescent="0.35">
      <c r="A526" s="85">
        <v>4858</v>
      </c>
      <c r="B526" s="86">
        <v>2018</v>
      </c>
      <c r="C526" s="87" t="s">
        <v>38</v>
      </c>
      <c r="D526" s="87" t="s">
        <v>60</v>
      </c>
      <c r="E526" s="87" t="s">
        <v>20</v>
      </c>
      <c r="F526" s="87" t="s">
        <v>21</v>
      </c>
      <c r="G526" s="88">
        <v>0.5</v>
      </c>
      <c r="H526" s="85">
        <v>17232</v>
      </c>
      <c r="I526" s="87" t="s">
        <v>139</v>
      </c>
      <c r="J526" s="85"/>
      <c r="K526" s="85"/>
      <c r="L526" s="85">
        <v>36</v>
      </c>
      <c r="M526" s="91">
        <v>1</v>
      </c>
      <c r="N526" s="91"/>
      <c r="O526" s="91"/>
      <c r="P526" s="91">
        <v>1</v>
      </c>
      <c r="Q526" s="91"/>
      <c r="R526" s="91"/>
      <c r="S526" s="59"/>
      <c r="T526" s="89"/>
      <c r="U526" s="85"/>
      <c r="V526" s="85"/>
      <c r="W526" s="83">
        <f t="shared" ca="1" si="24"/>
        <v>27</v>
      </c>
      <c r="X526" s="64" t="str">
        <f t="shared" ca="1" si="25"/>
        <v>1</v>
      </c>
      <c r="Y526" s="82" t="str">
        <f t="shared" ca="1" si="26"/>
        <v>2</v>
      </c>
      <c r="Z526" s="87"/>
      <c r="AA526" s="87" t="s">
        <v>22</v>
      </c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</row>
    <row r="527" spans="1:57" ht="25" x14ac:dyDescent="0.35">
      <c r="A527" s="85">
        <v>4858</v>
      </c>
      <c r="B527" s="86">
        <v>2018</v>
      </c>
      <c r="C527" s="87" t="s">
        <v>38</v>
      </c>
      <c r="D527" s="87" t="s">
        <v>41</v>
      </c>
      <c r="E527" s="87" t="s">
        <v>27</v>
      </c>
      <c r="F527" s="87" t="s">
        <v>25</v>
      </c>
      <c r="G527" s="88">
        <v>1</v>
      </c>
      <c r="H527" s="85">
        <v>17232</v>
      </c>
      <c r="I527" s="87" t="s">
        <v>265</v>
      </c>
      <c r="J527" s="85"/>
      <c r="K527" s="85"/>
      <c r="L527" s="85">
        <v>54</v>
      </c>
      <c r="M527" s="91">
        <v>1</v>
      </c>
      <c r="N527" s="91"/>
      <c r="O527" s="91">
        <v>1</v>
      </c>
      <c r="P527" s="91"/>
      <c r="Q527" s="91"/>
      <c r="R527" s="91"/>
      <c r="S527" s="59"/>
      <c r="T527" s="89"/>
      <c r="U527" s="85"/>
      <c r="V527" s="85"/>
      <c r="W527" s="83">
        <f t="shared" ca="1" si="24"/>
        <v>27</v>
      </c>
      <c r="X527" s="64" t="str">
        <f t="shared" ca="1" si="25"/>
        <v>1</v>
      </c>
      <c r="Y527" s="82" t="str">
        <f t="shared" ca="1" si="26"/>
        <v>2</v>
      </c>
      <c r="Z527" s="87"/>
      <c r="AA527" s="87" t="s">
        <v>22</v>
      </c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</row>
    <row r="528" spans="1:57" ht="25" x14ac:dyDescent="0.35">
      <c r="A528" s="85">
        <v>4858</v>
      </c>
      <c r="B528" s="86">
        <v>2018</v>
      </c>
      <c r="C528" s="87" t="s">
        <v>38</v>
      </c>
      <c r="D528" s="87" t="s">
        <v>41</v>
      </c>
      <c r="E528" s="87" t="s">
        <v>27</v>
      </c>
      <c r="F528" s="87" t="s">
        <v>25</v>
      </c>
      <c r="G528" s="88">
        <v>1</v>
      </c>
      <c r="H528" s="85">
        <v>17232</v>
      </c>
      <c r="I528" s="87" t="s">
        <v>139</v>
      </c>
      <c r="J528" s="85"/>
      <c r="K528" s="85"/>
      <c r="L528" s="85">
        <v>36</v>
      </c>
      <c r="M528" s="91">
        <v>1</v>
      </c>
      <c r="N528" s="91"/>
      <c r="O528" s="91"/>
      <c r="P528" s="91">
        <v>1</v>
      </c>
      <c r="Q528" s="91"/>
      <c r="R528" s="91"/>
      <c r="S528" s="59"/>
      <c r="T528" s="89"/>
      <c r="U528" s="85"/>
      <c r="V528" s="85"/>
      <c r="W528" s="83">
        <f t="shared" ca="1" si="24"/>
        <v>27</v>
      </c>
      <c r="X528" s="64" t="str">
        <f t="shared" ca="1" si="25"/>
        <v>1</v>
      </c>
      <c r="Y528" s="82" t="str">
        <f t="shared" ca="1" si="26"/>
        <v>2</v>
      </c>
      <c r="Z528" s="87"/>
      <c r="AA528" s="87" t="s">
        <v>22</v>
      </c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</row>
    <row r="529" spans="1:57" ht="25" x14ac:dyDescent="0.35">
      <c r="A529" s="85">
        <v>4858</v>
      </c>
      <c r="B529" s="86">
        <v>2018</v>
      </c>
      <c r="C529" s="87" t="s">
        <v>38</v>
      </c>
      <c r="D529" s="87" t="s">
        <v>266</v>
      </c>
      <c r="E529" s="87" t="s">
        <v>20</v>
      </c>
      <c r="F529" s="87" t="s">
        <v>21</v>
      </c>
      <c r="G529" s="88">
        <v>0.37</v>
      </c>
      <c r="H529" s="85">
        <v>17232</v>
      </c>
      <c r="I529" s="87" t="s">
        <v>267</v>
      </c>
      <c r="J529" s="85"/>
      <c r="K529" s="85"/>
      <c r="L529" s="85">
        <v>140</v>
      </c>
      <c r="M529" s="91">
        <v>1</v>
      </c>
      <c r="N529" s="91">
        <v>1</v>
      </c>
      <c r="O529" s="91"/>
      <c r="P529" s="91"/>
      <c r="Q529" s="91"/>
      <c r="R529" s="91"/>
      <c r="S529" s="59"/>
      <c r="T529" s="89"/>
      <c r="U529" s="85"/>
      <c r="V529" s="85"/>
      <c r="W529" s="83">
        <f t="shared" ca="1" si="24"/>
        <v>27</v>
      </c>
      <c r="X529" s="64" t="str">
        <f t="shared" ca="1" si="25"/>
        <v>1</v>
      </c>
      <c r="Y529" s="82" t="str">
        <f t="shared" ca="1" si="26"/>
        <v>2</v>
      </c>
      <c r="Z529" s="87"/>
      <c r="AA529" s="87" t="s">
        <v>22</v>
      </c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</row>
    <row r="530" spans="1:57" ht="25" x14ac:dyDescent="0.35">
      <c r="A530" s="93">
        <v>4858</v>
      </c>
      <c r="B530" s="94">
        <v>2018</v>
      </c>
      <c r="C530" s="94" t="s">
        <v>48</v>
      </c>
      <c r="D530" s="94" t="s">
        <v>57</v>
      </c>
      <c r="E530" s="94" t="s">
        <v>30</v>
      </c>
      <c r="F530" s="94" t="s">
        <v>25</v>
      </c>
      <c r="G530" s="94">
        <v>0.75</v>
      </c>
      <c r="H530" s="93">
        <v>17232</v>
      </c>
      <c r="I530" s="94" t="s">
        <v>193</v>
      </c>
      <c r="J530" s="93">
        <v>18</v>
      </c>
      <c r="K530" s="93">
        <v>18</v>
      </c>
      <c r="L530" s="93">
        <v>36</v>
      </c>
      <c r="M530" s="91">
        <v>1</v>
      </c>
      <c r="N530" s="91"/>
      <c r="O530" s="91">
        <v>1</v>
      </c>
      <c r="P530" s="91"/>
      <c r="Q530" s="91"/>
      <c r="R530" s="91"/>
      <c r="S530" s="59"/>
      <c r="T530" s="95"/>
      <c r="U530" s="93"/>
      <c r="V530" s="93"/>
      <c r="W530" s="83">
        <f t="shared" ca="1" si="24"/>
        <v>27</v>
      </c>
      <c r="X530" s="64" t="str">
        <f t="shared" ca="1" si="25"/>
        <v>1</v>
      </c>
      <c r="Y530" s="82" t="str">
        <f t="shared" ca="1" si="26"/>
        <v>2</v>
      </c>
      <c r="Z530" s="94"/>
      <c r="AA530" s="94" t="s">
        <v>22</v>
      </c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</row>
    <row r="531" spans="1:57" ht="25" x14ac:dyDescent="0.35">
      <c r="A531" s="93">
        <v>5791</v>
      </c>
      <c r="B531" s="94">
        <v>2017</v>
      </c>
      <c r="C531" s="94" t="s">
        <v>64</v>
      </c>
      <c r="D531" s="94" t="s">
        <v>65</v>
      </c>
      <c r="E531" s="94" t="s">
        <v>30</v>
      </c>
      <c r="F531" s="94" t="s">
        <v>25</v>
      </c>
      <c r="G531" s="94">
        <v>1</v>
      </c>
      <c r="H531" s="93">
        <v>16591</v>
      </c>
      <c r="I531" s="94" t="s">
        <v>177</v>
      </c>
      <c r="J531" s="93">
        <v>18</v>
      </c>
      <c r="K531" s="93">
        <v>18</v>
      </c>
      <c r="L531" s="93"/>
      <c r="M531" s="91">
        <v>1</v>
      </c>
      <c r="N531" s="91"/>
      <c r="O531" s="91"/>
      <c r="P531" s="91">
        <v>1</v>
      </c>
      <c r="Q531" s="91"/>
      <c r="R531" s="91"/>
      <c r="S531" s="59"/>
      <c r="T531" s="95"/>
      <c r="U531" s="93"/>
      <c r="V531" s="93"/>
      <c r="W531" s="83">
        <f t="shared" ca="1" si="24"/>
        <v>29</v>
      </c>
      <c r="X531" s="64" t="str">
        <f t="shared" ca="1" si="25"/>
        <v>1</v>
      </c>
      <c r="Y531" s="82" t="str">
        <f t="shared" ca="1" si="26"/>
        <v>2</v>
      </c>
      <c r="Z531" s="94"/>
      <c r="AA531" s="94" t="s">
        <v>22</v>
      </c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</row>
    <row r="532" spans="1:57" ht="25" x14ac:dyDescent="0.35">
      <c r="A532" s="93">
        <v>5791</v>
      </c>
      <c r="B532" s="94">
        <v>2017</v>
      </c>
      <c r="C532" s="94" t="s">
        <v>107</v>
      </c>
      <c r="D532" s="94" t="s">
        <v>108</v>
      </c>
      <c r="E532" s="94" t="s">
        <v>26</v>
      </c>
      <c r="F532" s="94" t="s">
        <v>25</v>
      </c>
      <c r="G532" s="94">
        <v>1</v>
      </c>
      <c r="H532" s="93">
        <v>16591</v>
      </c>
      <c r="I532" s="94" t="s">
        <v>207</v>
      </c>
      <c r="J532" s="93">
        <v>18</v>
      </c>
      <c r="K532" s="93">
        <v>18</v>
      </c>
      <c r="L532" s="93"/>
      <c r="M532" s="91">
        <v>1</v>
      </c>
      <c r="N532" s="91">
        <v>1</v>
      </c>
      <c r="O532" s="91"/>
      <c r="P532" s="91"/>
      <c r="Q532" s="91"/>
      <c r="R532" s="91"/>
      <c r="S532" s="59"/>
      <c r="T532" s="95"/>
      <c r="U532" s="93"/>
      <c r="V532" s="93"/>
      <c r="W532" s="83">
        <f t="shared" ca="1" si="24"/>
        <v>29</v>
      </c>
      <c r="X532" s="64" t="str">
        <f t="shared" ca="1" si="25"/>
        <v>1</v>
      </c>
      <c r="Y532" s="82" t="str">
        <f t="shared" ca="1" si="26"/>
        <v>2</v>
      </c>
      <c r="Z532" s="94"/>
      <c r="AA532" s="94" t="s">
        <v>61</v>
      </c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</row>
    <row r="533" spans="1:57" ht="25" x14ac:dyDescent="0.35">
      <c r="A533" s="93">
        <v>5791</v>
      </c>
      <c r="B533" s="94">
        <v>2017</v>
      </c>
      <c r="C533" s="94" t="s">
        <v>67</v>
      </c>
      <c r="D533" s="94" t="s">
        <v>112</v>
      </c>
      <c r="E533" s="94" t="s">
        <v>24</v>
      </c>
      <c r="F533" s="94" t="s">
        <v>25</v>
      </c>
      <c r="G533" s="94"/>
      <c r="H533" s="93">
        <v>16591</v>
      </c>
      <c r="I533" s="94" t="s">
        <v>197</v>
      </c>
      <c r="J533" s="93">
        <v>34</v>
      </c>
      <c r="K533" s="93">
        <v>16</v>
      </c>
      <c r="L533" s="93"/>
      <c r="M533" s="91">
        <v>1</v>
      </c>
      <c r="N533" s="91"/>
      <c r="O533" s="91">
        <v>1</v>
      </c>
      <c r="P533" s="91"/>
      <c r="Q533" s="91"/>
      <c r="R533" s="91"/>
      <c r="S533" s="59"/>
      <c r="T533" s="95"/>
      <c r="U533" s="93"/>
      <c r="V533" s="93"/>
      <c r="W533" s="83">
        <f t="shared" ca="1" si="24"/>
        <v>29</v>
      </c>
      <c r="X533" s="64" t="str">
        <f t="shared" ca="1" si="25"/>
        <v>1</v>
      </c>
      <c r="Y533" s="82" t="str">
        <f t="shared" ca="1" si="26"/>
        <v>2</v>
      </c>
      <c r="Z533" s="94"/>
      <c r="AA533" s="94" t="s">
        <v>22</v>
      </c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</row>
    <row r="534" spans="1:57" ht="25" x14ac:dyDescent="0.35">
      <c r="A534" s="93">
        <v>5791</v>
      </c>
      <c r="B534" s="94">
        <v>2017</v>
      </c>
      <c r="C534" s="94"/>
      <c r="D534" s="94" t="s">
        <v>114</v>
      </c>
      <c r="E534" s="94" t="s">
        <v>87</v>
      </c>
      <c r="F534" s="94" t="s">
        <v>25</v>
      </c>
      <c r="G534" s="94"/>
      <c r="H534" s="93">
        <v>16591</v>
      </c>
      <c r="I534" s="94" t="s">
        <v>200</v>
      </c>
      <c r="J534" s="93">
        <v>16</v>
      </c>
      <c r="K534" s="93">
        <v>34</v>
      </c>
      <c r="L534" s="93"/>
      <c r="M534" s="91">
        <v>1</v>
      </c>
      <c r="N534" s="91"/>
      <c r="O534" s="91">
        <v>1</v>
      </c>
      <c r="P534" s="91"/>
      <c r="Q534" s="91"/>
      <c r="R534" s="91"/>
      <c r="S534" s="59"/>
      <c r="T534" s="95"/>
      <c r="U534" s="93"/>
      <c r="V534" s="93"/>
      <c r="W534" s="83">
        <f t="shared" ca="1" si="24"/>
        <v>29</v>
      </c>
      <c r="X534" s="64" t="str">
        <f t="shared" ca="1" si="25"/>
        <v>1</v>
      </c>
      <c r="Y534" s="82" t="str">
        <f t="shared" ca="1" si="26"/>
        <v>2</v>
      </c>
      <c r="Z534" s="94"/>
      <c r="AA534" s="94" t="s">
        <v>22</v>
      </c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</row>
    <row r="535" spans="1:57" ht="25" x14ac:dyDescent="0.35">
      <c r="A535" s="93">
        <v>5791</v>
      </c>
      <c r="B535" s="94">
        <v>2017</v>
      </c>
      <c r="C535" s="94" t="s">
        <v>38</v>
      </c>
      <c r="D535" s="94" t="s">
        <v>59</v>
      </c>
      <c r="E535" s="94" t="s">
        <v>20</v>
      </c>
      <c r="F535" s="94" t="s">
        <v>21</v>
      </c>
      <c r="G535" s="94">
        <v>1</v>
      </c>
      <c r="H535" s="93">
        <v>16591</v>
      </c>
      <c r="I535" s="94" t="s">
        <v>196</v>
      </c>
      <c r="J535" s="93"/>
      <c r="K535" s="93"/>
      <c r="L535" s="93">
        <v>68</v>
      </c>
      <c r="M535" s="91">
        <v>1</v>
      </c>
      <c r="N535" s="91">
        <v>1</v>
      </c>
      <c r="O535" s="91"/>
      <c r="P535" s="91"/>
      <c r="Q535" s="91"/>
      <c r="R535" s="91"/>
      <c r="S535" s="59"/>
      <c r="T535" s="95"/>
      <c r="U535" s="93"/>
      <c r="V535" s="93"/>
      <c r="W535" s="83">
        <f t="shared" ca="1" si="24"/>
        <v>29</v>
      </c>
      <c r="X535" s="64" t="str">
        <f t="shared" ca="1" si="25"/>
        <v>1</v>
      </c>
      <c r="Y535" s="82" t="str">
        <f t="shared" ca="1" si="26"/>
        <v>2</v>
      </c>
      <c r="Z535" s="94"/>
      <c r="AA535" s="94" t="s">
        <v>22</v>
      </c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</row>
    <row r="536" spans="1:57" ht="25" x14ac:dyDescent="0.35">
      <c r="A536" s="93">
        <v>5791</v>
      </c>
      <c r="B536" s="94">
        <v>2017</v>
      </c>
      <c r="C536" s="94" t="s">
        <v>38</v>
      </c>
      <c r="D536" s="94" t="s">
        <v>80</v>
      </c>
      <c r="E536" s="94" t="s">
        <v>81</v>
      </c>
      <c r="F536" s="94" t="s">
        <v>21</v>
      </c>
      <c r="G536" s="94">
        <v>1</v>
      </c>
      <c r="H536" s="93">
        <v>16591</v>
      </c>
      <c r="I536" s="94" t="s">
        <v>196</v>
      </c>
      <c r="J536" s="93"/>
      <c r="K536" s="93"/>
      <c r="L536" s="93">
        <v>68</v>
      </c>
      <c r="M536" s="91">
        <v>1</v>
      </c>
      <c r="N536" s="91">
        <v>1</v>
      </c>
      <c r="O536" s="91"/>
      <c r="P536" s="91"/>
      <c r="Q536" s="91"/>
      <c r="R536" s="91"/>
      <c r="S536" s="59"/>
      <c r="T536" s="95"/>
      <c r="U536" s="93"/>
      <c r="V536" s="93"/>
      <c r="W536" s="83">
        <f t="shared" ca="1" si="24"/>
        <v>29</v>
      </c>
      <c r="X536" s="64" t="str">
        <f t="shared" ca="1" si="25"/>
        <v>1</v>
      </c>
      <c r="Y536" s="82" t="str">
        <f t="shared" ca="1" si="26"/>
        <v>2</v>
      </c>
      <c r="Z536" s="94"/>
      <c r="AA536" s="94" t="s">
        <v>61</v>
      </c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</row>
    <row r="537" spans="1:57" ht="25" x14ac:dyDescent="0.35">
      <c r="A537" s="93">
        <v>5791</v>
      </c>
      <c r="B537" s="94">
        <v>2017</v>
      </c>
      <c r="C537" s="94" t="s">
        <v>48</v>
      </c>
      <c r="D537" s="94" t="s">
        <v>49</v>
      </c>
      <c r="E537" s="94" t="s">
        <v>30</v>
      </c>
      <c r="F537" s="94" t="s">
        <v>25</v>
      </c>
      <c r="G537" s="94">
        <v>1</v>
      </c>
      <c r="H537" s="93">
        <v>16591</v>
      </c>
      <c r="I537" s="94" t="s">
        <v>208</v>
      </c>
      <c r="J537" s="93"/>
      <c r="K537" s="93"/>
      <c r="L537" s="93">
        <v>72</v>
      </c>
      <c r="M537" s="91"/>
      <c r="N537" s="91"/>
      <c r="O537" s="91">
        <v>1</v>
      </c>
      <c r="P537" s="91"/>
      <c r="Q537" s="91"/>
      <c r="R537" s="91"/>
      <c r="S537" s="59"/>
      <c r="T537" s="95"/>
      <c r="U537" s="93"/>
      <c r="V537" s="93"/>
      <c r="W537" s="83">
        <f t="shared" ca="1" si="24"/>
        <v>29</v>
      </c>
      <c r="X537" s="64" t="str">
        <f t="shared" ca="1" si="25"/>
        <v>1</v>
      </c>
      <c r="Y537" s="82" t="str">
        <f t="shared" ca="1" si="26"/>
        <v>2</v>
      </c>
      <c r="Z537" s="94"/>
      <c r="AA537" s="94" t="s">
        <v>22</v>
      </c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</row>
    <row r="538" spans="1:57" x14ac:dyDescent="0.35">
      <c r="A538" s="93">
        <v>5791</v>
      </c>
      <c r="B538" s="94">
        <v>2017</v>
      </c>
      <c r="C538" s="94" t="s">
        <v>48</v>
      </c>
      <c r="D538" s="94" t="s">
        <v>140</v>
      </c>
      <c r="E538" s="94" t="s">
        <v>55</v>
      </c>
      <c r="F538" s="94" t="s">
        <v>23</v>
      </c>
      <c r="G538" s="94">
        <v>1</v>
      </c>
      <c r="H538" s="93">
        <v>16591</v>
      </c>
      <c r="I538" s="94" t="s">
        <v>208</v>
      </c>
      <c r="J538" s="93">
        <v>36</v>
      </c>
      <c r="K538" s="93"/>
      <c r="L538" s="93"/>
      <c r="M538" s="91">
        <v>1</v>
      </c>
      <c r="N538" s="91"/>
      <c r="O538" s="91"/>
      <c r="P538" s="91"/>
      <c r="Q538" s="91"/>
      <c r="R538" s="91"/>
      <c r="S538" s="59"/>
      <c r="T538" s="95"/>
      <c r="U538" s="93"/>
      <c r="V538" s="93"/>
      <c r="W538" s="83">
        <f t="shared" ca="1" si="24"/>
        <v>29</v>
      </c>
      <c r="X538" s="64" t="str">
        <f t="shared" ca="1" si="25"/>
        <v>1</v>
      </c>
      <c r="Y538" s="82" t="str">
        <f t="shared" ca="1" si="26"/>
        <v>2</v>
      </c>
      <c r="Z538" s="94"/>
      <c r="AA538" s="94" t="s">
        <v>22</v>
      </c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</row>
    <row r="539" spans="1:57" ht="25" x14ac:dyDescent="0.35">
      <c r="A539" s="93">
        <v>5791</v>
      </c>
      <c r="B539" s="94">
        <v>2017</v>
      </c>
      <c r="C539" s="94" t="s">
        <v>1</v>
      </c>
      <c r="D539" s="94" t="s">
        <v>92</v>
      </c>
      <c r="E539" s="94" t="s">
        <v>20</v>
      </c>
      <c r="F539" s="94" t="s">
        <v>21</v>
      </c>
      <c r="G539" s="94">
        <v>1</v>
      </c>
      <c r="H539" s="93">
        <v>16591</v>
      </c>
      <c r="I539" s="94" t="s">
        <v>209</v>
      </c>
      <c r="J539" s="93">
        <v>24</v>
      </c>
      <c r="K539" s="93">
        <v>30</v>
      </c>
      <c r="L539" s="93"/>
      <c r="M539" s="91">
        <v>1</v>
      </c>
      <c r="N539" s="91"/>
      <c r="O539" s="91"/>
      <c r="P539" s="91">
        <v>1</v>
      </c>
      <c r="Q539" s="91"/>
      <c r="R539" s="91"/>
      <c r="S539" s="59"/>
      <c r="T539" s="95"/>
      <c r="U539" s="93"/>
      <c r="V539" s="93"/>
      <c r="W539" s="83">
        <f t="shared" ca="1" si="24"/>
        <v>29</v>
      </c>
      <c r="X539" s="64" t="str">
        <f t="shared" ca="1" si="25"/>
        <v>1</v>
      </c>
      <c r="Y539" s="82" t="str">
        <f t="shared" ca="1" si="26"/>
        <v>2</v>
      </c>
      <c r="Z539" s="94"/>
      <c r="AA539" s="94" t="s">
        <v>22</v>
      </c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</row>
    <row r="540" spans="1:57" ht="50" x14ac:dyDescent="0.35">
      <c r="A540" s="93">
        <v>5791</v>
      </c>
      <c r="B540" s="94">
        <v>2018</v>
      </c>
      <c r="C540" s="94" t="s">
        <v>38</v>
      </c>
      <c r="D540" s="94" t="s">
        <v>59</v>
      </c>
      <c r="E540" s="94" t="s">
        <v>20</v>
      </c>
      <c r="F540" s="94" t="s">
        <v>21</v>
      </c>
      <c r="G540" s="94">
        <v>0.75</v>
      </c>
      <c r="H540" s="93">
        <v>17236</v>
      </c>
      <c r="I540" s="94" t="s">
        <v>282</v>
      </c>
      <c r="J540" s="93"/>
      <c r="K540" s="93"/>
      <c r="L540" s="93">
        <v>36</v>
      </c>
      <c r="M540" s="91">
        <v>1</v>
      </c>
      <c r="N540" s="91"/>
      <c r="O540" s="91"/>
      <c r="P540" s="91">
        <v>1</v>
      </c>
      <c r="Q540" s="91"/>
      <c r="R540" s="91"/>
      <c r="S540" s="59"/>
      <c r="T540" s="95"/>
      <c r="U540" s="93"/>
      <c r="V540" s="93"/>
      <c r="W540" s="83">
        <f t="shared" ca="1" si="24"/>
        <v>29</v>
      </c>
      <c r="X540" s="64" t="str">
        <f t="shared" ca="1" si="25"/>
        <v>1</v>
      </c>
      <c r="Y540" s="82" t="str">
        <f t="shared" ca="1" si="26"/>
        <v>2</v>
      </c>
      <c r="Z540" s="94"/>
      <c r="AA540" s="94" t="s">
        <v>22</v>
      </c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</row>
    <row r="541" spans="1:57" ht="37.5" x14ac:dyDescent="0.35">
      <c r="A541" s="93">
        <v>5791</v>
      </c>
      <c r="B541" s="94">
        <v>2018</v>
      </c>
      <c r="C541" s="94" t="s">
        <v>38</v>
      </c>
      <c r="D541" s="94" t="s">
        <v>59</v>
      </c>
      <c r="E541" s="94" t="s">
        <v>20</v>
      </c>
      <c r="F541" s="94" t="s">
        <v>21</v>
      </c>
      <c r="G541" s="94">
        <v>0.75</v>
      </c>
      <c r="H541" s="93">
        <v>17236</v>
      </c>
      <c r="I541" s="94" t="s">
        <v>283</v>
      </c>
      <c r="J541" s="93"/>
      <c r="K541" s="93"/>
      <c r="L541" s="93">
        <v>18</v>
      </c>
      <c r="M541" s="91">
        <v>1</v>
      </c>
      <c r="N541" s="91"/>
      <c r="O541" s="91"/>
      <c r="P541" s="91">
        <v>1</v>
      </c>
      <c r="Q541" s="91"/>
      <c r="R541" s="91"/>
      <c r="S541" s="59"/>
      <c r="T541" s="95"/>
      <c r="U541" s="93"/>
      <c r="V541" s="93"/>
      <c r="W541" s="83">
        <f t="shared" ca="1" si="24"/>
        <v>29</v>
      </c>
      <c r="X541" s="64" t="str">
        <f t="shared" ca="1" si="25"/>
        <v>1</v>
      </c>
      <c r="Y541" s="82" t="str">
        <f t="shared" ca="1" si="26"/>
        <v>2</v>
      </c>
      <c r="Z541" s="94"/>
      <c r="AA541" s="94" t="s">
        <v>22</v>
      </c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</row>
    <row r="542" spans="1:57" ht="25" x14ac:dyDescent="0.35">
      <c r="A542" s="93">
        <v>5791</v>
      </c>
      <c r="B542" s="94">
        <v>2018</v>
      </c>
      <c r="C542" s="94" t="s">
        <v>38</v>
      </c>
      <c r="D542" s="94" t="s">
        <v>60</v>
      </c>
      <c r="E542" s="94" t="s">
        <v>20</v>
      </c>
      <c r="F542" s="94" t="s">
        <v>21</v>
      </c>
      <c r="G542" s="94">
        <v>0.5</v>
      </c>
      <c r="H542" s="93">
        <v>17236</v>
      </c>
      <c r="I542" s="94" t="s">
        <v>217</v>
      </c>
      <c r="J542" s="93">
        <v>18</v>
      </c>
      <c r="K542" s="93">
        <v>18</v>
      </c>
      <c r="L542" s="93"/>
      <c r="M542" s="91">
        <v>1</v>
      </c>
      <c r="N542" s="91"/>
      <c r="O542" s="91"/>
      <c r="P542" s="91">
        <v>1</v>
      </c>
      <c r="Q542" s="91"/>
      <c r="R542" s="91"/>
      <c r="S542" s="59"/>
      <c r="T542" s="95"/>
      <c r="U542" s="93"/>
      <c r="V542" s="93"/>
      <c r="W542" s="83">
        <f t="shared" ca="1" si="24"/>
        <v>29</v>
      </c>
      <c r="X542" s="64" t="str">
        <f t="shared" ca="1" si="25"/>
        <v>1</v>
      </c>
      <c r="Y542" s="82" t="str">
        <f t="shared" ca="1" si="26"/>
        <v>2</v>
      </c>
      <c r="Z542" s="94"/>
      <c r="AA542" s="94" t="s">
        <v>61</v>
      </c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</row>
    <row r="543" spans="1:57" ht="25" x14ac:dyDescent="0.35">
      <c r="A543" s="93">
        <v>5791</v>
      </c>
      <c r="B543" s="94">
        <v>2017</v>
      </c>
      <c r="C543" s="94" t="s">
        <v>375</v>
      </c>
      <c r="D543" s="94" t="s">
        <v>220</v>
      </c>
      <c r="E543" s="94" t="s">
        <v>27</v>
      </c>
      <c r="F543" s="94" t="s">
        <v>25</v>
      </c>
      <c r="G543" s="94"/>
      <c r="H543" s="93">
        <v>16591</v>
      </c>
      <c r="I543" s="94" t="s">
        <v>195</v>
      </c>
      <c r="J543" s="93">
        <v>18</v>
      </c>
      <c r="K543" s="93">
        <v>16</v>
      </c>
      <c r="L543" s="93"/>
      <c r="M543" s="91">
        <v>1</v>
      </c>
      <c r="N543" s="91"/>
      <c r="O543" s="91"/>
      <c r="P543" s="91">
        <v>1</v>
      </c>
      <c r="Q543" s="91"/>
      <c r="R543" s="91"/>
      <c r="S543" s="59"/>
      <c r="T543" s="95"/>
      <c r="U543" s="93"/>
      <c r="V543" s="93"/>
      <c r="W543" s="83">
        <f t="shared" ca="1" si="24"/>
        <v>29</v>
      </c>
      <c r="X543" s="64" t="str">
        <f t="shared" ca="1" si="25"/>
        <v>1</v>
      </c>
      <c r="Y543" s="82" t="str">
        <f t="shared" ca="1" si="26"/>
        <v>2</v>
      </c>
      <c r="Z543" s="94"/>
      <c r="AA543" s="94" t="s">
        <v>22</v>
      </c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</row>
    <row r="544" spans="1:57" ht="50" x14ac:dyDescent="0.35">
      <c r="A544" s="93">
        <v>5791</v>
      </c>
      <c r="B544" s="94">
        <v>2018</v>
      </c>
      <c r="C544" s="94" t="s">
        <v>38</v>
      </c>
      <c r="D544" s="94" t="s">
        <v>80</v>
      </c>
      <c r="E544" s="94" t="s">
        <v>81</v>
      </c>
      <c r="F544" s="94" t="s">
        <v>21</v>
      </c>
      <c r="G544" s="94">
        <v>1</v>
      </c>
      <c r="H544" s="93">
        <v>17236</v>
      </c>
      <c r="I544" s="94" t="s">
        <v>282</v>
      </c>
      <c r="J544" s="93"/>
      <c r="K544" s="93"/>
      <c r="L544" s="93">
        <v>36</v>
      </c>
      <c r="M544" s="91">
        <v>1</v>
      </c>
      <c r="N544" s="91"/>
      <c r="O544" s="91"/>
      <c r="P544" s="91">
        <v>1</v>
      </c>
      <c r="Q544" s="91"/>
      <c r="R544" s="91"/>
      <c r="S544" s="59"/>
      <c r="T544" s="95"/>
      <c r="U544" s="93"/>
      <c r="V544" s="93"/>
      <c r="W544" s="83">
        <f t="shared" ca="1" si="24"/>
        <v>29</v>
      </c>
      <c r="X544" s="64" t="str">
        <f t="shared" ca="1" si="25"/>
        <v>1</v>
      </c>
      <c r="Y544" s="82" t="str">
        <f t="shared" ca="1" si="26"/>
        <v>2</v>
      </c>
      <c r="Z544" s="94"/>
      <c r="AA544" s="94" t="s">
        <v>22</v>
      </c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</row>
    <row r="545" spans="1:57" ht="37.5" x14ac:dyDescent="0.35">
      <c r="A545" s="93">
        <v>5791</v>
      </c>
      <c r="B545" s="94">
        <v>2018</v>
      </c>
      <c r="C545" s="94" t="s">
        <v>38</v>
      </c>
      <c r="D545" s="94" t="s">
        <v>80</v>
      </c>
      <c r="E545" s="94" t="s">
        <v>81</v>
      </c>
      <c r="F545" s="94" t="s">
        <v>21</v>
      </c>
      <c r="G545" s="94">
        <v>1</v>
      </c>
      <c r="H545" s="93">
        <v>17236</v>
      </c>
      <c r="I545" s="94" t="s">
        <v>283</v>
      </c>
      <c r="J545" s="93"/>
      <c r="K545" s="93"/>
      <c r="L545" s="93">
        <v>18</v>
      </c>
      <c r="M545" s="91">
        <v>1</v>
      </c>
      <c r="N545" s="91"/>
      <c r="O545" s="91"/>
      <c r="P545" s="91">
        <v>1</v>
      </c>
      <c r="Q545" s="91"/>
      <c r="R545" s="91"/>
      <c r="S545" s="59"/>
      <c r="T545" s="95"/>
      <c r="U545" s="93"/>
      <c r="V545" s="93"/>
      <c r="W545" s="83">
        <f t="shared" ca="1" si="24"/>
        <v>29</v>
      </c>
      <c r="X545" s="64" t="str">
        <f t="shared" ca="1" si="25"/>
        <v>1</v>
      </c>
      <c r="Y545" s="82" t="str">
        <f t="shared" ca="1" si="26"/>
        <v>2</v>
      </c>
      <c r="Z545" s="94"/>
      <c r="AA545" s="94" t="s">
        <v>61</v>
      </c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</row>
    <row r="546" spans="1:57" ht="25" x14ac:dyDescent="0.35">
      <c r="A546" s="93">
        <v>5791</v>
      </c>
      <c r="B546" s="94">
        <v>2018</v>
      </c>
      <c r="C546" s="94" t="s">
        <v>48</v>
      </c>
      <c r="D546" s="94" t="s">
        <v>49</v>
      </c>
      <c r="E546" s="94" t="s">
        <v>30</v>
      </c>
      <c r="F546" s="94" t="s">
        <v>25</v>
      </c>
      <c r="G546" s="94">
        <v>1</v>
      </c>
      <c r="H546" s="93">
        <v>17236</v>
      </c>
      <c r="I546" s="94" t="s">
        <v>208</v>
      </c>
      <c r="J546" s="93"/>
      <c r="K546" s="93"/>
      <c r="L546" s="93">
        <v>144</v>
      </c>
      <c r="M546" s="91"/>
      <c r="N546" s="91"/>
      <c r="O546" s="91"/>
      <c r="P546" s="91"/>
      <c r="Q546" s="91"/>
      <c r="R546" s="91"/>
      <c r="S546" s="59"/>
      <c r="T546" s="95"/>
      <c r="U546" s="93"/>
      <c r="V546" s="93"/>
      <c r="W546" s="83">
        <f t="shared" ca="1" si="24"/>
        <v>29</v>
      </c>
      <c r="X546" s="64" t="str">
        <f t="shared" ca="1" si="25"/>
        <v>1</v>
      </c>
      <c r="Y546" s="82" t="str">
        <f t="shared" ca="1" si="26"/>
        <v>2</v>
      </c>
      <c r="Z546" s="94"/>
      <c r="AA546" s="94" t="s">
        <v>61</v>
      </c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</row>
    <row r="547" spans="1:57" x14ac:dyDescent="0.35">
      <c r="A547" s="93">
        <v>5791</v>
      </c>
      <c r="B547" s="94">
        <v>2018</v>
      </c>
      <c r="C547" s="94" t="s">
        <v>48</v>
      </c>
      <c r="D547" s="94" t="s">
        <v>140</v>
      </c>
      <c r="E547" s="94" t="s">
        <v>55</v>
      </c>
      <c r="F547" s="94" t="s">
        <v>23</v>
      </c>
      <c r="G547" s="94">
        <v>1</v>
      </c>
      <c r="H547" s="93">
        <v>17236</v>
      </c>
      <c r="I547" s="94" t="s">
        <v>208</v>
      </c>
      <c r="J547" s="93">
        <v>18</v>
      </c>
      <c r="K547" s="93"/>
      <c r="L547" s="93">
        <v>72</v>
      </c>
      <c r="M547" s="91">
        <v>1</v>
      </c>
      <c r="N547" s="91">
        <v>1</v>
      </c>
      <c r="O547" s="91"/>
      <c r="P547" s="91"/>
      <c r="Q547" s="91"/>
      <c r="R547" s="91"/>
      <c r="S547" s="59"/>
      <c r="T547" s="95"/>
      <c r="U547" s="93"/>
      <c r="V547" s="93"/>
      <c r="W547" s="83">
        <f t="shared" ca="1" si="24"/>
        <v>29</v>
      </c>
      <c r="X547" s="64" t="str">
        <f t="shared" ca="1" si="25"/>
        <v>1</v>
      </c>
      <c r="Y547" s="82" t="str">
        <f t="shared" ca="1" si="26"/>
        <v>2</v>
      </c>
      <c r="Z547" s="94"/>
      <c r="AA547" s="94" t="s">
        <v>22</v>
      </c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</row>
    <row r="548" spans="1:57" ht="25" x14ac:dyDescent="0.35">
      <c r="A548" s="93">
        <v>6368</v>
      </c>
      <c r="B548" s="94">
        <v>2018</v>
      </c>
      <c r="C548" s="94" t="s">
        <v>64</v>
      </c>
      <c r="D548" s="94" t="s">
        <v>65</v>
      </c>
      <c r="E548" s="94" t="s">
        <v>30</v>
      </c>
      <c r="F548" s="94" t="s">
        <v>25</v>
      </c>
      <c r="G548" s="94">
        <v>1</v>
      </c>
      <c r="H548" s="93">
        <v>17043</v>
      </c>
      <c r="I548" s="94" t="s">
        <v>177</v>
      </c>
      <c r="J548" s="93">
        <v>18</v>
      </c>
      <c r="K548" s="93">
        <v>36</v>
      </c>
      <c r="L548" s="93"/>
      <c r="M548" s="91">
        <v>1</v>
      </c>
      <c r="N548" s="91"/>
      <c r="O548" s="91"/>
      <c r="P548" s="91">
        <v>1</v>
      </c>
      <c r="Q548" s="91"/>
      <c r="R548" s="91"/>
      <c r="S548" s="59"/>
      <c r="T548" s="95"/>
      <c r="U548" s="93"/>
      <c r="V548" s="93"/>
      <c r="W548" s="83">
        <f t="shared" ca="1" si="24"/>
        <v>39</v>
      </c>
      <c r="X548" s="64" t="str">
        <f t="shared" ca="1" si="25"/>
        <v>2</v>
      </c>
      <c r="Y548" s="82" t="str">
        <f t="shared" ca="1" si="26"/>
        <v>3</v>
      </c>
      <c r="Z548" s="94"/>
      <c r="AA548" s="94" t="s">
        <v>22</v>
      </c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</row>
    <row r="549" spans="1:57" ht="25" x14ac:dyDescent="0.35">
      <c r="A549" s="93">
        <v>6368</v>
      </c>
      <c r="B549" s="94">
        <v>2018</v>
      </c>
      <c r="C549" s="94" t="s">
        <v>67</v>
      </c>
      <c r="D549" s="94" t="s">
        <v>68</v>
      </c>
      <c r="E549" s="94" t="s">
        <v>69</v>
      </c>
      <c r="F549" s="94" t="s">
        <v>23</v>
      </c>
      <c r="G549" s="94">
        <v>1</v>
      </c>
      <c r="H549" s="93">
        <v>17043</v>
      </c>
      <c r="I549" s="94" t="s">
        <v>197</v>
      </c>
      <c r="J549" s="93"/>
      <c r="K549" s="93">
        <v>32</v>
      </c>
      <c r="L549" s="93"/>
      <c r="M549" s="91">
        <v>1</v>
      </c>
      <c r="N549" s="91"/>
      <c r="O549" s="91">
        <v>1</v>
      </c>
      <c r="P549" s="91"/>
      <c r="Q549" s="91"/>
      <c r="R549" s="91"/>
      <c r="S549" s="59"/>
      <c r="T549" s="95"/>
      <c r="U549" s="93"/>
      <c r="V549" s="93"/>
      <c r="W549" s="83">
        <f t="shared" ca="1" si="24"/>
        <v>39</v>
      </c>
      <c r="X549" s="64" t="str">
        <f t="shared" ca="1" si="25"/>
        <v>2</v>
      </c>
      <c r="Y549" s="82" t="str">
        <f t="shared" ca="1" si="26"/>
        <v>3</v>
      </c>
      <c r="Z549" s="94"/>
      <c r="AA549" s="94" t="s">
        <v>22</v>
      </c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</row>
    <row r="550" spans="1:57" ht="25" x14ac:dyDescent="0.35">
      <c r="A550" s="93">
        <v>6368</v>
      </c>
      <c r="B550" s="94">
        <v>2018</v>
      </c>
      <c r="C550" s="94" t="s">
        <v>67</v>
      </c>
      <c r="D550" s="94" t="s">
        <v>68</v>
      </c>
      <c r="E550" s="94" t="s">
        <v>69</v>
      </c>
      <c r="F550" s="94" t="s">
        <v>23</v>
      </c>
      <c r="G550" s="94">
        <v>1</v>
      </c>
      <c r="H550" s="93">
        <v>17043</v>
      </c>
      <c r="I550" s="94" t="s">
        <v>197</v>
      </c>
      <c r="J550" s="93">
        <v>34</v>
      </c>
      <c r="K550" s="93"/>
      <c r="L550" s="93"/>
      <c r="M550" s="91"/>
      <c r="N550" s="91"/>
      <c r="O550" s="91"/>
      <c r="P550" s="91"/>
      <c r="Q550" s="91"/>
      <c r="R550" s="91"/>
      <c r="S550" s="59"/>
      <c r="T550" s="95"/>
      <c r="U550" s="93"/>
      <c r="V550" s="93"/>
      <c r="W550" s="83">
        <f t="shared" ca="1" si="24"/>
        <v>39</v>
      </c>
      <c r="X550" s="64" t="str">
        <f t="shared" ca="1" si="25"/>
        <v>2</v>
      </c>
      <c r="Y550" s="82" t="str">
        <f t="shared" ca="1" si="26"/>
        <v>3</v>
      </c>
      <c r="Z550" s="94"/>
      <c r="AA550" s="94" t="s">
        <v>22</v>
      </c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</row>
    <row r="551" spans="1:57" ht="25" x14ac:dyDescent="0.35">
      <c r="A551" s="85">
        <v>6368</v>
      </c>
      <c r="B551" s="86">
        <v>2018</v>
      </c>
      <c r="C551" s="87" t="s">
        <v>31</v>
      </c>
      <c r="D551" s="87" t="s">
        <v>34</v>
      </c>
      <c r="E551" s="87" t="s">
        <v>28</v>
      </c>
      <c r="F551" s="87" t="s">
        <v>23</v>
      </c>
      <c r="G551" s="88">
        <v>0.5</v>
      </c>
      <c r="H551" s="85">
        <v>17043</v>
      </c>
      <c r="I551" s="87" t="s">
        <v>184</v>
      </c>
      <c r="J551" s="85">
        <v>9</v>
      </c>
      <c r="K551" s="85">
        <v>18</v>
      </c>
      <c r="L551" s="85"/>
      <c r="M551" s="91">
        <v>1</v>
      </c>
      <c r="N551" s="91"/>
      <c r="O551" s="91"/>
      <c r="P551" s="91">
        <v>1</v>
      </c>
      <c r="Q551" s="91"/>
      <c r="R551" s="91"/>
      <c r="S551" s="59"/>
      <c r="T551" s="89"/>
      <c r="U551" s="85"/>
      <c r="V551" s="85"/>
      <c r="W551" s="83">
        <f t="shared" ca="1" si="24"/>
        <v>39</v>
      </c>
      <c r="X551" s="64" t="str">
        <f t="shared" ca="1" si="25"/>
        <v>2</v>
      </c>
      <c r="Y551" s="82" t="str">
        <f t="shared" ca="1" si="26"/>
        <v>3</v>
      </c>
      <c r="Z551" s="87"/>
      <c r="AA551" s="87" t="s">
        <v>22</v>
      </c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</row>
    <row r="552" spans="1:57" ht="25" x14ac:dyDescent="0.35">
      <c r="A552" s="85">
        <v>6368</v>
      </c>
      <c r="B552" s="86">
        <v>2018</v>
      </c>
      <c r="C552" s="87" t="s">
        <v>107</v>
      </c>
      <c r="D552" s="87" t="s">
        <v>223</v>
      </c>
      <c r="E552" s="87" t="s">
        <v>26</v>
      </c>
      <c r="F552" s="87" t="s">
        <v>25</v>
      </c>
      <c r="G552" s="88">
        <v>0.5</v>
      </c>
      <c r="H552" s="85">
        <v>17043</v>
      </c>
      <c r="I552" s="87" t="s">
        <v>207</v>
      </c>
      <c r="J552" s="85">
        <v>18</v>
      </c>
      <c r="K552" s="85">
        <v>36</v>
      </c>
      <c r="L552" s="85"/>
      <c r="M552" s="91">
        <v>1</v>
      </c>
      <c r="N552" s="91">
        <v>1</v>
      </c>
      <c r="O552" s="91"/>
      <c r="P552" s="91"/>
      <c r="Q552" s="91"/>
      <c r="R552" s="91"/>
      <c r="S552" s="59"/>
      <c r="T552" s="89"/>
      <c r="U552" s="85"/>
      <c r="V552" s="85"/>
      <c r="W552" s="83">
        <f t="shared" ca="1" si="24"/>
        <v>39</v>
      </c>
      <c r="X552" s="64" t="str">
        <f t="shared" ca="1" si="25"/>
        <v>2</v>
      </c>
      <c r="Y552" s="82" t="str">
        <f t="shared" ca="1" si="26"/>
        <v>3</v>
      </c>
      <c r="Z552" s="87"/>
      <c r="AA552" s="87" t="s">
        <v>22</v>
      </c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</row>
    <row r="553" spans="1:57" ht="25" x14ac:dyDescent="0.35">
      <c r="A553" s="85">
        <v>6368</v>
      </c>
      <c r="B553" s="86">
        <v>2018</v>
      </c>
      <c r="C553" s="87" t="s">
        <v>74</v>
      </c>
      <c r="D553" s="87" t="s">
        <v>224</v>
      </c>
      <c r="E553" s="87" t="s">
        <v>76</v>
      </c>
      <c r="F553" s="87" t="s">
        <v>23</v>
      </c>
      <c r="G553" s="88">
        <v>1</v>
      </c>
      <c r="H553" s="85">
        <v>17043</v>
      </c>
      <c r="I553" s="87" t="s">
        <v>198</v>
      </c>
      <c r="J553" s="85"/>
      <c r="K553" s="85">
        <v>20</v>
      </c>
      <c r="L553" s="85"/>
      <c r="M553" s="91">
        <v>1</v>
      </c>
      <c r="N553" s="91"/>
      <c r="O553" s="91"/>
      <c r="P553" s="91">
        <v>1</v>
      </c>
      <c r="Q553" s="91"/>
      <c r="R553" s="91"/>
      <c r="S553" s="59"/>
      <c r="T553" s="89"/>
      <c r="U553" s="85"/>
      <c r="V553" s="85"/>
      <c r="W553" s="83">
        <f t="shared" ca="1" si="24"/>
        <v>39</v>
      </c>
      <c r="X553" s="64" t="str">
        <f t="shared" ca="1" si="25"/>
        <v>2</v>
      </c>
      <c r="Y553" s="82" t="str">
        <f t="shared" ca="1" si="26"/>
        <v>3</v>
      </c>
      <c r="Z553" s="87"/>
      <c r="AA553" s="87" t="s">
        <v>22</v>
      </c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</row>
    <row r="554" spans="1:57" ht="25" x14ac:dyDescent="0.35">
      <c r="A554" s="85">
        <v>6368</v>
      </c>
      <c r="B554" s="86">
        <v>2018</v>
      </c>
      <c r="C554" s="87" t="s">
        <v>0</v>
      </c>
      <c r="D554" s="87" t="s">
        <v>79</v>
      </c>
      <c r="E554" s="87" t="s">
        <v>27</v>
      </c>
      <c r="F554" s="87" t="s">
        <v>25</v>
      </c>
      <c r="G554" s="88">
        <v>0.85</v>
      </c>
      <c r="H554" s="85">
        <v>17043</v>
      </c>
      <c r="I554" s="87" t="s">
        <v>195</v>
      </c>
      <c r="J554" s="85">
        <v>18</v>
      </c>
      <c r="K554" s="85">
        <v>32</v>
      </c>
      <c r="L554" s="85"/>
      <c r="M554" s="91">
        <v>1</v>
      </c>
      <c r="N554" s="91"/>
      <c r="O554" s="91"/>
      <c r="P554" s="91">
        <v>1</v>
      </c>
      <c r="Q554" s="91"/>
      <c r="R554" s="91"/>
      <c r="S554" s="59"/>
      <c r="T554" s="89"/>
      <c r="U554" s="85"/>
      <c r="V554" s="85"/>
      <c r="W554" s="83">
        <f t="shared" ca="1" si="24"/>
        <v>39</v>
      </c>
      <c r="X554" s="64" t="str">
        <f t="shared" ca="1" si="25"/>
        <v>2</v>
      </c>
      <c r="Y554" s="82" t="str">
        <f t="shared" ca="1" si="26"/>
        <v>3</v>
      </c>
      <c r="Z554" s="87"/>
      <c r="AA554" s="87" t="s">
        <v>22</v>
      </c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</row>
    <row r="555" spans="1:57" ht="25" x14ac:dyDescent="0.35">
      <c r="A555" s="85">
        <v>6368</v>
      </c>
      <c r="B555" s="86">
        <v>2018</v>
      </c>
      <c r="C555" s="87" t="s">
        <v>38</v>
      </c>
      <c r="D555" s="87" t="s">
        <v>60</v>
      </c>
      <c r="E555" s="87" t="s">
        <v>20</v>
      </c>
      <c r="F555" s="87" t="s">
        <v>21</v>
      </c>
      <c r="G555" s="88">
        <v>0.5</v>
      </c>
      <c r="H555" s="85">
        <v>17043</v>
      </c>
      <c r="I555" s="87" t="s">
        <v>221</v>
      </c>
      <c r="J555" s="85"/>
      <c r="K555" s="85"/>
      <c r="L555" s="85">
        <v>68</v>
      </c>
      <c r="M555" s="91">
        <v>1</v>
      </c>
      <c r="N555" s="91">
        <v>1</v>
      </c>
      <c r="O555" s="91"/>
      <c r="P555" s="91"/>
      <c r="Q555" s="91"/>
      <c r="R555" s="91"/>
      <c r="S555" s="59"/>
      <c r="T555" s="89"/>
      <c r="U555" s="85"/>
      <c r="V555" s="85"/>
      <c r="W555" s="83">
        <f t="shared" ca="1" si="24"/>
        <v>39</v>
      </c>
      <c r="X555" s="64" t="str">
        <f t="shared" ca="1" si="25"/>
        <v>2</v>
      </c>
      <c r="Y555" s="82" t="str">
        <f t="shared" ca="1" si="26"/>
        <v>3</v>
      </c>
      <c r="Z555" s="87"/>
      <c r="AA555" s="87" t="s">
        <v>22</v>
      </c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</row>
    <row r="556" spans="1:57" ht="25" x14ac:dyDescent="0.35">
      <c r="A556" s="85">
        <v>6368</v>
      </c>
      <c r="B556" s="86">
        <v>2018</v>
      </c>
      <c r="C556" s="87" t="s">
        <v>38</v>
      </c>
      <c r="D556" s="87" t="s">
        <v>41</v>
      </c>
      <c r="E556" s="87" t="s">
        <v>27</v>
      </c>
      <c r="F556" s="87" t="s">
        <v>25</v>
      </c>
      <c r="G556" s="88">
        <v>1</v>
      </c>
      <c r="H556" s="85">
        <v>17043</v>
      </c>
      <c r="I556" s="87" t="s">
        <v>221</v>
      </c>
      <c r="J556" s="85"/>
      <c r="K556" s="85"/>
      <c r="L556" s="85">
        <v>68</v>
      </c>
      <c r="M556" s="91">
        <v>1</v>
      </c>
      <c r="N556" s="91">
        <v>1</v>
      </c>
      <c r="O556" s="91"/>
      <c r="P556" s="91"/>
      <c r="Q556" s="91"/>
      <c r="R556" s="91"/>
      <c r="S556" s="59"/>
      <c r="T556" s="89"/>
      <c r="U556" s="85"/>
      <c r="V556" s="85"/>
      <c r="W556" s="83">
        <f t="shared" ca="1" si="24"/>
        <v>39</v>
      </c>
      <c r="X556" s="64" t="str">
        <f t="shared" ca="1" si="25"/>
        <v>2</v>
      </c>
      <c r="Y556" s="82" t="str">
        <f t="shared" ca="1" si="26"/>
        <v>3</v>
      </c>
      <c r="Z556" s="87"/>
      <c r="AA556" s="87" t="s">
        <v>22</v>
      </c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</row>
    <row r="557" spans="1:57" ht="25" x14ac:dyDescent="0.35">
      <c r="A557" s="85">
        <v>6368</v>
      </c>
      <c r="B557" s="86">
        <v>2018</v>
      </c>
      <c r="C557" s="87" t="s">
        <v>38</v>
      </c>
      <c r="D557" s="87" t="s">
        <v>80</v>
      </c>
      <c r="E557" s="87" t="s">
        <v>81</v>
      </c>
      <c r="F557" s="87" t="s">
        <v>21</v>
      </c>
      <c r="G557" s="88">
        <v>1</v>
      </c>
      <c r="H557" s="85">
        <v>17043</v>
      </c>
      <c r="I557" s="87" t="s">
        <v>221</v>
      </c>
      <c r="J557" s="85"/>
      <c r="K557" s="85"/>
      <c r="L557" s="85">
        <v>68</v>
      </c>
      <c r="M557" s="91">
        <v>1</v>
      </c>
      <c r="N557" s="91">
        <v>1</v>
      </c>
      <c r="O557" s="91"/>
      <c r="P557" s="91"/>
      <c r="Q557" s="91"/>
      <c r="R557" s="91"/>
      <c r="S557" s="59"/>
      <c r="T557" s="89"/>
      <c r="U557" s="85"/>
      <c r="V557" s="85"/>
      <c r="W557" s="83">
        <f t="shared" ca="1" si="24"/>
        <v>39</v>
      </c>
      <c r="X557" s="64" t="str">
        <f t="shared" ca="1" si="25"/>
        <v>2</v>
      </c>
      <c r="Y557" s="82" t="str">
        <f t="shared" ca="1" si="26"/>
        <v>3</v>
      </c>
      <c r="Z557" s="87"/>
      <c r="AA557" s="87" t="s">
        <v>22</v>
      </c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</row>
    <row r="558" spans="1:57" ht="25" x14ac:dyDescent="0.35">
      <c r="A558" s="85">
        <v>6368</v>
      </c>
      <c r="B558" s="86">
        <v>2018</v>
      </c>
      <c r="C558" s="87" t="s">
        <v>42</v>
      </c>
      <c r="D558" s="87" t="s">
        <v>225</v>
      </c>
      <c r="E558" s="87" t="s">
        <v>20</v>
      </c>
      <c r="F558" s="87" t="s">
        <v>21</v>
      </c>
      <c r="G558" s="88">
        <v>1</v>
      </c>
      <c r="H558" s="85">
        <v>17043</v>
      </c>
      <c r="I558" s="87" t="s">
        <v>198</v>
      </c>
      <c r="J558" s="85">
        <v>16</v>
      </c>
      <c r="K558" s="85">
        <v>20</v>
      </c>
      <c r="L558" s="85"/>
      <c r="M558" s="91"/>
      <c r="N558" s="91"/>
      <c r="O558" s="91"/>
      <c r="P558" s="91"/>
      <c r="Q558" s="91"/>
      <c r="R558" s="91"/>
      <c r="S558" s="59"/>
      <c r="T558" s="89"/>
      <c r="U558" s="85"/>
      <c r="V558" s="85"/>
      <c r="W558" s="83">
        <f t="shared" ca="1" si="24"/>
        <v>39</v>
      </c>
      <c r="X558" s="64" t="str">
        <f t="shared" ca="1" si="25"/>
        <v>2</v>
      </c>
      <c r="Y558" s="82" t="str">
        <f t="shared" ca="1" si="26"/>
        <v>3</v>
      </c>
      <c r="Z558" s="87"/>
      <c r="AA558" s="87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</row>
    <row r="559" spans="1:57" ht="25" x14ac:dyDescent="0.35">
      <c r="A559" s="85">
        <v>6368</v>
      </c>
      <c r="B559" s="86">
        <v>2018</v>
      </c>
      <c r="C559" s="87" t="s">
        <v>45</v>
      </c>
      <c r="D559" s="87" t="s">
        <v>122</v>
      </c>
      <c r="E559" s="87" t="s">
        <v>20</v>
      </c>
      <c r="F559" s="87" t="s">
        <v>21</v>
      </c>
      <c r="G559" s="88">
        <v>0.5</v>
      </c>
      <c r="H559" s="85">
        <v>17043</v>
      </c>
      <c r="I559" s="87" t="s">
        <v>199</v>
      </c>
      <c r="J559" s="85"/>
      <c r="K559" s="85">
        <v>20</v>
      </c>
      <c r="L559" s="85"/>
      <c r="M559" s="91">
        <v>1</v>
      </c>
      <c r="N559" s="91"/>
      <c r="O559" s="91"/>
      <c r="P559" s="91">
        <v>1</v>
      </c>
      <c r="Q559" s="91"/>
      <c r="R559" s="91"/>
      <c r="S559" s="59"/>
      <c r="T559" s="89"/>
      <c r="U559" s="85"/>
      <c r="V559" s="85"/>
      <c r="W559" s="83">
        <f t="shared" ca="1" si="24"/>
        <v>39</v>
      </c>
      <c r="X559" s="64" t="str">
        <f t="shared" ca="1" si="25"/>
        <v>2</v>
      </c>
      <c r="Y559" s="82" t="str">
        <f t="shared" ca="1" si="26"/>
        <v>3</v>
      </c>
      <c r="Z559" s="87"/>
      <c r="AA559" s="87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</row>
    <row r="560" spans="1:57" ht="25" x14ac:dyDescent="0.35">
      <c r="A560" s="85">
        <v>6368</v>
      </c>
      <c r="B560" s="86">
        <v>2018</v>
      </c>
      <c r="C560" s="87" t="s">
        <v>45</v>
      </c>
      <c r="D560" s="87" t="s">
        <v>226</v>
      </c>
      <c r="E560" s="87" t="s">
        <v>26</v>
      </c>
      <c r="F560" s="87" t="s">
        <v>25</v>
      </c>
      <c r="G560" s="88">
        <v>0.5</v>
      </c>
      <c r="H560" s="85">
        <v>17043</v>
      </c>
      <c r="I560" s="87" t="s">
        <v>47</v>
      </c>
      <c r="J560" s="85"/>
      <c r="K560" s="85">
        <v>58</v>
      </c>
      <c r="L560" s="85"/>
      <c r="M560" s="91"/>
      <c r="N560" s="91"/>
      <c r="O560" s="91"/>
      <c r="P560" s="91"/>
      <c r="Q560" s="91"/>
      <c r="R560" s="91"/>
      <c r="S560" s="59"/>
      <c r="T560" s="89"/>
      <c r="U560" s="85"/>
      <c r="V560" s="85"/>
      <c r="W560" s="83">
        <f t="shared" ca="1" si="24"/>
        <v>39</v>
      </c>
      <c r="X560" s="64" t="str">
        <f t="shared" ca="1" si="25"/>
        <v>2</v>
      </c>
      <c r="Y560" s="82" t="str">
        <f t="shared" ca="1" si="26"/>
        <v>3</v>
      </c>
      <c r="Z560" s="87"/>
      <c r="AA560" s="87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</row>
    <row r="561" spans="1:57" ht="25" x14ac:dyDescent="0.35">
      <c r="A561" s="85">
        <v>6368</v>
      </c>
      <c r="B561" s="86">
        <v>2018</v>
      </c>
      <c r="C561" s="87" t="s">
        <v>45</v>
      </c>
      <c r="D561" s="87" t="s">
        <v>84</v>
      </c>
      <c r="E561" s="87" t="s">
        <v>20</v>
      </c>
      <c r="F561" s="87" t="s">
        <v>21</v>
      </c>
      <c r="G561" s="88">
        <v>1</v>
      </c>
      <c r="H561" s="85">
        <v>17043</v>
      </c>
      <c r="I561" s="87" t="s">
        <v>199</v>
      </c>
      <c r="J561" s="85">
        <v>16</v>
      </c>
      <c r="K561" s="85">
        <v>20</v>
      </c>
      <c r="L561" s="85"/>
      <c r="M561" s="91">
        <v>1</v>
      </c>
      <c r="N561" s="91"/>
      <c r="O561" s="91"/>
      <c r="P561" s="91">
        <v>1</v>
      </c>
      <c r="Q561" s="91"/>
      <c r="R561" s="91"/>
      <c r="S561" s="59"/>
      <c r="T561" s="89"/>
      <c r="U561" s="85"/>
      <c r="V561" s="85"/>
      <c r="W561" s="83">
        <f t="shared" ca="1" si="24"/>
        <v>39</v>
      </c>
      <c r="X561" s="64" t="str">
        <f t="shared" ca="1" si="25"/>
        <v>2</v>
      </c>
      <c r="Y561" s="82" t="str">
        <f t="shared" ca="1" si="26"/>
        <v>3</v>
      </c>
      <c r="Z561" s="87"/>
      <c r="AA561" s="87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</row>
    <row r="562" spans="1:57" ht="25" x14ac:dyDescent="0.35">
      <c r="A562" s="85">
        <v>6368</v>
      </c>
      <c r="B562" s="86">
        <v>2018</v>
      </c>
      <c r="C562" s="94" t="s">
        <v>45</v>
      </c>
      <c r="D562" s="94" t="s">
        <v>84</v>
      </c>
      <c r="E562" s="94" t="s">
        <v>20</v>
      </c>
      <c r="F562" s="94" t="s">
        <v>21</v>
      </c>
      <c r="G562" s="94">
        <v>1</v>
      </c>
      <c r="H562" s="85">
        <v>17043</v>
      </c>
      <c r="I562" s="87" t="s">
        <v>47</v>
      </c>
      <c r="J562" s="85"/>
      <c r="K562" s="85"/>
      <c r="L562" s="85"/>
      <c r="M562" s="91"/>
      <c r="N562" s="91"/>
      <c r="O562" s="91"/>
      <c r="P562" s="91"/>
      <c r="Q562" s="91"/>
      <c r="R562" s="91"/>
      <c r="S562" s="59"/>
      <c r="T562" s="89"/>
      <c r="U562" s="85"/>
      <c r="V562" s="85"/>
      <c r="W562" s="83">
        <f t="shared" ca="1" si="24"/>
        <v>39</v>
      </c>
      <c r="X562" s="64" t="str">
        <f t="shared" ca="1" si="25"/>
        <v>2</v>
      </c>
      <c r="Y562" s="82" t="str">
        <f t="shared" ca="1" si="26"/>
        <v>3</v>
      </c>
      <c r="Z562" s="87"/>
      <c r="AA562" s="87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</row>
    <row r="563" spans="1:57" ht="25" x14ac:dyDescent="0.35">
      <c r="A563" s="85">
        <v>6368</v>
      </c>
      <c r="B563" s="86">
        <v>2018</v>
      </c>
      <c r="C563" s="94" t="s">
        <v>45</v>
      </c>
      <c r="D563" s="87" t="s">
        <v>123</v>
      </c>
      <c r="E563" s="87" t="s">
        <v>28</v>
      </c>
      <c r="F563" s="87" t="s">
        <v>23</v>
      </c>
      <c r="G563" s="88">
        <v>1</v>
      </c>
      <c r="H563" s="85">
        <v>17043</v>
      </c>
      <c r="I563" s="87" t="s">
        <v>47</v>
      </c>
      <c r="J563" s="85"/>
      <c r="K563" s="85"/>
      <c r="L563" s="85"/>
      <c r="M563" s="91"/>
      <c r="N563" s="91"/>
      <c r="O563" s="91"/>
      <c r="P563" s="91"/>
      <c r="Q563" s="91"/>
      <c r="R563" s="91"/>
      <c r="S563" s="59"/>
      <c r="T563" s="89"/>
      <c r="U563" s="85"/>
      <c r="V563" s="85"/>
      <c r="W563" s="83">
        <f t="shared" ca="1" si="24"/>
        <v>39</v>
      </c>
      <c r="X563" s="64" t="str">
        <f t="shared" ca="1" si="25"/>
        <v>2</v>
      </c>
      <c r="Y563" s="82" t="str">
        <f t="shared" ca="1" si="26"/>
        <v>3</v>
      </c>
      <c r="Z563" s="87"/>
      <c r="AA563" s="87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</row>
    <row r="564" spans="1:57" ht="25" x14ac:dyDescent="0.35">
      <c r="A564" s="85">
        <v>6368</v>
      </c>
      <c r="B564" s="86">
        <v>2018</v>
      </c>
      <c r="C564" s="87" t="s">
        <v>45</v>
      </c>
      <c r="D564" s="87" t="s">
        <v>85</v>
      </c>
      <c r="E564" s="87" t="s">
        <v>20</v>
      </c>
      <c r="F564" s="87" t="s">
        <v>25</v>
      </c>
      <c r="G564" s="88">
        <v>0.5</v>
      </c>
      <c r="H564" s="85">
        <v>17043</v>
      </c>
      <c r="I564" s="87" t="s">
        <v>47</v>
      </c>
      <c r="J564" s="85"/>
      <c r="K564" s="85"/>
      <c r="L564" s="85"/>
      <c r="M564" s="91"/>
      <c r="N564" s="91"/>
      <c r="O564" s="91"/>
      <c r="P564" s="91"/>
      <c r="Q564" s="91"/>
      <c r="R564" s="91"/>
      <c r="S564" s="59"/>
      <c r="T564" s="89"/>
      <c r="U564" s="85"/>
      <c r="V564" s="85"/>
      <c r="W564" s="83">
        <f t="shared" ca="1" si="24"/>
        <v>39</v>
      </c>
      <c r="X564" s="64" t="str">
        <f t="shared" ca="1" si="25"/>
        <v>2</v>
      </c>
      <c r="Y564" s="82" t="str">
        <f t="shared" ca="1" si="26"/>
        <v>3</v>
      </c>
      <c r="Z564" s="87"/>
      <c r="AA564" s="87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</row>
    <row r="565" spans="1:57" ht="25" x14ac:dyDescent="0.35">
      <c r="A565" s="85">
        <v>6368</v>
      </c>
      <c r="B565" s="86">
        <v>2018</v>
      </c>
      <c r="C565" s="87" t="s">
        <v>48</v>
      </c>
      <c r="D565" s="87" t="s">
        <v>49</v>
      </c>
      <c r="E565" s="87" t="s">
        <v>30</v>
      </c>
      <c r="F565" s="87" t="s">
        <v>25</v>
      </c>
      <c r="G565" s="88">
        <v>1</v>
      </c>
      <c r="H565" s="85">
        <v>17043</v>
      </c>
      <c r="I565" s="87" t="s">
        <v>208</v>
      </c>
      <c r="J565" s="85"/>
      <c r="K565" s="85"/>
      <c r="L565" s="85">
        <v>72</v>
      </c>
      <c r="M565" s="91"/>
      <c r="N565" s="91"/>
      <c r="O565" s="91">
        <v>1</v>
      </c>
      <c r="P565" s="91"/>
      <c r="Q565" s="91"/>
      <c r="R565" s="91"/>
      <c r="S565" s="59"/>
      <c r="T565" s="89"/>
      <c r="U565" s="85"/>
      <c r="V565" s="85"/>
      <c r="W565" s="83">
        <f t="shared" ca="1" si="24"/>
        <v>39</v>
      </c>
      <c r="X565" s="64" t="str">
        <f t="shared" ca="1" si="25"/>
        <v>2</v>
      </c>
      <c r="Y565" s="82" t="str">
        <f t="shared" ca="1" si="26"/>
        <v>3</v>
      </c>
      <c r="Z565" s="87"/>
      <c r="AA565" s="87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</row>
    <row r="566" spans="1:57" x14ac:dyDescent="0.35">
      <c r="A566" s="85">
        <v>6368</v>
      </c>
      <c r="B566" s="86">
        <v>2018</v>
      </c>
      <c r="C566" s="87" t="s">
        <v>48</v>
      </c>
      <c r="D566" s="87" t="s">
        <v>140</v>
      </c>
      <c r="E566" s="87" t="s">
        <v>55</v>
      </c>
      <c r="F566" s="87" t="s">
        <v>23</v>
      </c>
      <c r="G566" s="88">
        <v>1</v>
      </c>
      <c r="H566" s="85">
        <v>17043</v>
      </c>
      <c r="I566" s="87" t="s">
        <v>208</v>
      </c>
      <c r="J566" s="85">
        <v>36</v>
      </c>
      <c r="K566" s="85"/>
      <c r="L566" s="85">
        <v>36</v>
      </c>
      <c r="M566" s="91">
        <v>1</v>
      </c>
      <c r="N566" s="91"/>
      <c r="O566" s="91"/>
      <c r="P566" s="91"/>
      <c r="Q566" s="91"/>
      <c r="R566" s="91"/>
      <c r="S566" s="59"/>
      <c r="T566" s="89"/>
      <c r="U566" s="85"/>
      <c r="V566" s="85"/>
      <c r="W566" s="83">
        <f t="shared" ca="1" si="24"/>
        <v>39</v>
      </c>
      <c r="X566" s="64" t="str">
        <f t="shared" ca="1" si="25"/>
        <v>2</v>
      </c>
      <c r="Y566" s="82" t="str">
        <f t="shared" ca="1" si="26"/>
        <v>3</v>
      </c>
      <c r="Z566" s="87"/>
      <c r="AA566" s="87" t="s">
        <v>22</v>
      </c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</row>
    <row r="567" spans="1:57" ht="25" x14ac:dyDescent="0.35">
      <c r="A567" s="85">
        <v>6368</v>
      </c>
      <c r="B567" s="86">
        <v>2018</v>
      </c>
      <c r="C567" s="87" t="s">
        <v>86</v>
      </c>
      <c r="D567" s="87" t="s">
        <v>227</v>
      </c>
      <c r="E567" s="87" t="s">
        <v>90</v>
      </c>
      <c r="F567" s="87" t="s">
        <v>23</v>
      </c>
      <c r="G567" s="88">
        <v>1</v>
      </c>
      <c r="H567" s="85">
        <v>17043</v>
      </c>
      <c r="I567" s="87" t="s">
        <v>200</v>
      </c>
      <c r="J567" s="85">
        <v>16</v>
      </c>
      <c r="K567" s="85">
        <v>68</v>
      </c>
      <c r="L567" s="85"/>
      <c r="M567" s="91">
        <v>1</v>
      </c>
      <c r="N567" s="91"/>
      <c r="O567" s="91">
        <v>1</v>
      </c>
      <c r="P567" s="91"/>
      <c r="Q567" s="91"/>
      <c r="R567" s="91"/>
      <c r="S567" s="59"/>
      <c r="T567" s="89"/>
      <c r="U567" s="85"/>
      <c r="V567" s="85"/>
      <c r="W567" s="83">
        <f t="shared" ca="1" si="24"/>
        <v>39</v>
      </c>
      <c r="X567" s="64" t="str">
        <f t="shared" ca="1" si="25"/>
        <v>2</v>
      </c>
      <c r="Y567" s="82" t="str">
        <f t="shared" ca="1" si="26"/>
        <v>3</v>
      </c>
      <c r="Z567" s="87"/>
      <c r="AA567" s="87" t="s">
        <v>22</v>
      </c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</row>
    <row r="568" spans="1:57" ht="25" x14ac:dyDescent="0.35">
      <c r="A568" s="85">
        <v>6368</v>
      </c>
      <c r="B568" s="86">
        <v>2018</v>
      </c>
      <c r="C568" s="87" t="s">
        <v>1</v>
      </c>
      <c r="D568" s="87" t="s">
        <v>92</v>
      </c>
      <c r="E568" s="87" t="s">
        <v>20</v>
      </c>
      <c r="F568" s="87" t="s">
        <v>21</v>
      </c>
      <c r="G568" s="88">
        <v>1</v>
      </c>
      <c r="H568" s="85">
        <v>17043</v>
      </c>
      <c r="I568" s="87" t="s">
        <v>209</v>
      </c>
      <c r="J568" s="85">
        <v>24</v>
      </c>
      <c r="K568" s="85">
        <v>60</v>
      </c>
      <c r="L568" s="85"/>
      <c r="M568" s="91">
        <v>1</v>
      </c>
      <c r="N568" s="91"/>
      <c r="O568" s="91"/>
      <c r="P568" s="91">
        <v>1</v>
      </c>
      <c r="Q568" s="91"/>
      <c r="R568" s="91"/>
      <c r="S568" s="59"/>
      <c r="T568" s="89"/>
      <c r="U568" s="85"/>
      <c r="V568" s="85"/>
      <c r="W568" s="83">
        <f t="shared" ca="1" si="24"/>
        <v>39</v>
      </c>
      <c r="X568" s="64" t="str">
        <f t="shared" ca="1" si="25"/>
        <v>2</v>
      </c>
      <c r="Y568" s="82" t="str">
        <f t="shared" ca="1" si="26"/>
        <v>3</v>
      </c>
      <c r="Z568" s="87"/>
      <c r="AA568" s="87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</row>
    <row r="569" spans="1:57" ht="37.5" x14ac:dyDescent="0.35">
      <c r="A569" s="85">
        <v>4848</v>
      </c>
      <c r="B569" s="86">
        <v>2019</v>
      </c>
      <c r="C569" s="87" t="s">
        <v>155</v>
      </c>
      <c r="D569" s="87" t="s">
        <v>156</v>
      </c>
      <c r="E569" s="87" t="s">
        <v>157</v>
      </c>
      <c r="F569" s="87" t="s">
        <v>23</v>
      </c>
      <c r="G569" s="88">
        <v>1</v>
      </c>
      <c r="H569" s="85" t="s">
        <v>323</v>
      </c>
      <c r="I569" s="87" t="s">
        <v>158</v>
      </c>
      <c r="J569" s="85"/>
      <c r="K569" s="85">
        <v>18</v>
      </c>
      <c r="L569" s="85"/>
      <c r="M569" s="91">
        <v>1</v>
      </c>
      <c r="N569" s="91"/>
      <c r="O569" s="91"/>
      <c r="P569" s="91"/>
      <c r="Q569" s="91"/>
      <c r="R569" s="91"/>
      <c r="S569" s="59"/>
      <c r="T569" s="89"/>
      <c r="U569" s="85"/>
      <c r="V569" s="85"/>
      <c r="W569" s="83">
        <f t="shared" ca="1" si="24"/>
        <v>27</v>
      </c>
      <c r="X569" s="64" t="str">
        <f t="shared" ca="1" si="25"/>
        <v>1</v>
      </c>
      <c r="Y569" s="82" t="str">
        <f t="shared" ca="1" si="26"/>
        <v>2</v>
      </c>
      <c r="Z569" s="87"/>
      <c r="AA569" s="87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</row>
    <row r="570" spans="1:57" ht="37.5" x14ac:dyDescent="0.35">
      <c r="A570" s="85">
        <v>4848</v>
      </c>
      <c r="B570" s="86">
        <v>2019</v>
      </c>
      <c r="C570" s="87" t="s">
        <v>38</v>
      </c>
      <c r="D570" s="87" t="s">
        <v>229</v>
      </c>
      <c r="E570" s="87" t="s">
        <v>95</v>
      </c>
      <c r="F570" s="87" t="s">
        <v>25</v>
      </c>
      <c r="G570" s="88">
        <v>1</v>
      </c>
      <c r="H570" s="85" t="s">
        <v>323</v>
      </c>
      <c r="I570" s="87" t="s">
        <v>275</v>
      </c>
      <c r="J570" s="85"/>
      <c r="K570" s="85"/>
      <c r="L570" s="85">
        <v>72</v>
      </c>
      <c r="M570" s="91">
        <v>1</v>
      </c>
      <c r="N570" s="91"/>
      <c r="O570" s="91">
        <v>1</v>
      </c>
      <c r="P570" s="91"/>
      <c r="Q570" s="91"/>
      <c r="R570" s="91"/>
      <c r="S570" s="59"/>
      <c r="T570" s="89"/>
      <c r="U570" s="85"/>
      <c r="V570" s="85"/>
      <c r="W570" s="83">
        <f t="shared" ca="1" si="24"/>
        <v>27</v>
      </c>
      <c r="X570" s="64" t="str">
        <f t="shared" ca="1" si="25"/>
        <v>1</v>
      </c>
      <c r="Y570" s="82" t="str">
        <f t="shared" ca="1" si="26"/>
        <v>2</v>
      </c>
      <c r="Z570" s="87"/>
      <c r="AA570" s="87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</row>
    <row r="571" spans="1:57" ht="37.5" x14ac:dyDescent="0.35">
      <c r="A571" s="85">
        <v>4848</v>
      </c>
      <c r="B571" s="86">
        <v>2019</v>
      </c>
      <c r="C571" s="87" t="s">
        <v>48</v>
      </c>
      <c r="D571" s="87" t="s">
        <v>173</v>
      </c>
      <c r="E571" s="87" t="s">
        <v>55</v>
      </c>
      <c r="F571" s="87" t="s">
        <v>23</v>
      </c>
      <c r="G571" s="88">
        <v>0.5</v>
      </c>
      <c r="H571" s="85" t="s">
        <v>323</v>
      </c>
      <c r="I571" s="87" t="s">
        <v>174</v>
      </c>
      <c r="J571" s="85"/>
      <c r="K571" s="85"/>
      <c r="L571" s="85"/>
      <c r="M571" s="91">
        <v>1</v>
      </c>
      <c r="N571" s="91">
        <v>1</v>
      </c>
      <c r="O571" s="91"/>
      <c r="P571" s="91"/>
      <c r="Q571" s="91"/>
      <c r="R571" s="91"/>
      <c r="S571" s="59"/>
      <c r="T571" s="89"/>
      <c r="U571" s="85"/>
      <c r="V571" s="85"/>
      <c r="W571" s="83">
        <f t="shared" ca="1" si="24"/>
        <v>27</v>
      </c>
      <c r="X571" s="64" t="str">
        <f t="shared" ca="1" si="25"/>
        <v>1</v>
      </c>
      <c r="Y571" s="82" t="str">
        <f t="shared" ca="1" si="26"/>
        <v>2</v>
      </c>
      <c r="Z571" s="87"/>
      <c r="AA571" s="87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</row>
    <row r="572" spans="1:57" ht="37.5" x14ac:dyDescent="0.35">
      <c r="A572" s="85">
        <v>4848</v>
      </c>
      <c r="B572" s="86">
        <v>2019</v>
      </c>
      <c r="C572" s="87" t="s">
        <v>48</v>
      </c>
      <c r="D572" s="87" t="s">
        <v>173</v>
      </c>
      <c r="E572" s="87" t="s">
        <v>55</v>
      </c>
      <c r="F572" s="87" t="s">
        <v>23</v>
      </c>
      <c r="G572" s="88">
        <v>0.5</v>
      </c>
      <c r="H572" s="85" t="s">
        <v>323</v>
      </c>
      <c r="I572" s="87" t="s">
        <v>175</v>
      </c>
      <c r="J572" s="85">
        <v>18</v>
      </c>
      <c r="K572" s="85">
        <v>18</v>
      </c>
      <c r="L572" s="85"/>
      <c r="M572" s="91">
        <v>1</v>
      </c>
      <c r="N572" s="91"/>
      <c r="O572" s="91"/>
      <c r="P572" s="91"/>
      <c r="Q572" s="91"/>
      <c r="R572" s="91"/>
      <c r="S572" s="59"/>
      <c r="T572" s="89"/>
      <c r="U572" s="85"/>
      <c r="V572" s="85"/>
      <c r="W572" s="83">
        <f t="shared" ca="1" si="24"/>
        <v>27</v>
      </c>
      <c r="X572" s="64" t="str">
        <f t="shared" ca="1" si="25"/>
        <v>1</v>
      </c>
      <c r="Y572" s="82" t="str">
        <f t="shared" ca="1" si="26"/>
        <v>2</v>
      </c>
      <c r="Z572" s="87"/>
      <c r="AA572" s="87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</row>
    <row r="573" spans="1:57" ht="37.5" x14ac:dyDescent="0.35">
      <c r="A573" s="85">
        <v>4848</v>
      </c>
      <c r="B573" s="86">
        <v>2019</v>
      </c>
      <c r="C573" s="87" t="s">
        <v>48</v>
      </c>
      <c r="D573" s="87" t="s">
        <v>62</v>
      </c>
      <c r="E573" s="87" t="s">
        <v>28</v>
      </c>
      <c r="F573" s="87" t="s">
        <v>23</v>
      </c>
      <c r="G573" s="88">
        <v>0.75</v>
      </c>
      <c r="H573" s="85" t="s">
        <v>323</v>
      </c>
      <c r="I573" s="87" t="s">
        <v>174</v>
      </c>
      <c r="J573" s="85"/>
      <c r="K573" s="85"/>
      <c r="L573" s="85"/>
      <c r="M573" s="91">
        <v>1</v>
      </c>
      <c r="N573" s="91">
        <v>1</v>
      </c>
      <c r="O573" s="91"/>
      <c r="P573" s="91"/>
      <c r="Q573" s="91"/>
      <c r="R573" s="91"/>
      <c r="S573" s="59"/>
      <c r="T573" s="89"/>
      <c r="U573" s="85"/>
      <c r="V573" s="85"/>
      <c r="W573" s="83">
        <f t="shared" ca="1" si="24"/>
        <v>27</v>
      </c>
      <c r="X573" s="64" t="str">
        <f t="shared" ca="1" si="25"/>
        <v>1</v>
      </c>
      <c r="Y573" s="82" t="str">
        <f t="shared" ca="1" si="26"/>
        <v>2</v>
      </c>
      <c r="Z573" s="87"/>
      <c r="AA573" s="87" t="s">
        <v>22</v>
      </c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</row>
    <row r="574" spans="1:57" ht="37.5" x14ac:dyDescent="0.35">
      <c r="A574" s="85">
        <v>4848</v>
      </c>
      <c r="B574" s="86">
        <v>2019</v>
      </c>
      <c r="C574" s="87" t="s">
        <v>48</v>
      </c>
      <c r="D574" s="87" t="s">
        <v>62</v>
      </c>
      <c r="E574" s="87" t="s">
        <v>28</v>
      </c>
      <c r="F574" s="87" t="s">
        <v>23</v>
      </c>
      <c r="G574" s="88">
        <v>0.75</v>
      </c>
      <c r="H574" s="93" t="s">
        <v>323</v>
      </c>
      <c r="I574" s="87" t="s">
        <v>176</v>
      </c>
      <c r="J574" s="85">
        <v>9</v>
      </c>
      <c r="K574" s="85"/>
      <c r="L574" s="85">
        <v>54</v>
      </c>
      <c r="M574" s="91">
        <v>1</v>
      </c>
      <c r="N574" s="91"/>
      <c r="O574" s="91"/>
      <c r="P574" s="91"/>
      <c r="Q574" s="91"/>
      <c r="R574" s="91"/>
      <c r="S574" s="59"/>
      <c r="T574" s="89"/>
      <c r="U574" s="85"/>
      <c r="V574" s="85"/>
      <c r="W574" s="83">
        <f t="shared" ca="1" si="24"/>
        <v>27</v>
      </c>
      <c r="X574" s="64" t="str">
        <f t="shared" ca="1" si="25"/>
        <v>1</v>
      </c>
      <c r="Y574" s="82" t="str">
        <f t="shared" ca="1" si="26"/>
        <v>2</v>
      </c>
      <c r="Z574" s="87"/>
      <c r="AA574" s="87" t="s">
        <v>22</v>
      </c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</row>
    <row r="575" spans="1:57" ht="37.5" x14ac:dyDescent="0.35">
      <c r="A575" s="85">
        <v>5791</v>
      </c>
      <c r="B575" s="86">
        <v>2019</v>
      </c>
      <c r="C575" s="87" t="s">
        <v>31</v>
      </c>
      <c r="D575" s="87" t="s">
        <v>32</v>
      </c>
      <c r="E575" s="87" t="s">
        <v>33</v>
      </c>
      <c r="F575" s="87" t="s">
        <v>25</v>
      </c>
      <c r="G575" s="88">
        <v>1</v>
      </c>
      <c r="H575" s="93" t="s">
        <v>324</v>
      </c>
      <c r="I575" s="87" t="s">
        <v>350</v>
      </c>
      <c r="J575" s="85">
        <v>18</v>
      </c>
      <c r="K575" s="85"/>
      <c r="L575" s="85">
        <v>36</v>
      </c>
      <c r="M575" s="91">
        <v>1</v>
      </c>
      <c r="N575" s="91"/>
      <c r="O575" s="91"/>
      <c r="P575" s="91">
        <v>1</v>
      </c>
      <c r="Q575" s="91"/>
      <c r="R575" s="91"/>
      <c r="S575" s="59"/>
      <c r="T575" s="89"/>
      <c r="U575" s="85"/>
      <c r="V575" s="85"/>
      <c r="W575" s="83">
        <f t="shared" ca="1" si="24"/>
        <v>29</v>
      </c>
      <c r="X575" s="64" t="str">
        <f t="shared" ca="1" si="25"/>
        <v>1</v>
      </c>
      <c r="Y575" s="82" t="str">
        <f t="shared" ca="1" si="26"/>
        <v>2</v>
      </c>
      <c r="Z575" s="87"/>
      <c r="AA575" s="87" t="s">
        <v>22</v>
      </c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</row>
    <row r="576" spans="1:57" ht="37.5" x14ac:dyDescent="0.35">
      <c r="A576" s="85">
        <v>5791</v>
      </c>
      <c r="B576" s="86">
        <v>2019</v>
      </c>
      <c r="C576" s="87" t="s">
        <v>38</v>
      </c>
      <c r="D576" s="87" t="s">
        <v>229</v>
      </c>
      <c r="E576" s="87" t="s">
        <v>95</v>
      </c>
      <c r="F576" s="87" t="s">
        <v>25</v>
      </c>
      <c r="G576" s="88">
        <v>1</v>
      </c>
      <c r="H576" s="93" t="s">
        <v>324</v>
      </c>
      <c r="I576" s="87" t="s">
        <v>334</v>
      </c>
      <c r="J576" s="85"/>
      <c r="K576" s="85"/>
      <c r="L576" s="85">
        <v>36</v>
      </c>
      <c r="M576" s="91"/>
      <c r="N576" s="91"/>
      <c r="O576" s="91"/>
      <c r="P576" s="91"/>
      <c r="Q576" s="91"/>
      <c r="R576" s="91"/>
      <c r="S576" s="59"/>
      <c r="T576" s="89"/>
      <c r="U576" s="85"/>
      <c r="V576" s="85"/>
      <c r="W576" s="83">
        <f t="shared" ca="1" si="24"/>
        <v>29</v>
      </c>
      <c r="X576" s="64" t="str">
        <f t="shared" ca="1" si="25"/>
        <v>1</v>
      </c>
      <c r="Y576" s="82" t="str">
        <f t="shared" ca="1" si="26"/>
        <v>2</v>
      </c>
      <c r="Z576" s="87"/>
      <c r="AA576" s="87" t="s">
        <v>22</v>
      </c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</row>
    <row r="577" spans="1:57" ht="37.5" x14ac:dyDescent="0.35">
      <c r="A577" s="85">
        <v>5791</v>
      </c>
      <c r="B577" s="86">
        <v>2019</v>
      </c>
      <c r="C577" s="87" t="s">
        <v>38</v>
      </c>
      <c r="D577" s="87" t="s">
        <v>229</v>
      </c>
      <c r="E577" s="87" t="s">
        <v>95</v>
      </c>
      <c r="F577" s="87" t="s">
        <v>25</v>
      </c>
      <c r="G577" s="88">
        <v>1</v>
      </c>
      <c r="H577" s="93" t="s">
        <v>324</v>
      </c>
      <c r="I577" s="87" t="s">
        <v>335</v>
      </c>
      <c r="J577" s="85"/>
      <c r="K577" s="85"/>
      <c r="L577" s="85">
        <v>72</v>
      </c>
      <c r="M577" s="91"/>
      <c r="N577" s="91"/>
      <c r="O577" s="91"/>
      <c r="P577" s="91"/>
      <c r="Q577" s="91"/>
      <c r="R577" s="91"/>
      <c r="S577" s="59"/>
      <c r="T577" s="89"/>
      <c r="U577" s="85"/>
      <c r="V577" s="85"/>
      <c r="W577" s="83">
        <f t="shared" ca="1" si="24"/>
        <v>29</v>
      </c>
      <c r="X577" s="64" t="str">
        <f t="shared" ca="1" si="25"/>
        <v>1</v>
      </c>
      <c r="Y577" s="82" t="str">
        <f t="shared" ca="1" si="26"/>
        <v>2</v>
      </c>
      <c r="Z577" s="87"/>
      <c r="AA577" s="87" t="s">
        <v>22</v>
      </c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</row>
    <row r="578" spans="1:57" ht="37.5" x14ac:dyDescent="0.35">
      <c r="A578" s="85">
        <v>5791</v>
      </c>
      <c r="B578" s="86">
        <v>2019</v>
      </c>
      <c r="C578" s="87" t="s">
        <v>103</v>
      </c>
      <c r="D578" s="87" t="s">
        <v>188</v>
      </c>
      <c r="E578" s="87" t="s">
        <v>105</v>
      </c>
      <c r="F578" s="87" t="s">
        <v>25</v>
      </c>
      <c r="G578" s="88"/>
      <c r="H578" s="93" t="s">
        <v>324</v>
      </c>
      <c r="I578" s="87" t="s">
        <v>332</v>
      </c>
      <c r="J578" s="85">
        <v>18</v>
      </c>
      <c r="K578" s="85">
        <v>18</v>
      </c>
      <c r="L578" s="85"/>
      <c r="M578" s="91">
        <v>1</v>
      </c>
      <c r="N578" s="91"/>
      <c r="O578" s="91"/>
      <c r="P578" s="91">
        <v>1</v>
      </c>
      <c r="Q578" s="91"/>
      <c r="R578" s="91"/>
      <c r="S578" s="59"/>
      <c r="T578" s="89"/>
      <c r="U578" s="85"/>
      <c r="V578" s="85"/>
      <c r="W578" s="83">
        <f t="shared" ca="1" si="24"/>
        <v>29</v>
      </c>
      <c r="X578" s="64" t="str">
        <f t="shared" ca="1" si="25"/>
        <v>1</v>
      </c>
      <c r="Y578" s="82" t="str">
        <f t="shared" ca="1" si="26"/>
        <v>2</v>
      </c>
      <c r="Z578" s="87"/>
      <c r="AA578" s="87" t="s">
        <v>22</v>
      </c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</row>
    <row r="579" spans="1:57" ht="25" x14ac:dyDescent="0.35">
      <c r="A579" s="85">
        <v>5791</v>
      </c>
      <c r="B579" s="86">
        <v>2017</v>
      </c>
      <c r="C579" s="87" t="s">
        <v>42</v>
      </c>
      <c r="D579" s="87" t="s">
        <v>83</v>
      </c>
      <c r="E579" s="87" t="s">
        <v>26</v>
      </c>
      <c r="F579" s="87" t="s">
        <v>25</v>
      </c>
      <c r="G579" s="88"/>
      <c r="H579" s="93">
        <v>16591</v>
      </c>
      <c r="I579" s="87" t="s">
        <v>198</v>
      </c>
      <c r="J579" s="85">
        <v>16</v>
      </c>
      <c r="K579" s="85">
        <v>20</v>
      </c>
      <c r="L579" s="85"/>
      <c r="M579" s="91">
        <v>1</v>
      </c>
      <c r="N579" s="91"/>
      <c r="O579" s="91"/>
      <c r="P579" s="91">
        <v>1</v>
      </c>
      <c r="Q579" s="91"/>
      <c r="R579" s="91"/>
      <c r="S579" s="59"/>
      <c r="T579" s="89"/>
      <c r="U579" s="85"/>
      <c r="V579" s="85"/>
      <c r="W579" s="83">
        <f t="shared" ca="1" si="24"/>
        <v>29</v>
      </c>
      <c r="X579" s="64" t="str">
        <f t="shared" ca="1" si="25"/>
        <v>1</v>
      </c>
      <c r="Y579" s="82" t="str">
        <f t="shared" ca="1" si="26"/>
        <v>2</v>
      </c>
      <c r="Z579" s="87"/>
      <c r="AA579" s="87" t="s">
        <v>22</v>
      </c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</row>
    <row r="580" spans="1:57" ht="25" x14ac:dyDescent="0.35">
      <c r="A580" s="85">
        <v>5791</v>
      </c>
      <c r="B580" s="86">
        <v>2017</v>
      </c>
      <c r="C580" s="87" t="s">
        <v>45</v>
      </c>
      <c r="D580" s="87" t="s">
        <v>122</v>
      </c>
      <c r="E580" s="87" t="s">
        <v>20</v>
      </c>
      <c r="F580" s="87" t="s">
        <v>21</v>
      </c>
      <c r="G580" s="88">
        <v>0.5</v>
      </c>
      <c r="H580" s="93">
        <v>16591</v>
      </c>
      <c r="I580" s="94" t="s">
        <v>199</v>
      </c>
      <c r="J580" s="93"/>
      <c r="K580" s="93">
        <v>10</v>
      </c>
      <c r="L580" s="93"/>
      <c r="M580" s="91"/>
      <c r="N580" s="91"/>
      <c r="O580" s="91"/>
      <c r="P580" s="91">
        <v>1</v>
      </c>
      <c r="Q580" s="91"/>
      <c r="R580" s="91"/>
      <c r="S580" s="59"/>
      <c r="T580" s="95"/>
      <c r="U580" s="93"/>
      <c r="V580" s="93"/>
      <c r="W580" s="83">
        <f t="shared" ref="W580:W643" ca="1" si="27">IFERROR(OFFSET($AC$11,0,MATCH(H580,$AD$4:$BE$4,0)),IFERROR(OFFSET($AC$12,0,MATCH(H580,$AD$5:$BE$5,0)),MOD(H580,20)+7))</f>
        <v>29</v>
      </c>
      <c r="X580" s="64" t="str">
        <f t="shared" ref="X580:X643" ca="1" si="28">IF(W580&lt;=30, "1", "2")</f>
        <v>1</v>
      </c>
      <c r="Y580" s="82" t="str">
        <f t="shared" ref="Y580:Y643" ca="1" si="29" xml:space="preserve"> IF(W580&lt;=15, "1", IF(W580&lt;=30, "2", IF(W580&lt;=45, "3", IF(W580&lt;=60, "4"))))</f>
        <v>2</v>
      </c>
      <c r="Z580" s="94"/>
      <c r="AA580" s="94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</row>
    <row r="581" spans="1:57" ht="51" customHeight="1" x14ac:dyDescent="0.35">
      <c r="A581" s="85">
        <v>5791</v>
      </c>
      <c r="B581" s="86">
        <v>2017</v>
      </c>
      <c r="C581" s="87" t="s">
        <v>45</v>
      </c>
      <c r="D581" s="87" t="s">
        <v>97</v>
      </c>
      <c r="E581" s="87" t="s">
        <v>81</v>
      </c>
      <c r="F581" s="87" t="s">
        <v>25</v>
      </c>
      <c r="G581" s="88"/>
      <c r="H581" s="93">
        <v>16591</v>
      </c>
      <c r="I581" s="94" t="s">
        <v>199</v>
      </c>
      <c r="J581" s="93">
        <v>16</v>
      </c>
      <c r="K581" s="93">
        <v>10</v>
      </c>
      <c r="L581" s="93"/>
      <c r="M581" s="91">
        <v>1</v>
      </c>
      <c r="N581" s="91"/>
      <c r="O581" s="91"/>
      <c r="P581" s="91">
        <v>1</v>
      </c>
      <c r="Q581" s="91"/>
      <c r="R581" s="91"/>
      <c r="S581" s="59"/>
      <c r="T581" s="95"/>
      <c r="U581" s="93"/>
      <c r="V581" s="93"/>
      <c r="W581" s="83">
        <f t="shared" ca="1" si="27"/>
        <v>29</v>
      </c>
      <c r="X581" s="64" t="str">
        <f t="shared" ca="1" si="28"/>
        <v>1</v>
      </c>
      <c r="Y581" s="82" t="str">
        <f t="shared" ca="1" si="29"/>
        <v>2</v>
      </c>
      <c r="Z581" s="94"/>
      <c r="AA581" s="94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</row>
    <row r="582" spans="1:57" ht="37.5" x14ac:dyDescent="0.35">
      <c r="A582" s="85">
        <v>5791</v>
      </c>
      <c r="B582" s="86">
        <v>2019</v>
      </c>
      <c r="C582" s="87" t="s">
        <v>42</v>
      </c>
      <c r="D582" s="87" t="s">
        <v>43</v>
      </c>
      <c r="E582" s="87" t="s">
        <v>20</v>
      </c>
      <c r="F582" s="87" t="s">
        <v>21</v>
      </c>
      <c r="G582" s="88"/>
      <c r="H582" s="93" t="s">
        <v>324</v>
      </c>
      <c r="I582" s="94" t="s">
        <v>222</v>
      </c>
      <c r="J582" s="93">
        <v>16</v>
      </c>
      <c r="K582" s="93">
        <v>18</v>
      </c>
      <c r="L582" s="93"/>
      <c r="M582" s="91">
        <v>1</v>
      </c>
      <c r="N582" s="91"/>
      <c r="O582" s="91"/>
      <c r="P582" s="91">
        <v>1</v>
      </c>
      <c r="Q582" s="91"/>
      <c r="R582" s="91"/>
      <c r="S582" s="59"/>
      <c r="T582" s="95"/>
      <c r="U582" s="93"/>
      <c r="V582" s="93"/>
      <c r="W582" s="83">
        <f t="shared" ca="1" si="27"/>
        <v>29</v>
      </c>
      <c r="X582" s="64" t="str">
        <f t="shared" ca="1" si="28"/>
        <v>1</v>
      </c>
      <c r="Y582" s="82" t="str">
        <f t="shared" ca="1" si="29"/>
        <v>2</v>
      </c>
      <c r="Z582" s="94"/>
      <c r="AA582" s="94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</row>
    <row r="583" spans="1:57" ht="37.5" x14ac:dyDescent="0.35">
      <c r="A583" s="85">
        <v>5791</v>
      </c>
      <c r="B583" s="86">
        <v>2019</v>
      </c>
      <c r="C583" s="87" t="s">
        <v>48</v>
      </c>
      <c r="D583" s="87" t="s">
        <v>57</v>
      </c>
      <c r="E583" s="87" t="s">
        <v>30</v>
      </c>
      <c r="F583" s="87" t="s">
        <v>25</v>
      </c>
      <c r="G583" s="88">
        <v>0.75</v>
      </c>
      <c r="H583" s="93" t="s">
        <v>324</v>
      </c>
      <c r="I583" s="94" t="s">
        <v>351</v>
      </c>
      <c r="J583" s="93"/>
      <c r="K583" s="93"/>
      <c r="L583" s="97">
        <v>72</v>
      </c>
      <c r="M583" s="91">
        <v>1</v>
      </c>
      <c r="N583" s="91"/>
      <c r="O583" s="91">
        <v>1</v>
      </c>
      <c r="P583" s="91"/>
      <c r="Q583" s="91"/>
      <c r="R583" s="91"/>
      <c r="S583" s="59"/>
      <c r="T583" s="95"/>
      <c r="U583" s="93"/>
      <c r="V583" s="93"/>
      <c r="W583" s="83">
        <f t="shared" ca="1" si="27"/>
        <v>29</v>
      </c>
      <c r="X583" s="64" t="str">
        <f t="shared" ca="1" si="28"/>
        <v>1</v>
      </c>
      <c r="Y583" s="82" t="str">
        <f t="shared" ca="1" si="29"/>
        <v>2</v>
      </c>
      <c r="Z583" s="94"/>
      <c r="AA583" s="94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</row>
    <row r="584" spans="1:57" ht="37.5" x14ac:dyDescent="0.35">
      <c r="A584" s="85">
        <v>5791</v>
      </c>
      <c r="B584" s="86">
        <v>2019</v>
      </c>
      <c r="C584" s="87" t="s">
        <v>48</v>
      </c>
      <c r="D584" s="87" t="s">
        <v>57</v>
      </c>
      <c r="E584" s="87" t="s">
        <v>30</v>
      </c>
      <c r="F584" s="87" t="s">
        <v>25</v>
      </c>
      <c r="G584" s="88">
        <v>0.75</v>
      </c>
      <c r="H584" s="93" t="s">
        <v>324</v>
      </c>
      <c r="I584" s="87" t="s">
        <v>348</v>
      </c>
      <c r="J584" s="85"/>
      <c r="K584" s="85">
        <v>18</v>
      </c>
      <c r="L584" s="85">
        <v>36</v>
      </c>
      <c r="M584" s="91">
        <v>1</v>
      </c>
      <c r="N584" s="91"/>
      <c r="O584" s="91">
        <v>1</v>
      </c>
      <c r="P584" s="91"/>
      <c r="Q584" s="91"/>
      <c r="R584" s="91"/>
      <c r="S584" s="59"/>
      <c r="T584" s="89"/>
      <c r="U584" s="85"/>
      <c r="V584" s="85"/>
      <c r="W584" s="83">
        <f t="shared" ca="1" si="27"/>
        <v>29</v>
      </c>
      <c r="X584" s="64" t="str">
        <f t="shared" ca="1" si="28"/>
        <v>1</v>
      </c>
      <c r="Y584" s="82" t="str">
        <f t="shared" ca="1" si="29"/>
        <v>2</v>
      </c>
      <c r="Z584" s="87"/>
      <c r="AA584" s="87" t="s">
        <v>22</v>
      </c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</row>
    <row r="585" spans="1:57" ht="37.5" x14ac:dyDescent="0.35">
      <c r="A585" s="85">
        <v>6368</v>
      </c>
      <c r="B585" s="86">
        <v>2020</v>
      </c>
      <c r="C585" s="87" t="s">
        <v>31</v>
      </c>
      <c r="D585" s="87" t="s">
        <v>32</v>
      </c>
      <c r="E585" s="87" t="s">
        <v>33</v>
      </c>
      <c r="F585" s="87" t="s">
        <v>25</v>
      </c>
      <c r="G585" s="88">
        <v>1</v>
      </c>
      <c r="H585" s="93" t="s">
        <v>325</v>
      </c>
      <c r="I585" s="87" t="s">
        <v>350</v>
      </c>
      <c r="J585" s="85">
        <v>18</v>
      </c>
      <c r="K585" s="85"/>
      <c r="L585" s="85">
        <v>54</v>
      </c>
      <c r="M585" s="91">
        <v>1</v>
      </c>
      <c r="N585" s="91"/>
      <c r="O585" s="91"/>
      <c r="P585" s="91">
        <v>1</v>
      </c>
      <c r="Q585" s="91"/>
      <c r="R585" s="91"/>
      <c r="S585" s="59"/>
      <c r="T585" s="89"/>
      <c r="U585" s="85"/>
      <c r="V585" s="85"/>
      <c r="W585" s="83">
        <f t="shared" ca="1" si="27"/>
        <v>29</v>
      </c>
      <c r="X585" s="64" t="str">
        <f t="shared" ca="1" si="28"/>
        <v>1</v>
      </c>
      <c r="Y585" s="82" t="str">
        <f t="shared" ca="1" si="29"/>
        <v>2</v>
      </c>
      <c r="Z585" s="87"/>
      <c r="AA585" s="87" t="s">
        <v>22</v>
      </c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</row>
    <row r="586" spans="1:57" ht="37.5" x14ac:dyDescent="0.35">
      <c r="A586" s="85">
        <v>6368</v>
      </c>
      <c r="B586" s="86">
        <v>2020</v>
      </c>
      <c r="C586" s="87" t="s">
        <v>38</v>
      </c>
      <c r="D586" s="87" t="s">
        <v>229</v>
      </c>
      <c r="E586" s="87" t="s">
        <v>95</v>
      </c>
      <c r="F586" s="87" t="s">
        <v>25</v>
      </c>
      <c r="G586" s="88">
        <v>1</v>
      </c>
      <c r="H586" s="93" t="s">
        <v>325</v>
      </c>
      <c r="I586" s="87" t="s">
        <v>334</v>
      </c>
      <c r="J586" s="85"/>
      <c r="K586" s="85"/>
      <c r="L586" s="85">
        <v>54</v>
      </c>
      <c r="M586" s="91"/>
      <c r="N586" s="91"/>
      <c r="O586" s="91"/>
      <c r="P586" s="91"/>
      <c r="Q586" s="91"/>
      <c r="R586" s="91"/>
      <c r="S586" s="59"/>
      <c r="T586" s="89"/>
      <c r="U586" s="85"/>
      <c r="V586" s="85"/>
      <c r="W586" s="83">
        <f t="shared" ca="1" si="27"/>
        <v>29</v>
      </c>
      <c r="X586" s="64" t="str">
        <f t="shared" ca="1" si="28"/>
        <v>1</v>
      </c>
      <c r="Y586" s="82" t="str">
        <f t="shared" ca="1" si="29"/>
        <v>2</v>
      </c>
      <c r="Z586" s="87"/>
      <c r="AA586" s="87" t="s">
        <v>22</v>
      </c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</row>
    <row r="587" spans="1:57" ht="37.5" x14ac:dyDescent="0.35">
      <c r="A587" s="85">
        <v>6368</v>
      </c>
      <c r="B587" s="86">
        <v>2020</v>
      </c>
      <c r="C587" s="87" t="s">
        <v>38</v>
      </c>
      <c r="D587" s="87" t="s">
        <v>229</v>
      </c>
      <c r="E587" s="87" t="s">
        <v>95</v>
      </c>
      <c r="F587" s="87" t="s">
        <v>25</v>
      </c>
      <c r="G587" s="88">
        <v>1</v>
      </c>
      <c r="H587" s="93" t="s">
        <v>325</v>
      </c>
      <c r="I587" s="87" t="s">
        <v>335</v>
      </c>
      <c r="J587" s="85"/>
      <c r="K587" s="85"/>
      <c r="L587" s="85">
        <v>108</v>
      </c>
      <c r="M587" s="91"/>
      <c r="N587" s="91"/>
      <c r="O587" s="91"/>
      <c r="P587" s="91"/>
      <c r="Q587" s="91"/>
      <c r="R587" s="91"/>
      <c r="S587" s="59"/>
      <c r="T587" s="89"/>
      <c r="U587" s="85"/>
      <c r="V587" s="85"/>
      <c r="W587" s="83">
        <f t="shared" ca="1" si="27"/>
        <v>29</v>
      </c>
      <c r="X587" s="64" t="str">
        <f t="shared" ca="1" si="28"/>
        <v>1</v>
      </c>
      <c r="Y587" s="82" t="str">
        <f t="shared" ca="1" si="29"/>
        <v>2</v>
      </c>
      <c r="Z587" s="87"/>
      <c r="AA587" s="87" t="s">
        <v>22</v>
      </c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</row>
    <row r="588" spans="1:57" ht="37.5" x14ac:dyDescent="0.35">
      <c r="A588" s="85">
        <v>6368</v>
      </c>
      <c r="B588" s="86">
        <v>2020</v>
      </c>
      <c r="C588" s="87" t="s">
        <v>103</v>
      </c>
      <c r="D588" s="87" t="s">
        <v>188</v>
      </c>
      <c r="E588" s="87" t="s">
        <v>105</v>
      </c>
      <c r="F588" s="87" t="s">
        <v>25</v>
      </c>
      <c r="G588" s="88"/>
      <c r="H588" s="93" t="s">
        <v>325</v>
      </c>
      <c r="I588" s="87" t="s">
        <v>332</v>
      </c>
      <c r="J588" s="85">
        <v>18</v>
      </c>
      <c r="K588" s="85">
        <v>36</v>
      </c>
      <c r="L588" s="85"/>
      <c r="M588" s="91">
        <v>1</v>
      </c>
      <c r="N588" s="91"/>
      <c r="O588" s="91"/>
      <c r="P588" s="91">
        <v>1</v>
      </c>
      <c r="Q588" s="91"/>
      <c r="R588" s="91"/>
      <c r="S588" s="59"/>
      <c r="T588" s="89"/>
      <c r="U588" s="85"/>
      <c r="V588" s="85"/>
      <c r="W588" s="83">
        <f t="shared" ca="1" si="27"/>
        <v>29</v>
      </c>
      <c r="X588" s="64" t="str">
        <f t="shared" ca="1" si="28"/>
        <v>1</v>
      </c>
      <c r="Y588" s="82" t="str">
        <f t="shared" ca="1" si="29"/>
        <v>2</v>
      </c>
      <c r="Z588" s="87"/>
      <c r="AA588" s="87" t="s">
        <v>22</v>
      </c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</row>
    <row r="589" spans="1:57" ht="37.5" x14ac:dyDescent="0.35">
      <c r="A589" s="85">
        <v>6368</v>
      </c>
      <c r="B589" s="86">
        <v>2020</v>
      </c>
      <c r="C589" s="87" t="s">
        <v>42</v>
      </c>
      <c r="D589" s="87" t="s">
        <v>43</v>
      </c>
      <c r="E589" s="87" t="s">
        <v>20</v>
      </c>
      <c r="F589" s="87" t="s">
        <v>21</v>
      </c>
      <c r="G589" s="88"/>
      <c r="H589" s="93" t="s">
        <v>325</v>
      </c>
      <c r="I589" s="87" t="s">
        <v>222</v>
      </c>
      <c r="J589" s="85">
        <v>16</v>
      </c>
      <c r="K589" s="85">
        <v>36</v>
      </c>
      <c r="L589" s="85"/>
      <c r="M589" s="91">
        <v>1</v>
      </c>
      <c r="N589" s="91"/>
      <c r="O589" s="91"/>
      <c r="P589" s="91">
        <v>1</v>
      </c>
      <c r="Q589" s="91"/>
      <c r="R589" s="91"/>
      <c r="S589" s="59"/>
      <c r="T589" s="89"/>
      <c r="U589" s="85"/>
      <c r="V589" s="85"/>
      <c r="W589" s="83">
        <f t="shared" ca="1" si="27"/>
        <v>29</v>
      </c>
      <c r="X589" s="64" t="str">
        <f t="shared" ca="1" si="28"/>
        <v>1</v>
      </c>
      <c r="Y589" s="82" t="str">
        <f t="shared" ca="1" si="29"/>
        <v>2</v>
      </c>
      <c r="Z589" s="87"/>
      <c r="AA589" s="87" t="s">
        <v>22</v>
      </c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</row>
    <row r="590" spans="1:57" ht="37.5" x14ac:dyDescent="0.35">
      <c r="A590" s="85">
        <v>6368</v>
      </c>
      <c r="B590" s="86">
        <v>2020</v>
      </c>
      <c r="C590" s="87" t="s">
        <v>48</v>
      </c>
      <c r="D590" s="87" t="s">
        <v>57</v>
      </c>
      <c r="E590" s="87" t="s">
        <v>30</v>
      </c>
      <c r="F590" s="87" t="s">
        <v>25</v>
      </c>
      <c r="G590" s="88">
        <v>0.75</v>
      </c>
      <c r="H590" s="93" t="s">
        <v>325</v>
      </c>
      <c r="I590" s="94" t="s">
        <v>351</v>
      </c>
      <c r="J590" s="93"/>
      <c r="K590" s="93"/>
      <c r="L590" s="93">
        <v>108</v>
      </c>
      <c r="M590" s="91">
        <v>1</v>
      </c>
      <c r="N590" s="91"/>
      <c r="O590" s="91">
        <v>1</v>
      </c>
      <c r="P590" s="91"/>
      <c r="Q590" s="91"/>
      <c r="R590" s="91"/>
      <c r="S590" s="59"/>
      <c r="T590" s="95"/>
      <c r="U590" s="93"/>
      <c r="V590" s="93"/>
      <c r="W590" s="83">
        <f t="shared" ca="1" si="27"/>
        <v>29</v>
      </c>
      <c r="X590" s="64" t="str">
        <f t="shared" ca="1" si="28"/>
        <v>1</v>
      </c>
      <c r="Y590" s="82" t="str">
        <f t="shared" ca="1" si="29"/>
        <v>2</v>
      </c>
      <c r="Z590" s="94"/>
      <c r="AA590" s="94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</row>
    <row r="591" spans="1:57" ht="51" customHeight="1" x14ac:dyDescent="0.35">
      <c r="A591" s="85">
        <v>6368</v>
      </c>
      <c r="B591" s="86">
        <v>2020</v>
      </c>
      <c r="C591" s="87" t="s">
        <v>48</v>
      </c>
      <c r="D591" s="87" t="s">
        <v>57</v>
      </c>
      <c r="E591" s="87" t="s">
        <v>30</v>
      </c>
      <c r="F591" s="87" t="s">
        <v>25</v>
      </c>
      <c r="G591" s="88">
        <v>0.75</v>
      </c>
      <c r="H591" s="93" t="s">
        <v>325</v>
      </c>
      <c r="I591" s="94" t="s">
        <v>348</v>
      </c>
      <c r="J591" s="93"/>
      <c r="K591" s="93">
        <v>36</v>
      </c>
      <c r="L591" s="93">
        <v>54</v>
      </c>
      <c r="M591" s="91">
        <v>1</v>
      </c>
      <c r="N591" s="91"/>
      <c r="O591" s="91">
        <v>1</v>
      </c>
      <c r="P591" s="91"/>
      <c r="Q591" s="91"/>
      <c r="R591" s="91"/>
      <c r="S591" s="59"/>
      <c r="T591" s="95"/>
      <c r="U591" s="93"/>
      <c r="V591" s="93"/>
      <c r="W591" s="83">
        <f t="shared" ca="1" si="27"/>
        <v>29</v>
      </c>
      <c r="X591" s="64" t="str">
        <f t="shared" ca="1" si="28"/>
        <v>1</v>
      </c>
      <c r="Y591" s="82" t="str">
        <f t="shared" ca="1" si="29"/>
        <v>2</v>
      </c>
      <c r="Z591" s="94"/>
      <c r="AA591" s="94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</row>
    <row r="592" spans="1:57" ht="37.5" x14ac:dyDescent="0.35">
      <c r="A592" s="85">
        <v>5791</v>
      </c>
      <c r="B592" s="86">
        <v>2020</v>
      </c>
      <c r="C592" s="87" t="s">
        <v>155</v>
      </c>
      <c r="D592" s="87" t="s">
        <v>156</v>
      </c>
      <c r="E592" s="87" t="s">
        <v>157</v>
      </c>
      <c r="F592" s="87" t="s">
        <v>23</v>
      </c>
      <c r="G592" s="88">
        <v>1</v>
      </c>
      <c r="H592" s="93" t="s">
        <v>326</v>
      </c>
      <c r="I592" s="94" t="s">
        <v>364</v>
      </c>
      <c r="J592" s="93">
        <v>18</v>
      </c>
      <c r="K592" s="93"/>
      <c r="L592" s="93">
        <v>36</v>
      </c>
      <c r="M592" s="91">
        <v>1</v>
      </c>
      <c r="N592" s="91"/>
      <c r="O592" s="91"/>
      <c r="P592" s="91"/>
      <c r="Q592" s="91"/>
      <c r="R592" s="91"/>
      <c r="S592" s="59"/>
      <c r="T592" s="95"/>
      <c r="U592" s="93"/>
      <c r="V592" s="93"/>
      <c r="W592" s="83">
        <f t="shared" ca="1" si="27"/>
        <v>27</v>
      </c>
      <c r="X592" s="64" t="str">
        <f t="shared" ca="1" si="28"/>
        <v>1</v>
      </c>
      <c r="Y592" s="82" t="str">
        <f t="shared" ca="1" si="29"/>
        <v>2</v>
      </c>
      <c r="Z592" s="94"/>
      <c r="AA592" s="94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</row>
    <row r="593" spans="1:57" ht="37.5" x14ac:dyDescent="0.35">
      <c r="A593" s="85">
        <v>5791</v>
      </c>
      <c r="B593" s="86">
        <v>2020</v>
      </c>
      <c r="C593" s="87" t="s">
        <v>38</v>
      </c>
      <c r="D593" s="87" t="s">
        <v>229</v>
      </c>
      <c r="E593" s="87" t="s">
        <v>95</v>
      </c>
      <c r="F593" s="87" t="s">
        <v>25</v>
      </c>
      <c r="G593" s="88">
        <v>1</v>
      </c>
      <c r="H593" s="93" t="s">
        <v>326</v>
      </c>
      <c r="I593" s="94" t="s">
        <v>275</v>
      </c>
      <c r="J593" s="93"/>
      <c r="K593" s="93"/>
      <c r="L593" s="97"/>
      <c r="M593" s="91"/>
      <c r="N593" s="91"/>
      <c r="O593" s="91"/>
      <c r="P593" s="91"/>
      <c r="Q593" s="91"/>
      <c r="R593" s="91"/>
      <c r="S593" s="59"/>
      <c r="T593" s="95"/>
      <c r="U593" s="93"/>
      <c r="V593" s="93"/>
      <c r="W593" s="83">
        <f t="shared" ca="1" si="27"/>
        <v>27</v>
      </c>
      <c r="X593" s="64" t="str">
        <f t="shared" ca="1" si="28"/>
        <v>1</v>
      </c>
      <c r="Y593" s="82" t="str">
        <f t="shared" ca="1" si="29"/>
        <v>2</v>
      </c>
      <c r="Z593" s="94"/>
      <c r="AA593" s="94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</row>
    <row r="594" spans="1:57" ht="37.5" x14ac:dyDescent="0.35">
      <c r="A594" s="85">
        <v>5791</v>
      </c>
      <c r="B594" s="86">
        <v>2020</v>
      </c>
      <c r="C594" s="87" t="s">
        <v>48</v>
      </c>
      <c r="D594" s="87" t="s">
        <v>173</v>
      </c>
      <c r="E594" s="87" t="s">
        <v>55</v>
      </c>
      <c r="F594" s="87" t="s">
        <v>23</v>
      </c>
      <c r="G594" s="88">
        <v>0.5</v>
      </c>
      <c r="H594" s="85" t="s">
        <v>326</v>
      </c>
      <c r="I594" s="87" t="s">
        <v>174</v>
      </c>
      <c r="J594" s="85"/>
      <c r="K594" s="85"/>
      <c r="L594" s="85"/>
      <c r="M594" s="85"/>
      <c r="N594" s="85"/>
      <c r="O594" s="85"/>
      <c r="P594" s="59"/>
      <c r="Q594" s="59"/>
      <c r="R594" s="59"/>
      <c r="S594" s="59"/>
      <c r="T594" s="92"/>
      <c r="U594" s="59"/>
      <c r="V594" s="59"/>
      <c r="W594" s="83">
        <f t="shared" ca="1" si="27"/>
        <v>27</v>
      </c>
      <c r="X594" s="64" t="str">
        <f t="shared" ca="1" si="28"/>
        <v>1</v>
      </c>
      <c r="Y594" s="82" t="str">
        <f t="shared" ca="1" si="29"/>
        <v>2</v>
      </c>
      <c r="Z594" s="87"/>
      <c r="AA594" s="87" t="s">
        <v>61</v>
      </c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</row>
    <row r="595" spans="1:57" ht="37.5" x14ac:dyDescent="0.35">
      <c r="A595" s="85">
        <v>5791</v>
      </c>
      <c r="B595" s="86">
        <v>2020</v>
      </c>
      <c r="C595" s="87" t="s">
        <v>48</v>
      </c>
      <c r="D595" s="87" t="s">
        <v>173</v>
      </c>
      <c r="E595" s="87" t="s">
        <v>55</v>
      </c>
      <c r="F595" s="87" t="s">
        <v>23</v>
      </c>
      <c r="G595" s="88">
        <v>0.5</v>
      </c>
      <c r="H595" s="85" t="s">
        <v>326</v>
      </c>
      <c r="I595" s="87" t="s">
        <v>354</v>
      </c>
      <c r="J595" s="85"/>
      <c r="K595" s="85">
        <v>18</v>
      </c>
      <c r="L595" s="85"/>
      <c r="M595" s="85">
        <v>1</v>
      </c>
      <c r="N595" s="85"/>
      <c r="O595" s="85"/>
      <c r="P595" s="59">
        <v>1</v>
      </c>
      <c r="Q595" s="59"/>
      <c r="R595" s="59"/>
      <c r="S595" s="59"/>
      <c r="T595" s="92"/>
      <c r="U595" s="59"/>
      <c r="V595" s="59"/>
      <c r="W595" s="83">
        <f t="shared" ca="1" si="27"/>
        <v>27</v>
      </c>
      <c r="X595" s="64" t="str">
        <f t="shared" ca="1" si="28"/>
        <v>1</v>
      </c>
      <c r="Y595" s="82" t="str">
        <f t="shared" ca="1" si="29"/>
        <v>2</v>
      </c>
      <c r="Z595" s="87"/>
      <c r="AA595" s="87" t="s">
        <v>61</v>
      </c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</row>
    <row r="596" spans="1:57" ht="51" customHeight="1" x14ac:dyDescent="0.35">
      <c r="A596" s="85">
        <v>5791</v>
      </c>
      <c r="B596" s="86">
        <v>2020</v>
      </c>
      <c r="C596" s="87" t="s">
        <v>48</v>
      </c>
      <c r="D596" s="87" t="s">
        <v>62</v>
      </c>
      <c r="E596" s="87" t="s">
        <v>28</v>
      </c>
      <c r="F596" s="87" t="s">
        <v>23</v>
      </c>
      <c r="G596" s="88">
        <v>0.75</v>
      </c>
      <c r="H596" s="85" t="s">
        <v>326</v>
      </c>
      <c r="I596" s="87" t="s">
        <v>174</v>
      </c>
      <c r="J596" s="85"/>
      <c r="K596" s="85"/>
      <c r="L596" s="85"/>
      <c r="M596" s="85"/>
      <c r="N596" s="85"/>
      <c r="O596" s="85"/>
      <c r="P596" s="59"/>
      <c r="Q596" s="59"/>
      <c r="R596" s="59"/>
      <c r="S596" s="59"/>
      <c r="T596" s="92"/>
      <c r="U596" s="59"/>
      <c r="V596" s="59"/>
      <c r="W596" s="83">
        <f t="shared" ca="1" si="27"/>
        <v>27</v>
      </c>
      <c r="X596" s="64" t="str">
        <f t="shared" ca="1" si="28"/>
        <v>1</v>
      </c>
      <c r="Y596" s="82" t="str">
        <f t="shared" ca="1" si="29"/>
        <v>2</v>
      </c>
      <c r="Z596" s="87"/>
      <c r="AA596" s="87" t="s">
        <v>61</v>
      </c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</row>
    <row r="597" spans="1:57" ht="37.5" x14ac:dyDescent="0.35">
      <c r="A597" s="85">
        <v>5791</v>
      </c>
      <c r="B597" s="86">
        <v>2020</v>
      </c>
      <c r="C597" s="87" t="s">
        <v>48</v>
      </c>
      <c r="D597" s="87" t="s">
        <v>62</v>
      </c>
      <c r="E597" s="87" t="s">
        <v>28</v>
      </c>
      <c r="F597" s="87" t="s">
        <v>23</v>
      </c>
      <c r="G597" s="88">
        <v>0.75</v>
      </c>
      <c r="H597" s="85" t="s">
        <v>326</v>
      </c>
      <c r="I597" s="87" t="s">
        <v>176</v>
      </c>
      <c r="J597" s="85"/>
      <c r="K597" s="85"/>
      <c r="L597" s="85"/>
      <c r="M597" s="85"/>
      <c r="N597" s="85"/>
      <c r="O597" s="85"/>
      <c r="P597" s="59"/>
      <c r="Q597" s="59"/>
      <c r="R597" s="59"/>
      <c r="S597" s="59"/>
      <c r="T597" s="92"/>
      <c r="U597" s="59"/>
      <c r="V597" s="59"/>
      <c r="W597" s="83">
        <f t="shared" ca="1" si="27"/>
        <v>27</v>
      </c>
      <c r="X597" s="64" t="str">
        <f t="shared" ca="1" si="28"/>
        <v>1</v>
      </c>
      <c r="Y597" s="82" t="str">
        <f t="shared" ca="1" si="29"/>
        <v>2</v>
      </c>
      <c r="Z597" s="87"/>
      <c r="AA597" s="87" t="s">
        <v>22</v>
      </c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</row>
    <row r="598" spans="1:57" ht="37.5" x14ac:dyDescent="0.35">
      <c r="A598" s="85">
        <v>5791</v>
      </c>
      <c r="B598" s="86">
        <v>2020</v>
      </c>
      <c r="C598" s="87" t="s">
        <v>38</v>
      </c>
      <c r="D598" s="87" t="s">
        <v>80</v>
      </c>
      <c r="E598" s="87" t="s">
        <v>81</v>
      </c>
      <c r="F598" s="87" t="s">
        <v>21</v>
      </c>
      <c r="G598" s="88">
        <v>1</v>
      </c>
      <c r="H598" s="85" t="s">
        <v>326</v>
      </c>
      <c r="I598" s="87" t="s">
        <v>344</v>
      </c>
      <c r="J598" s="85"/>
      <c r="K598" s="85"/>
      <c r="L598" s="85"/>
      <c r="M598" s="85">
        <v>1</v>
      </c>
      <c r="N598" s="85">
        <v>1</v>
      </c>
      <c r="O598" s="85"/>
      <c r="P598" s="59"/>
      <c r="Q598" s="59"/>
      <c r="R598" s="59"/>
      <c r="S598" s="59"/>
      <c r="T598" s="92"/>
      <c r="U598" s="59"/>
      <c r="V598" s="59"/>
      <c r="W598" s="83">
        <f t="shared" ca="1" si="27"/>
        <v>27</v>
      </c>
      <c r="X598" s="64" t="str">
        <f t="shared" ca="1" si="28"/>
        <v>1</v>
      </c>
      <c r="Y598" s="82" t="str">
        <f t="shared" ca="1" si="29"/>
        <v>2</v>
      </c>
      <c r="Z598" s="87"/>
      <c r="AA598" s="87" t="s">
        <v>61</v>
      </c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</row>
    <row r="599" spans="1:57" ht="51" customHeight="1" x14ac:dyDescent="0.35">
      <c r="A599" s="85">
        <v>5791</v>
      </c>
      <c r="B599" s="86">
        <v>2020</v>
      </c>
      <c r="C599" s="87" t="s">
        <v>38</v>
      </c>
      <c r="D599" s="87" t="s">
        <v>80</v>
      </c>
      <c r="E599" s="87" t="s">
        <v>81</v>
      </c>
      <c r="F599" s="87" t="s">
        <v>21</v>
      </c>
      <c r="G599" s="88">
        <v>1</v>
      </c>
      <c r="H599" s="85" t="s">
        <v>326</v>
      </c>
      <c r="I599" s="87" t="s">
        <v>345</v>
      </c>
      <c r="J599" s="85"/>
      <c r="K599" s="85"/>
      <c r="L599" s="85">
        <v>36</v>
      </c>
      <c r="M599" s="85">
        <v>1</v>
      </c>
      <c r="N599" s="85"/>
      <c r="O599" s="85"/>
      <c r="P599" s="59"/>
      <c r="Q599" s="59"/>
      <c r="R599" s="59"/>
      <c r="S599" s="59"/>
      <c r="T599" s="92"/>
      <c r="U599" s="59"/>
      <c r="V599" s="59"/>
      <c r="W599" s="83">
        <f t="shared" ca="1" si="27"/>
        <v>27</v>
      </c>
      <c r="X599" s="64" t="str">
        <f t="shared" ca="1" si="28"/>
        <v>1</v>
      </c>
      <c r="Y599" s="82" t="str">
        <f t="shared" ca="1" si="29"/>
        <v>2</v>
      </c>
      <c r="Z599" s="87"/>
      <c r="AA599" s="87" t="s">
        <v>61</v>
      </c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</row>
    <row r="600" spans="1:57" ht="37.5" x14ac:dyDescent="0.35">
      <c r="A600" s="85">
        <v>5791</v>
      </c>
      <c r="B600" s="86">
        <v>2020</v>
      </c>
      <c r="C600" s="87" t="s">
        <v>38</v>
      </c>
      <c r="D600" s="87" t="s">
        <v>59</v>
      </c>
      <c r="E600" s="87" t="s">
        <v>20</v>
      </c>
      <c r="F600" s="87" t="s">
        <v>21</v>
      </c>
      <c r="G600" s="88">
        <v>0.75</v>
      </c>
      <c r="H600" s="85" t="s">
        <v>326</v>
      </c>
      <c r="I600" s="87" t="s">
        <v>346</v>
      </c>
      <c r="J600" s="85"/>
      <c r="K600" s="85"/>
      <c r="L600" s="85"/>
      <c r="M600" s="85">
        <v>1</v>
      </c>
      <c r="N600" s="85">
        <v>1</v>
      </c>
      <c r="O600" s="85"/>
      <c r="P600" s="59"/>
      <c r="Q600" s="59"/>
      <c r="R600" s="59"/>
      <c r="S600" s="59"/>
      <c r="T600" s="92"/>
      <c r="U600" s="59"/>
      <c r="V600" s="59"/>
      <c r="W600" s="83">
        <f t="shared" ca="1" si="27"/>
        <v>27</v>
      </c>
      <c r="X600" s="64" t="str">
        <f t="shared" ca="1" si="28"/>
        <v>1</v>
      </c>
      <c r="Y600" s="82" t="str">
        <f t="shared" ca="1" si="29"/>
        <v>2</v>
      </c>
      <c r="Z600" s="87"/>
      <c r="AA600" s="87" t="s">
        <v>61</v>
      </c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</row>
    <row r="601" spans="1:57" ht="37.5" x14ac:dyDescent="0.35">
      <c r="A601" s="85">
        <v>5791</v>
      </c>
      <c r="B601" s="86">
        <v>2020</v>
      </c>
      <c r="C601" s="87" t="s">
        <v>38</v>
      </c>
      <c r="D601" s="87" t="s">
        <v>59</v>
      </c>
      <c r="E601" s="87" t="s">
        <v>20</v>
      </c>
      <c r="F601" s="87" t="s">
        <v>21</v>
      </c>
      <c r="G601" s="88">
        <v>0.75</v>
      </c>
      <c r="H601" s="85" t="s">
        <v>326</v>
      </c>
      <c r="I601" s="87" t="s">
        <v>347</v>
      </c>
      <c r="J601" s="85"/>
      <c r="K601" s="85"/>
      <c r="L601" s="85">
        <v>144</v>
      </c>
      <c r="M601" s="85">
        <v>1</v>
      </c>
      <c r="N601" s="85"/>
      <c r="O601" s="85"/>
      <c r="P601" s="59"/>
      <c r="Q601" s="59"/>
      <c r="R601" s="59"/>
      <c r="S601" s="59"/>
      <c r="T601" s="92"/>
      <c r="U601" s="59"/>
      <c r="V601" s="59"/>
      <c r="W601" s="83">
        <f t="shared" ca="1" si="27"/>
        <v>27</v>
      </c>
      <c r="X601" s="64" t="str">
        <f t="shared" ca="1" si="28"/>
        <v>1</v>
      </c>
      <c r="Y601" s="82" t="str">
        <f t="shared" ca="1" si="29"/>
        <v>2</v>
      </c>
      <c r="Z601" s="87"/>
      <c r="AA601" s="87" t="s">
        <v>22</v>
      </c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</row>
    <row r="602" spans="1:57" ht="37.5" x14ac:dyDescent="0.35">
      <c r="A602" s="85">
        <v>6368</v>
      </c>
      <c r="B602" s="86">
        <v>2021</v>
      </c>
      <c r="C602" s="87" t="s">
        <v>155</v>
      </c>
      <c r="D602" s="87" t="s">
        <v>156</v>
      </c>
      <c r="E602" s="87" t="s">
        <v>157</v>
      </c>
      <c r="F602" s="87" t="s">
        <v>23</v>
      </c>
      <c r="G602" s="88">
        <v>1</v>
      </c>
      <c r="H602" s="85" t="s">
        <v>327</v>
      </c>
      <c r="I602" s="87" t="s">
        <v>364</v>
      </c>
      <c r="J602" s="85"/>
      <c r="K602" s="85"/>
      <c r="L602" s="85"/>
      <c r="M602" s="85"/>
      <c r="N602" s="85"/>
      <c r="O602" s="85"/>
      <c r="P602" s="59"/>
      <c r="Q602" s="59"/>
      <c r="R602" s="59"/>
      <c r="S602" s="59"/>
      <c r="T602" s="92"/>
      <c r="U602" s="59"/>
      <c r="V602" s="59"/>
      <c r="W602" s="83">
        <f t="shared" ca="1" si="27"/>
        <v>39</v>
      </c>
      <c r="X602" s="64" t="str">
        <f t="shared" ca="1" si="28"/>
        <v>2</v>
      </c>
      <c r="Y602" s="82" t="str">
        <f t="shared" ca="1" si="29"/>
        <v>3</v>
      </c>
      <c r="Z602" s="87"/>
      <c r="AA602" s="87" t="s">
        <v>22</v>
      </c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</row>
    <row r="603" spans="1:57" ht="37.5" x14ac:dyDescent="0.35">
      <c r="A603" s="85">
        <v>6368</v>
      </c>
      <c r="B603" s="86">
        <v>2021</v>
      </c>
      <c r="C603" s="87" t="s">
        <v>38</v>
      </c>
      <c r="D603" s="87" t="s">
        <v>229</v>
      </c>
      <c r="E603" s="87" t="s">
        <v>95</v>
      </c>
      <c r="F603" s="87" t="s">
        <v>25</v>
      </c>
      <c r="G603" s="88">
        <v>1</v>
      </c>
      <c r="H603" s="85" t="s">
        <v>327</v>
      </c>
      <c r="I603" s="87" t="s">
        <v>275</v>
      </c>
      <c r="J603" s="85"/>
      <c r="K603" s="85"/>
      <c r="L603" s="85">
        <v>36</v>
      </c>
      <c r="M603" s="85"/>
      <c r="N603" s="59"/>
      <c r="O603" s="59"/>
      <c r="P603" s="59"/>
      <c r="Q603" s="59"/>
      <c r="R603" s="59"/>
      <c r="S603" s="59"/>
      <c r="T603" s="92">
        <v>7</v>
      </c>
      <c r="U603" s="85"/>
      <c r="V603" s="85"/>
      <c r="W603" s="83">
        <f t="shared" ca="1" si="27"/>
        <v>39</v>
      </c>
      <c r="X603" s="64" t="str">
        <f t="shared" ca="1" si="28"/>
        <v>2</v>
      </c>
      <c r="Y603" s="82" t="str">
        <f t="shared" ca="1" si="29"/>
        <v>3</v>
      </c>
      <c r="Z603" s="87"/>
      <c r="AA603" s="87" t="s">
        <v>22</v>
      </c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</row>
    <row r="604" spans="1:57" ht="63.75" customHeight="1" x14ac:dyDescent="0.35">
      <c r="A604" s="85">
        <v>6368</v>
      </c>
      <c r="B604" s="86">
        <v>2021</v>
      </c>
      <c r="C604" s="87" t="s">
        <v>48</v>
      </c>
      <c r="D604" s="87" t="s">
        <v>173</v>
      </c>
      <c r="E604" s="87" t="s">
        <v>55</v>
      </c>
      <c r="F604" s="87" t="s">
        <v>23</v>
      </c>
      <c r="G604" s="88">
        <v>0.5</v>
      </c>
      <c r="H604" s="85" t="s">
        <v>327</v>
      </c>
      <c r="I604" s="87" t="s">
        <v>174</v>
      </c>
      <c r="J604" s="85"/>
      <c r="K604" s="85"/>
      <c r="L604" s="85"/>
      <c r="M604" s="85"/>
      <c r="N604" s="59"/>
      <c r="O604" s="59"/>
      <c r="P604" s="59"/>
      <c r="Q604" s="59"/>
      <c r="R604" s="59"/>
      <c r="S604" s="59"/>
      <c r="T604" s="92"/>
      <c r="U604" s="85"/>
      <c r="V604" s="85"/>
      <c r="W604" s="83">
        <f t="shared" ca="1" si="27"/>
        <v>39</v>
      </c>
      <c r="X604" s="64" t="str">
        <f t="shared" ca="1" si="28"/>
        <v>2</v>
      </c>
      <c r="Y604" s="82" t="str">
        <f t="shared" ca="1" si="29"/>
        <v>3</v>
      </c>
      <c r="Z604" s="87"/>
      <c r="AA604" s="87" t="s">
        <v>22</v>
      </c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</row>
    <row r="605" spans="1:57" ht="37.5" x14ac:dyDescent="0.35">
      <c r="A605" s="85">
        <v>6368</v>
      </c>
      <c r="B605" s="86">
        <v>2021</v>
      </c>
      <c r="C605" s="87" t="s">
        <v>48</v>
      </c>
      <c r="D605" s="87" t="s">
        <v>173</v>
      </c>
      <c r="E605" s="87" t="s">
        <v>55</v>
      </c>
      <c r="F605" s="87" t="s">
        <v>23</v>
      </c>
      <c r="G605" s="88">
        <v>0.5</v>
      </c>
      <c r="H605" s="85" t="s">
        <v>327</v>
      </c>
      <c r="I605" s="87" t="s">
        <v>354</v>
      </c>
      <c r="J605" s="85"/>
      <c r="K605" s="85">
        <v>36</v>
      </c>
      <c r="L605" s="85"/>
      <c r="M605" s="85">
        <v>1</v>
      </c>
      <c r="N605" s="59"/>
      <c r="O605" s="59"/>
      <c r="P605" s="59">
        <v>1</v>
      </c>
      <c r="Q605" s="59"/>
      <c r="R605" s="59"/>
      <c r="S605" s="59"/>
      <c r="T605" s="92"/>
      <c r="U605" s="85"/>
      <c r="V605" s="85"/>
      <c r="W605" s="83">
        <f t="shared" ca="1" si="27"/>
        <v>39</v>
      </c>
      <c r="X605" s="64" t="str">
        <f t="shared" ca="1" si="28"/>
        <v>2</v>
      </c>
      <c r="Y605" s="82" t="str">
        <f t="shared" ca="1" si="29"/>
        <v>3</v>
      </c>
      <c r="Z605" s="87"/>
      <c r="AA605" s="87" t="s">
        <v>22</v>
      </c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</row>
    <row r="606" spans="1:57" ht="37.5" x14ac:dyDescent="0.35">
      <c r="A606" s="85">
        <v>6368</v>
      </c>
      <c r="B606" s="86">
        <v>2021</v>
      </c>
      <c r="C606" s="87" t="s">
        <v>48</v>
      </c>
      <c r="D606" s="87" t="s">
        <v>62</v>
      </c>
      <c r="E606" s="87" t="s">
        <v>28</v>
      </c>
      <c r="F606" s="87" t="s">
        <v>23</v>
      </c>
      <c r="G606" s="88">
        <v>0.75</v>
      </c>
      <c r="H606" s="85" t="s">
        <v>327</v>
      </c>
      <c r="I606" s="87" t="s">
        <v>174</v>
      </c>
      <c r="J606" s="85"/>
      <c r="K606" s="85"/>
      <c r="L606" s="85"/>
      <c r="M606" s="85"/>
      <c r="N606" s="59"/>
      <c r="O606" s="59"/>
      <c r="P606" s="59"/>
      <c r="Q606" s="59"/>
      <c r="R606" s="59"/>
      <c r="S606" s="59"/>
      <c r="T606" s="92"/>
      <c r="U606" s="85"/>
      <c r="V606" s="85"/>
      <c r="W606" s="83">
        <f t="shared" ca="1" si="27"/>
        <v>39</v>
      </c>
      <c r="X606" s="64" t="str">
        <f t="shared" ca="1" si="28"/>
        <v>2</v>
      </c>
      <c r="Y606" s="82" t="str">
        <f t="shared" ca="1" si="29"/>
        <v>3</v>
      </c>
      <c r="Z606" s="87"/>
      <c r="AA606" s="87" t="s">
        <v>22</v>
      </c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</row>
    <row r="607" spans="1:57" ht="37.5" x14ac:dyDescent="0.35">
      <c r="A607" s="85">
        <v>6368</v>
      </c>
      <c r="B607" s="86">
        <v>2021</v>
      </c>
      <c r="C607" s="87" t="s">
        <v>48</v>
      </c>
      <c r="D607" s="87" t="s">
        <v>62</v>
      </c>
      <c r="E607" s="87" t="s">
        <v>28</v>
      </c>
      <c r="F607" s="87" t="s">
        <v>23</v>
      </c>
      <c r="G607" s="88">
        <v>0.75</v>
      </c>
      <c r="H607" s="85" t="s">
        <v>327</v>
      </c>
      <c r="I607" s="87" t="s">
        <v>176</v>
      </c>
      <c r="J607" s="85">
        <v>9</v>
      </c>
      <c r="K607" s="85"/>
      <c r="L607" s="85">
        <v>27</v>
      </c>
      <c r="M607" s="85"/>
      <c r="N607" s="59"/>
      <c r="O607" s="59"/>
      <c r="P607" s="59"/>
      <c r="Q607" s="59"/>
      <c r="R607" s="59"/>
      <c r="S607" s="59"/>
      <c r="T607" s="92"/>
      <c r="U607" s="85"/>
      <c r="V607" s="85"/>
      <c r="W607" s="83">
        <f t="shared" ca="1" si="27"/>
        <v>39</v>
      </c>
      <c r="X607" s="64" t="str">
        <f t="shared" ca="1" si="28"/>
        <v>2</v>
      </c>
      <c r="Y607" s="82" t="str">
        <f t="shared" ca="1" si="29"/>
        <v>3</v>
      </c>
      <c r="Z607" s="87"/>
      <c r="AA607" s="87" t="s">
        <v>22</v>
      </c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</row>
    <row r="608" spans="1:57" ht="37.5" x14ac:dyDescent="0.35">
      <c r="A608" s="85">
        <v>6368</v>
      </c>
      <c r="B608" s="86">
        <v>2021</v>
      </c>
      <c r="C608" s="87" t="s">
        <v>38</v>
      </c>
      <c r="D608" s="87" t="s">
        <v>80</v>
      </c>
      <c r="E608" s="87" t="s">
        <v>81</v>
      </c>
      <c r="F608" s="87" t="s">
        <v>21</v>
      </c>
      <c r="G608" s="88">
        <v>1</v>
      </c>
      <c r="H608" s="85" t="s">
        <v>327</v>
      </c>
      <c r="I608" s="87" t="s">
        <v>344</v>
      </c>
      <c r="J608" s="85"/>
      <c r="K608" s="85"/>
      <c r="L608" s="85"/>
      <c r="M608" s="85">
        <v>1</v>
      </c>
      <c r="N608" s="59">
        <v>1</v>
      </c>
      <c r="O608" s="59"/>
      <c r="P608" s="59"/>
      <c r="Q608" s="59"/>
      <c r="R608" s="59"/>
      <c r="S608" s="59"/>
      <c r="T608" s="92"/>
      <c r="U608" s="85"/>
      <c r="V608" s="85"/>
      <c r="W608" s="83">
        <f t="shared" ca="1" si="27"/>
        <v>39</v>
      </c>
      <c r="X608" s="64" t="str">
        <f t="shared" ca="1" si="28"/>
        <v>2</v>
      </c>
      <c r="Y608" s="82" t="str">
        <f t="shared" ca="1" si="29"/>
        <v>3</v>
      </c>
      <c r="Z608" s="87"/>
      <c r="AA608" s="87" t="s">
        <v>22</v>
      </c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</row>
    <row r="609" spans="1:57" ht="37.5" x14ac:dyDescent="0.35">
      <c r="A609" s="85">
        <v>6368</v>
      </c>
      <c r="B609" s="86">
        <v>2021</v>
      </c>
      <c r="C609" s="87" t="s">
        <v>38</v>
      </c>
      <c r="D609" s="87" t="s">
        <v>80</v>
      </c>
      <c r="E609" s="87" t="s">
        <v>81</v>
      </c>
      <c r="F609" s="87" t="s">
        <v>21</v>
      </c>
      <c r="G609" s="88">
        <v>1</v>
      </c>
      <c r="H609" s="85" t="s">
        <v>327</v>
      </c>
      <c r="I609" s="87" t="s">
        <v>345</v>
      </c>
      <c r="J609" s="85"/>
      <c r="K609" s="85"/>
      <c r="L609" s="85">
        <v>54</v>
      </c>
      <c r="M609" s="85">
        <v>1</v>
      </c>
      <c r="N609" s="59"/>
      <c r="O609" s="59"/>
      <c r="P609" s="59"/>
      <c r="Q609" s="59"/>
      <c r="R609" s="59"/>
      <c r="S609" s="59"/>
      <c r="T609" s="92"/>
      <c r="U609" s="85"/>
      <c r="V609" s="85"/>
      <c r="W609" s="83">
        <f t="shared" ca="1" si="27"/>
        <v>39</v>
      </c>
      <c r="X609" s="64" t="str">
        <f t="shared" ca="1" si="28"/>
        <v>2</v>
      </c>
      <c r="Y609" s="82" t="str">
        <f t="shared" ca="1" si="29"/>
        <v>3</v>
      </c>
      <c r="Z609" s="87"/>
      <c r="AA609" s="87" t="s">
        <v>61</v>
      </c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</row>
    <row r="610" spans="1:57" ht="37.5" x14ac:dyDescent="0.35">
      <c r="A610" s="85">
        <v>6368</v>
      </c>
      <c r="B610" s="86">
        <v>2021</v>
      </c>
      <c r="C610" s="87" t="s">
        <v>38</v>
      </c>
      <c r="D610" s="87" t="s">
        <v>59</v>
      </c>
      <c r="E610" s="87" t="s">
        <v>20</v>
      </c>
      <c r="F610" s="87" t="s">
        <v>21</v>
      </c>
      <c r="G610" s="88">
        <v>0.75</v>
      </c>
      <c r="H610" s="85" t="s">
        <v>327</v>
      </c>
      <c r="I610" s="87" t="s">
        <v>346</v>
      </c>
      <c r="J610" s="85"/>
      <c r="K610" s="85"/>
      <c r="L610" s="85"/>
      <c r="M610" s="85">
        <v>1</v>
      </c>
      <c r="N610" s="59">
        <v>1</v>
      </c>
      <c r="O610" s="59"/>
      <c r="P610" s="59"/>
      <c r="Q610" s="59"/>
      <c r="R610" s="59"/>
      <c r="S610" s="59"/>
      <c r="T610" s="92"/>
      <c r="U610" s="85"/>
      <c r="V610" s="85"/>
      <c r="W610" s="83">
        <f t="shared" ca="1" si="27"/>
        <v>39</v>
      </c>
      <c r="X610" s="64" t="str">
        <f t="shared" ca="1" si="28"/>
        <v>2</v>
      </c>
      <c r="Y610" s="82" t="str">
        <f t="shared" ca="1" si="29"/>
        <v>3</v>
      </c>
      <c r="Z610" s="87"/>
      <c r="AA610" s="87" t="s">
        <v>61</v>
      </c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</row>
    <row r="611" spans="1:57" ht="37.5" x14ac:dyDescent="0.35">
      <c r="A611" s="85">
        <v>6368</v>
      </c>
      <c r="B611" s="86">
        <v>2021</v>
      </c>
      <c r="C611" s="87" t="s">
        <v>38</v>
      </c>
      <c r="D611" s="87" t="s">
        <v>59</v>
      </c>
      <c r="E611" s="87" t="s">
        <v>20</v>
      </c>
      <c r="F611" s="87" t="s">
        <v>21</v>
      </c>
      <c r="G611" s="88">
        <v>0.75</v>
      </c>
      <c r="H611" s="85" t="s">
        <v>327</v>
      </c>
      <c r="I611" s="87" t="s">
        <v>347</v>
      </c>
      <c r="J611" s="85"/>
      <c r="K611" s="85"/>
      <c r="L611" s="85">
        <v>216</v>
      </c>
      <c r="M611" s="85">
        <v>1</v>
      </c>
      <c r="N611" s="59"/>
      <c r="O611" s="59"/>
      <c r="P611" s="59"/>
      <c r="Q611" s="59"/>
      <c r="R611" s="59"/>
      <c r="S611" s="59"/>
      <c r="T611" s="92"/>
      <c r="U611" s="85"/>
      <c r="V611" s="85"/>
      <c r="W611" s="83">
        <f t="shared" ca="1" si="27"/>
        <v>39</v>
      </c>
      <c r="X611" s="64" t="str">
        <f t="shared" ca="1" si="28"/>
        <v>2</v>
      </c>
      <c r="Y611" s="82" t="str">
        <f t="shared" ca="1" si="29"/>
        <v>3</v>
      </c>
      <c r="Z611" s="87"/>
      <c r="AA611" s="87" t="s">
        <v>22</v>
      </c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</row>
    <row r="612" spans="1:57" ht="37.5" x14ac:dyDescent="0.35">
      <c r="A612" s="85">
        <v>4281</v>
      </c>
      <c r="B612" s="86">
        <v>2017</v>
      </c>
      <c r="C612" s="87" t="s">
        <v>35</v>
      </c>
      <c r="D612" s="87" t="s">
        <v>135</v>
      </c>
      <c r="E612" s="87" t="s">
        <v>20</v>
      </c>
      <c r="F612" s="87" t="s">
        <v>82</v>
      </c>
      <c r="G612" s="88">
        <v>1</v>
      </c>
      <c r="H612" s="85">
        <v>16097</v>
      </c>
      <c r="I612" s="87" t="s">
        <v>99</v>
      </c>
      <c r="J612" s="85">
        <v>4</v>
      </c>
      <c r="K612" s="85"/>
      <c r="L612" s="85">
        <v>8</v>
      </c>
      <c r="M612" s="85">
        <v>1</v>
      </c>
      <c r="N612" s="59"/>
      <c r="O612" s="59"/>
      <c r="P612" s="59"/>
      <c r="Q612" s="59"/>
      <c r="R612" s="59"/>
      <c r="S612" s="59"/>
      <c r="T612" s="92"/>
      <c r="U612" s="85"/>
      <c r="V612" s="85"/>
      <c r="W612" s="83">
        <f t="shared" ca="1" si="27"/>
        <v>24</v>
      </c>
      <c r="X612" s="64" t="str">
        <f t="shared" ca="1" si="28"/>
        <v>1</v>
      </c>
      <c r="Y612" s="82" t="str">
        <f t="shared" ca="1" si="29"/>
        <v>2</v>
      </c>
      <c r="Z612" s="87"/>
      <c r="AA612" s="87" t="s">
        <v>22</v>
      </c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</row>
    <row r="613" spans="1:57" ht="37.5" x14ac:dyDescent="0.35">
      <c r="A613" s="85">
        <v>4282</v>
      </c>
      <c r="B613" s="86">
        <v>2016</v>
      </c>
      <c r="C613" s="87" t="s">
        <v>35</v>
      </c>
      <c r="D613" s="87" t="s">
        <v>93</v>
      </c>
      <c r="E613" s="87" t="s">
        <v>28</v>
      </c>
      <c r="F613" s="87" t="s">
        <v>23</v>
      </c>
      <c r="G613" s="88">
        <v>1</v>
      </c>
      <c r="H613" s="85">
        <v>14908</v>
      </c>
      <c r="I613" s="87" t="s">
        <v>101</v>
      </c>
      <c r="J613" s="85">
        <v>4</v>
      </c>
      <c r="K613" s="85"/>
      <c r="L613" s="85">
        <v>8</v>
      </c>
      <c r="M613" s="85">
        <v>1</v>
      </c>
      <c r="N613" s="59"/>
      <c r="O613" s="59"/>
      <c r="P613" s="59"/>
      <c r="Q613" s="59"/>
      <c r="R613" s="59"/>
      <c r="S613" s="59"/>
      <c r="T613" s="92"/>
      <c r="U613" s="85"/>
      <c r="V613" s="85"/>
      <c r="W613" s="83">
        <f t="shared" ca="1" si="27"/>
        <v>15</v>
      </c>
      <c r="X613" s="64" t="str">
        <f t="shared" ca="1" si="28"/>
        <v>1</v>
      </c>
      <c r="Y613" s="82" t="str">
        <f t="shared" ca="1" si="29"/>
        <v>1</v>
      </c>
      <c r="Z613" s="87"/>
      <c r="AA613" s="87" t="s">
        <v>22</v>
      </c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</row>
    <row r="614" spans="1:57" ht="37.5" x14ac:dyDescent="0.35">
      <c r="A614" s="85">
        <v>4282</v>
      </c>
      <c r="B614" s="86">
        <v>2016</v>
      </c>
      <c r="C614" s="87" t="s">
        <v>35</v>
      </c>
      <c r="D614" s="87" t="s">
        <v>93</v>
      </c>
      <c r="E614" s="87" t="s">
        <v>28</v>
      </c>
      <c r="F614" s="87" t="s">
        <v>23</v>
      </c>
      <c r="G614" s="88">
        <v>1</v>
      </c>
      <c r="H614" s="85">
        <v>14908</v>
      </c>
      <c r="I614" s="87" t="s">
        <v>94</v>
      </c>
      <c r="J614" s="85">
        <v>4</v>
      </c>
      <c r="K614" s="85"/>
      <c r="L614" s="85">
        <v>8</v>
      </c>
      <c r="M614" s="85">
        <v>1</v>
      </c>
      <c r="N614" s="59"/>
      <c r="O614" s="59"/>
      <c r="P614" s="59"/>
      <c r="Q614" s="59"/>
      <c r="R614" s="59"/>
      <c r="S614" s="59"/>
      <c r="T614" s="92"/>
      <c r="U614" s="85"/>
      <c r="V614" s="85"/>
      <c r="W614" s="83">
        <f t="shared" ca="1" si="27"/>
        <v>15</v>
      </c>
      <c r="X614" s="64" t="str">
        <f t="shared" ca="1" si="28"/>
        <v>1</v>
      </c>
      <c r="Y614" s="82" t="str">
        <f t="shared" ca="1" si="29"/>
        <v>1</v>
      </c>
      <c r="Z614" s="87"/>
      <c r="AA614" s="87" t="s">
        <v>22</v>
      </c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</row>
    <row r="615" spans="1:57" ht="37.5" x14ac:dyDescent="0.35">
      <c r="A615" s="85">
        <v>4282</v>
      </c>
      <c r="B615" s="86">
        <v>2018</v>
      </c>
      <c r="C615" s="87" t="s">
        <v>35</v>
      </c>
      <c r="D615" s="87" t="s">
        <v>93</v>
      </c>
      <c r="E615" s="87" t="s">
        <v>28</v>
      </c>
      <c r="F615" s="87" t="s">
        <v>23</v>
      </c>
      <c r="G615" s="88">
        <v>0.75</v>
      </c>
      <c r="H615" s="85">
        <v>17244</v>
      </c>
      <c r="I615" s="87" t="s">
        <v>99</v>
      </c>
      <c r="J615" s="85">
        <v>4</v>
      </c>
      <c r="K615" s="85"/>
      <c r="L615" s="85">
        <v>8</v>
      </c>
      <c r="M615" s="85">
        <v>1</v>
      </c>
      <c r="N615" s="59"/>
      <c r="O615" s="59"/>
      <c r="P615" s="59"/>
      <c r="Q615" s="59"/>
      <c r="R615" s="59"/>
      <c r="S615" s="59"/>
      <c r="T615" s="92"/>
      <c r="U615" s="85"/>
      <c r="V615" s="85"/>
      <c r="W615" s="83">
        <f t="shared" ca="1" si="27"/>
        <v>11</v>
      </c>
      <c r="X615" s="64" t="str">
        <f t="shared" ca="1" si="28"/>
        <v>1</v>
      </c>
      <c r="Y615" s="82" t="str">
        <f t="shared" ca="1" si="29"/>
        <v>1</v>
      </c>
      <c r="Z615" s="87"/>
      <c r="AA615" s="87" t="s">
        <v>22</v>
      </c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</row>
    <row r="616" spans="1:57" ht="37.5" x14ac:dyDescent="0.35">
      <c r="A616" s="85">
        <v>4773</v>
      </c>
      <c r="B616" s="86">
        <v>2016</v>
      </c>
      <c r="C616" s="87" t="s">
        <v>35</v>
      </c>
      <c r="D616" s="87" t="s">
        <v>135</v>
      </c>
      <c r="E616" s="87" t="s">
        <v>20</v>
      </c>
      <c r="F616" s="87" t="s">
        <v>82</v>
      </c>
      <c r="G616" s="88">
        <v>1</v>
      </c>
      <c r="H616" s="85">
        <v>15073</v>
      </c>
      <c r="I616" s="87" t="s">
        <v>71</v>
      </c>
      <c r="J616" s="85">
        <v>4</v>
      </c>
      <c r="K616" s="85"/>
      <c r="L616" s="85">
        <v>8</v>
      </c>
      <c r="M616" s="85">
        <v>1</v>
      </c>
      <c r="N616" s="59"/>
      <c r="O616" s="59"/>
      <c r="P616" s="59"/>
      <c r="Q616" s="59"/>
      <c r="R616" s="59"/>
      <c r="S616" s="59"/>
      <c r="T616" s="92"/>
      <c r="U616" s="85"/>
      <c r="V616" s="85"/>
      <c r="W616" s="83">
        <f t="shared" ca="1" si="27"/>
        <v>20</v>
      </c>
      <c r="X616" s="64" t="str">
        <f t="shared" ca="1" si="28"/>
        <v>1</v>
      </c>
      <c r="Y616" s="82" t="str">
        <f t="shared" ca="1" si="29"/>
        <v>2</v>
      </c>
      <c r="Z616" s="87"/>
      <c r="AA616" s="87" t="s">
        <v>22</v>
      </c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</row>
    <row r="617" spans="1:57" ht="37.5" x14ac:dyDescent="0.35">
      <c r="A617" s="85">
        <v>4773</v>
      </c>
      <c r="B617" s="86">
        <v>2017</v>
      </c>
      <c r="C617" s="87" t="s">
        <v>35</v>
      </c>
      <c r="D617" s="87" t="s">
        <v>135</v>
      </c>
      <c r="E617" s="87" t="s">
        <v>20</v>
      </c>
      <c r="F617" s="87" t="s">
        <v>82</v>
      </c>
      <c r="G617" s="88">
        <v>1</v>
      </c>
      <c r="H617" s="85">
        <v>16095</v>
      </c>
      <c r="I617" s="87" t="s">
        <v>94</v>
      </c>
      <c r="J617" s="85">
        <v>6</v>
      </c>
      <c r="K617" s="85"/>
      <c r="L617" s="85">
        <v>12</v>
      </c>
      <c r="M617" s="85">
        <v>1</v>
      </c>
      <c r="N617" s="59"/>
      <c r="O617" s="59"/>
      <c r="P617" s="59"/>
      <c r="Q617" s="59"/>
      <c r="R617" s="59"/>
      <c r="S617" s="59"/>
      <c r="T617" s="92"/>
      <c r="U617" s="85"/>
      <c r="V617" s="85"/>
      <c r="W617" s="83">
        <f t="shared" ca="1" si="27"/>
        <v>22</v>
      </c>
      <c r="X617" s="64" t="str">
        <f t="shared" ca="1" si="28"/>
        <v>1</v>
      </c>
      <c r="Y617" s="82" t="str">
        <f t="shared" ca="1" si="29"/>
        <v>2</v>
      </c>
      <c r="Z617" s="87"/>
      <c r="AA617" s="87" t="s">
        <v>22</v>
      </c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</row>
    <row r="618" spans="1:57" ht="25" x14ac:dyDescent="0.35">
      <c r="A618" s="85">
        <v>4773</v>
      </c>
      <c r="B618" s="86">
        <v>2017</v>
      </c>
      <c r="C618" s="87" t="s">
        <v>35</v>
      </c>
      <c r="D618" s="87" t="s">
        <v>135</v>
      </c>
      <c r="E618" s="87" t="s">
        <v>20</v>
      </c>
      <c r="F618" s="87" t="s">
        <v>82</v>
      </c>
      <c r="G618" s="88">
        <v>1</v>
      </c>
      <c r="H618" s="85">
        <v>16095</v>
      </c>
      <c r="I618" s="87" t="s">
        <v>50</v>
      </c>
      <c r="J618" s="85">
        <v>4</v>
      </c>
      <c r="K618" s="85"/>
      <c r="L618" s="85">
        <v>6</v>
      </c>
      <c r="M618" s="85">
        <v>1</v>
      </c>
      <c r="N618" s="90"/>
      <c r="O618" s="59"/>
      <c r="P618" s="59"/>
      <c r="Q618" s="59"/>
      <c r="R618" s="59"/>
      <c r="S618" s="59"/>
      <c r="T618" s="92"/>
      <c r="U618" s="85"/>
      <c r="V618" s="85"/>
      <c r="W618" s="83">
        <f t="shared" ca="1" si="27"/>
        <v>22</v>
      </c>
      <c r="X618" s="64" t="str">
        <f t="shared" ca="1" si="28"/>
        <v>1</v>
      </c>
      <c r="Y618" s="82" t="str">
        <f t="shared" ca="1" si="29"/>
        <v>2</v>
      </c>
      <c r="Z618" s="87"/>
      <c r="AA618" s="87" t="s">
        <v>22</v>
      </c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</row>
    <row r="619" spans="1:57" ht="51" customHeight="1" x14ac:dyDescent="0.35">
      <c r="A619" s="85">
        <v>5933</v>
      </c>
      <c r="B619" s="86">
        <v>2018</v>
      </c>
      <c r="C619" s="87" t="s">
        <v>35</v>
      </c>
      <c r="D619" s="87" t="s">
        <v>93</v>
      </c>
      <c r="E619" s="87" t="s">
        <v>28</v>
      </c>
      <c r="F619" s="87" t="s">
        <v>23</v>
      </c>
      <c r="G619" s="88">
        <v>0.75</v>
      </c>
      <c r="H619" s="85">
        <v>17241</v>
      </c>
      <c r="I619" s="87" t="s">
        <v>194</v>
      </c>
      <c r="J619" s="85">
        <v>4</v>
      </c>
      <c r="K619" s="85">
        <v>6</v>
      </c>
      <c r="L619" s="85"/>
      <c r="M619" s="85">
        <v>1</v>
      </c>
      <c r="N619" s="59"/>
      <c r="O619" s="59"/>
      <c r="P619" s="59"/>
      <c r="Q619" s="59"/>
      <c r="R619" s="59"/>
      <c r="S619" s="59"/>
      <c r="T619" s="92"/>
      <c r="U619" s="85"/>
      <c r="V619" s="85"/>
      <c r="W619" s="83">
        <f t="shared" ca="1" si="27"/>
        <v>8</v>
      </c>
      <c r="X619" s="64" t="str">
        <f t="shared" ca="1" si="28"/>
        <v>1</v>
      </c>
      <c r="Y619" s="82" t="str">
        <f t="shared" ca="1" si="29"/>
        <v>1</v>
      </c>
      <c r="Z619" s="87"/>
      <c r="AA619" s="87" t="s">
        <v>22</v>
      </c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</row>
    <row r="620" spans="1:57" ht="25" x14ac:dyDescent="0.35">
      <c r="A620" s="85">
        <v>5933</v>
      </c>
      <c r="B620" s="86">
        <v>2018</v>
      </c>
      <c r="C620" s="87" t="s">
        <v>35</v>
      </c>
      <c r="D620" s="87" t="s">
        <v>93</v>
      </c>
      <c r="E620" s="87" t="s">
        <v>28</v>
      </c>
      <c r="F620" s="87" t="s">
        <v>23</v>
      </c>
      <c r="G620" s="88">
        <v>0.75</v>
      </c>
      <c r="H620" s="85">
        <v>17241</v>
      </c>
      <c r="I620" s="87" t="s">
        <v>201</v>
      </c>
      <c r="J620" s="85">
        <v>4</v>
      </c>
      <c r="K620" s="85">
        <v>12</v>
      </c>
      <c r="L620" s="85"/>
      <c r="M620" s="85">
        <v>1</v>
      </c>
      <c r="N620" s="59"/>
      <c r="O620" s="59"/>
      <c r="P620" s="59"/>
      <c r="Q620" s="59"/>
      <c r="R620" s="59"/>
      <c r="S620" s="59"/>
      <c r="T620" s="92"/>
      <c r="U620" s="85"/>
      <c r="V620" s="85"/>
      <c r="W620" s="83">
        <f t="shared" ca="1" si="27"/>
        <v>8</v>
      </c>
      <c r="X620" s="64" t="str">
        <f t="shared" ca="1" si="28"/>
        <v>1</v>
      </c>
      <c r="Y620" s="82" t="str">
        <f t="shared" ca="1" si="29"/>
        <v>1</v>
      </c>
      <c r="Z620" s="87"/>
      <c r="AA620" s="87" t="s">
        <v>22</v>
      </c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</row>
    <row r="621" spans="1:57" ht="50" x14ac:dyDescent="0.35">
      <c r="A621" s="85">
        <v>5761</v>
      </c>
      <c r="B621" s="86">
        <v>2018</v>
      </c>
      <c r="C621" s="87" t="s">
        <v>35</v>
      </c>
      <c r="D621" s="87" t="s">
        <v>93</v>
      </c>
      <c r="E621" s="87" t="s">
        <v>28</v>
      </c>
      <c r="F621" s="87" t="s">
        <v>23</v>
      </c>
      <c r="G621" s="88">
        <v>0.75</v>
      </c>
      <c r="H621" s="85">
        <v>17247</v>
      </c>
      <c r="I621" s="87" t="s">
        <v>233</v>
      </c>
      <c r="J621" s="85"/>
      <c r="K621" s="85"/>
      <c r="L621" s="85"/>
      <c r="M621" s="85"/>
      <c r="N621" s="59"/>
      <c r="O621" s="59"/>
      <c r="P621" s="59"/>
      <c r="Q621" s="59"/>
      <c r="R621" s="59"/>
      <c r="S621" s="59"/>
      <c r="T621" s="92"/>
      <c r="U621" s="85"/>
      <c r="V621" s="85">
        <v>8</v>
      </c>
      <c r="W621" s="83">
        <f t="shared" ca="1" si="27"/>
        <v>14</v>
      </c>
      <c r="X621" s="64" t="str">
        <f t="shared" ca="1" si="28"/>
        <v>1</v>
      </c>
      <c r="Y621" s="82" t="str">
        <f t="shared" ca="1" si="29"/>
        <v>1</v>
      </c>
      <c r="Z621" s="87"/>
      <c r="AA621" s="87" t="s">
        <v>22</v>
      </c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</row>
    <row r="622" spans="1:57" ht="50" x14ac:dyDescent="0.35">
      <c r="A622" s="85">
        <v>5761</v>
      </c>
      <c r="B622" s="86">
        <v>2018</v>
      </c>
      <c r="C622" s="87" t="s">
        <v>35</v>
      </c>
      <c r="D622" s="87" t="s">
        <v>93</v>
      </c>
      <c r="E622" s="87" t="s">
        <v>28</v>
      </c>
      <c r="F622" s="87" t="s">
        <v>23</v>
      </c>
      <c r="G622" s="88">
        <v>0.75</v>
      </c>
      <c r="H622" s="85">
        <v>17247</v>
      </c>
      <c r="I622" s="87" t="s">
        <v>234</v>
      </c>
      <c r="J622" s="85"/>
      <c r="K622" s="85"/>
      <c r="L622" s="85"/>
      <c r="M622" s="85"/>
      <c r="N622" s="90"/>
      <c r="O622" s="59"/>
      <c r="P622" s="59"/>
      <c r="Q622" s="59"/>
      <c r="R622" s="59"/>
      <c r="S622" s="59"/>
      <c r="T622" s="92"/>
      <c r="U622" s="85"/>
      <c r="V622" s="85">
        <v>8</v>
      </c>
      <c r="W622" s="83">
        <f t="shared" ca="1" si="27"/>
        <v>14</v>
      </c>
      <c r="X622" s="64" t="str">
        <f t="shared" ca="1" si="28"/>
        <v>1</v>
      </c>
      <c r="Y622" s="82" t="str">
        <f t="shared" ca="1" si="29"/>
        <v>1</v>
      </c>
      <c r="Z622" s="87"/>
      <c r="AA622" s="87" t="s">
        <v>22</v>
      </c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</row>
    <row r="623" spans="1:57" ht="37.5" x14ac:dyDescent="0.35">
      <c r="A623" s="85">
        <v>5762</v>
      </c>
      <c r="B623" s="86">
        <v>2017</v>
      </c>
      <c r="C623" s="87" t="s">
        <v>35</v>
      </c>
      <c r="D623" s="87" t="s">
        <v>72</v>
      </c>
      <c r="E623" s="87" t="s">
        <v>26</v>
      </c>
      <c r="F623" s="87" t="s">
        <v>25</v>
      </c>
      <c r="G623" s="88">
        <v>1</v>
      </c>
      <c r="H623" s="85">
        <v>16595</v>
      </c>
      <c r="I623" s="87" t="s">
        <v>235</v>
      </c>
      <c r="J623" s="85"/>
      <c r="K623" s="85"/>
      <c r="L623" s="85"/>
      <c r="M623" s="85"/>
      <c r="N623" s="90"/>
      <c r="O623" s="59"/>
      <c r="P623" s="59"/>
      <c r="Q623" s="59"/>
      <c r="R623" s="59"/>
      <c r="S623" s="59"/>
      <c r="T623" s="92"/>
      <c r="U623" s="85">
        <v>7</v>
      </c>
      <c r="V623" s="85"/>
      <c r="W623" s="83">
        <f t="shared" ca="1" si="27"/>
        <v>10</v>
      </c>
      <c r="X623" s="64" t="str">
        <f t="shared" ca="1" si="28"/>
        <v>1</v>
      </c>
      <c r="Y623" s="82" t="str">
        <f t="shared" ca="1" si="29"/>
        <v>1</v>
      </c>
      <c r="Z623" s="87"/>
      <c r="AA623" s="87" t="s">
        <v>22</v>
      </c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</row>
    <row r="624" spans="1:57" ht="37.5" x14ac:dyDescent="0.35">
      <c r="A624" s="85">
        <v>5762</v>
      </c>
      <c r="B624" s="86">
        <v>2017</v>
      </c>
      <c r="C624" s="87" t="s">
        <v>35</v>
      </c>
      <c r="D624" s="87" t="s">
        <v>72</v>
      </c>
      <c r="E624" s="87" t="s">
        <v>26</v>
      </c>
      <c r="F624" s="87" t="s">
        <v>25</v>
      </c>
      <c r="G624" s="88">
        <v>1</v>
      </c>
      <c r="H624" s="85">
        <v>16595</v>
      </c>
      <c r="I624" s="87" t="s">
        <v>372</v>
      </c>
      <c r="J624" s="85"/>
      <c r="K624" s="85"/>
      <c r="L624" s="85"/>
      <c r="M624" s="85"/>
      <c r="N624" s="90"/>
      <c r="O624" s="59"/>
      <c r="P624" s="59"/>
      <c r="Q624" s="59"/>
      <c r="R624" s="59"/>
      <c r="S624" s="59"/>
      <c r="T624" s="92"/>
      <c r="U624" s="85">
        <v>2</v>
      </c>
      <c r="V624" s="85"/>
      <c r="W624" s="83">
        <f t="shared" ca="1" si="27"/>
        <v>10</v>
      </c>
      <c r="X624" s="64" t="str">
        <f t="shared" ca="1" si="28"/>
        <v>1</v>
      </c>
      <c r="Y624" s="82" t="str">
        <f t="shared" ca="1" si="29"/>
        <v>1</v>
      </c>
      <c r="Z624" s="87"/>
      <c r="AA624" s="87" t="s">
        <v>61</v>
      </c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</row>
    <row r="625" spans="1:57" ht="25" x14ac:dyDescent="0.35">
      <c r="A625" s="85">
        <v>5762</v>
      </c>
      <c r="B625" s="86">
        <v>2017</v>
      </c>
      <c r="C625" s="87" t="s">
        <v>35</v>
      </c>
      <c r="D625" s="87" t="s">
        <v>72</v>
      </c>
      <c r="E625" s="87" t="s">
        <v>26</v>
      </c>
      <c r="F625" s="87" t="s">
        <v>25</v>
      </c>
      <c r="G625" s="88">
        <v>1</v>
      </c>
      <c r="H625" s="85">
        <v>16595</v>
      </c>
      <c r="I625" s="87" t="s">
        <v>302</v>
      </c>
      <c r="J625" s="85"/>
      <c r="K625" s="85"/>
      <c r="L625" s="85"/>
      <c r="M625" s="85"/>
      <c r="N625" s="59"/>
      <c r="O625" s="59"/>
      <c r="P625" s="59"/>
      <c r="Q625" s="59"/>
      <c r="R625" s="59"/>
      <c r="S625" s="59"/>
      <c r="T625" s="92"/>
      <c r="U625" s="85"/>
      <c r="V625" s="85">
        <v>18</v>
      </c>
      <c r="W625" s="83">
        <f t="shared" ca="1" si="27"/>
        <v>10</v>
      </c>
      <c r="X625" s="64" t="str">
        <f t="shared" ca="1" si="28"/>
        <v>1</v>
      </c>
      <c r="Y625" s="82" t="str">
        <f t="shared" ca="1" si="29"/>
        <v>1</v>
      </c>
      <c r="Z625" s="87"/>
      <c r="AA625" s="87" t="s">
        <v>22</v>
      </c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</row>
    <row r="626" spans="1:57" ht="25" x14ac:dyDescent="0.35">
      <c r="A626" s="85">
        <v>5762</v>
      </c>
      <c r="B626" s="86">
        <v>2017</v>
      </c>
      <c r="C626" s="87" t="s">
        <v>35</v>
      </c>
      <c r="D626" s="87" t="s">
        <v>116</v>
      </c>
      <c r="E626" s="87" t="s">
        <v>28</v>
      </c>
      <c r="F626" s="87" t="s">
        <v>56</v>
      </c>
      <c r="G626" s="88">
        <v>1</v>
      </c>
      <c r="H626" s="85">
        <v>16595</v>
      </c>
      <c r="I626" s="87" t="s">
        <v>231</v>
      </c>
      <c r="J626" s="85">
        <v>2</v>
      </c>
      <c r="K626" s="85"/>
      <c r="L626" s="85"/>
      <c r="M626" s="85"/>
      <c r="N626" s="59"/>
      <c r="O626" s="59"/>
      <c r="P626" s="59"/>
      <c r="Q626" s="59"/>
      <c r="R626" s="59"/>
      <c r="S626" s="59"/>
      <c r="T626" s="92"/>
      <c r="U626" s="85"/>
      <c r="V626" s="85"/>
      <c r="W626" s="83">
        <f t="shared" ca="1" si="27"/>
        <v>10</v>
      </c>
      <c r="X626" s="64" t="str">
        <f t="shared" ca="1" si="28"/>
        <v>1</v>
      </c>
      <c r="Y626" s="82" t="str">
        <f t="shared" ca="1" si="29"/>
        <v>1</v>
      </c>
      <c r="Z626" s="87"/>
      <c r="AA626" s="87" t="s">
        <v>22</v>
      </c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</row>
    <row r="627" spans="1:57" ht="37.5" x14ac:dyDescent="0.35">
      <c r="A627" s="85">
        <v>5762</v>
      </c>
      <c r="B627" s="86">
        <v>2017</v>
      </c>
      <c r="C627" s="87" t="s">
        <v>35</v>
      </c>
      <c r="D627" s="87" t="s">
        <v>116</v>
      </c>
      <c r="E627" s="87" t="s">
        <v>28</v>
      </c>
      <c r="F627" s="87" t="s">
        <v>56</v>
      </c>
      <c r="G627" s="88">
        <v>1</v>
      </c>
      <c r="H627" s="85">
        <v>16595</v>
      </c>
      <c r="I627" s="87" t="s">
        <v>236</v>
      </c>
      <c r="J627" s="85">
        <v>4</v>
      </c>
      <c r="K627" s="85"/>
      <c r="L627" s="85"/>
      <c r="M627" s="85"/>
      <c r="N627" s="59"/>
      <c r="O627" s="90"/>
      <c r="P627" s="59"/>
      <c r="Q627" s="59"/>
      <c r="R627" s="59"/>
      <c r="S627" s="59"/>
      <c r="T627" s="92"/>
      <c r="U627" s="85"/>
      <c r="V627" s="85"/>
      <c r="W627" s="83">
        <f t="shared" ca="1" si="27"/>
        <v>10</v>
      </c>
      <c r="X627" s="64" t="str">
        <f t="shared" ca="1" si="28"/>
        <v>1</v>
      </c>
      <c r="Y627" s="82" t="str">
        <f t="shared" ca="1" si="29"/>
        <v>1</v>
      </c>
      <c r="Z627" s="87"/>
      <c r="AA627" s="87" t="s">
        <v>22</v>
      </c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</row>
    <row r="628" spans="1:57" ht="25" x14ac:dyDescent="0.35">
      <c r="A628" s="85">
        <v>5762</v>
      </c>
      <c r="B628" s="86">
        <v>2017</v>
      </c>
      <c r="C628" s="87" t="s">
        <v>35</v>
      </c>
      <c r="D628" s="87" t="s">
        <v>116</v>
      </c>
      <c r="E628" s="87" t="s">
        <v>28</v>
      </c>
      <c r="F628" s="87" t="s">
        <v>56</v>
      </c>
      <c r="G628" s="88">
        <v>1</v>
      </c>
      <c r="H628" s="85">
        <v>16595</v>
      </c>
      <c r="I628" s="87" t="s">
        <v>237</v>
      </c>
      <c r="J628" s="85">
        <v>3</v>
      </c>
      <c r="K628" s="85">
        <v>6</v>
      </c>
      <c r="L628" s="85"/>
      <c r="M628" s="85">
        <v>1</v>
      </c>
      <c r="N628" s="90"/>
      <c r="O628" s="59">
        <v>1</v>
      </c>
      <c r="P628" s="59"/>
      <c r="Q628" s="59"/>
      <c r="R628" s="59"/>
      <c r="S628" s="59"/>
      <c r="T628" s="92"/>
      <c r="U628" s="85"/>
      <c r="V628" s="85"/>
      <c r="W628" s="83">
        <f t="shared" ca="1" si="27"/>
        <v>10</v>
      </c>
      <c r="X628" s="64" t="str">
        <f t="shared" ca="1" si="28"/>
        <v>1</v>
      </c>
      <c r="Y628" s="82" t="str">
        <f t="shared" ca="1" si="29"/>
        <v>1</v>
      </c>
      <c r="Z628" s="87"/>
      <c r="AA628" s="87" t="s">
        <v>22</v>
      </c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</row>
    <row r="629" spans="1:57" ht="37.5" x14ac:dyDescent="0.35">
      <c r="A629" s="85">
        <v>5762</v>
      </c>
      <c r="B629" s="86">
        <v>2017</v>
      </c>
      <c r="C629" s="87" t="s">
        <v>35</v>
      </c>
      <c r="D629" s="87" t="s">
        <v>116</v>
      </c>
      <c r="E629" s="87" t="s">
        <v>28</v>
      </c>
      <c r="F629" s="87" t="s">
        <v>56</v>
      </c>
      <c r="G629" s="88">
        <v>1</v>
      </c>
      <c r="H629" s="85">
        <v>16595</v>
      </c>
      <c r="I629" s="87" t="s">
        <v>235</v>
      </c>
      <c r="J629" s="85"/>
      <c r="K629" s="85"/>
      <c r="L629" s="85"/>
      <c r="M629" s="85"/>
      <c r="N629" s="59"/>
      <c r="O629" s="59"/>
      <c r="P629" s="59"/>
      <c r="Q629" s="59"/>
      <c r="R629" s="59"/>
      <c r="S629" s="59"/>
      <c r="T629" s="92"/>
      <c r="U629" s="85">
        <v>23</v>
      </c>
      <c r="V629" s="85"/>
      <c r="W629" s="83">
        <f t="shared" ca="1" si="27"/>
        <v>10</v>
      </c>
      <c r="X629" s="64" t="str">
        <f t="shared" ca="1" si="28"/>
        <v>1</v>
      </c>
      <c r="Y629" s="82" t="str">
        <f t="shared" ca="1" si="29"/>
        <v>1</v>
      </c>
      <c r="Z629" s="87"/>
      <c r="AA629" s="87" t="s">
        <v>22</v>
      </c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</row>
    <row r="630" spans="1:57" ht="37.5" x14ac:dyDescent="0.35">
      <c r="A630" s="85">
        <v>5762</v>
      </c>
      <c r="B630" s="86">
        <v>2017</v>
      </c>
      <c r="C630" s="87" t="s">
        <v>35</v>
      </c>
      <c r="D630" s="87" t="s">
        <v>116</v>
      </c>
      <c r="E630" s="87" t="s">
        <v>28</v>
      </c>
      <c r="F630" s="87" t="s">
        <v>56</v>
      </c>
      <c r="G630" s="88">
        <v>1</v>
      </c>
      <c r="H630" s="85">
        <v>16595</v>
      </c>
      <c r="I630" s="87" t="s">
        <v>372</v>
      </c>
      <c r="J630" s="85"/>
      <c r="K630" s="85"/>
      <c r="L630" s="85"/>
      <c r="M630" s="85"/>
      <c r="N630" s="59"/>
      <c r="O630" s="59"/>
      <c r="P630" s="59"/>
      <c r="Q630" s="59"/>
      <c r="R630" s="59"/>
      <c r="S630" s="59"/>
      <c r="T630" s="92"/>
      <c r="U630" s="85">
        <v>6</v>
      </c>
      <c r="V630" s="85"/>
      <c r="W630" s="83">
        <f t="shared" ca="1" si="27"/>
        <v>10</v>
      </c>
      <c r="X630" s="64" t="str">
        <f t="shared" ca="1" si="28"/>
        <v>1</v>
      </c>
      <c r="Y630" s="82" t="str">
        <f t="shared" ca="1" si="29"/>
        <v>1</v>
      </c>
      <c r="Z630" s="87"/>
      <c r="AA630" s="87" t="s">
        <v>22</v>
      </c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</row>
    <row r="631" spans="1:57" ht="25" x14ac:dyDescent="0.35">
      <c r="A631" s="85">
        <v>5762</v>
      </c>
      <c r="B631" s="86">
        <v>2017</v>
      </c>
      <c r="C631" s="87" t="s">
        <v>35</v>
      </c>
      <c r="D631" s="87" t="s">
        <v>116</v>
      </c>
      <c r="E631" s="87" t="s">
        <v>28</v>
      </c>
      <c r="F631" s="87" t="s">
        <v>56</v>
      </c>
      <c r="G631" s="88">
        <v>1</v>
      </c>
      <c r="H631" s="85">
        <v>16595</v>
      </c>
      <c r="I631" s="87" t="s">
        <v>302</v>
      </c>
      <c r="J631" s="85"/>
      <c r="K631" s="85"/>
      <c r="L631" s="85"/>
      <c r="M631" s="85"/>
      <c r="N631" s="59"/>
      <c r="O631" s="59"/>
      <c r="P631" s="59"/>
      <c r="Q631" s="59"/>
      <c r="R631" s="59"/>
      <c r="S631" s="59"/>
      <c r="T631" s="92"/>
      <c r="U631" s="85"/>
      <c r="V631" s="85">
        <v>54</v>
      </c>
      <c r="W631" s="83">
        <f t="shared" ca="1" si="27"/>
        <v>10</v>
      </c>
      <c r="X631" s="64" t="str">
        <f t="shared" ca="1" si="28"/>
        <v>1</v>
      </c>
      <c r="Y631" s="82" t="str">
        <f t="shared" ca="1" si="29"/>
        <v>1</v>
      </c>
      <c r="Z631" s="87"/>
      <c r="AA631" s="87" t="s">
        <v>22</v>
      </c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</row>
    <row r="632" spans="1:57" ht="37.5" x14ac:dyDescent="0.35">
      <c r="A632" s="85">
        <v>5762</v>
      </c>
      <c r="B632" s="86">
        <v>2017</v>
      </c>
      <c r="C632" s="87" t="s">
        <v>35</v>
      </c>
      <c r="D632" s="87" t="s">
        <v>36</v>
      </c>
      <c r="E632" s="87" t="s">
        <v>26</v>
      </c>
      <c r="F632" s="87" t="s">
        <v>25</v>
      </c>
      <c r="G632" s="88">
        <v>1</v>
      </c>
      <c r="H632" s="85">
        <v>16595</v>
      </c>
      <c r="I632" s="87" t="s">
        <v>235</v>
      </c>
      <c r="J632" s="85"/>
      <c r="K632" s="85"/>
      <c r="L632" s="85"/>
      <c r="M632" s="85"/>
      <c r="N632" s="90"/>
      <c r="O632" s="90"/>
      <c r="P632" s="90"/>
      <c r="Q632" s="90"/>
      <c r="R632" s="90"/>
      <c r="S632" s="90"/>
      <c r="T632" s="92"/>
      <c r="U632" s="85">
        <v>8</v>
      </c>
      <c r="V632" s="85"/>
      <c r="W632" s="83">
        <f t="shared" ca="1" si="27"/>
        <v>10</v>
      </c>
      <c r="X632" s="64" t="str">
        <f t="shared" ca="1" si="28"/>
        <v>1</v>
      </c>
      <c r="Y632" s="82" t="str">
        <f t="shared" ca="1" si="29"/>
        <v>1</v>
      </c>
      <c r="Z632" s="87"/>
      <c r="AA632" s="87" t="s">
        <v>22</v>
      </c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</row>
    <row r="633" spans="1:57" ht="37.5" x14ac:dyDescent="0.35">
      <c r="A633" s="85">
        <v>5762</v>
      </c>
      <c r="B633" s="86">
        <v>2017</v>
      </c>
      <c r="C633" s="87" t="s">
        <v>35</v>
      </c>
      <c r="D633" s="87" t="s">
        <v>36</v>
      </c>
      <c r="E633" s="87" t="s">
        <v>26</v>
      </c>
      <c r="F633" s="87" t="s">
        <v>25</v>
      </c>
      <c r="G633" s="88">
        <v>1</v>
      </c>
      <c r="H633" s="85">
        <v>16595</v>
      </c>
      <c r="I633" s="87" t="s">
        <v>372</v>
      </c>
      <c r="J633" s="85"/>
      <c r="K633" s="85"/>
      <c r="L633" s="85"/>
      <c r="M633" s="85"/>
      <c r="N633" s="90"/>
      <c r="O633" s="90"/>
      <c r="P633" s="90"/>
      <c r="Q633" s="90"/>
      <c r="R633" s="90"/>
      <c r="S633" s="90"/>
      <c r="T633" s="92"/>
      <c r="U633" s="85">
        <v>2</v>
      </c>
      <c r="V633" s="85"/>
      <c r="W633" s="83">
        <f t="shared" ca="1" si="27"/>
        <v>10</v>
      </c>
      <c r="X633" s="64" t="str">
        <f t="shared" ca="1" si="28"/>
        <v>1</v>
      </c>
      <c r="Y633" s="82" t="str">
        <f t="shared" ca="1" si="29"/>
        <v>1</v>
      </c>
      <c r="Z633" s="87"/>
      <c r="AA633" s="87" t="s">
        <v>22</v>
      </c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</row>
    <row r="634" spans="1:57" ht="51" customHeight="1" x14ac:dyDescent="0.35">
      <c r="A634" s="85">
        <v>5762</v>
      </c>
      <c r="B634" s="86">
        <v>2017</v>
      </c>
      <c r="C634" s="87" t="s">
        <v>35</v>
      </c>
      <c r="D634" s="87" t="s">
        <v>36</v>
      </c>
      <c r="E634" s="87" t="s">
        <v>26</v>
      </c>
      <c r="F634" s="87" t="s">
        <v>25</v>
      </c>
      <c r="G634" s="88">
        <v>1</v>
      </c>
      <c r="H634" s="85">
        <v>16595</v>
      </c>
      <c r="I634" s="87" t="s">
        <v>302</v>
      </c>
      <c r="J634" s="85"/>
      <c r="K634" s="85"/>
      <c r="L634" s="85"/>
      <c r="M634" s="85"/>
      <c r="N634" s="90"/>
      <c r="O634" s="90"/>
      <c r="P634" s="90"/>
      <c r="Q634" s="90"/>
      <c r="R634" s="90"/>
      <c r="S634" s="90"/>
      <c r="T634" s="92"/>
      <c r="U634" s="85"/>
      <c r="V634" s="85">
        <v>18</v>
      </c>
      <c r="W634" s="83">
        <f t="shared" ca="1" si="27"/>
        <v>10</v>
      </c>
      <c r="X634" s="64" t="str">
        <f t="shared" ca="1" si="28"/>
        <v>1</v>
      </c>
      <c r="Y634" s="82" t="str">
        <f t="shared" ca="1" si="29"/>
        <v>1</v>
      </c>
      <c r="Z634" s="87"/>
      <c r="AA634" s="87" t="s">
        <v>22</v>
      </c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</row>
    <row r="635" spans="1:57" ht="25" x14ac:dyDescent="0.35">
      <c r="A635" s="85">
        <v>5762</v>
      </c>
      <c r="B635" s="86">
        <v>2017</v>
      </c>
      <c r="C635" s="87" t="s">
        <v>35</v>
      </c>
      <c r="D635" s="87" t="s">
        <v>130</v>
      </c>
      <c r="E635" s="87" t="s">
        <v>26</v>
      </c>
      <c r="F635" s="87" t="s">
        <v>25</v>
      </c>
      <c r="G635" s="88">
        <v>1</v>
      </c>
      <c r="H635" s="85">
        <v>16595</v>
      </c>
      <c r="I635" s="87" t="s">
        <v>238</v>
      </c>
      <c r="J635" s="85"/>
      <c r="K635" s="85">
        <v>9</v>
      </c>
      <c r="L635" s="85"/>
      <c r="M635" s="85">
        <v>1</v>
      </c>
      <c r="N635" s="90"/>
      <c r="O635" s="90"/>
      <c r="P635" s="90">
        <v>1</v>
      </c>
      <c r="Q635" s="90"/>
      <c r="R635" s="90"/>
      <c r="S635" s="90"/>
      <c r="T635" s="92"/>
      <c r="U635" s="85"/>
      <c r="V635" s="85"/>
      <c r="W635" s="83">
        <f t="shared" ca="1" si="27"/>
        <v>10</v>
      </c>
      <c r="X635" s="64" t="str">
        <f t="shared" ca="1" si="28"/>
        <v>1</v>
      </c>
      <c r="Y635" s="82" t="str">
        <f t="shared" ca="1" si="29"/>
        <v>1</v>
      </c>
      <c r="Z635" s="87"/>
      <c r="AA635" s="87" t="s">
        <v>22</v>
      </c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</row>
    <row r="636" spans="1:57" ht="25" x14ac:dyDescent="0.35">
      <c r="A636" s="85">
        <v>5762</v>
      </c>
      <c r="B636" s="86">
        <v>2017</v>
      </c>
      <c r="C636" s="87" t="s">
        <v>35</v>
      </c>
      <c r="D636" s="87" t="s">
        <v>130</v>
      </c>
      <c r="E636" s="87" t="s">
        <v>26</v>
      </c>
      <c r="F636" s="87" t="s">
        <v>25</v>
      </c>
      <c r="G636" s="88">
        <v>1</v>
      </c>
      <c r="H636" s="85">
        <v>16595</v>
      </c>
      <c r="I636" s="87" t="s">
        <v>239</v>
      </c>
      <c r="J636" s="85"/>
      <c r="K636" s="85"/>
      <c r="L636" s="85"/>
      <c r="M636" s="85">
        <v>1</v>
      </c>
      <c r="N636" s="90">
        <v>1</v>
      </c>
      <c r="O636" s="90"/>
      <c r="P636" s="90"/>
      <c r="Q636" s="90"/>
      <c r="R636" s="90"/>
      <c r="S636" s="90"/>
      <c r="T636" s="92"/>
      <c r="U636" s="85"/>
      <c r="V636" s="85"/>
      <c r="W636" s="83">
        <f t="shared" ca="1" si="27"/>
        <v>10</v>
      </c>
      <c r="X636" s="64" t="str">
        <f t="shared" ca="1" si="28"/>
        <v>1</v>
      </c>
      <c r="Y636" s="82" t="str">
        <f t="shared" ca="1" si="29"/>
        <v>1</v>
      </c>
      <c r="Z636" s="87"/>
      <c r="AA636" s="87" t="s">
        <v>22</v>
      </c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</row>
    <row r="637" spans="1:57" ht="37.5" x14ac:dyDescent="0.35">
      <c r="A637" s="85">
        <v>5762</v>
      </c>
      <c r="B637" s="86">
        <v>2017</v>
      </c>
      <c r="C637" s="87" t="s">
        <v>35</v>
      </c>
      <c r="D637" s="87" t="s">
        <v>130</v>
      </c>
      <c r="E637" s="87" t="s">
        <v>26</v>
      </c>
      <c r="F637" s="87" t="s">
        <v>25</v>
      </c>
      <c r="G637" s="88">
        <v>1</v>
      </c>
      <c r="H637" s="85">
        <v>16595</v>
      </c>
      <c r="I637" s="87" t="s">
        <v>240</v>
      </c>
      <c r="J637" s="85">
        <v>4</v>
      </c>
      <c r="K637" s="85"/>
      <c r="L637" s="85"/>
      <c r="M637" s="85"/>
      <c r="N637" s="90"/>
      <c r="O637" s="90"/>
      <c r="P637" s="90"/>
      <c r="Q637" s="90"/>
      <c r="R637" s="90"/>
      <c r="S637" s="90"/>
      <c r="T637" s="92"/>
      <c r="U637" s="85"/>
      <c r="V637" s="85"/>
      <c r="W637" s="83">
        <f t="shared" ca="1" si="27"/>
        <v>10</v>
      </c>
      <c r="X637" s="64" t="str">
        <f t="shared" ca="1" si="28"/>
        <v>1</v>
      </c>
      <c r="Y637" s="82" t="str">
        <f t="shared" ca="1" si="29"/>
        <v>1</v>
      </c>
      <c r="Z637" s="87"/>
      <c r="AA637" s="87" t="s">
        <v>22</v>
      </c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</row>
    <row r="638" spans="1:57" ht="50" x14ac:dyDescent="0.35">
      <c r="A638" s="85">
        <v>5762</v>
      </c>
      <c r="B638" s="86">
        <v>2017</v>
      </c>
      <c r="C638" s="87" t="s">
        <v>35</v>
      </c>
      <c r="D638" s="87" t="s">
        <v>130</v>
      </c>
      <c r="E638" s="87" t="s">
        <v>26</v>
      </c>
      <c r="F638" s="87" t="s">
        <v>25</v>
      </c>
      <c r="G638" s="88">
        <v>1</v>
      </c>
      <c r="H638" s="85">
        <v>16595</v>
      </c>
      <c r="I638" s="87" t="s">
        <v>241</v>
      </c>
      <c r="J638" s="85">
        <v>4</v>
      </c>
      <c r="K638" s="85"/>
      <c r="L638" s="85"/>
      <c r="M638" s="85"/>
      <c r="N638" s="90"/>
      <c r="O638" s="90"/>
      <c r="P638" s="90"/>
      <c r="Q638" s="90"/>
      <c r="R638" s="90"/>
      <c r="S638" s="90"/>
      <c r="T638" s="92"/>
      <c r="U638" s="85"/>
      <c r="V638" s="85"/>
      <c r="W638" s="83">
        <f t="shared" ca="1" si="27"/>
        <v>10</v>
      </c>
      <c r="X638" s="64" t="str">
        <f t="shared" ca="1" si="28"/>
        <v>1</v>
      </c>
      <c r="Y638" s="82" t="str">
        <f t="shared" ca="1" si="29"/>
        <v>1</v>
      </c>
      <c r="Z638" s="87"/>
      <c r="AA638" s="87" t="s">
        <v>22</v>
      </c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</row>
    <row r="639" spans="1:57" ht="37.5" x14ac:dyDescent="0.35">
      <c r="A639" s="85">
        <v>5762</v>
      </c>
      <c r="B639" s="86">
        <v>2017</v>
      </c>
      <c r="C639" s="87" t="s">
        <v>35</v>
      </c>
      <c r="D639" s="87" t="s">
        <v>130</v>
      </c>
      <c r="E639" s="87" t="s">
        <v>26</v>
      </c>
      <c r="F639" s="87" t="s">
        <v>25</v>
      </c>
      <c r="G639" s="88">
        <v>1</v>
      </c>
      <c r="H639" s="85">
        <v>16595</v>
      </c>
      <c r="I639" s="87" t="s">
        <v>242</v>
      </c>
      <c r="J639" s="85">
        <v>6</v>
      </c>
      <c r="K639" s="85"/>
      <c r="L639" s="85"/>
      <c r="M639" s="85"/>
      <c r="N639" s="59"/>
      <c r="O639" s="59"/>
      <c r="P639" s="59"/>
      <c r="Q639" s="59"/>
      <c r="R639" s="59"/>
      <c r="S639" s="59"/>
      <c r="T639" s="92"/>
      <c r="U639" s="85"/>
      <c r="V639" s="85"/>
      <c r="W639" s="83">
        <f t="shared" ca="1" si="27"/>
        <v>10</v>
      </c>
      <c r="X639" s="64" t="str">
        <f t="shared" ca="1" si="28"/>
        <v>1</v>
      </c>
      <c r="Y639" s="82" t="str">
        <f t="shared" ca="1" si="29"/>
        <v>1</v>
      </c>
      <c r="Z639" s="87"/>
      <c r="AA639" s="87" t="s">
        <v>61</v>
      </c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</row>
    <row r="640" spans="1:57" ht="25" x14ac:dyDescent="0.35">
      <c r="A640" s="85">
        <v>5762</v>
      </c>
      <c r="B640" s="86">
        <v>2017</v>
      </c>
      <c r="C640" s="87" t="s">
        <v>35</v>
      </c>
      <c r="D640" s="87" t="s">
        <v>130</v>
      </c>
      <c r="E640" s="87" t="s">
        <v>26</v>
      </c>
      <c r="F640" s="87" t="s">
        <v>25</v>
      </c>
      <c r="G640" s="88">
        <v>1</v>
      </c>
      <c r="H640" s="85">
        <v>16595</v>
      </c>
      <c r="I640" s="87" t="s">
        <v>243</v>
      </c>
      <c r="J640" s="85"/>
      <c r="K640" s="85"/>
      <c r="L640" s="85"/>
      <c r="M640" s="85">
        <v>1</v>
      </c>
      <c r="N640" s="59">
        <v>1</v>
      </c>
      <c r="O640" s="59"/>
      <c r="P640" s="59"/>
      <c r="Q640" s="59"/>
      <c r="R640" s="59"/>
      <c r="S640" s="59"/>
      <c r="T640" s="92"/>
      <c r="U640" s="85"/>
      <c r="V640" s="85"/>
      <c r="W640" s="83">
        <f t="shared" ca="1" si="27"/>
        <v>10</v>
      </c>
      <c r="X640" s="64" t="str">
        <f t="shared" ca="1" si="28"/>
        <v>1</v>
      </c>
      <c r="Y640" s="82" t="str">
        <f t="shared" ca="1" si="29"/>
        <v>1</v>
      </c>
      <c r="Z640" s="87"/>
      <c r="AA640" s="87" t="s">
        <v>22</v>
      </c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</row>
    <row r="641" spans="1:57" ht="37.5" x14ac:dyDescent="0.35">
      <c r="A641" s="85">
        <v>5762</v>
      </c>
      <c r="B641" s="86">
        <v>2017</v>
      </c>
      <c r="C641" s="87" t="s">
        <v>35</v>
      </c>
      <c r="D641" s="87" t="s">
        <v>130</v>
      </c>
      <c r="E641" s="87" t="s">
        <v>26</v>
      </c>
      <c r="F641" s="87" t="s">
        <v>25</v>
      </c>
      <c r="G641" s="88">
        <v>1</v>
      </c>
      <c r="H641" s="85">
        <v>16595</v>
      </c>
      <c r="I641" s="87" t="s">
        <v>244</v>
      </c>
      <c r="J641" s="85">
        <v>4</v>
      </c>
      <c r="K641" s="85"/>
      <c r="L641" s="85"/>
      <c r="M641" s="85">
        <v>1</v>
      </c>
      <c r="N641" s="59">
        <v>1</v>
      </c>
      <c r="O641" s="90"/>
      <c r="P641" s="59"/>
      <c r="Q641" s="59"/>
      <c r="R641" s="59"/>
      <c r="S641" s="59"/>
      <c r="T641" s="92"/>
      <c r="U641" s="85"/>
      <c r="V641" s="85"/>
      <c r="W641" s="83">
        <f t="shared" ca="1" si="27"/>
        <v>10</v>
      </c>
      <c r="X641" s="64" t="str">
        <f t="shared" ca="1" si="28"/>
        <v>1</v>
      </c>
      <c r="Y641" s="82" t="str">
        <f t="shared" ca="1" si="29"/>
        <v>1</v>
      </c>
      <c r="Z641" s="87"/>
      <c r="AA641" s="87" t="s">
        <v>22</v>
      </c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</row>
    <row r="642" spans="1:57" ht="25" x14ac:dyDescent="0.35">
      <c r="A642" s="85">
        <v>5762</v>
      </c>
      <c r="B642" s="86">
        <v>2017</v>
      </c>
      <c r="C642" s="87" t="s">
        <v>35</v>
      </c>
      <c r="D642" s="87" t="s">
        <v>130</v>
      </c>
      <c r="E642" s="87" t="s">
        <v>26</v>
      </c>
      <c r="F642" s="87" t="s">
        <v>25</v>
      </c>
      <c r="G642" s="88">
        <v>1</v>
      </c>
      <c r="H642" s="85">
        <v>16595</v>
      </c>
      <c r="I642" s="87" t="s">
        <v>302</v>
      </c>
      <c r="J642" s="85"/>
      <c r="K642" s="85"/>
      <c r="L642" s="85"/>
      <c r="M642" s="85"/>
      <c r="N642" s="59"/>
      <c r="O642" s="59"/>
      <c r="P642" s="59"/>
      <c r="Q642" s="59"/>
      <c r="R642" s="59"/>
      <c r="S642" s="59"/>
      <c r="T642" s="92"/>
      <c r="U642" s="85"/>
      <c r="V642" s="85">
        <v>18</v>
      </c>
      <c r="W642" s="83">
        <f t="shared" ca="1" si="27"/>
        <v>10</v>
      </c>
      <c r="X642" s="64" t="str">
        <f t="shared" ca="1" si="28"/>
        <v>1</v>
      </c>
      <c r="Y642" s="82" t="str">
        <f t="shared" ca="1" si="29"/>
        <v>1</v>
      </c>
      <c r="Z642" s="87"/>
      <c r="AA642" s="87" t="s">
        <v>22</v>
      </c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</row>
    <row r="643" spans="1:57" ht="37.5" x14ac:dyDescent="0.35">
      <c r="A643" s="85">
        <v>5762</v>
      </c>
      <c r="B643" s="86">
        <v>2017</v>
      </c>
      <c r="C643" s="87" t="s">
        <v>35</v>
      </c>
      <c r="D643" s="87" t="s">
        <v>130</v>
      </c>
      <c r="E643" s="87" t="s">
        <v>26</v>
      </c>
      <c r="F643" s="87" t="s">
        <v>25</v>
      </c>
      <c r="G643" s="88">
        <v>1</v>
      </c>
      <c r="H643" s="85">
        <v>16595</v>
      </c>
      <c r="I643" s="87" t="s">
        <v>235</v>
      </c>
      <c r="J643" s="85"/>
      <c r="K643" s="85"/>
      <c r="L643" s="85"/>
      <c r="M643" s="85"/>
      <c r="N643" s="59"/>
      <c r="O643" s="59"/>
      <c r="P643" s="59"/>
      <c r="Q643" s="59"/>
      <c r="R643" s="59"/>
      <c r="S643" s="59"/>
      <c r="T643" s="92"/>
      <c r="U643" s="85">
        <v>7</v>
      </c>
      <c r="V643" s="85"/>
      <c r="W643" s="83">
        <f t="shared" ca="1" si="27"/>
        <v>10</v>
      </c>
      <c r="X643" s="64" t="str">
        <f t="shared" ca="1" si="28"/>
        <v>1</v>
      </c>
      <c r="Y643" s="82" t="str">
        <f t="shared" ca="1" si="29"/>
        <v>1</v>
      </c>
      <c r="Z643" s="87"/>
      <c r="AA643" s="87" t="s">
        <v>22</v>
      </c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</row>
    <row r="644" spans="1:57" ht="37.5" x14ac:dyDescent="0.35">
      <c r="A644" s="85">
        <v>5762</v>
      </c>
      <c r="B644" s="86">
        <v>2017</v>
      </c>
      <c r="C644" s="87" t="s">
        <v>35</v>
      </c>
      <c r="D644" s="87" t="s">
        <v>130</v>
      </c>
      <c r="E644" s="87" t="s">
        <v>26</v>
      </c>
      <c r="F644" s="87" t="s">
        <v>25</v>
      </c>
      <c r="G644" s="88">
        <v>1</v>
      </c>
      <c r="H644" s="85">
        <v>16595</v>
      </c>
      <c r="I644" s="87" t="s">
        <v>372</v>
      </c>
      <c r="J644" s="85"/>
      <c r="K644" s="85"/>
      <c r="L644" s="85"/>
      <c r="M644" s="85"/>
      <c r="N644" s="59"/>
      <c r="O644" s="59"/>
      <c r="P644" s="59"/>
      <c r="Q644" s="59"/>
      <c r="R644" s="59"/>
      <c r="S644" s="59"/>
      <c r="T644" s="92"/>
      <c r="U644" s="85">
        <v>2</v>
      </c>
      <c r="V644" s="85"/>
      <c r="W644" s="83">
        <f t="shared" ref="W644:W707" ca="1" si="30">IFERROR(OFFSET($AC$11,0,MATCH(H644,$AD$4:$BE$4,0)),IFERROR(OFFSET($AC$12,0,MATCH(H644,$AD$5:$BE$5,0)),MOD(H644,20)+7))</f>
        <v>10</v>
      </c>
      <c r="X644" s="64" t="str">
        <f t="shared" ref="X644:X707" ca="1" si="31">IF(W644&lt;=30, "1", "2")</f>
        <v>1</v>
      </c>
      <c r="Y644" s="82" t="str">
        <f t="shared" ref="Y644:Y707" ca="1" si="32" xml:space="preserve"> IF(W644&lt;=15, "1", IF(W644&lt;=30, "2", IF(W644&lt;=45, "3", IF(W644&lt;=60, "4"))))</f>
        <v>1</v>
      </c>
      <c r="Z644" s="87"/>
      <c r="AA644" s="87" t="s">
        <v>22</v>
      </c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</row>
    <row r="645" spans="1:57" ht="25" x14ac:dyDescent="0.35">
      <c r="A645" s="85">
        <v>5762</v>
      </c>
      <c r="B645" s="86">
        <v>2017</v>
      </c>
      <c r="C645" s="87" t="s">
        <v>35</v>
      </c>
      <c r="D645" s="87" t="s">
        <v>93</v>
      </c>
      <c r="E645" s="87" t="s">
        <v>28</v>
      </c>
      <c r="F645" s="87" t="s">
        <v>23</v>
      </c>
      <c r="G645" s="88">
        <v>1</v>
      </c>
      <c r="H645" s="85">
        <v>16595</v>
      </c>
      <c r="I645" s="87" t="s">
        <v>231</v>
      </c>
      <c r="J645" s="85">
        <v>4</v>
      </c>
      <c r="K645" s="85">
        <v>22</v>
      </c>
      <c r="L645" s="85"/>
      <c r="M645" s="85">
        <v>1</v>
      </c>
      <c r="N645" s="90"/>
      <c r="O645" s="59">
        <v>1</v>
      </c>
      <c r="P645" s="59"/>
      <c r="Q645" s="59"/>
      <c r="R645" s="59"/>
      <c r="S645" s="59"/>
      <c r="T645" s="92"/>
      <c r="U645" s="85"/>
      <c r="V645" s="85"/>
      <c r="W645" s="83">
        <f t="shared" ca="1" si="30"/>
        <v>10</v>
      </c>
      <c r="X645" s="64" t="str">
        <f t="shared" ca="1" si="31"/>
        <v>1</v>
      </c>
      <c r="Y645" s="82" t="str">
        <f t="shared" ca="1" si="32"/>
        <v>1</v>
      </c>
      <c r="Z645" s="87"/>
      <c r="AA645" s="87" t="s">
        <v>22</v>
      </c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</row>
    <row r="646" spans="1:57" ht="25" x14ac:dyDescent="0.35">
      <c r="A646" s="85">
        <v>5762</v>
      </c>
      <c r="B646" s="86">
        <v>2017</v>
      </c>
      <c r="C646" s="87" t="s">
        <v>35</v>
      </c>
      <c r="D646" s="87" t="s">
        <v>93</v>
      </c>
      <c r="E646" s="87" t="s">
        <v>28</v>
      </c>
      <c r="F646" s="87" t="s">
        <v>23</v>
      </c>
      <c r="G646" s="88">
        <v>1</v>
      </c>
      <c r="H646" s="85">
        <v>16595</v>
      </c>
      <c r="I646" s="87" t="s">
        <v>232</v>
      </c>
      <c r="J646" s="85">
        <v>10</v>
      </c>
      <c r="K646" s="85">
        <v>36</v>
      </c>
      <c r="L646" s="85"/>
      <c r="M646" s="85">
        <v>1</v>
      </c>
      <c r="N646" s="59">
        <v>1</v>
      </c>
      <c r="O646" s="59"/>
      <c r="P646" s="59"/>
      <c r="Q646" s="59"/>
      <c r="R646" s="59"/>
      <c r="S646" s="59"/>
      <c r="T646" s="92"/>
      <c r="U646" s="85"/>
      <c r="V646" s="85"/>
      <c r="W646" s="83">
        <f t="shared" ca="1" si="30"/>
        <v>10</v>
      </c>
      <c r="X646" s="64" t="str">
        <f t="shared" ca="1" si="31"/>
        <v>1</v>
      </c>
      <c r="Y646" s="82" t="str">
        <f t="shared" ca="1" si="32"/>
        <v>1</v>
      </c>
      <c r="Z646" s="87"/>
      <c r="AA646" s="87" t="s">
        <v>22</v>
      </c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</row>
    <row r="647" spans="1:57" ht="63.75" customHeight="1" x14ac:dyDescent="0.35">
      <c r="A647" s="85">
        <v>5762</v>
      </c>
      <c r="B647" s="86">
        <v>2017</v>
      </c>
      <c r="C647" s="87" t="s">
        <v>35</v>
      </c>
      <c r="D647" s="87" t="s">
        <v>93</v>
      </c>
      <c r="E647" s="87" t="s">
        <v>28</v>
      </c>
      <c r="F647" s="87" t="s">
        <v>23</v>
      </c>
      <c r="G647" s="88">
        <v>1</v>
      </c>
      <c r="H647" s="85">
        <v>16595</v>
      </c>
      <c r="I647" s="87" t="s">
        <v>235</v>
      </c>
      <c r="J647" s="85"/>
      <c r="K647" s="85"/>
      <c r="L647" s="85"/>
      <c r="M647" s="85"/>
      <c r="N647" s="59"/>
      <c r="O647" s="59"/>
      <c r="P647" s="59"/>
      <c r="Q647" s="59"/>
      <c r="R647" s="90"/>
      <c r="S647" s="90"/>
      <c r="T647" s="92"/>
      <c r="U647" s="85">
        <v>15</v>
      </c>
      <c r="V647" s="85"/>
      <c r="W647" s="83">
        <f t="shared" ca="1" si="30"/>
        <v>10</v>
      </c>
      <c r="X647" s="64" t="str">
        <f t="shared" ca="1" si="31"/>
        <v>1</v>
      </c>
      <c r="Y647" s="82" t="str">
        <f t="shared" ca="1" si="32"/>
        <v>1</v>
      </c>
      <c r="Z647" s="87"/>
      <c r="AA647" s="87" t="s">
        <v>22</v>
      </c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</row>
    <row r="648" spans="1:57" ht="37.5" x14ac:dyDescent="0.35">
      <c r="A648" s="85">
        <v>5762</v>
      </c>
      <c r="B648" s="86">
        <v>2017</v>
      </c>
      <c r="C648" s="87" t="s">
        <v>35</v>
      </c>
      <c r="D648" s="87" t="s">
        <v>93</v>
      </c>
      <c r="E648" s="87" t="s">
        <v>28</v>
      </c>
      <c r="F648" s="87" t="s">
        <v>23</v>
      </c>
      <c r="G648" s="88">
        <v>1</v>
      </c>
      <c r="H648" s="85">
        <v>16595</v>
      </c>
      <c r="I648" s="87" t="s">
        <v>372</v>
      </c>
      <c r="J648" s="85"/>
      <c r="K648" s="85"/>
      <c r="L648" s="85"/>
      <c r="M648" s="85"/>
      <c r="N648" s="59"/>
      <c r="O648" s="59"/>
      <c r="P648" s="59"/>
      <c r="Q648" s="59"/>
      <c r="R648" s="59"/>
      <c r="S648" s="59"/>
      <c r="T648" s="92"/>
      <c r="U648" s="85">
        <v>4</v>
      </c>
      <c r="V648" s="85"/>
      <c r="W648" s="83">
        <f t="shared" ca="1" si="30"/>
        <v>10</v>
      </c>
      <c r="X648" s="64" t="str">
        <f t="shared" ca="1" si="31"/>
        <v>1</v>
      </c>
      <c r="Y648" s="82" t="str">
        <f t="shared" ca="1" si="32"/>
        <v>1</v>
      </c>
      <c r="Z648" s="87"/>
      <c r="AA648" s="87" t="s">
        <v>22</v>
      </c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</row>
    <row r="649" spans="1:57" ht="25" x14ac:dyDescent="0.35">
      <c r="A649" s="85">
        <v>5762</v>
      </c>
      <c r="B649" s="86">
        <v>2017</v>
      </c>
      <c r="C649" s="87" t="s">
        <v>35</v>
      </c>
      <c r="D649" s="87" t="s">
        <v>93</v>
      </c>
      <c r="E649" s="87" t="s">
        <v>28</v>
      </c>
      <c r="F649" s="87" t="s">
        <v>23</v>
      </c>
      <c r="G649" s="88">
        <v>1</v>
      </c>
      <c r="H649" s="85">
        <v>16595</v>
      </c>
      <c r="I649" s="87" t="s">
        <v>302</v>
      </c>
      <c r="J649" s="85"/>
      <c r="K649" s="85"/>
      <c r="L649" s="85"/>
      <c r="M649" s="85"/>
      <c r="N649" s="59"/>
      <c r="O649" s="59"/>
      <c r="P649" s="59"/>
      <c r="Q649" s="59"/>
      <c r="R649" s="59"/>
      <c r="S649" s="59"/>
      <c r="T649" s="92"/>
      <c r="U649" s="85"/>
      <c r="V649" s="85">
        <v>36</v>
      </c>
      <c r="W649" s="83">
        <f t="shared" ca="1" si="30"/>
        <v>10</v>
      </c>
      <c r="X649" s="64" t="str">
        <f t="shared" ca="1" si="31"/>
        <v>1</v>
      </c>
      <c r="Y649" s="82" t="str">
        <f t="shared" ca="1" si="32"/>
        <v>1</v>
      </c>
      <c r="Z649" s="87"/>
      <c r="AA649" s="87" t="s">
        <v>22</v>
      </c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</row>
    <row r="650" spans="1:57" ht="37.5" x14ac:dyDescent="0.35">
      <c r="A650" s="85">
        <v>5762</v>
      </c>
      <c r="B650" s="86">
        <v>2017</v>
      </c>
      <c r="C650" s="87" t="s">
        <v>35</v>
      </c>
      <c r="D650" s="87" t="s">
        <v>135</v>
      </c>
      <c r="E650" s="87" t="s">
        <v>20</v>
      </c>
      <c r="F650" s="87" t="s">
        <v>82</v>
      </c>
      <c r="G650" s="88">
        <v>1</v>
      </c>
      <c r="H650" s="85">
        <v>16595</v>
      </c>
      <c r="I650" s="87" t="s">
        <v>245</v>
      </c>
      <c r="J650" s="85">
        <v>4</v>
      </c>
      <c r="K650" s="85">
        <v>22</v>
      </c>
      <c r="L650" s="85"/>
      <c r="M650" s="85">
        <v>1</v>
      </c>
      <c r="N650" s="59">
        <v>1</v>
      </c>
      <c r="O650" s="59"/>
      <c r="P650" s="59"/>
      <c r="Q650" s="59"/>
      <c r="R650" s="59"/>
      <c r="S650" s="59"/>
      <c r="T650" s="92"/>
      <c r="U650" s="85"/>
      <c r="V650" s="85"/>
      <c r="W650" s="83">
        <f t="shared" ca="1" si="30"/>
        <v>10</v>
      </c>
      <c r="X650" s="64" t="str">
        <f t="shared" ca="1" si="31"/>
        <v>1</v>
      </c>
      <c r="Y650" s="82" t="str">
        <f t="shared" ca="1" si="32"/>
        <v>1</v>
      </c>
      <c r="Z650" s="87"/>
      <c r="AA650" s="87" t="s">
        <v>22</v>
      </c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</row>
    <row r="651" spans="1:57" ht="37.5" x14ac:dyDescent="0.35">
      <c r="A651" s="85">
        <v>5762</v>
      </c>
      <c r="B651" s="86">
        <v>2017</v>
      </c>
      <c r="C651" s="87" t="s">
        <v>35</v>
      </c>
      <c r="D651" s="87" t="s">
        <v>135</v>
      </c>
      <c r="E651" s="87" t="s">
        <v>20</v>
      </c>
      <c r="F651" s="87" t="s">
        <v>82</v>
      </c>
      <c r="G651" s="88">
        <v>1</v>
      </c>
      <c r="H651" s="85">
        <v>16595</v>
      </c>
      <c r="I651" s="87" t="s">
        <v>246</v>
      </c>
      <c r="J651" s="85">
        <v>4</v>
      </c>
      <c r="K651" s="85">
        <v>14</v>
      </c>
      <c r="L651" s="85"/>
      <c r="M651" s="85">
        <v>1</v>
      </c>
      <c r="N651" s="59">
        <v>1</v>
      </c>
      <c r="O651" s="59"/>
      <c r="P651" s="59"/>
      <c r="Q651" s="59"/>
      <c r="R651" s="59"/>
      <c r="S651" s="59"/>
      <c r="T651" s="92"/>
      <c r="U651" s="85"/>
      <c r="V651" s="85"/>
      <c r="W651" s="83">
        <f t="shared" ca="1" si="30"/>
        <v>10</v>
      </c>
      <c r="X651" s="64" t="str">
        <f t="shared" ca="1" si="31"/>
        <v>1</v>
      </c>
      <c r="Y651" s="82" t="str">
        <f t="shared" ca="1" si="32"/>
        <v>1</v>
      </c>
      <c r="Z651" s="87"/>
      <c r="AA651" s="87" t="s">
        <v>22</v>
      </c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</row>
    <row r="652" spans="1:57" ht="37.5" x14ac:dyDescent="0.35">
      <c r="A652" s="85">
        <v>5762</v>
      </c>
      <c r="B652" s="86">
        <v>2017</v>
      </c>
      <c r="C652" s="87" t="s">
        <v>35</v>
      </c>
      <c r="D652" s="87" t="s">
        <v>135</v>
      </c>
      <c r="E652" s="87" t="s">
        <v>20</v>
      </c>
      <c r="F652" s="87" t="s">
        <v>82</v>
      </c>
      <c r="G652" s="88">
        <v>1</v>
      </c>
      <c r="H652" s="85">
        <v>16595</v>
      </c>
      <c r="I652" s="87" t="s">
        <v>240</v>
      </c>
      <c r="J652" s="85"/>
      <c r="K652" s="85">
        <v>22</v>
      </c>
      <c r="L652" s="85"/>
      <c r="M652" s="85">
        <v>1</v>
      </c>
      <c r="N652" s="59"/>
      <c r="O652" s="59"/>
      <c r="P652" s="90"/>
      <c r="Q652" s="59"/>
      <c r="R652" s="59"/>
      <c r="S652" s="59"/>
      <c r="T652" s="92"/>
      <c r="U652" s="85"/>
      <c r="V652" s="85"/>
      <c r="W652" s="83">
        <f t="shared" ca="1" si="30"/>
        <v>10</v>
      </c>
      <c r="X652" s="64" t="str">
        <f t="shared" ca="1" si="31"/>
        <v>1</v>
      </c>
      <c r="Y652" s="82" t="str">
        <f t="shared" ca="1" si="32"/>
        <v>1</v>
      </c>
      <c r="Z652" s="87"/>
      <c r="AA652" s="87" t="s">
        <v>22</v>
      </c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</row>
    <row r="653" spans="1:57" ht="50" x14ac:dyDescent="0.35">
      <c r="A653" s="85">
        <v>5762</v>
      </c>
      <c r="B653" s="86">
        <v>2017</v>
      </c>
      <c r="C653" s="87" t="s">
        <v>35</v>
      </c>
      <c r="D653" s="87" t="s">
        <v>135</v>
      </c>
      <c r="E653" s="87" t="s">
        <v>20</v>
      </c>
      <c r="F653" s="87" t="s">
        <v>82</v>
      </c>
      <c r="G653" s="88">
        <v>1</v>
      </c>
      <c r="H653" s="85">
        <v>16595</v>
      </c>
      <c r="I653" s="87" t="s">
        <v>241</v>
      </c>
      <c r="J653" s="85"/>
      <c r="K653" s="85">
        <v>22</v>
      </c>
      <c r="L653" s="85"/>
      <c r="M653" s="85">
        <v>1</v>
      </c>
      <c r="N653" s="59"/>
      <c r="O653" s="59"/>
      <c r="P653" s="59"/>
      <c r="Q653" s="59"/>
      <c r="R653" s="59"/>
      <c r="S653" s="59"/>
      <c r="T653" s="92"/>
      <c r="U653" s="85"/>
      <c r="V653" s="85"/>
      <c r="W653" s="83">
        <f t="shared" ca="1" si="30"/>
        <v>10</v>
      </c>
      <c r="X653" s="64" t="str">
        <f t="shared" ca="1" si="31"/>
        <v>1</v>
      </c>
      <c r="Y653" s="82" t="str">
        <f t="shared" ca="1" si="32"/>
        <v>1</v>
      </c>
      <c r="Z653" s="87"/>
      <c r="AA653" s="87" t="s">
        <v>61</v>
      </c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</row>
    <row r="654" spans="1:57" ht="37.5" x14ac:dyDescent="0.35">
      <c r="A654" s="85">
        <v>5762</v>
      </c>
      <c r="B654" s="86">
        <v>2017</v>
      </c>
      <c r="C654" s="87" t="s">
        <v>35</v>
      </c>
      <c r="D654" s="87" t="s">
        <v>135</v>
      </c>
      <c r="E654" s="87" t="s">
        <v>20</v>
      </c>
      <c r="F654" s="87" t="s">
        <v>82</v>
      </c>
      <c r="G654" s="88">
        <v>1</v>
      </c>
      <c r="H654" s="85">
        <v>16595</v>
      </c>
      <c r="I654" s="87" t="s">
        <v>242</v>
      </c>
      <c r="J654" s="85"/>
      <c r="K654" s="85">
        <v>12</v>
      </c>
      <c r="L654" s="85"/>
      <c r="M654" s="85">
        <v>1</v>
      </c>
      <c r="N654" s="59"/>
      <c r="O654" s="59"/>
      <c r="P654" s="59"/>
      <c r="Q654" s="59"/>
      <c r="R654" s="59"/>
      <c r="S654" s="59"/>
      <c r="T654" s="92"/>
      <c r="U654" s="85"/>
      <c r="V654" s="85"/>
      <c r="W654" s="83">
        <f t="shared" ca="1" si="30"/>
        <v>10</v>
      </c>
      <c r="X654" s="64" t="str">
        <f t="shared" ca="1" si="31"/>
        <v>1</v>
      </c>
      <c r="Y654" s="82" t="str">
        <f t="shared" ca="1" si="32"/>
        <v>1</v>
      </c>
      <c r="Z654" s="87"/>
      <c r="AA654" s="87" t="s">
        <v>22</v>
      </c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</row>
    <row r="655" spans="1:57" ht="37.5" x14ac:dyDescent="0.35">
      <c r="A655" s="85">
        <v>5762</v>
      </c>
      <c r="B655" s="86">
        <v>2017</v>
      </c>
      <c r="C655" s="87" t="s">
        <v>35</v>
      </c>
      <c r="D655" s="87" t="s">
        <v>135</v>
      </c>
      <c r="E655" s="87" t="s">
        <v>20</v>
      </c>
      <c r="F655" s="87" t="s">
        <v>82</v>
      </c>
      <c r="G655" s="88">
        <v>1</v>
      </c>
      <c r="H655" s="85">
        <v>16595</v>
      </c>
      <c r="I655" s="87" t="s">
        <v>247</v>
      </c>
      <c r="J655" s="85">
        <v>2</v>
      </c>
      <c r="K655" s="85">
        <v>16</v>
      </c>
      <c r="L655" s="85"/>
      <c r="M655" s="85">
        <v>1</v>
      </c>
      <c r="N655" s="59"/>
      <c r="O655" s="59"/>
      <c r="P655" s="59"/>
      <c r="Q655" s="59"/>
      <c r="R655" s="59"/>
      <c r="S655" s="59"/>
      <c r="T655" s="92"/>
      <c r="U655" s="85"/>
      <c r="V655" s="85"/>
      <c r="W655" s="83">
        <f t="shared" ca="1" si="30"/>
        <v>10</v>
      </c>
      <c r="X655" s="64" t="str">
        <f t="shared" ca="1" si="31"/>
        <v>1</v>
      </c>
      <c r="Y655" s="82" t="str">
        <f t="shared" ca="1" si="32"/>
        <v>1</v>
      </c>
      <c r="Z655" s="87"/>
      <c r="AA655" s="87" t="s">
        <v>22</v>
      </c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</row>
    <row r="656" spans="1:57" ht="63.75" customHeight="1" x14ac:dyDescent="0.35">
      <c r="A656" s="85">
        <v>5762</v>
      </c>
      <c r="B656" s="86">
        <v>2017</v>
      </c>
      <c r="C656" s="87" t="s">
        <v>35</v>
      </c>
      <c r="D656" s="87" t="s">
        <v>135</v>
      </c>
      <c r="E656" s="87" t="s">
        <v>20</v>
      </c>
      <c r="F656" s="87" t="s">
        <v>82</v>
      </c>
      <c r="G656" s="88">
        <v>1</v>
      </c>
      <c r="H656" s="85">
        <v>16595</v>
      </c>
      <c r="I656" s="87" t="s">
        <v>244</v>
      </c>
      <c r="J656" s="85"/>
      <c r="K656" s="85">
        <v>22</v>
      </c>
      <c r="L656" s="85"/>
      <c r="M656" s="85"/>
      <c r="N656" s="59"/>
      <c r="O656" s="59"/>
      <c r="P656" s="59"/>
      <c r="Q656" s="59"/>
      <c r="R656" s="90"/>
      <c r="S656" s="90"/>
      <c r="T656" s="92"/>
      <c r="U656" s="85"/>
      <c r="V656" s="85"/>
      <c r="W656" s="83">
        <f t="shared" ca="1" si="30"/>
        <v>10</v>
      </c>
      <c r="X656" s="64" t="str">
        <f t="shared" ca="1" si="31"/>
        <v>1</v>
      </c>
      <c r="Y656" s="82" t="str">
        <f t="shared" ca="1" si="32"/>
        <v>1</v>
      </c>
      <c r="Z656" s="87"/>
      <c r="AA656" s="87" t="s">
        <v>22</v>
      </c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</row>
    <row r="657" spans="1:57" ht="37.5" x14ac:dyDescent="0.35">
      <c r="A657" s="85">
        <v>5762</v>
      </c>
      <c r="B657" s="86">
        <v>2017</v>
      </c>
      <c r="C657" s="87" t="s">
        <v>35</v>
      </c>
      <c r="D657" s="87" t="s">
        <v>169</v>
      </c>
      <c r="E657" s="87" t="s">
        <v>20</v>
      </c>
      <c r="F657" s="87" t="s">
        <v>82</v>
      </c>
      <c r="G657" s="88">
        <v>0.5</v>
      </c>
      <c r="H657" s="85">
        <v>16595</v>
      </c>
      <c r="I657" s="87" t="s">
        <v>236</v>
      </c>
      <c r="J657" s="85"/>
      <c r="K657" s="85">
        <v>14</v>
      </c>
      <c r="L657" s="85"/>
      <c r="M657" s="85">
        <v>1</v>
      </c>
      <c r="N657" s="59"/>
      <c r="O657" s="59"/>
      <c r="P657" s="59"/>
      <c r="Q657" s="59"/>
      <c r="R657" s="59"/>
      <c r="S657" s="59"/>
      <c r="T657" s="92"/>
      <c r="U657" s="85"/>
      <c r="V657" s="85"/>
      <c r="W657" s="83">
        <f t="shared" ca="1" si="30"/>
        <v>10</v>
      </c>
      <c r="X657" s="64" t="str">
        <f t="shared" ca="1" si="31"/>
        <v>1</v>
      </c>
      <c r="Y657" s="82" t="str">
        <f t="shared" ca="1" si="32"/>
        <v>1</v>
      </c>
      <c r="Z657" s="87"/>
      <c r="AA657" s="87" t="s">
        <v>61</v>
      </c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</row>
    <row r="658" spans="1:57" ht="37.5" x14ac:dyDescent="0.35">
      <c r="A658" s="85">
        <v>5762</v>
      </c>
      <c r="B658" s="86">
        <v>2017</v>
      </c>
      <c r="C658" s="87" t="s">
        <v>35</v>
      </c>
      <c r="D658" s="87" t="s">
        <v>36</v>
      </c>
      <c r="E658" s="87" t="s">
        <v>26</v>
      </c>
      <c r="F658" s="87" t="s">
        <v>25</v>
      </c>
      <c r="G658" s="88">
        <v>1</v>
      </c>
      <c r="H658" s="85">
        <v>16595</v>
      </c>
      <c r="I658" s="87" t="s">
        <v>248</v>
      </c>
      <c r="J658" s="85"/>
      <c r="K658" s="85">
        <v>9</v>
      </c>
      <c r="L658" s="85"/>
      <c r="M658" s="85">
        <v>1</v>
      </c>
      <c r="N658" s="59"/>
      <c r="O658" s="59"/>
      <c r="P658" s="59"/>
      <c r="Q658" s="59"/>
      <c r="R658" s="59"/>
      <c r="S658" s="59"/>
      <c r="T658" s="92"/>
      <c r="U658" s="85"/>
      <c r="V658" s="85"/>
      <c r="W658" s="83">
        <f t="shared" ca="1" si="30"/>
        <v>10</v>
      </c>
      <c r="X658" s="64" t="str">
        <f t="shared" ca="1" si="31"/>
        <v>1</v>
      </c>
      <c r="Y658" s="82" t="str">
        <f t="shared" ca="1" si="32"/>
        <v>1</v>
      </c>
      <c r="Z658" s="87"/>
      <c r="AA658" s="87" t="s">
        <v>61</v>
      </c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</row>
    <row r="659" spans="1:57" ht="37.5" x14ac:dyDescent="0.35">
      <c r="A659" s="85">
        <v>5762</v>
      </c>
      <c r="B659" s="86">
        <v>2017</v>
      </c>
      <c r="C659" s="87" t="s">
        <v>35</v>
      </c>
      <c r="D659" s="87" t="s">
        <v>117</v>
      </c>
      <c r="E659" s="87" t="s">
        <v>33</v>
      </c>
      <c r="F659" s="87" t="s">
        <v>25</v>
      </c>
      <c r="G659" s="88">
        <v>1</v>
      </c>
      <c r="H659" s="85">
        <v>16595</v>
      </c>
      <c r="I659" s="87" t="s">
        <v>228</v>
      </c>
      <c r="J659" s="85">
        <v>2</v>
      </c>
      <c r="K659" s="85">
        <v>12</v>
      </c>
      <c r="L659" s="85">
        <v>12</v>
      </c>
      <c r="M659" s="85">
        <v>1</v>
      </c>
      <c r="N659" s="59"/>
      <c r="O659" s="59">
        <v>1</v>
      </c>
      <c r="P659" s="59"/>
      <c r="Q659" s="59"/>
      <c r="R659" s="59"/>
      <c r="S659" s="59"/>
      <c r="T659" s="92"/>
      <c r="U659" s="85"/>
      <c r="V659" s="85"/>
      <c r="W659" s="83">
        <f t="shared" ca="1" si="30"/>
        <v>10</v>
      </c>
      <c r="X659" s="64" t="str">
        <f t="shared" ca="1" si="31"/>
        <v>1</v>
      </c>
      <c r="Y659" s="82" t="str">
        <f t="shared" ca="1" si="32"/>
        <v>1</v>
      </c>
      <c r="Z659" s="87"/>
      <c r="AA659" s="87" t="s">
        <v>22</v>
      </c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</row>
    <row r="660" spans="1:57" ht="37.5" x14ac:dyDescent="0.35">
      <c r="A660" s="85">
        <v>5762</v>
      </c>
      <c r="B660" s="86">
        <v>2017</v>
      </c>
      <c r="C660" s="87" t="s">
        <v>35</v>
      </c>
      <c r="D660" s="87" t="s">
        <v>117</v>
      </c>
      <c r="E660" s="87" t="s">
        <v>33</v>
      </c>
      <c r="F660" s="87" t="s">
        <v>25</v>
      </c>
      <c r="G660" s="88">
        <v>1</v>
      </c>
      <c r="H660" s="85">
        <v>16595</v>
      </c>
      <c r="I660" s="87" t="s">
        <v>235</v>
      </c>
      <c r="J660" s="85"/>
      <c r="K660" s="85"/>
      <c r="L660" s="85"/>
      <c r="M660" s="85"/>
      <c r="N660" s="59"/>
      <c r="O660" s="59"/>
      <c r="P660" s="59"/>
      <c r="Q660" s="59"/>
      <c r="R660" s="59"/>
      <c r="S660" s="59"/>
      <c r="T660" s="92"/>
      <c r="U660" s="85">
        <v>15</v>
      </c>
      <c r="V660" s="85"/>
      <c r="W660" s="83">
        <f t="shared" ca="1" si="30"/>
        <v>10</v>
      </c>
      <c r="X660" s="64" t="str">
        <f t="shared" ca="1" si="31"/>
        <v>1</v>
      </c>
      <c r="Y660" s="82" t="str">
        <f t="shared" ca="1" si="32"/>
        <v>1</v>
      </c>
      <c r="Z660" s="87"/>
      <c r="AA660" s="87" t="s">
        <v>22</v>
      </c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</row>
    <row r="661" spans="1:57" ht="37.5" x14ac:dyDescent="0.35">
      <c r="A661" s="85">
        <v>5762</v>
      </c>
      <c r="B661" s="86">
        <v>2017</v>
      </c>
      <c r="C661" s="87" t="s">
        <v>35</v>
      </c>
      <c r="D661" s="87" t="s">
        <v>117</v>
      </c>
      <c r="E661" s="87" t="s">
        <v>33</v>
      </c>
      <c r="F661" s="87" t="s">
        <v>25</v>
      </c>
      <c r="G661" s="88">
        <v>1</v>
      </c>
      <c r="H661" s="85">
        <v>16595</v>
      </c>
      <c r="I661" s="87" t="s">
        <v>372</v>
      </c>
      <c r="J661" s="85"/>
      <c r="K661" s="85"/>
      <c r="L661" s="85"/>
      <c r="M661" s="85"/>
      <c r="N661" s="59"/>
      <c r="O661" s="59"/>
      <c r="P661" s="59"/>
      <c r="Q661" s="59"/>
      <c r="R661" s="59"/>
      <c r="S661" s="59"/>
      <c r="T661" s="92"/>
      <c r="U661" s="85">
        <v>4</v>
      </c>
      <c r="V661" s="85"/>
      <c r="W661" s="83">
        <f t="shared" ca="1" si="30"/>
        <v>10</v>
      </c>
      <c r="X661" s="64" t="str">
        <f t="shared" ca="1" si="31"/>
        <v>1</v>
      </c>
      <c r="Y661" s="82" t="str">
        <f t="shared" ca="1" si="32"/>
        <v>1</v>
      </c>
      <c r="Z661" s="87"/>
      <c r="AA661" s="87" t="s">
        <v>22</v>
      </c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</row>
    <row r="662" spans="1:57" ht="63.75" customHeight="1" x14ac:dyDescent="0.35">
      <c r="A662" s="85">
        <v>5762</v>
      </c>
      <c r="B662" s="86">
        <v>2017</v>
      </c>
      <c r="C662" s="87" t="s">
        <v>35</v>
      </c>
      <c r="D662" s="87" t="s">
        <v>117</v>
      </c>
      <c r="E662" s="87" t="s">
        <v>33</v>
      </c>
      <c r="F662" s="87" t="s">
        <v>25</v>
      </c>
      <c r="G662" s="88">
        <v>1</v>
      </c>
      <c r="H662" s="85">
        <v>16595</v>
      </c>
      <c r="I662" s="87" t="s">
        <v>302</v>
      </c>
      <c r="J662" s="85"/>
      <c r="K662" s="85"/>
      <c r="L662" s="85"/>
      <c r="M662" s="85"/>
      <c r="N662" s="59"/>
      <c r="O662" s="59"/>
      <c r="P662" s="59"/>
      <c r="Q662" s="59"/>
      <c r="R662" s="59"/>
      <c r="S662" s="59"/>
      <c r="T662" s="92"/>
      <c r="U662" s="85"/>
      <c r="V662" s="85">
        <v>36</v>
      </c>
      <c r="W662" s="83">
        <f t="shared" ca="1" si="30"/>
        <v>10</v>
      </c>
      <c r="X662" s="64" t="str">
        <f t="shared" ca="1" si="31"/>
        <v>1</v>
      </c>
      <c r="Y662" s="82" t="str">
        <f t="shared" ca="1" si="32"/>
        <v>1</v>
      </c>
      <c r="Z662" s="87"/>
      <c r="AA662" s="87" t="s">
        <v>22</v>
      </c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</row>
    <row r="663" spans="1:57" ht="37.5" x14ac:dyDescent="0.35">
      <c r="A663" s="85">
        <v>5762</v>
      </c>
      <c r="B663" s="86">
        <v>2018</v>
      </c>
      <c r="C663" s="87" t="s">
        <v>35</v>
      </c>
      <c r="D663" s="87" t="s">
        <v>72</v>
      </c>
      <c r="E663" s="87" t="s">
        <v>26</v>
      </c>
      <c r="F663" s="87" t="s">
        <v>25</v>
      </c>
      <c r="G663" s="88">
        <v>1</v>
      </c>
      <c r="H663" s="85">
        <v>17248</v>
      </c>
      <c r="I663" s="87" t="s">
        <v>249</v>
      </c>
      <c r="J663" s="85">
        <v>4</v>
      </c>
      <c r="K663" s="85">
        <v>22</v>
      </c>
      <c r="L663" s="85"/>
      <c r="M663" s="85">
        <v>1</v>
      </c>
      <c r="N663" s="59">
        <v>1</v>
      </c>
      <c r="O663" s="59"/>
      <c r="P663" s="59"/>
      <c r="Q663" s="59"/>
      <c r="R663" s="59"/>
      <c r="S663" s="59"/>
      <c r="T663" s="92"/>
      <c r="U663" s="85"/>
      <c r="V663" s="85"/>
      <c r="W663" s="83">
        <f t="shared" ca="1" si="30"/>
        <v>10</v>
      </c>
      <c r="X663" s="64" t="str">
        <f t="shared" ca="1" si="31"/>
        <v>1</v>
      </c>
      <c r="Y663" s="82" t="str">
        <f t="shared" ca="1" si="32"/>
        <v>1</v>
      </c>
      <c r="Z663" s="87"/>
      <c r="AA663" s="87" t="s">
        <v>22</v>
      </c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</row>
    <row r="664" spans="1:57" ht="37.5" x14ac:dyDescent="0.35">
      <c r="A664" s="85">
        <v>5762</v>
      </c>
      <c r="B664" s="86">
        <v>2018</v>
      </c>
      <c r="C664" s="87" t="s">
        <v>35</v>
      </c>
      <c r="D664" s="87" t="s">
        <v>72</v>
      </c>
      <c r="E664" s="87" t="s">
        <v>26</v>
      </c>
      <c r="F664" s="87" t="s">
        <v>25</v>
      </c>
      <c r="G664" s="88">
        <v>1</v>
      </c>
      <c r="H664" s="85">
        <v>17248</v>
      </c>
      <c r="I664" s="87" t="s">
        <v>235</v>
      </c>
      <c r="J664" s="85"/>
      <c r="K664" s="85"/>
      <c r="L664" s="85"/>
      <c r="M664" s="85"/>
      <c r="N664" s="59"/>
      <c r="O664" s="59"/>
      <c r="P664" s="59"/>
      <c r="Q664" s="59"/>
      <c r="R664" s="59"/>
      <c r="S664" s="59"/>
      <c r="T664" s="92"/>
      <c r="U664" s="85">
        <v>4</v>
      </c>
      <c r="V664" s="85"/>
      <c r="W664" s="83">
        <f t="shared" ca="1" si="30"/>
        <v>10</v>
      </c>
      <c r="X664" s="64" t="str">
        <f t="shared" ca="1" si="31"/>
        <v>1</v>
      </c>
      <c r="Y664" s="82" t="str">
        <f t="shared" ca="1" si="32"/>
        <v>1</v>
      </c>
      <c r="Z664" s="87"/>
      <c r="AA664" s="87" t="s">
        <v>22</v>
      </c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</row>
    <row r="665" spans="1:57" ht="50" x14ac:dyDescent="0.35">
      <c r="A665" s="85">
        <v>5762</v>
      </c>
      <c r="B665" s="86">
        <v>2018</v>
      </c>
      <c r="C665" s="87" t="s">
        <v>35</v>
      </c>
      <c r="D665" s="87" t="s">
        <v>72</v>
      </c>
      <c r="E665" s="87" t="s">
        <v>26</v>
      </c>
      <c r="F665" s="87" t="s">
        <v>25</v>
      </c>
      <c r="G665" s="88">
        <v>1</v>
      </c>
      <c r="H665" s="85">
        <v>17248</v>
      </c>
      <c r="I665" s="87" t="s">
        <v>250</v>
      </c>
      <c r="J665" s="85"/>
      <c r="K665" s="85"/>
      <c r="L665" s="85"/>
      <c r="M665" s="85"/>
      <c r="N665" s="59"/>
      <c r="O665" s="59"/>
      <c r="P665" s="59"/>
      <c r="Q665" s="59"/>
      <c r="R665" s="59">
        <v>6</v>
      </c>
      <c r="S665" s="59">
        <v>6</v>
      </c>
      <c r="T665" s="92"/>
      <c r="U665" s="85"/>
      <c r="V665" s="85">
        <v>22</v>
      </c>
      <c r="W665" s="83">
        <f t="shared" ca="1" si="30"/>
        <v>10</v>
      </c>
      <c r="X665" s="64" t="str">
        <f t="shared" ca="1" si="31"/>
        <v>1</v>
      </c>
      <c r="Y665" s="82" t="str">
        <f t="shared" ca="1" si="32"/>
        <v>1</v>
      </c>
      <c r="Z665" s="87"/>
      <c r="AA665" s="87" t="s">
        <v>22</v>
      </c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</row>
    <row r="666" spans="1:57" ht="37.5" x14ac:dyDescent="0.35">
      <c r="A666" s="85">
        <v>5762</v>
      </c>
      <c r="B666" s="86">
        <v>2018</v>
      </c>
      <c r="C666" s="87" t="s">
        <v>35</v>
      </c>
      <c r="D666" s="87" t="s">
        <v>72</v>
      </c>
      <c r="E666" s="87" t="s">
        <v>26</v>
      </c>
      <c r="F666" s="87" t="s">
        <v>25</v>
      </c>
      <c r="G666" s="88">
        <v>1</v>
      </c>
      <c r="H666" s="85">
        <v>17248</v>
      </c>
      <c r="I666" s="87" t="s">
        <v>372</v>
      </c>
      <c r="J666" s="85"/>
      <c r="K666" s="85"/>
      <c r="L666" s="85"/>
      <c r="M666" s="85"/>
      <c r="N666" s="90"/>
      <c r="O666" s="59"/>
      <c r="P666" s="59"/>
      <c r="Q666" s="59"/>
      <c r="R666" s="59"/>
      <c r="S666" s="59"/>
      <c r="T666" s="92"/>
      <c r="U666" s="85">
        <v>4</v>
      </c>
      <c r="V666" s="85"/>
      <c r="W666" s="83">
        <f t="shared" ca="1" si="30"/>
        <v>10</v>
      </c>
      <c r="X666" s="64" t="str">
        <f t="shared" ca="1" si="31"/>
        <v>1</v>
      </c>
      <c r="Y666" s="82" t="str">
        <f t="shared" ca="1" si="32"/>
        <v>1</v>
      </c>
      <c r="Z666" s="87"/>
      <c r="AA666" s="87" t="s">
        <v>22</v>
      </c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</row>
    <row r="667" spans="1:57" ht="37.5" x14ac:dyDescent="0.35">
      <c r="A667" s="85">
        <v>5762</v>
      </c>
      <c r="B667" s="86">
        <v>2018</v>
      </c>
      <c r="C667" s="87" t="s">
        <v>35</v>
      </c>
      <c r="D667" s="87" t="s">
        <v>72</v>
      </c>
      <c r="E667" s="87" t="s">
        <v>26</v>
      </c>
      <c r="F667" s="87" t="s">
        <v>25</v>
      </c>
      <c r="G667" s="88">
        <v>1</v>
      </c>
      <c r="H667" s="85">
        <v>17248</v>
      </c>
      <c r="I667" s="87" t="s">
        <v>373</v>
      </c>
      <c r="J667" s="85"/>
      <c r="K667" s="85"/>
      <c r="L667" s="85"/>
      <c r="M667" s="85"/>
      <c r="N667" s="59"/>
      <c r="O667" s="90"/>
      <c r="P667" s="59"/>
      <c r="Q667" s="59"/>
      <c r="R667" s="59"/>
      <c r="S667" s="59"/>
      <c r="T667" s="92"/>
      <c r="U667" s="85">
        <v>4</v>
      </c>
      <c r="V667" s="85"/>
      <c r="W667" s="83">
        <f t="shared" ca="1" si="30"/>
        <v>10</v>
      </c>
      <c r="X667" s="64" t="str">
        <f t="shared" ca="1" si="31"/>
        <v>1</v>
      </c>
      <c r="Y667" s="82" t="str">
        <f t="shared" ca="1" si="32"/>
        <v>1</v>
      </c>
      <c r="Z667" s="87"/>
      <c r="AA667" s="87" t="s">
        <v>22</v>
      </c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</row>
    <row r="668" spans="1:57" ht="37.5" x14ac:dyDescent="0.35">
      <c r="A668" s="85">
        <v>5762</v>
      </c>
      <c r="B668" s="86">
        <v>2018</v>
      </c>
      <c r="C668" s="87" t="s">
        <v>35</v>
      </c>
      <c r="D668" s="87" t="s">
        <v>72</v>
      </c>
      <c r="E668" s="87" t="s">
        <v>26</v>
      </c>
      <c r="F668" s="87" t="s">
        <v>25</v>
      </c>
      <c r="G668" s="88">
        <v>1</v>
      </c>
      <c r="H668" s="85">
        <v>17248</v>
      </c>
      <c r="I668" s="87" t="s">
        <v>251</v>
      </c>
      <c r="J668" s="85"/>
      <c r="K668" s="85"/>
      <c r="L668" s="85"/>
      <c r="M668" s="85"/>
      <c r="N668" s="59"/>
      <c r="O668" s="59"/>
      <c r="P668" s="59"/>
      <c r="Q668" s="59"/>
      <c r="R668" s="59"/>
      <c r="S668" s="59"/>
      <c r="T668" s="92"/>
      <c r="U668" s="85">
        <v>2</v>
      </c>
      <c r="V668" s="85"/>
      <c r="W668" s="83">
        <f t="shared" ca="1" si="30"/>
        <v>10</v>
      </c>
      <c r="X668" s="64" t="str">
        <f t="shared" ca="1" si="31"/>
        <v>1</v>
      </c>
      <c r="Y668" s="82" t="str">
        <f t="shared" ca="1" si="32"/>
        <v>1</v>
      </c>
      <c r="Z668" s="87"/>
      <c r="AA668" s="87" t="s">
        <v>22</v>
      </c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</row>
    <row r="669" spans="1:57" ht="63.75" customHeight="1" x14ac:dyDescent="0.35">
      <c r="A669" s="85">
        <v>5762</v>
      </c>
      <c r="B669" s="86">
        <v>2018</v>
      </c>
      <c r="C669" s="87" t="s">
        <v>35</v>
      </c>
      <c r="D669" s="87" t="s">
        <v>115</v>
      </c>
      <c r="E669" s="87" t="s">
        <v>20</v>
      </c>
      <c r="F669" s="87" t="s">
        <v>82</v>
      </c>
      <c r="G669" s="88">
        <v>0.25</v>
      </c>
      <c r="H669" s="85">
        <v>17248</v>
      </c>
      <c r="I669" s="87" t="s">
        <v>252</v>
      </c>
      <c r="J669" s="85"/>
      <c r="K669" s="85">
        <v>14</v>
      </c>
      <c r="L669" s="85"/>
      <c r="M669" s="85">
        <v>1</v>
      </c>
      <c r="N669" s="59"/>
      <c r="O669" s="59"/>
      <c r="P669" s="59"/>
      <c r="Q669" s="59"/>
      <c r="R669" s="59"/>
      <c r="S669" s="59"/>
      <c r="T669" s="92"/>
      <c r="U669" s="85"/>
      <c r="V669" s="85"/>
      <c r="W669" s="83">
        <f t="shared" ca="1" si="30"/>
        <v>10</v>
      </c>
      <c r="X669" s="64" t="str">
        <f t="shared" ca="1" si="31"/>
        <v>1</v>
      </c>
      <c r="Y669" s="82" t="str">
        <f t="shared" ca="1" si="32"/>
        <v>1</v>
      </c>
      <c r="Z669" s="87"/>
      <c r="AA669" s="87" t="s">
        <v>22</v>
      </c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</row>
    <row r="670" spans="1:57" ht="37.5" x14ac:dyDescent="0.35">
      <c r="A670" s="85">
        <v>5762</v>
      </c>
      <c r="B670" s="86">
        <v>2018</v>
      </c>
      <c r="C670" s="87" t="s">
        <v>35</v>
      </c>
      <c r="D670" s="87" t="s">
        <v>190</v>
      </c>
      <c r="E670" s="87" t="s">
        <v>26</v>
      </c>
      <c r="F670" s="87" t="s">
        <v>25</v>
      </c>
      <c r="G670" s="88">
        <v>1</v>
      </c>
      <c r="H670" s="85">
        <v>17248</v>
      </c>
      <c r="I670" s="87" t="s">
        <v>253</v>
      </c>
      <c r="J670" s="85"/>
      <c r="K670" s="85">
        <v>9</v>
      </c>
      <c r="L670" s="85"/>
      <c r="M670" s="85">
        <v>1</v>
      </c>
      <c r="N670" s="59"/>
      <c r="O670" s="59"/>
      <c r="P670" s="59">
        <v>1</v>
      </c>
      <c r="Q670" s="59"/>
      <c r="R670" s="59"/>
      <c r="S670" s="59"/>
      <c r="T670" s="92"/>
      <c r="U670" s="85"/>
      <c r="V670" s="85"/>
      <c r="W670" s="83">
        <f t="shared" ca="1" si="30"/>
        <v>10</v>
      </c>
      <c r="X670" s="64" t="str">
        <f t="shared" ca="1" si="31"/>
        <v>1</v>
      </c>
      <c r="Y670" s="82" t="str">
        <f t="shared" ca="1" si="32"/>
        <v>1</v>
      </c>
      <c r="Z670" s="87"/>
      <c r="AA670" s="87" t="s">
        <v>22</v>
      </c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</row>
    <row r="671" spans="1:57" ht="25" x14ac:dyDescent="0.35">
      <c r="A671" s="85">
        <v>5762</v>
      </c>
      <c r="B671" s="86">
        <v>2018</v>
      </c>
      <c r="C671" s="87" t="s">
        <v>35</v>
      </c>
      <c r="D671" s="87" t="s">
        <v>116</v>
      </c>
      <c r="E671" s="87" t="s">
        <v>28</v>
      </c>
      <c r="F671" s="87" t="s">
        <v>56</v>
      </c>
      <c r="G671" s="88">
        <v>1</v>
      </c>
      <c r="H671" s="85">
        <v>17248</v>
      </c>
      <c r="I671" s="87" t="s">
        <v>254</v>
      </c>
      <c r="J671" s="85"/>
      <c r="K671" s="85"/>
      <c r="L671" s="85"/>
      <c r="M671" s="85">
        <v>1</v>
      </c>
      <c r="N671" s="59">
        <v>1</v>
      </c>
      <c r="O671" s="59"/>
      <c r="P671" s="59"/>
      <c r="Q671" s="59"/>
      <c r="R671" s="59"/>
      <c r="S671" s="59"/>
      <c r="T671" s="92"/>
      <c r="U671" s="85"/>
      <c r="V671" s="85"/>
      <c r="W671" s="83">
        <f t="shared" ca="1" si="30"/>
        <v>10</v>
      </c>
      <c r="X671" s="64" t="str">
        <f t="shared" ca="1" si="31"/>
        <v>1</v>
      </c>
      <c r="Y671" s="82" t="str">
        <f t="shared" ca="1" si="32"/>
        <v>1</v>
      </c>
      <c r="Z671" s="87"/>
      <c r="AA671" s="87" t="s">
        <v>61</v>
      </c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</row>
    <row r="672" spans="1:57" ht="25" x14ac:dyDescent="0.35">
      <c r="A672" s="85">
        <v>5762</v>
      </c>
      <c r="B672" s="86">
        <v>2018</v>
      </c>
      <c r="C672" s="87" t="s">
        <v>35</v>
      </c>
      <c r="D672" s="87" t="s">
        <v>116</v>
      </c>
      <c r="E672" s="87" t="s">
        <v>28</v>
      </c>
      <c r="F672" s="87" t="s">
        <v>56</v>
      </c>
      <c r="G672" s="88">
        <v>1</v>
      </c>
      <c r="H672" s="85">
        <v>17248</v>
      </c>
      <c r="I672" s="87" t="s">
        <v>252</v>
      </c>
      <c r="J672" s="85">
        <v>4</v>
      </c>
      <c r="K672" s="85"/>
      <c r="L672" s="85"/>
      <c r="M672" s="85"/>
      <c r="N672" s="59"/>
      <c r="O672" s="59"/>
      <c r="P672" s="59"/>
      <c r="Q672" s="59"/>
      <c r="R672" s="59"/>
      <c r="S672" s="59"/>
      <c r="T672" s="92"/>
      <c r="U672" s="85"/>
      <c r="V672" s="85"/>
      <c r="W672" s="83">
        <f t="shared" ca="1" si="30"/>
        <v>10</v>
      </c>
      <c r="X672" s="64" t="str">
        <f t="shared" ca="1" si="31"/>
        <v>1</v>
      </c>
      <c r="Y672" s="82" t="str">
        <f t="shared" ca="1" si="32"/>
        <v>1</v>
      </c>
      <c r="Z672" s="87"/>
      <c r="AA672" s="87" t="s">
        <v>22</v>
      </c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</row>
    <row r="673" spans="1:57" ht="37.5" x14ac:dyDescent="0.35">
      <c r="A673" s="85">
        <v>5762</v>
      </c>
      <c r="B673" s="86">
        <v>2018</v>
      </c>
      <c r="C673" s="87" t="s">
        <v>35</v>
      </c>
      <c r="D673" s="87" t="s">
        <v>116</v>
      </c>
      <c r="E673" s="87" t="s">
        <v>28</v>
      </c>
      <c r="F673" s="87" t="s">
        <v>56</v>
      </c>
      <c r="G673" s="88">
        <v>1</v>
      </c>
      <c r="H673" s="85">
        <v>17248</v>
      </c>
      <c r="I673" s="87" t="s">
        <v>235</v>
      </c>
      <c r="J673" s="85"/>
      <c r="K673" s="85"/>
      <c r="L673" s="85"/>
      <c r="M673" s="85"/>
      <c r="N673" s="59"/>
      <c r="O673" s="59"/>
      <c r="P673" s="59"/>
      <c r="Q673" s="59"/>
      <c r="R673" s="59"/>
      <c r="S673" s="59"/>
      <c r="T673" s="92"/>
      <c r="U673" s="85">
        <v>12</v>
      </c>
      <c r="V673" s="85"/>
      <c r="W673" s="83">
        <f t="shared" ca="1" si="30"/>
        <v>10</v>
      </c>
      <c r="X673" s="64" t="str">
        <f t="shared" ca="1" si="31"/>
        <v>1</v>
      </c>
      <c r="Y673" s="82" t="str">
        <f t="shared" ca="1" si="32"/>
        <v>1</v>
      </c>
      <c r="Z673" s="87"/>
      <c r="AA673" s="87" t="s">
        <v>22</v>
      </c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</row>
    <row r="674" spans="1:57" ht="50" x14ac:dyDescent="0.35">
      <c r="A674" s="85">
        <v>5762</v>
      </c>
      <c r="B674" s="86">
        <v>2018</v>
      </c>
      <c r="C674" s="87" t="s">
        <v>35</v>
      </c>
      <c r="D674" s="87" t="s">
        <v>116</v>
      </c>
      <c r="E674" s="87" t="s">
        <v>28</v>
      </c>
      <c r="F674" s="87" t="s">
        <v>56</v>
      </c>
      <c r="G674" s="88">
        <v>1</v>
      </c>
      <c r="H674" s="85">
        <v>17248</v>
      </c>
      <c r="I674" s="87" t="s">
        <v>250</v>
      </c>
      <c r="J674" s="85"/>
      <c r="K674" s="85"/>
      <c r="L674" s="85"/>
      <c r="M674" s="85">
        <v>1</v>
      </c>
      <c r="N674" s="59"/>
      <c r="O674" s="59"/>
      <c r="P674" s="59"/>
      <c r="Q674" s="59"/>
      <c r="R674" s="59">
        <v>8</v>
      </c>
      <c r="S674" s="59">
        <v>8</v>
      </c>
      <c r="T674" s="92"/>
      <c r="U674" s="85"/>
      <c r="V674" s="85">
        <v>66</v>
      </c>
      <c r="W674" s="83">
        <f t="shared" ca="1" si="30"/>
        <v>10</v>
      </c>
      <c r="X674" s="64" t="str">
        <f t="shared" ca="1" si="31"/>
        <v>1</v>
      </c>
      <c r="Y674" s="82" t="str">
        <f t="shared" ca="1" si="32"/>
        <v>1</v>
      </c>
      <c r="Z674" s="87"/>
      <c r="AA674" s="87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</row>
    <row r="675" spans="1:57" ht="37.5" x14ac:dyDescent="0.35">
      <c r="A675" s="85">
        <v>5762</v>
      </c>
      <c r="B675" s="86">
        <v>2018</v>
      </c>
      <c r="C675" s="87" t="s">
        <v>35</v>
      </c>
      <c r="D675" s="87" t="s">
        <v>116</v>
      </c>
      <c r="E675" s="87" t="s">
        <v>28</v>
      </c>
      <c r="F675" s="87" t="s">
        <v>56</v>
      </c>
      <c r="G675" s="88">
        <v>1</v>
      </c>
      <c r="H675" s="85">
        <v>17248</v>
      </c>
      <c r="I675" s="87" t="s">
        <v>372</v>
      </c>
      <c r="J675" s="85"/>
      <c r="K675" s="85"/>
      <c r="L675" s="85"/>
      <c r="M675" s="85"/>
      <c r="N675" s="59"/>
      <c r="O675" s="59"/>
      <c r="P675" s="90"/>
      <c r="Q675" s="59"/>
      <c r="R675" s="59"/>
      <c r="S675" s="59"/>
      <c r="T675" s="92"/>
      <c r="U675" s="85">
        <v>12</v>
      </c>
      <c r="V675" s="85"/>
      <c r="W675" s="83">
        <f t="shared" ca="1" si="30"/>
        <v>10</v>
      </c>
      <c r="X675" s="64" t="str">
        <f t="shared" ca="1" si="31"/>
        <v>1</v>
      </c>
      <c r="Y675" s="82" t="str">
        <f t="shared" ca="1" si="32"/>
        <v>1</v>
      </c>
      <c r="Z675" s="87"/>
      <c r="AA675" s="87" t="s">
        <v>22</v>
      </c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</row>
    <row r="676" spans="1:57" ht="37.5" x14ac:dyDescent="0.35">
      <c r="A676" s="85">
        <v>5762</v>
      </c>
      <c r="B676" s="86">
        <v>2018</v>
      </c>
      <c r="C676" s="87" t="s">
        <v>35</v>
      </c>
      <c r="D676" s="87" t="s">
        <v>116</v>
      </c>
      <c r="E676" s="87" t="s">
        <v>28</v>
      </c>
      <c r="F676" s="87" t="s">
        <v>56</v>
      </c>
      <c r="G676" s="88">
        <v>1</v>
      </c>
      <c r="H676" s="85">
        <v>17248</v>
      </c>
      <c r="I676" s="87" t="s">
        <v>373</v>
      </c>
      <c r="J676" s="85"/>
      <c r="K676" s="85"/>
      <c r="L676" s="85"/>
      <c r="M676" s="85"/>
      <c r="N676" s="59"/>
      <c r="O676" s="59"/>
      <c r="P676" s="90"/>
      <c r="Q676" s="59"/>
      <c r="R676" s="59"/>
      <c r="S676" s="59"/>
      <c r="T676" s="92"/>
      <c r="U676" s="85">
        <v>12</v>
      </c>
      <c r="V676" s="85"/>
      <c r="W676" s="83">
        <f t="shared" ca="1" si="30"/>
        <v>10</v>
      </c>
      <c r="X676" s="64" t="str">
        <f t="shared" ca="1" si="31"/>
        <v>1</v>
      </c>
      <c r="Y676" s="82" t="str">
        <f t="shared" ca="1" si="32"/>
        <v>1</v>
      </c>
      <c r="Z676" s="87"/>
      <c r="AA676" s="87" t="s">
        <v>22</v>
      </c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</row>
    <row r="677" spans="1:57" ht="37.5" x14ac:dyDescent="0.35">
      <c r="A677" s="85">
        <v>5762</v>
      </c>
      <c r="B677" s="86">
        <v>2018</v>
      </c>
      <c r="C677" s="87" t="s">
        <v>35</v>
      </c>
      <c r="D677" s="87" t="s">
        <v>116</v>
      </c>
      <c r="E677" s="87" t="s">
        <v>28</v>
      </c>
      <c r="F677" s="87" t="s">
        <v>56</v>
      </c>
      <c r="G677" s="88">
        <v>1</v>
      </c>
      <c r="H677" s="85">
        <v>17248</v>
      </c>
      <c r="I677" s="87" t="s">
        <v>251</v>
      </c>
      <c r="J677" s="85"/>
      <c r="K677" s="85"/>
      <c r="L677" s="85"/>
      <c r="M677" s="85"/>
      <c r="N677" s="59"/>
      <c r="O677" s="59"/>
      <c r="P677" s="59"/>
      <c r="Q677" s="59"/>
      <c r="R677" s="59"/>
      <c r="S677" s="59"/>
      <c r="T677" s="92"/>
      <c r="U677" s="85">
        <v>6</v>
      </c>
      <c r="V677" s="85"/>
      <c r="W677" s="83">
        <f t="shared" ca="1" si="30"/>
        <v>10</v>
      </c>
      <c r="X677" s="64" t="str">
        <f t="shared" ca="1" si="31"/>
        <v>1</v>
      </c>
      <c r="Y677" s="82" t="str">
        <f t="shared" ca="1" si="32"/>
        <v>1</v>
      </c>
      <c r="Z677" s="87"/>
      <c r="AA677" s="87" t="s">
        <v>22</v>
      </c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</row>
    <row r="678" spans="1:57" ht="63.75" customHeight="1" x14ac:dyDescent="0.35">
      <c r="A678" s="85">
        <v>5762</v>
      </c>
      <c r="B678" s="86">
        <v>2018</v>
      </c>
      <c r="C678" s="87" t="s">
        <v>35</v>
      </c>
      <c r="D678" s="87" t="s">
        <v>36</v>
      </c>
      <c r="E678" s="87" t="s">
        <v>26</v>
      </c>
      <c r="F678" s="87" t="s">
        <v>25</v>
      </c>
      <c r="G678" s="88">
        <v>1</v>
      </c>
      <c r="H678" s="85">
        <v>17248</v>
      </c>
      <c r="I678" s="87" t="s">
        <v>255</v>
      </c>
      <c r="J678" s="85">
        <v>4</v>
      </c>
      <c r="K678" s="85"/>
      <c r="L678" s="85"/>
      <c r="M678" s="85"/>
      <c r="N678" s="59">
        <v>1</v>
      </c>
      <c r="O678" s="59"/>
      <c r="P678" s="59"/>
      <c r="Q678" s="59"/>
      <c r="R678" s="59"/>
      <c r="S678" s="59"/>
      <c r="T678" s="92"/>
      <c r="U678" s="85"/>
      <c r="V678" s="85"/>
      <c r="W678" s="83">
        <f t="shared" ca="1" si="30"/>
        <v>10</v>
      </c>
      <c r="X678" s="64" t="str">
        <f t="shared" ca="1" si="31"/>
        <v>1</v>
      </c>
      <c r="Y678" s="82" t="str">
        <f t="shared" ca="1" si="32"/>
        <v>1</v>
      </c>
      <c r="Z678" s="87"/>
      <c r="AA678" s="87" t="s">
        <v>22</v>
      </c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</row>
    <row r="679" spans="1:57" ht="37.5" x14ac:dyDescent="0.35">
      <c r="A679" s="85">
        <v>5762</v>
      </c>
      <c r="B679" s="86">
        <v>2018</v>
      </c>
      <c r="C679" s="87" t="s">
        <v>35</v>
      </c>
      <c r="D679" s="87" t="s">
        <v>36</v>
      </c>
      <c r="E679" s="87" t="s">
        <v>26</v>
      </c>
      <c r="F679" s="87" t="s">
        <v>25</v>
      </c>
      <c r="G679" s="88">
        <v>1</v>
      </c>
      <c r="H679" s="85">
        <v>17248</v>
      </c>
      <c r="I679" s="87" t="s">
        <v>235</v>
      </c>
      <c r="J679" s="85"/>
      <c r="K679" s="85"/>
      <c r="L679" s="85"/>
      <c r="M679" s="85"/>
      <c r="N679" s="59"/>
      <c r="O679" s="59"/>
      <c r="P679" s="59"/>
      <c r="Q679" s="59"/>
      <c r="R679" s="59"/>
      <c r="S679" s="59"/>
      <c r="T679" s="92"/>
      <c r="U679" s="85">
        <v>4</v>
      </c>
      <c r="V679" s="85"/>
      <c r="W679" s="83">
        <f t="shared" ca="1" si="30"/>
        <v>10</v>
      </c>
      <c r="X679" s="64" t="str">
        <f t="shared" ca="1" si="31"/>
        <v>1</v>
      </c>
      <c r="Y679" s="82" t="str">
        <f t="shared" ca="1" si="32"/>
        <v>1</v>
      </c>
      <c r="Z679" s="87"/>
      <c r="AA679" s="87" t="s">
        <v>22</v>
      </c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</row>
    <row r="680" spans="1:57" ht="50" x14ac:dyDescent="0.35">
      <c r="A680" s="85">
        <v>5762</v>
      </c>
      <c r="B680" s="86">
        <v>2018</v>
      </c>
      <c r="C680" s="87" t="s">
        <v>35</v>
      </c>
      <c r="D680" s="87" t="s">
        <v>36</v>
      </c>
      <c r="E680" s="87" t="s">
        <v>26</v>
      </c>
      <c r="F680" s="87" t="s">
        <v>25</v>
      </c>
      <c r="G680" s="88">
        <v>1</v>
      </c>
      <c r="H680" s="85">
        <v>17248</v>
      </c>
      <c r="I680" s="87" t="s">
        <v>250</v>
      </c>
      <c r="J680" s="85"/>
      <c r="K680" s="85"/>
      <c r="L680" s="85"/>
      <c r="M680" s="85"/>
      <c r="N680" s="59"/>
      <c r="O680" s="59"/>
      <c r="P680" s="59"/>
      <c r="Q680" s="59"/>
      <c r="R680" s="59"/>
      <c r="S680" s="59"/>
      <c r="T680" s="92"/>
      <c r="U680" s="85"/>
      <c r="V680" s="85">
        <v>22</v>
      </c>
      <c r="W680" s="83">
        <f t="shared" ca="1" si="30"/>
        <v>10</v>
      </c>
      <c r="X680" s="64" t="str">
        <f t="shared" ca="1" si="31"/>
        <v>1</v>
      </c>
      <c r="Y680" s="82" t="str">
        <f t="shared" ca="1" si="32"/>
        <v>1</v>
      </c>
      <c r="Z680" s="87"/>
      <c r="AA680" s="87" t="s">
        <v>22</v>
      </c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</row>
    <row r="681" spans="1:57" ht="37.5" x14ac:dyDescent="0.35">
      <c r="A681" s="85">
        <v>5762</v>
      </c>
      <c r="B681" s="86">
        <v>2018</v>
      </c>
      <c r="C681" s="87" t="s">
        <v>35</v>
      </c>
      <c r="D681" s="87" t="s">
        <v>36</v>
      </c>
      <c r="E681" s="87" t="s">
        <v>26</v>
      </c>
      <c r="F681" s="87" t="s">
        <v>25</v>
      </c>
      <c r="G681" s="88">
        <v>1</v>
      </c>
      <c r="H681" s="85">
        <v>17248</v>
      </c>
      <c r="I681" s="87" t="s">
        <v>372</v>
      </c>
      <c r="J681" s="85"/>
      <c r="K681" s="85"/>
      <c r="L681" s="85"/>
      <c r="M681" s="85"/>
      <c r="N681" s="59"/>
      <c r="O681" s="59"/>
      <c r="P681" s="59"/>
      <c r="Q681" s="59"/>
      <c r="R681" s="59"/>
      <c r="S681" s="59"/>
      <c r="T681" s="92"/>
      <c r="U681" s="85">
        <v>4</v>
      </c>
      <c r="V681" s="85"/>
      <c r="W681" s="83">
        <f t="shared" ca="1" si="30"/>
        <v>10</v>
      </c>
      <c r="X681" s="64" t="str">
        <f t="shared" ca="1" si="31"/>
        <v>1</v>
      </c>
      <c r="Y681" s="82" t="str">
        <f t="shared" ca="1" si="32"/>
        <v>1</v>
      </c>
      <c r="Z681" s="87"/>
      <c r="AA681" s="87" t="s">
        <v>22</v>
      </c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</row>
    <row r="682" spans="1:57" ht="37.5" x14ac:dyDescent="0.35">
      <c r="A682" s="85">
        <v>5762</v>
      </c>
      <c r="B682" s="86">
        <v>2018</v>
      </c>
      <c r="C682" s="87" t="s">
        <v>35</v>
      </c>
      <c r="D682" s="87" t="s">
        <v>36</v>
      </c>
      <c r="E682" s="87" t="s">
        <v>26</v>
      </c>
      <c r="F682" s="87" t="s">
        <v>25</v>
      </c>
      <c r="G682" s="88">
        <v>1</v>
      </c>
      <c r="H682" s="85">
        <v>17248</v>
      </c>
      <c r="I682" s="87" t="s">
        <v>373</v>
      </c>
      <c r="J682" s="85"/>
      <c r="K682" s="85"/>
      <c r="L682" s="85"/>
      <c r="M682" s="85"/>
      <c r="N682" s="59"/>
      <c r="O682" s="59"/>
      <c r="P682" s="59"/>
      <c r="Q682" s="59"/>
      <c r="R682" s="59"/>
      <c r="S682" s="59"/>
      <c r="T682" s="92"/>
      <c r="U682" s="85">
        <v>4</v>
      </c>
      <c r="V682" s="85"/>
      <c r="W682" s="83">
        <f t="shared" ca="1" si="30"/>
        <v>10</v>
      </c>
      <c r="X682" s="64" t="str">
        <f t="shared" ca="1" si="31"/>
        <v>1</v>
      </c>
      <c r="Y682" s="82" t="str">
        <f t="shared" ca="1" si="32"/>
        <v>1</v>
      </c>
      <c r="Z682" s="87"/>
      <c r="AA682" s="87" t="s">
        <v>22</v>
      </c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</row>
    <row r="683" spans="1:57" ht="37.5" x14ac:dyDescent="0.35">
      <c r="A683" s="85">
        <v>5762</v>
      </c>
      <c r="B683" s="86">
        <v>2018</v>
      </c>
      <c r="C683" s="87" t="s">
        <v>35</v>
      </c>
      <c r="D683" s="87" t="s">
        <v>36</v>
      </c>
      <c r="E683" s="87" t="s">
        <v>26</v>
      </c>
      <c r="F683" s="87" t="s">
        <v>25</v>
      </c>
      <c r="G683" s="88">
        <v>1</v>
      </c>
      <c r="H683" s="85">
        <v>17248</v>
      </c>
      <c r="I683" s="87" t="s">
        <v>251</v>
      </c>
      <c r="J683" s="85"/>
      <c r="K683" s="85"/>
      <c r="L683" s="85"/>
      <c r="M683" s="85"/>
      <c r="N683" s="59"/>
      <c r="O683" s="90"/>
      <c r="P683" s="59"/>
      <c r="Q683" s="59"/>
      <c r="R683" s="59"/>
      <c r="S683" s="59"/>
      <c r="T683" s="92"/>
      <c r="U683" s="85">
        <v>2</v>
      </c>
      <c r="V683" s="85"/>
      <c r="W683" s="83">
        <f t="shared" ca="1" si="30"/>
        <v>10</v>
      </c>
      <c r="X683" s="64" t="str">
        <f t="shared" ca="1" si="31"/>
        <v>1</v>
      </c>
      <c r="Y683" s="82" t="str">
        <f t="shared" ca="1" si="32"/>
        <v>1</v>
      </c>
      <c r="Z683" s="87"/>
      <c r="AA683" s="87" t="s">
        <v>22</v>
      </c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</row>
    <row r="684" spans="1:57" ht="25" x14ac:dyDescent="0.35">
      <c r="A684" s="85">
        <v>5762</v>
      </c>
      <c r="B684" s="86">
        <v>2018</v>
      </c>
      <c r="C684" s="87" t="s">
        <v>35</v>
      </c>
      <c r="D684" s="87" t="s">
        <v>130</v>
      </c>
      <c r="E684" s="87" t="s">
        <v>26</v>
      </c>
      <c r="F684" s="87" t="s">
        <v>25</v>
      </c>
      <c r="G684" s="88">
        <v>1</v>
      </c>
      <c r="H684" s="85">
        <v>17248</v>
      </c>
      <c r="I684" s="87" t="s">
        <v>256</v>
      </c>
      <c r="J684" s="85">
        <v>4</v>
      </c>
      <c r="K684" s="85"/>
      <c r="L684" s="85"/>
      <c r="M684" s="85"/>
      <c r="N684" s="59">
        <v>1</v>
      </c>
      <c r="O684" s="59"/>
      <c r="P684" s="59"/>
      <c r="Q684" s="59"/>
      <c r="R684" s="59"/>
      <c r="S684" s="59"/>
      <c r="T684" s="92"/>
      <c r="U684" s="85"/>
      <c r="V684" s="85"/>
      <c r="W684" s="83">
        <f t="shared" ca="1" si="30"/>
        <v>10</v>
      </c>
      <c r="X684" s="64" t="str">
        <f t="shared" ca="1" si="31"/>
        <v>1</v>
      </c>
      <c r="Y684" s="82" t="str">
        <f t="shared" ca="1" si="32"/>
        <v>1</v>
      </c>
      <c r="Z684" s="87"/>
      <c r="AA684" s="87" t="s">
        <v>22</v>
      </c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</row>
    <row r="685" spans="1:57" ht="37.5" x14ac:dyDescent="0.35">
      <c r="A685" s="85">
        <v>5762</v>
      </c>
      <c r="B685" s="86">
        <v>2018</v>
      </c>
      <c r="C685" s="87" t="s">
        <v>35</v>
      </c>
      <c r="D685" s="87" t="s">
        <v>130</v>
      </c>
      <c r="E685" s="87" t="s">
        <v>26</v>
      </c>
      <c r="F685" s="87" t="s">
        <v>25</v>
      </c>
      <c r="G685" s="88">
        <v>1</v>
      </c>
      <c r="H685" s="85">
        <v>17248</v>
      </c>
      <c r="I685" s="87" t="s">
        <v>257</v>
      </c>
      <c r="J685" s="85">
        <v>4</v>
      </c>
      <c r="K685" s="85">
        <v>14</v>
      </c>
      <c r="L685" s="85"/>
      <c r="M685" s="85">
        <v>1</v>
      </c>
      <c r="N685" s="59"/>
      <c r="O685" s="59">
        <v>1</v>
      </c>
      <c r="P685" s="59"/>
      <c r="Q685" s="59"/>
      <c r="R685" s="59"/>
      <c r="S685" s="59"/>
      <c r="T685" s="92"/>
      <c r="U685" s="85"/>
      <c r="V685" s="85"/>
      <c r="W685" s="83">
        <f t="shared" ca="1" si="30"/>
        <v>10</v>
      </c>
      <c r="X685" s="64" t="str">
        <f t="shared" ca="1" si="31"/>
        <v>1</v>
      </c>
      <c r="Y685" s="82" t="str">
        <f t="shared" ca="1" si="32"/>
        <v>1</v>
      </c>
      <c r="Z685" s="87"/>
      <c r="AA685" s="87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</row>
    <row r="686" spans="1:57" ht="37.5" x14ac:dyDescent="0.35">
      <c r="A686" s="85">
        <v>5762</v>
      </c>
      <c r="B686" s="86">
        <v>2018</v>
      </c>
      <c r="C686" s="87" t="s">
        <v>35</v>
      </c>
      <c r="D686" s="87" t="s">
        <v>130</v>
      </c>
      <c r="E686" s="87" t="s">
        <v>26</v>
      </c>
      <c r="F686" s="87" t="s">
        <v>25</v>
      </c>
      <c r="G686" s="88">
        <v>1</v>
      </c>
      <c r="H686" s="85">
        <v>17248</v>
      </c>
      <c r="I686" s="87" t="s">
        <v>235</v>
      </c>
      <c r="J686" s="85"/>
      <c r="K686" s="85"/>
      <c r="L686" s="85"/>
      <c r="M686" s="85"/>
      <c r="N686" s="59"/>
      <c r="O686" s="59"/>
      <c r="P686" s="59"/>
      <c r="Q686" s="59"/>
      <c r="R686" s="59"/>
      <c r="S686" s="59"/>
      <c r="T686" s="92"/>
      <c r="U686" s="85">
        <v>4</v>
      </c>
      <c r="V686" s="85"/>
      <c r="W686" s="83">
        <f t="shared" ca="1" si="30"/>
        <v>10</v>
      </c>
      <c r="X686" s="64" t="str">
        <f t="shared" ca="1" si="31"/>
        <v>1</v>
      </c>
      <c r="Y686" s="82" t="str">
        <f t="shared" ca="1" si="32"/>
        <v>1</v>
      </c>
      <c r="Z686" s="87"/>
      <c r="AA686" s="87" t="s">
        <v>22</v>
      </c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</row>
    <row r="687" spans="1:57" ht="63.75" customHeight="1" x14ac:dyDescent="0.35">
      <c r="A687" s="85">
        <v>5762</v>
      </c>
      <c r="B687" s="86">
        <v>2018</v>
      </c>
      <c r="C687" s="87" t="s">
        <v>35</v>
      </c>
      <c r="D687" s="87" t="s">
        <v>130</v>
      </c>
      <c r="E687" s="87" t="s">
        <v>26</v>
      </c>
      <c r="F687" s="87" t="s">
        <v>25</v>
      </c>
      <c r="G687" s="88">
        <v>1</v>
      </c>
      <c r="H687" s="85">
        <v>17248</v>
      </c>
      <c r="I687" s="87" t="s">
        <v>250</v>
      </c>
      <c r="J687" s="85"/>
      <c r="K687" s="85"/>
      <c r="L687" s="85"/>
      <c r="M687" s="85"/>
      <c r="N687" s="59"/>
      <c r="O687" s="59"/>
      <c r="P687" s="59"/>
      <c r="Q687" s="59"/>
      <c r="R687" s="59">
        <v>6</v>
      </c>
      <c r="S687" s="59">
        <v>6</v>
      </c>
      <c r="T687" s="92"/>
      <c r="U687" s="85"/>
      <c r="V687" s="85">
        <v>34</v>
      </c>
      <c r="W687" s="83">
        <f t="shared" ca="1" si="30"/>
        <v>10</v>
      </c>
      <c r="X687" s="64" t="str">
        <f t="shared" ca="1" si="31"/>
        <v>1</v>
      </c>
      <c r="Y687" s="82" t="str">
        <f t="shared" ca="1" si="32"/>
        <v>1</v>
      </c>
      <c r="Z687" s="87"/>
      <c r="AA687" s="87" t="s">
        <v>22</v>
      </c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</row>
    <row r="688" spans="1:57" ht="37.5" x14ac:dyDescent="0.35">
      <c r="A688" s="85">
        <v>5762</v>
      </c>
      <c r="B688" s="86">
        <v>2018</v>
      </c>
      <c r="C688" s="87" t="s">
        <v>35</v>
      </c>
      <c r="D688" s="87" t="s">
        <v>130</v>
      </c>
      <c r="E688" s="87" t="s">
        <v>26</v>
      </c>
      <c r="F688" s="87" t="s">
        <v>25</v>
      </c>
      <c r="G688" s="88">
        <v>1</v>
      </c>
      <c r="H688" s="85">
        <v>17248</v>
      </c>
      <c r="I688" s="87" t="s">
        <v>372</v>
      </c>
      <c r="J688" s="85"/>
      <c r="K688" s="85"/>
      <c r="L688" s="85"/>
      <c r="M688" s="85"/>
      <c r="N688" s="59"/>
      <c r="O688" s="59"/>
      <c r="P688" s="59"/>
      <c r="Q688" s="59"/>
      <c r="R688" s="59"/>
      <c r="S688" s="59"/>
      <c r="T688" s="92"/>
      <c r="U688" s="85">
        <v>4</v>
      </c>
      <c r="V688" s="85"/>
      <c r="W688" s="83">
        <f t="shared" ca="1" si="30"/>
        <v>10</v>
      </c>
      <c r="X688" s="64" t="str">
        <f t="shared" ca="1" si="31"/>
        <v>1</v>
      </c>
      <c r="Y688" s="82" t="str">
        <f t="shared" ca="1" si="32"/>
        <v>1</v>
      </c>
      <c r="Z688" s="87"/>
      <c r="AA688" s="87" t="s">
        <v>22</v>
      </c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</row>
    <row r="689" spans="1:57" ht="37.5" x14ac:dyDescent="0.35">
      <c r="A689" s="85">
        <v>5762</v>
      </c>
      <c r="B689" s="86">
        <v>2018</v>
      </c>
      <c r="C689" s="87" t="s">
        <v>35</v>
      </c>
      <c r="D689" s="87" t="s">
        <v>130</v>
      </c>
      <c r="E689" s="87" t="s">
        <v>26</v>
      </c>
      <c r="F689" s="87" t="s">
        <v>25</v>
      </c>
      <c r="G689" s="88">
        <v>1</v>
      </c>
      <c r="H689" s="85">
        <v>17248</v>
      </c>
      <c r="I689" s="87" t="s">
        <v>373</v>
      </c>
      <c r="J689" s="85"/>
      <c r="K689" s="85"/>
      <c r="L689" s="85"/>
      <c r="M689" s="85"/>
      <c r="N689" s="59"/>
      <c r="O689" s="59"/>
      <c r="P689" s="59"/>
      <c r="Q689" s="59"/>
      <c r="R689" s="59"/>
      <c r="S689" s="59"/>
      <c r="T689" s="92"/>
      <c r="U689" s="85">
        <v>4</v>
      </c>
      <c r="V689" s="85"/>
      <c r="W689" s="83">
        <f t="shared" ca="1" si="30"/>
        <v>10</v>
      </c>
      <c r="X689" s="64" t="str">
        <f t="shared" ca="1" si="31"/>
        <v>1</v>
      </c>
      <c r="Y689" s="82" t="str">
        <f t="shared" ca="1" si="32"/>
        <v>1</v>
      </c>
      <c r="Z689" s="87"/>
      <c r="AA689" s="87" t="s">
        <v>61</v>
      </c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</row>
    <row r="690" spans="1:57" ht="37.5" x14ac:dyDescent="0.35">
      <c r="A690" s="85">
        <v>5762</v>
      </c>
      <c r="B690" s="86">
        <v>2018</v>
      </c>
      <c r="C690" s="87" t="s">
        <v>35</v>
      </c>
      <c r="D690" s="87" t="s">
        <v>130</v>
      </c>
      <c r="E690" s="87" t="s">
        <v>26</v>
      </c>
      <c r="F690" s="87" t="s">
        <v>25</v>
      </c>
      <c r="G690" s="88">
        <v>1</v>
      </c>
      <c r="H690" s="85">
        <v>17248</v>
      </c>
      <c r="I690" s="87" t="s">
        <v>373</v>
      </c>
      <c r="J690" s="85"/>
      <c r="K690" s="85"/>
      <c r="L690" s="85"/>
      <c r="M690" s="85"/>
      <c r="N690" s="59"/>
      <c r="O690" s="59"/>
      <c r="P690" s="59"/>
      <c r="Q690" s="59"/>
      <c r="R690" s="59"/>
      <c r="S690" s="59"/>
      <c r="T690" s="92"/>
      <c r="U690" s="85">
        <v>4</v>
      </c>
      <c r="V690" s="85"/>
      <c r="W690" s="83">
        <f t="shared" ca="1" si="30"/>
        <v>10</v>
      </c>
      <c r="X690" s="64" t="str">
        <f t="shared" ca="1" si="31"/>
        <v>1</v>
      </c>
      <c r="Y690" s="82" t="str">
        <f t="shared" ca="1" si="32"/>
        <v>1</v>
      </c>
      <c r="Z690" s="87"/>
      <c r="AA690" s="87" t="s">
        <v>22</v>
      </c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</row>
    <row r="691" spans="1:57" ht="37.5" x14ac:dyDescent="0.35">
      <c r="A691" s="85">
        <v>5762</v>
      </c>
      <c r="B691" s="86">
        <v>2018</v>
      </c>
      <c r="C691" s="87" t="s">
        <v>35</v>
      </c>
      <c r="D691" s="87" t="s">
        <v>130</v>
      </c>
      <c r="E691" s="87" t="s">
        <v>26</v>
      </c>
      <c r="F691" s="87" t="s">
        <v>25</v>
      </c>
      <c r="G691" s="88">
        <v>1</v>
      </c>
      <c r="H691" s="85">
        <v>17248</v>
      </c>
      <c r="I691" s="87" t="s">
        <v>251</v>
      </c>
      <c r="J691" s="85"/>
      <c r="K691" s="85"/>
      <c r="L691" s="85"/>
      <c r="M691" s="85"/>
      <c r="N691" s="59"/>
      <c r="O691" s="59"/>
      <c r="P691" s="90"/>
      <c r="Q691" s="59"/>
      <c r="R691" s="59"/>
      <c r="S691" s="59"/>
      <c r="T691" s="92"/>
      <c r="U691" s="85">
        <v>2</v>
      </c>
      <c r="V691" s="85"/>
      <c r="W691" s="83">
        <f t="shared" ca="1" si="30"/>
        <v>10</v>
      </c>
      <c r="X691" s="64" t="str">
        <f t="shared" ca="1" si="31"/>
        <v>1</v>
      </c>
      <c r="Y691" s="82" t="str">
        <f t="shared" ca="1" si="32"/>
        <v>1</v>
      </c>
      <c r="Z691" s="87"/>
      <c r="AA691" s="87" t="s">
        <v>22</v>
      </c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</row>
    <row r="692" spans="1:57" ht="37.5" x14ac:dyDescent="0.35">
      <c r="A692" s="85">
        <v>5762</v>
      </c>
      <c r="B692" s="86">
        <v>2018</v>
      </c>
      <c r="C692" s="87" t="s">
        <v>35</v>
      </c>
      <c r="D692" s="87" t="s">
        <v>381</v>
      </c>
      <c r="E692" s="87" t="s">
        <v>26</v>
      </c>
      <c r="F692" s="87" t="s">
        <v>374</v>
      </c>
      <c r="G692" s="88">
        <v>1</v>
      </c>
      <c r="H692" s="85">
        <v>17248</v>
      </c>
      <c r="I692" s="87" t="s">
        <v>258</v>
      </c>
      <c r="J692" s="85">
        <v>4</v>
      </c>
      <c r="K692" s="85">
        <v>14</v>
      </c>
      <c r="L692" s="85"/>
      <c r="M692" s="85">
        <v>1</v>
      </c>
      <c r="N692" s="59"/>
      <c r="O692" s="59"/>
      <c r="P692" s="59">
        <v>1</v>
      </c>
      <c r="Q692" s="59"/>
      <c r="R692" s="59"/>
      <c r="S692" s="59"/>
      <c r="T692" s="92"/>
      <c r="U692" s="85"/>
      <c r="V692" s="85"/>
      <c r="W692" s="83">
        <f t="shared" ca="1" si="30"/>
        <v>10</v>
      </c>
      <c r="X692" s="64" t="str">
        <f t="shared" ca="1" si="31"/>
        <v>1</v>
      </c>
      <c r="Y692" s="82" t="str">
        <f t="shared" ca="1" si="32"/>
        <v>1</v>
      </c>
      <c r="Z692" s="87"/>
      <c r="AA692" s="87" t="s">
        <v>22</v>
      </c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</row>
    <row r="693" spans="1:57" ht="37.5" x14ac:dyDescent="0.35">
      <c r="A693" s="85">
        <v>5762</v>
      </c>
      <c r="B693" s="86">
        <v>2018</v>
      </c>
      <c r="C693" s="87" t="s">
        <v>35</v>
      </c>
      <c r="D693" s="87" t="s">
        <v>93</v>
      </c>
      <c r="E693" s="87" t="s">
        <v>28</v>
      </c>
      <c r="F693" s="87" t="s">
        <v>23</v>
      </c>
      <c r="G693" s="88">
        <v>0.75</v>
      </c>
      <c r="H693" s="85">
        <v>17248</v>
      </c>
      <c r="I693" s="87" t="s">
        <v>258</v>
      </c>
      <c r="J693" s="85"/>
      <c r="K693" s="85"/>
      <c r="L693" s="85"/>
      <c r="M693" s="85"/>
      <c r="N693" s="59"/>
      <c r="O693" s="59"/>
      <c r="P693" s="59"/>
      <c r="Q693" s="59"/>
      <c r="R693" s="59"/>
      <c r="S693" s="59"/>
      <c r="T693" s="92"/>
      <c r="U693" s="85"/>
      <c r="V693" s="85"/>
      <c r="W693" s="83">
        <f t="shared" ca="1" si="30"/>
        <v>10</v>
      </c>
      <c r="X693" s="64" t="str">
        <f t="shared" ca="1" si="31"/>
        <v>1</v>
      </c>
      <c r="Y693" s="82" t="str">
        <f t="shared" ca="1" si="32"/>
        <v>1</v>
      </c>
      <c r="Z693" s="87"/>
      <c r="AA693" s="87" t="s">
        <v>22</v>
      </c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</row>
    <row r="694" spans="1:57" ht="37.5" x14ac:dyDescent="0.35">
      <c r="A694" s="85">
        <v>5762</v>
      </c>
      <c r="B694" s="86">
        <v>2018</v>
      </c>
      <c r="C694" s="87" t="s">
        <v>35</v>
      </c>
      <c r="D694" s="87" t="s">
        <v>93</v>
      </c>
      <c r="E694" s="87" t="s">
        <v>28</v>
      </c>
      <c r="F694" s="87" t="s">
        <v>23</v>
      </c>
      <c r="G694" s="88">
        <v>0.75</v>
      </c>
      <c r="H694" s="85">
        <v>17248</v>
      </c>
      <c r="I694" s="87" t="s">
        <v>259</v>
      </c>
      <c r="J694" s="85"/>
      <c r="K694" s="85">
        <v>9</v>
      </c>
      <c r="L694" s="85"/>
      <c r="M694" s="85">
        <v>1</v>
      </c>
      <c r="N694" s="59"/>
      <c r="O694" s="59"/>
      <c r="P694" s="59">
        <v>1</v>
      </c>
      <c r="Q694" s="59"/>
      <c r="R694" s="59"/>
      <c r="S694" s="59"/>
      <c r="T694" s="92"/>
      <c r="U694" s="85"/>
      <c r="V694" s="85"/>
      <c r="W694" s="83">
        <f t="shared" ca="1" si="30"/>
        <v>10</v>
      </c>
      <c r="X694" s="64" t="str">
        <f t="shared" ca="1" si="31"/>
        <v>1</v>
      </c>
      <c r="Y694" s="82" t="str">
        <f t="shared" ca="1" si="32"/>
        <v>1</v>
      </c>
      <c r="Z694" s="87"/>
      <c r="AA694" s="87" t="s">
        <v>22</v>
      </c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</row>
    <row r="695" spans="1:57" ht="37.5" x14ac:dyDescent="0.35">
      <c r="A695" s="85">
        <v>5762</v>
      </c>
      <c r="B695" s="86">
        <v>2018</v>
      </c>
      <c r="C695" s="87" t="s">
        <v>35</v>
      </c>
      <c r="D695" s="87" t="s">
        <v>93</v>
      </c>
      <c r="E695" s="87" t="s">
        <v>28</v>
      </c>
      <c r="F695" s="87" t="s">
        <v>23</v>
      </c>
      <c r="G695" s="88">
        <v>0.75</v>
      </c>
      <c r="H695" s="85">
        <v>17248</v>
      </c>
      <c r="I695" s="87" t="s">
        <v>235</v>
      </c>
      <c r="J695" s="85"/>
      <c r="K695" s="85"/>
      <c r="L695" s="85"/>
      <c r="M695" s="85"/>
      <c r="N695" s="59"/>
      <c r="O695" s="59"/>
      <c r="P695" s="59"/>
      <c r="Q695" s="59"/>
      <c r="R695" s="59"/>
      <c r="S695" s="59"/>
      <c r="T695" s="92"/>
      <c r="U695" s="85">
        <v>8</v>
      </c>
      <c r="V695" s="85"/>
      <c r="W695" s="83">
        <f t="shared" ca="1" si="30"/>
        <v>10</v>
      </c>
      <c r="X695" s="64" t="str">
        <f t="shared" ca="1" si="31"/>
        <v>1</v>
      </c>
      <c r="Y695" s="82" t="str">
        <f t="shared" ca="1" si="32"/>
        <v>1</v>
      </c>
      <c r="Z695" s="87"/>
      <c r="AA695" s="87" t="s">
        <v>61</v>
      </c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</row>
    <row r="696" spans="1:57" ht="50" x14ac:dyDescent="0.35">
      <c r="A696" s="85">
        <v>5762</v>
      </c>
      <c r="B696" s="86">
        <v>2018</v>
      </c>
      <c r="C696" s="87" t="s">
        <v>35</v>
      </c>
      <c r="D696" s="87" t="s">
        <v>93</v>
      </c>
      <c r="E696" s="87" t="s">
        <v>28</v>
      </c>
      <c r="F696" s="87" t="s">
        <v>23</v>
      </c>
      <c r="G696" s="88">
        <v>0.75</v>
      </c>
      <c r="H696" s="85">
        <v>17248</v>
      </c>
      <c r="I696" s="87" t="s">
        <v>250</v>
      </c>
      <c r="J696" s="85"/>
      <c r="K696" s="85"/>
      <c r="L696" s="85"/>
      <c r="M696" s="85"/>
      <c r="N696" s="59"/>
      <c r="O696" s="59"/>
      <c r="P696" s="59"/>
      <c r="Q696" s="59"/>
      <c r="R696" s="59"/>
      <c r="S696" s="59"/>
      <c r="T696" s="92"/>
      <c r="U696" s="85"/>
      <c r="V696" s="85">
        <v>44</v>
      </c>
      <c r="W696" s="83">
        <f t="shared" ca="1" si="30"/>
        <v>10</v>
      </c>
      <c r="X696" s="64" t="str">
        <f t="shared" ca="1" si="31"/>
        <v>1</v>
      </c>
      <c r="Y696" s="82" t="str">
        <f t="shared" ca="1" si="32"/>
        <v>1</v>
      </c>
      <c r="Z696" s="87"/>
      <c r="AA696" s="87" t="s">
        <v>22</v>
      </c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</row>
    <row r="697" spans="1:57" ht="37.5" x14ac:dyDescent="0.35">
      <c r="A697" s="85">
        <v>5762</v>
      </c>
      <c r="B697" s="86">
        <v>2018</v>
      </c>
      <c r="C697" s="87" t="s">
        <v>35</v>
      </c>
      <c r="D697" s="87" t="s">
        <v>93</v>
      </c>
      <c r="E697" s="87" t="s">
        <v>28</v>
      </c>
      <c r="F697" s="87" t="s">
        <v>23</v>
      </c>
      <c r="G697" s="88">
        <v>0.75</v>
      </c>
      <c r="H697" s="85">
        <v>17248</v>
      </c>
      <c r="I697" s="87" t="s">
        <v>372</v>
      </c>
      <c r="J697" s="85"/>
      <c r="K697" s="85"/>
      <c r="L697" s="85"/>
      <c r="M697" s="85"/>
      <c r="N697" s="59"/>
      <c r="O697" s="59"/>
      <c r="P697" s="59"/>
      <c r="Q697" s="59"/>
      <c r="R697" s="59"/>
      <c r="S697" s="59"/>
      <c r="T697" s="92"/>
      <c r="U697" s="85">
        <v>8</v>
      </c>
      <c r="V697" s="85"/>
      <c r="W697" s="83">
        <f t="shared" ca="1" si="30"/>
        <v>10</v>
      </c>
      <c r="X697" s="64" t="str">
        <f t="shared" ca="1" si="31"/>
        <v>1</v>
      </c>
      <c r="Y697" s="82" t="str">
        <f t="shared" ca="1" si="32"/>
        <v>1</v>
      </c>
      <c r="Z697" s="87"/>
      <c r="AA697" s="87" t="s">
        <v>61</v>
      </c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</row>
    <row r="698" spans="1:57" ht="37.5" x14ac:dyDescent="0.35">
      <c r="A698" s="85">
        <v>5762</v>
      </c>
      <c r="B698" s="86">
        <v>2018</v>
      </c>
      <c r="C698" s="87" t="s">
        <v>35</v>
      </c>
      <c r="D698" s="87" t="s">
        <v>93</v>
      </c>
      <c r="E698" s="87" t="s">
        <v>28</v>
      </c>
      <c r="F698" s="87" t="s">
        <v>23</v>
      </c>
      <c r="G698" s="88">
        <v>0.75</v>
      </c>
      <c r="H698" s="85">
        <v>17248</v>
      </c>
      <c r="I698" s="87" t="s">
        <v>373</v>
      </c>
      <c r="J698" s="85"/>
      <c r="K698" s="85"/>
      <c r="L698" s="85"/>
      <c r="M698" s="85"/>
      <c r="N698" s="59"/>
      <c r="O698" s="59"/>
      <c r="P698" s="59"/>
      <c r="Q698" s="59"/>
      <c r="R698" s="59"/>
      <c r="S698" s="59"/>
      <c r="T698" s="92"/>
      <c r="U698" s="85">
        <v>8</v>
      </c>
      <c r="V698" s="85"/>
      <c r="W698" s="83">
        <f t="shared" ca="1" si="30"/>
        <v>10</v>
      </c>
      <c r="X698" s="64" t="str">
        <f t="shared" ca="1" si="31"/>
        <v>1</v>
      </c>
      <c r="Y698" s="82" t="str">
        <f t="shared" ca="1" si="32"/>
        <v>1</v>
      </c>
      <c r="Z698" s="87"/>
      <c r="AA698" s="87" t="s">
        <v>61</v>
      </c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</row>
    <row r="699" spans="1:57" ht="37.5" x14ac:dyDescent="0.35">
      <c r="A699" s="85">
        <v>5762</v>
      </c>
      <c r="B699" s="86">
        <v>2018</v>
      </c>
      <c r="C699" s="87" t="s">
        <v>35</v>
      </c>
      <c r="D699" s="87" t="s">
        <v>93</v>
      </c>
      <c r="E699" s="87" t="s">
        <v>28</v>
      </c>
      <c r="F699" s="87" t="s">
        <v>23</v>
      </c>
      <c r="G699" s="88">
        <v>0.75</v>
      </c>
      <c r="H699" s="85">
        <v>17248</v>
      </c>
      <c r="I699" s="87" t="s">
        <v>251</v>
      </c>
      <c r="J699" s="85"/>
      <c r="K699" s="85"/>
      <c r="L699" s="85"/>
      <c r="M699" s="85"/>
      <c r="N699" s="59"/>
      <c r="O699" s="59"/>
      <c r="P699" s="59"/>
      <c r="Q699" s="59"/>
      <c r="R699" s="59"/>
      <c r="S699" s="59"/>
      <c r="T699" s="92"/>
      <c r="U699" s="85">
        <v>4</v>
      </c>
      <c r="V699" s="85"/>
      <c r="W699" s="83">
        <f t="shared" ca="1" si="30"/>
        <v>10</v>
      </c>
      <c r="X699" s="64" t="str">
        <f t="shared" ca="1" si="31"/>
        <v>1</v>
      </c>
      <c r="Y699" s="82" t="str">
        <f t="shared" ca="1" si="32"/>
        <v>1</v>
      </c>
      <c r="Z699" s="87"/>
      <c r="AA699" s="87" t="s">
        <v>61</v>
      </c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</row>
    <row r="700" spans="1:57" ht="25" x14ac:dyDescent="0.35">
      <c r="A700" s="85">
        <v>5762</v>
      </c>
      <c r="B700" s="86">
        <v>2018</v>
      </c>
      <c r="C700" s="87" t="s">
        <v>35</v>
      </c>
      <c r="D700" s="87" t="s">
        <v>135</v>
      </c>
      <c r="E700" s="87" t="s">
        <v>20</v>
      </c>
      <c r="F700" s="87" t="s">
        <v>82</v>
      </c>
      <c r="G700" s="88">
        <v>1</v>
      </c>
      <c r="H700" s="85">
        <v>17248</v>
      </c>
      <c r="I700" s="87" t="s">
        <v>256</v>
      </c>
      <c r="J700" s="85"/>
      <c r="K700" s="85">
        <v>20</v>
      </c>
      <c r="L700" s="85"/>
      <c r="M700" s="85">
        <v>1</v>
      </c>
      <c r="N700" s="59"/>
      <c r="O700" s="59"/>
      <c r="P700" s="59"/>
      <c r="Q700" s="59"/>
      <c r="R700" s="59"/>
      <c r="S700" s="59"/>
      <c r="T700" s="92"/>
      <c r="U700" s="85"/>
      <c r="V700" s="85"/>
      <c r="W700" s="83">
        <f t="shared" ca="1" si="30"/>
        <v>10</v>
      </c>
      <c r="X700" s="64" t="str">
        <f t="shared" ca="1" si="31"/>
        <v>1</v>
      </c>
      <c r="Y700" s="82" t="str">
        <f t="shared" ca="1" si="32"/>
        <v>1</v>
      </c>
      <c r="Z700" s="87"/>
      <c r="AA700" s="87" t="s">
        <v>22</v>
      </c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</row>
    <row r="701" spans="1:57" ht="25" x14ac:dyDescent="0.35">
      <c r="A701" s="85">
        <v>5762</v>
      </c>
      <c r="B701" s="86">
        <v>2018</v>
      </c>
      <c r="C701" s="87" t="s">
        <v>35</v>
      </c>
      <c r="D701" s="87" t="s">
        <v>135</v>
      </c>
      <c r="E701" s="87" t="s">
        <v>20</v>
      </c>
      <c r="F701" s="87" t="s">
        <v>82</v>
      </c>
      <c r="G701" s="88">
        <v>1</v>
      </c>
      <c r="H701" s="85">
        <v>17248</v>
      </c>
      <c r="I701" s="87" t="s">
        <v>260</v>
      </c>
      <c r="J701" s="85"/>
      <c r="K701" s="85">
        <v>9</v>
      </c>
      <c r="L701" s="85"/>
      <c r="M701" s="85">
        <v>1</v>
      </c>
      <c r="N701" s="59"/>
      <c r="O701" s="59">
        <v>1</v>
      </c>
      <c r="P701" s="59"/>
      <c r="Q701" s="59"/>
      <c r="R701" s="59"/>
      <c r="S701" s="59"/>
      <c r="T701" s="92"/>
      <c r="U701" s="85"/>
      <c r="V701" s="85"/>
      <c r="W701" s="83">
        <f t="shared" ca="1" si="30"/>
        <v>10</v>
      </c>
      <c r="X701" s="64" t="str">
        <f t="shared" ca="1" si="31"/>
        <v>1</v>
      </c>
      <c r="Y701" s="82" t="str">
        <f t="shared" ca="1" si="32"/>
        <v>1</v>
      </c>
      <c r="Z701" s="87"/>
      <c r="AA701" s="87" t="s">
        <v>22</v>
      </c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</row>
    <row r="702" spans="1:57" ht="25" x14ac:dyDescent="0.35">
      <c r="A702" s="85">
        <v>5762</v>
      </c>
      <c r="B702" s="86">
        <v>2018</v>
      </c>
      <c r="C702" s="87" t="s">
        <v>35</v>
      </c>
      <c r="D702" s="87" t="s">
        <v>135</v>
      </c>
      <c r="E702" s="87" t="s">
        <v>20</v>
      </c>
      <c r="F702" s="87" t="s">
        <v>82</v>
      </c>
      <c r="G702" s="88">
        <v>1</v>
      </c>
      <c r="H702" s="85">
        <v>17248</v>
      </c>
      <c r="I702" s="87" t="s">
        <v>255</v>
      </c>
      <c r="J702" s="85"/>
      <c r="K702" s="85">
        <v>14</v>
      </c>
      <c r="L702" s="85"/>
      <c r="M702" s="85">
        <v>1</v>
      </c>
      <c r="N702" s="59"/>
      <c r="O702" s="59"/>
      <c r="P702" s="59"/>
      <c r="Q702" s="59"/>
      <c r="R702" s="59"/>
      <c r="S702" s="59"/>
      <c r="T702" s="92"/>
      <c r="U702" s="85"/>
      <c r="V702" s="85"/>
      <c r="W702" s="83">
        <f t="shared" ca="1" si="30"/>
        <v>10</v>
      </c>
      <c r="X702" s="64" t="str">
        <f t="shared" ca="1" si="31"/>
        <v>1</v>
      </c>
      <c r="Y702" s="82" t="str">
        <f t="shared" ca="1" si="32"/>
        <v>1</v>
      </c>
      <c r="Z702" s="87"/>
      <c r="AA702" s="87" t="s">
        <v>22</v>
      </c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</row>
    <row r="703" spans="1:57" ht="37.5" x14ac:dyDescent="0.35">
      <c r="A703" s="85">
        <v>5762</v>
      </c>
      <c r="B703" s="86">
        <v>2018</v>
      </c>
      <c r="C703" s="87" t="s">
        <v>35</v>
      </c>
      <c r="D703" s="87" t="s">
        <v>382</v>
      </c>
      <c r="E703" s="87" t="s">
        <v>78</v>
      </c>
      <c r="F703" s="87" t="s">
        <v>374</v>
      </c>
      <c r="G703" s="88">
        <v>1</v>
      </c>
      <c r="H703" s="85">
        <v>17248</v>
      </c>
      <c r="I703" s="87" t="s">
        <v>235</v>
      </c>
      <c r="J703" s="85"/>
      <c r="K703" s="85"/>
      <c r="L703" s="85"/>
      <c r="M703" s="85"/>
      <c r="N703" s="59"/>
      <c r="O703" s="90"/>
      <c r="P703" s="59"/>
      <c r="Q703" s="59"/>
      <c r="R703" s="59"/>
      <c r="S703" s="59"/>
      <c r="T703" s="92"/>
      <c r="U703" s="85">
        <v>35</v>
      </c>
      <c r="V703" s="85"/>
      <c r="W703" s="83">
        <f t="shared" ca="1" si="30"/>
        <v>10</v>
      </c>
      <c r="X703" s="64" t="str">
        <f t="shared" ca="1" si="31"/>
        <v>1</v>
      </c>
      <c r="Y703" s="82" t="str">
        <f t="shared" ca="1" si="32"/>
        <v>1</v>
      </c>
      <c r="Z703" s="87"/>
      <c r="AA703" s="87" t="s">
        <v>22</v>
      </c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</row>
    <row r="704" spans="1:57" ht="37.5" x14ac:dyDescent="0.35">
      <c r="A704" s="85">
        <v>5762</v>
      </c>
      <c r="B704" s="86">
        <v>2018</v>
      </c>
      <c r="C704" s="87" t="s">
        <v>35</v>
      </c>
      <c r="D704" s="87" t="s">
        <v>117</v>
      </c>
      <c r="E704" s="87" t="s">
        <v>33</v>
      </c>
      <c r="F704" s="87" t="s">
        <v>25</v>
      </c>
      <c r="G704" s="88">
        <v>0.75</v>
      </c>
      <c r="H704" s="85">
        <v>17248</v>
      </c>
      <c r="I704" s="87" t="s">
        <v>235</v>
      </c>
      <c r="J704" s="85"/>
      <c r="K704" s="85"/>
      <c r="L704" s="85"/>
      <c r="M704" s="85"/>
      <c r="N704" s="59"/>
      <c r="O704" s="90"/>
      <c r="P704" s="59"/>
      <c r="Q704" s="59"/>
      <c r="R704" s="59"/>
      <c r="S704" s="59"/>
      <c r="T704" s="92"/>
      <c r="U704" s="85">
        <v>8</v>
      </c>
      <c r="V704" s="85"/>
      <c r="W704" s="83">
        <f t="shared" ca="1" si="30"/>
        <v>10</v>
      </c>
      <c r="X704" s="64" t="str">
        <f t="shared" ca="1" si="31"/>
        <v>1</v>
      </c>
      <c r="Y704" s="82" t="str">
        <f t="shared" ca="1" si="32"/>
        <v>1</v>
      </c>
      <c r="Z704" s="87"/>
      <c r="AA704" s="87" t="s">
        <v>22</v>
      </c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</row>
    <row r="705" spans="1:57" ht="50" x14ac:dyDescent="0.35">
      <c r="A705" s="85">
        <v>5762</v>
      </c>
      <c r="B705" s="86">
        <v>2018</v>
      </c>
      <c r="C705" s="87" t="s">
        <v>35</v>
      </c>
      <c r="D705" s="87" t="s">
        <v>117</v>
      </c>
      <c r="E705" s="87" t="s">
        <v>33</v>
      </c>
      <c r="F705" s="87" t="s">
        <v>25</v>
      </c>
      <c r="G705" s="88">
        <v>0.75</v>
      </c>
      <c r="H705" s="85">
        <v>17248</v>
      </c>
      <c r="I705" s="87" t="s">
        <v>250</v>
      </c>
      <c r="J705" s="85"/>
      <c r="K705" s="85"/>
      <c r="L705" s="85"/>
      <c r="M705" s="85"/>
      <c r="N705" s="59"/>
      <c r="O705" s="59"/>
      <c r="P705" s="59"/>
      <c r="Q705" s="59"/>
      <c r="R705" s="59"/>
      <c r="S705" s="59"/>
      <c r="T705" s="92"/>
      <c r="U705" s="85"/>
      <c r="V705" s="85">
        <v>44</v>
      </c>
      <c r="W705" s="83">
        <f t="shared" ca="1" si="30"/>
        <v>10</v>
      </c>
      <c r="X705" s="64" t="str">
        <f t="shared" ca="1" si="31"/>
        <v>1</v>
      </c>
      <c r="Y705" s="82" t="str">
        <f t="shared" ca="1" si="32"/>
        <v>1</v>
      </c>
      <c r="Z705" s="87"/>
      <c r="AA705" s="87" t="s">
        <v>22</v>
      </c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</row>
    <row r="706" spans="1:57" ht="37.5" x14ac:dyDescent="0.35">
      <c r="A706" s="85">
        <v>5762</v>
      </c>
      <c r="B706" s="86">
        <v>2018</v>
      </c>
      <c r="C706" s="87" t="s">
        <v>35</v>
      </c>
      <c r="D706" s="87" t="s">
        <v>117</v>
      </c>
      <c r="E706" s="87" t="s">
        <v>33</v>
      </c>
      <c r="F706" s="87" t="s">
        <v>25</v>
      </c>
      <c r="G706" s="88">
        <v>0.75</v>
      </c>
      <c r="H706" s="85">
        <v>17248</v>
      </c>
      <c r="I706" s="87" t="s">
        <v>372</v>
      </c>
      <c r="J706" s="85"/>
      <c r="K706" s="85"/>
      <c r="L706" s="85"/>
      <c r="M706" s="85"/>
      <c r="N706" s="59"/>
      <c r="O706" s="59"/>
      <c r="P706" s="59"/>
      <c r="Q706" s="59"/>
      <c r="R706" s="59"/>
      <c r="S706" s="59"/>
      <c r="T706" s="92"/>
      <c r="U706" s="85">
        <v>8</v>
      </c>
      <c r="V706" s="85"/>
      <c r="W706" s="83">
        <f t="shared" ca="1" si="30"/>
        <v>10</v>
      </c>
      <c r="X706" s="64" t="str">
        <f t="shared" ca="1" si="31"/>
        <v>1</v>
      </c>
      <c r="Y706" s="82" t="str">
        <f t="shared" ca="1" si="32"/>
        <v>1</v>
      </c>
      <c r="Z706" s="87"/>
      <c r="AA706" s="87" t="s">
        <v>61</v>
      </c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</row>
    <row r="707" spans="1:57" ht="37.5" x14ac:dyDescent="0.35">
      <c r="A707" s="85">
        <v>5762</v>
      </c>
      <c r="B707" s="86">
        <v>2018</v>
      </c>
      <c r="C707" s="87" t="s">
        <v>35</v>
      </c>
      <c r="D707" s="87" t="s">
        <v>117</v>
      </c>
      <c r="E707" s="87" t="s">
        <v>33</v>
      </c>
      <c r="F707" s="87" t="s">
        <v>25</v>
      </c>
      <c r="G707" s="88">
        <v>0.75</v>
      </c>
      <c r="H707" s="85">
        <v>17248</v>
      </c>
      <c r="I707" s="87" t="s">
        <v>373</v>
      </c>
      <c r="J707" s="85"/>
      <c r="K707" s="85"/>
      <c r="L707" s="85"/>
      <c r="M707" s="85"/>
      <c r="N707" s="59"/>
      <c r="O707" s="59"/>
      <c r="P707" s="59"/>
      <c r="Q707" s="59"/>
      <c r="R707" s="59"/>
      <c r="S707" s="59"/>
      <c r="T707" s="92"/>
      <c r="U707" s="85">
        <v>4</v>
      </c>
      <c r="V707" s="85"/>
      <c r="W707" s="83">
        <f t="shared" ca="1" si="30"/>
        <v>10</v>
      </c>
      <c r="X707" s="64" t="str">
        <f t="shared" ca="1" si="31"/>
        <v>1</v>
      </c>
      <c r="Y707" s="82" t="str">
        <f t="shared" ca="1" si="32"/>
        <v>1</v>
      </c>
      <c r="Z707" s="87"/>
      <c r="AA707" s="87" t="s">
        <v>61</v>
      </c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</row>
    <row r="708" spans="1:57" ht="37.5" x14ac:dyDescent="0.35">
      <c r="A708" s="85">
        <v>5762</v>
      </c>
      <c r="B708" s="86">
        <v>2018</v>
      </c>
      <c r="C708" s="87" t="s">
        <v>35</v>
      </c>
      <c r="D708" s="87" t="s">
        <v>117</v>
      </c>
      <c r="E708" s="87" t="s">
        <v>33</v>
      </c>
      <c r="F708" s="87" t="s">
        <v>25</v>
      </c>
      <c r="G708" s="88">
        <v>0.75</v>
      </c>
      <c r="H708" s="85">
        <v>17248</v>
      </c>
      <c r="I708" s="87" t="s">
        <v>251</v>
      </c>
      <c r="J708" s="85"/>
      <c r="K708" s="85"/>
      <c r="L708" s="85"/>
      <c r="M708" s="85"/>
      <c r="N708" s="59"/>
      <c r="O708" s="59"/>
      <c r="P708" s="59"/>
      <c r="Q708" s="59"/>
      <c r="R708" s="59"/>
      <c r="S708" s="59"/>
      <c r="T708" s="92"/>
      <c r="U708" s="85">
        <v>4</v>
      </c>
      <c r="V708" s="85"/>
      <c r="W708" s="83">
        <f t="shared" ref="W708:W771" ca="1" si="33">IFERROR(OFFSET($AC$11,0,MATCH(H708,$AD$4:$BE$4,0)),IFERROR(OFFSET($AC$12,0,MATCH(H708,$AD$5:$BE$5,0)),MOD(H708,20)+7))</f>
        <v>10</v>
      </c>
      <c r="X708" s="64" t="str">
        <f t="shared" ref="X708:X771" ca="1" si="34">IF(W708&lt;=30, "1", "2")</f>
        <v>1</v>
      </c>
      <c r="Y708" s="82" t="str">
        <f t="shared" ref="Y708:Y771" ca="1" si="35" xml:space="preserve"> IF(W708&lt;=15, "1", IF(W708&lt;=30, "2", IF(W708&lt;=45, "3", IF(W708&lt;=60, "4"))))</f>
        <v>1</v>
      </c>
      <c r="Z708" s="87"/>
      <c r="AA708" s="87" t="s">
        <v>61</v>
      </c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</row>
    <row r="709" spans="1:57" ht="37.5" x14ac:dyDescent="0.35">
      <c r="A709" s="85">
        <v>5762</v>
      </c>
      <c r="B709" s="86">
        <v>2018</v>
      </c>
      <c r="C709" s="87" t="s">
        <v>35</v>
      </c>
      <c r="D709" s="87" t="s">
        <v>383</v>
      </c>
      <c r="E709" s="87" t="s">
        <v>26</v>
      </c>
      <c r="F709" s="87" t="s">
        <v>374</v>
      </c>
      <c r="G709" s="88">
        <v>1</v>
      </c>
      <c r="H709" s="85">
        <v>17248</v>
      </c>
      <c r="I709" s="87" t="s">
        <v>261</v>
      </c>
      <c r="J709" s="85">
        <v>4</v>
      </c>
      <c r="K709" s="85">
        <v>14</v>
      </c>
      <c r="L709" s="85"/>
      <c r="M709" s="85">
        <v>1</v>
      </c>
      <c r="N709" s="59"/>
      <c r="O709" s="59"/>
      <c r="P709" s="59">
        <v>1</v>
      </c>
      <c r="Q709" s="59"/>
      <c r="R709" s="59"/>
      <c r="S709" s="59"/>
      <c r="T709" s="92"/>
      <c r="U709" s="85"/>
      <c r="V709" s="85"/>
      <c r="W709" s="83">
        <f t="shared" ca="1" si="33"/>
        <v>10</v>
      </c>
      <c r="X709" s="64" t="str">
        <f t="shared" ca="1" si="34"/>
        <v>1</v>
      </c>
      <c r="Y709" s="82" t="str">
        <f t="shared" ca="1" si="35"/>
        <v>1</v>
      </c>
      <c r="Z709" s="87"/>
      <c r="AA709" s="87" t="s">
        <v>61</v>
      </c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</row>
    <row r="710" spans="1:57" ht="37.5" x14ac:dyDescent="0.35">
      <c r="A710" s="85">
        <v>5763</v>
      </c>
      <c r="B710" s="86">
        <v>2017</v>
      </c>
      <c r="C710" s="87" t="s">
        <v>35</v>
      </c>
      <c r="D710" s="87" t="s">
        <v>73</v>
      </c>
      <c r="E710" s="87" t="s">
        <v>20</v>
      </c>
      <c r="F710" s="87" t="s">
        <v>21</v>
      </c>
      <c r="G710" s="88">
        <v>1</v>
      </c>
      <c r="H710" s="85">
        <v>16485</v>
      </c>
      <c r="I710" s="87" t="s">
        <v>228</v>
      </c>
      <c r="J710" s="85">
        <v>2</v>
      </c>
      <c r="K710" s="85">
        <v>12</v>
      </c>
      <c r="L710" s="85">
        <v>24</v>
      </c>
      <c r="M710" s="85">
        <v>1</v>
      </c>
      <c r="N710" s="90"/>
      <c r="O710" s="59"/>
      <c r="P710" s="59"/>
      <c r="Q710" s="59"/>
      <c r="R710" s="59"/>
      <c r="S710" s="59"/>
      <c r="T710" s="92"/>
      <c r="U710" s="85"/>
      <c r="V710" s="85"/>
      <c r="W710" s="83">
        <f t="shared" ca="1" si="33"/>
        <v>12</v>
      </c>
      <c r="X710" s="64" t="str">
        <f t="shared" ca="1" si="34"/>
        <v>1</v>
      </c>
      <c r="Y710" s="82" t="str">
        <f t="shared" ca="1" si="35"/>
        <v>1</v>
      </c>
      <c r="Z710" s="87"/>
      <c r="AA710" s="87" t="s">
        <v>22</v>
      </c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</row>
    <row r="711" spans="1:57" ht="37.5" x14ac:dyDescent="0.35">
      <c r="A711" s="85">
        <v>6369</v>
      </c>
      <c r="B711" s="86">
        <v>2018</v>
      </c>
      <c r="C711" s="87" t="s">
        <v>35</v>
      </c>
      <c r="D711" s="87" t="s">
        <v>130</v>
      </c>
      <c r="E711" s="87" t="s">
        <v>26</v>
      </c>
      <c r="F711" s="87" t="s">
        <v>25</v>
      </c>
      <c r="G711" s="88">
        <v>1</v>
      </c>
      <c r="H711" s="85">
        <v>17047</v>
      </c>
      <c r="I711" s="87" t="s">
        <v>228</v>
      </c>
      <c r="J711" s="85"/>
      <c r="K711" s="85">
        <v>6</v>
      </c>
      <c r="L711" s="85"/>
      <c r="M711" s="85"/>
      <c r="N711" s="59"/>
      <c r="O711" s="59"/>
      <c r="P711" s="59"/>
      <c r="Q711" s="59"/>
      <c r="R711" s="59"/>
      <c r="S711" s="59"/>
      <c r="T711" s="92"/>
      <c r="U711" s="85"/>
      <c r="V711" s="85"/>
      <c r="W711" s="83">
        <f t="shared" ca="1" si="33"/>
        <v>14</v>
      </c>
      <c r="X711" s="64" t="str">
        <f t="shared" ca="1" si="34"/>
        <v>1</v>
      </c>
      <c r="Y711" s="82" t="str">
        <f t="shared" ca="1" si="35"/>
        <v>1</v>
      </c>
      <c r="Z711" s="87"/>
      <c r="AA711" s="87" t="s">
        <v>61</v>
      </c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</row>
    <row r="712" spans="1:57" ht="37.5" x14ac:dyDescent="0.35">
      <c r="A712" s="85">
        <v>6369</v>
      </c>
      <c r="B712" s="86">
        <v>2018</v>
      </c>
      <c r="C712" s="87" t="s">
        <v>35</v>
      </c>
      <c r="D712" s="87" t="s">
        <v>93</v>
      </c>
      <c r="E712" s="87" t="s">
        <v>28</v>
      </c>
      <c r="F712" s="87" t="s">
        <v>23</v>
      </c>
      <c r="G712" s="88">
        <v>0.75</v>
      </c>
      <c r="H712" s="85">
        <v>17047</v>
      </c>
      <c r="I712" s="87" t="s">
        <v>228</v>
      </c>
      <c r="J712" s="85">
        <v>2</v>
      </c>
      <c r="K712" s="85"/>
      <c r="L712" s="85"/>
      <c r="M712" s="85">
        <v>1</v>
      </c>
      <c r="N712" s="59"/>
      <c r="O712" s="59"/>
      <c r="P712" s="59"/>
      <c r="Q712" s="59"/>
      <c r="R712" s="59"/>
      <c r="S712" s="59"/>
      <c r="T712" s="92"/>
      <c r="U712" s="85"/>
      <c r="V712" s="85"/>
      <c r="W712" s="83">
        <f t="shared" ca="1" si="33"/>
        <v>14</v>
      </c>
      <c r="X712" s="64" t="str">
        <f t="shared" ca="1" si="34"/>
        <v>1</v>
      </c>
      <c r="Y712" s="82" t="str">
        <f t="shared" ca="1" si="35"/>
        <v>1</v>
      </c>
      <c r="Z712" s="87"/>
      <c r="AA712" s="87" t="s">
        <v>22</v>
      </c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</row>
    <row r="713" spans="1:57" ht="37.5" x14ac:dyDescent="0.35">
      <c r="A713" s="85">
        <v>6369</v>
      </c>
      <c r="B713" s="86">
        <v>2018</v>
      </c>
      <c r="C713" s="87" t="s">
        <v>35</v>
      </c>
      <c r="D713" s="87" t="s">
        <v>135</v>
      </c>
      <c r="E713" s="87" t="s">
        <v>20</v>
      </c>
      <c r="F713" s="87" t="s">
        <v>82</v>
      </c>
      <c r="G713" s="88">
        <v>1</v>
      </c>
      <c r="H713" s="85">
        <v>17047</v>
      </c>
      <c r="I713" s="87" t="s">
        <v>228</v>
      </c>
      <c r="J713" s="85"/>
      <c r="K713" s="85"/>
      <c r="L713" s="85">
        <v>24</v>
      </c>
      <c r="M713" s="85"/>
      <c r="N713" s="59"/>
      <c r="O713" s="59"/>
      <c r="P713" s="59"/>
      <c r="Q713" s="59"/>
      <c r="R713" s="59"/>
      <c r="S713" s="59"/>
      <c r="T713" s="92"/>
      <c r="U713" s="85"/>
      <c r="V713" s="85"/>
      <c r="W713" s="83">
        <f t="shared" ca="1" si="33"/>
        <v>14</v>
      </c>
      <c r="X713" s="64" t="str">
        <f t="shared" ca="1" si="34"/>
        <v>1</v>
      </c>
      <c r="Y713" s="82" t="str">
        <f t="shared" ca="1" si="35"/>
        <v>1</v>
      </c>
      <c r="Z713" s="87"/>
      <c r="AA713" s="87" t="s">
        <v>22</v>
      </c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</row>
    <row r="714" spans="1:57" ht="37.5" x14ac:dyDescent="0.35">
      <c r="A714" s="85">
        <v>6369</v>
      </c>
      <c r="B714" s="86">
        <v>2018</v>
      </c>
      <c r="C714" s="87" t="s">
        <v>35</v>
      </c>
      <c r="D714" s="87" t="s">
        <v>135</v>
      </c>
      <c r="E714" s="87" t="s">
        <v>20</v>
      </c>
      <c r="F714" s="87" t="s">
        <v>82</v>
      </c>
      <c r="G714" s="88">
        <v>1</v>
      </c>
      <c r="H714" s="85">
        <v>17047</v>
      </c>
      <c r="I714" s="87" t="s">
        <v>228</v>
      </c>
      <c r="J714" s="85"/>
      <c r="K714" s="85">
        <v>6</v>
      </c>
      <c r="L714" s="85"/>
      <c r="M714" s="85"/>
      <c r="N714" s="59"/>
      <c r="O714" s="59"/>
      <c r="P714" s="59"/>
      <c r="Q714" s="59"/>
      <c r="R714" s="59"/>
      <c r="S714" s="59"/>
      <c r="T714" s="92"/>
      <c r="U714" s="85"/>
      <c r="V714" s="85"/>
      <c r="W714" s="83">
        <f t="shared" ca="1" si="33"/>
        <v>14</v>
      </c>
      <c r="X714" s="64" t="str">
        <f t="shared" ca="1" si="34"/>
        <v>1</v>
      </c>
      <c r="Y714" s="82" t="str">
        <f t="shared" ca="1" si="35"/>
        <v>1</v>
      </c>
      <c r="Z714" s="87"/>
      <c r="AA714" s="87" t="s">
        <v>22</v>
      </c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</row>
    <row r="715" spans="1:57" ht="37.5" x14ac:dyDescent="0.35">
      <c r="A715" s="85">
        <v>6370</v>
      </c>
      <c r="B715" s="86">
        <v>2018</v>
      </c>
      <c r="C715" s="87" t="s">
        <v>35</v>
      </c>
      <c r="D715" s="87" t="s">
        <v>70</v>
      </c>
      <c r="E715" s="87" t="s">
        <v>28</v>
      </c>
      <c r="F715" s="87" t="s">
        <v>23</v>
      </c>
      <c r="G715" s="88">
        <v>1</v>
      </c>
      <c r="H715" s="85">
        <v>17048</v>
      </c>
      <c r="I715" s="87" t="s">
        <v>235</v>
      </c>
      <c r="J715" s="85"/>
      <c r="K715" s="85"/>
      <c r="L715" s="85"/>
      <c r="M715" s="85"/>
      <c r="N715" s="59"/>
      <c r="O715" s="59"/>
      <c r="P715" s="59"/>
      <c r="Q715" s="59"/>
      <c r="R715" s="59"/>
      <c r="S715" s="59"/>
      <c r="T715" s="92"/>
      <c r="U715" s="85">
        <v>8</v>
      </c>
      <c r="V715" s="85"/>
      <c r="W715" s="83">
        <f t="shared" ca="1" si="33"/>
        <v>10</v>
      </c>
      <c r="X715" s="64" t="str">
        <f t="shared" ca="1" si="34"/>
        <v>1</v>
      </c>
      <c r="Y715" s="82" t="str">
        <f t="shared" ca="1" si="35"/>
        <v>1</v>
      </c>
      <c r="Z715" s="87"/>
      <c r="AA715" s="87" t="s">
        <v>22</v>
      </c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</row>
    <row r="716" spans="1:57" ht="37.5" x14ac:dyDescent="0.35">
      <c r="A716" s="85">
        <v>6370</v>
      </c>
      <c r="B716" s="86">
        <v>2018</v>
      </c>
      <c r="C716" s="87" t="s">
        <v>35</v>
      </c>
      <c r="D716" s="87" t="s">
        <v>70</v>
      </c>
      <c r="E716" s="87" t="s">
        <v>28</v>
      </c>
      <c r="F716" s="87" t="s">
        <v>23</v>
      </c>
      <c r="G716" s="88">
        <v>1</v>
      </c>
      <c r="H716" s="85">
        <v>17048</v>
      </c>
      <c r="I716" s="87" t="s">
        <v>372</v>
      </c>
      <c r="J716" s="85"/>
      <c r="K716" s="85"/>
      <c r="L716" s="85"/>
      <c r="M716" s="85"/>
      <c r="N716" s="59"/>
      <c r="O716" s="59"/>
      <c r="P716" s="59"/>
      <c r="Q716" s="59"/>
      <c r="R716" s="59"/>
      <c r="S716" s="59"/>
      <c r="T716" s="92"/>
      <c r="U716" s="85">
        <v>5</v>
      </c>
      <c r="V716" s="85"/>
      <c r="W716" s="83">
        <f t="shared" ca="1" si="33"/>
        <v>10</v>
      </c>
      <c r="X716" s="64" t="str">
        <f t="shared" ca="1" si="34"/>
        <v>1</v>
      </c>
      <c r="Y716" s="82" t="str">
        <f t="shared" ca="1" si="35"/>
        <v>1</v>
      </c>
      <c r="Z716" s="87"/>
      <c r="AA716" s="87" t="s">
        <v>61</v>
      </c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</row>
    <row r="717" spans="1:57" ht="51" customHeight="1" x14ac:dyDescent="0.35">
      <c r="A717" s="85">
        <v>6370</v>
      </c>
      <c r="B717" s="86">
        <v>2018</v>
      </c>
      <c r="C717" s="87" t="s">
        <v>35</v>
      </c>
      <c r="D717" s="87" t="s">
        <v>70</v>
      </c>
      <c r="E717" s="87" t="s">
        <v>28</v>
      </c>
      <c r="F717" s="87" t="s">
        <v>23</v>
      </c>
      <c r="G717" s="88">
        <v>1</v>
      </c>
      <c r="H717" s="85">
        <v>17048</v>
      </c>
      <c r="I717" s="87" t="s">
        <v>302</v>
      </c>
      <c r="J717" s="85"/>
      <c r="K717" s="85"/>
      <c r="L717" s="85"/>
      <c r="M717" s="85"/>
      <c r="N717" s="59"/>
      <c r="O717" s="59"/>
      <c r="P717" s="59"/>
      <c r="Q717" s="59"/>
      <c r="R717" s="59"/>
      <c r="S717" s="59"/>
      <c r="T717" s="92"/>
      <c r="U717" s="85"/>
      <c r="V717" s="85">
        <v>18</v>
      </c>
      <c r="W717" s="83">
        <f t="shared" ca="1" si="33"/>
        <v>10</v>
      </c>
      <c r="X717" s="64" t="str">
        <f t="shared" ca="1" si="34"/>
        <v>1</v>
      </c>
      <c r="Y717" s="82" t="str">
        <f t="shared" ca="1" si="35"/>
        <v>1</v>
      </c>
      <c r="Z717" s="87"/>
      <c r="AA717" s="87" t="s">
        <v>22</v>
      </c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</row>
    <row r="718" spans="1:57" ht="37.5" x14ac:dyDescent="0.35">
      <c r="A718" s="85">
        <v>6370</v>
      </c>
      <c r="B718" s="86">
        <v>2018</v>
      </c>
      <c r="C718" s="87" t="s">
        <v>35</v>
      </c>
      <c r="D718" s="87" t="s">
        <v>72</v>
      </c>
      <c r="E718" s="87" t="s">
        <v>26</v>
      </c>
      <c r="F718" s="87" t="s">
        <v>25</v>
      </c>
      <c r="G718" s="88">
        <v>1</v>
      </c>
      <c r="H718" s="85">
        <v>17048</v>
      </c>
      <c r="I718" s="87" t="s">
        <v>235</v>
      </c>
      <c r="J718" s="85"/>
      <c r="K718" s="85"/>
      <c r="L718" s="85"/>
      <c r="M718" s="85"/>
      <c r="N718" s="59"/>
      <c r="O718" s="59"/>
      <c r="P718" s="59"/>
      <c r="Q718" s="59"/>
      <c r="R718" s="59"/>
      <c r="S718" s="59"/>
      <c r="T718" s="92"/>
      <c r="U718" s="85">
        <v>15</v>
      </c>
      <c r="V718" s="85"/>
      <c r="W718" s="83">
        <f t="shared" ca="1" si="33"/>
        <v>10</v>
      </c>
      <c r="X718" s="64" t="str">
        <f t="shared" ca="1" si="34"/>
        <v>1</v>
      </c>
      <c r="Y718" s="82" t="str">
        <f t="shared" ca="1" si="35"/>
        <v>1</v>
      </c>
      <c r="Z718" s="87"/>
      <c r="AA718" s="87" t="s">
        <v>22</v>
      </c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</row>
    <row r="719" spans="1:57" ht="37.5" x14ac:dyDescent="0.35">
      <c r="A719" s="85">
        <v>6370</v>
      </c>
      <c r="B719" s="86">
        <v>2018</v>
      </c>
      <c r="C719" s="87" t="s">
        <v>35</v>
      </c>
      <c r="D719" s="87" t="s">
        <v>72</v>
      </c>
      <c r="E719" s="87" t="s">
        <v>26</v>
      </c>
      <c r="F719" s="87" t="s">
        <v>25</v>
      </c>
      <c r="G719" s="88">
        <v>1</v>
      </c>
      <c r="H719" s="85">
        <v>17048</v>
      </c>
      <c r="I719" s="87" t="s">
        <v>372</v>
      </c>
      <c r="J719" s="85"/>
      <c r="K719" s="85"/>
      <c r="L719" s="85"/>
      <c r="M719" s="85"/>
      <c r="N719" s="59"/>
      <c r="O719" s="59"/>
      <c r="P719" s="59"/>
      <c r="Q719" s="59"/>
      <c r="R719" s="59"/>
      <c r="S719" s="59"/>
      <c r="T719" s="92"/>
      <c r="U719" s="85">
        <v>10</v>
      </c>
      <c r="V719" s="85"/>
      <c r="W719" s="83">
        <f t="shared" ca="1" si="33"/>
        <v>10</v>
      </c>
      <c r="X719" s="64" t="str">
        <f t="shared" ca="1" si="34"/>
        <v>1</v>
      </c>
      <c r="Y719" s="82" t="str">
        <f t="shared" ca="1" si="35"/>
        <v>1</v>
      </c>
      <c r="Z719" s="87"/>
      <c r="AA719" s="87" t="s">
        <v>22</v>
      </c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</row>
    <row r="720" spans="1:57" ht="25" x14ac:dyDescent="0.35">
      <c r="A720" s="85">
        <v>6370</v>
      </c>
      <c r="B720" s="86">
        <v>2018</v>
      </c>
      <c r="C720" s="87" t="s">
        <v>35</v>
      </c>
      <c r="D720" s="87" t="s">
        <v>72</v>
      </c>
      <c r="E720" s="87" t="s">
        <v>26</v>
      </c>
      <c r="F720" s="87" t="s">
        <v>25</v>
      </c>
      <c r="G720" s="88">
        <v>1</v>
      </c>
      <c r="H720" s="85">
        <v>17048</v>
      </c>
      <c r="I720" s="87" t="s">
        <v>302</v>
      </c>
      <c r="J720" s="85"/>
      <c r="K720" s="85"/>
      <c r="L720" s="85"/>
      <c r="M720" s="85"/>
      <c r="N720" s="59"/>
      <c r="O720" s="59"/>
      <c r="P720" s="59"/>
      <c r="Q720" s="59"/>
      <c r="R720" s="59"/>
      <c r="S720" s="59"/>
      <c r="T720" s="92"/>
      <c r="U720" s="85"/>
      <c r="V720" s="85">
        <v>36</v>
      </c>
      <c r="W720" s="83">
        <f t="shared" ca="1" si="33"/>
        <v>10</v>
      </c>
      <c r="X720" s="64" t="str">
        <f t="shared" ca="1" si="34"/>
        <v>1</v>
      </c>
      <c r="Y720" s="82" t="str">
        <f t="shared" ca="1" si="35"/>
        <v>1</v>
      </c>
      <c r="Z720" s="87"/>
      <c r="AA720" s="87" t="s">
        <v>22</v>
      </c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</row>
    <row r="721" spans="1:57" ht="37.5" x14ac:dyDescent="0.35">
      <c r="A721" s="85">
        <v>6370</v>
      </c>
      <c r="B721" s="86">
        <v>2018</v>
      </c>
      <c r="C721" s="87" t="s">
        <v>35</v>
      </c>
      <c r="D721" s="87" t="s">
        <v>115</v>
      </c>
      <c r="E721" s="87" t="s">
        <v>20</v>
      </c>
      <c r="F721" s="87" t="s">
        <v>82</v>
      </c>
      <c r="G721" s="88">
        <v>0.25</v>
      </c>
      <c r="H721" s="85">
        <v>17048</v>
      </c>
      <c r="I721" s="87" t="s">
        <v>228</v>
      </c>
      <c r="J721" s="85"/>
      <c r="K721" s="85">
        <v>12</v>
      </c>
      <c r="L721" s="85">
        <v>12</v>
      </c>
      <c r="M721" s="85">
        <v>1</v>
      </c>
      <c r="N721" s="90"/>
      <c r="O721" s="90">
        <v>1</v>
      </c>
      <c r="P721" s="90"/>
      <c r="Q721" s="90"/>
      <c r="R721" s="90"/>
      <c r="S721" s="90"/>
      <c r="T721" s="92"/>
      <c r="U721" s="85"/>
      <c r="V721" s="85"/>
      <c r="W721" s="83">
        <f t="shared" ca="1" si="33"/>
        <v>10</v>
      </c>
      <c r="X721" s="64" t="str">
        <f t="shared" ca="1" si="34"/>
        <v>1</v>
      </c>
      <c r="Y721" s="82" t="str">
        <f t="shared" ca="1" si="35"/>
        <v>1</v>
      </c>
      <c r="Z721" s="87"/>
      <c r="AA721" s="87" t="s">
        <v>61</v>
      </c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</row>
    <row r="722" spans="1:57" ht="25" x14ac:dyDescent="0.35">
      <c r="A722" s="85">
        <v>6370</v>
      </c>
      <c r="B722" s="86">
        <v>2018</v>
      </c>
      <c r="C722" s="87" t="s">
        <v>35</v>
      </c>
      <c r="D722" s="87" t="s">
        <v>115</v>
      </c>
      <c r="E722" s="87" t="s">
        <v>20</v>
      </c>
      <c r="F722" s="87" t="s">
        <v>82</v>
      </c>
      <c r="G722" s="88">
        <v>0.25</v>
      </c>
      <c r="H722" s="85">
        <v>17048</v>
      </c>
      <c r="I722" s="87" t="s">
        <v>237</v>
      </c>
      <c r="J722" s="85"/>
      <c r="K722" s="85">
        <v>6</v>
      </c>
      <c r="L722" s="85"/>
      <c r="M722" s="85">
        <v>1</v>
      </c>
      <c r="N722" s="90"/>
      <c r="O722" s="90">
        <v>1</v>
      </c>
      <c r="P722" s="90"/>
      <c r="Q722" s="90"/>
      <c r="R722" s="90"/>
      <c r="S722" s="90"/>
      <c r="T722" s="92"/>
      <c r="U722" s="85"/>
      <c r="V722" s="85"/>
      <c r="W722" s="83">
        <f t="shared" ca="1" si="33"/>
        <v>10</v>
      </c>
      <c r="X722" s="64" t="str">
        <f t="shared" ca="1" si="34"/>
        <v>1</v>
      </c>
      <c r="Y722" s="82" t="str">
        <f t="shared" ca="1" si="35"/>
        <v>1</v>
      </c>
      <c r="Z722" s="87"/>
      <c r="AA722" s="87" t="s">
        <v>22</v>
      </c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</row>
    <row r="723" spans="1:57" ht="37.5" x14ac:dyDescent="0.35">
      <c r="A723" s="85">
        <v>6370</v>
      </c>
      <c r="B723" s="86">
        <v>2018</v>
      </c>
      <c r="C723" s="87" t="s">
        <v>35</v>
      </c>
      <c r="D723" s="87" t="s">
        <v>190</v>
      </c>
      <c r="E723" s="87" t="s">
        <v>26</v>
      </c>
      <c r="F723" s="87" t="s">
        <v>25</v>
      </c>
      <c r="G723" s="88">
        <v>1</v>
      </c>
      <c r="H723" s="85">
        <v>17048</v>
      </c>
      <c r="I723" s="87" t="s">
        <v>235</v>
      </c>
      <c r="J723" s="85"/>
      <c r="K723" s="85"/>
      <c r="L723" s="85"/>
      <c r="M723" s="85"/>
      <c r="N723" s="90"/>
      <c r="O723" s="90"/>
      <c r="P723" s="90"/>
      <c r="Q723" s="90"/>
      <c r="R723" s="90"/>
      <c r="S723" s="90"/>
      <c r="T723" s="92"/>
      <c r="U723" s="85">
        <v>8</v>
      </c>
      <c r="V723" s="85"/>
      <c r="W723" s="83">
        <f t="shared" ca="1" si="33"/>
        <v>10</v>
      </c>
      <c r="X723" s="64" t="str">
        <f t="shared" ca="1" si="34"/>
        <v>1</v>
      </c>
      <c r="Y723" s="82" t="str">
        <f t="shared" ca="1" si="35"/>
        <v>1</v>
      </c>
      <c r="Z723" s="87"/>
      <c r="AA723" s="87" t="s">
        <v>22</v>
      </c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</row>
    <row r="724" spans="1:57" ht="37.5" x14ac:dyDescent="0.35">
      <c r="A724" s="85">
        <v>6370</v>
      </c>
      <c r="B724" s="86">
        <v>2018</v>
      </c>
      <c r="C724" s="87" t="s">
        <v>35</v>
      </c>
      <c r="D724" s="87" t="s">
        <v>190</v>
      </c>
      <c r="E724" s="87" t="s">
        <v>26</v>
      </c>
      <c r="F724" s="87" t="s">
        <v>25</v>
      </c>
      <c r="G724" s="88">
        <v>1</v>
      </c>
      <c r="H724" s="85">
        <v>17048</v>
      </c>
      <c r="I724" s="87" t="s">
        <v>372</v>
      </c>
      <c r="J724" s="85"/>
      <c r="K724" s="85"/>
      <c r="L724" s="85"/>
      <c r="M724" s="85"/>
      <c r="N724" s="90"/>
      <c r="O724" s="90"/>
      <c r="P724" s="90"/>
      <c r="Q724" s="90"/>
      <c r="R724" s="90"/>
      <c r="S724" s="90"/>
      <c r="T724" s="92"/>
      <c r="U724" s="85">
        <v>5</v>
      </c>
      <c r="V724" s="85"/>
      <c r="W724" s="83">
        <f t="shared" ca="1" si="33"/>
        <v>10</v>
      </c>
      <c r="X724" s="64" t="str">
        <f t="shared" ca="1" si="34"/>
        <v>1</v>
      </c>
      <c r="Y724" s="82" t="str">
        <f t="shared" ca="1" si="35"/>
        <v>1</v>
      </c>
      <c r="Z724" s="87"/>
      <c r="AA724" s="87" t="s">
        <v>22</v>
      </c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</row>
    <row r="725" spans="1:57" ht="25" x14ac:dyDescent="0.35">
      <c r="A725" s="85">
        <v>6370</v>
      </c>
      <c r="B725" s="86">
        <v>2018</v>
      </c>
      <c r="C725" s="87" t="s">
        <v>35</v>
      </c>
      <c r="D725" s="87" t="s">
        <v>190</v>
      </c>
      <c r="E725" s="87" t="s">
        <v>26</v>
      </c>
      <c r="F725" s="87" t="s">
        <v>25</v>
      </c>
      <c r="G725" s="88">
        <v>1</v>
      </c>
      <c r="H725" s="85">
        <v>17048</v>
      </c>
      <c r="I725" s="87" t="s">
        <v>302</v>
      </c>
      <c r="J725" s="85"/>
      <c r="K725" s="85"/>
      <c r="L725" s="85"/>
      <c r="M725" s="85"/>
      <c r="N725" s="90"/>
      <c r="O725" s="90"/>
      <c r="P725" s="90"/>
      <c r="Q725" s="90"/>
      <c r="R725" s="90"/>
      <c r="S725" s="90"/>
      <c r="T725" s="92"/>
      <c r="U725" s="85"/>
      <c r="V725" s="85">
        <v>18</v>
      </c>
      <c r="W725" s="83">
        <f t="shared" ca="1" si="33"/>
        <v>10</v>
      </c>
      <c r="X725" s="64" t="str">
        <f t="shared" ca="1" si="34"/>
        <v>1</v>
      </c>
      <c r="Y725" s="82" t="str">
        <f t="shared" ca="1" si="35"/>
        <v>1</v>
      </c>
      <c r="Z725" s="87"/>
      <c r="AA725" s="87" t="s">
        <v>22</v>
      </c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</row>
    <row r="726" spans="1:57" ht="37.5" x14ac:dyDescent="0.35">
      <c r="A726" s="85">
        <v>6370</v>
      </c>
      <c r="B726" s="86">
        <v>2018</v>
      </c>
      <c r="C726" s="87" t="s">
        <v>35</v>
      </c>
      <c r="D726" s="87" t="s">
        <v>116</v>
      </c>
      <c r="E726" s="87" t="s">
        <v>28</v>
      </c>
      <c r="F726" s="87" t="s">
        <v>56</v>
      </c>
      <c r="G726" s="88">
        <v>1</v>
      </c>
      <c r="H726" s="85">
        <v>17048</v>
      </c>
      <c r="I726" s="87" t="s">
        <v>245</v>
      </c>
      <c r="J726" s="85">
        <v>4</v>
      </c>
      <c r="K726" s="85"/>
      <c r="L726" s="85"/>
      <c r="M726" s="85"/>
      <c r="N726" s="90"/>
      <c r="O726" s="90"/>
      <c r="P726" s="90"/>
      <c r="Q726" s="90"/>
      <c r="R726" s="90"/>
      <c r="S726" s="90"/>
      <c r="T726" s="92"/>
      <c r="U726" s="85"/>
      <c r="V726" s="85"/>
      <c r="W726" s="83">
        <f t="shared" ca="1" si="33"/>
        <v>10</v>
      </c>
      <c r="X726" s="64" t="str">
        <f t="shared" ca="1" si="34"/>
        <v>1</v>
      </c>
      <c r="Y726" s="82" t="str">
        <f t="shared" ca="1" si="35"/>
        <v>1</v>
      </c>
      <c r="Z726" s="87"/>
      <c r="AA726" s="87" t="s">
        <v>22</v>
      </c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</row>
    <row r="727" spans="1:57" ht="37.5" x14ac:dyDescent="0.35">
      <c r="A727" s="85">
        <v>6370</v>
      </c>
      <c r="B727" s="86">
        <v>2018</v>
      </c>
      <c r="C727" s="87" t="s">
        <v>35</v>
      </c>
      <c r="D727" s="87" t="s">
        <v>116</v>
      </c>
      <c r="E727" s="87" t="s">
        <v>28</v>
      </c>
      <c r="F727" s="87" t="s">
        <v>56</v>
      </c>
      <c r="G727" s="88">
        <v>1</v>
      </c>
      <c r="H727" s="85">
        <v>17048</v>
      </c>
      <c r="I727" s="87" t="s">
        <v>246</v>
      </c>
      <c r="J727" s="85">
        <v>4</v>
      </c>
      <c r="K727" s="85"/>
      <c r="L727" s="85"/>
      <c r="M727" s="85"/>
      <c r="N727" s="90"/>
      <c r="O727" s="90"/>
      <c r="P727" s="90"/>
      <c r="Q727" s="90"/>
      <c r="R727" s="90"/>
      <c r="S727" s="90"/>
      <c r="T727" s="92"/>
      <c r="U727" s="85"/>
      <c r="V727" s="85"/>
      <c r="W727" s="83">
        <f t="shared" ca="1" si="33"/>
        <v>10</v>
      </c>
      <c r="X727" s="64" t="str">
        <f t="shared" ca="1" si="34"/>
        <v>1</v>
      </c>
      <c r="Y727" s="82" t="str">
        <f t="shared" ca="1" si="35"/>
        <v>1</v>
      </c>
      <c r="Z727" s="87"/>
      <c r="AA727" s="87" t="s">
        <v>61</v>
      </c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</row>
    <row r="728" spans="1:57" ht="25" x14ac:dyDescent="0.35">
      <c r="A728" s="85">
        <v>6370</v>
      </c>
      <c r="B728" s="86">
        <v>2018</v>
      </c>
      <c r="C728" s="87" t="s">
        <v>35</v>
      </c>
      <c r="D728" s="87" t="s">
        <v>116</v>
      </c>
      <c r="E728" s="87" t="s">
        <v>28</v>
      </c>
      <c r="F728" s="87" t="s">
        <v>56</v>
      </c>
      <c r="G728" s="88">
        <v>1</v>
      </c>
      <c r="H728" s="85">
        <v>17048</v>
      </c>
      <c r="I728" s="87" t="s">
        <v>243</v>
      </c>
      <c r="J728" s="85"/>
      <c r="K728" s="85"/>
      <c r="L728" s="85"/>
      <c r="M728" s="85">
        <v>1</v>
      </c>
      <c r="N728" s="90">
        <v>1</v>
      </c>
      <c r="O728" s="90"/>
      <c r="P728" s="90"/>
      <c r="Q728" s="90"/>
      <c r="R728" s="90"/>
      <c r="S728" s="90"/>
      <c r="T728" s="92"/>
      <c r="U728" s="85"/>
      <c r="V728" s="85"/>
      <c r="W728" s="83">
        <f t="shared" ca="1" si="33"/>
        <v>10</v>
      </c>
      <c r="X728" s="64" t="str">
        <f t="shared" ca="1" si="34"/>
        <v>1</v>
      </c>
      <c r="Y728" s="82" t="str">
        <f t="shared" ca="1" si="35"/>
        <v>1</v>
      </c>
      <c r="Z728" s="87"/>
      <c r="AA728" s="87" t="s">
        <v>22</v>
      </c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</row>
    <row r="729" spans="1:57" ht="37.5" x14ac:dyDescent="0.35">
      <c r="A729" s="85">
        <v>6370</v>
      </c>
      <c r="B729" s="86">
        <v>2018</v>
      </c>
      <c r="C729" s="87" t="s">
        <v>35</v>
      </c>
      <c r="D729" s="87" t="s">
        <v>116</v>
      </c>
      <c r="E729" s="87" t="s">
        <v>28</v>
      </c>
      <c r="F729" s="87" t="s">
        <v>56</v>
      </c>
      <c r="G729" s="88">
        <v>1</v>
      </c>
      <c r="H729" s="85">
        <v>17048</v>
      </c>
      <c r="I729" s="87" t="s">
        <v>247</v>
      </c>
      <c r="J729" s="85">
        <v>2</v>
      </c>
      <c r="K729" s="85"/>
      <c r="L729" s="85"/>
      <c r="M729" s="85"/>
      <c r="N729" s="90"/>
      <c r="O729" s="90"/>
      <c r="P729" s="90"/>
      <c r="Q729" s="90"/>
      <c r="R729" s="90"/>
      <c r="S729" s="90"/>
      <c r="T729" s="92"/>
      <c r="U729" s="85"/>
      <c r="V729" s="85"/>
      <c r="W729" s="83">
        <f t="shared" ca="1" si="33"/>
        <v>10</v>
      </c>
      <c r="X729" s="64" t="str">
        <f t="shared" ca="1" si="34"/>
        <v>1</v>
      </c>
      <c r="Y729" s="82" t="str">
        <f t="shared" ca="1" si="35"/>
        <v>1</v>
      </c>
      <c r="Z729" s="87"/>
      <c r="AA729" s="87" t="s">
        <v>61</v>
      </c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</row>
    <row r="730" spans="1:57" ht="37.5" x14ac:dyDescent="0.35">
      <c r="A730" s="85">
        <v>6370</v>
      </c>
      <c r="B730" s="86">
        <v>2018</v>
      </c>
      <c r="C730" s="87" t="s">
        <v>35</v>
      </c>
      <c r="D730" s="87" t="s">
        <v>116</v>
      </c>
      <c r="E730" s="87" t="s">
        <v>28</v>
      </c>
      <c r="F730" s="87" t="s">
        <v>56</v>
      </c>
      <c r="G730" s="88">
        <v>1</v>
      </c>
      <c r="H730" s="85">
        <v>17048</v>
      </c>
      <c r="I730" s="87" t="s">
        <v>236</v>
      </c>
      <c r="J730" s="85">
        <v>4</v>
      </c>
      <c r="K730" s="85"/>
      <c r="L730" s="85"/>
      <c r="M730" s="85"/>
      <c r="N730" s="90"/>
      <c r="O730" s="90"/>
      <c r="P730" s="90"/>
      <c r="Q730" s="90"/>
      <c r="R730" s="90"/>
      <c r="S730" s="90"/>
      <c r="T730" s="92"/>
      <c r="U730" s="85"/>
      <c r="V730" s="85"/>
      <c r="W730" s="83">
        <f t="shared" ca="1" si="33"/>
        <v>10</v>
      </c>
      <c r="X730" s="64" t="str">
        <f t="shared" ca="1" si="34"/>
        <v>1</v>
      </c>
      <c r="Y730" s="82" t="str">
        <f t="shared" ca="1" si="35"/>
        <v>1</v>
      </c>
      <c r="Z730" s="87"/>
      <c r="AA730" s="87" t="s">
        <v>61</v>
      </c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</row>
    <row r="731" spans="1:57" ht="25" x14ac:dyDescent="0.35">
      <c r="A731" s="85">
        <v>6370</v>
      </c>
      <c r="B731" s="86">
        <v>2018</v>
      </c>
      <c r="C731" s="87" t="s">
        <v>35</v>
      </c>
      <c r="D731" s="87" t="s">
        <v>116</v>
      </c>
      <c r="E731" s="87" t="s">
        <v>28</v>
      </c>
      <c r="F731" s="87" t="s">
        <v>56</v>
      </c>
      <c r="G731" s="88">
        <v>1</v>
      </c>
      <c r="H731" s="85">
        <v>17048</v>
      </c>
      <c r="I731" s="87" t="s">
        <v>237</v>
      </c>
      <c r="J731" s="85">
        <v>3</v>
      </c>
      <c r="K731" s="85"/>
      <c r="L731" s="85"/>
      <c r="M731" s="85"/>
      <c r="N731" s="59"/>
      <c r="O731" s="90"/>
      <c r="P731" s="59"/>
      <c r="Q731" s="59"/>
      <c r="R731" s="59"/>
      <c r="S731" s="59"/>
      <c r="T731" s="92"/>
      <c r="U731" s="85"/>
      <c r="V731" s="85"/>
      <c r="W731" s="83">
        <f t="shared" ca="1" si="33"/>
        <v>10</v>
      </c>
      <c r="X731" s="64" t="str">
        <f t="shared" ca="1" si="34"/>
        <v>1</v>
      </c>
      <c r="Y731" s="82" t="str">
        <f t="shared" ca="1" si="35"/>
        <v>1</v>
      </c>
      <c r="Z731" s="87"/>
      <c r="AA731" s="87" t="s">
        <v>22</v>
      </c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</row>
    <row r="732" spans="1:57" ht="37.5" x14ac:dyDescent="0.35">
      <c r="A732" s="85">
        <v>6370</v>
      </c>
      <c r="B732" s="86">
        <v>2018</v>
      </c>
      <c r="C732" s="87" t="s">
        <v>35</v>
      </c>
      <c r="D732" s="87" t="s">
        <v>116</v>
      </c>
      <c r="E732" s="87" t="s">
        <v>28</v>
      </c>
      <c r="F732" s="87" t="s">
        <v>56</v>
      </c>
      <c r="G732" s="88">
        <v>1</v>
      </c>
      <c r="H732" s="85">
        <v>17048</v>
      </c>
      <c r="I732" s="87" t="s">
        <v>235</v>
      </c>
      <c r="J732" s="85"/>
      <c r="K732" s="85"/>
      <c r="L732" s="85"/>
      <c r="M732" s="85"/>
      <c r="N732" s="90"/>
      <c r="O732" s="59"/>
      <c r="P732" s="59"/>
      <c r="Q732" s="59"/>
      <c r="R732" s="59"/>
      <c r="S732" s="59"/>
      <c r="T732" s="92"/>
      <c r="U732" s="85">
        <v>23</v>
      </c>
      <c r="V732" s="85"/>
      <c r="W732" s="83">
        <f t="shared" ca="1" si="33"/>
        <v>10</v>
      </c>
      <c r="X732" s="64" t="str">
        <f t="shared" ca="1" si="34"/>
        <v>1</v>
      </c>
      <c r="Y732" s="82" t="str">
        <f t="shared" ca="1" si="35"/>
        <v>1</v>
      </c>
      <c r="Z732" s="87"/>
      <c r="AA732" s="87" t="s">
        <v>22</v>
      </c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</row>
    <row r="733" spans="1:57" ht="37.5" x14ac:dyDescent="0.35">
      <c r="A733" s="85">
        <v>6370</v>
      </c>
      <c r="B733" s="86">
        <v>2018</v>
      </c>
      <c r="C733" s="87" t="s">
        <v>35</v>
      </c>
      <c r="D733" s="87" t="s">
        <v>116</v>
      </c>
      <c r="E733" s="87" t="s">
        <v>28</v>
      </c>
      <c r="F733" s="87" t="s">
        <v>56</v>
      </c>
      <c r="G733" s="88">
        <v>1</v>
      </c>
      <c r="H733" s="85">
        <v>17048</v>
      </c>
      <c r="I733" s="87" t="s">
        <v>372</v>
      </c>
      <c r="J733" s="85"/>
      <c r="K733" s="85"/>
      <c r="L733" s="85"/>
      <c r="M733" s="85"/>
      <c r="N733" s="90"/>
      <c r="O733" s="90"/>
      <c r="P733" s="90"/>
      <c r="Q733" s="90"/>
      <c r="R733" s="90"/>
      <c r="S733" s="90"/>
      <c r="T733" s="92"/>
      <c r="U733" s="85">
        <v>15</v>
      </c>
      <c r="V733" s="85"/>
      <c r="W733" s="83">
        <f t="shared" ca="1" si="33"/>
        <v>10</v>
      </c>
      <c r="X733" s="64" t="str">
        <f t="shared" ca="1" si="34"/>
        <v>1</v>
      </c>
      <c r="Y733" s="82" t="str">
        <f t="shared" ca="1" si="35"/>
        <v>1</v>
      </c>
      <c r="Z733" s="87"/>
      <c r="AA733" s="87" t="s">
        <v>22</v>
      </c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</row>
    <row r="734" spans="1:57" ht="25" x14ac:dyDescent="0.35">
      <c r="A734" s="85">
        <v>6370</v>
      </c>
      <c r="B734" s="86">
        <v>2018</v>
      </c>
      <c r="C734" s="87" t="s">
        <v>35</v>
      </c>
      <c r="D734" s="87" t="s">
        <v>116</v>
      </c>
      <c r="E734" s="87" t="s">
        <v>28</v>
      </c>
      <c r="F734" s="87" t="s">
        <v>56</v>
      </c>
      <c r="G734" s="88">
        <v>1</v>
      </c>
      <c r="H734" s="85">
        <v>17048</v>
      </c>
      <c r="I734" s="87" t="s">
        <v>302</v>
      </c>
      <c r="J734" s="85"/>
      <c r="K734" s="85"/>
      <c r="L734" s="85"/>
      <c r="M734" s="85"/>
      <c r="N734" s="90"/>
      <c r="O734" s="90"/>
      <c r="P734" s="90"/>
      <c r="Q734" s="90"/>
      <c r="R734" s="90"/>
      <c r="S734" s="90"/>
      <c r="T734" s="92"/>
      <c r="U734" s="85"/>
      <c r="V734" s="85">
        <v>54</v>
      </c>
      <c r="W734" s="83">
        <f t="shared" ca="1" si="33"/>
        <v>10</v>
      </c>
      <c r="X734" s="64" t="str">
        <f t="shared" ca="1" si="34"/>
        <v>1</v>
      </c>
      <c r="Y734" s="82" t="str">
        <f t="shared" ca="1" si="35"/>
        <v>1</v>
      </c>
      <c r="Z734" s="87"/>
      <c r="AA734" s="87" t="s">
        <v>22</v>
      </c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</row>
    <row r="735" spans="1:57" ht="37.5" x14ac:dyDescent="0.35">
      <c r="A735" s="85">
        <v>6370</v>
      </c>
      <c r="B735" s="86">
        <v>2018</v>
      </c>
      <c r="C735" s="87" t="s">
        <v>35</v>
      </c>
      <c r="D735" s="87" t="s">
        <v>36</v>
      </c>
      <c r="E735" s="87" t="s">
        <v>26</v>
      </c>
      <c r="F735" s="87" t="s">
        <v>25</v>
      </c>
      <c r="G735" s="88">
        <v>1</v>
      </c>
      <c r="H735" s="85">
        <v>17048</v>
      </c>
      <c r="I735" s="87" t="s">
        <v>240</v>
      </c>
      <c r="J735" s="85">
        <v>4</v>
      </c>
      <c r="K735" s="85"/>
      <c r="L735" s="85"/>
      <c r="M735" s="85"/>
      <c r="N735" s="90"/>
      <c r="O735" s="90"/>
      <c r="P735" s="90"/>
      <c r="Q735" s="90"/>
      <c r="R735" s="90"/>
      <c r="S735" s="90"/>
      <c r="T735" s="92"/>
      <c r="U735" s="85"/>
      <c r="V735" s="85"/>
      <c r="W735" s="83">
        <f t="shared" ca="1" si="33"/>
        <v>10</v>
      </c>
      <c r="X735" s="64" t="str">
        <f t="shared" ca="1" si="34"/>
        <v>1</v>
      </c>
      <c r="Y735" s="82" t="str">
        <f t="shared" ca="1" si="35"/>
        <v>1</v>
      </c>
      <c r="Z735" s="87"/>
      <c r="AA735" s="87" t="s">
        <v>22</v>
      </c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</row>
    <row r="736" spans="1:57" ht="51" customHeight="1" x14ac:dyDescent="0.35">
      <c r="A736" s="85">
        <v>6370</v>
      </c>
      <c r="B736" s="86">
        <v>2018</v>
      </c>
      <c r="C736" s="87" t="s">
        <v>35</v>
      </c>
      <c r="D736" s="87" t="s">
        <v>36</v>
      </c>
      <c r="E736" s="87" t="s">
        <v>26</v>
      </c>
      <c r="F736" s="87" t="s">
        <v>25</v>
      </c>
      <c r="G736" s="88">
        <v>1</v>
      </c>
      <c r="H736" s="85">
        <v>17048</v>
      </c>
      <c r="I736" s="87" t="s">
        <v>228</v>
      </c>
      <c r="J736" s="85">
        <v>2</v>
      </c>
      <c r="K736" s="85"/>
      <c r="L736" s="85"/>
      <c r="M736" s="85"/>
      <c r="N736" s="90"/>
      <c r="O736" s="90"/>
      <c r="P736" s="90"/>
      <c r="Q736" s="90"/>
      <c r="R736" s="90"/>
      <c r="S736" s="90"/>
      <c r="T736" s="92"/>
      <c r="U736" s="85"/>
      <c r="V736" s="85"/>
      <c r="W736" s="83">
        <f t="shared" ca="1" si="33"/>
        <v>10</v>
      </c>
      <c r="X736" s="64" t="str">
        <f t="shared" ca="1" si="34"/>
        <v>1</v>
      </c>
      <c r="Y736" s="82" t="str">
        <f t="shared" ca="1" si="35"/>
        <v>1</v>
      </c>
      <c r="Z736" s="87"/>
      <c r="AA736" s="87" t="s">
        <v>22</v>
      </c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</row>
    <row r="737" spans="1:57" ht="26.25" customHeight="1" x14ac:dyDescent="0.35">
      <c r="A737" s="85">
        <v>6370</v>
      </c>
      <c r="B737" s="86">
        <v>2018</v>
      </c>
      <c r="C737" s="87" t="s">
        <v>35</v>
      </c>
      <c r="D737" s="87" t="s">
        <v>36</v>
      </c>
      <c r="E737" s="87" t="s">
        <v>26</v>
      </c>
      <c r="F737" s="87" t="s">
        <v>25</v>
      </c>
      <c r="G737" s="88">
        <v>1</v>
      </c>
      <c r="H737" s="85">
        <v>17048</v>
      </c>
      <c r="I737" s="87" t="s">
        <v>235</v>
      </c>
      <c r="J737" s="85"/>
      <c r="K737" s="85"/>
      <c r="L737" s="85"/>
      <c r="M737" s="85"/>
      <c r="N737" s="90"/>
      <c r="O737" s="90"/>
      <c r="P737" s="90"/>
      <c r="Q737" s="90"/>
      <c r="R737" s="90"/>
      <c r="S737" s="90"/>
      <c r="T737" s="92"/>
      <c r="U737" s="85">
        <v>8</v>
      </c>
      <c r="V737" s="85"/>
      <c r="W737" s="83">
        <f t="shared" ca="1" si="33"/>
        <v>10</v>
      </c>
      <c r="X737" s="64" t="str">
        <f t="shared" ca="1" si="34"/>
        <v>1</v>
      </c>
      <c r="Y737" s="82" t="str">
        <f t="shared" ca="1" si="35"/>
        <v>1</v>
      </c>
      <c r="Z737" s="87"/>
      <c r="AA737" s="87" t="s">
        <v>22</v>
      </c>
    </row>
    <row r="738" spans="1:57" ht="37.5" x14ac:dyDescent="0.35">
      <c r="A738" s="85">
        <v>6370</v>
      </c>
      <c r="B738" s="86">
        <v>2018</v>
      </c>
      <c r="C738" s="87" t="s">
        <v>35</v>
      </c>
      <c r="D738" s="87" t="s">
        <v>36</v>
      </c>
      <c r="E738" s="87" t="s">
        <v>26</v>
      </c>
      <c r="F738" s="87" t="s">
        <v>25</v>
      </c>
      <c r="G738" s="88">
        <v>1</v>
      </c>
      <c r="H738" s="85">
        <v>17048</v>
      </c>
      <c r="I738" s="87" t="s">
        <v>372</v>
      </c>
      <c r="J738" s="85"/>
      <c r="K738" s="85"/>
      <c r="L738" s="85"/>
      <c r="M738" s="85"/>
      <c r="N738" s="90"/>
      <c r="O738" s="90"/>
      <c r="P738" s="90"/>
      <c r="Q738" s="90"/>
      <c r="R738" s="90"/>
      <c r="S738" s="90"/>
      <c r="T738" s="92"/>
      <c r="U738" s="85">
        <v>5</v>
      </c>
      <c r="V738" s="85"/>
      <c r="W738" s="83">
        <f t="shared" ca="1" si="33"/>
        <v>10</v>
      </c>
      <c r="X738" s="64" t="str">
        <f t="shared" ca="1" si="34"/>
        <v>1</v>
      </c>
      <c r="Y738" s="82" t="str">
        <f t="shared" ca="1" si="35"/>
        <v>1</v>
      </c>
      <c r="Z738" s="87"/>
      <c r="AA738" s="87" t="s">
        <v>22</v>
      </c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</row>
    <row r="739" spans="1:57" ht="25" x14ac:dyDescent="0.35">
      <c r="A739" s="85">
        <v>6370</v>
      </c>
      <c r="B739" s="86">
        <v>2018</v>
      </c>
      <c r="C739" s="87" t="s">
        <v>35</v>
      </c>
      <c r="D739" s="87" t="s">
        <v>36</v>
      </c>
      <c r="E739" s="87" t="s">
        <v>26</v>
      </c>
      <c r="F739" s="87" t="s">
        <v>25</v>
      </c>
      <c r="G739" s="88">
        <v>1</v>
      </c>
      <c r="H739" s="85">
        <v>17048</v>
      </c>
      <c r="I739" s="87" t="s">
        <v>302</v>
      </c>
      <c r="J739" s="85"/>
      <c r="K739" s="85"/>
      <c r="L739" s="85"/>
      <c r="M739" s="85"/>
      <c r="N739" s="90"/>
      <c r="O739" s="90"/>
      <c r="P739" s="90"/>
      <c r="Q739" s="90"/>
      <c r="R739" s="90"/>
      <c r="S739" s="90"/>
      <c r="T739" s="92"/>
      <c r="U739" s="85"/>
      <c r="V739" s="85">
        <v>18</v>
      </c>
      <c r="W739" s="83">
        <f t="shared" ca="1" si="33"/>
        <v>10</v>
      </c>
      <c r="X739" s="64" t="str">
        <f t="shared" ca="1" si="34"/>
        <v>1</v>
      </c>
      <c r="Y739" s="82" t="str">
        <f t="shared" ca="1" si="35"/>
        <v>1</v>
      </c>
      <c r="Z739" s="87"/>
      <c r="AA739" s="87" t="s">
        <v>22</v>
      </c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</row>
    <row r="740" spans="1:57" ht="25" x14ac:dyDescent="0.35">
      <c r="A740" s="85">
        <v>6370</v>
      </c>
      <c r="B740" s="86">
        <v>2018</v>
      </c>
      <c r="C740" s="87" t="s">
        <v>35</v>
      </c>
      <c r="D740" s="87" t="s">
        <v>130</v>
      </c>
      <c r="E740" s="87" t="s">
        <v>26</v>
      </c>
      <c r="F740" s="87" t="s">
        <v>25</v>
      </c>
      <c r="G740" s="88">
        <v>1</v>
      </c>
      <c r="H740" s="85">
        <v>17048</v>
      </c>
      <c r="I740" s="87" t="s">
        <v>238</v>
      </c>
      <c r="J740" s="85"/>
      <c r="K740" s="85">
        <v>9</v>
      </c>
      <c r="L740" s="85"/>
      <c r="M740" s="85">
        <v>1</v>
      </c>
      <c r="N740" s="90"/>
      <c r="O740" s="90"/>
      <c r="P740" s="90">
        <v>1</v>
      </c>
      <c r="Q740" s="90"/>
      <c r="R740" s="90"/>
      <c r="S740" s="90"/>
      <c r="T740" s="92"/>
      <c r="U740" s="85"/>
      <c r="V740" s="85"/>
      <c r="W740" s="83">
        <f t="shared" ca="1" si="33"/>
        <v>10</v>
      </c>
      <c r="X740" s="64" t="str">
        <f t="shared" ca="1" si="34"/>
        <v>1</v>
      </c>
      <c r="Y740" s="82" t="str">
        <f t="shared" ca="1" si="35"/>
        <v>1</v>
      </c>
      <c r="Z740" s="87"/>
      <c r="AA740" s="87" t="s">
        <v>22</v>
      </c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</row>
    <row r="741" spans="1:57" ht="25" x14ac:dyDescent="0.35">
      <c r="A741" s="85">
        <v>6370</v>
      </c>
      <c r="B741" s="86">
        <v>2018</v>
      </c>
      <c r="C741" s="87" t="s">
        <v>35</v>
      </c>
      <c r="D741" s="87" t="s">
        <v>130</v>
      </c>
      <c r="E741" s="87" t="s">
        <v>26</v>
      </c>
      <c r="F741" s="87" t="s">
        <v>25</v>
      </c>
      <c r="G741" s="88">
        <v>1</v>
      </c>
      <c r="H741" s="85">
        <v>17048</v>
      </c>
      <c r="I741" s="87" t="s">
        <v>239</v>
      </c>
      <c r="J741" s="85"/>
      <c r="K741" s="85"/>
      <c r="L741" s="85"/>
      <c r="M741" s="85">
        <v>1</v>
      </c>
      <c r="N741" s="90">
        <v>1</v>
      </c>
      <c r="O741" s="90"/>
      <c r="P741" s="90"/>
      <c r="Q741" s="90"/>
      <c r="R741" s="90"/>
      <c r="S741" s="90"/>
      <c r="T741" s="92"/>
      <c r="U741" s="85"/>
      <c r="V741" s="85"/>
      <c r="W741" s="83">
        <f t="shared" ca="1" si="33"/>
        <v>10</v>
      </c>
      <c r="X741" s="64" t="str">
        <f t="shared" ca="1" si="34"/>
        <v>1</v>
      </c>
      <c r="Y741" s="82" t="str">
        <f t="shared" ca="1" si="35"/>
        <v>1</v>
      </c>
      <c r="Z741" s="87"/>
      <c r="AA741" s="87" t="s">
        <v>22</v>
      </c>
    </row>
    <row r="742" spans="1:57" ht="50" x14ac:dyDescent="0.35">
      <c r="A742" s="85">
        <v>6370</v>
      </c>
      <c r="B742" s="86">
        <v>2018</v>
      </c>
      <c r="C742" s="87" t="s">
        <v>35</v>
      </c>
      <c r="D742" s="87" t="s">
        <v>130</v>
      </c>
      <c r="E742" s="87" t="s">
        <v>26</v>
      </c>
      <c r="F742" s="87" t="s">
        <v>25</v>
      </c>
      <c r="G742" s="88">
        <v>1</v>
      </c>
      <c r="H742" s="85">
        <v>17048</v>
      </c>
      <c r="I742" s="87" t="s">
        <v>241</v>
      </c>
      <c r="J742" s="85">
        <v>4</v>
      </c>
      <c r="K742" s="85"/>
      <c r="L742" s="85"/>
      <c r="M742" s="85">
        <v>1</v>
      </c>
      <c r="N742" s="59"/>
      <c r="O742" s="59"/>
      <c r="P742" s="59"/>
      <c r="Q742" s="59"/>
      <c r="R742" s="59"/>
      <c r="S742" s="59"/>
      <c r="T742" s="92"/>
      <c r="U742" s="85"/>
      <c r="V742" s="85"/>
      <c r="W742" s="83">
        <f t="shared" ca="1" si="33"/>
        <v>10</v>
      </c>
      <c r="X742" s="64" t="str">
        <f t="shared" ca="1" si="34"/>
        <v>1</v>
      </c>
      <c r="Y742" s="82" t="str">
        <f t="shared" ca="1" si="35"/>
        <v>1</v>
      </c>
      <c r="Z742" s="87"/>
      <c r="AA742" s="87" t="s">
        <v>22</v>
      </c>
    </row>
    <row r="743" spans="1:57" ht="37.5" x14ac:dyDescent="0.35">
      <c r="A743" s="85">
        <v>6370</v>
      </c>
      <c r="B743" s="86">
        <v>2018</v>
      </c>
      <c r="C743" s="87" t="s">
        <v>35</v>
      </c>
      <c r="D743" s="87" t="s">
        <v>130</v>
      </c>
      <c r="E743" s="87" t="s">
        <v>26</v>
      </c>
      <c r="F743" s="87" t="s">
        <v>25</v>
      </c>
      <c r="G743" s="88">
        <v>1</v>
      </c>
      <c r="H743" s="85">
        <v>17048</v>
      </c>
      <c r="I743" s="87" t="s">
        <v>242</v>
      </c>
      <c r="J743" s="85">
        <v>6</v>
      </c>
      <c r="K743" s="85"/>
      <c r="L743" s="85"/>
      <c r="M743" s="85"/>
      <c r="N743" s="59"/>
      <c r="O743" s="59"/>
      <c r="P743" s="59"/>
      <c r="Q743" s="59"/>
      <c r="R743" s="59"/>
      <c r="S743" s="59"/>
      <c r="T743" s="92"/>
      <c r="U743" s="85"/>
      <c r="V743" s="85"/>
      <c r="W743" s="83">
        <f t="shared" ca="1" si="33"/>
        <v>10</v>
      </c>
      <c r="X743" s="64" t="str">
        <f t="shared" ca="1" si="34"/>
        <v>1</v>
      </c>
      <c r="Y743" s="82" t="str">
        <f t="shared" ca="1" si="35"/>
        <v>1</v>
      </c>
      <c r="Z743" s="87"/>
      <c r="AA743" s="87" t="s">
        <v>61</v>
      </c>
    </row>
    <row r="744" spans="1:57" ht="37.5" x14ac:dyDescent="0.35">
      <c r="A744" s="85">
        <v>6370</v>
      </c>
      <c r="B744" s="86">
        <v>2018</v>
      </c>
      <c r="C744" s="87" t="s">
        <v>35</v>
      </c>
      <c r="D744" s="87" t="s">
        <v>130</v>
      </c>
      <c r="E744" s="87" t="s">
        <v>26</v>
      </c>
      <c r="F744" s="87" t="s">
        <v>25</v>
      </c>
      <c r="G744" s="88">
        <v>1</v>
      </c>
      <c r="H744" s="85">
        <v>17048</v>
      </c>
      <c r="I744" s="87" t="s">
        <v>244</v>
      </c>
      <c r="J744" s="85">
        <v>4</v>
      </c>
      <c r="K744" s="85"/>
      <c r="L744" s="85"/>
      <c r="M744" s="85"/>
      <c r="N744" s="59">
        <v>1</v>
      </c>
      <c r="O744" s="59"/>
      <c r="P744" s="59"/>
      <c r="Q744" s="59"/>
      <c r="R744" s="59"/>
      <c r="S744" s="59"/>
      <c r="T744" s="92"/>
      <c r="U744" s="85"/>
      <c r="V744" s="85"/>
      <c r="W744" s="83">
        <f t="shared" ca="1" si="33"/>
        <v>10</v>
      </c>
      <c r="X744" s="64" t="str">
        <f t="shared" ca="1" si="34"/>
        <v>1</v>
      </c>
      <c r="Y744" s="82" t="str">
        <f t="shared" ca="1" si="35"/>
        <v>1</v>
      </c>
      <c r="Z744" s="87"/>
      <c r="AA744" s="87" t="s">
        <v>22</v>
      </c>
    </row>
    <row r="745" spans="1:57" ht="37.5" x14ac:dyDescent="0.35">
      <c r="A745" s="85">
        <v>6370</v>
      </c>
      <c r="B745" s="86">
        <v>2018</v>
      </c>
      <c r="C745" s="87" t="s">
        <v>35</v>
      </c>
      <c r="D745" s="87" t="s">
        <v>130</v>
      </c>
      <c r="E745" s="87" t="s">
        <v>26</v>
      </c>
      <c r="F745" s="87" t="s">
        <v>25</v>
      </c>
      <c r="G745" s="88">
        <v>1</v>
      </c>
      <c r="H745" s="85">
        <v>17048</v>
      </c>
      <c r="I745" s="87" t="s">
        <v>235</v>
      </c>
      <c r="J745" s="85"/>
      <c r="K745" s="85"/>
      <c r="L745" s="85"/>
      <c r="M745" s="85"/>
      <c r="N745" s="59"/>
      <c r="O745" s="59"/>
      <c r="P745" s="59"/>
      <c r="Q745" s="59"/>
      <c r="R745" s="59"/>
      <c r="S745" s="59"/>
      <c r="T745" s="92"/>
      <c r="U745" s="85">
        <v>15</v>
      </c>
      <c r="V745" s="85"/>
      <c r="W745" s="83">
        <f t="shared" ca="1" si="33"/>
        <v>10</v>
      </c>
      <c r="X745" s="64" t="str">
        <f t="shared" ca="1" si="34"/>
        <v>1</v>
      </c>
      <c r="Y745" s="82" t="str">
        <f t="shared" ca="1" si="35"/>
        <v>1</v>
      </c>
      <c r="Z745" s="87"/>
      <c r="AA745" s="87" t="s">
        <v>22</v>
      </c>
    </row>
    <row r="746" spans="1:57" ht="37.5" x14ac:dyDescent="0.35">
      <c r="A746" s="85">
        <v>6370</v>
      </c>
      <c r="B746" s="86">
        <v>2018</v>
      </c>
      <c r="C746" s="87" t="s">
        <v>35</v>
      </c>
      <c r="D746" s="87" t="s">
        <v>130</v>
      </c>
      <c r="E746" s="87" t="s">
        <v>26</v>
      </c>
      <c r="F746" s="87" t="s">
        <v>25</v>
      </c>
      <c r="G746" s="88">
        <v>1</v>
      </c>
      <c r="H746" s="85">
        <v>17048</v>
      </c>
      <c r="I746" s="87" t="s">
        <v>235</v>
      </c>
      <c r="J746" s="85"/>
      <c r="K746" s="85"/>
      <c r="L746" s="85"/>
      <c r="M746" s="91"/>
      <c r="N746" s="91"/>
      <c r="O746" s="91"/>
      <c r="P746" s="91"/>
      <c r="Q746" s="91"/>
      <c r="R746" s="91"/>
      <c r="S746" s="59"/>
      <c r="T746" s="89"/>
      <c r="U746" s="85"/>
      <c r="V746" s="85"/>
      <c r="W746" s="83">
        <f t="shared" ca="1" si="33"/>
        <v>10</v>
      </c>
      <c r="X746" s="64" t="str">
        <f t="shared" ca="1" si="34"/>
        <v>1</v>
      </c>
      <c r="Y746" s="82" t="str">
        <f t="shared" ca="1" si="35"/>
        <v>1</v>
      </c>
      <c r="Z746" s="87"/>
      <c r="AA746" s="87" t="s">
        <v>61</v>
      </c>
    </row>
    <row r="747" spans="1:57" ht="37.5" x14ac:dyDescent="0.35">
      <c r="A747" s="85">
        <v>6370</v>
      </c>
      <c r="B747" s="86">
        <v>2018</v>
      </c>
      <c r="C747" s="87" t="s">
        <v>35</v>
      </c>
      <c r="D747" s="87" t="s">
        <v>130</v>
      </c>
      <c r="E747" s="87" t="s">
        <v>26</v>
      </c>
      <c r="F747" s="87" t="s">
        <v>25</v>
      </c>
      <c r="G747" s="88">
        <v>1</v>
      </c>
      <c r="H747" s="85">
        <v>17048</v>
      </c>
      <c r="I747" s="87" t="s">
        <v>372</v>
      </c>
      <c r="J747" s="85"/>
      <c r="K747" s="85"/>
      <c r="L747" s="85"/>
      <c r="M747" s="91"/>
      <c r="N747" s="91"/>
      <c r="O747" s="91"/>
      <c r="P747" s="91"/>
      <c r="Q747" s="91"/>
      <c r="R747" s="91"/>
      <c r="S747" s="59"/>
      <c r="T747" s="89"/>
      <c r="U747" s="85">
        <v>10</v>
      </c>
      <c r="V747" s="85"/>
      <c r="W747" s="83">
        <f t="shared" ca="1" si="33"/>
        <v>10</v>
      </c>
      <c r="X747" s="64" t="str">
        <f t="shared" ca="1" si="34"/>
        <v>1</v>
      </c>
      <c r="Y747" s="82" t="str">
        <f t="shared" ca="1" si="35"/>
        <v>1</v>
      </c>
      <c r="Z747" s="87"/>
      <c r="AA747" s="87" t="s">
        <v>22</v>
      </c>
    </row>
    <row r="748" spans="1:57" ht="25" x14ac:dyDescent="0.35">
      <c r="A748" s="85">
        <v>6370</v>
      </c>
      <c r="B748" s="86">
        <v>2018</v>
      </c>
      <c r="C748" s="87" t="s">
        <v>35</v>
      </c>
      <c r="D748" s="87" t="s">
        <v>130</v>
      </c>
      <c r="E748" s="87" t="s">
        <v>26</v>
      </c>
      <c r="F748" s="87" t="s">
        <v>25</v>
      </c>
      <c r="G748" s="88">
        <v>1</v>
      </c>
      <c r="H748" s="86">
        <v>17048</v>
      </c>
      <c r="I748" s="87" t="s">
        <v>302</v>
      </c>
      <c r="J748" s="85"/>
      <c r="K748" s="85"/>
      <c r="L748" s="85"/>
      <c r="M748" s="91"/>
      <c r="N748" s="91"/>
      <c r="O748" s="91"/>
      <c r="P748" s="91"/>
      <c r="Q748" s="91"/>
      <c r="R748" s="91"/>
      <c r="S748" s="59"/>
      <c r="T748" s="89"/>
      <c r="U748" s="85"/>
      <c r="V748" s="85">
        <v>36</v>
      </c>
      <c r="W748" s="83">
        <f t="shared" ca="1" si="33"/>
        <v>10</v>
      </c>
      <c r="X748" s="64" t="str">
        <f t="shared" ca="1" si="34"/>
        <v>1</v>
      </c>
      <c r="Y748" s="82" t="str">
        <f t="shared" ca="1" si="35"/>
        <v>1</v>
      </c>
      <c r="Z748" s="87"/>
      <c r="AA748" s="87" t="s">
        <v>22</v>
      </c>
    </row>
    <row r="749" spans="1:57" ht="25" x14ac:dyDescent="0.35">
      <c r="A749" s="85">
        <v>6370</v>
      </c>
      <c r="B749" s="86">
        <v>2018</v>
      </c>
      <c r="C749" s="87" t="s">
        <v>35</v>
      </c>
      <c r="D749" s="87" t="s">
        <v>93</v>
      </c>
      <c r="E749" s="87" t="s">
        <v>28</v>
      </c>
      <c r="F749" s="87" t="s">
        <v>23</v>
      </c>
      <c r="G749" s="88">
        <v>0.75</v>
      </c>
      <c r="H749" s="99">
        <v>17048</v>
      </c>
      <c r="I749" s="87" t="s">
        <v>231</v>
      </c>
      <c r="J749" s="85">
        <v>6</v>
      </c>
      <c r="K749" s="85">
        <v>22</v>
      </c>
      <c r="L749" s="85"/>
      <c r="M749" s="85">
        <v>1</v>
      </c>
      <c r="N749" s="90"/>
      <c r="O749" s="59">
        <v>1</v>
      </c>
      <c r="P749" s="59"/>
      <c r="Q749" s="59"/>
      <c r="R749" s="59"/>
      <c r="S749" s="59"/>
      <c r="T749" s="92"/>
      <c r="U749" s="85"/>
      <c r="V749" s="85"/>
      <c r="W749" s="83">
        <f t="shared" ca="1" si="33"/>
        <v>10</v>
      </c>
      <c r="X749" s="64" t="str">
        <f t="shared" ca="1" si="34"/>
        <v>1</v>
      </c>
      <c r="Y749" s="82" t="str">
        <f t="shared" ca="1" si="35"/>
        <v>1</v>
      </c>
      <c r="Z749" s="87"/>
      <c r="AA749" s="87" t="s">
        <v>22</v>
      </c>
    </row>
    <row r="750" spans="1:57" ht="25" x14ac:dyDescent="0.35">
      <c r="A750" s="85">
        <v>6370</v>
      </c>
      <c r="B750" s="86">
        <v>2018</v>
      </c>
      <c r="C750" s="87" t="s">
        <v>35</v>
      </c>
      <c r="D750" s="87" t="s">
        <v>93</v>
      </c>
      <c r="E750" s="87" t="s">
        <v>28</v>
      </c>
      <c r="F750" s="87" t="s">
        <v>23</v>
      </c>
      <c r="G750" s="88">
        <v>0.75</v>
      </c>
      <c r="H750" s="99">
        <v>17048</v>
      </c>
      <c r="I750" s="87" t="s">
        <v>232</v>
      </c>
      <c r="J750" s="85">
        <v>10</v>
      </c>
      <c r="K750" s="85">
        <v>36</v>
      </c>
      <c r="L750" s="85"/>
      <c r="M750" s="85">
        <v>1</v>
      </c>
      <c r="N750" s="59">
        <v>1</v>
      </c>
      <c r="O750" s="59"/>
      <c r="P750" s="59"/>
      <c r="Q750" s="59"/>
      <c r="R750" s="59"/>
      <c r="S750" s="59"/>
      <c r="T750" s="92"/>
      <c r="U750" s="85"/>
      <c r="V750" s="85"/>
      <c r="W750" s="83">
        <f t="shared" ca="1" si="33"/>
        <v>10</v>
      </c>
      <c r="X750" s="64" t="str">
        <f t="shared" ca="1" si="34"/>
        <v>1</v>
      </c>
      <c r="Y750" s="82" t="str">
        <f t="shared" ca="1" si="35"/>
        <v>1</v>
      </c>
      <c r="Z750" s="87"/>
      <c r="AA750" s="87" t="s">
        <v>22</v>
      </c>
    </row>
    <row r="751" spans="1:57" ht="63.75" customHeight="1" x14ac:dyDescent="0.35">
      <c r="A751" s="85">
        <v>6370</v>
      </c>
      <c r="B751" s="86">
        <v>2018</v>
      </c>
      <c r="C751" s="87" t="s">
        <v>35</v>
      </c>
      <c r="D751" s="87" t="s">
        <v>135</v>
      </c>
      <c r="E751" s="87" t="s">
        <v>20</v>
      </c>
      <c r="F751" s="87" t="s">
        <v>82</v>
      </c>
      <c r="G751" s="88">
        <v>1</v>
      </c>
      <c r="H751" s="99">
        <v>17048</v>
      </c>
      <c r="I751" s="87" t="s">
        <v>245</v>
      </c>
      <c r="J751" s="85"/>
      <c r="K751" s="85">
        <v>22</v>
      </c>
      <c r="L751" s="85"/>
      <c r="M751" s="85">
        <v>1</v>
      </c>
      <c r="N751" s="59">
        <v>1</v>
      </c>
      <c r="O751" s="59"/>
      <c r="P751" s="59"/>
      <c r="Q751" s="59"/>
      <c r="R751" s="90"/>
      <c r="S751" s="90"/>
      <c r="T751" s="92"/>
      <c r="U751" s="85"/>
      <c r="V751" s="85"/>
      <c r="W751" s="83">
        <f t="shared" ca="1" si="33"/>
        <v>10</v>
      </c>
      <c r="X751" s="64" t="str">
        <f t="shared" ca="1" si="34"/>
        <v>1</v>
      </c>
      <c r="Y751" s="82" t="str">
        <f t="shared" ca="1" si="35"/>
        <v>1</v>
      </c>
      <c r="Z751" s="87"/>
      <c r="AA751" s="87" t="s">
        <v>22</v>
      </c>
    </row>
    <row r="752" spans="1:57" ht="37.5" x14ac:dyDescent="0.35">
      <c r="A752" s="85">
        <v>6370</v>
      </c>
      <c r="B752" s="86">
        <v>2018</v>
      </c>
      <c r="C752" s="87" t="s">
        <v>35</v>
      </c>
      <c r="D752" s="87" t="s">
        <v>135</v>
      </c>
      <c r="E752" s="87" t="s">
        <v>20</v>
      </c>
      <c r="F752" s="87" t="s">
        <v>82</v>
      </c>
      <c r="G752" s="88">
        <v>1</v>
      </c>
      <c r="H752" s="99">
        <v>17048</v>
      </c>
      <c r="I752" s="87" t="s">
        <v>246</v>
      </c>
      <c r="J752" s="85"/>
      <c r="K752" s="85">
        <v>14</v>
      </c>
      <c r="L752" s="85"/>
      <c r="M752" s="85">
        <v>1</v>
      </c>
      <c r="N752" s="59">
        <v>1</v>
      </c>
      <c r="O752" s="59"/>
      <c r="P752" s="59"/>
      <c r="Q752" s="59"/>
      <c r="R752" s="59"/>
      <c r="S752" s="59"/>
      <c r="T752" s="92"/>
      <c r="U752" s="85"/>
      <c r="V752" s="85"/>
      <c r="W752" s="83">
        <f t="shared" ca="1" si="33"/>
        <v>10</v>
      </c>
      <c r="X752" s="64" t="str">
        <f t="shared" ca="1" si="34"/>
        <v>1</v>
      </c>
      <c r="Y752" s="82" t="str">
        <f t="shared" ca="1" si="35"/>
        <v>1</v>
      </c>
      <c r="Z752" s="87"/>
      <c r="AA752" s="87" t="s">
        <v>22</v>
      </c>
    </row>
    <row r="753" spans="1:28" ht="25" x14ac:dyDescent="0.35">
      <c r="A753" s="85">
        <v>6370</v>
      </c>
      <c r="B753" s="86">
        <v>2018</v>
      </c>
      <c r="C753" s="87" t="s">
        <v>35</v>
      </c>
      <c r="D753" s="87" t="s">
        <v>135</v>
      </c>
      <c r="E753" s="87" t="s">
        <v>20</v>
      </c>
      <c r="F753" s="87" t="s">
        <v>82</v>
      </c>
      <c r="G753" s="88">
        <v>1</v>
      </c>
      <c r="H753" s="99">
        <v>17048</v>
      </c>
      <c r="I753" s="87" t="s">
        <v>239</v>
      </c>
      <c r="J753" s="85"/>
      <c r="K753" s="85"/>
      <c r="L753" s="85"/>
      <c r="M753" s="85">
        <v>1</v>
      </c>
      <c r="N753" s="59"/>
      <c r="O753" s="59"/>
      <c r="P753" s="59"/>
      <c r="Q753" s="59"/>
      <c r="R753" s="59"/>
      <c r="S753" s="59"/>
      <c r="T753" s="92"/>
      <c r="U753" s="85"/>
      <c r="V753" s="85"/>
      <c r="W753" s="83">
        <f t="shared" ca="1" si="33"/>
        <v>10</v>
      </c>
      <c r="X753" s="64" t="str">
        <f t="shared" ca="1" si="34"/>
        <v>1</v>
      </c>
      <c r="Y753" s="82" t="str">
        <f t="shared" ca="1" si="35"/>
        <v>1</v>
      </c>
      <c r="Z753" s="87"/>
      <c r="AA753" s="87" t="s">
        <v>22</v>
      </c>
    </row>
    <row r="754" spans="1:28" ht="37.5" x14ac:dyDescent="0.35">
      <c r="A754" s="85">
        <v>6370</v>
      </c>
      <c r="B754" s="86">
        <v>2018</v>
      </c>
      <c r="C754" s="87" t="s">
        <v>35</v>
      </c>
      <c r="D754" s="87" t="s">
        <v>135</v>
      </c>
      <c r="E754" s="87" t="s">
        <v>20</v>
      </c>
      <c r="F754" s="87" t="s">
        <v>82</v>
      </c>
      <c r="G754" s="88">
        <v>1</v>
      </c>
      <c r="H754" s="99">
        <v>17048</v>
      </c>
      <c r="I754" s="87" t="s">
        <v>240</v>
      </c>
      <c r="J754" s="85"/>
      <c r="K754" s="85">
        <v>22</v>
      </c>
      <c r="L754" s="85"/>
      <c r="M754" s="85">
        <v>1</v>
      </c>
      <c r="N754" s="59"/>
      <c r="O754" s="59"/>
      <c r="P754" s="59"/>
      <c r="Q754" s="59"/>
      <c r="R754" s="59"/>
      <c r="S754" s="59"/>
      <c r="T754" s="92"/>
      <c r="U754" s="85"/>
      <c r="V754" s="85"/>
      <c r="W754" s="83">
        <f t="shared" ca="1" si="33"/>
        <v>10</v>
      </c>
      <c r="X754" s="64" t="str">
        <f t="shared" ca="1" si="34"/>
        <v>1</v>
      </c>
      <c r="Y754" s="82" t="str">
        <f t="shared" ca="1" si="35"/>
        <v>1</v>
      </c>
      <c r="Z754" s="87"/>
      <c r="AA754" s="87" t="s">
        <v>22</v>
      </c>
    </row>
    <row r="755" spans="1:28" ht="50" x14ac:dyDescent="0.35">
      <c r="A755" s="85">
        <v>6370</v>
      </c>
      <c r="B755" s="86">
        <v>2018</v>
      </c>
      <c r="C755" s="87" t="s">
        <v>35</v>
      </c>
      <c r="D755" s="87" t="s">
        <v>135</v>
      </c>
      <c r="E755" s="87" t="s">
        <v>20</v>
      </c>
      <c r="F755" s="87" t="s">
        <v>82</v>
      </c>
      <c r="G755" s="88">
        <v>1</v>
      </c>
      <c r="H755" s="99">
        <v>17048</v>
      </c>
      <c r="I755" s="87" t="s">
        <v>241</v>
      </c>
      <c r="J755" s="85"/>
      <c r="K755" s="85">
        <v>22</v>
      </c>
      <c r="L755" s="85"/>
      <c r="M755" s="85">
        <v>1</v>
      </c>
      <c r="N755" s="59"/>
      <c r="O755" s="59"/>
      <c r="P755" s="59"/>
      <c r="Q755" s="59"/>
      <c r="R755" s="59"/>
      <c r="S755" s="59"/>
      <c r="T755" s="92"/>
      <c r="U755" s="85"/>
      <c r="V755" s="85"/>
      <c r="W755" s="83">
        <f t="shared" ca="1" si="33"/>
        <v>10</v>
      </c>
      <c r="X755" s="64" t="str">
        <f t="shared" ca="1" si="34"/>
        <v>1</v>
      </c>
      <c r="Y755" s="82" t="str">
        <f t="shared" ca="1" si="35"/>
        <v>1</v>
      </c>
      <c r="Z755" s="87"/>
      <c r="AA755" s="87" t="s">
        <v>22</v>
      </c>
    </row>
    <row r="756" spans="1:28" ht="37.5" x14ac:dyDescent="0.35">
      <c r="A756" s="85">
        <v>6370</v>
      </c>
      <c r="B756" s="86">
        <v>2018</v>
      </c>
      <c r="C756" s="87" t="s">
        <v>35</v>
      </c>
      <c r="D756" s="87" t="s">
        <v>135</v>
      </c>
      <c r="E756" s="87" t="s">
        <v>20</v>
      </c>
      <c r="F756" s="87" t="s">
        <v>82</v>
      </c>
      <c r="G756" s="88">
        <v>1</v>
      </c>
      <c r="H756" s="99">
        <v>17048</v>
      </c>
      <c r="I756" s="87" t="s">
        <v>242</v>
      </c>
      <c r="J756" s="85"/>
      <c r="K756" s="85">
        <v>12</v>
      </c>
      <c r="L756" s="85"/>
      <c r="M756" s="85">
        <v>1</v>
      </c>
      <c r="N756" s="59"/>
      <c r="O756" s="59"/>
      <c r="P756" s="90"/>
      <c r="Q756" s="59"/>
      <c r="R756" s="59"/>
      <c r="S756" s="59"/>
      <c r="T756" s="92"/>
      <c r="U756" s="85"/>
      <c r="V756" s="85"/>
      <c r="W756" s="83">
        <f t="shared" ca="1" si="33"/>
        <v>10</v>
      </c>
      <c r="X756" s="64" t="str">
        <f t="shared" ca="1" si="34"/>
        <v>1</v>
      </c>
      <c r="Y756" s="82" t="str">
        <f t="shared" ca="1" si="35"/>
        <v>1</v>
      </c>
      <c r="Z756" s="87"/>
      <c r="AA756" s="87" t="s">
        <v>22</v>
      </c>
    </row>
    <row r="757" spans="1:28" ht="37.5" x14ac:dyDescent="0.35">
      <c r="A757" s="85">
        <v>6370</v>
      </c>
      <c r="B757" s="86">
        <v>2018</v>
      </c>
      <c r="C757" s="87" t="s">
        <v>35</v>
      </c>
      <c r="D757" s="87" t="s">
        <v>135</v>
      </c>
      <c r="E757" s="87" t="s">
        <v>20</v>
      </c>
      <c r="F757" s="87" t="s">
        <v>82</v>
      </c>
      <c r="G757" s="88">
        <v>1</v>
      </c>
      <c r="H757" s="99">
        <v>17048</v>
      </c>
      <c r="I757" s="87" t="s">
        <v>247</v>
      </c>
      <c r="J757" s="85"/>
      <c r="K757" s="85">
        <v>16</v>
      </c>
      <c r="L757" s="85"/>
      <c r="M757" s="85">
        <v>1</v>
      </c>
      <c r="N757" s="59"/>
      <c r="O757" s="59"/>
      <c r="P757" s="59"/>
      <c r="Q757" s="59"/>
      <c r="R757" s="59"/>
      <c r="S757" s="59"/>
      <c r="T757" s="92"/>
      <c r="U757" s="85"/>
      <c r="V757" s="85"/>
      <c r="W757" s="83">
        <f t="shared" ca="1" si="33"/>
        <v>10</v>
      </c>
      <c r="X757" s="64" t="str">
        <f t="shared" ca="1" si="34"/>
        <v>1</v>
      </c>
      <c r="Y757" s="82" t="str">
        <f t="shared" ca="1" si="35"/>
        <v>1</v>
      </c>
      <c r="Z757" s="87"/>
      <c r="AA757" s="87" t="s">
        <v>61</v>
      </c>
    </row>
    <row r="758" spans="1:28" ht="37.5" x14ac:dyDescent="0.35">
      <c r="A758" s="85">
        <v>6370</v>
      </c>
      <c r="B758" s="86">
        <v>2018</v>
      </c>
      <c r="C758" s="87" t="s">
        <v>35</v>
      </c>
      <c r="D758" s="87" t="s">
        <v>135</v>
      </c>
      <c r="E758" s="87" t="s">
        <v>20</v>
      </c>
      <c r="F758" s="87" t="s">
        <v>82</v>
      </c>
      <c r="G758" s="88">
        <v>1</v>
      </c>
      <c r="H758" s="99">
        <v>17048</v>
      </c>
      <c r="I758" s="87" t="s">
        <v>244</v>
      </c>
      <c r="J758" s="85"/>
      <c r="K758" s="85">
        <v>22</v>
      </c>
      <c r="L758" s="85"/>
      <c r="M758" s="85">
        <v>1</v>
      </c>
      <c r="N758" s="59"/>
      <c r="O758" s="59"/>
      <c r="P758" s="59"/>
      <c r="Q758" s="59"/>
      <c r="R758" s="59"/>
      <c r="S758" s="59"/>
      <c r="T758" s="92"/>
      <c r="U758" s="85"/>
      <c r="V758" s="85"/>
      <c r="W758" s="83">
        <f t="shared" ca="1" si="33"/>
        <v>10</v>
      </c>
      <c r="X758" s="64" t="str">
        <f t="shared" ca="1" si="34"/>
        <v>1</v>
      </c>
      <c r="Y758" s="82" t="str">
        <f t="shared" ca="1" si="35"/>
        <v>1</v>
      </c>
      <c r="Z758" s="87"/>
      <c r="AA758" s="87" t="s">
        <v>22</v>
      </c>
    </row>
    <row r="759" spans="1:28" ht="37.5" x14ac:dyDescent="0.35">
      <c r="A759" s="85">
        <v>6370</v>
      </c>
      <c r="B759" s="86">
        <v>2018</v>
      </c>
      <c r="C759" s="87" t="s">
        <v>35</v>
      </c>
      <c r="D759" s="87" t="s">
        <v>169</v>
      </c>
      <c r="E759" s="87" t="s">
        <v>20</v>
      </c>
      <c r="F759" s="87" t="s">
        <v>82</v>
      </c>
      <c r="G759" s="88">
        <v>0.25</v>
      </c>
      <c r="H759" s="99">
        <v>17048</v>
      </c>
      <c r="I759" s="87" t="s">
        <v>236</v>
      </c>
      <c r="J759" s="85"/>
      <c r="K759" s="85">
        <v>14</v>
      </c>
      <c r="L759" s="85"/>
      <c r="M759" s="85">
        <v>1</v>
      </c>
      <c r="N759" s="59"/>
      <c r="O759" s="59"/>
      <c r="P759" s="59"/>
      <c r="Q759" s="59"/>
      <c r="R759" s="59"/>
      <c r="S759" s="59"/>
      <c r="T759" s="92"/>
      <c r="U759" s="85"/>
      <c r="V759" s="85"/>
      <c r="W759" s="83">
        <f t="shared" ca="1" si="33"/>
        <v>10</v>
      </c>
      <c r="X759" s="64" t="str">
        <f t="shared" ca="1" si="34"/>
        <v>1</v>
      </c>
      <c r="Y759" s="82" t="str">
        <f t="shared" ca="1" si="35"/>
        <v>1</v>
      </c>
      <c r="Z759" s="87"/>
      <c r="AA759" s="87" t="s">
        <v>22</v>
      </c>
    </row>
    <row r="760" spans="1:28" s="6" customFormat="1" ht="63.75" customHeight="1" x14ac:dyDescent="0.35">
      <c r="A760" s="85">
        <v>6370</v>
      </c>
      <c r="B760" s="86">
        <v>2018</v>
      </c>
      <c r="C760" s="87" t="s">
        <v>35</v>
      </c>
      <c r="D760" s="87" t="s">
        <v>73</v>
      </c>
      <c r="E760" s="87" t="s">
        <v>20</v>
      </c>
      <c r="F760" s="87" t="s">
        <v>21</v>
      </c>
      <c r="G760" s="88">
        <v>1</v>
      </c>
      <c r="H760" s="99">
        <v>17048</v>
      </c>
      <c r="I760" s="87" t="s">
        <v>248</v>
      </c>
      <c r="J760" s="85"/>
      <c r="K760" s="85">
        <v>9</v>
      </c>
      <c r="L760" s="85"/>
      <c r="M760" s="85">
        <v>1</v>
      </c>
      <c r="N760" s="59"/>
      <c r="O760" s="59"/>
      <c r="P760" s="59"/>
      <c r="Q760" s="59"/>
      <c r="R760" s="90"/>
      <c r="S760" s="90"/>
      <c r="T760" s="92"/>
      <c r="U760" s="85"/>
      <c r="V760" s="85"/>
      <c r="W760" s="83">
        <f t="shared" ca="1" si="33"/>
        <v>10</v>
      </c>
      <c r="X760" s="64" t="str">
        <f t="shared" ca="1" si="34"/>
        <v>1</v>
      </c>
      <c r="Y760" s="82" t="str">
        <f t="shared" ca="1" si="35"/>
        <v>1</v>
      </c>
      <c r="Z760" s="87"/>
      <c r="AA760" s="87" t="s">
        <v>22</v>
      </c>
      <c r="AB760"/>
    </row>
    <row r="761" spans="1:28" ht="37.5" x14ac:dyDescent="0.35">
      <c r="A761" s="85">
        <v>6370</v>
      </c>
      <c r="B761" s="86">
        <v>2018</v>
      </c>
      <c r="C761" s="87" t="s">
        <v>35</v>
      </c>
      <c r="D761" s="87" t="s">
        <v>117</v>
      </c>
      <c r="E761" s="87" t="s">
        <v>33</v>
      </c>
      <c r="F761" s="87" t="s">
        <v>25</v>
      </c>
      <c r="G761" s="88">
        <v>0.75</v>
      </c>
      <c r="H761" s="99">
        <v>17048</v>
      </c>
      <c r="I761" s="87" t="s">
        <v>235</v>
      </c>
      <c r="J761" s="85"/>
      <c r="K761" s="85"/>
      <c r="L761" s="85"/>
      <c r="M761" s="85"/>
      <c r="N761" s="59"/>
      <c r="O761" s="59"/>
      <c r="P761" s="59"/>
      <c r="Q761" s="59"/>
      <c r="R761" s="59"/>
      <c r="S761" s="59"/>
      <c r="T761" s="92"/>
      <c r="U761" s="85"/>
      <c r="V761" s="85"/>
      <c r="W761" s="83">
        <f t="shared" ca="1" si="33"/>
        <v>10</v>
      </c>
      <c r="X761" s="64" t="str">
        <f t="shared" ca="1" si="34"/>
        <v>1</v>
      </c>
      <c r="Y761" s="82" t="str">
        <f t="shared" ca="1" si="35"/>
        <v>1</v>
      </c>
      <c r="Z761" s="87"/>
      <c r="AA761" s="87" t="s">
        <v>61</v>
      </c>
    </row>
    <row r="762" spans="1:28" ht="37.5" x14ac:dyDescent="0.35">
      <c r="A762" s="85">
        <v>6370</v>
      </c>
      <c r="B762" s="86">
        <v>2018</v>
      </c>
      <c r="C762" s="87" t="s">
        <v>35</v>
      </c>
      <c r="D762" s="87" t="s">
        <v>117</v>
      </c>
      <c r="E762" s="87" t="s">
        <v>33</v>
      </c>
      <c r="F762" s="87" t="s">
        <v>25</v>
      </c>
      <c r="G762" s="88">
        <v>0.75</v>
      </c>
      <c r="H762" s="99">
        <v>17048</v>
      </c>
      <c r="I762" s="87" t="s">
        <v>235</v>
      </c>
      <c r="J762" s="85"/>
      <c r="K762" s="85"/>
      <c r="L762" s="85"/>
      <c r="M762" s="85"/>
      <c r="N762" s="59"/>
      <c r="O762" s="59"/>
      <c r="P762" s="59"/>
      <c r="Q762" s="59"/>
      <c r="R762" s="59"/>
      <c r="S762" s="59"/>
      <c r="T762" s="92"/>
      <c r="U762" s="85"/>
      <c r="V762" s="85"/>
      <c r="W762" s="83">
        <f t="shared" ca="1" si="33"/>
        <v>10</v>
      </c>
      <c r="X762" s="64" t="str">
        <f t="shared" ca="1" si="34"/>
        <v>1</v>
      </c>
      <c r="Y762" s="82" t="str">
        <f t="shared" ca="1" si="35"/>
        <v>1</v>
      </c>
      <c r="Z762" s="87"/>
      <c r="AA762" s="87" t="s">
        <v>61</v>
      </c>
    </row>
    <row r="763" spans="1:28" ht="37.5" x14ac:dyDescent="0.35">
      <c r="A763" s="85">
        <v>6370</v>
      </c>
      <c r="B763" s="86">
        <v>2018</v>
      </c>
      <c r="C763" s="87" t="s">
        <v>35</v>
      </c>
      <c r="D763" s="87" t="s">
        <v>117</v>
      </c>
      <c r="E763" s="87" t="s">
        <v>33</v>
      </c>
      <c r="F763" s="87" t="s">
        <v>25</v>
      </c>
      <c r="G763" s="88">
        <v>0.75</v>
      </c>
      <c r="H763" s="99">
        <v>17048</v>
      </c>
      <c r="I763" s="87" t="s">
        <v>372</v>
      </c>
      <c r="J763" s="85"/>
      <c r="K763" s="85"/>
      <c r="L763" s="85"/>
      <c r="M763" s="85"/>
      <c r="N763" s="59"/>
      <c r="O763" s="59"/>
      <c r="P763" s="59"/>
      <c r="Q763" s="59"/>
      <c r="R763" s="59"/>
      <c r="S763" s="59"/>
      <c r="T763" s="92"/>
      <c r="U763" s="85"/>
      <c r="V763" s="85"/>
      <c r="W763" s="83">
        <f t="shared" ca="1" si="33"/>
        <v>10</v>
      </c>
      <c r="X763" s="64" t="str">
        <f t="shared" ca="1" si="34"/>
        <v>1</v>
      </c>
      <c r="Y763" s="82" t="str">
        <f t="shared" ca="1" si="35"/>
        <v>1</v>
      </c>
      <c r="Z763" s="87"/>
      <c r="AA763" s="87" t="s">
        <v>22</v>
      </c>
    </row>
    <row r="764" spans="1:28" ht="25" x14ac:dyDescent="0.35">
      <c r="A764" s="85">
        <v>5762</v>
      </c>
      <c r="B764" s="86">
        <v>2017</v>
      </c>
      <c r="C764" s="87" t="s">
        <v>38</v>
      </c>
      <c r="D764" s="87" t="s">
        <v>229</v>
      </c>
      <c r="E764" s="87" t="s">
        <v>95</v>
      </c>
      <c r="F764" s="87" t="s">
        <v>25</v>
      </c>
      <c r="G764" s="88">
        <v>1</v>
      </c>
      <c r="H764" s="99">
        <v>16595</v>
      </c>
      <c r="I764" s="87" t="s">
        <v>230</v>
      </c>
      <c r="J764" s="85">
        <v>4</v>
      </c>
      <c r="K764" s="85"/>
      <c r="L764" s="85">
        <v>14</v>
      </c>
      <c r="M764" s="85">
        <v>1</v>
      </c>
      <c r="N764" s="59">
        <v>1</v>
      </c>
      <c r="O764" s="59"/>
      <c r="P764" s="59"/>
      <c r="Q764" s="59"/>
      <c r="R764" s="59"/>
      <c r="S764" s="59"/>
      <c r="T764" s="92"/>
      <c r="U764" s="85"/>
      <c r="V764" s="85"/>
      <c r="W764" s="83">
        <f t="shared" ca="1" si="33"/>
        <v>10</v>
      </c>
      <c r="X764" s="64" t="str">
        <f t="shared" ca="1" si="34"/>
        <v>1</v>
      </c>
      <c r="Y764" s="82" t="str">
        <f t="shared" ca="1" si="35"/>
        <v>1</v>
      </c>
      <c r="Z764" s="87"/>
      <c r="AA764" s="87" t="s">
        <v>22</v>
      </c>
    </row>
    <row r="765" spans="1:28" ht="25" x14ac:dyDescent="0.35">
      <c r="A765" s="85">
        <v>6370</v>
      </c>
      <c r="B765" s="86">
        <v>2018</v>
      </c>
      <c r="C765" s="87" t="s">
        <v>38</v>
      </c>
      <c r="D765" s="87" t="s">
        <v>229</v>
      </c>
      <c r="E765" s="87" t="s">
        <v>95</v>
      </c>
      <c r="F765" s="87" t="s">
        <v>25</v>
      </c>
      <c r="G765" s="88">
        <v>1</v>
      </c>
      <c r="H765" s="99">
        <v>17048</v>
      </c>
      <c r="I765" s="87" t="s">
        <v>230</v>
      </c>
      <c r="J765" s="85">
        <v>4</v>
      </c>
      <c r="K765" s="85"/>
      <c r="L765" s="85">
        <v>14</v>
      </c>
      <c r="M765" s="85">
        <v>1</v>
      </c>
      <c r="N765" s="59">
        <v>1</v>
      </c>
      <c r="O765" s="59"/>
      <c r="P765" s="59"/>
      <c r="Q765" s="59"/>
      <c r="R765" s="59"/>
      <c r="S765" s="59"/>
      <c r="T765" s="92"/>
      <c r="U765" s="85"/>
      <c r="V765" s="85"/>
      <c r="W765" s="83">
        <f t="shared" ca="1" si="33"/>
        <v>10</v>
      </c>
      <c r="X765" s="64" t="str">
        <f t="shared" ca="1" si="34"/>
        <v>1</v>
      </c>
      <c r="Y765" s="82" t="str">
        <f t="shared" ca="1" si="35"/>
        <v>1</v>
      </c>
      <c r="Z765" s="87"/>
      <c r="AA765" s="87" t="s">
        <v>22</v>
      </c>
    </row>
    <row r="766" spans="1:28" ht="63.75" customHeight="1" x14ac:dyDescent="0.35">
      <c r="A766" s="85">
        <v>6370</v>
      </c>
      <c r="B766" s="86">
        <v>2018</v>
      </c>
      <c r="C766" s="87" t="s">
        <v>38</v>
      </c>
      <c r="D766" s="87" t="s">
        <v>229</v>
      </c>
      <c r="E766" s="87" t="s">
        <v>95</v>
      </c>
      <c r="F766" s="87" t="s">
        <v>25</v>
      </c>
      <c r="G766" s="88">
        <v>1</v>
      </c>
      <c r="H766" s="99" t="s">
        <v>367</v>
      </c>
      <c r="I766" s="87" t="s">
        <v>230</v>
      </c>
      <c r="J766" s="85">
        <v>4</v>
      </c>
      <c r="K766" s="85"/>
      <c r="L766" s="85">
        <v>14</v>
      </c>
      <c r="M766" s="85"/>
      <c r="N766" s="59"/>
      <c r="O766" s="59"/>
      <c r="P766" s="59"/>
      <c r="Q766" s="59"/>
      <c r="R766" s="59"/>
      <c r="S766" s="59"/>
      <c r="T766" s="92">
        <v>8</v>
      </c>
      <c r="U766" s="85"/>
      <c r="V766" s="85"/>
      <c r="W766" s="83">
        <f t="shared" ca="1" si="33"/>
        <v>10</v>
      </c>
      <c r="X766" s="64" t="str">
        <f t="shared" ca="1" si="34"/>
        <v>1</v>
      </c>
      <c r="Y766" s="82" t="str">
        <f t="shared" ca="1" si="35"/>
        <v>1</v>
      </c>
      <c r="Z766" s="87"/>
      <c r="AA766" s="87" t="s">
        <v>22</v>
      </c>
    </row>
    <row r="767" spans="1:28" ht="37.5" x14ac:dyDescent="0.35">
      <c r="A767" s="85">
        <v>6370</v>
      </c>
      <c r="B767" s="86">
        <v>2019</v>
      </c>
      <c r="C767" s="87" t="s">
        <v>35</v>
      </c>
      <c r="D767" s="87" t="s">
        <v>72</v>
      </c>
      <c r="E767" s="87" t="s">
        <v>26</v>
      </c>
      <c r="F767" s="87" t="s">
        <v>25</v>
      </c>
      <c r="G767" s="88">
        <v>1</v>
      </c>
      <c r="H767" s="99" t="s">
        <v>367</v>
      </c>
      <c r="I767" s="87" t="s">
        <v>249</v>
      </c>
      <c r="J767" s="85">
        <v>4</v>
      </c>
      <c r="K767" s="85">
        <v>22</v>
      </c>
      <c r="L767" s="85"/>
      <c r="M767" s="85">
        <v>1</v>
      </c>
      <c r="N767" s="59">
        <v>1</v>
      </c>
      <c r="O767" s="59"/>
      <c r="P767" s="59"/>
      <c r="Q767" s="59"/>
      <c r="R767" s="59"/>
      <c r="S767" s="59"/>
      <c r="T767" s="92"/>
      <c r="U767" s="85"/>
      <c r="V767" s="85"/>
      <c r="W767" s="83">
        <f t="shared" ca="1" si="33"/>
        <v>10</v>
      </c>
      <c r="X767" s="64" t="str">
        <f t="shared" ca="1" si="34"/>
        <v>1</v>
      </c>
      <c r="Y767" s="82" t="str">
        <f t="shared" ca="1" si="35"/>
        <v>1</v>
      </c>
      <c r="Z767" s="87"/>
      <c r="AA767" s="87" t="s">
        <v>22</v>
      </c>
    </row>
    <row r="768" spans="1:28" ht="37.5" x14ac:dyDescent="0.35">
      <c r="A768" s="85">
        <v>6370</v>
      </c>
      <c r="B768" s="86">
        <v>2019</v>
      </c>
      <c r="C768" s="87" t="s">
        <v>35</v>
      </c>
      <c r="D768" s="87" t="s">
        <v>72</v>
      </c>
      <c r="E768" s="87" t="s">
        <v>26</v>
      </c>
      <c r="F768" s="87" t="s">
        <v>25</v>
      </c>
      <c r="G768" s="88">
        <v>1</v>
      </c>
      <c r="H768" s="99" t="s">
        <v>367</v>
      </c>
      <c r="I768" s="87" t="s">
        <v>235</v>
      </c>
      <c r="J768" s="85"/>
      <c r="K768" s="85"/>
      <c r="L768" s="85"/>
      <c r="M768" s="85"/>
      <c r="N768" s="59"/>
      <c r="O768" s="59"/>
      <c r="P768" s="59"/>
      <c r="Q768" s="59"/>
      <c r="R768" s="59"/>
      <c r="S768" s="59"/>
      <c r="T768" s="92"/>
      <c r="U768" s="85">
        <v>8</v>
      </c>
      <c r="V768" s="85"/>
      <c r="W768" s="83">
        <f t="shared" ca="1" si="33"/>
        <v>10</v>
      </c>
      <c r="X768" s="64" t="str">
        <f t="shared" ca="1" si="34"/>
        <v>1</v>
      </c>
      <c r="Y768" s="82" t="str">
        <f t="shared" ca="1" si="35"/>
        <v>1</v>
      </c>
      <c r="Z768" s="87"/>
      <c r="AA768" s="87" t="s">
        <v>22</v>
      </c>
    </row>
    <row r="769" spans="1:27" ht="50" x14ac:dyDescent="0.35">
      <c r="A769" s="85">
        <v>6370</v>
      </c>
      <c r="B769" s="86">
        <v>2019</v>
      </c>
      <c r="C769" s="87" t="s">
        <v>35</v>
      </c>
      <c r="D769" s="87" t="s">
        <v>72</v>
      </c>
      <c r="E769" s="87" t="s">
        <v>26</v>
      </c>
      <c r="F769" s="87" t="s">
        <v>25</v>
      </c>
      <c r="G769" s="88">
        <v>1</v>
      </c>
      <c r="H769" s="99" t="s">
        <v>367</v>
      </c>
      <c r="I769" s="87" t="s">
        <v>250</v>
      </c>
      <c r="J769" s="85"/>
      <c r="K769" s="85"/>
      <c r="L769" s="85"/>
      <c r="M769" s="85"/>
      <c r="N769" s="59"/>
      <c r="O769" s="59"/>
      <c r="P769" s="59"/>
      <c r="Q769" s="59"/>
      <c r="R769" s="59">
        <v>6</v>
      </c>
      <c r="S769" s="59">
        <v>6</v>
      </c>
      <c r="T769" s="92"/>
      <c r="U769" s="85"/>
      <c r="V769" s="85">
        <v>22</v>
      </c>
      <c r="W769" s="83">
        <f t="shared" ca="1" si="33"/>
        <v>10</v>
      </c>
      <c r="X769" s="64" t="str">
        <f t="shared" ca="1" si="34"/>
        <v>1</v>
      </c>
      <c r="Y769" s="82" t="str">
        <f t="shared" ca="1" si="35"/>
        <v>1</v>
      </c>
      <c r="Z769" s="87"/>
      <c r="AA769" s="87" t="s">
        <v>22</v>
      </c>
    </row>
    <row r="770" spans="1:27" ht="37.5" x14ac:dyDescent="0.35">
      <c r="A770" s="85">
        <v>6370</v>
      </c>
      <c r="B770" s="86">
        <v>2019</v>
      </c>
      <c r="C770" s="87" t="s">
        <v>35</v>
      </c>
      <c r="D770" s="87" t="s">
        <v>72</v>
      </c>
      <c r="E770" s="87" t="s">
        <v>26</v>
      </c>
      <c r="F770" s="87" t="s">
        <v>25</v>
      </c>
      <c r="G770" s="88">
        <v>1</v>
      </c>
      <c r="H770" s="99" t="s">
        <v>367</v>
      </c>
      <c r="I770" s="87" t="s">
        <v>372</v>
      </c>
      <c r="J770" s="85"/>
      <c r="K770" s="85"/>
      <c r="L770" s="85"/>
      <c r="M770" s="85"/>
      <c r="N770" s="90"/>
      <c r="O770" s="59"/>
      <c r="P770" s="59"/>
      <c r="Q770" s="59"/>
      <c r="R770" s="59"/>
      <c r="S770" s="59"/>
      <c r="T770" s="92"/>
      <c r="U770" s="85">
        <v>8</v>
      </c>
      <c r="V770" s="85"/>
      <c r="W770" s="83">
        <f t="shared" ca="1" si="33"/>
        <v>10</v>
      </c>
      <c r="X770" s="64" t="str">
        <f t="shared" ca="1" si="34"/>
        <v>1</v>
      </c>
      <c r="Y770" s="82" t="str">
        <f t="shared" ca="1" si="35"/>
        <v>1</v>
      </c>
      <c r="Z770" s="87"/>
      <c r="AA770" s="87" t="s">
        <v>22</v>
      </c>
    </row>
    <row r="771" spans="1:27" ht="37.5" x14ac:dyDescent="0.35">
      <c r="A771" s="85">
        <v>6370</v>
      </c>
      <c r="B771" s="86">
        <v>2019</v>
      </c>
      <c r="C771" s="87" t="s">
        <v>35</v>
      </c>
      <c r="D771" s="87" t="s">
        <v>72</v>
      </c>
      <c r="E771" s="87" t="s">
        <v>26</v>
      </c>
      <c r="F771" s="87" t="s">
        <v>25</v>
      </c>
      <c r="G771" s="88">
        <v>1</v>
      </c>
      <c r="H771" s="99" t="s">
        <v>367</v>
      </c>
      <c r="I771" s="87" t="s">
        <v>373</v>
      </c>
      <c r="J771" s="85"/>
      <c r="K771" s="85"/>
      <c r="L771" s="85"/>
      <c r="M771" s="85"/>
      <c r="N771" s="59"/>
      <c r="O771" s="90"/>
      <c r="P771" s="59"/>
      <c r="Q771" s="59"/>
      <c r="R771" s="59"/>
      <c r="S771" s="59"/>
      <c r="T771" s="92"/>
      <c r="U771" s="85">
        <v>8</v>
      </c>
      <c r="V771" s="85"/>
      <c r="W771" s="83">
        <f t="shared" ca="1" si="33"/>
        <v>10</v>
      </c>
      <c r="X771" s="64" t="str">
        <f t="shared" ca="1" si="34"/>
        <v>1</v>
      </c>
      <c r="Y771" s="82" t="str">
        <f t="shared" ca="1" si="35"/>
        <v>1</v>
      </c>
      <c r="Z771" s="87"/>
      <c r="AA771" s="87" t="s">
        <v>22</v>
      </c>
    </row>
    <row r="772" spans="1:27" ht="37.5" x14ac:dyDescent="0.35">
      <c r="A772" s="85">
        <v>6370</v>
      </c>
      <c r="B772" s="86">
        <v>2019</v>
      </c>
      <c r="C772" s="87" t="s">
        <v>35</v>
      </c>
      <c r="D772" s="87" t="s">
        <v>72</v>
      </c>
      <c r="E772" s="87" t="s">
        <v>26</v>
      </c>
      <c r="F772" s="87" t="s">
        <v>25</v>
      </c>
      <c r="G772" s="88">
        <v>1</v>
      </c>
      <c r="H772" s="99" t="s">
        <v>367</v>
      </c>
      <c r="I772" s="87" t="s">
        <v>251</v>
      </c>
      <c r="J772" s="85"/>
      <c r="K772" s="85"/>
      <c r="L772" s="85"/>
      <c r="M772" s="85"/>
      <c r="N772" s="59"/>
      <c r="O772" s="59"/>
      <c r="P772" s="59"/>
      <c r="Q772" s="59"/>
      <c r="R772" s="59"/>
      <c r="S772" s="59"/>
      <c r="T772" s="92"/>
      <c r="U772" s="85">
        <v>4</v>
      </c>
      <c r="V772" s="85"/>
      <c r="W772" s="83">
        <f t="shared" ref="W772:W835" ca="1" si="36">IFERROR(OFFSET($AC$11,0,MATCH(H772,$AD$4:$BE$4,0)),IFERROR(OFFSET($AC$12,0,MATCH(H772,$AD$5:$BE$5,0)),MOD(H772,20)+7))</f>
        <v>10</v>
      </c>
      <c r="X772" s="64" t="str">
        <f t="shared" ref="X772:X835" ca="1" si="37">IF(W772&lt;=30, "1", "2")</f>
        <v>1</v>
      </c>
      <c r="Y772" s="82" t="str">
        <f t="shared" ref="Y772:Y835" ca="1" si="38" xml:space="preserve"> IF(W772&lt;=15, "1", IF(W772&lt;=30, "2", IF(W772&lt;=45, "3", IF(W772&lt;=60, "4"))))</f>
        <v>1</v>
      </c>
      <c r="Z772" s="87"/>
      <c r="AA772" s="87" t="s">
        <v>22</v>
      </c>
    </row>
    <row r="773" spans="1:27" ht="63.75" customHeight="1" x14ac:dyDescent="0.35">
      <c r="A773" s="85">
        <v>6370</v>
      </c>
      <c r="B773" s="86">
        <v>2019</v>
      </c>
      <c r="C773" s="87" t="s">
        <v>35</v>
      </c>
      <c r="D773" s="87" t="s">
        <v>115</v>
      </c>
      <c r="E773" s="87" t="s">
        <v>20</v>
      </c>
      <c r="F773" s="87" t="s">
        <v>82</v>
      </c>
      <c r="G773" s="88">
        <v>0.25</v>
      </c>
      <c r="H773" s="99" t="s">
        <v>367</v>
      </c>
      <c r="I773" s="87" t="s">
        <v>252</v>
      </c>
      <c r="J773" s="85"/>
      <c r="K773" s="85">
        <v>14</v>
      </c>
      <c r="L773" s="85"/>
      <c r="M773" s="85">
        <v>1</v>
      </c>
      <c r="N773" s="59"/>
      <c r="O773" s="59"/>
      <c r="P773" s="59"/>
      <c r="Q773" s="59"/>
      <c r="R773" s="59"/>
      <c r="S773" s="59"/>
      <c r="T773" s="92"/>
      <c r="U773" s="85"/>
      <c r="V773" s="85"/>
      <c r="W773" s="83">
        <f t="shared" ca="1" si="36"/>
        <v>10</v>
      </c>
      <c r="X773" s="64" t="str">
        <f t="shared" ca="1" si="37"/>
        <v>1</v>
      </c>
      <c r="Y773" s="82" t="str">
        <f t="shared" ca="1" si="38"/>
        <v>1</v>
      </c>
      <c r="Z773" s="87"/>
      <c r="AA773" s="87" t="s">
        <v>22</v>
      </c>
    </row>
    <row r="774" spans="1:27" ht="37.5" x14ac:dyDescent="0.35">
      <c r="A774" s="85">
        <v>6370</v>
      </c>
      <c r="B774" s="86">
        <v>2019</v>
      </c>
      <c r="C774" s="87" t="s">
        <v>35</v>
      </c>
      <c r="D774" s="87" t="s">
        <v>190</v>
      </c>
      <c r="E774" s="87" t="s">
        <v>26</v>
      </c>
      <c r="F774" s="87" t="s">
        <v>25</v>
      </c>
      <c r="G774" s="88">
        <v>1</v>
      </c>
      <c r="H774" s="99" t="s">
        <v>367</v>
      </c>
      <c r="I774" s="87" t="s">
        <v>253</v>
      </c>
      <c r="J774" s="85"/>
      <c r="K774" s="85">
        <v>9</v>
      </c>
      <c r="L774" s="85"/>
      <c r="M774" s="85">
        <v>1</v>
      </c>
      <c r="N774" s="59"/>
      <c r="O774" s="59"/>
      <c r="P774" s="59">
        <v>1</v>
      </c>
      <c r="Q774" s="59"/>
      <c r="R774" s="59"/>
      <c r="S774" s="59"/>
      <c r="T774" s="92"/>
      <c r="U774" s="85"/>
      <c r="V774" s="85"/>
      <c r="W774" s="83">
        <f t="shared" ca="1" si="36"/>
        <v>10</v>
      </c>
      <c r="X774" s="64" t="str">
        <f t="shared" ca="1" si="37"/>
        <v>1</v>
      </c>
      <c r="Y774" s="82" t="str">
        <f t="shared" ca="1" si="38"/>
        <v>1</v>
      </c>
      <c r="Z774" s="87"/>
      <c r="AA774" s="87" t="s">
        <v>22</v>
      </c>
    </row>
    <row r="775" spans="1:27" ht="37.5" x14ac:dyDescent="0.35">
      <c r="A775" s="85">
        <v>6370</v>
      </c>
      <c r="B775" s="86">
        <v>2019</v>
      </c>
      <c r="C775" s="87" t="s">
        <v>35</v>
      </c>
      <c r="D775" s="87" t="s">
        <v>116</v>
      </c>
      <c r="E775" s="87" t="s">
        <v>28</v>
      </c>
      <c r="F775" s="87" t="s">
        <v>56</v>
      </c>
      <c r="G775" s="88">
        <v>1</v>
      </c>
      <c r="H775" s="99" t="s">
        <v>367</v>
      </c>
      <c r="I775" s="87" t="s">
        <v>254</v>
      </c>
      <c r="J775" s="85"/>
      <c r="K775" s="85"/>
      <c r="L775" s="85"/>
      <c r="M775" s="85">
        <v>1</v>
      </c>
      <c r="N775" s="59">
        <v>1</v>
      </c>
      <c r="O775" s="59"/>
      <c r="P775" s="59"/>
      <c r="Q775" s="59"/>
      <c r="R775" s="59"/>
      <c r="S775" s="59"/>
      <c r="T775" s="92"/>
      <c r="U775" s="85"/>
      <c r="V775" s="85"/>
      <c r="W775" s="83">
        <f t="shared" ca="1" si="36"/>
        <v>10</v>
      </c>
      <c r="X775" s="64" t="str">
        <f t="shared" ca="1" si="37"/>
        <v>1</v>
      </c>
      <c r="Y775" s="82" t="str">
        <f t="shared" ca="1" si="38"/>
        <v>1</v>
      </c>
      <c r="Z775" s="87"/>
      <c r="AA775" s="87" t="s">
        <v>61</v>
      </c>
    </row>
    <row r="776" spans="1:27" ht="37.5" x14ac:dyDescent="0.35">
      <c r="A776" s="85">
        <v>6370</v>
      </c>
      <c r="B776" s="86">
        <v>2019</v>
      </c>
      <c r="C776" s="87" t="s">
        <v>35</v>
      </c>
      <c r="D776" s="87" t="s">
        <v>116</v>
      </c>
      <c r="E776" s="87" t="s">
        <v>28</v>
      </c>
      <c r="F776" s="87" t="s">
        <v>56</v>
      </c>
      <c r="G776" s="88">
        <v>1</v>
      </c>
      <c r="H776" s="99" t="s">
        <v>367</v>
      </c>
      <c r="I776" s="87" t="s">
        <v>252</v>
      </c>
      <c r="J776" s="85">
        <v>4</v>
      </c>
      <c r="K776" s="85"/>
      <c r="L776" s="85"/>
      <c r="M776" s="85"/>
      <c r="N776" s="59"/>
      <c r="O776" s="59"/>
      <c r="P776" s="59"/>
      <c r="Q776" s="59"/>
      <c r="R776" s="59"/>
      <c r="S776" s="59"/>
      <c r="T776" s="92"/>
      <c r="U776" s="85"/>
      <c r="V776" s="85"/>
      <c r="W776" s="83">
        <f t="shared" ca="1" si="36"/>
        <v>10</v>
      </c>
      <c r="X776" s="64" t="str">
        <f t="shared" ca="1" si="37"/>
        <v>1</v>
      </c>
      <c r="Y776" s="82" t="str">
        <f t="shared" ca="1" si="38"/>
        <v>1</v>
      </c>
      <c r="Z776" s="87"/>
      <c r="AA776" s="87" t="s">
        <v>22</v>
      </c>
    </row>
    <row r="777" spans="1:27" ht="37.5" x14ac:dyDescent="0.35">
      <c r="A777" s="85">
        <v>6370</v>
      </c>
      <c r="B777" s="86">
        <v>2019</v>
      </c>
      <c r="C777" s="87" t="s">
        <v>35</v>
      </c>
      <c r="D777" s="87" t="s">
        <v>116</v>
      </c>
      <c r="E777" s="87" t="s">
        <v>28</v>
      </c>
      <c r="F777" s="87" t="s">
        <v>56</v>
      </c>
      <c r="G777" s="88">
        <v>1</v>
      </c>
      <c r="H777" s="99" t="s">
        <v>367</v>
      </c>
      <c r="I777" s="87" t="s">
        <v>235</v>
      </c>
      <c r="J777" s="85"/>
      <c r="K777" s="85"/>
      <c r="L777" s="85"/>
      <c r="M777" s="85"/>
      <c r="N777" s="59"/>
      <c r="O777" s="59"/>
      <c r="P777" s="59"/>
      <c r="Q777" s="59"/>
      <c r="R777" s="59"/>
      <c r="S777" s="59"/>
      <c r="T777" s="92"/>
      <c r="U777" s="85">
        <v>12</v>
      </c>
      <c r="V777" s="85"/>
      <c r="W777" s="83">
        <f t="shared" ca="1" si="36"/>
        <v>10</v>
      </c>
      <c r="X777" s="64" t="str">
        <f t="shared" ca="1" si="37"/>
        <v>1</v>
      </c>
      <c r="Y777" s="82" t="str">
        <f t="shared" ca="1" si="38"/>
        <v>1</v>
      </c>
      <c r="Z777" s="87"/>
      <c r="AA777" s="87" t="s">
        <v>22</v>
      </c>
    </row>
    <row r="778" spans="1:27" ht="50" x14ac:dyDescent="0.35">
      <c r="A778" s="85">
        <v>6370</v>
      </c>
      <c r="B778" s="86">
        <v>2019</v>
      </c>
      <c r="C778" s="87" t="s">
        <v>35</v>
      </c>
      <c r="D778" s="87" t="s">
        <v>116</v>
      </c>
      <c r="E778" s="87" t="s">
        <v>28</v>
      </c>
      <c r="F778" s="87" t="s">
        <v>56</v>
      </c>
      <c r="G778" s="88">
        <v>1</v>
      </c>
      <c r="H778" s="99" t="s">
        <v>367</v>
      </c>
      <c r="I778" s="87" t="s">
        <v>250</v>
      </c>
      <c r="J778" s="85"/>
      <c r="K778" s="85"/>
      <c r="L778" s="85"/>
      <c r="M778" s="85">
        <v>1</v>
      </c>
      <c r="N778" s="59"/>
      <c r="O778" s="59"/>
      <c r="P778" s="90"/>
      <c r="Q778" s="59"/>
      <c r="R778" s="59">
        <v>8</v>
      </c>
      <c r="S778" s="59">
        <v>8</v>
      </c>
      <c r="T778" s="92"/>
      <c r="U778" s="85"/>
      <c r="V778" s="85">
        <v>66</v>
      </c>
      <c r="W778" s="83">
        <f t="shared" ca="1" si="36"/>
        <v>10</v>
      </c>
      <c r="X778" s="64" t="str">
        <f t="shared" ca="1" si="37"/>
        <v>1</v>
      </c>
      <c r="Y778" s="82" t="str">
        <f t="shared" ca="1" si="38"/>
        <v>1</v>
      </c>
      <c r="Z778" s="87"/>
      <c r="AA778" s="87" t="s">
        <v>22</v>
      </c>
    </row>
    <row r="779" spans="1:27" ht="37.5" x14ac:dyDescent="0.35">
      <c r="A779" s="85">
        <v>6370</v>
      </c>
      <c r="B779" s="86">
        <v>2019</v>
      </c>
      <c r="C779" s="87" t="s">
        <v>35</v>
      </c>
      <c r="D779" s="87" t="s">
        <v>116</v>
      </c>
      <c r="E779" s="87" t="s">
        <v>28</v>
      </c>
      <c r="F779" s="87" t="s">
        <v>56</v>
      </c>
      <c r="G779" s="88">
        <v>1</v>
      </c>
      <c r="H779" s="99" t="s">
        <v>367</v>
      </c>
      <c r="I779" s="87" t="s">
        <v>372</v>
      </c>
      <c r="J779" s="85"/>
      <c r="K779" s="85"/>
      <c r="L779" s="85"/>
      <c r="M779" s="85"/>
      <c r="N779" s="59"/>
      <c r="O779" s="59"/>
      <c r="P779" s="90"/>
      <c r="Q779" s="59"/>
      <c r="R779" s="59"/>
      <c r="S779" s="59"/>
      <c r="T779" s="92"/>
      <c r="U779" s="85">
        <v>12</v>
      </c>
      <c r="V779" s="85"/>
      <c r="W779" s="83">
        <f t="shared" ca="1" si="36"/>
        <v>10</v>
      </c>
      <c r="X779" s="64" t="str">
        <f t="shared" ca="1" si="37"/>
        <v>1</v>
      </c>
      <c r="Y779" s="82" t="str">
        <f t="shared" ca="1" si="38"/>
        <v>1</v>
      </c>
      <c r="Z779" s="87"/>
      <c r="AA779" s="87" t="s">
        <v>22</v>
      </c>
    </row>
    <row r="780" spans="1:27" ht="37.5" x14ac:dyDescent="0.35">
      <c r="A780" s="85">
        <v>6370</v>
      </c>
      <c r="B780" s="86">
        <v>2019</v>
      </c>
      <c r="C780" s="87" t="s">
        <v>35</v>
      </c>
      <c r="D780" s="87" t="s">
        <v>116</v>
      </c>
      <c r="E780" s="87" t="s">
        <v>28</v>
      </c>
      <c r="F780" s="87" t="s">
        <v>56</v>
      </c>
      <c r="G780" s="88">
        <v>1</v>
      </c>
      <c r="H780" s="99" t="s">
        <v>367</v>
      </c>
      <c r="I780" s="87" t="s">
        <v>373</v>
      </c>
      <c r="J780" s="85"/>
      <c r="K780" s="85"/>
      <c r="L780" s="85"/>
      <c r="M780" s="85"/>
      <c r="N780" s="59"/>
      <c r="O780" s="59"/>
      <c r="P780" s="59"/>
      <c r="Q780" s="59"/>
      <c r="R780" s="59"/>
      <c r="S780" s="59"/>
      <c r="T780" s="92"/>
      <c r="U780" s="85">
        <v>12</v>
      </c>
      <c r="V780" s="85"/>
      <c r="W780" s="83">
        <f t="shared" ca="1" si="36"/>
        <v>10</v>
      </c>
      <c r="X780" s="64" t="str">
        <f t="shared" ca="1" si="37"/>
        <v>1</v>
      </c>
      <c r="Y780" s="82" t="str">
        <f t="shared" ca="1" si="38"/>
        <v>1</v>
      </c>
      <c r="Z780" s="87"/>
      <c r="AA780" s="87" t="s">
        <v>22</v>
      </c>
    </row>
    <row r="781" spans="1:27" ht="63.75" customHeight="1" x14ac:dyDescent="0.35">
      <c r="A781" s="85">
        <v>6370</v>
      </c>
      <c r="B781" s="86">
        <v>2019</v>
      </c>
      <c r="C781" s="87" t="s">
        <v>35</v>
      </c>
      <c r="D781" s="87" t="s">
        <v>116</v>
      </c>
      <c r="E781" s="87" t="s">
        <v>28</v>
      </c>
      <c r="F781" s="87" t="s">
        <v>56</v>
      </c>
      <c r="G781" s="88">
        <v>1</v>
      </c>
      <c r="H781" s="99" t="s">
        <v>367</v>
      </c>
      <c r="I781" s="87" t="s">
        <v>251</v>
      </c>
      <c r="J781" s="85"/>
      <c r="K781" s="85"/>
      <c r="L781" s="85"/>
      <c r="M781" s="85"/>
      <c r="N781" s="59"/>
      <c r="O781" s="59"/>
      <c r="P781" s="59"/>
      <c r="Q781" s="59"/>
      <c r="R781" s="59"/>
      <c r="S781" s="59"/>
      <c r="T781" s="92"/>
      <c r="U781" s="85">
        <v>6</v>
      </c>
      <c r="V781" s="85"/>
      <c r="W781" s="83">
        <f t="shared" ca="1" si="36"/>
        <v>10</v>
      </c>
      <c r="X781" s="64" t="str">
        <f t="shared" ca="1" si="37"/>
        <v>1</v>
      </c>
      <c r="Y781" s="82" t="str">
        <f t="shared" ca="1" si="38"/>
        <v>1</v>
      </c>
      <c r="Z781" s="87"/>
      <c r="AA781" s="87" t="s">
        <v>22</v>
      </c>
    </row>
    <row r="782" spans="1:27" ht="37.5" x14ac:dyDescent="0.35">
      <c r="A782" s="85">
        <v>6370</v>
      </c>
      <c r="B782" s="86">
        <v>2019</v>
      </c>
      <c r="C782" s="87" t="s">
        <v>35</v>
      </c>
      <c r="D782" s="87" t="s">
        <v>36</v>
      </c>
      <c r="E782" s="87" t="s">
        <v>26</v>
      </c>
      <c r="F782" s="87" t="s">
        <v>25</v>
      </c>
      <c r="G782" s="88">
        <v>1</v>
      </c>
      <c r="H782" s="99" t="s">
        <v>367</v>
      </c>
      <c r="I782" s="87" t="s">
        <v>255</v>
      </c>
      <c r="J782" s="85">
        <v>4</v>
      </c>
      <c r="K782" s="85"/>
      <c r="L782" s="85"/>
      <c r="M782" s="85"/>
      <c r="N782" s="59">
        <v>1</v>
      </c>
      <c r="O782" s="59"/>
      <c r="P782" s="59"/>
      <c r="Q782" s="59"/>
      <c r="R782" s="59"/>
      <c r="S782" s="59"/>
      <c r="T782" s="92"/>
      <c r="U782" s="85"/>
      <c r="V782" s="85"/>
      <c r="W782" s="83">
        <f t="shared" ca="1" si="36"/>
        <v>10</v>
      </c>
      <c r="X782" s="64" t="str">
        <f t="shared" ca="1" si="37"/>
        <v>1</v>
      </c>
      <c r="Y782" s="82" t="str">
        <f t="shared" ca="1" si="38"/>
        <v>1</v>
      </c>
      <c r="Z782" s="87"/>
      <c r="AA782" s="87" t="s">
        <v>22</v>
      </c>
    </row>
    <row r="783" spans="1:27" ht="37.5" x14ac:dyDescent="0.35">
      <c r="A783" s="85">
        <v>6370</v>
      </c>
      <c r="B783" s="86">
        <v>2019</v>
      </c>
      <c r="C783" s="87" t="s">
        <v>35</v>
      </c>
      <c r="D783" s="87" t="s">
        <v>36</v>
      </c>
      <c r="E783" s="87" t="s">
        <v>26</v>
      </c>
      <c r="F783" s="87" t="s">
        <v>25</v>
      </c>
      <c r="G783" s="88">
        <v>1</v>
      </c>
      <c r="H783" s="99" t="s">
        <v>367</v>
      </c>
      <c r="I783" s="87" t="s">
        <v>235</v>
      </c>
      <c r="J783" s="85"/>
      <c r="K783" s="85"/>
      <c r="L783" s="85"/>
      <c r="M783" s="85"/>
      <c r="N783" s="59"/>
      <c r="O783" s="59"/>
      <c r="P783" s="59"/>
      <c r="Q783" s="59"/>
      <c r="R783" s="59"/>
      <c r="S783" s="59"/>
      <c r="T783" s="92"/>
      <c r="U783" s="85">
        <v>4</v>
      </c>
      <c r="V783" s="85"/>
      <c r="W783" s="83">
        <f t="shared" ca="1" si="36"/>
        <v>10</v>
      </c>
      <c r="X783" s="64" t="str">
        <f t="shared" ca="1" si="37"/>
        <v>1</v>
      </c>
      <c r="Y783" s="82" t="str">
        <f t="shared" ca="1" si="38"/>
        <v>1</v>
      </c>
      <c r="Z783" s="87"/>
      <c r="AA783" s="87" t="s">
        <v>22</v>
      </c>
    </row>
    <row r="784" spans="1:27" ht="50" x14ac:dyDescent="0.35">
      <c r="A784" s="85">
        <v>6370</v>
      </c>
      <c r="B784" s="86">
        <v>2019</v>
      </c>
      <c r="C784" s="87" t="s">
        <v>35</v>
      </c>
      <c r="D784" s="87" t="s">
        <v>36</v>
      </c>
      <c r="E784" s="87" t="s">
        <v>26</v>
      </c>
      <c r="F784" s="87" t="s">
        <v>25</v>
      </c>
      <c r="G784" s="88">
        <v>1</v>
      </c>
      <c r="H784" s="99" t="s">
        <v>367</v>
      </c>
      <c r="I784" s="87" t="s">
        <v>250</v>
      </c>
      <c r="J784" s="85"/>
      <c r="K784" s="85"/>
      <c r="L784" s="85"/>
      <c r="M784" s="85"/>
      <c r="N784" s="59"/>
      <c r="O784" s="59"/>
      <c r="P784" s="59"/>
      <c r="Q784" s="59"/>
      <c r="R784" s="59"/>
      <c r="S784" s="59"/>
      <c r="T784" s="92"/>
      <c r="U784" s="85"/>
      <c r="V784" s="85">
        <v>22</v>
      </c>
      <c r="W784" s="83">
        <f t="shared" ca="1" si="36"/>
        <v>10</v>
      </c>
      <c r="X784" s="64" t="str">
        <f t="shared" ca="1" si="37"/>
        <v>1</v>
      </c>
      <c r="Y784" s="82" t="str">
        <f t="shared" ca="1" si="38"/>
        <v>1</v>
      </c>
      <c r="Z784" s="87"/>
      <c r="AA784" s="87" t="s">
        <v>22</v>
      </c>
    </row>
    <row r="785" spans="1:28" ht="37.5" x14ac:dyDescent="0.35">
      <c r="A785" s="85">
        <v>6370</v>
      </c>
      <c r="B785" s="86">
        <v>2019</v>
      </c>
      <c r="C785" s="87" t="s">
        <v>35</v>
      </c>
      <c r="D785" s="87" t="s">
        <v>36</v>
      </c>
      <c r="E785" s="87" t="s">
        <v>26</v>
      </c>
      <c r="F785" s="87" t="s">
        <v>25</v>
      </c>
      <c r="G785" s="88">
        <v>1</v>
      </c>
      <c r="H785" s="99" t="s">
        <v>367</v>
      </c>
      <c r="I785" s="87" t="s">
        <v>372</v>
      </c>
      <c r="J785" s="85"/>
      <c r="K785" s="85"/>
      <c r="L785" s="85"/>
      <c r="M785" s="85"/>
      <c r="N785" s="59"/>
      <c r="O785" s="59"/>
      <c r="P785" s="59"/>
      <c r="Q785" s="59"/>
      <c r="R785" s="59"/>
      <c r="S785" s="59"/>
      <c r="T785" s="92"/>
      <c r="U785" s="85">
        <v>4</v>
      </c>
      <c r="V785" s="85"/>
      <c r="W785" s="83">
        <f t="shared" ca="1" si="36"/>
        <v>10</v>
      </c>
      <c r="X785" s="64" t="str">
        <f t="shared" ca="1" si="37"/>
        <v>1</v>
      </c>
      <c r="Y785" s="82" t="str">
        <f t="shared" ca="1" si="38"/>
        <v>1</v>
      </c>
      <c r="Z785" s="87"/>
      <c r="AA785" s="87" t="s">
        <v>22</v>
      </c>
    </row>
    <row r="786" spans="1:28" ht="37.5" x14ac:dyDescent="0.35">
      <c r="A786" s="85">
        <v>6370</v>
      </c>
      <c r="B786" s="86">
        <v>2019</v>
      </c>
      <c r="C786" s="87" t="s">
        <v>35</v>
      </c>
      <c r="D786" s="87" t="s">
        <v>36</v>
      </c>
      <c r="E786" s="87" t="s">
        <v>26</v>
      </c>
      <c r="F786" s="87" t="s">
        <v>25</v>
      </c>
      <c r="G786" s="88">
        <v>1</v>
      </c>
      <c r="H786" s="99" t="s">
        <v>367</v>
      </c>
      <c r="I786" s="87" t="s">
        <v>373</v>
      </c>
      <c r="J786" s="85"/>
      <c r="K786" s="85"/>
      <c r="L786" s="85"/>
      <c r="M786" s="85"/>
      <c r="N786" s="59"/>
      <c r="O786" s="90"/>
      <c r="P786" s="59"/>
      <c r="Q786" s="59"/>
      <c r="R786" s="59"/>
      <c r="S786" s="59"/>
      <c r="T786" s="92"/>
      <c r="U786" s="85">
        <v>4</v>
      </c>
      <c r="V786" s="85"/>
      <c r="W786" s="83">
        <f t="shared" ca="1" si="36"/>
        <v>10</v>
      </c>
      <c r="X786" s="64" t="str">
        <f t="shared" ca="1" si="37"/>
        <v>1</v>
      </c>
      <c r="Y786" s="82" t="str">
        <f t="shared" ca="1" si="38"/>
        <v>1</v>
      </c>
      <c r="Z786" s="87"/>
      <c r="AA786" s="87" t="s">
        <v>22</v>
      </c>
    </row>
    <row r="787" spans="1:28" ht="37.5" x14ac:dyDescent="0.35">
      <c r="A787" s="85">
        <v>6370</v>
      </c>
      <c r="B787" s="86">
        <v>2019</v>
      </c>
      <c r="C787" s="87" t="s">
        <v>35</v>
      </c>
      <c r="D787" s="87" t="s">
        <v>36</v>
      </c>
      <c r="E787" s="87" t="s">
        <v>26</v>
      </c>
      <c r="F787" s="87" t="s">
        <v>25</v>
      </c>
      <c r="G787" s="88">
        <v>1</v>
      </c>
      <c r="H787" s="99" t="s">
        <v>367</v>
      </c>
      <c r="I787" s="87" t="s">
        <v>251</v>
      </c>
      <c r="J787" s="85"/>
      <c r="K787" s="85"/>
      <c r="L787" s="85"/>
      <c r="M787" s="85"/>
      <c r="N787" s="59"/>
      <c r="O787" s="59"/>
      <c r="P787" s="59"/>
      <c r="Q787" s="59"/>
      <c r="R787" s="59"/>
      <c r="S787" s="59"/>
      <c r="T787" s="92"/>
      <c r="U787" s="85">
        <v>2</v>
      </c>
      <c r="V787" s="85"/>
      <c r="W787" s="83">
        <f t="shared" ca="1" si="36"/>
        <v>10</v>
      </c>
      <c r="X787" s="64" t="str">
        <f t="shared" ca="1" si="37"/>
        <v>1</v>
      </c>
      <c r="Y787" s="82" t="str">
        <f t="shared" ca="1" si="38"/>
        <v>1</v>
      </c>
      <c r="Z787" s="87"/>
      <c r="AA787" s="87" t="s">
        <v>22</v>
      </c>
    </row>
    <row r="788" spans="1:28" ht="37.5" x14ac:dyDescent="0.35">
      <c r="A788" s="85">
        <v>6370</v>
      </c>
      <c r="B788" s="86">
        <v>2019</v>
      </c>
      <c r="C788" s="87" t="s">
        <v>35</v>
      </c>
      <c r="D788" s="87" t="s">
        <v>130</v>
      </c>
      <c r="E788" s="87" t="s">
        <v>26</v>
      </c>
      <c r="F788" s="87" t="s">
        <v>25</v>
      </c>
      <c r="G788" s="88">
        <v>1</v>
      </c>
      <c r="H788" s="99" t="s">
        <v>367</v>
      </c>
      <c r="I788" s="87" t="s">
        <v>256</v>
      </c>
      <c r="J788" s="85">
        <v>4</v>
      </c>
      <c r="K788" s="85"/>
      <c r="L788" s="85"/>
      <c r="M788" s="85"/>
      <c r="N788" s="59">
        <v>1</v>
      </c>
      <c r="O788" s="59"/>
      <c r="P788" s="59"/>
      <c r="Q788" s="59"/>
      <c r="R788" s="59"/>
      <c r="S788" s="59"/>
      <c r="T788" s="92"/>
      <c r="U788" s="85"/>
      <c r="V788" s="85"/>
      <c r="W788" s="83">
        <f t="shared" ca="1" si="36"/>
        <v>10</v>
      </c>
      <c r="X788" s="64" t="str">
        <f t="shared" ca="1" si="37"/>
        <v>1</v>
      </c>
      <c r="Y788" s="82" t="str">
        <f t="shared" ca="1" si="38"/>
        <v>1</v>
      </c>
      <c r="Z788" s="87"/>
      <c r="AA788" s="87"/>
    </row>
    <row r="789" spans="1:28" ht="37.5" x14ac:dyDescent="0.35">
      <c r="A789" s="85">
        <v>6370</v>
      </c>
      <c r="B789" s="86">
        <v>2019</v>
      </c>
      <c r="C789" s="87" t="s">
        <v>35</v>
      </c>
      <c r="D789" s="87" t="s">
        <v>130</v>
      </c>
      <c r="E789" s="87" t="s">
        <v>26</v>
      </c>
      <c r="F789" s="87" t="s">
        <v>25</v>
      </c>
      <c r="G789" s="88">
        <v>1</v>
      </c>
      <c r="H789" s="99" t="s">
        <v>367</v>
      </c>
      <c r="I789" s="87" t="s">
        <v>257</v>
      </c>
      <c r="J789" s="85">
        <v>4</v>
      </c>
      <c r="K789" s="85">
        <v>14</v>
      </c>
      <c r="L789" s="85"/>
      <c r="M789" s="85">
        <v>1</v>
      </c>
      <c r="N789" s="59"/>
      <c r="O789" s="59">
        <v>1</v>
      </c>
      <c r="P789" s="59"/>
      <c r="Q789" s="59"/>
      <c r="R789" s="59"/>
      <c r="S789" s="59"/>
      <c r="T789" s="92"/>
      <c r="U789" s="85"/>
      <c r="V789" s="85"/>
      <c r="W789" s="83">
        <f t="shared" ca="1" si="36"/>
        <v>10</v>
      </c>
      <c r="X789" s="64" t="str">
        <f t="shared" ca="1" si="37"/>
        <v>1</v>
      </c>
      <c r="Y789" s="82" t="str">
        <f t="shared" ca="1" si="38"/>
        <v>1</v>
      </c>
      <c r="Z789" s="87"/>
      <c r="AA789" s="87" t="s">
        <v>22</v>
      </c>
    </row>
    <row r="790" spans="1:28" ht="63.75" customHeight="1" x14ac:dyDescent="0.35">
      <c r="A790" s="85">
        <v>6370</v>
      </c>
      <c r="B790" s="86">
        <v>2019</v>
      </c>
      <c r="C790" s="87" t="s">
        <v>35</v>
      </c>
      <c r="D790" s="87" t="s">
        <v>130</v>
      </c>
      <c r="E790" s="87" t="s">
        <v>26</v>
      </c>
      <c r="F790" s="87" t="s">
        <v>25</v>
      </c>
      <c r="G790" s="88">
        <v>1</v>
      </c>
      <c r="H790" s="99" t="s">
        <v>367</v>
      </c>
      <c r="I790" s="87" t="s">
        <v>235</v>
      </c>
      <c r="J790" s="85"/>
      <c r="K790" s="85"/>
      <c r="L790" s="85"/>
      <c r="M790" s="85"/>
      <c r="N790" s="59"/>
      <c r="O790" s="59"/>
      <c r="P790" s="59"/>
      <c r="Q790" s="59"/>
      <c r="R790" s="59"/>
      <c r="S790" s="59"/>
      <c r="T790" s="92"/>
      <c r="U790" s="85">
        <v>8</v>
      </c>
      <c r="V790" s="85"/>
      <c r="W790" s="83">
        <f t="shared" ca="1" si="36"/>
        <v>10</v>
      </c>
      <c r="X790" s="64" t="str">
        <f t="shared" ca="1" si="37"/>
        <v>1</v>
      </c>
      <c r="Y790" s="82" t="str">
        <f t="shared" ca="1" si="38"/>
        <v>1</v>
      </c>
      <c r="Z790" s="87"/>
      <c r="AA790" s="87" t="s">
        <v>22</v>
      </c>
    </row>
    <row r="791" spans="1:28" ht="50" x14ac:dyDescent="0.35">
      <c r="A791" s="85">
        <v>6370</v>
      </c>
      <c r="B791" s="86">
        <v>2019</v>
      </c>
      <c r="C791" s="87" t="s">
        <v>35</v>
      </c>
      <c r="D791" s="87" t="s">
        <v>130</v>
      </c>
      <c r="E791" s="87" t="s">
        <v>26</v>
      </c>
      <c r="F791" s="87" t="s">
        <v>25</v>
      </c>
      <c r="G791" s="88">
        <v>1</v>
      </c>
      <c r="H791" s="99" t="s">
        <v>367</v>
      </c>
      <c r="I791" s="87" t="s">
        <v>250</v>
      </c>
      <c r="J791" s="85"/>
      <c r="K791" s="85"/>
      <c r="L791" s="85"/>
      <c r="M791" s="85"/>
      <c r="N791" s="59"/>
      <c r="O791" s="59"/>
      <c r="P791" s="59"/>
      <c r="Q791" s="59"/>
      <c r="R791" s="59">
        <v>6</v>
      </c>
      <c r="S791" s="59">
        <v>6</v>
      </c>
      <c r="T791" s="92"/>
      <c r="U791" s="85"/>
      <c r="V791" s="85">
        <v>34</v>
      </c>
      <c r="W791" s="83">
        <f t="shared" ca="1" si="36"/>
        <v>10</v>
      </c>
      <c r="X791" s="64" t="str">
        <f t="shared" ca="1" si="37"/>
        <v>1</v>
      </c>
      <c r="Y791" s="82" t="str">
        <f t="shared" ca="1" si="38"/>
        <v>1</v>
      </c>
      <c r="Z791" s="87"/>
      <c r="AA791" s="87" t="s">
        <v>22</v>
      </c>
    </row>
    <row r="792" spans="1:28" ht="37.5" x14ac:dyDescent="0.35">
      <c r="A792" s="85">
        <v>6370</v>
      </c>
      <c r="B792" s="86">
        <v>2019</v>
      </c>
      <c r="C792" s="87" t="s">
        <v>35</v>
      </c>
      <c r="D792" s="87" t="s">
        <v>130</v>
      </c>
      <c r="E792" s="87" t="s">
        <v>26</v>
      </c>
      <c r="F792" s="87" t="s">
        <v>25</v>
      </c>
      <c r="G792" s="88">
        <v>1</v>
      </c>
      <c r="H792" s="99" t="s">
        <v>367</v>
      </c>
      <c r="I792" s="87" t="s">
        <v>372</v>
      </c>
      <c r="J792" s="85"/>
      <c r="K792" s="85"/>
      <c r="L792" s="85"/>
      <c r="M792" s="85"/>
      <c r="N792" s="59"/>
      <c r="O792" s="59"/>
      <c r="P792" s="59"/>
      <c r="Q792" s="59"/>
      <c r="R792" s="59"/>
      <c r="S792" s="59"/>
      <c r="T792" s="92"/>
      <c r="U792" s="85">
        <v>8</v>
      </c>
      <c r="V792" s="85"/>
      <c r="W792" s="83">
        <f t="shared" ca="1" si="36"/>
        <v>10</v>
      </c>
      <c r="X792" s="64" t="str">
        <f t="shared" ca="1" si="37"/>
        <v>1</v>
      </c>
      <c r="Y792" s="82" t="str">
        <f t="shared" ca="1" si="38"/>
        <v>1</v>
      </c>
      <c r="Z792" s="87"/>
      <c r="AA792" s="87" t="s">
        <v>61</v>
      </c>
    </row>
    <row r="793" spans="1:28" ht="37.5" x14ac:dyDescent="0.35">
      <c r="A793" s="85">
        <v>6370</v>
      </c>
      <c r="B793" s="86">
        <v>2019</v>
      </c>
      <c r="C793" s="87" t="s">
        <v>35</v>
      </c>
      <c r="D793" s="87" t="s">
        <v>130</v>
      </c>
      <c r="E793" s="87" t="s">
        <v>26</v>
      </c>
      <c r="F793" s="87" t="s">
        <v>25</v>
      </c>
      <c r="G793" s="88">
        <v>1</v>
      </c>
      <c r="H793" s="99" t="s">
        <v>367</v>
      </c>
      <c r="I793" s="87" t="s">
        <v>373</v>
      </c>
      <c r="J793" s="85"/>
      <c r="K793" s="85"/>
      <c r="L793" s="85"/>
      <c r="M793" s="85"/>
      <c r="N793" s="59"/>
      <c r="O793" s="59"/>
      <c r="P793" s="59"/>
      <c r="Q793" s="59"/>
      <c r="R793" s="59"/>
      <c r="S793" s="59"/>
      <c r="T793" s="92"/>
      <c r="U793" s="85">
        <v>8</v>
      </c>
      <c r="V793" s="85"/>
      <c r="W793" s="83">
        <f t="shared" ca="1" si="36"/>
        <v>10</v>
      </c>
      <c r="X793" s="64" t="str">
        <f t="shared" ca="1" si="37"/>
        <v>1</v>
      </c>
      <c r="Y793" s="82" t="str">
        <f t="shared" ca="1" si="38"/>
        <v>1</v>
      </c>
      <c r="Z793" s="87"/>
      <c r="AA793" s="87" t="s">
        <v>22</v>
      </c>
    </row>
    <row r="794" spans="1:28" ht="37.5" x14ac:dyDescent="0.35">
      <c r="A794" s="85">
        <v>6370</v>
      </c>
      <c r="B794" s="86">
        <v>2019</v>
      </c>
      <c r="C794" s="87" t="s">
        <v>35</v>
      </c>
      <c r="D794" s="87" t="s">
        <v>130</v>
      </c>
      <c r="E794" s="87" t="s">
        <v>26</v>
      </c>
      <c r="F794" s="87" t="s">
        <v>25</v>
      </c>
      <c r="G794" s="88">
        <v>1</v>
      </c>
      <c r="H794" s="99" t="s">
        <v>367</v>
      </c>
      <c r="I794" s="87" t="s">
        <v>373</v>
      </c>
      <c r="J794" s="85"/>
      <c r="K794" s="85"/>
      <c r="L794" s="85"/>
      <c r="M794" s="85"/>
      <c r="N794" s="59"/>
      <c r="O794" s="59"/>
      <c r="P794" s="90"/>
      <c r="Q794" s="59"/>
      <c r="R794" s="59"/>
      <c r="S794" s="59"/>
      <c r="T794" s="92"/>
      <c r="U794" s="85"/>
      <c r="V794" s="85"/>
      <c r="W794" s="83">
        <f t="shared" ca="1" si="36"/>
        <v>10</v>
      </c>
      <c r="X794" s="64" t="str">
        <f t="shared" ca="1" si="37"/>
        <v>1</v>
      </c>
      <c r="Y794" s="82" t="str">
        <f t="shared" ca="1" si="38"/>
        <v>1</v>
      </c>
      <c r="Z794" s="87"/>
      <c r="AA794" s="87" t="s">
        <v>22</v>
      </c>
    </row>
    <row r="795" spans="1:28" ht="37.5" x14ac:dyDescent="0.35">
      <c r="A795" s="85">
        <v>6370</v>
      </c>
      <c r="B795" s="57">
        <v>2019</v>
      </c>
      <c r="C795" s="87" t="s">
        <v>35</v>
      </c>
      <c r="D795" s="87" t="s">
        <v>130</v>
      </c>
      <c r="E795" s="87" t="s">
        <v>26</v>
      </c>
      <c r="F795" s="87" t="s">
        <v>25</v>
      </c>
      <c r="G795" s="88">
        <v>1</v>
      </c>
      <c r="H795" s="93" t="s">
        <v>367</v>
      </c>
      <c r="I795" s="87" t="s">
        <v>251</v>
      </c>
      <c r="J795" s="85"/>
      <c r="K795" s="85"/>
      <c r="L795" s="85"/>
      <c r="M795" s="91"/>
      <c r="N795" s="91"/>
      <c r="O795" s="91"/>
      <c r="P795" s="91"/>
      <c r="Q795" s="91"/>
      <c r="R795" s="91"/>
      <c r="S795" s="59"/>
      <c r="T795" s="89"/>
      <c r="U795" s="85">
        <v>4</v>
      </c>
      <c r="V795" s="85"/>
      <c r="W795" s="83">
        <f t="shared" ca="1" si="36"/>
        <v>10</v>
      </c>
      <c r="X795" s="64" t="str">
        <f t="shared" ca="1" si="37"/>
        <v>1</v>
      </c>
      <c r="Y795" s="82" t="str">
        <f t="shared" ca="1" si="38"/>
        <v>1</v>
      </c>
      <c r="Z795" s="87"/>
      <c r="AA795" s="87"/>
    </row>
    <row r="796" spans="1:28" s="6" customFormat="1" ht="37.5" x14ac:dyDescent="0.35">
      <c r="A796" s="85">
        <v>6370</v>
      </c>
      <c r="B796" s="86">
        <v>2019</v>
      </c>
      <c r="C796" s="87" t="s">
        <v>35</v>
      </c>
      <c r="D796" s="87" t="s">
        <v>381</v>
      </c>
      <c r="E796" s="87" t="s">
        <v>26</v>
      </c>
      <c r="F796" s="87" t="s">
        <v>23</v>
      </c>
      <c r="G796" s="88">
        <v>0.75</v>
      </c>
      <c r="H796" s="85" t="s">
        <v>367</v>
      </c>
      <c r="I796" s="87" t="s">
        <v>258</v>
      </c>
      <c r="J796" s="85">
        <v>4</v>
      </c>
      <c r="K796" s="85">
        <v>14</v>
      </c>
      <c r="L796" s="85"/>
      <c r="M796" s="85">
        <v>1</v>
      </c>
      <c r="N796" s="85"/>
      <c r="O796" s="85"/>
      <c r="P796" s="59">
        <v>1</v>
      </c>
      <c r="Q796" s="59"/>
      <c r="R796" s="59"/>
      <c r="S796" s="59"/>
      <c r="T796" s="89"/>
      <c r="U796" s="85"/>
      <c r="V796" s="85"/>
      <c r="W796" s="83">
        <f t="shared" ca="1" si="36"/>
        <v>10</v>
      </c>
      <c r="X796" s="64" t="str">
        <f t="shared" ca="1" si="37"/>
        <v>1</v>
      </c>
      <c r="Y796" s="82" t="str">
        <f t="shared" ca="1" si="38"/>
        <v>1</v>
      </c>
      <c r="Z796" s="87"/>
      <c r="AA796" s="87" t="s">
        <v>22</v>
      </c>
      <c r="AB796"/>
    </row>
    <row r="797" spans="1:28" s="6" customFormat="1" ht="37.5" x14ac:dyDescent="0.35">
      <c r="A797" s="85">
        <v>6370</v>
      </c>
      <c r="B797" s="86">
        <v>2019</v>
      </c>
      <c r="C797" s="87" t="s">
        <v>35</v>
      </c>
      <c r="D797" s="87" t="s">
        <v>93</v>
      </c>
      <c r="E797" s="87" t="s">
        <v>28</v>
      </c>
      <c r="F797" s="87" t="s">
        <v>23</v>
      </c>
      <c r="G797" s="88">
        <v>0.75</v>
      </c>
      <c r="H797" s="85" t="s">
        <v>367</v>
      </c>
      <c r="I797" s="87" t="s">
        <v>259</v>
      </c>
      <c r="J797" s="85"/>
      <c r="K797" s="85">
        <v>9</v>
      </c>
      <c r="L797" s="85"/>
      <c r="M797" s="85">
        <v>1</v>
      </c>
      <c r="N797" s="85"/>
      <c r="O797" s="85"/>
      <c r="P797" s="59">
        <v>1</v>
      </c>
      <c r="Q797" s="59"/>
      <c r="R797" s="59"/>
      <c r="S797" s="59"/>
      <c r="T797" s="89"/>
      <c r="U797" s="85"/>
      <c r="V797" s="85"/>
      <c r="W797" s="83">
        <f t="shared" ca="1" si="36"/>
        <v>10</v>
      </c>
      <c r="X797" s="64" t="str">
        <f t="shared" ca="1" si="37"/>
        <v>1</v>
      </c>
      <c r="Y797" s="82" t="str">
        <f t="shared" ca="1" si="38"/>
        <v>1</v>
      </c>
      <c r="Z797" s="87"/>
      <c r="AA797" s="87" t="s">
        <v>61</v>
      </c>
      <c r="AB797"/>
    </row>
    <row r="798" spans="1:28" s="6" customFormat="1" ht="37.5" x14ac:dyDescent="0.35">
      <c r="A798" s="85">
        <v>6370</v>
      </c>
      <c r="B798" s="86">
        <v>2019</v>
      </c>
      <c r="C798" s="87" t="s">
        <v>35</v>
      </c>
      <c r="D798" s="87" t="s">
        <v>70</v>
      </c>
      <c r="E798" s="87" t="s">
        <v>28</v>
      </c>
      <c r="F798" s="87" t="s">
        <v>23</v>
      </c>
      <c r="G798" s="88">
        <v>0.75</v>
      </c>
      <c r="H798" s="85" t="s">
        <v>367</v>
      </c>
      <c r="I798" s="87" t="s">
        <v>235</v>
      </c>
      <c r="J798" s="85"/>
      <c r="K798" s="85"/>
      <c r="L798" s="85"/>
      <c r="M798" s="85"/>
      <c r="N798" s="85"/>
      <c r="O798" s="85"/>
      <c r="P798" s="59"/>
      <c r="Q798" s="59"/>
      <c r="R798" s="59"/>
      <c r="S798" s="59"/>
      <c r="T798" s="89"/>
      <c r="U798" s="85">
        <v>4</v>
      </c>
      <c r="V798" s="85"/>
      <c r="W798" s="83">
        <f t="shared" ca="1" si="36"/>
        <v>10</v>
      </c>
      <c r="X798" s="64" t="str">
        <f t="shared" ca="1" si="37"/>
        <v>1</v>
      </c>
      <c r="Y798" s="82" t="str">
        <f t="shared" ca="1" si="38"/>
        <v>1</v>
      </c>
      <c r="Z798" s="87"/>
      <c r="AA798" s="87" t="s">
        <v>61</v>
      </c>
      <c r="AB798"/>
    </row>
    <row r="799" spans="1:28" s="6" customFormat="1" ht="50" x14ac:dyDescent="0.35">
      <c r="A799" s="85">
        <v>6370</v>
      </c>
      <c r="B799" s="86">
        <v>2019</v>
      </c>
      <c r="C799" s="87" t="s">
        <v>35</v>
      </c>
      <c r="D799" s="87" t="s">
        <v>93</v>
      </c>
      <c r="E799" s="87" t="s">
        <v>28</v>
      </c>
      <c r="F799" s="87" t="s">
        <v>23</v>
      </c>
      <c r="G799" s="88">
        <v>0.75</v>
      </c>
      <c r="H799" s="85" t="s">
        <v>367</v>
      </c>
      <c r="I799" s="87" t="s">
        <v>250</v>
      </c>
      <c r="J799" s="85"/>
      <c r="K799" s="85"/>
      <c r="L799" s="85"/>
      <c r="M799" s="85"/>
      <c r="N799" s="85"/>
      <c r="O799" s="85"/>
      <c r="P799" s="59"/>
      <c r="Q799" s="59"/>
      <c r="R799" s="59"/>
      <c r="S799" s="59"/>
      <c r="T799" s="89"/>
      <c r="U799" s="85"/>
      <c r="V799" s="85">
        <v>44</v>
      </c>
      <c r="W799" s="83">
        <f t="shared" ca="1" si="36"/>
        <v>10</v>
      </c>
      <c r="X799" s="64" t="str">
        <f t="shared" ca="1" si="37"/>
        <v>1</v>
      </c>
      <c r="Y799" s="82" t="str">
        <f t="shared" ca="1" si="38"/>
        <v>1</v>
      </c>
      <c r="Z799" s="87"/>
      <c r="AA799" s="87" t="s">
        <v>22</v>
      </c>
      <c r="AB799"/>
    </row>
    <row r="800" spans="1:28" s="6" customFormat="1" ht="37.5" x14ac:dyDescent="0.35">
      <c r="A800" s="85">
        <v>6370</v>
      </c>
      <c r="B800" s="86">
        <v>2019</v>
      </c>
      <c r="C800" s="87" t="s">
        <v>35</v>
      </c>
      <c r="D800" s="87" t="s">
        <v>70</v>
      </c>
      <c r="E800" s="87" t="s">
        <v>28</v>
      </c>
      <c r="F800" s="87" t="s">
        <v>23</v>
      </c>
      <c r="G800" s="88">
        <v>0.75</v>
      </c>
      <c r="H800" s="85" t="s">
        <v>367</v>
      </c>
      <c r="I800" s="87" t="s">
        <v>372</v>
      </c>
      <c r="J800" s="85"/>
      <c r="K800" s="85"/>
      <c r="L800" s="85"/>
      <c r="M800" s="85"/>
      <c r="N800" s="85"/>
      <c r="O800" s="85"/>
      <c r="P800" s="59"/>
      <c r="Q800" s="59"/>
      <c r="R800" s="59"/>
      <c r="S800" s="59"/>
      <c r="T800" s="89"/>
      <c r="U800" s="85">
        <v>4</v>
      </c>
      <c r="V800" s="85"/>
      <c r="W800" s="83">
        <f t="shared" ca="1" si="36"/>
        <v>10</v>
      </c>
      <c r="X800" s="64" t="str">
        <f t="shared" ca="1" si="37"/>
        <v>1</v>
      </c>
      <c r="Y800" s="82" t="str">
        <f t="shared" ca="1" si="38"/>
        <v>1</v>
      </c>
      <c r="Z800" s="87"/>
      <c r="AA800" s="87" t="s">
        <v>22</v>
      </c>
      <c r="AB800"/>
    </row>
    <row r="801" spans="1:28" s="6" customFormat="1" ht="37.5" x14ac:dyDescent="0.35">
      <c r="A801" s="85">
        <v>6370</v>
      </c>
      <c r="B801" s="86">
        <v>2019</v>
      </c>
      <c r="C801" s="87" t="s">
        <v>35</v>
      </c>
      <c r="D801" s="87" t="s">
        <v>70</v>
      </c>
      <c r="E801" s="87" t="s">
        <v>28</v>
      </c>
      <c r="F801" s="87" t="s">
        <v>23</v>
      </c>
      <c r="G801" s="88">
        <v>0.75</v>
      </c>
      <c r="H801" s="85" t="s">
        <v>367</v>
      </c>
      <c r="I801" s="87" t="s">
        <v>373</v>
      </c>
      <c r="J801" s="85"/>
      <c r="K801" s="85"/>
      <c r="L801" s="85"/>
      <c r="M801" s="85"/>
      <c r="N801" s="85"/>
      <c r="O801" s="85"/>
      <c r="P801" s="59"/>
      <c r="Q801" s="59"/>
      <c r="R801" s="59"/>
      <c r="S801" s="59"/>
      <c r="T801" s="89"/>
      <c r="U801" s="85">
        <v>4</v>
      </c>
      <c r="V801" s="85"/>
      <c r="W801" s="83">
        <f t="shared" ca="1" si="36"/>
        <v>10</v>
      </c>
      <c r="X801" s="64" t="str">
        <f t="shared" ca="1" si="37"/>
        <v>1</v>
      </c>
      <c r="Y801" s="82" t="str">
        <f t="shared" ca="1" si="38"/>
        <v>1</v>
      </c>
      <c r="Z801" s="87"/>
      <c r="AA801" s="87" t="s">
        <v>61</v>
      </c>
      <c r="AB801"/>
    </row>
    <row r="802" spans="1:28" s="6" customFormat="1" ht="37.5" x14ac:dyDescent="0.35">
      <c r="A802" s="85">
        <v>6370</v>
      </c>
      <c r="B802" s="86">
        <v>2019</v>
      </c>
      <c r="C802" s="87" t="s">
        <v>35</v>
      </c>
      <c r="D802" s="87" t="s">
        <v>70</v>
      </c>
      <c r="E802" s="87" t="s">
        <v>28</v>
      </c>
      <c r="F802" s="87" t="s">
        <v>23</v>
      </c>
      <c r="G802" s="88">
        <v>0.75</v>
      </c>
      <c r="H802" s="85" t="s">
        <v>367</v>
      </c>
      <c r="I802" s="87" t="s">
        <v>251</v>
      </c>
      <c r="J802" s="85"/>
      <c r="K802" s="85"/>
      <c r="L802" s="85"/>
      <c r="M802" s="85"/>
      <c r="N802" s="85"/>
      <c r="O802" s="85"/>
      <c r="P802" s="59"/>
      <c r="Q802" s="59"/>
      <c r="R802" s="59"/>
      <c r="S802" s="59"/>
      <c r="T802" s="89"/>
      <c r="U802" s="85">
        <v>2</v>
      </c>
      <c r="V802" s="85"/>
      <c r="W802" s="83">
        <f t="shared" ca="1" si="36"/>
        <v>10</v>
      </c>
      <c r="X802" s="64" t="str">
        <f t="shared" ca="1" si="37"/>
        <v>1</v>
      </c>
      <c r="Y802" s="82" t="str">
        <f t="shared" ca="1" si="38"/>
        <v>1</v>
      </c>
      <c r="Z802" s="87"/>
      <c r="AA802" s="87" t="s">
        <v>61</v>
      </c>
      <c r="AB802"/>
    </row>
    <row r="803" spans="1:28" s="6" customFormat="1" ht="37.5" x14ac:dyDescent="0.35">
      <c r="A803" s="85">
        <v>6370</v>
      </c>
      <c r="B803" s="86">
        <v>2019</v>
      </c>
      <c r="C803" s="87" t="s">
        <v>35</v>
      </c>
      <c r="D803" s="87" t="s">
        <v>135</v>
      </c>
      <c r="E803" s="87" t="s">
        <v>20</v>
      </c>
      <c r="F803" s="87" t="s">
        <v>82</v>
      </c>
      <c r="G803" s="88">
        <v>1</v>
      </c>
      <c r="H803" s="85" t="s">
        <v>367</v>
      </c>
      <c r="I803" s="87" t="s">
        <v>256</v>
      </c>
      <c r="J803" s="85"/>
      <c r="K803" s="85">
        <v>20</v>
      </c>
      <c r="L803" s="85"/>
      <c r="M803" s="85">
        <v>1</v>
      </c>
      <c r="N803" s="85"/>
      <c r="O803" s="85"/>
      <c r="P803" s="59"/>
      <c r="Q803" s="59"/>
      <c r="R803" s="59"/>
      <c r="S803" s="59"/>
      <c r="T803" s="89"/>
      <c r="U803" s="85"/>
      <c r="V803" s="85"/>
      <c r="W803" s="83">
        <f t="shared" ca="1" si="36"/>
        <v>10</v>
      </c>
      <c r="X803" s="64" t="str">
        <f t="shared" ca="1" si="37"/>
        <v>1</v>
      </c>
      <c r="Y803" s="82" t="str">
        <f t="shared" ca="1" si="38"/>
        <v>1</v>
      </c>
      <c r="Z803" s="87"/>
      <c r="AA803" s="87" t="s">
        <v>61</v>
      </c>
      <c r="AB803"/>
    </row>
    <row r="804" spans="1:28" s="6" customFormat="1" ht="37.5" x14ac:dyDescent="0.35">
      <c r="A804" s="85">
        <v>6370</v>
      </c>
      <c r="B804" s="86">
        <v>2019</v>
      </c>
      <c r="C804" s="87" t="s">
        <v>35</v>
      </c>
      <c r="D804" s="87" t="s">
        <v>135</v>
      </c>
      <c r="E804" s="87" t="s">
        <v>20</v>
      </c>
      <c r="F804" s="87" t="s">
        <v>82</v>
      </c>
      <c r="G804" s="88">
        <v>1</v>
      </c>
      <c r="H804" s="85" t="s">
        <v>367</v>
      </c>
      <c r="I804" s="87" t="s">
        <v>260</v>
      </c>
      <c r="J804" s="85"/>
      <c r="K804" s="85">
        <v>9</v>
      </c>
      <c r="L804" s="85"/>
      <c r="M804" s="85">
        <v>1</v>
      </c>
      <c r="N804" s="85"/>
      <c r="O804" s="85">
        <v>1</v>
      </c>
      <c r="P804" s="59"/>
      <c r="Q804" s="59"/>
      <c r="R804" s="59"/>
      <c r="S804" s="59"/>
      <c r="T804" s="89"/>
      <c r="U804" s="85"/>
      <c r="V804" s="85"/>
      <c r="W804" s="83">
        <f t="shared" ca="1" si="36"/>
        <v>10</v>
      </c>
      <c r="X804" s="64" t="str">
        <f t="shared" ca="1" si="37"/>
        <v>1</v>
      </c>
      <c r="Y804" s="82" t="str">
        <f t="shared" ca="1" si="38"/>
        <v>1</v>
      </c>
      <c r="Z804" s="87"/>
      <c r="AA804" s="87" t="s">
        <v>22</v>
      </c>
      <c r="AB804"/>
    </row>
    <row r="805" spans="1:28" s="6" customFormat="1" ht="37.5" x14ac:dyDescent="0.35">
      <c r="A805" s="85">
        <v>6370</v>
      </c>
      <c r="B805" s="86">
        <v>2019</v>
      </c>
      <c r="C805" s="87" t="s">
        <v>35</v>
      </c>
      <c r="D805" s="87" t="s">
        <v>135</v>
      </c>
      <c r="E805" s="87" t="s">
        <v>20</v>
      </c>
      <c r="F805" s="87" t="s">
        <v>82</v>
      </c>
      <c r="G805" s="88">
        <v>1</v>
      </c>
      <c r="H805" s="85" t="s">
        <v>367</v>
      </c>
      <c r="I805" s="87" t="s">
        <v>255</v>
      </c>
      <c r="J805" s="85"/>
      <c r="K805" s="85">
        <v>14</v>
      </c>
      <c r="L805" s="85"/>
      <c r="M805" s="85">
        <v>1</v>
      </c>
      <c r="N805" s="85"/>
      <c r="O805" s="85"/>
      <c r="P805" s="59"/>
      <c r="Q805" s="59"/>
      <c r="R805" s="59"/>
      <c r="S805" s="59"/>
      <c r="T805" s="89"/>
      <c r="U805" s="85"/>
      <c r="V805" s="85"/>
      <c r="W805" s="83">
        <f t="shared" ca="1" si="36"/>
        <v>10</v>
      </c>
      <c r="X805" s="64" t="str">
        <f t="shared" ca="1" si="37"/>
        <v>1</v>
      </c>
      <c r="Y805" s="82" t="str">
        <f t="shared" ca="1" si="38"/>
        <v>1</v>
      </c>
      <c r="Z805" s="87"/>
      <c r="AA805" s="87" t="s">
        <v>22</v>
      </c>
      <c r="AB805"/>
    </row>
    <row r="806" spans="1:28" s="6" customFormat="1" ht="37.5" x14ac:dyDescent="0.35">
      <c r="A806" s="85">
        <v>6370</v>
      </c>
      <c r="B806" s="86">
        <v>2019</v>
      </c>
      <c r="C806" s="87" t="s">
        <v>35</v>
      </c>
      <c r="D806" s="87" t="s">
        <v>382</v>
      </c>
      <c r="E806" s="87" t="s">
        <v>78</v>
      </c>
      <c r="F806" s="87" t="s">
        <v>374</v>
      </c>
      <c r="G806" s="88">
        <v>1</v>
      </c>
      <c r="H806" s="85" t="s">
        <v>367</v>
      </c>
      <c r="I806" s="87" t="s">
        <v>235</v>
      </c>
      <c r="J806" s="85"/>
      <c r="K806" s="85"/>
      <c r="L806" s="85"/>
      <c r="M806" s="85"/>
      <c r="N806" s="85"/>
      <c r="O806" s="85"/>
      <c r="P806" s="59"/>
      <c r="Q806" s="59"/>
      <c r="R806" s="59"/>
      <c r="S806" s="59"/>
      <c r="T806" s="89"/>
      <c r="U806" s="85">
        <v>35</v>
      </c>
      <c r="V806" s="85"/>
      <c r="W806" s="83">
        <f t="shared" ca="1" si="36"/>
        <v>10</v>
      </c>
      <c r="X806" s="64" t="str">
        <f t="shared" ca="1" si="37"/>
        <v>1</v>
      </c>
      <c r="Y806" s="82" t="str">
        <f t="shared" ca="1" si="38"/>
        <v>1</v>
      </c>
      <c r="Z806" s="87"/>
      <c r="AA806" s="87" t="s">
        <v>22</v>
      </c>
      <c r="AB806"/>
    </row>
    <row r="807" spans="1:28" s="6" customFormat="1" ht="37.5" x14ac:dyDescent="0.35">
      <c r="A807" s="85">
        <v>6370</v>
      </c>
      <c r="B807" s="86">
        <v>2019</v>
      </c>
      <c r="C807" s="87" t="s">
        <v>35</v>
      </c>
      <c r="D807" s="87" t="s">
        <v>190</v>
      </c>
      <c r="E807" s="87" t="s">
        <v>26</v>
      </c>
      <c r="F807" s="87" t="s">
        <v>25</v>
      </c>
      <c r="G807" s="88">
        <v>0.75</v>
      </c>
      <c r="H807" s="85" t="s">
        <v>367</v>
      </c>
      <c r="I807" s="87" t="s">
        <v>235</v>
      </c>
      <c r="J807" s="85"/>
      <c r="K807" s="85"/>
      <c r="L807" s="85"/>
      <c r="M807" s="85"/>
      <c r="N807" s="85"/>
      <c r="O807" s="85"/>
      <c r="P807" s="59"/>
      <c r="Q807" s="59"/>
      <c r="R807" s="59"/>
      <c r="S807" s="59"/>
      <c r="T807" s="89"/>
      <c r="U807" s="85">
        <v>4</v>
      </c>
      <c r="V807" s="85"/>
      <c r="W807" s="83">
        <f t="shared" ca="1" si="36"/>
        <v>10</v>
      </c>
      <c r="X807" s="64" t="str">
        <f t="shared" ca="1" si="37"/>
        <v>1</v>
      </c>
      <c r="Y807" s="82" t="str">
        <f t="shared" ca="1" si="38"/>
        <v>1</v>
      </c>
      <c r="Z807" s="87"/>
      <c r="AA807" s="87" t="s">
        <v>22</v>
      </c>
      <c r="AB807"/>
    </row>
    <row r="808" spans="1:28" s="6" customFormat="1" ht="50" x14ac:dyDescent="0.35">
      <c r="A808" s="85">
        <v>6370</v>
      </c>
      <c r="B808" s="86">
        <v>2019</v>
      </c>
      <c r="C808" s="87" t="s">
        <v>35</v>
      </c>
      <c r="D808" s="87" t="s">
        <v>117</v>
      </c>
      <c r="E808" s="87" t="s">
        <v>33</v>
      </c>
      <c r="F808" s="87" t="s">
        <v>25</v>
      </c>
      <c r="G808" s="88">
        <v>0.75</v>
      </c>
      <c r="H808" s="85" t="s">
        <v>367</v>
      </c>
      <c r="I808" s="87" t="s">
        <v>250</v>
      </c>
      <c r="J808" s="85"/>
      <c r="K808" s="85"/>
      <c r="L808" s="85"/>
      <c r="M808" s="85"/>
      <c r="N808" s="85"/>
      <c r="O808" s="85"/>
      <c r="P808" s="59"/>
      <c r="Q808" s="59"/>
      <c r="R808" s="59"/>
      <c r="S808" s="59"/>
      <c r="T808" s="89"/>
      <c r="U808" s="85"/>
      <c r="V808" s="85">
        <v>44</v>
      </c>
      <c r="W808" s="83">
        <f t="shared" ca="1" si="36"/>
        <v>10</v>
      </c>
      <c r="X808" s="64" t="str">
        <f t="shared" ca="1" si="37"/>
        <v>1</v>
      </c>
      <c r="Y808" s="82" t="str">
        <f t="shared" ca="1" si="38"/>
        <v>1</v>
      </c>
      <c r="Z808" s="87"/>
      <c r="AA808" s="87" t="s">
        <v>61</v>
      </c>
      <c r="AB808"/>
    </row>
    <row r="809" spans="1:28" s="6" customFormat="1" ht="37.5" x14ac:dyDescent="0.35">
      <c r="A809" s="85">
        <v>6370</v>
      </c>
      <c r="B809" s="86">
        <v>2019</v>
      </c>
      <c r="C809" s="87" t="s">
        <v>35</v>
      </c>
      <c r="D809" s="87" t="s">
        <v>190</v>
      </c>
      <c r="E809" s="87" t="s">
        <v>26</v>
      </c>
      <c r="F809" s="87" t="s">
        <v>25</v>
      </c>
      <c r="G809" s="88">
        <v>0.75</v>
      </c>
      <c r="H809" s="85" t="s">
        <v>367</v>
      </c>
      <c r="I809" s="87" t="s">
        <v>372</v>
      </c>
      <c r="J809" s="85"/>
      <c r="K809" s="85"/>
      <c r="L809" s="85"/>
      <c r="M809" s="85"/>
      <c r="N809" s="85"/>
      <c r="O809" s="85"/>
      <c r="P809" s="59"/>
      <c r="Q809" s="59"/>
      <c r="R809" s="59"/>
      <c r="S809" s="59"/>
      <c r="T809" s="89"/>
      <c r="U809" s="85">
        <v>4</v>
      </c>
      <c r="V809" s="85"/>
      <c r="W809" s="83">
        <f t="shared" ca="1" si="36"/>
        <v>10</v>
      </c>
      <c r="X809" s="64" t="str">
        <f t="shared" ca="1" si="37"/>
        <v>1</v>
      </c>
      <c r="Y809" s="82" t="str">
        <f t="shared" ca="1" si="38"/>
        <v>1</v>
      </c>
      <c r="Z809" s="87"/>
      <c r="AA809" s="87" t="s">
        <v>22</v>
      </c>
      <c r="AB809"/>
    </row>
    <row r="810" spans="1:28" s="6" customFormat="1" ht="37.5" x14ac:dyDescent="0.35">
      <c r="A810" s="85">
        <v>6370</v>
      </c>
      <c r="B810" s="86">
        <v>2019</v>
      </c>
      <c r="C810" s="87" t="s">
        <v>35</v>
      </c>
      <c r="D810" s="87" t="s">
        <v>190</v>
      </c>
      <c r="E810" s="87" t="s">
        <v>26</v>
      </c>
      <c r="F810" s="87" t="s">
        <v>25</v>
      </c>
      <c r="G810" s="88">
        <v>0.75</v>
      </c>
      <c r="H810" s="85" t="s">
        <v>367</v>
      </c>
      <c r="I810" s="87" t="s">
        <v>373</v>
      </c>
      <c r="J810" s="85"/>
      <c r="K810" s="85"/>
      <c r="L810" s="85"/>
      <c r="M810" s="85"/>
      <c r="N810" s="85"/>
      <c r="O810" s="85"/>
      <c r="P810" s="59"/>
      <c r="Q810" s="59"/>
      <c r="R810" s="59"/>
      <c r="S810" s="59"/>
      <c r="T810" s="89"/>
      <c r="U810" s="85">
        <v>4</v>
      </c>
      <c r="V810" s="85"/>
      <c r="W810" s="83">
        <f t="shared" ca="1" si="36"/>
        <v>10</v>
      </c>
      <c r="X810" s="64" t="str">
        <f t="shared" ca="1" si="37"/>
        <v>1</v>
      </c>
      <c r="Y810" s="82" t="str">
        <f t="shared" ca="1" si="38"/>
        <v>1</v>
      </c>
      <c r="Z810" s="87"/>
      <c r="AA810" s="87" t="s">
        <v>61</v>
      </c>
      <c r="AB810"/>
    </row>
    <row r="811" spans="1:28" s="6" customFormat="1" ht="37.5" x14ac:dyDescent="0.35">
      <c r="A811" s="85">
        <v>6370</v>
      </c>
      <c r="B811" s="86">
        <v>2019</v>
      </c>
      <c r="C811" s="87" t="s">
        <v>35</v>
      </c>
      <c r="D811" s="87" t="s">
        <v>190</v>
      </c>
      <c r="E811" s="87" t="s">
        <v>26</v>
      </c>
      <c r="F811" s="87" t="s">
        <v>25</v>
      </c>
      <c r="G811" s="88">
        <v>0.75</v>
      </c>
      <c r="H811" s="85" t="s">
        <v>367</v>
      </c>
      <c r="I811" s="87" t="s">
        <v>251</v>
      </c>
      <c r="J811" s="85"/>
      <c r="K811" s="85"/>
      <c r="L811" s="85"/>
      <c r="M811" s="85"/>
      <c r="N811" s="85"/>
      <c r="O811" s="85"/>
      <c r="P811" s="59"/>
      <c r="Q811" s="59"/>
      <c r="R811" s="59"/>
      <c r="S811" s="59"/>
      <c r="T811" s="89"/>
      <c r="U811" s="85">
        <v>2</v>
      </c>
      <c r="V811" s="85"/>
      <c r="W811" s="83">
        <f t="shared" ca="1" si="36"/>
        <v>10</v>
      </c>
      <c r="X811" s="64" t="str">
        <f t="shared" ca="1" si="37"/>
        <v>1</v>
      </c>
      <c r="Y811" s="82" t="str">
        <f t="shared" ca="1" si="38"/>
        <v>1</v>
      </c>
      <c r="Z811" s="87"/>
      <c r="AA811" s="87" t="s">
        <v>22</v>
      </c>
      <c r="AB811"/>
    </row>
    <row r="812" spans="1:28" s="6" customFormat="1" ht="37.5" x14ac:dyDescent="0.35">
      <c r="A812" s="85">
        <v>6370</v>
      </c>
      <c r="B812" s="86">
        <v>2019</v>
      </c>
      <c r="C812" s="87" t="s">
        <v>35</v>
      </c>
      <c r="D812" s="87" t="s">
        <v>383</v>
      </c>
      <c r="E812" s="87" t="s">
        <v>26</v>
      </c>
      <c r="F812" s="87" t="s">
        <v>25</v>
      </c>
      <c r="G812" s="88">
        <v>1</v>
      </c>
      <c r="H812" s="85" t="s">
        <v>367</v>
      </c>
      <c r="I812" s="87" t="s">
        <v>261</v>
      </c>
      <c r="J812" s="85">
        <v>4</v>
      </c>
      <c r="K812" s="85">
        <v>14</v>
      </c>
      <c r="L812" s="85"/>
      <c r="M812" s="85">
        <v>1</v>
      </c>
      <c r="N812" s="85"/>
      <c r="O812" s="85"/>
      <c r="P812" s="59">
        <v>1</v>
      </c>
      <c r="Q812" s="59"/>
      <c r="R812" s="59"/>
      <c r="S812" s="59"/>
      <c r="T812" s="89"/>
      <c r="U812" s="85"/>
      <c r="V812" s="85"/>
      <c r="W812" s="83">
        <f t="shared" ca="1" si="36"/>
        <v>10</v>
      </c>
      <c r="X812" s="64" t="str">
        <f t="shared" ca="1" si="37"/>
        <v>1</v>
      </c>
      <c r="Y812" s="82" t="str">
        <f t="shared" ca="1" si="38"/>
        <v>1</v>
      </c>
      <c r="Z812" s="87"/>
      <c r="AA812" s="87" t="s">
        <v>22</v>
      </c>
      <c r="AB812"/>
    </row>
    <row r="813" spans="1:28" s="6" customFormat="1" ht="37.5" x14ac:dyDescent="0.35">
      <c r="A813" s="85">
        <v>5791</v>
      </c>
      <c r="B813" s="86">
        <v>2020</v>
      </c>
      <c r="C813" s="87" t="s">
        <v>38</v>
      </c>
      <c r="D813" s="87" t="s">
        <v>229</v>
      </c>
      <c r="E813" s="87" t="s">
        <v>95</v>
      </c>
      <c r="F813" s="87" t="s">
        <v>25</v>
      </c>
      <c r="G813" s="88">
        <v>1</v>
      </c>
      <c r="H813" s="85" t="s">
        <v>326</v>
      </c>
      <c r="I813" s="87" t="s">
        <v>334</v>
      </c>
      <c r="J813" s="85"/>
      <c r="K813" s="85"/>
      <c r="L813" s="85">
        <v>72</v>
      </c>
      <c r="M813" s="85">
        <v>1</v>
      </c>
      <c r="N813" s="85"/>
      <c r="O813" s="85"/>
      <c r="P813" s="59"/>
      <c r="Q813" s="59"/>
      <c r="R813" s="59"/>
      <c r="S813" s="59"/>
      <c r="T813" s="89"/>
      <c r="U813" s="85"/>
      <c r="V813" s="85"/>
      <c r="W813" s="83">
        <f t="shared" ca="1" si="36"/>
        <v>27</v>
      </c>
      <c r="X813" s="64" t="str">
        <f t="shared" ca="1" si="37"/>
        <v>1</v>
      </c>
      <c r="Y813" s="82" t="str">
        <f t="shared" ca="1" si="38"/>
        <v>2</v>
      </c>
      <c r="Z813" s="87"/>
      <c r="AA813" s="87" t="s">
        <v>61</v>
      </c>
      <c r="AB813"/>
    </row>
    <row r="814" spans="1:28" s="6" customFormat="1" ht="37.5" x14ac:dyDescent="0.35">
      <c r="A814" s="85">
        <v>6368</v>
      </c>
      <c r="B814" s="86">
        <v>2019</v>
      </c>
      <c r="C814" s="87" t="s">
        <v>35</v>
      </c>
      <c r="D814" s="87" t="s">
        <v>70</v>
      </c>
      <c r="E814" s="87" t="s">
        <v>28</v>
      </c>
      <c r="F814" s="87" t="s">
        <v>23</v>
      </c>
      <c r="G814" s="88">
        <v>1</v>
      </c>
      <c r="H814" s="85" t="s">
        <v>366</v>
      </c>
      <c r="I814" s="87" t="s">
        <v>210</v>
      </c>
      <c r="J814" s="85">
        <v>18</v>
      </c>
      <c r="K814" s="85"/>
      <c r="L814" s="85">
        <v>108</v>
      </c>
      <c r="M814" s="85">
        <v>1</v>
      </c>
      <c r="N814" s="85"/>
      <c r="O814" s="85"/>
      <c r="P814" s="59">
        <v>1</v>
      </c>
      <c r="Q814" s="59"/>
      <c r="R814" s="59"/>
      <c r="S814" s="59"/>
      <c r="T814" s="89"/>
      <c r="U814" s="85"/>
      <c r="V814" s="85"/>
      <c r="W814" s="83">
        <f t="shared" ca="1" si="36"/>
        <v>39</v>
      </c>
      <c r="X814" s="64" t="str">
        <f t="shared" ca="1" si="37"/>
        <v>2</v>
      </c>
      <c r="Y814" s="82" t="str">
        <f t="shared" ca="1" si="38"/>
        <v>3</v>
      </c>
      <c r="Z814" s="87"/>
      <c r="AA814" s="87" t="s">
        <v>22</v>
      </c>
      <c r="AB814"/>
    </row>
    <row r="815" spans="1:28" s="6" customFormat="1" ht="37.5" x14ac:dyDescent="0.35">
      <c r="A815" s="85">
        <v>6368</v>
      </c>
      <c r="B815" s="86">
        <v>2019</v>
      </c>
      <c r="C815" s="87" t="s">
        <v>35</v>
      </c>
      <c r="D815" s="87" t="s">
        <v>72</v>
      </c>
      <c r="E815" s="87" t="s">
        <v>26</v>
      </c>
      <c r="F815" s="87" t="s">
        <v>25</v>
      </c>
      <c r="G815" s="88">
        <v>1</v>
      </c>
      <c r="H815" s="85" t="s">
        <v>366</v>
      </c>
      <c r="I815" s="87" t="s">
        <v>205</v>
      </c>
      <c r="J815" s="85">
        <v>18</v>
      </c>
      <c r="K815" s="85"/>
      <c r="L815" s="85"/>
      <c r="M815" s="85"/>
      <c r="N815" s="85"/>
      <c r="O815" s="85"/>
      <c r="P815" s="59"/>
      <c r="Q815" s="59"/>
      <c r="R815" s="59"/>
      <c r="S815" s="59"/>
      <c r="T815" s="89"/>
      <c r="U815" s="85"/>
      <c r="V815" s="85"/>
      <c r="W815" s="83">
        <f t="shared" ca="1" si="36"/>
        <v>39</v>
      </c>
      <c r="X815" s="64" t="str">
        <f t="shared" ca="1" si="37"/>
        <v>2</v>
      </c>
      <c r="Y815" s="82" t="str">
        <f t="shared" ca="1" si="38"/>
        <v>3</v>
      </c>
      <c r="Z815" s="87"/>
      <c r="AA815" s="87" t="s">
        <v>22</v>
      </c>
      <c r="AB815"/>
    </row>
    <row r="816" spans="1:28" s="6" customFormat="1" ht="37.5" x14ac:dyDescent="0.35">
      <c r="A816" s="85">
        <v>6368</v>
      </c>
      <c r="B816" s="86">
        <v>2019</v>
      </c>
      <c r="C816" s="87" t="s">
        <v>35</v>
      </c>
      <c r="D816" s="87" t="s">
        <v>72</v>
      </c>
      <c r="E816" s="87" t="s">
        <v>26</v>
      </c>
      <c r="F816" s="87" t="s">
        <v>25</v>
      </c>
      <c r="G816" s="88">
        <v>1</v>
      </c>
      <c r="H816" s="85" t="s">
        <v>366</v>
      </c>
      <c r="I816" s="87" t="s">
        <v>125</v>
      </c>
      <c r="J816" s="85"/>
      <c r="K816" s="85"/>
      <c r="L816" s="85">
        <v>36</v>
      </c>
      <c r="M816" s="85"/>
      <c r="N816" s="85"/>
      <c r="O816" s="85"/>
      <c r="P816" s="59"/>
      <c r="Q816" s="59"/>
      <c r="R816" s="59"/>
      <c r="S816" s="59"/>
      <c r="T816" s="89"/>
      <c r="U816" s="85"/>
      <c r="V816" s="85"/>
      <c r="W816" s="83">
        <f t="shared" ca="1" si="36"/>
        <v>39</v>
      </c>
      <c r="X816" s="64" t="str">
        <f t="shared" ca="1" si="37"/>
        <v>2</v>
      </c>
      <c r="Y816" s="82" t="str">
        <f t="shared" ca="1" si="38"/>
        <v>3</v>
      </c>
      <c r="Z816" s="87"/>
      <c r="AA816" s="87" t="s">
        <v>22</v>
      </c>
      <c r="AB816"/>
    </row>
    <row r="817" spans="1:57" s="6" customFormat="1" ht="37.5" x14ac:dyDescent="0.35">
      <c r="A817" s="85">
        <v>6368</v>
      </c>
      <c r="B817" s="86">
        <v>2019</v>
      </c>
      <c r="C817" s="87" t="s">
        <v>35</v>
      </c>
      <c r="D817" s="87" t="s">
        <v>72</v>
      </c>
      <c r="E817" s="87" t="s">
        <v>26</v>
      </c>
      <c r="F817" s="87" t="s">
        <v>25</v>
      </c>
      <c r="G817" s="88">
        <v>1</v>
      </c>
      <c r="H817" s="85" t="s">
        <v>366</v>
      </c>
      <c r="I817" s="87" t="s">
        <v>125</v>
      </c>
      <c r="J817" s="85">
        <v>18</v>
      </c>
      <c r="K817" s="85"/>
      <c r="L817" s="85">
        <v>72</v>
      </c>
      <c r="M817" s="85">
        <v>1</v>
      </c>
      <c r="N817" s="85"/>
      <c r="O817" s="85"/>
      <c r="P817" s="59">
        <v>1</v>
      </c>
      <c r="Q817" s="59"/>
      <c r="R817" s="59"/>
      <c r="S817" s="59"/>
      <c r="T817" s="89"/>
      <c r="U817" s="85"/>
      <c r="V817" s="85"/>
      <c r="W817" s="83">
        <f t="shared" ca="1" si="36"/>
        <v>39</v>
      </c>
      <c r="X817" s="64" t="str">
        <f t="shared" ca="1" si="37"/>
        <v>2</v>
      </c>
      <c r="Y817" s="82" t="str">
        <f t="shared" ca="1" si="38"/>
        <v>3</v>
      </c>
      <c r="Z817" s="87"/>
      <c r="AA817" s="87" t="s">
        <v>22</v>
      </c>
      <c r="AB817"/>
    </row>
    <row r="818" spans="1:57" s="6" customFormat="1" ht="37.5" x14ac:dyDescent="0.35">
      <c r="A818" s="85">
        <v>6368</v>
      </c>
      <c r="B818" s="86">
        <v>2019</v>
      </c>
      <c r="C818" s="87" t="s">
        <v>35</v>
      </c>
      <c r="D818" s="87" t="s">
        <v>190</v>
      </c>
      <c r="E818" s="87" t="s">
        <v>26</v>
      </c>
      <c r="F818" s="87" t="s">
        <v>25</v>
      </c>
      <c r="G818" s="88">
        <v>1</v>
      </c>
      <c r="H818" s="85" t="s">
        <v>366</v>
      </c>
      <c r="I818" s="87" t="s">
        <v>211</v>
      </c>
      <c r="J818" s="85">
        <v>18</v>
      </c>
      <c r="K818" s="85"/>
      <c r="L818" s="85">
        <v>54</v>
      </c>
      <c r="M818" s="85">
        <v>1</v>
      </c>
      <c r="N818" s="85"/>
      <c r="O818" s="85">
        <v>1</v>
      </c>
      <c r="P818" s="59"/>
      <c r="Q818" s="59"/>
      <c r="R818" s="59"/>
      <c r="S818" s="59"/>
      <c r="T818" s="89"/>
      <c r="U818" s="85"/>
      <c r="V818" s="85"/>
      <c r="W818" s="83">
        <f t="shared" ca="1" si="36"/>
        <v>39</v>
      </c>
      <c r="X818" s="64" t="str">
        <f t="shared" ca="1" si="37"/>
        <v>2</v>
      </c>
      <c r="Y818" s="82" t="str">
        <f t="shared" ca="1" si="38"/>
        <v>3</v>
      </c>
      <c r="Z818" s="87"/>
      <c r="AA818" s="87" t="s">
        <v>22</v>
      </c>
      <c r="AB818"/>
    </row>
    <row r="819" spans="1:57" s="6" customFormat="1" ht="37.5" x14ac:dyDescent="0.35">
      <c r="A819" s="85">
        <v>6368</v>
      </c>
      <c r="B819" s="86">
        <v>2019</v>
      </c>
      <c r="C819" s="87" t="s">
        <v>35</v>
      </c>
      <c r="D819" s="87" t="s">
        <v>311</v>
      </c>
      <c r="E819" s="87" t="s">
        <v>63</v>
      </c>
      <c r="F819" s="87" t="s">
        <v>374</v>
      </c>
      <c r="G819" s="88">
        <v>1</v>
      </c>
      <c r="H819" s="85" t="s">
        <v>366</v>
      </c>
      <c r="I819" s="87" t="s">
        <v>129</v>
      </c>
      <c r="J819" s="85">
        <v>4</v>
      </c>
      <c r="K819" s="85"/>
      <c r="L819" s="85"/>
      <c r="M819" s="85"/>
      <c r="N819" s="85"/>
      <c r="O819" s="85"/>
      <c r="P819" s="59"/>
      <c r="Q819" s="59"/>
      <c r="R819" s="59"/>
      <c r="S819" s="59"/>
      <c r="T819" s="89"/>
      <c r="U819" s="85"/>
      <c r="V819" s="85"/>
      <c r="W819" s="83">
        <f t="shared" ca="1" si="36"/>
        <v>39</v>
      </c>
      <c r="X819" s="64" t="str">
        <f t="shared" ca="1" si="37"/>
        <v>2</v>
      </c>
      <c r="Y819" s="82" t="str">
        <f t="shared" ca="1" si="38"/>
        <v>3</v>
      </c>
      <c r="Z819" s="87"/>
      <c r="AA819" s="87" t="s">
        <v>22</v>
      </c>
      <c r="AB819"/>
    </row>
    <row r="820" spans="1:57" s="6" customFormat="1" ht="37.5" x14ac:dyDescent="0.35">
      <c r="A820" s="85">
        <v>6368</v>
      </c>
      <c r="B820" s="86">
        <v>2019</v>
      </c>
      <c r="C820" s="87" t="s">
        <v>35</v>
      </c>
      <c r="D820" s="87" t="s">
        <v>311</v>
      </c>
      <c r="E820" s="87" t="s">
        <v>63</v>
      </c>
      <c r="F820" s="87" t="s">
        <v>374</v>
      </c>
      <c r="G820" s="88">
        <v>1</v>
      </c>
      <c r="H820" s="85" t="s">
        <v>366</v>
      </c>
      <c r="I820" s="87" t="s">
        <v>128</v>
      </c>
      <c r="J820" s="85">
        <v>4</v>
      </c>
      <c r="K820" s="85"/>
      <c r="L820" s="85"/>
      <c r="M820" s="85"/>
      <c r="N820" s="85"/>
      <c r="O820" s="85"/>
      <c r="P820" s="59"/>
      <c r="Q820" s="59"/>
      <c r="R820" s="59"/>
      <c r="S820" s="59"/>
      <c r="T820" s="89"/>
      <c r="U820" s="85"/>
      <c r="V820" s="85"/>
      <c r="W820" s="83">
        <f t="shared" ca="1" si="36"/>
        <v>39</v>
      </c>
      <c r="X820" s="64" t="str">
        <f t="shared" ca="1" si="37"/>
        <v>2</v>
      </c>
      <c r="Y820" s="82" t="str">
        <f t="shared" ca="1" si="38"/>
        <v>3</v>
      </c>
      <c r="Z820" s="87"/>
      <c r="AA820" s="87" t="s">
        <v>22</v>
      </c>
      <c r="AB820"/>
    </row>
    <row r="821" spans="1:57" s="6" customFormat="1" ht="37.5" x14ac:dyDescent="0.35">
      <c r="A821" s="85">
        <v>6368</v>
      </c>
      <c r="B821" s="86">
        <v>2019</v>
      </c>
      <c r="C821" s="87" t="s">
        <v>35</v>
      </c>
      <c r="D821" s="87" t="s">
        <v>309</v>
      </c>
      <c r="E821" s="87" t="s">
        <v>20</v>
      </c>
      <c r="F821" s="87" t="s">
        <v>310</v>
      </c>
      <c r="G821" s="88">
        <v>1</v>
      </c>
      <c r="H821" s="85" t="s">
        <v>366</v>
      </c>
      <c r="I821" s="87" t="s">
        <v>212</v>
      </c>
      <c r="J821" s="85"/>
      <c r="K821" s="85"/>
      <c r="L821" s="85">
        <v>10</v>
      </c>
      <c r="M821" s="85"/>
      <c r="N821" s="85"/>
      <c r="O821" s="85"/>
      <c r="P821" s="59"/>
      <c r="Q821" s="59"/>
      <c r="R821" s="59"/>
      <c r="S821" s="59"/>
      <c r="T821" s="89"/>
      <c r="U821" s="85"/>
      <c r="V821" s="85"/>
      <c r="W821" s="83">
        <f t="shared" ca="1" si="36"/>
        <v>39</v>
      </c>
      <c r="X821" s="64" t="str">
        <f t="shared" ca="1" si="37"/>
        <v>2</v>
      </c>
      <c r="Y821" s="82" t="str">
        <f t="shared" ca="1" si="38"/>
        <v>3</v>
      </c>
      <c r="Z821" s="87"/>
      <c r="AA821" s="87" t="s">
        <v>61</v>
      </c>
      <c r="AB821"/>
    </row>
    <row r="822" spans="1:57" s="6" customFormat="1" ht="37.5" x14ac:dyDescent="0.35">
      <c r="A822" s="85">
        <v>6368</v>
      </c>
      <c r="B822" s="86">
        <v>2019</v>
      </c>
      <c r="C822" s="87" t="s">
        <v>35</v>
      </c>
      <c r="D822" s="87" t="s">
        <v>116</v>
      </c>
      <c r="E822" s="87" t="s">
        <v>28</v>
      </c>
      <c r="F822" s="87" t="s">
        <v>56</v>
      </c>
      <c r="G822" s="88">
        <v>1</v>
      </c>
      <c r="H822" s="85" t="s">
        <v>366</v>
      </c>
      <c r="I822" s="87" t="s">
        <v>212</v>
      </c>
      <c r="J822" s="85">
        <v>8</v>
      </c>
      <c r="K822" s="85"/>
      <c r="L822" s="85"/>
      <c r="M822" s="85">
        <v>1</v>
      </c>
      <c r="N822" s="85"/>
      <c r="O822" s="85"/>
      <c r="P822" s="92"/>
      <c r="Q822" s="59"/>
      <c r="R822" s="59"/>
      <c r="S822" s="59"/>
      <c r="T822" s="89"/>
      <c r="U822" s="85"/>
      <c r="V822" s="85"/>
      <c r="W822" s="83">
        <f t="shared" ca="1" si="36"/>
        <v>39</v>
      </c>
      <c r="X822" s="64" t="str">
        <f t="shared" ca="1" si="37"/>
        <v>2</v>
      </c>
      <c r="Y822" s="82" t="str">
        <f t="shared" ca="1" si="38"/>
        <v>3</v>
      </c>
      <c r="Z822" s="87"/>
      <c r="AA822" s="87" t="s">
        <v>22</v>
      </c>
      <c r="AB822"/>
    </row>
    <row r="823" spans="1:57" s="6" customFormat="1" ht="37.5" x14ac:dyDescent="0.35">
      <c r="A823" s="85">
        <v>6368</v>
      </c>
      <c r="B823" s="86">
        <v>2019</v>
      </c>
      <c r="C823" s="87" t="s">
        <v>35</v>
      </c>
      <c r="D823" s="87" t="s">
        <v>116</v>
      </c>
      <c r="E823" s="87" t="s">
        <v>28</v>
      </c>
      <c r="F823" s="87" t="s">
        <v>56</v>
      </c>
      <c r="G823" s="88">
        <v>1</v>
      </c>
      <c r="H823" s="85" t="s">
        <v>366</v>
      </c>
      <c r="I823" s="87" t="s">
        <v>127</v>
      </c>
      <c r="J823" s="85">
        <v>18</v>
      </c>
      <c r="K823" s="85"/>
      <c r="L823" s="85"/>
      <c r="M823" s="85">
        <v>1</v>
      </c>
      <c r="N823" s="85">
        <v>1</v>
      </c>
      <c r="O823" s="85"/>
      <c r="P823" s="59"/>
      <c r="Q823" s="59"/>
      <c r="R823" s="59"/>
      <c r="S823" s="59"/>
      <c r="T823" s="89"/>
      <c r="U823" s="85"/>
      <c r="V823" s="85"/>
      <c r="W823" s="83">
        <f t="shared" ca="1" si="36"/>
        <v>39</v>
      </c>
      <c r="X823" s="64" t="str">
        <f t="shared" ca="1" si="37"/>
        <v>2</v>
      </c>
      <c r="Y823" s="82" t="str">
        <f t="shared" ca="1" si="38"/>
        <v>3</v>
      </c>
      <c r="Z823" s="87"/>
      <c r="AA823" s="87" t="s">
        <v>22</v>
      </c>
      <c r="AB823"/>
    </row>
    <row r="824" spans="1:57" s="6" customFormat="1" ht="37.5" x14ac:dyDescent="0.35">
      <c r="A824" s="85">
        <v>6368</v>
      </c>
      <c r="B824" s="86">
        <v>2019</v>
      </c>
      <c r="C824" s="87" t="s">
        <v>35</v>
      </c>
      <c r="D824" s="87" t="s">
        <v>116</v>
      </c>
      <c r="E824" s="87" t="s">
        <v>28</v>
      </c>
      <c r="F824" s="87" t="s">
        <v>56</v>
      </c>
      <c r="G824" s="88">
        <v>1</v>
      </c>
      <c r="H824" s="85" t="s">
        <v>366</v>
      </c>
      <c r="I824" s="87" t="s">
        <v>128</v>
      </c>
      <c r="J824" s="85">
        <v>14</v>
      </c>
      <c r="K824" s="85"/>
      <c r="L824" s="85">
        <v>36</v>
      </c>
      <c r="M824" s="85">
        <v>1</v>
      </c>
      <c r="N824" s="85">
        <v>1</v>
      </c>
      <c r="O824" s="85"/>
      <c r="P824" s="59"/>
      <c r="Q824" s="59"/>
      <c r="R824" s="59"/>
      <c r="S824" s="59"/>
      <c r="T824" s="89"/>
      <c r="U824" s="85"/>
      <c r="V824" s="85"/>
      <c r="W824" s="83">
        <f t="shared" ca="1" si="36"/>
        <v>39</v>
      </c>
      <c r="X824" s="64" t="str">
        <f t="shared" ca="1" si="37"/>
        <v>2</v>
      </c>
      <c r="Y824" s="82" t="str">
        <f t="shared" ca="1" si="38"/>
        <v>3</v>
      </c>
      <c r="Z824" s="87"/>
      <c r="AA824" s="87" t="s">
        <v>22</v>
      </c>
      <c r="AB824"/>
    </row>
    <row r="825" spans="1:57" ht="37.5" x14ac:dyDescent="0.35">
      <c r="A825" s="85">
        <v>6368</v>
      </c>
      <c r="B825" s="86">
        <v>2019</v>
      </c>
      <c r="C825" s="87" t="s">
        <v>35</v>
      </c>
      <c r="D825" s="87" t="s">
        <v>116</v>
      </c>
      <c r="E825" s="87" t="s">
        <v>28</v>
      </c>
      <c r="F825" s="87" t="s">
        <v>56</v>
      </c>
      <c r="G825" s="88">
        <v>1</v>
      </c>
      <c r="H825" s="85" t="s">
        <v>366</v>
      </c>
      <c r="I825" s="87" t="s">
        <v>129</v>
      </c>
      <c r="J825" s="85"/>
      <c r="K825" s="85"/>
      <c r="L825" s="85">
        <v>81</v>
      </c>
      <c r="M825" s="91">
        <v>1</v>
      </c>
      <c r="N825" s="91">
        <v>1</v>
      </c>
      <c r="O825" s="91"/>
      <c r="P825" s="91"/>
      <c r="Q825" s="91">
        <v>38</v>
      </c>
      <c r="R825" s="91"/>
      <c r="S825" s="59"/>
      <c r="T825" s="89"/>
      <c r="U825" s="85"/>
      <c r="V825" s="85"/>
      <c r="W825" s="83">
        <f t="shared" ca="1" si="36"/>
        <v>39</v>
      </c>
      <c r="X825" s="64" t="str">
        <f t="shared" ca="1" si="37"/>
        <v>2</v>
      </c>
      <c r="Y825" s="82" t="str">
        <f t="shared" ca="1" si="38"/>
        <v>3</v>
      </c>
      <c r="Z825" s="87"/>
      <c r="AA825" s="87" t="s">
        <v>22</v>
      </c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</row>
    <row r="826" spans="1:57" ht="37.5" x14ac:dyDescent="0.35">
      <c r="A826" s="85">
        <v>6368</v>
      </c>
      <c r="B826" s="86">
        <v>2019</v>
      </c>
      <c r="C826" s="87" t="s">
        <v>35</v>
      </c>
      <c r="D826" s="87" t="s">
        <v>116</v>
      </c>
      <c r="E826" s="87" t="s">
        <v>28</v>
      </c>
      <c r="F826" s="87" t="s">
        <v>56</v>
      </c>
      <c r="G826" s="88">
        <v>1</v>
      </c>
      <c r="H826" s="85" t="s">
        <v>366</v>
      </c>
      <c r="I826" s="87" t="s">
        <v>129</v>
      </c>
      <c r="J826" s="85">
        <v>14</v>
      </c>
      <c r="K826" s="85"/>
      <c r="L826" s="85"/>
      <c r="M826" s="91"/>
      <c r="N826" s="91"/>
      <c r="O826" s="91"/>
      <c r="P826" s="91"/>
      <c r="Q826" s="91"/>
      <c r="R826" s="91"/>
      <c r="S826" s="59"/>
      <c r="T826" s="89"/>
      <c r="U826" s="85"/>
      <c r="V826" s="85"/>
      <c r="W826" s="83">
        <f t="shared" ca="1" si="36"/>
        <v>39</v>
      </c>
      <c r="X826" s="64" t="str">
        <f t="shared" ca="1" si="37"/>
        <v>2</v>
      </c>
      <c r="Y826" s="82" t="str">
        <f t="shared" ca="1" si="38"/>
        <v>3</v>
      </c>
      <c r="Z826" s="87"/>
      <c r="AA826" s="87" t="s">
        <v>22</v>
      </c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</row>
    <row r="827" spans="1:57" ht="37.5" x14ac:dyDescent="0.35">
      <c r="A827" s="85">
        <v>6368</v>
      </c>
      <c r="B827" s="86">
        <v>2019</v>
      </c>
      <c r="C827" s="87" t="s">
        <v>35</v>
      </c>
      <c r="D827" s="87" t="s">
        <v>36</v>
      </c>
      <c r="E827" s="87" t="s">
        <v>26</v>
      </c>
      <c r="F827" s="87" t="s">
        <v>25</v>
      </c>
      <c r="G827" s="88">
        <v>1</v>
      </c>
      <c r="H827" s="85" t="s">
        <v>366</v>
      </c>
      <c r="I827" s="87" t="s">
        <v>205</v>
      </c>
      <c r="J827" s="85">
        <v>18</v>
      </c>
      <c r="K827" s="85"/>
      <c r="L827" s="85"/>
      <c r="M827" s="91"/>
      <c r="N827" s="91"/>
      <c r="O827" s="91"/>
      <c r="P827" s="91"/>
      <c r="Q827" s="91"/>
      <c r="R827" s="91"/>
      <c r="S827" s="59"/>
      <c r="T827" s="89"/>
      <c r="U827" s="85"/>
      <c r="V827" s="85"/>
      <c r="W827" s="83">
        <f t="shared" ca="1" si="36"/>
        <v>39</v>
      </c>
      <c r="X827" s="64" t="str">
        <f t="shared" ca="1" si="37"/>
        <v>2</v>
      </c>
      <c r="Y827" s="82" t="str">
        <f t="shared" ca="1" si="38"/>
        <v>3</v>
      </c>
      <c r="Z827" s="87"/>
      <c r="AA827" s="87" t="s">
        <v>22</v>
      </c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</row>
    <row r="828" spans="1:57" ht="37.5" x14ac:dyDescent="0.35">
      <c r="A828" s="85">
        <v>6368</v>
      </c>
      <c r="B828" s="86">
        <v>2019</v>
      </c>
      <c r="C828" s="87" t="s">
        <v>35</v>
      </c>
      <c r="D828" s="87" t="s">
        <v>36</v>
      </c>
      <c r="E828" s="87" t="s">
        <v>26</v>
      </c>
      <c r="F828" s="87" t="s">
        <v>25</v>
      </c>
      <c r="G828" s="88">
        <v>1</v>
      </c>
      <c r="H828" s="85" t="s">
        <v>366</v>
      </c>
      <c r="I828" s="87" t="s">
        <v>127</v>
      </c>
      <c r="J828" s="85"/>
      <c r="K828" s="85"/>
      <c r="L828" s="85">
        <v>36</v>
      </c>
      <c r="M828" s="91"/>
      <c r="N828" s="91"/>
      <c r="O828" s="91"/>
      <c r="P828" s="91"/>
      <c r="Q828" s="91"/>
      <c r="R828" s="91"/>
      <c r="S828" s="59"/>
      <c r="T828" s="89"/>
      <c r="U828" s="85"/>
      <c r="V828" s="85"/>
      <c r="W828" s="83">
        <f t="shared" ca="1" si="36"/>
        <v>39</v>
      </c>
      <c r="X828" s="64" t="str">
        <f t="shared" ca="1" si="37"/>
        <v>2</v>
      </c>
      <c r="Y828" s="82" t="str">
        <f t="shared" ca="1" si="38"/>
        <v>3</v>
      </c>
      <c r="Z828" s="87"/>
      <c r="AA828" s="87" t="s">
        <v>22</v>
      </c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</row>
    <row r="829" spans="1:57" ht="37.5" x14ac:dyDescent="0.35">
      <c r="A829" s="85">
        <v>6368</v>
      </c>
      <c r="B829" s="86">
        <v>2019</v>
      </c>
      <c r="C829" s="87" t="s">
        <v>35</v>
      </c>
      <c r="D829" s="87" t="s">
        <v>36</v>
      </c>
      <c r="E829" s="87" t="s">
        <v>26</v>
      </c>
      <c r="F829" s="87" t="s">
        <v>25</v>
      </c>
      <c r="G829" s="88">
        <v>1</v>
      </c>
      <c r="H829" s="85" t="s">
        <v>366</v>
      </c>
      <c r="I829" s="87" t="s">
        <v>127</v>
      </c>
      <c r="J829" s="85"/>
      <c r="K829" s="85"/>
      <c r="L829" s="85">
        <v>72</v>
      </c>
      <c r="M829" s="91">
        <v>1</v>
      </c>
      <c r="N829" s="91">
        <v>1</v>
      </c>
      <c r="O829" s="91"/>
      <c r="P829" s="91"/>
      <c r="Q829" s="91"/>
      <c r="R829" s="91"/>
      <c r="S829" s="59"/>
      <c r="T829" s="89"/>
      <c r="U829" s="85"/>
      <c r="V829" s="85"/>
      <c r="W829" s="83">
        <f t="shared" ca="1" si="36"/>
        <v>39</v>
      </c>
      <c r="X829" s="64" t="str">
        <f t="shared" ca="1" si="37"/>
        <v>2</v>
      </c>
      <c r="Y829" s="82" t="str">
        <f t="shared" ca="1" si="38"/>
        <v>3</v>
      </c>
      <c r="Z829" s="87"/>
      <c r="AA829" s="87" t="s">
        <v>22</v>
      </c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</row>
    <row r="830" spans="1:57" ht="37.5" x14ac:dyDescent="0.35">
      <c r="A830" s="85">
        <v>6368</v>
      </c>
      <c r="B830" s="86">
        <v>2019</v>
      </c>
      <c r="C830" s="87" t="s">
        <v>35</v>
      </c>
      <c r="D830" s="87" t="s">
        <v>36</v>
      </c>
      <c r="E830" s="87" t="s">
        <v>26</v>
      </c>
      <c r="F830" s="87" t="s">
        <v>25</v>
      </c>
      <c r="G830" s="88">
        <v>1</v>
      </c>
      <c r="H830" s="85" t="s">
        <v>366</v>
      </c>
      <c r="I830" s="87" t="s">
        <v>128</v>
      </c>
      <c r="J830" s="85"/>
      <c r="K830" s="85"/>
      <c r="L830" s="85">
        <v>72</v>
      </c>
      <c r="M830" s="91">
        <v>1</v>
      </c>
      <c r="N830" s="91">
        <v>1</v>
      </c>
      <c r="O830" s="91"/>
      <c r="P830" s="91"/>
      <c r="Q830" s="91"/>
      <c r="R830" s="91"/>
      <c r="S830" s="59"/>
      <c r="T830" s="89"/>
      <c r="U830" s="85"/>
      <c r="V830" s="85"/>
      <c r="W830" s="83">
        <f t="shared" ca="1" si="36"/>
        <v>39</v>
      </c>
      <c r="X830" s="64" t="str">
        <f t="shared" ca="1" si="37"/>
        <v>2</v>
      </c>
      <c r="Y830" s="82" t="str">
        <f t="shared" ca="1" si="38"/>
        <v>3</v>
      </c>
      <c r="Z830" s="87"/>
      <c r="AA830" s="87" t="s">
        <v>22</v>
      </c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</row>
    <row r="831" spans="1:57" ht="37.5" x14ac:dyDescent="0.35">
      <c r="A831" s="85">
        <v>6368</v>
      </c>
      <c r="B831" s="86">
        <v>2019</v>
      </c>
      <c r="C831" s="87" t="s">
        <v>35</v>
      </c>
      <c r="D831" s="87" t="s">
        <v>36</v>
      </c>
      <c r="E831" s="87" t="s">
        <v>26</v>
      </c>
      <c r="F831" s="87" t="s">
        <v>25</v>
      </c>
      <c r="G831" s="88">
        <v>1</v>
      </c>
      <c r="H831" s="85" t="s">
        <v>366</v>
      </c>
      <c r="I831" s="87" t="s">
        <v>129</v>
      </c>
      <c r="J831" s="85"/>
      <c r="K831" s="85"/>
      <c r="L831" s="85">
        <v>27</v>
      </c>
      <c r="M831" s="91"/>
      <c r="N831" s="91"/>
      <c r="O831" s="91"/>
      <c r="P831" s="91"/>
      <c r="Q831" s="91"/>
      <c r="R831" s="91"/>
      <c r="S831" s="59"/>
      <c r="T831" s="89"/>
      <c r="U831" s="85"/>
      <c r="V831" s="85"/>
      <c r="W831" s="83">
        <f t="shared" ca="1" si="36"/>
        <v>39</v>
      </c>
      <c r="X831" s="64" t="str">
        <f t="shared" ca="1" si="37"/>
        <v>2</v>
      </c>
      <c r="Y831" s="82" t="str">
        <f t="shared" ca="1" si="38"/>
        <v>3</v>
      </c>
      <c r="Z831" s="87"/>
      <c r="AA831" s="87" t="s">
        <v>22</v>
      </c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</row>
    <row r="832" spans="1:57" ht="37.5" x14ac:dyDescent="0.35">
      <c r="A832" s="85">
        <v>6368</v>
      </c>
      <c r="B832" s="86">
        <v>2019</v>
      </c>
      <c r="C832" s="87" t="s">
        <v>35</v>
      </c>
      <c r="D832" s="94" t="s">
        <v>36</v>
      </c>
      <c r="E832" s="87" t="s">
        <v>26</v>
      </c>
      <c r="F832" s="87" t="s">
        <v>25</v>
      </c>
      <c r="G832" s="88">
        <v>1</v>
      </c>
      <c r="H832" s="93" t="s">
        <v>366</v>
      </c>
      <c r="I832" s="94" t="s">
        <v>129</v>
      </c>
      <c r="J832" s="93"/>
      <c r="K832" s="93"/>
      <c r="L832" s="93">
        <v>54</v>
      </c>
      <c r="M832" s="93">
        <v>1</v>
      </c>
      <c r="N832" s="93">
        <v>1</v>
      </c>
      <c r="O832" s="93"/>
      <c r="P832" s="59"/>
      <c r="Q832" s="59">
        <v>40</v>
      </c>
      <c r="R832" s="59"/>
      <c r="S832" s="59"/>
      <c r="T832" s="95"/>
      <c r="U832" s="93"/>
      <c r="V832" s="93"/>
      <c r="W832" s="83">
        <f t="shared" ca="1" si="36"/>
        <v>39</v>
      </c>
      <c r="X832" s="64" t="str">
        <f t="shared" ca="1" si="37"/>
        <v>2</v>
      </c>
      <c r="Y832" s="82" t="str">
        <f t="shared" ca="1" si="38"/>
        <v>3</v>
      </c>
      <c r="Z832" s="94"/>
      <c r="AA832" s="94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</row>
    <row r="833" spans="1:57" ht="37.5" x14ac:dyDescent="0.35">
      <c r="A833" s="85">
        <v>6368</v>
      </c>
      <c r="B833" s="86">
        <v>2019</v>
      </c>
      <c r="C833" s="87" t="s">
        <v>35</v>
      </c>
      <c r="D833" s="87" t="s">
        <v>130</v>
      </c>
      <c r="E833" s="87" t="s">
        <v>26</v>
      </c>
      <c r="F833" s="87" t="s">
        <v>25</v>
      </c>
      <c r="G833" s="88">
        <v>1</v>
      </c>
      <c r="H833" s="93" t="s">
        <v>366</v>
      </c>
      <c r="I833" s="87" t="s">
        <v>363</v>
      </c>
      <c r="J833" s="85"/>
      <c r="K833" s="85"/>
      <c r="L833" s="85"/>
      <c r="M833" s="91">
        <v>1</v>
      </c>
      <c r="N833" s="91">
        <v>1</v>
      </c>
      <c r="O833" s="91"/>
      <c r="P833" s="91"/>
      <c r="Q833" s="91"/>
      <c r="R833" s="91"/>
      <c r="S833" s="59"/>
      <c r="T833" s="89"/>
      <c r="U833" s="85"/>
      <c r="V833" s="85"/>
      <c r="W833" s="83">
        <f t="shared" ca="1" si="36"/>
        <v>39</v>
      </c>
      <c r="X833" s="64" t="str">
        <f t="shared" ca="1" si="37"/>
        <v>2</v>
      </c>
      <c r="Y833" s="82" t="str">
        <f t="shared" ca="1" si="38"/>
        <v>3</v>
      </c>
      <c r="Z833" s="87"/>
      <c r="AA833" s="87" t="s">
        <v>22</v>
      </c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</row>
    <row r="834" spans="1:57" ht="37.5" x14ac:dyDescent="0.35">
      <c r="A834" s="85">
        <v>6368</v>
      </c>
      <c r="B834" s="57">
        <v>2019</v>
      </c>
      <c r="C834" s="87" t="s">
        <v>35</v>
      </c>
      <c r="D834" s="87" t="s">
        <v>130</v>
      </c>
      <c r="E834" s="87" t="s">
        <v>26</v>
      </c>
      <c r="F834" s="87" t="s">
        <v>25</v>
      </c>
      <c r="G834" s="88">
        <v>1</v>
      </c>
      <c r="H834" s="93" t="s">
        <v>366</v>
      </c>
      <c r="I834" s="87" t="s">
        <v>213</v>
      </c>
      <c r="J834" s="85">
        <v>18</v>
      </c>
      <c r="K834" s="85">
        <v>36</v>
      </c>
      <c r="L834" s="85">
        <v>108</v>
      </c>
      <c r="M834" s="91">
        <v>1</v>
      </c>
      <c r="N834" s="91"/>
      <c r="O834" s="91"/>
      <c r="P834" s="91"/>
      <c r="Q834" s="91"/>
      <c r="R834" s="91"/>
      <c r="S834" s="59"/>
      <c r="T834" s="89"/>
      <c r="U834" s="85"/>
      <c r="V834" s="85"/>
      <c r="W834" s="83">
        <f t="shared" ca="1" si="36"/>
        <v>39</v>
      </c>
      <c r="X834" s="64" t="str">
        <f t="shared" ca="1" si="37"/>
        <v>2</v>
      </c>
      <c r="Y834" s="82" t="str">
        <f t="shared" ca="1" si="38"/>
        <v>3</v>
      </c>
      <c r="Z834" s="87"/>
      <c r="AA834" s="87"/>
    </row>
    <row r="835" spans="1:57" ht="37.5" x14ac:dyDescent="0.35">
      <c r="A835" s="85">
        <v>6368</v>
      </c>
      <c r="B835" s="86">
        <v>2019</v>
      </c>
      <c r="C835" s="87" t="s">
        <v>35</v>
      </c>
      <c r="D835" s="94" t="s">
        <v>130</v>
      </c>
      <c r="E835" s="87" t="s">
        <v>26</v>
      </c>
      <c r="F835" s="87" t="s">
        <v>25</v>
      </c>
      <c r="G835" s="88">
        <v>1</v>
      </c>
      <c r="H835" s="93" t="s">
        <v>366</v>
      </c>
      <c r="I835" s="94" t="s">
        <v>214</v>
      </c>
      <c r="J835" s="93"/>
      <c r="K835" s="93"/>
      <c r="L835" s="93">
        <v>108</v>
      </c>
      <c r="M835" s="93">
        <v>1</v>
      </c>
      <c r="N835" s="93"/>
      <c r="O835" s="93"/>
      <c r="P835" s="59"/>
      <c r="Q835" s="59"/>
      <c r="R835" s="59"/>
      <c r="S835" s="59"/>
      <c r="T835" s="95"/>
      <c r="U835" s="93"/>
      <c r="V835" s="93"/>
      <c r="W835" s="83">
        <f t="shared" ca="1" si="36"/>
        <v>39</v>
      </c>
      <c r="X835" s="64" t="str">
        <f t="shared" ca="1" si="37"/>
        <v>2</v>
      </c>
      <c r="Y835" s="82" t="str">
        <f t="shared" ca="1" si="38"/>
        <v>3</v>
      </c>
      <c r="Z835" s="94"/>
      <c r="AA835" s="94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</row>
    <row r="836" spans="1:57" ht="37.5" x14ac:dyDescent="0.35">
      <c r="A836" s="85">
        <v>6368</v>
      </c>
      <c r="B836" s="86">
        <v>2019</v>
      </c>
      <c r="C836" s="87" t="s">
        <v>35</v>
      </c>
      <c r="D836" s="94" t="s">
        <v>130</v>
      </c>
      <c r="E836" s="87" t="s">
        <v>26</v>
      </c>
      <c r="F836" s="87" t="s">
        <v>25</v>
      </c>
      <c r="G836" s="88">
        <v>1</v>
      </c>
      <c r="H836" s="93" t="s">
        <v>366</v>
      </c>
      <c r="I836" s="94" t="s">
        <v>133</v>
      </c>
      <c r="J836" s="93"/>
      <c r="K836" s="93"/>
      <c r="L836" s="93">
        <v>108</v>
      </c>
      <c r="M836" s="93">
        <v>1</v>
      </c>
      <c r="N836" s="93"/>
      <c r="O836" s="93"/>
      <c r="P836" s="59"/>
      <c r="Q836" s="59"/>
      <c r="R836" s="59"/>
      <c r="S836" s="59"/>
      <c r="T836" s="95"/>
      <c r="U836" s="93"/>
      <c r="V836" s="93"/>
      <c r="W836" s="83">
        <f t="shared" ref="W836:W880" ca="1" si="39">IFERROR(OFFSET($AC$11,0,MATCH(H836,$AD$4:$BE$4,0)),IFERROR(OFFSET($AC$12,0,MATCH(H836,$AD$5:$BE$5,0)),MOD(H836,20)+7))</f>
        <v>39</v>
      </c>
      <c r="X836" s="64" t="str">
        <f t="shared" ref="X836:X880" ca="1" si="40">IF(W836&lt;=30, "1", "2")</f>
        <v>2</v>
      </c>
      <c r="Y836" s="82" t="str">
        <f t="shared" ref="Y836:Y880" ca="1" si="41" xml:space="preserve"> IF(W836&lt;=15, "1", IF(W836&lt;=30, "2", IF(W836&lt;=45, "3", IF(W836&lt;=60, "4"))))</f>
        <v>3</v>
      </c>
      <c r="Z836" s="94"/>
      <c r="AA836" s="94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</row>
    <row r="837" spans="1:57" ht="37.5" x14ac:dyDescent="0.35">
      <c r="A837" s="85">
        <v>6368</v>
      </c>
      <c r="B837" s="86">
        <v>2019</v>
      </c>
      <c r="C837" s="87" t="s">
        <v>35</v>
      </c>
      <c r="D837" s="94" t="s">
        <v>135</v>
      </c>
      <c r="E837" s="94" t="s">
        <v>20</v>
      </c>
      <c r="F837" s="94" t="s">
        <v>82</v>
      </c>
      <c r="G837" s="94">
        <v>1</v>
      </c>
      <c r="H837" s="93" t="s">
        <v>366</v>
      </c>
      <c r="I837" s="94" t="s">
        <v>205</v>
      </c>
      <c r="J837" s="93"/>
      <c r="K837" s="93"/>
      <c r="L837" s="93">
        <v>216</v>
      </c>
      <c r="M837" s="93">
        <v>1</v>
      </c>
      <c r="N837" s="93"/>
      <c r="O837" s="93"/>
      <c r="P837" s="59"/>
      <c r="Q837" s="59"/>
      <c r="R837" s="59"/>
      <c r="S837" s="59"/>
      <c r="T837" s="95"/>
      <c r="U837" s="93"/>
      <c r="V837" s="93"/>
      <c r="W837" s="83">
        <f t="shared" ca="1" si="39"/>
        <v>39</v>
      </c>
      <c r="X837" s="64" t="str">
        <f t="shared" ca="1" si="40"/>
        <v>2</v>
      </c>
      <c r="Y837" s="82" t="str">
        <f t="shared" ca="1" si="41"/>
        <v>3</v>
      </c>
      <c r="Z837" s="94"/>
      <c r="AA837" s="94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</row>
    <row r="838" spans="1:57" ht="37.5" x14ac:dyDescent="0.35">
      <c r="A838" s="85">
        <v>6368</v>
      </c>
      <c r="B838" s="86">
        <v>2019</v>
      </c>
      <c r="C838" s="87" t="s">
        <v>35</v>
      </c>
      <c r="D838" s="94" t="s">
        <v>73</v>
      </c>
      <c r="E838" s="94" t="s">
        <v>20</v>
      </c>
      <c r="F838" s="94" t="s">
        <v>21</v>
      </c>
      <c r="G838" s="94">
        <v>1</v>
      </c>
      <c r="H838" s="93" t="s">
        <v>366</v>
      </c>
      <c r="I838" s="94" t="s">
        <v>206</v>
      </c>
      <c r="J838" s="93"/>
      <c r="K838" s="93">
        <v>72</v>
      </c>
      <c r="L838" s="93"/>
      <c r="M838" s="93"/>
      <c r="N838" s="93"/>
      <c r="O838" s="93"/>
      <c r="P838" s="59"/>
      <c r="Q838" s="59"/>
      <c r="R838" s="59"/>
      <c r="S838" s="59"/>
      <c r="T838" s="95"/>
      <c r="U838" s="93"/>
      <c r="V838" s="93"/>
      <c r="W838" s="83">
        <f t="shared" ca="1" si="39"/>
        <v>39</v>
      </c>
      <c r="X838" s="64" t="str">
        <f t="shared" ca="1" si="40"/>
        <v>2</v>
      </c>
      <c r="Y838" s="82" t="str">
        <f t="shared" ca="1" si="41"/>
        <v>3</v>
      </c>
      <c r="Z838" s="94"/>
      <c r="AA838" s="94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</row>
    <row r="839" spans="1:57" ht="37.5" x14ac:dyDescent="0.35">
      <c r="A839" s="85">
        <v>6368</v>
      </c>
      <c r="B839" s="86">
        <v>2019</v>
      </c>
      <c r="C839" s="87" t="s">
        <v>35</v>
      </c>
      <c r="D839" s="94" t="s">
        <v>73</v>
      </c>
      <c r="E839" s="87" t="s">
        <v>20</v>
      </c>
      <c r="F839" s="87" t="s">
        <v>21</v>
      </c>
      <c r="G839" s="88">
        <v>1</v>
      </c>
      <c r="H839" s="93" t="s">
        <v>366</v>
      </c>
      <c r="I839" s="94" t="s">
        <v>206</v>
      </c>
      <c r="J839" s="93">
        <v>36</v>
      </c>
      <c r="K839" s="93">
        <v>36</v>
      </c>
      <c r="L839" s="93"/>
      <c r="M839" s="93">
        <v>1</v>
      </c>
      <c r="N839" s="93">
        <v>1</v>
      </c>
      <c r="O839" s="93"/>
      <c r="P839" s="59"/>
      <c r="Q839" s="59"/>
      <c r="R839" s="59"/>
      <c r="S839" s="59"/>
      <c r="T839" s="95"/>
      <c r="U839" s="93"/>
      <c r="V839" s="93"/>
      <c r="W839" s="83">
        <f t="shared" ca="1" si="39"/>
        <v>39</v>
      </c>
      <c r="X839" s="64" t="str">
        <f t="shared" ca="1" si="40"/>
        <v>2</v>
      </c>
      <c r="Y839" s="82" t="str">
        <f t="shared" ca="1" si="41"/>
        <v>3</v>
      </c>
      <c r="Z839" s="94"/>
      <c r="AA839" s="94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</row>
    <row r="840" spans="1:57" ht="37.5" x14ac:dyDescent="0.35">
      <c r="A840" s="85">
        <v>6368</v>
      </c>
      <c r="B840" s="86">
        <v>2019</v>
      </c>
      <c r="C840" s="87" t="s">
        <v>35</v>
      </c>
      <c r="D840" s="94" t="s">
        <v>73</v>
      </c>
      <c r="E840" s="87" t="s">
        <v>20</v>
      </c>
      <c r="F840" s="87" t="s">
        <v>21</v>
      </c>
      <c r="G840" s="88">
        <v>1</v>
      </c>
      <c r="H840" s="93" t="s">
        <v>366</v>
      </c>
      <c r="I840" s="94" t="s">
        <v>215</v>
      </c>
      <c r="J840" s="93"/>
      <c r="K840" s="93"/>
      <c r="L840" s="93">
        <v>54</v>
      </c>
      <c r="M840" s="93">
        <v>1</v>
      </c>
      <c r="N840" s="93"/>
      <c r="O840" s="93"/>
      <c r="P840" s="59">
        <v>1</v>
      </c>
      <c r="Q840" s="59"/>
      <c r="R840" s="59"/>
      <c r="S840" s="59"/>
      <c r="T840" s="95"/>
      <c r="U840" s="93"/>
      <c r="V840" s="93"/>
      <c r="W840" s="83">
        <f t="shared" ca="1" si="39"/>
        <v>39</v>
      </c>
      <c r="X840" s="64" t="str">
        <f t="shared" ca="1" si="40"/>
        <v>2</v>
      </c>
      <c r="Y840" s="82" t="str">
        <f t="shared" ca="1" si="41"/>
        <v>3</v>
      </c>
      <c r="Z840" s="94"/>
      <c r="AA840" s="94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</row>
    <row r="841" spans="1:57" ht="37.5" x14ac:dyDescent="0.35">
      <c r="A841" s="85">
        <v>6368</v>
      </c>
      <c r="B841" s="86">
        <v>2019</v>
      </c>
      <c r="C841" s="87" t="s">
        <v>35</v>
      </c>
      <c r="D841" s="94" t="s">
        <v>150</v>
      </c>
      <c r="E841" s="87" t="s">
        <v>30</v>
      </c>
      <c r="F841" s="87" t="s">
        <v>25</v>
      </c>
      <c r="G841" s="94">
        <v>1</v>
      </c>
      <c r="H841" s="93" t="s">
        <v>366</v>
      </c>
      <c r="I841" s="94" t="s">
        <v>212</v>
      </c>
      <c r="J841" s="93"/>
      <c r="K841" s="93"/>
      <c r="L841" s="93">
        <v>20</v>
      </c>
      <c r="M841" s="93"/>
      <c r="N841" s="93"/>
      <c r="O841" s="93"/>
      <c r="P841" s="59">
        <v>1</v>
      </c>
      <c r="Q841" s="59"/>
      <c r="R841" s="59"/>
      <c r="S841" s="59"/>
      <c r="T841" s="95"/>
      <c r="U841" s="93"/>
      <c r="V841" s="93"/>
      <c r="W841" s="83">
        <f t="shared" ca="1" si="39"/>
        <v>39</v>
      </c>
      <c r="X841" s="64" t="str">
        <f t="shared" ca="1" si="40"/>
        <v>2</v>
      </c>
      <c r="Y841" s="82" t="str">
        <f t="shared" ca="1" si="41"/>
        <v>3</v>
      </c>
      <c r="Z841" s="94"/>
      <c r="AA841" s="94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</row>
    <row r="842" spans="1:57" ht="37.5" x14ac:dyDescent="0.35">
      <c r="A842" s="85">
        <v>6368</v>
      </c>
      <c r="B842" s="86">
        <v>2019</v>
      </c>
      <c r="C842" s="87" t="s">
        <v>35</v>
      </c>
      <c r="D842" s="94" t="s">
        <v>150</v>
      </c>
      <c r="E842" s="87" t="s">
        <v>30</v>
      </c>
      <c r="F842" s="87" t="s">
        <v>25</v>
      </c>
      <c r="G842" s="94">
        <v>1</v>
      </c>
      <c r="H842" s="93" t="s">
        <v>366</v>
      </c>
      <c r="I842" s="94" t="s">
        <v>216</v>
      </c>
      <c r="J842" s="93">
        <v>36</v>
      </c>
      <c r="K842" s="93"/>
      <c r="L842" s="93">
        <v>108</v>
      </c>
      <c r="M842" s="93">
        <v>1</v>
      </c>
      <c r="N842" s="93"/>
      <c r="O842" s="93">
        <v>1</v>
      </c>
      <c r="P842" s="59"/>
      <c r="Q842" s="59"/>
      <c r="R842" s="59"/>
      <c r="S842" s="59"/>
      <c r="T842" s="95"/>
      <c r="U842" s="93"/>
      <c r="V842" s="93"/>
      <c r="W842" s="83">
        <f t="shared" ca="1" si="39"/>
        <v>39</v>
      </c>
      <c r="X842" s="64" t="str">
        <f t="shared" ca="1" si="40"/>
        <v>2</v>
      </c>
      <c r="Y842" s="82" t="str">
        <f t="shared" ca="1" si="41"/>
        <v>3</v>
      </c>
      <c r="Z842" s="94"/>
      <c r="AA842" s="94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</row>
    <row r="843" spans="1:57" ht="50" x14ac:dyDescent="0.35">
      <c r="A843" s="85">
        <v>6368</v>
      </c>
      <c r="B843" s="86">
        <v>2019</v>
      </c>
      <c r="C843" s="87" t="s">
        <v>38</v>
      </c>
      <c r="D843" s="94" t="s">
        <v>59</v>
      </c>
      <c r="E843" s="87" t="s">
        <v>20</v>
      </c>
      <c r="F843" s="87" t="s">
        <v>21</v>
      </c>
      <c r="G843" s="94">
        <v>0.75</v>
      </c>
      <c r="H843" s="93" t="s">
        <v>366</v>
      </c>
      <c r="I843" s="94" t="s">
        <v>282</v>
      </c>
      <c r="J843" s="93"/>
      <c r="K843" s="93"/>
      <c r="L843" s="93">
        <v>36</v>
      </c>
      <c r="M843" s="93">
        <v>1</v>
      </c>
      <c r="N843" s="93"/>
      <c r="O843" s="93"/>
      <c r="P843" s="59">
        <v>1</v>
      </c>
      <c r="Q843" s="59"/>
      <c r="R843" s="59"/>
      <c r="S843" s="59"/>
      <c r="T843" s="95"/>
      <c r="U843" s="93"/>
      <c r="V843" s="93"/>
      <c r="W843" s="83">
        <f t="shared" ca="1" si="39"/>
        <v>39</v>
      </c>
      <c r="X843" s="64" t="str">
        <f t="shared" ca="1" si="40"/>
        <v>2</v>
      </c>
      <c r="Y843" s="82" t="str">
        <f t="shared" ca="1" si="41"/>
        <v>3</v>
      </c>
      <c r="Z843" s="94"/>
      <c r="AA843" s="94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</row>
    <row r="844" spans="1:57" ht="37.5" x14ac:dyDescent="0.35">
      <c r="A844" s="85">
        <v>6368</v>
      </c>
      <c r="B844" s="86">
        <v>2019</v>
      </c>
      <c r="C844" s="87" t="s">
        <v>38</v>
      </c>
      <c r="D844" s="94" t="s">
        <v>59</v>
      </c>
      <c r="E844" s="87" t="s">
        <v>20</v>
      </c>
      <c r="F844" s="87" t="s">
        <v>21</v>
      </c>
      <c r="G844" s="94">
        <v>0.75</v>
      </c>
      <c r="H844" s="93" t="s">
        <v>366</v>
      </c>
      <c r="I844" s="94" t="s">
        <v>283</v>
      </c>
      <c r="J844" s="93"/>
      <c r="K844" s="93"/>
      <c r="L844" s="93"/>
      <c r="M844" s="93"/>
      <c r="N844" s="93"/>
      <c r="O844" s="93"/>
      <c r="P844" s="59"/>
      <c r="Q844" s="59"/>
      <c r="R844" s="59"/>
      <c r="S844" s="59"/>
      <c r="T844" s="95"/>
      <c r="U844" s="93"/>
      <c r="V844" s="93"/>
      <c r="W844" s="83">
        <f t="shared" ca="1" si="39"/>
        <v>39</v>
      </c>
      <c r="X844" s="64" t="str">
        <f t="shared" ca="1" si="40"/>
        <v>2</v>
      </c>
      <c r="Y844" s="82" t="str">
        <f t="shared" ca="1" si="41"/>
        <v>3</v>
      </c>
      <c r="Z844" s="94"/>
      <c r="AA844" s="9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</row>
    <row r="845" spans="1:57" ht="37.5" x14ac:dyDescent="0.35">
      <c r="A845" s="85">
        <v>6368</v>
      </c>
      <c r="B845" s="86">
        <v>2019</v>
      </c>
      <c r="C845" s="87" t="s">
        <v>38</v>
      </c>
      <c r="D845" s="87" t="s">
        <v>60</v>
      </c>
      <c r="E845" s="87" t="s">
        <v>20</v>
      </c>
      <c r="F845" s="87" t="s">
        <v>21</v>
      </c>
      <c r="G845" s="88">
        <v>0.5</v>
      </c>
      <c r="H845" s="85" t="s">
        <v>366</v>
      </c>
      <c r="I845" s="87" t="s">
        <v>217</v>
      </c>
      <c r="J845" s="85">
        <v>18</v>
      </c>
      <c r="K845" s="85">
        <v>36</v>
      </c>
      <c r="L845" s="85"/>
      <c r="M845" s="85">
        <v>1</v>
      </c>
      <c r="N845" s="59"/>
      <c r="O845" s="59"/>
      <c r="P845" s="59">
        <v>1</v>
      </c>
      <c r="Q845" s="59"/>
      <c r="R845" s="59"/>
      <c r="S845" s="59"/>
      <c r="T845" s="92"/>
      <c r="U845" s="85"/>
      <c r="V845" s="85"/>
      <c r="W845" s="83">
        <f t="shared" ca="1" si="39"/>
        <v>39</v>
      </c>
      <c r="X845" s="64" t="str">
        <f t="shared" ca="1" si="40"/>
        <v>2</v>
      </c>
      <c r="Y845" s="82" t="str">
        <f t="shared" ca="1" si="41"/>
        <v>3</v>
      </c>
      <c r="Z845" s="87"/>
      <c r="AA845" s="87" t="s">
        <v>22</v>
      </c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</row>
    <row r="846" spans="1:57" ht="50" x14ac:dyDescent="0.35">
      <c r="A846" s="85">
        <v>6368</v>
      </c>
      <c r="B846" s="86">
        <v>2019</v>
      </c>
      <c r="C846" s="87" t="s">
        <v>38</v>
      </c>
      <c r="D846" s="87" t="s">
        <v>80</v>
      </c>
      <c r="E846" s="87" t="s">
        <v>81</v>
      </c>
      <c r="F846" s="87" t="s">
        <v>21</v>
      </c>
      <c r="G846" s="88">
        <v>1</v>
      </c>
      <c r="H846" s="85" t="s">
        <v>366</v>
      </c>
      <c r="I846" s="87" t="s">
        <v>282</v>
      </c>
      <c r="J846" s="85"/>
      <c r="K846" s="85"/>
      <c r="L846" s="85">
        <v>72</v>
      </c>
      <c r="M846" s="85">
        <v>1</v>
      </c>
      <c r="N846" s="59"/>
      <c r="O846" s="59"/>
      <c r="P846" s="59">
        <v>1</v>
      </c>
      <c r="Q846" s="59"/>
      <c r="R846" s="59"/>
      <c r="S846" s="59"/>
      <c r="T846" s="92"/>
      <c r="U846" s="85"/>
      <c r="V846" s="85"/>
      <c r="W846" s="83">
        <f t="shared" ca="1" si="39"/>
        <v>39</v>
      </c>
      <c r="X846" s="64" t="str">
        <f t="shared" ca="1" si="40"/>
        <v>2</v>
      </c>
      <c r="Y846" s="82" t="str">
        <f t="shared" ca="1" si="41"/>
        <v>3</v>
      </c>
      <c r="Z846" s="87"/>
      <c r="AA846" s="87" t="s">
        <v>22</v>
      </c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</row>
    <row r="847" spans="1:57" ht="37.5" x14ac:dyDescent="0.35">
      <c r="A847" s="85">
        <v>6368</v>
      </c>
      <c r="B847" s="86">
        <v>2019</v>
      </c>
      <c r="C847" s="87" t="s">
        <v>38</v>
      </c>
      <c r="D847" s="87" t="s">
        <v>80</v>
      </c>
      <c r="E847" s="87" t="s">
        <v>81</v>
      </c>
      <c r="F847" s="87" t="s">
        <v>21</v>
      </c>
      <c r="G847" s="88">
        <v>1</v>
      </c>
      <c r="H847" s="85" t="s">
        <v>366</v>
      </c>
      <c r="I847" s="87" t="s">
        <v>283</v>
      </c>
      <c r="J847" s="85"/>
      <c r="K847" s="85"/>
      <c r="L847" s="85">
        <v>54</v>
      </c>
      <c r="M847" s="85">
        <v>1</v>
      </c>
      <c r="N847" s="59"/>
      <c r="O847" s="59"/>
      <c r="P847" s="59">
        <v>1</v>
      </c>
      <c r="Q847" s="59"/>
      <c r="R847" s="59"/>
      <c r="S847" s="59"/>
      <c r="T847" s="92"/>
      <c r="U847" s="85"/>
      <c r="V847" s="85"/>
      <c r="W847" s="83">
        <f t="shared" ca="1" si="39"/>
        <v>39</v>
      </c>
      <c r="X847" s="64" t="str">
        <f t="shared" ca="1" si="40"/>
        <v>2</v>
      </c>
      <c r="Y847" s="82" t="str">
        <f t="shared" ca="1" si="41"/>
        <v>3</v>
      </c>
      <c r="Z847" s="87"/>
      <c r="AA847" s="87" t="s">
        <v>22</v>
      </c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</row>
    <row r="848" spans="1:57" ht="37.5" x14ac:dyDescent="0.35">
      <c r="A848" s="85">
        <v>6368</v>
      </c>
      <c r="B848" s="86">
        <v>2019</v>
      </c>
      <c r="C848" s="87" t="s">
        <v>48</v>
      </c>
      <c r="D848" s="87" t="s">
        <v>49</v>
      </c>
      <c r="E848" s="87" t="s">
        <v>30</v>
      </c>
      <c r="F848" s="87" t="s">
        <v>25</v>
      </c>
      <c r="G848" s="88">
        <v>1</v>
      </c>
      <c r="H848" s="85" t="s">
        <v>366</v>
      </c>
      <c r="I848" s="87" t="s">
        <v>208</v>
      </c>
      <c r="J848" s="85"/>
      <c r="K848" s="85"/>
      <c r="L848" s="85">
        <v>144</v>
      </c>
      <c r="M848" s="85"/>
      <c r="N848" s="90"/>
      <c r="O848" s="59"/>
      <c r="P848" s="59"/>
      <c r="Q848" s="59"/>
      <c r="R848" s="59"/>
      <c r="S848" s="59"/>
      <c r="T848" s="92"/>
      <c r="U848" s="85"/>
      <c r="V848" s="85"/>
      <c r="W848" s="83">
        <f t="shared" ca="1" si="39"/>
        <v>39</v>
      </c>
      <c r="X848" s="64" t="str">
        <f t="shared" ca="1" si="40"/>
        <v>2</v>
      </c>
      <c r="Y848" s="82" t="str">
        <f t="shared" ca="1" si="41"/>
        <v>3</v>
      </c>
      <c r="Z848" s="87"/>
      <c r="AA848" s="87" t="s">
        <v>61</v>
      </c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</row>
    <row r="849" spans="1:57" ht="37.5" x14ac:dyDescent="0.35">
      <c r="A849" s="85">
        <v>6368</v>
      </c>
      <c r="B849" s="86">
        <v>2019</v>
      </c>
      <c r="C849" s="87" t="s">
        <v>48</v>
      </c>
      <c r="D849" s="87" t="s">
        <v>140</v>
      </c>
      <c r="E849" s="87" t="s">
        <v>55</v>
      </c>
      <c r="F849" s="87" t="s">
        <v>23</v>
      </c>
      <c r="G849" s="88">
        <v>1</v>
      </c>
      <c r="H849" s="85" t="s">
        <v>366</v>
      </c>
      <c r="I849" s="87" t="s">
        <v>208</v>
      </c>
      <c r="J849" s="85">
        <v>18</v>
      </c>
      <c r="K849" s="85"/>
      <c r="L849" s="85"/>
      <c r="M849" s="85">
        <v>1</v>
      </c>
      <c r="N849" s="59">
        <v>1</v>
      </c>
      <c r="O849" s="59"/>
      <c r="P849" s="59"/>
      <c r="Q849" s="59"/>
      <c r="R849" s="59"/>
      <c r="S849" s="59"/>
      <c r="T849" s="92"/>
      <c r="U849" s="85"/>
      <c r="V849" s="85"/>
      <c r="W849" s="83">
        <f t="shared" ca="1" si="39"/>
        <v>39</v>
      </c>
      <c r="X849" s="64" t="str">
        <f t="shared" ca="1" si="40"/>
        <v>2</v>
      </c>
      <c r="Y849" s="82" t="str">
        <f t="shared" ca="1" si="41"/>
        <v>3</v>
      </c>
      <c r="Z849" s="87"/>
      <c r="AA849" s="87" t="s">
        <v>22</v>
      </c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</row>
    <row r="850" spans="1:57" ht="37.5" x14ac:dyDescent="0.35">
      <c r="A850" s="85">
        <v>6368</v>
      </c>
      <c r="B850" s="86">
        <v>2021</v>
      </c>
      <c r="C850" s="87" t="s">
        <v>35</v>
      </c>
      <c r="D850" s="87" t="s">
        <v>190</v>
      </c>
      <c r="E850" s="87" t="s">
        <v>26</v>
      </c>
      <c r="F850" s="87" t="s">
        <v>25</v>
      </c>
      <c r="G850" s="88">
        <v>1</v>
      </c>
      <c r="H850" s="85" t="s">
        <v>327</v>
      </c>
      <c r="I850" s="87" t="s">
        <v>365</v>
      </c>
      <c r="J850" s="85">
        <v>18</v>
      </c>
      <c r="K850" s="85"/>
      <c r="L850" s="85">
        <v>54</v>
      </c>
      <c r="M850" s="85">
        <v>1</v>
      </c>
      <c r="N850" s="59"/>
      <c r="O850" s="59"/>
      <c r="P850" s="59">
        <v>1</v>
      </c>
      <c r="Q850" s="59"/>
      <c r="R850" s="59"/>
      <c r="S850" s="59"/>
      <c r="T850" s="92"/>
      <c r="U850" s="85"/>
      <c r="V850" s="85"/>
      <c r="W850" s="83">
        <f t="shared" ca="1" si="39"/>
        <v>39</v>
      </c>
      <c r="X850" s="64" t="str">
        <f t="shared" ca="1" si="40"/>
        <v>2</v>
      </c>
      <c r="Y850" s="82" t="str">
        <f t="shared" ca="1" si="41"/>
        <v>3</v>
      </c>
      <c r="Z850" s="87"/>
      <c r="AA850" s="87" t="s">
        <v>22</v>
      </c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</row>
    <row r="851" spans="1:57" ht="37.5" x14ac:dyDescent="0.35">
      <c r="A851" s="85">
        <v>6368</v>
      </c>
      <c r="B851" s="86">
        <v>2021</v>
      </c>
      <c r="C851" s="87" t="s">
        <v>155</v>
      </c>
      <c r="D851" s="87" t="s">
        <v>156</v>
      </c>
      <c r="E851" s="87" t="s">
        <v>157</v>
      </c>
      <c r="F851" s="87" t="s">
        <v>23</v>
      </c>
      <c r="G851" s="88">
        <v>1</v>
      </c>
      <c r="H851" s="99" t="s">
        <v>327</v>
      </c>
      <c r="I851" s="87" t="s">
        <v>364</v>
      </c>
      <c r="J851" s="85">
        <v>18</v>
      </c>
      <c r="K851" s="85"/>
      <c r="L851" s="85">
        <v>54</v>
      </c>
      <c r="M851" s="85">
        <v>1</v>
      </c>
      <c r="N851" s="59"/>
      <c r="O851" s="59"/>
      <c r="P851" s="59"/>
      <c r="Q851" s="59"/>
      <c r="R851" s="59"/>
      <c r="S851" s="59"/>
      <c r="T851" s="92"/>
      <c r="U851" s="85"/>
      <c r="V851" s="85"/>
      <c r="W851" s="83">
        <f t="shared" ca="1" si="39"/>
        <v>39</v>
      </c>
      <c r="X851" s="64" t="str">
        <f t="shared" ca="1" si="40"/>
        <v>2</v>
      </c>
      <c r="Y851" s="82" t="str">
        <f t="shared" ca="1" si="41"/>
        <v>3</v>
      </c>
      <c r="Z851" s="87"/>
      <c r="AA851" s="87" t="s">
        <v>61</v>
      </c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</row>
    <row r="852" spans="1:57" ht="37.5" x14ac:dyDescent="0.35">
      <c r="A852" s="85">
        <v>6368</v>
      </c>
      <c r="B852" s="86">
        <v>2021</v>
      </c>
      <c r="C852" s="87" t="s">
        <v>38</v>
      </c>
      <c r="D852" s="87" t="s">
        <v>229</v>
      </c>
      <c r="E852" s="87" t="s">
        <v>95</v>
      </c>
      <c r="F852" s="87" t="s">
        <v>25</v>
      </c>
      <c r="G852" s="88">
        <v>1</v>
      </c>
      <c r="H852" s="99" t="s">
        <v>327</v>
      </c>
      <c r="I852" s="87" t="s">
        <v>334</v>
      </c>
      <c r="J852" s="85"/>
      <c r="K852" s="85"/>
      <c r="L852" s="85">
        <v>108</v>
      </c>
      <c r="M852" s="85">
        <v>1</v>
      </c>
      <c r="N852" s="59"/>
      <c r="O852" s="59"/>
      <c r="P852" s="59"/>
      <c r="Q852" s="59"/>
      <c r="R852" s="59"/>
      <c r="S852" s="59"/>
      <c r="T852" s="92"/>
      <c r="U852" s="85"/>
      <c r="V852" s="85"/>
      <c r="W852" s="83">
        <f t="shared" ca="1" si="39"/>
        <v>39</v>
      </c>
      <c r="X852" s="64" t="str">
        <f t="shared" ca="1" si="40"/>
        <v>2</v>
      </c>
      <c r="Y852" s="82" t="str">
        <f t="shared" ca="1" si="41"/>
        <v>3</v>
      </c>
      <c r="Z852" s="87"/>
      <c r="AA852" s="87" t="s">
        <v>22</v>
      </c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</row>
    <row r="853" spans="1:57" ht="37.5" x14ac:dyDescent="0.35">
      <c r="A853" s="85">
        <v>6368</v>
      </c>
      <c r="B853" s="86">
        <v>2021</v>
      </c>
      <c r="C853" s="87" t="s">
        <v>35</v>
      </c>
      <c r="D853" s="87" t="s">
        <v>130</v>
      </c>
      <c r="E853" s="87" t="s">
        <v>26</v>
      </c>
      <c r="F853" s="87" t="s">
        <v>25</v>
      </c>
      <c r="G853" s="88">
        <v>1</v>
      </c>
      <c r="H853" s="99" t="s">
        <v>327</v>
      </c>
      <c r="I853" s="87" t="s">
        <v>357</v>
      </c>
      <c r="J853" s="85"/>
      <c r="K853" s="85"/>
      <c r="L853" s="85"/>
      <c r="M853" s="85"/>
      <c r="N853" s="59"/>
      <c r="O853" s="59"/>
      <c r="P853" s="59"/>
      <c r="Q853" s="59"/>
      <c r="R853" s="59"/>
      <c r="S853" s="59"/>
      <c r="T853" s="92"/>
      <c r="U853" s="85"/>
      <c r="V853" s="85">
        <v>60</v>
      </c>
      <c r="W853" s="83">
        <f t="shared" ca="1" si="39"/>
        <v>39</v>
      </c>
      <c r="X853" s="64" t="str">
        <f t="shared" ca="1" si="40"/>
        <v>2</v>
      </c>
      <c r="Y853" s="82" t="str">
        <f t="shared" ca="1" si="41"/>
        <v>3</v>
      </c>
      <c r="Z853" s="87"/>
      <c r="AA853" s="87" t="s">
        <v>61</v>
      </c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</row>
    <row r="854" spans="1:57" ht="37.5" x14ac:dyDescent="0.35">
      <c r="A854" s="85">
        <v>6368</v>
      </c>
      <c r="B854" s="86">
        <v>2021</v>
      </c>
      <c r="C854" s="87" t="s">
        <v>35</v>
      </c>
      <c r="D854" s="87" t="s">
        <v>72</v>
      </c>
      <c r="E854" s="87" t="s">
        <v>26</v>
      </c>
      <c r="F854" s="87" t="s">
        <v>25</v>
      </c>
      <c r="G854" s="88">
        <v>1</v>
      </c>
      <c r="H854" s="99" t="s">
        <v>327</v>
      </c>
      <c r="I854" s="87" t="s">
        <v>357</v>
      </c>
      <c r="J854" s="85"/>
      <c r="K854" s="85"/>
      <c r="L854" s="85"/>
      <c r="M854" s="85"/>
      <c r="N854" s="59"/>
      <c r="O854" s="59"/>
      <c r="P854" s="59"/>
      <c r="Q854" s="59"/>
      <c r="R854" s="59"/>
      <c r="S854" s="59"/>
      <c r="T854" s="92"/>
      <c r="U854" s="85"/>
      <c r="V854" s="85">
        <v>60</v>
      </c>
      <c r="W854" s="83">
        <f t="shared" ca="1" si="39"/>
        <v>39</v>
      </c>
      <c r="X854" s="64" t="str">
        <f t="shared" ca="1" si="40"/>
        <v>2</v>
      </c>
      <c r="Y854" s="82" t="str">
        <f t="shared" ca="1" si="41"/>
        <v>3</v>
      </c>
      <c r="Z854" s="87"/>
      <c r="AA854" s="87" t="s">
        <v>61</v>
      </c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</row>
    <row r="855" spans="1:57" ht="37.5" x14ac:dyDescent="0.35">
      <c r="A855" s="85">
        <v>6368</v>
      </c>
      <c r="B855" s="86">
        <v>2021</v>
      </c>
      <c r="C855" s="87" t="s">
        <v>35</v>
      </c>
      <c r="D855" s="87" t="s">
        <v>311</v>
      </c>
      <c r="E855" s="87" t="s">
        <v>63</v>
      </c>
      <c r="F855" s="87" t="s">
        <v>374</v>
      </c>
      <c r="G855" s="88">
        <v>1</v>
      </c>
      <c r="H855" s="99" t="s">
        <v>327</v>
      </c>
      <c r="I855" s="87" t="s">
        <v>357</v>
      </c>
      <c r="J855" s="85"/>
      <c r="K855" s="85"/>
      <c r="L855" s="85"/>
      <c r="M855" s="85"/>
      <c r="N855" s="90"/>
      <c r="O855" s="90"/>
      <c r="P855" s="90"/>
      <c r="Q855" s="90"/>
      <c r="R855" s="90"/>
      <c r="S855" s="90"/>
      <c r="T855" s="92"/>
      <c r="U855" s="85"/>
      <c r="V855" s="85">
        <v>200</v>
      </c>
      <c r="W855" s="83">
        <f t="shared" ca="1" si="39"/>
        <v>39</v>
      </c>
      <c r="X855" s="64" t="str">
        <f t="shared" ca="1" si="40"/>
        <v>2</v>
      </c>
      <c r="Y855" s="82" t="str">
        <f t="shared" ca="1" si="41"/>
        <v>3</v>
      </c>
      <c r="Z855" s="87"/>
      <c r="AA855" s="87" t="s">
        <v>61</v>
      </c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</row>
    <row r="856" spans="1:57" ht="37.5" x14ac:dyDescent="0.35">
      <c r="A856" s="85">
        <v>6368</v>
      </c>
      <c r="B856" s="86">
        <v>2021</v>
      </c>
      <c r="C856" s="87" t="s">
        <v>35</v>
      </c>
      <c r="D856" s="87" t="s">
        <v>312</v>
      </c>
      <c r="E856" s="87" t="s">
        <v>63</v>
      </c>
      <c r="F856" s="87" t="s">
        <v>374</v>
      </c>
      <c r="G856" s="88">
        <v>1</v>
      </c>
      <c r="H856" s="99" t="s">
        <v>327</v>
      </c>
      <c r="I856" s="87" t="s">
        <v>357</v>
      </c>
      <c r="J856" s="85"/>
      <c r="K856" s="85"/>
      <c r="L856" s="85"/>
      <c r="M856" s="85"/>
      <c r="N856" s="90"/>
      <c r="O856" s="90"/>
      <c r="P856" s="90"/>
      <c r="Q856" s="90"/>
      <c r="R856" s="90"/>
      <c r="S856" s="90"/>
      <c r="T856" s="92"/>
      <c r="U856" s="85"/>
      <c r="V856" s="85">
        <v>200</v>
      </c>
      <c r="W856" s="83">
        <f t="shared" ca="1" si="39"/>
        <v>39</v>
      </c>
      <c r="X856" s="64" t="str">
        <f t="shared" ca="1" si="40"/>
        <v>2</v>
      </c>
      <c r="Y856" s="82" t="str">
        <f t="shared" ca="1" si="41"/>
        <v>3</v>
      </c>
      <c r="Z856" s="87"/>
      <c r="AA856" s="87" t="s">
        <v>61</v>
      </c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</row>
    <row r="857" spans="1:57" ht="37.5" x14ac:dyDescent="0.35">
      <c r="A857" s="85">
        <v>6368</v>
      </c>
      <c r="B857" s="86">
        <v>2021</v>
      </c>
      <c r="C857" s="87" t="s">
        <v>35</v>
      </c>
      <c r="D857" s="87" t="s">
        <v>117</v>
      </c>
      <c r="E857" s="87" t="s">
        <v>33</v>
      </c>
      <c r="F857" s="87" t="s">
        <v>25</v>
      </c>
      <c r="G857" s="88">
        <v>0.75</v>
      </c>
      <c r="H857" s="85" t="s">
        <v>327</v>
      </c>
      <c r="I857" s="87" t="s">
        <v>357</v>
      </c>
      <c r="J857" s="85"/>
      <c r="K857" s="85"/>
      <c r="L857" s="85"/>
      <c r="M857" s="91"/>
      <c r="N857" s="91"/>
      <c r="O857" s="91"/>
      <c r="P857" s="91"/>
      <c r="Q857" s="91"/>
      <c r="R857" s="91"/>
      <c r="S857" s="59"/>
      <c r="T857" s="89"/>
      <c r="U857" s="85"/>
      <c r="V857" s="85">
        <v>40</v>
      </c>
      <c r="W857" s="83">
        <f t="shared" ca="1" si="39"/>
        <v>39</v>
      </c>
      <c r="X857" s="64" t="str">
        <f t="shared" ca="1" si="40"/>
        <v>2</v>
      </c>
      <c r="Y857" s="82" t="str">
        <f t="shared" ca="1" si="41"/>
        <v>3</v>
      </c>
      <c r="Z857" s="87"/>
      <c r="AA857" s="87" t="s">
        <v>22</v>
      </c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</row>
    <row r="858" spans="1:57" ht="37.5" x14ac:dyDescent="0.35">
      <c r="A858" s="85">
        <v>6368</v>
      </c>
      <c r="B858" s="86">
        <v>2021</v>
      </c>
      <c r="C858" s="87" t="s">
        <v>35</v>
      </c>
      <c r="D858" s="87" t="s">
        <v>70</v>
      </c>
      <c r="E858" s="87" t="s">
        <v>28</v>
      </c>
      <c r="F858" s="87" t="s">
        <v>23</v>
      </c>
      <c r="G858" s="88">
        <v>1</v>
      </c>
      <c r="H858" s="85" t="s">
        <v>327</v>
      </c>
      <c r="I858" s="87" t="s">
        <v>357</v>
      </c>
      <c r="J858" s="85"/>
      <c r="K858" s="85"/>
      <c r="L858" s="85"/>
      <c r="M858" s="91"/>
      <c r="N858" s="91"/>
      <c r="O858" s="91"/>
      <c r="P858" s="91"/>
      <c r="Q858" s="91"/>
      <c r="R858" s="91"/>
      <c r="S858" s="59"/>
      <c r="T858" s="89"/>
      <c r="U858" s="85"/>
      <c r="V858" s="85">
        <v>20</v>
      </c>
      <c r="W858" s="83">
        <f t="shared" ca="1" si="39"/>
        <v>39</v>
      </c>
      <c r="X858" s="64" t="str">
        <f t="shared" ca="1" si="40"/>
        <v>2</v>
      </c>
      <c r="Y858" s="82" t="str">
        <f t="shared" ca="1" si="41"/>
        <v>3</v>
      </c>
      <c r="Z858" s="87"/>
      <c r="AA858" s="87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</row>
    <row r="859" spans="1:57" ht="37.5" x14ac:dyDescent="0.35">
      <c r="A859" s="85">
        <v>6368</v>
      </c>
      <c r="B859" s="86">
        <v>2021</v>
      </c>
      <c r="C859" s="87" t="s">
        <v>35</v>
      </c>
      <c r="D859" s="87" t="s">
        <v>312</v>
      </c>
      <c r="E859" s="87" t="s">
        <v>63</v>
      </c>
      <c r="F859" s="87" t="s">
        <v>374</v>
      </c>
      <c r="G859" s="88">
        <v>1</v>
      </c>
      <c r="H859" s="85" t="s">
        <v>327</v>
      </c>
      <c r="I859" s="87" t="s">
        <v>358</v>
      </c>
      <c r="J859" s="85"/>
      <c r="K859" s="85"/>
      <c r="L859" s="85"/>
      <c r="M859" s="91"/>
      <c r="N859" s="91"/>
      <c r="O859" s="91"/>
      <c r="P859" s="91"/>
      <c r="Q859" s="91"/>
      <c r="R859" s="91">
        <v>7</v>
      </c>
      <c r="S859" s="59">
        <v>5</v>
      </c>
      <c r="T859" s="89"/>
      <c r="U859" s="85"/>
      <c r="V859" s="85"/>
      <c r="W859" s="83">
        <f t="shared" ca="1" si="39"/>
        <v>39</v>
      </c>
      <c r="X859" s="64" t="str">
        <f t="shared" ca="1" si="40"/>
        <v>2</v>
      </c>
      <c r="Y859" s="82" t="str">
        <f t="shared" ca="1" si="41"/>
        <v>3</v>
      </c>
      <c r="Z859" s="87"/>
      <c r="AA859" s="87" t="s">
        <v>22</v>
      </c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</row>
    <row r="860" spans="1:57" ht="37.5" x14ac:dyDescent="0.35">
      <c r="A860" s="85">
        <v>6368</v>
      </c>
      <c r="B860" s="86">
        <v>2021</v>
      </c>
      <c r="C860" s="87" t="s">
        <v>35</v>
      </c>
      <c r="D860" s="87" t="s">
        <v>117</v>
      </c>
      <c r="E860" s="87" t="s">
        <v>33</v>
      </c>
      <c r="F860" s="87" t="s">
        <v>25</v>
      </c>
      <c r="G860" s="88">
        <v>0.75</v>
      </c>
      <c r="H860" s="85" t="s">
        <v>327</v>
      </c>
      <c r="I860" s="87" t="s">
        <v>358</v>
      </c>
      <c r="J860" s="85"/>
      <c r="K860" s="85"/>
      <c r="L860" s="85"/>
      <c r="M860" s="91"/>
      <c r="N860" s="91"/>
      <c r="O860" s="91"/>
      <c r="P860" s="91"/>
      <c r="Q860" s="91"/>
      <c r="R860" s="91">
        <v>7</v>
      </c>
      <c r="S860" s="59">
        <v>5</v>
      </c>
      <c r="T860" s="89"/>
      <c r="U860" s="85"/>
      <c r="V860" s="85"/>
      <c r="W860" s="83">
        <f t="shared" ca="1" si="39"/>
        <v>39</v>
      </c>
      <c r="X860" s="64" t="str">
        <f t="shared" ca="1" si="40"/>
        <v>2</v>
      </c>
      <c r="Y860" s="82" t="str">
        <f t="shared" ca="1" si="41"/>
        <v>3</v>
      </c>
      <c r="Z860" s="87"/>
      <c r="AA860" s="87" t="s">
        <v>22</v>
      </c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</row>
    <row r="861" spans="1:57" ht="37.5" x14ac:dyDescent="0.35">
      <c r="A861" s="85">
        <v>6368</v>
      </c>
      <c r="B861" s="86">
        <v>2021</v>
      </c>
      <c r="C861" s="87" t="s">
        <v>35</v>
      </c>
      <c r="D861" s="87" t="s">
        <v>116</v>
      </c>
      <c r="E861" s="87" t="s">
        <v>28</v>
      </c>
      <c r="F861" s="87" t="s">
        <v>56</v>
      </c>
      <c r="G861" s="88">
        <v>1</v>
      </c>
      <c r="H861" s="85" t="s">
        <v>327</v>
      </c>
      <c r="I861" s="87" t="s">
        <v>358</v>
      </c>
      <c r="J861" s="85"/>
      <c r="K861" s="85"/>
      <c r="L861" s="85"/>
      <c r="M861" s="91"/>
      <c r="N861" s="91"/>
      <c r="O861" s="91"/>
      <c r="P861" s="91"/>
      <c r="Q861" s="91"/>
      <c r="R861" s="91">
        <v>6</v>
      </c>
      <c r="S861" s="59">
        <v>3</v>
      </c>
      <c r="T861" s="89"/>
      <c r="U861" s="85"/>
      <c r="V861" s="85"/>
      <c r="W861" s="83">
        <f t="shared" ca="1" si="39"/>
        <v>39</v>
      </c>
      <c r="X861" s="64" t="str">
        <f t="shared" ca="1" si="40"/>
        <v>2</v>
      </c>
      <c r="Y861" s="82" t="str">
        <f t="shared" ca="1" si="41"/>
        <v>3</v>
      </c>
      <c r="Z861" s="87"/>
      <c r="AA861" s="87" t="s">
        <v>22</v>
      </c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</row>
    <row r="862" spans="1:57" ht="37.5" x14ac:dyDescent="0.35">
      <c r="A862" s="85">
        <v>6368</v>
      </c>
      <c r="B862" s="86">
        <v>2021</v>
      </c>
      <c r="C862" s="87" t="s">
        <v>35</v>
      </c>
      <c r="D862" s="87" t="s">
        <v>311</v>
      </c>
      <c r="E862" s="87" t="s">
        <v>63</v>
      </c>
      <c r="F862" s="87" t="s">
        <v>374</v>
      </c>
      <c r="G862" s="88">
        <v>1</v>
      </c>
      <c r="H862" s="85" t="s">
        <v>327</v>
      </c>
      <c r="I862" s="87" t="s">
        <v>371</v>
      </c>
      <c r="J862" s="85"/>
      <c r="K862" s="85"/>
      <c r="L862" s="85"/>
      <c r="M862" s="91">
        <v>1</v>
      </c>
      <c r="N862" s="91"/>
      <c r="O862" s="91"/>
      <c r="P862" s="91"/>
      <c r="Q862" s="91"/>
      <c r="R862" s="91"/>
      <c r="S862" s="59"/>
      <c r="T862" s="89"/>
      <c r="U862" s="85"/>
      <c r="V862" s="85"/>
      <c r="W862" s="83">
        <f t="shared" ca="1" si="39"/>
        <v>39</v>
      </c>
      <c r="X862" s="64" t="str">
        <f t="shared" ca="1" si="40"/>
        <v>2</v>
      </c>
      <c r="Y862" s="82" t="str">
        <f t="shared" ca="1" si="41"/>
        <v>3</v>
      </c>
      <c r="Z862" s="87"/>
      <c r="AA862" s="87" t="s">
        <v>22</v>
      </c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</row>
    <row r="863" spans="1:57" ht="25" x14ac:dyDescent="0.35">
      <c r="A863" s="85">
        <v>5762</v>
      </c>
      <c r="B863" s="86">
        <v>2018</v>
      </c>
      <c r="C863" s="87" t="s">
        <v>35</v>
      </c>
      <c r="D863" s="87" t="s">
        <v>72</v>
      </c>
      <c r="E863" s="87" t="s">
        <v>26</v>
      </c>
      <c r="F863" s="87" t="s">
        <v>25</v>
      </c>
      <c r="G863" s="88">
        <v>1</v>
      </c>
      <c r="H863" s="85">
        <v>17248</v>
      </c>
      <c r="I863" s="87" t="s">
        <v>302</v>
      </c>
      <c r="J863" s="85"/>
      <c r="K863" s="85"/>
      <c r="L863" s="85"/>
      <c r="M863" s="91"/>
      <c r="N863" s="91"/>
      <c r="O863" s="91"/>
      <c r="P863" s="91"/>
      <c r="Q863" s="91"/>
      <c r="R863" s="91"/>
      <c r="S863" s="59"/>
      <c r="T863" s="89"/>
      <c r="U863" s="85"/>
      <c r="V863" s="85">
        <v>22</v>
      </c>
      <c r="W863" s="83">
        <f t="shared" ca="1" si="39"/>
        <v>10</v>
      </c>
      <c r="X863" s="82" t="str">
        <f t="shared" ca="1" si="40"/>
        <v>1</v>
      </c>
      <c r="Y863" s="82" t="str">
        <f t="shared" ca="1" si="41"/>
        <v>1</v>
      </c>
      <c r="Z863" s="87"/>
      <c r="AA863" s="87"/>
    </row>
    <row r="864" spans="1:57" ht="25" x14ac:dyDescent="0.35">
      <c r="A864" s="85">
        <v>5762</v>
      </c>
      <c r="B864" s="86">
        <v>2018</v>
      </c>
      <c r="C864" s="87" t="s">
        <v>35</v>
      </c>
      <c r="D864" s="87" t="s">
        <v>116</v>
      </c>
      <c r="E864" s="87" t="s">
        <v>28</v>
      </c>
      <c r="F864" s="87" t="s">
        <v>56</v>
      </c>
      <c r="G864" s="88">
        <v>1</v>
      </c>
      <c r="H864" s="85">
        <v>17248</v>
      </c>
      <c r="I864" s="87" t="s">
        <v>302</v>
      </c>
      <c r="J864" s="85"/>
      <c r="K864" s="85"/>
      <c r="L864" s="85"/>
      <c r="M864" s="91"/>
      <c r="N864" s="91"/>
      <c r="O864" s="91"/>
      <c r="P864" s="91"/>
      <c r="Q864" s="91"/>
      <c r="R864" s="91"/>
      <c r="S864" s="59"/>
      <c r="T864" s="89"/>
      <c r="U864" s="85"/>
      <c r="V864" s="85">
        <v>66</v>
      </c>
      <c r="W864" s="83">
        <f t="shared" ca="1" si="39"/>
        <v>10</v>
      </c>
      <c r="X864" s="82" t="str">
        <f t="shared" ca="1" si="40"/>
        <v>1</v>
      </c>
      <c r="Y864" s="82" t="str">
        <f t="shared" ca="1" si="41"/>
        <v>1</v>
      </c>
      <c r="Z864" s="87"/>
      <c r="AA864" s="87"/>
    </row>
    <row r="865" spans="1:27" ht="25" x14ac:dyDescent="0.35">
      <c r="A865" s="85">
        <v>5762</v>
      </c>
      <c r="B865" s="86">
        <v>2018</v>
      </c>
      <c r="C865" s="87" t="s">
        <v>35</v>
      </c>
      <c r="D865" s="87" t="s">
        <v>36</v>
      </c>
      <c r="E865" s="87" t="s">
        <v>26</v>
      </c>
      <c r="F865" s="87" t="s">
        <v>25</v>
      </c>
      <c r="G865" s="88">
        <v>1</v>
      </c>
      <c r="H865" s="85">
        <v>17248</v>
      </c>
      <c r="I865" s="87" t="s">
        <v>302</v>
      </c>
      <c r="J865" s="85"/>
      <c r="K865" s="85"/>
      <c r="L865" s="85"/>
      <c r="M865" s="91"/>
      <c r="N865" s="91"/>
      <c r="O865" s="91"/>
      <c r="P865" s="91"/>
      <c r="Q865" s="91"/>
      <c r="R865" s="91"/>
      <c r="S865" s="59"/>
      <c r="T865" s="89"/>
      <c r="U865" s="85"/>
      <c r="V865" s="85">
        <v>22</v>
      </c>
      <c r="W865" s="83">
        <f t="shared" ca="1" si="39"/>
        <v>10</v>
      </c>
      <c r="X865" s="82" t="str">
        <f t="shared" ca="1" si="40"/>
        <v>1</v>
      </c>
      <c r="Y865" s="82" t="str">
        <f t="shared" ca="1" si="41"/>
        <v>1</v>
      </c>
      <c r="Z865" s="87"/>
      <c r="AA865" s="87"/>
    </row>
    <row r="866" spans="1:27" ht="25" x14ac:dyDescent="0.35">
      <c r="A866" s="85">
        <v>5762</v>
      </c>
      <c r="B866" s="86">
        <v>2018</v>
      </c>
      <c r="C866" s="87" t="s">
        <v>35</v>
      </c>
      <c r="D866" s="87" t="s">
        <v>130</v>
      </c>
      <c r="E866" s="87" t="s">
        <v>26</v>
      </c>
      <c r="F866" s="87" t="s">
        <v>25</v>
      </c>
      <c r="G866" s="88">
        <v>1</v>
      </c>
      <c r="H866" s="85">
        <v>17248</v>
      </c>
      <c r="I866" s="87" t="s">
        <v>302</v>
      </c>
      <c r="J866" s="85"/>
      <c r="K866" s="85"/>
      <c r="L866" s="85"/>
      <c r="M866" s="91"/>
      <c r="N866" s="91"/>
      <c r="O866" s="91"/>
      <c r="P866" s="91"/>
      <c r="Q866" s="91"/>
      <c r="R866" s="91"/>
      <c r="S866" s="59"/>
      <c r="T866" s="89"/>
      <c r="U866" s="85"/>
      <c r="V866" s="85">
        <v>22</v>
      </c>
      <c r="W866" s="83">
        <f t="shared" ca="1" si="39"/>
        <v>10</v>
      </c>
      <c r="X866" s="82" t="str">
        <f t="shared" ca="1" si="40"/>
        <v>1</v>
      </c>
      <c r="Y866" s="82" t="str">
        <f t="shared" ca="1" si="41"/>
        <v>1</v>
      </c>
      <c r="Z866" s="87"/>
      <c r="AA866" s="87"/>
    </row>
    <row r="867" spans="1:27" ht="25" x14ac:dyDescent="0.35">
      <c r="A867" s="85">
        <v>5762</v>
      </c>
      <c r="B867" s="86">
        <v>2018</v>
      </c>
      <c r="C867" s="87" t="s">
        <v>35</v>
      </c>
      <c r="D867" s="87" t="s">
        <v>93</v>
      </c>
      <c r="E867" s="87" t="s">
        <v>28</v>
      </c>
      <c r="F867" s="87" t="s">
        <v>23</v>
      </c>
      <c r="G867" s="88">
        <v>1</v>
      </c>
      <c r="H867" s="85">
        <v>17248</v>
      </c>
      <c r="I867" s="87" t="s">
        <v>302</v>
      </c>
      <c r="J867" s="85"/>
      <c r="K867" s="85"/>
      <c r="L867" s="85"/>
      <c r="M867" s="91"/>
      <c r="N867" s="91"/>
      <c r="O867" s="91"/>
      <c r="P867" s="91"/>
      <c r="Q867" s="91"/>
      <c r="R867" s="91"/>
      <c r="S867" s="59"/>
      <c r="T867" s="89"/>
      <c r="U867" s="85"/>
      <c r="V867" s="85">
        <v>44</v>
      </c>
      <c r="W867" s="83">
        <f t="shared" ca="1" si="39"/>
        <v>10</v>
      </c>
      <c r="X867" s="82" t="str">
        <f t="shared" ca="1" si="40"/>
        <v>1</v>
      </c>
      <c r="Y867" s="82" t="str">
        <f t="shared" ca="1" si="41"/>
        <v>1</v>
      </c>
      <c r="Z867" s="87"/>
      <c r="AA867" s="87"/>
    </row>
    <row r="868" spans="1:27" ht="25" x14ac:dyDescent="0.35">
      <c r="A868" s="85">
        <v>5762</v>
      </c>
      <c r="B868" s="86">
        <v>2018</v>
      </c>
      <c r="C868" s="87" t="s">
        <v>35</v>
      </c>
      <c r="D868" s="87" t="s">
        <v>117</v>
      </c>
      <c r="E868" s="87" t="s">
        <v>33</v>
      </c>
      <c r="F868" s="87" t="s">
        <v>25</v>
      </c>
      <c r="G868" s="88">
        <v>1</v>
      </c>
      <c r="H868" s="85">
        <v>17248</v>
      </c>
      <c r="I868" s="87" t="s">
        <v>302</v>
      </c>
      <c r="J868" s="85"/>
      <c r="K868" s="85"/>
      <c r="L868" s="85"/>
      <c r="M868" s="91"/>
      <c r="N868" s="91"/>
      <c r="O868" s="91"/>
      <c r="P868" s="91"/>
      <c r="Q868" s="91"/>
      <c r="R868" s="91"/>
      <c r="S868" s="59"/>
      <c r="T868" s="89"/>
      <c r="U868" s="85"/>
      <c r="V868" s="85">
        <v>44</v>
      </c>
      <c r="W868" s="83">
        <f t="shared" ca="1" si="39"/>
        <v>10</v>
      </c>
      <c r="X868" s="82" t="str">
        <f t="shared" ca="1" si="40"/>
        <v>1</v>
      </c>
      <c r="Y868" s="82" t="str">
        <f t="shared" ca="1" si="41"/>
        <v>1</v>
      </c>
      <c r="Z868" s="87"/>
      <c r="AA868" s="87"/>
    </row>
    <row r="869" spans="1:27" ht="37.5" x14ac:dyDescent="0.35">
      <c r="A869" s="85">
        <v>6370</v>
      </c>
      <c r="B869" s="86">
        <v>2019</v>
      </c>
      <c r="C869" s="87" t="s">
        <v>35</v>
      </c>
      <c r="D869" s="87" t="s">
        <v>70</v>
      </c>
      <c r="E869" s="87" t="s">
        <v>28</v>
      </c>
      <c r="F869" s="87" t="s">
        <v>23</v>
      </c>
      <c r="G869" s="88">
        <v>1</v>
      </c>
      <c r="H869" s="85" t="s">
        <v>367</v>
      </c>
      <c r="I869" s="87" t="s">
        <v>302</v>
      </c>
      <c r="J869" s="85"/>
      <c r="K869" s="85"/>
      <c r="L869" s="85"/>
      <c r="M869" s="91"/>
      <c r="N869" s="91"/>
      <c r="O869" s="91"/>
      <c r="P869" s="91"/>
      <c r="Q869" s="91"/>
      <c r="R869" s="91"/>
      <c r="S869" s="59"/>
      <c r="T869" s="89"/>
      <c r="U869" s="85"/>
      <c r="V869" s="85">
        <v>22</v>
      </c>
      <c r="W869" s="83">
        <f t="shared" ca="1" si="39"/>
        <v>10</v>
      </c>
      <c r="X869" s="82" t="str">
        <f t="shared" ca="1" si="40"/>
        <v>1</v>
      </c>
      <c r="Y869" s="82" t="str">
        <f t="shared" ca="1" si="41"/>
        <v>1</v>
      </c>
      <c r="Z869" s="87"/>
      <c r="AA869" s="87"/>
    </row>
    <row r="870" spans="1:27" ht="37.5" x14ac:dyDescent="0.35">
      <c r="A870" s="85">
        <v>6370</v>
      </c>
      <c r="B870" s="86">
        <v>2019</v>
      </c>
      <c r="C870" s="87" t="s">
        <v>35</v>
      </c>
      <c r="D870" s="87" t="s">
        <v>72</v>
      </c>
      <c r="E870" s="87" t="s">
        <v>26</v>
      </c>
      <c r="F870" s="87" t="s">
        <v>25</v>
      </c>
      <c r="G870" s="88">
        <v>1</v>
      </c>
      <c r="H870" s="85" t="s">
        <v>367</v>
      </c>
      <c r="I870" s="87" t="s">
        <v>302</v>
      </c>
      <c r="J870" s="85"/>
      <c r="K870" s="85"/>
      <c r="L870" s="85"/>
      <c r="M870" s="91"/>
      <c r="N870" s="91"/>
      <c r="O870" s="91"/>
      <c r="P870" s="91"/>
      <c r="Q870" s="91"/>
      <c r="R870" s="91"/>
      <c r="S870" s="59"/>
      <c r="T870" s="89"/>
      <c r="U870" s="85"/>
      <c r="V870" s="85">
        <v>44</v>
      </c>
      <c r="W870" s="83">
        <f t="shared" ca="1" si="39"/>
        <v>10</v>
      </c>
      <c r="X870" s="82" t="str">
        <f t="shared" ca="1" si="40"/>
        <v>1</v>
      </c>
      <c r="Y870" s="82" t="str">
        <f t="shared" ca="1" si="41"/>
        <v>1</v>
      </c>
      <c r="Z870" s="87"/>
      <c r="AA870" s="87"/>
    </row>
    <row r="871" spans="1:27" ht="37.5" x14ac:dyDescent="0.35">
      <c r="A871" s="85">
        <v>6370</v>
      </c>
      <c r="B871" s="86">
        <v>2019</v>
      </c>
      <c r="C871" s="87" t="s">
        <v>35</v>
      </c>
      <c r="D871" s="87" t="s">
        <v>190</v>
      </c>
      <c r="E871" s="87" t="s">
        <v>26</v>
      </c>
      <c r="F871" s="87" t="s">
        <v>25</v>
      </c>
      <c r="G871" s="88">
        <v>1</v>
      </c>
      <c r="H871" s="85" t="s">
        <v>367</v>
      </c>
      <c r="I871" s="87" t="s">
        <v>302</v>
      </c>
      <c r="J871" s="85"/>
      <c r="K871" s="85"/>
      <c r="L871" s="85"/>
      <c r="M871" s="91"/>
      <c r="N871" s="91"/>
      <c r="O871" s="91"/>
      <c r="P871" s="91"/>
      <c r="Q871" s="91"/>
      <c r="R871" s="91"/>
      <c r="S871" s="59"/>
      <c r="T871" s="89"/>
      <c r="U871" s="85"/>
      <c r="V871" s="85">
        <v>22</v>
      </c>
      <c r="W871" s="83">
        <f t="shared" ca="1" si="39"/>
        <v>10</v>
      </c>
      <c r="X871" s="82" t="str">
        <f t="shared" ca="1" si="40"/>
        <v>1</v>
      </c>
      <c r="Y871" s="82" t="str">
        <f t="shared" ca="1" si="41"/>
        <v>1</v>
      </c>
      <c r="Z871" s="87"/>
      <c r="AA871" s="87"/>
    </row>
    <row r="872" spans="1:27" ht="37.5" x14ac:dyDescent="0.35">
      <c r="A872" s="85">
        <v>6370</v>
      </c>
      <c r="B872" s="86">
        <v>2019</v>
      </c>
      <c r="C872" s="87" t="s">
        <v>35</v>
      </c>
      <c r="D872" s="87" t="s">
        <v>116</v>
      </c>
      <c r="E872" s="87" t="s">
        <v>28</v>
      </c>
      <c r="F872" s="87" t="s">
        <v>56</v>
      </c>
      <c r="G872" s="88">
        <v>1</v>
      </c>
      <c r="H872" s="85" t="s">
        <v>367</v>
      </c>
      <c r="I872" s="87" t="s">
        <v>302</v>
      </c>
      <c r="J872" s="85"/>
      <c r="K872" s="85"/>
      <c r="L872" s="85"/>
      <c r="M872" s="91"/>
      <c r="N872" s="91"/>
      <c r="O872" s="91"/>
      <c r="P872" s="91"/>
      <c r="Q872" s="91"/>
      <c r="R872" s="91"/>
      <c r="S872" s="59"/>
      <c r="T872" s="89"/>
      <c r="U872" s="85"/>
      <c r="V872" s="85">
        <v>66</v>
      </c>
      <c r="W872" s="83">
        <f t="shared" ca="1" si="39"/>
        <v>10</v>
      </c>
      <c r="X872" s="82" t="str">
        <f t="shared" ca="1" si="40"/>
        <v>1</v>
      </c>
      <c r="Y872" s="82" t="str">
        <f t="shared" ca="1" si="41"/>
        <v>1</v>
      </c>
      <c r="Z872" s="87"/>
      <c r="AA872" s="87"/>
    </row>
    <row r="873" spans="1:27" ht="37.5" x14ac:dyDescent="0.35">
      <c r="A873" s="85">
        <v>6370</v>
      </c>
      <c r="B873" s="86">
        <v>2019</v>
      </c>
      <c r="C873" s="87" t="s">
        <v>35</v>
      </c>
      <c r="D873" s="87" t="s">
        <v>36</v>
      </c>
      <c r="E873" s="87" t="s">
        <v>26</v>
      </c>
      <c r="F873" s="87" t="s">
        <v>25</v>
      </c>
      <c r="G873" s="88">
        <v>1</v>
      </c>
      <c r="H873" s="85" t="s">
        <v>367</v>
      </c>
      <c r="I873" s="87" t="s">
        <v>302</v>
      </c>
      <c r="J873" s="85"/>
      <c r="K873" s="85"/>
      <c r="L873" s="85"/>
      <c r="M873" s="91"/>
      <c r="N873" s="91"/>
      <c r="O873" s="91"/>
      <c r="P873" s="91"/>
      <c r="Q873" s="91"/>
      <c r="R873" s="91"/>
      <c r="S873" s="59"/>
      <c r="T873" s="89"/>
      <c r="U873" s="85"/>
      <c r="V873" s="85">
        <v>22</v>
      </c>
      <c r="W873" s="83">
        <f t="shared" ca="1" si="39"/>
        <v>10</v>
      </c>
      <c r="X873" s="82" t="str">
        <f t="shared" ca="1" si="40"/>
        <v>1</v>
      </c>
      <c r="Y873" s="82" t="str">
        <f t="shared" ca="1" si="41"/>
        <v>1</v>
      </c>
      <c r="Z873" s="87"/>
      <c r="AA873" s="87"/>
    </row>
    <row r="874" spans="1:27" ht="37.5" x14ac:dyDescent="0.35">
      <c r="A874" s="85">
        <v>6370</v>
      </c>
      <c r="B874" s="86">
        <v>2019</v>
      </c>
      <c r="C874" s="87" t="s">
        <v>35</v>
      </c>
      <c r="D874" s="87" t="s">
        <v>130</v>
      </c>
      <c r="E874" s="87" t="s">
        <v>26</v>
      </c>
      <c r="F874" s="87" t="s">
        <v>25</v>
      </c>
      <c r="G874" s="88">
        <v>1</v>
      </c>
      <c r="H874" s="85" t="s">
        <v>367</v>
      </c>
      <c r="I874" s="87" t="s">
        <v>302</v>
      </c>
      <c r="J874" s="85"/>
      <c r="K874" s="85"/>
      <c r="L874" s="85"/>
      <c r="M874" s="91"/>
      <c r="N874" s="91"/>
      <c r="O874" s="91"/>
      <c r="P874" s="91"/>
      <c r="Q874" s="91"/>
      <c r="R874" s="91"/>
      <c r="S874" s="59"/>
      <c r="T874" s="89"/>
      <c r="U874" s="85"/>
      <c r="V874" s="85">
        <v>44</v>
      </c>
      <c r="W874" s="83">
        <f t="shared" ca="1" si="39"/>
        <v>10</v>
      </c>
      <c r="X874" s="82" t="str">
        <f t="shared" ca="1" si="40"/>
        <v>1</v>
      </c>
      <c r="Y874" s="82" t="str">
        <f t="shared" ca="1" si="41"/>
        <v>1</v>
      </c>
      <c r="Z874" s="87"/>
      <c r="AA874" s="87"/>
    </row>
    <row r="875" spans="1:27" ht="50" x14ac:dyDescent="0.35">
      <c r="A875" s="85">
        <v>4848</v>
      </c>
      <c r="B875" s="86">
        <v>2019</v>
      </c>
      <c r="C875" s="87" t="s">
        <v>0</v>
      </c>
      <c r="D875" s="87" t="s">
        <v>272</v>
      </c>
      <c r="E875" s="87" t="s">
        <v>27</v>
      </c>
      <c r="F875" s="87" t="s">
        <v>25</v>
      </c>
      <c r="G875" s="88">
        <v>0.75</v>
      </c>
      <c r="H875" s="85" t="s">
        <v>323</v>
      </c>
      <c r="I875" s="87" t="s">
        <v>273</v>
      </c>
      <c r="J875" s="85">
        <v>18</v>
      </c>
      <c r="K875" s="85">
        <v>18</v>
      </c>
      <c r="L875" s="85"/>
      <c r="M875" s="91"/>
      <c r="N875" s="91"/>
      <c r="O875" s="91"/>
      <c r="P875" s="91"/>
      <c r="Q875" s="91"/>
      <c r="R875" s="91"/>
      <c r="S875" s="59"/>
      <c r="T875" s="89">
        <v>4</v>
      </c>
      <c r="U875" s="85"/>
      <c r="V875" s="85"/>
      <c r="W875" s="83">
        <f t="shared" ca="1" si="39"/>
        <v>27</v>
      </c>
      <c r="X875" s="82" t="str">
        <f t="shared" ca="1" si="40"/>
        <v>1</v>
      </c>
      <c r="Y875" s="82" t="str">
        <f t="shared" ca="1" si="41"/>
        <v>2</v>
      </c>
      <c r="Z875" s="87"/>
      <c r="AA875" s="87"/>
    </row>
    <row r="876" spans="1:27" ht="37.5" x14ac:dyDescent="0.35">
      <c r="A876" s="85">
        <v>4848</v>
      </c>
      <c r="B876" s="86">
        <v>2019</v>
      </c>
      <c r="C876" s="87" t="s">
        <v>38</v>
      </c>
      <c r="D876" s="87" t="s">
        <v>229</v>
      </c>
      <c r="E876" s="87" t="s">
        <v>95</v>
      </c>
      <c r="F876" s="87" t="s">
        <v>25</v>
      </c>
      <c r="G876" s="88">
        <v>1</v>
      </c>
      <c r="H876" s="85" t="s">
        <v>323</v>
      </c>
      <c r="I876" s="87" t="s">
        <v>362</v>
      </c>
      <c r="J876" s="85"/>
      <c r="K876" s="85"/>
      <c r="L876" s="85"/>
      <c r="M876" s="91">
        <v>1</v>
      </c>
      <c r="N876" s="91">
        <v>1</v>
      </c>
      <c r="O876" s="91"/>
      <c r="P876" s="91"/>
      <c r="Q876" s="91"/>
      <c r="R876" s="91"/>
      <c r="S876" s="59"/>
      <c r="T876" s="89"/>
      <c r="U876" s="85"/>
      <c r="V876" s="85"/>
      <c r="W876" s="83">
        <f t="shared" ca="1" si="39"/>
        <v>27</v>
      </c>
      <c r="X876" s="82" t="str">
        <f t="shared" ca="1" si="40"/>
        <v>1</v>
      </c>
      <c r="Y876" s="82" t="str">
        <f t="shared" ca="1" si="41"/>
        <v>2</v>
      </c>
      <c r="Z876" s="87"/>
      <c r="AA876" s="87"/>
    </row>
    <row r="877" spans="1:27" ht="50" x14ac:dyDescent="0.35">
      <c r="A877" s="85">
        <v>4848</v>
      </c>
      <c r="B877" s="86">
        <v>2019</v>
      </c>
      <c r="C877" s="87" t="s">
        <v>38</v>
      </c>
      <c r="D877" s="87" t="s">
        <v>229</v>
      </c>
      <c r="E877" s="87" t="s">
        <v>95</v>
      </c>
      <c r="F877" s="87" t="s">
        <v>25</v>
      </c>
      <c r="G877" s="88">
        <v>1</v>
      </c>
      <c r="H877" s="85" t="s">
        <v>323</v>
      </c>
      <c r="I877" s="87" t="s">
        <v>274</v>
      </c>
      <c r="J877" s="85">
        <v>36</v>
      </c>
      <c r="K877" s="85">
        <v>36</v>
      </c>
      <c r="L877" s="85"/>
      <c r="M877" s="91"/>
      <c r="N877" s="91"/>
      <c r="O877" s="91"/>
      <c r="P877" s="91"/>
      <c r="Q877" s="91"/>
      <c r="R877" s="91"/>
      <c r="S877" s="59"/>
      <c r="T877" s="89">
        <v>7</v>
      </c>
      <c r="U877" s="85"/>
      <c r="V877" s="85"/>
      <c r="W877" s="83">
        <f t="shared" ca="1" si="39"/>
        <v>27</v>
      </c>
      <c r="X877" s="82" t="str">
        <f t="shared" ca="1" si="40"/>
        <v>1</v>
      </c>
      <c r="Y877" s="82" t="str">
        <f t="shared" ca="1" si="41"/>
        <v>2</v>
      </c>
      <c r="Z877" s="87"/>
      <c r="AA877" s="87"/>
    </row>
    <row r="878" spans="1:27" ht="37.5" x14ac:dyDescent="0.35">
      <c r="A878" s="85">
        <v>4848</v>
      </c>
      <c r="B878" s="86">
        <v>2019</v>
      </c>
      <c r="C878" s="87" t="s">
        <v>38</v>
      </c>
      <c r="D878" s="87" t="s">
        <v>152</v>
      </c>
      <c r="E878" s="87" t="s">
        <v>27</v>
      </c>
      <c r="F878" s="87" t="s">
        <v>25</v>
      </c>
      <c r="G878" s="88">
        <v>0.75</v>
      </c>
      <c r="H878" s="85" t="s">
        <v>323</v>
      </c>
      <c r="I878" s="87" t="s">
        <v>276</v>
      </c>
      <c r="J878" s="85">
        <v>18</v>
      </c>
      <c r="K878" s="85">
        <v>18</v>
      </c>
      <c r="L878" s="85"/>
      <c r="M878" s="91"/>
      <c r="N878" s="91"/>
      <c r="O878" s="91"/>
      <c r="P878" s="91"/>
      <c r="Q878" s="91"/>
      <c r="R878" s="91"/>
      <c r="S878" s="59"/>
      <c r="T878" s="89">
        <v>4</v>
      </c>
      <c r="U878" s="85"/>
      <c r="V878" s="85"/>
      <c r="W878" s="83">
        <f t="shared" ca="1" si="39"/>
        <v>27</v>
      </c>
      <c r="X878" s="82" t="str">
        <f t="shared" ca="1" si="40"/>
        <v>1</v>
      </c>
      <c r="Y878" s="82" t="str">
        <f t="shared" ca="1" si="41"/>
        <v>2</v>
      </c>
      <c r="Z878" s="87"/>
      <c r="AA878" s="87"/>
    </row>
    <row r="879" spans="1:27" ht="37.5" x14ac:dyDescent="0.35">
      <c r="A879" s="85">
        <v>4848</v>
      </c>
      <c r="B879" s="86">
        <v>2019</v>
      </c>
      <c r="C879" s="87" t="s">
        <v>38</v>
      </c>
      <c r="D879" s="87" t="s">
        <v>266</v>
      </c>
      <c r="E879" s="87" t="s">
        <v>20</v>
      </c>
      <c r="F879" s="87" t="s">
        <v>21</v>
      </c>
      <c r="G879" s="88">
        <v>0.37</v>
      </c>
      <c r="H879" s="85" t="s">
        <v>323</v>
      </c>
      <c r="I879" s="87" t="s">
        <v>278</v>
      </c>
      <c r="J879" s="85">
        <v>18</v>
      </c>
      <c r="K879" s="85">
        <v>18</v>
      </c>
      <c r="L879" s="85"/>
      <c r="M879" s="91"/>
      <c r="N879" s="91"/>
      <c r="O879" s="91"/>
      <c r="P879" s="91"/>
      <c r="Q879" s="91"/>
      <c r="R879" s="91"/>
      <c r="S879" s="59"/>
      <c r="T879" s="89">
        <v>4</v>
      </c>
      <c r="U879" s="85"/>
      <c r="V879" s="85"/>
      <c r="W879" s="83">
        <f t="shared" ca="1" si="39"/>
        <v>27</v>
      </c>
      <c r="X879" s="82" t="str">
        <f t="shared" ca="1" si="40"/>
        <v>1</v>
      </c>
      <c r="Y879" s="82" t="str">
        <f t="shared" ca="1" si="41"/>
        <v>2</v>
      </c>
      <c r="Z879" s="87"/>
      <c r="AA879" s="87"/>
    </row>
    <row r="880" spans="1:27" ht="37.5" x14ac:dyDescent="0.35">
      <c r="A880" s="85">
        <v>4848</v>
      </c>
      <c r="B880" s="86">
        <v>2019</v>
      </c>
      <c r="C880" s="87" t="s">
        <v>38</v>
      </c>
      <c r="D880" s="87" t="s">
        <v>266</v>
      </c>
      <c r="E880" s="87" t="s">
        <v>20</v>
      </c>
      <c r="F880" s="87" t="s">
        <v>21</v>
      </c>
      <c r="G880" s="88">
        <v>0.37</v>
      </c>
      <c r="H880" s="85" t="s">
        <v>323</v>
      </c>
      <c r="I880" s="87" t="s">
        <v>279</v>
      </c>
      <c r="J880" s="85">
        <v>18</v>
      </c>
      <c r="K880" s="85">
        <v>18</v>
      </c>
      <c r="L880" s="85"/>
      <c r="M880" s="91"/>
      <c r="N880" s="91"/>
      <c r="O880" s="91"/>
      <c r="P880" s="91"/>
      <c r="Q880" s="91"/>
      <c r="R880" s="91"/>
      <c r="S880" s="59"/>
      <c r="T880" s="89">
        <v>4</v>
      </c>
      <c r="U880" s="85"/>
      <c r="V880" s="85"/>
      <c r="W880" s="83">
        <f t="shared" ca="1" si="39"/>
        <v>27</v>
      </c>
      <c r="X880" s="82" t="str">
        <f t="shared" ca="1" si="40"/>
        <v>1</v>
      </c>
      <c r="Y880" s="82" t="str">
        <f t="shared" ca="1" si="41"/>
        <v>2</v>
      </c>
      <c r="Z880" s="87"/>
      <c r="AA880" s="87"/>
    </row>
  </sheetData>
  <sortState ref="AD14:AD48">
    <sortCondition ref="AD48"/>
  </sortState>
  <mergeCells count="15">
    <mergeCell ref="AX8:BA8"/>
    <mergeCell ref="BB8:BE8"/>
    <mergeCell ref="AD8:AG8"/>
    <mergeCell ref="AH8:AK8"/>
    <mergeCell ref="AL8:AO8"/>
    <mergeCell ref="AP8:AS8"/>
    <mergeCell ref="AT8:AW8"/>
    <mergeCell ref="BB1:BE1"/>
    <mergeCell ref="J2:V2"/>
    <mergeCell ref="AD1:AG1"/>
    <mergeCell ref="AH1:AK1"/>
    <mergeCell ref="AL1:AO1"/>
    <mergeCell ref="AP1:AS1"/>
    <mergeCell ref="AT1:AW1"/>
    <mergeCell ref="AX1:BA1"/>
  </mergeCells>
  <conditionalFormatting sqref="G3:G41 G183:G325 G673 G327:G372 G374:G433 G435:G466 G468:G557 G563:G567 G570:G671 G560:G561 G43:G54 G58:G59 G56 G61:G62 G112:G176 G73:G88 G91:G108 G64:G71 G675:G684 G686:G784">
    <cfRule type="containsBlanks" dxfId="37" priority="38">
      <formula>LEN(TRIM(G3))=0</formula>
    </cfRule>
  </conditionalFormatting>
  <conditionalFormatting sqref="G177:G179">
    <cfRule type="containsBlanks" dxfId="36" priority="37">
      <formula>LEN(TRIM(G177))=0</formula>
    </cfRule>
  </conditionalFormatting>
  <conditionalFormatting sqref="G180:G182">
    <cfRule type="containsBlanks" dxfId="35" priority="36">
      <formula>LEN(TRIM(G180))=0</formula>
    </cfRule>
  </conditionalFormatting>
  <conditionalFormatting sqref="G796:G824">
    <cfRule type="containsBlanks" dxfId="34" priority="35">
      <formula>LEN(TRIM(G796))=0</formula>
    </cfRule>
  </conditionalFormatting>
  <conditionalFormatting sqref="G825:G827">
    <cfRule type="containsBlanks" dxfId="33" priority="34">
      <formula>LEN(TRIM(G825))=0</formula>
    </cfRule>
  </conditionalFormatting>
  <conditionalFormatting sqref="G828:G831">
    <cfRule type="containsBlanks" dxfId="32" priority="33">
      <formula>LEN(TRIM(G828))=0</formula>
    </cfRule>
  </conditionalFormatting>
  <conditionalFormatting sqref="G434">
    <cfRule type="containsBlanks" dxfId="31" priority="32">
      <formula>LEN(TRIM(G434))=0</formula>
    </cfRule>
  </conditionalFormatting>
  <conditionalFormatting sqref="G832">
    <cfRule type="containsBlanks" dxfId="30" priority="31">
      <formula>LEN(TRIM(G832))=0</formula>
    </cfRule>
  </conditionalFormatting>
  <conditionalFormatting sqref="G326">
    <cfRule type="containsBlanks" dxfId="29" priority="30">
      <formula>LEN(TRIM(G326))=0</formula>
    </cfRule>
  </conditionalFormatting>
  <conditionalFormatting sqref="G373">
    <cfRule type="containsBlanks" dxfId="28" priority="29">
      <formula>LEN(TRIM(G373))=0</formula>
    </cfRule>
  </conditionalFormatting>
  <conditionalFormatting sqref="G833">
    <cfRule type="containsBlanks" dxfId="27" priority="28">
      <formula>LEN(TRIM(G833))=0</formula>
    </cfRule>
  </conditionalFormatting>
  <conditionalFormatting sqref="G835:G840">
    <cfRule type="containsBlanks" dxfId="26" priority="27">
      <formula>LEN(TRIM(G835))=0</formula>
    </cfRule>
  </conditionalFormatting>
  <conditionalFormatting sqref="G795">
    <cfRule type="containsBlanks" dxfId="25" priority="19">
      <formula>LEN(TRIM(G795))=0</formula>
    </cfRule>
  </conditionalFormatting>
  <conditionalFormatting sqref="G845:G850">
    <cfRule type="containsBlanks" dxfId="24" priority="25">
      <formula>LEN(TRIM(G845))=0</formula>
    </cfRule>
  </conditionalFormatting>
  <conditionalFormatting sqref="G851:G856">
    <cfRule type="containsBlanks" dxfId="23" priority="24">
      <formula>LEN(TRIM(G851))=0</formula>
    </cfRule>
  </conditionalFormatting>
  <conditionalFormatting sqref="G672">
    <cfRule type="containsBlanks" dxfId="22" priority="23">
      <formula>LEN(TRIM(G672))=0</formula>
    </cfRule>
  </conditionalFormatting>
  <conditionalFormatting sqref="G857:G862">
    <cfRule type="containsBlanks" dxfId="21" priority="22">
      <formula>LEN(TRIM(G857))=0</formula>
    </cfRule>
  </conditionalFormatting>
  <conditionalFormatting sqref="G467">
    <cfRule type="containsBlanks" dxfId="20" priority="21">
      <formula>LEN(TRIM(G467))=0</formula>
    </cfRule>
  </conditionalFormatting>
  <conditionalFormatting sqref="G562">
    <cfRule type="containsBlanks" dxfId="19" priority="20">
      <formula>LEN(TRIM(G562))=0</formula>
    </cfRule>
  </conditionalFormatting>
  <conditionalFormatting sqref="G834">
    <cfRule type="containsBlanks" dxfId="18" priority="18">
      <formula>LEN(TRIM(G834))=0</formula>
    </cfRule>
  </conditionalFormatting>
  <conditionalFormatting sqref="G568">
    <cfRule type="containsBlanks" dxfId="17" priority="17">
      <formula>LEN(TRIM(G568))=0</formula>
    </cfRule>
  </conditionalFormatting>
  <conditionalFormatting sqref="G558">
    <cfRule type="containsBlanks" dxfId="16" priority="16">
      <formula>LEN(TRIM(G558))=0</formula>
    </cfRule>
  </conditionalFormatting>
  <conditionalFormatting sqref="G559">
    <cfRule type="containsBlanks" dxfId="15" priority="15">
      <formula>LEN(TRIM(G559))=0</formula>
    </cfRule>
  </conditionalFormatting>
  <conditionalFormatting sqref="G569">
    <cfRule type="containsBlanks" dxfId="14" priority="14">
      <formula>LEN(TRIM(G569))=0</formula>
    </cfRule>
  </conditionalFormatting>
  <conditionalFormatting sqref="G63">
    <cfRule type="containsBlanks" dxfId="13" priority="13">
      <formula>LEN(TRIM(G63))=0</formula>
    </cfRule>
  </conditionalFormatting>
  <conditionalFormatting sqref="G57">
    <cfRule type="containsBlanks" dxfId="12" priority="10">
      <formula>LEN(TRIM(G57))=0</formula>
    </cfRule>
  </conditionalFormatting>
  <conditionalFormatting sqref="G60">
    <cfRule type="containsBlanks" dxfId="11" priority="8">
      <formula>LEN(TRIM(G60))=0</formula>
    </cfRule>
  </conditionalFormatting>
  <conditionalFormatting sqref="G109:G111">
    <cfRule type="containsBlanks" dxfId="10" priority="7">
      <formula>LEN(TRIM(G109))=0</formula>
    </cfRule>
  </conditionalFormatting>
  <conditionalFormatting sqref="G685">
    <cfRule type="containsBlanks" dxfId="9" priority="3">
      <formula>LEN(TRIM(G685))=0</formula>
    </cfRule>
  </conditionalFormatting>
  <conditionalFormatting sqref="G788">
    <cfRule type="containsBlanks" dxfId="8" priority="2">
      <formula>LEN(TRIM(G788))=0</formula>
    </cfRule>
  </conditionalFormatting>
  <conditionalFormatting sqref="G863:G880">
    <cfRule type="containsBlanks" dxfId="7" priority="1">
      <formula>LEN(TRIM(G863))=0</formula>
    </cfRule>
  </conditionalFormatting>
  <conditionalFormatting sqref="G841:G844">
    <cfRule type="containsBlanks" dxfId="6" priority="26">
      <formula>LEN(TRIM(G841))=0</formula>
    </cfRule>
  </conditionalFormatting>
  <conditionalFormatting sqref="G72">
    <cfRule type="containsBlanks" dxfId="5" priority="12">
      <formula>LEN(TRIM(G72))=0</formula>
    </cfRule>
  </conditionalFormatting>
  <conditionalFormatting sqref="G42">
    <cfRule type="containsBlanks" dxfId="4" priority="11">
      <formula>LEN(TRIM(G42))=0</formula>
    </cfRule>
  </conditionalFormatting>
  <conditionalFormatting sqref="G55">
    <cfRule type="containsBlanks" dxfId="3" priority="9">
      <formula>LEN(TRIM(G55))=0</formula>
    </cfRule>
  </conditionalFormatting>
  <conditionalFormatting sqref="G90">
    <cfRule type="containsBlanks" dxfId="2" priority="6">
      <formula>LEN(TRIM(G90))=0</formula>
    </cfRule>
  </conditionalFormatting>
  <conditionalFormatting sqref="G89">
    <cfRule type="containsBlanks" dxfId="1" priority="5">
      <formula>LEN(TRIM(G89))=0</formula>
    </cfRule>
  </conditionalFormatting>
  <conditionalFormatting sqref="G674">
    <cfRule type="containsBlanks" dxfId="0" priority="4">
      <formula>LEN(TRIM(G674))=0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862"/>
  <sheetViews>
    <sheetView tabSelected="1" zoomScale="50" zoomScaleNormal="50" workbookViewId="0">
      <pane xSplit="1" ySplit="2" topLeftCell="BH3" activePane="bottomRight" state="frozen"/>
      <selection activeCell="H25" sqref="H25"/>
      <selection pane="topRight" activeCell="H25" sqref="H25"/>
      <selection pane="bottomLeft" activeCell="H25" sqref="H25"/>
      <selection pane="bottomRight" activeCell="BW945" sqref="BW945"/>
    </sheetView>
  </sheetViews>
  <sheetFormatPr defaultRowHeight="14.5" x14ac:dyDescent="0.35"/>
  <cols>
    <col min="3" max="3" width="30.54296875" customWidth="1"/>
    <col min="4" max="4" width="24.54296875" customWidth="1"/>
    <col min="5" max="5" width="20.54296875" customWidth="1"/>
    <col min="6" max="6" width="15" customWidth="1"/>
    <col min="9" max="9" width="52" customWidth="1"/>
    <col min="13" max="16" width="9.1796875" style="16"/>
    <col min="17" max="17" width="8.81640625" style="16" customWidth="1"/>
    <col min="18" max="18" width="10.36328125" style="16" customWidth="1"/>
    <col min="19" max="19" width="10.54296875" style="16" customWidth="1"/>
    <col min="20" max="20" width="10.1796875" style="21" customWidth="1"/>
    <col min="24" max="24" width="12.54296875" customWidth="1"/>
    <col min="25" max="25" width="13" customWidth="1"/>
    <col min="26" max="26" width="32.54296875" customWidth="1"/>
    <col min="28" max="28" width="9.54296875" style="67" customWidth="1"/>
    <col min="29" max="29" width="11.81640625" style="67" customWidth="1"/>
    <col min="30" max="30" width="13.26953125" style="67" customWidth="1"/>
    <col min="31" max="31" width="9.54296875" style="67" customWidth="1"/>
    <col min="32" max="32" width="15.81640625" style="67" customWidth="1"/>
    <col min="33" max="33" width="15.7265625" style="67" customWidth="1"/>
    <col min="34" max="34" width="16.26953125" style="67" customWidth="1"/>
    <col min="36" max="36" width="35.36328125" style="6" customWidth="1"/>
    <col min="37" max="37" width="11" style="6" customWidth="1"/>
    <col min="38" max="40" width="9.1796875" style="6"/>
    <col min="41" max="41" width="12.1796875" style="6" customWidth="1"/>
    <col min="42" max="44" width="9.1796875" style="6"/>
    <col min="45" max="45" width="11.54296875" style="6" customWidth="1"/>
    <col min="46" max="48" width="9.1796875" style="6"/>
    <col min="49" max="49" width="11.36328125" style="6" customWidth="1"/>
    <col min="50" max="54" width="9.1796875" style="6"/>
    <col min="55" max="55" width="9" style="6" customWidth="1"/>
    <col min="56" max="64" width="9.1796875" style="6"/>
    <col min="66" max="66" width="30.1796875" customWidth="1"/>
    <col min="69" max="69" width="15.36328125" customWidth="1"/>
    <col min="70" max="70" width="13.81640625" customWidth="1"/>
    <col min="71" max="71" width="14.26953125" customWidth="1"/>
    <col min="72" max="72" width="14.7265625" customWidth="1"/>
    <col min="73" max="73" width="16" customWidth="1"/>
    <col min="74" max="74" width="13.7265625" customWidth="1"/>
    <col min="75" max="75" width="15.26953125" customWidth="1"/>
    <col min="76" max="76" width="14.90625" customWidth="1"/>
    <col min="77" max="78" width="15.7265625" customWidth="1"/>
    <col min="79" max="79" width="13.90625" customWidth="1"/>
    <col min="80" max="80" width="15.08984375" customWidth="1"/>
    <col min="81" max="81" width="18.6328125" customWidth="1"/>
    <col min="82" max="82" width="15.36328125" customWidth="1"/>
    <col min="83" max="83" width="14.453125" customWidth="1"/>
    <col min="84" max="84" width="14.6328125" customWidth="1"/>
    <col min="85" max="85" width="15.81640625" customWidth="1"/>
    <col min="86" max="86" width="16" customWidth="1"/>
    <col min="87" max="87" width="18.453125" customWidth="1"/>
    <col min="88" max="88" width="15.81640625" customWidth="1"/>
    <col min="89" max="89" width="14.7265625" customWidth="1"/>
    <col min="90" max="90" width="16" customWidth="1"/>
    <col min="91" max="91" width="17.81640625" customWidth="1"/>
    <col min="92" max="92" width="14.453125" customWidth="1"/>
    <col min="93" max="93" width="19.36328125" customWidth="1"/>
    <col min="94" max="94" width="14" customWidth="1"/>
    <col min="95" max="95" width="16.1796875" customWidth="1"/>
    <col min="96" max="96" width="16.90625" customWidth="1"/>
    <col min="97" max="97" width="15.26953125" customWidth="1"/>
    <col min="98" max="98" width="18.1796875" customWidth="1"/>
    <col min="99" max="99" width="17.08984375" customWidth="1"/>
    <col min="100" max="100" width="17.81640625" style="67" customWidth="1"/>
    <col min="101" max="101" width="14.90625" customWidth="1"/>
    <col min="102" max="102" width="17.81640625" customWidth="1"/>
    <col min="103" max="103" width="16.26953125" customWidth="1"/>
    <col min="104" max="104" width="16.6328125" customWidth="1"/>
    <col min="105" max="105" width="15.26953125" customWidth="1"/>
    <col min="106" max="106" width="21.08984375" customWidth="1"/>
    <col min="107" max="107" width="17.08984375" customWidth="1"/>
    <col min="108" max="108" width="15.08984375" customWidth="1"/>
    <col min="109" max="109" width="17.08984375" customWidth="1"/>
    <col min="110" max="110" width="18.1796875" customWidth="1"/>
    <col min="111" max="111" width="19.54296875" customWidth="1"/>
    <col min="112" max="112" width="17.54296875" customWidth="1"/>
    <col min="113" max="113" width="18.1796875" customWidth="1"/>
    <col min="114" max="114" width="16.1796875" customWidth="1"/>
    <col min="115" max="115" width="16.7265625" customWidth="1"/>
    <col min="116" max="116" width="16.453125" customWidth="1"/>
    <col min="117" max="117" width="15.36328125" customWidth="1"/>
    <col min="118" max="118" width="16.1796875" customWidth="1"/>
    <col min="119" max="119" width="20" customWidth="1"/>
    <col min="120" max="120" width="14.6328125" customWidth="1"/>
    <col min="121" max="121" width="20.453125" customWidth="1"/>
    <col min="122" max="122" width="16.6328125" customWidth="1"/>
    <col min="123" max="123" width="15.54296875" customWidth="1"/>
    <col min="124" max="124" width="16.6328125" customWidth="1"/>
    <col min="125" max="125" width="18" customWidth="1"/>
    <col min="126" max="126" width="20.26953125" customWidth="1"/>
    <col min="127" max="127" width="18.90625" customWidth="1"/>
    <col min="128" max="129" width="17.7265625" customWidth="1"/>
    <col min="130" max="130" width="14.26953125" customWidth="1"/>
    <col min="131" max="131" width="19.54296875" customWidth="1"/>
    <col min="132" max="132" width="17.7265625" customWidth="1"/>
    <col min="133" max="133" width="18.26953125" customWidth="1"/>
    <col min="134" max="134" width="18.1796875" customWidth="1"/>
    <col min="135" max="135" width="16.7265625" customWidth="1"/>
    <col min="136" max="136" width="20.26953125" customWidth="1"/>
    <col min="137" max="137" width="15.7265625" customWidth="1"/>
    <col min="138" max="138" width="16.90625" customWidth="1"/>
    <col min="139" max="139" width="15.81640625" customWidth="1"/>
    <col min="140" max="140" width="15.7265625" customWidth="1"/>
    <col min="141" max="141" width="17.26953125" customWidth="1"/>
    <col min="142" max="142" width="18.1796875" customWidth="1"/>
    <col min="143" max="143" width="16.7265625" customWidth="1"/>
  </cols>
  <sheetData>
    <row r="1" spans="1:142" s="6" customFormat="1" ht="58.5" thickBot="1" x14ac:dyDescent="0.7">
      <c r="A1" s="1"/>
      <c r="B1" s="2"/>
      <c r="C1" s="3"/>
      <c r="D1" s="46"/>
      <c r="E1" s="3"/>
      <c r="F1" s="3"/>
      <c r="G1" s="3"/>
      <c r="H1" s="2"/>
      <c r="I1" s="3"/>
      <c r="J1" s="32" t="s">
        <v>10</v>
      </c>
      <c r="K1" s="32" t="s">
        <v>11</v>
      </c>
      <c r="L1" s="32" t="s">
        <v>12</v>
      </c>
      <c r="M1" s="14" t="s">
        <v>284</v>
      </c>
      <c r="N1" s="14" t="s">
        <v>285</v>
      </c>
      <c r="O1" s="14" t="s">
        <v>286</v>
      </c>
      <c r="P1" s="14" t="s">
        <v>287</v>
      </c>
      <c r="Q1" s="47" t="s">
        <v>288</v>
      </c>
      <c r="R1" s="47" t="s">
        <v>303</v>
      </c>
      <c r="S1" s="47" t="s">
        <v>304</v>
      </c>
      <c r="T1" s="45" t="s">
        <v>13</v>
      </c>
      <c r="U1" s="32" t="s">
        <v>14</v>
      </c>
      <c r="V1" s="32" t="s">
        <v>17</v>
      </c>
      <c r="W1" s="2"/>
      <c r="X1" s="2"/>
      <c r="Y1" s="2"/>
      <c r="Z1" s="3"/>
      <c r="AA1" s="4"/>
      <c r="AB1" s="100" t="s">
        <v>289</v>
      </c>
      <c r="AC1" s="100" t="s">
        <v>314</v>
      </c>
      <c r="AD1" s="100" t="s">
        <v>290</v>
      </c>
      <c r="AE1" s="100" t="s">
        <v>291</v>
      </c>
      <c r="AF1" s="26" t="s">
        <v>292</v>
      </c>
      <c r="AG1" s="26" t="s">
        <v>376</v>
      </c>
      <c r="AH1" s="26" t="s">
        <v>377</v>
      </c>
      <c r="AJ1" s="10" t="s">
        <v>293</v>
      </c>
      <c r="AK1" s="106" t="s">
        <v>294</v>
      </c>
      <c r="AL1" s="107"/>
      <c r="AM1" s="107"/>
      <c r="AN1" s="108"/>
      <c r="AO1" s="106" t="s">
        <v>295</v>
      </c>
      <c r="AP1" s="107"/>
      <c r="AQ1" s="107"/>
      <c r="AR1" s="108"/>
      <c r="AS1" s="106" t="s">
        <v>296</v>
      </c>
      <c r="AT1" s="107"/>
      <c r="AU1" s="107"/>
      <c r="AV1" s="108"/>
      <c r="AW1" s="106" t="s">
        <v>297</v>
      </c>
      <c r="AX1" s="107"/>
      <c r="AY1" s="107"/>
      <c r="AZ1" s="108"/>
      <c r="BA1" s="106" t="s">
        <v>320</v>
      </c>
      <c r="BB1" s="107"/>
      <c r="BC1" s="107"/>
      <c r="BD1" s="108"/>
      <c r="BE1" s="106" t="s">
        <v>321</v>
      </c>
      <c r="BF1" s="107"/>
      <c r="BG1" s="107"/>
      <c r="BH1" s="108"/>
      <c r="BI1" s="106" t="s">
        <v>322</v>
      </c>
      <c r="BJ1" s="107"/>
      <c r="BK1" s="107"/>
      <c r="BL1" s="108"/>
      <c r="BN1" s="20" t="s">
        <v>313</v>
      </c>
      <c r="BO1" s="20"/>
      <c r="BQ1" s="105" t="s">
        <v>43</v>
      </c>
      <c r="BR1" s="105" t="s">
        <v>70</v>
      </c>
      <c r="BS1" s="105" t="s">
        <v>72</v>
      </c>
      <c r="BT1" s="105" t="s">
        <v>383</v>
      </c>
      <c r="BU1" s="105" t="s">
        <v>115</v>
      </c>
      <c r="BV1" s="105" t="s">
        <v>190</v>
      </c>
      <c r="BW1" s="105" t="s">
        <v>225</v>
      </c>
      <c r="BX1" s="105" t="s">
        <v>122</v>
      </c>
      <c r="BY1" s="105" t="s">
        <v>52</v>
      </c>
      <c r="BZ1" s="105" t="s">
        <v>118</v>
      </c>
      <c r="CA1" s="105" t="s">
        <v>226</v>
      </c>
      <c r="CB1" s="105" t="s">
        <v>100</v>
      </c>
      <c r="CC1" s="105" t="s">
        <v>39</v>
      </c>
      <c r="CD1" s="105" t="s">
        <v>96</v>
      </c>
      <c r="CE1" s="105" t="s">
        <v>309</v>
      </c>
      <c r="CF1" s="105" t="s">
        <v>116</v>
      </c>
      <c r="CG1" s="105" t="s">
        <v>311</v>
      </c>
      <c r="CH1" s="105" t="s">
        <v>173</v>
      </c>
      <c r="CI1" s="105" t="s">
        <v>114</v>
      </c>
      <c r="CJ1" s="105" t="s">
        <v>36</v>
      </c>
      <c r="CK1" s="105" t="s">
        <v>130</v>
      </c>
      <c r="CL1" s="105" t="s">
        <v>93</v>
      </c>
      <c r="CM1" s="105" t="s">
        <v>269</v>
      </c>
      <c r="CN1" s="105" t="s">
        <v>104</v>
      </c>
      <c r="CO1" s="105" t="s">
        <v>262</v>
      </c>
      <c r="CP1" s="105" t="s">
        <v>83</v>
      </c>
      <c r="CQ1" s="105" t="s">
        <v>57</v>
      </c>
      <c r="CR1" s="105" t="s">
        <v>135</v>
      </c>
      <c r="CS1" s="105" t="s">
        <v>84</v>
      </c>
      <c r="CT1" s="105" t="s">
        <v>120</v>
      </c>
      <c r="CU1" s="105" t="s">
        <v>123</v>
      </c>
      <c r="CV1" s="105" t="s">
        <v>169</v>
      </c>
      <c r="CW1" s="105" t="s">
        <v>73</v>
      </c>
      <c r="CX1" s="105" t="s">
        <v>117</v>
      </c>
      <c r="CY1" s="105" t="s">
        <v>317</v>
      </c>
      <c r="CZ1" s="105" t="s">
        <v>110</v>
      </c>
      <c r="DA1" s="105" t="s">
        <v>68</v>
      </c>
      <c r="DB1" s="105" t="s">
        <v>312</v>
      </c>
      <c r="DC1" s="105" t="s">
        <v>108</v>
      </c>
      <c r="DD1" s="105" t="s">
        <v>381</v>
      </c>
      <c r="DE1" s="105" t="s">
        <v>229</v>
      </c>
      <c r="DF1" s="105" t="s">
        <v>186</v>
      </c>
      <c r="DG1" s="105" t="s">
        <v>59</v>
      </c>
      <c r="DH1" s="105" t="s">
        <v>112</v>
      </c>
      <c r="DI1" s="105" t="s">
        <v>220</v>
      </c>
      <c r="DJ1" s="105" t="s">
        <v>49</v>
      </c>
      <c r="DK1" s="105" t="s">
        <v>156</v>
      </c>
      <c r="DL1" s="105" t="s">
        <v>98</v>
      </c>
      <c r="DM1" s="105" t="s">
        <v>32</v>
      </c>
      <c r="DN1" s="105" t="s">
        <v>106</v>
      </c>
      <c r="DO1" s="105" t="s">
        <v>382</v>
      </c>
      <c r="DP1" s="105" t="s">
        <v>97</v>
      </c>
      <c r="DQ1" s="105" t="s">
        <v>152</v>
      </c>
      <c r="DR1" s="105" t="s">
        <v>65</v>
      </c>
      <c r="DS1" s="105" t="s">
        <v>79</v>
      </c>
      <c r="DT1" s="105" t="s">
        <v>113</v>
      </c>
      <c r="DU1" s="105" t="s">
        <v>60</v>
      </c>
      <c r="DV1" s="105" t="s">
        <v>223</v>
      </c>
      <c r="DW1" s="105" t="s">
        <v>227</v>
      </c>
      <c r="DX1" s="105" t="s">
        <v>188</v>
      </c>
      <c r="DY1" s="105" t="s">
        <v>121</v>
      </c>
      <c r="DZ1" s="105" t="s">
        <v>89</v>
      </c>
      <c r="EA1" s="105" t="s">
        <v>380</v>
      </c>
      <c r="EB1" s="105" t="s">
        <v>140</v>
      </c>
      <c r="EC1" s="105" t="s">
        <v>272</v>
      </c>
      <c r="ED1" s="105" t="s">
        <v>102</v>
      </c>
      <c r="EE1" s="105" t="s">
        <v>41</v>
      </c>
      <c r="EF1" s="105" t="s">
        <v>92</v>
      </c>
      <c r="EG1" s="105" t="s">
        <v>80</v>
      </c>
      <c r="EH1" s="105" t="s">
        <v>62</v>
      </c>
      <c r="EI1" s="105" t="s">
        <v>150</v>
      </c>
      <c r="EJ1" s="105" t="s">
        <v>224</v>
      </c>
      <c r="EK1" s="105" t="s">
        <v>34</v>
      </c>
      <c r="EL1" s="105" t="s">
        <v>266</v>
      </c>
    </row>
    <row r="2" spans="1:142" s="6" customFormat="1" ht="29" x14ac:dyDescent="0.5">
      <c r="A2" s="33" t="s">
        <v>7</v>
      </c>
      <c r="B2" s="31" t="s">
        <v>29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6</v>
      </c>
      <c r="H2" s="31" t="s">
        <v>8</v>
      </c>
      <c r="I2" s="30" t="s">
        <v>9</v>
      </c>
      <c r="J2" s="109" t="s">
        <v>16</v>
      </c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31" t="s">
        <v>18</v>
      </c>
      <c r="X2" s="34" t="s">
        <v>378</v>
      </c>
      <c r="Y2" s="34" t="s">
        <v>379</v>
      </c>
      <c r="Z2" s="30" t="s">
        <v>15</v>
      </c>
      <c r="AA2" s="29" t="s">
        <v>19</v>
      </c>
      <c r="AB2" s="100"/>
      <c r="AC2" s="100"/>
      <c r="AD2" s="100"/>
      <c r="AF2" s="104">
        <f ca="1">SUM(AF3:AF862)</f>
        <v>62.425923319327644</v>
      </c>
      <c r="AG2" s="26"/>
      <c r="AH2" s="26"/>
      <c r="AJ2" s="10" t="s">
        <v>298</v>
      </c>
      <c r="AK2" s="13">
        <v>1</v>
      </c>
      <c r="AL2" s="13">
        <v>2</v>
      </c>
      <c r="AM2" s="13">
        <v>3</v>
      </c>
      <c r="AN2" s="13">
        <v>4</v>
      </c>
      <c r="AO2" s="13">
        <v>1</v>
      </c>
      <c r="AP2" s="13">
        <v>2</v>
      </c>
      <c r="AQ2" s="13">
        <v>3</v>
      </c>
      <c r="AR2" s="13">
        <v>4</v>
      </c>
      <c r="AS2" s="13">
        <v>1</v>
      </c>
      <c r="AT2" s="13">
        <v>2</v>
      </c>
      <c r="AU2" s="13">
        <v>3</v>
      </c>
      <c r="AV2" s="13">
        <v>4</v>
      </c>
      <c r="AW2" s="13">
        <v>1</v>
      </c>
      <c r="AX2" s="13">
        <v>2</v>
      </c>
      <c r="AY2" s="13">
        <v>3</v>
      </c>
      <c r="AZ2" s="13">
        <v>4</v>
      </c>
      <c r="BA2" s="13">
        <v>1</v>
      </c>
      <c r="BB2" s="13">
        <v>2</v>
      </c>
      <c r="BC2" s="13">
        <v>3</v>
      </c>
      <c r="BD2" s="13">
        <v>4</v>
      </c>
      <c r="BE2" s="13">
        <v>1</v>
      </c>
      <c r="BF2" s="13">
        <v>2</v>
      </c>
      <c r="BG2" s="13">
        <v>3</v>
      </c>
      <c r="BH2" s="13">
        <v>4</v>
      </c>
      <c r="BI2" s="13">
        <v>1</v>
      </c>
      <c r="BJ2" s="13">
        <v>2</v>
      </c>
      <c r="BK2" s="13">
        <v>3</v>
      </c>
      <c r="BL2" s="13">
        <v>4</v>
      </c>
      <c r="BN2" s="76" t="s">
        <v>5</v>
      </c>
      <c r="BO2" s="76" t="s">
        <v>16</v>
      </c>
      <c r="BQ2" s="6">
        <v>0</v>
      </c>
      <c r="BR2" s="72">
        <v>0</v>
      </c>
      <c r="BS2" s="72">
        <v>0</v>
      </c>
      <c r="BT2" s="72">
        <v>0</v>
      </c>
      <c r="BU2" s="72">
        <v>0</v>
      </c>
      <c r="BV2" s="72">
        <v>0</v>
      </c>
      <c r="BW2" s="72">
        <v>0</v>
      </c>
      <c r="BX2" s="72">
        <v>0</v>
      </c>
      <c r="BY2" s="72">
        <v>0</v>
      </c>
      <c r="BZ2" s="72">
        <v>0</v>
      </c>
      <c r="CA2" s="72">
        <v>0</v>
      </c>
      <c r="CB2" s="72">
        <v>0</v>
      </c>
      <c r="CC2" s="72">
        <v>0</v>
      </c>
      <c r="CD2" s="72">
        <v>0</v>
      </c>
      <c r="CE2" s="72">
        <v>0</v>
      </c>
      <c r="CF2" s="72">
        <v>0</v>
      </c>
      <c r="CG2" s="72">
        <v>0</v>
      </c>
      <c r="CH2" s="72">
        <v>0</v>
      </c>
      <c r="CI2" s="72">
        <v>0</v>
      </c>
      <c r="CJ2" s="72">
        <v>0</v>
      </c>
      <c r="CK2" s="72">
        <v>0</v>
      </c>
      <c r="CL2" s="72">
        <v>0</v>
      </c>
      <c r="CM2" s="72">
        <v>0</v>
      </c>
      <c r="CN2" s="72">
        <v>0</v>
      </c>
      <c r="CO2" s="72">
        <v>0</v>
      </c>
      <c r="CP2" s="72">
        <v>0</v>
      </c>
      <c r="CQ2" s="72">
        <v>0</v>
      </c>
      <c r="CR2" s="72">
        <v>0</v>
      </c>
      <c r="CS2" s="72">
        <v>0</v>
      </c>
      <c r="CT2" s="72">
        <v>0</v>
      </c>
      <c r="CU2" s="72">
        <v>0</v>
      </c>
      <c r="CV2" s="72">
        <v>0</v>
      </c>
      <c r="CW2" s="72">
        <v>0</v>
      </c>
      <c r="CX2" s="72">
        <v>0</v>
      </c>
      <c r="CY2" s="72">
        <v>0</v>
      </c>
      <c r="CZ2" s="72">
        <v>0</v>
      </c>
      <c r="DA2" s="72">
        <v>0</v>
      </c>
      <c r="DB2" s="72">
        <v>0</v>
      </c>
      <c r="DC2" s="72">
        <v>0</v>
      </c>
      <c r="DD2" s="72">
        <v>0</v>
      </c>
      <c r="DE2" s="72">
        <v>0</v>
      </c>
      <c r="DF2" s="72">
        <v>0</v>
      </c>
      <c r="DG2" s="72">
        <v>0</v>
      </c>
      <c r="DH2" s="72">
        <v>0</v>
      </c>
      <c r="DI2" s="72">
        <v>0</v>
      </c>
      <c r="DJ2" s="72">
        <v>0</v>
      </c>
      <c r="DK2" s="72">
        <v>0</v>
      </c>
      <c r="DL2" s="72">
        <v>0</v>
      </c>
      <c r="DM2" s="72">
        <v>0</v>
      </c>
      <c r="DN2" s="72">
        <v>0</v>
      </c>
      <c r="DO2" s="72">
        <v>0</v>
      </c>
      <c r="DP2" s="72">
        <v>0</v>
      </c>
      <c r="DQ2" s="72">
        <v>0</v>
      </c>
      <c r="DR2" s="72">
        <v>0</v>
      </c>
      <c r="DS2" s="72">
        <v>0</v>
      </c>
      <c r="DT2" s="72">
        <v>0</v>
      </c>
      <c r="DU2" s="72">
        <v>0</v>
      </c>
      <c r="DV2" s="72">
        <v>0</v>
      </c>
      <c r="DW2" s="72">
        <v>0</v>
      </c>
      <c r="DX2" s="72">
        <v>0</v>
      </c>
      <c r="DY2" s="72">
        <v>0</v>
      </c>
      <c r="DZ2" s="72">
        <v>0</v>
      </c>
      <c r="EA2" s="72">
        <v>0</v>
      </c>
      <c r="EB2" s="72">
        <v>0</v>
      </c>
      <c r="EC2" s="72">
        <v>0</v>
      </c>
      <c r="ED2" s="72">
        <v>0</v>
      </c>
      <c r="EE2" s="72">
        <v>0</v>
      </c>
      <c r="EF2" s="72">
        <v>0</v>
      </c>
      <c r="EG2" s="72">
        <v>0</v>
      </c>
      <c r="EH2" s="72">
        <v>0</v>
      </c>
      <c r="EI2" s="72">
        <v>0</v>
      </c>
      <c r="EJ2" s="72">
        <v>0</v>
      </c>
      <c r="EK2" s="72">
        <v>0</v>
      </c>
      <c r="EL2" s="72">
        <v>0</v>
      </c>
    </row>
    <row r="3" spans="1:142" ht="21" x14ac:dyDescent="0.5">
      <c r="A3" s="59">
        <f>Данные!A3</f>
        <v>3250</v>
      </c>
      <c r="B3" s="59">
        <f>Данные!B3</f>
        <v>2015</v>
      </c>
      <c r="C3" s="59" t="str">
        <f>Данные!C3</f>
        <v>компьютерных технологий и электронного обучения</v>
      </c>
      <c r="D3" s="59" t="str">
        <f>Данные!D3</f>
        <v>Гончарова Светлана Викторовна</v>
      </c>
      <c r="E3" s="59" t="str">
        <f>Данные!E3</f>
        <v>кандидат педагогических наук</v>
      </c>
      <c r="F3" s="59" t="str">
        <f>Данные!F3</f>
        <v>доцент</v>
      </c>
      <c r="G3" s="59">
        <f>Данные!G3</f>
        <v>1</v>
      </c>
      <c r="H3" s="59">
        <f>Данные!H3</f>
        <v>13809</v>
      </c>
      <c r="I3" s="59" t="str">
        <f>Данные!I3</f>
        <v>Информатика</v>
      </c>
      <c r="J3" s="59">
        <f>Данные!J3</f>
        <v>34</v>
      </c>
      <c r="K3" s="59">
        <f>Данные!K3</f>
        <v>0</v>
      </c>
      <c r="L3" s="59">
        <f>Данные!L3</f>
        <v>102</v>
      </c>
      <c r="M3" s="60">
        <f>SUM(J3:L3)/10</f>
        <v>13.6</v>
      </c>
      <c r="N3" s="60">
        <f ca="1">2+(0.33*W3)</f>
        <v>7.28</v>
      </c>
      <c r="O3" s="60">
        <f ca="1">0.25*W3</f>
        <v>4</v>
      </c>
      <c r="P3" s="60">
        <f ca="1">0.25*W3</f>
        <v>4</v>
      </c>
      <c r="Q3" s="54">
        <f>Данные!Q3</f>
        <v>0</v>
      </c>
      <c r="R3" s="54">
        <f>Данные!R3</f>
        <v>0</v>
      </c>
      <c r="S3" s="54">
        <f>Данные!S3</f>
        <v>0</v>
      </c>
      <c r="T3" s="54">
        <f>Данные!T3</f>
        <v>12</v>
      </c>
      <c r="U3" s="54">
        <f>Данные!U3</f>
        <v>0</v>
      </c>
      <c r="V3" s="54">
        <f>Данные!V3</f>
        <v>0</v>
      </c>
      <c r="W3" s="54">
        <f ca="1">Данные!W3</f>
        <v>16</v>
      </c>
      <c r="X3" s="54" t="str">
        <f ca="1">Данные!X3</f>
        <v>1</v>
      </c>
      <c r="Y3" s="54" t="str">
        <f ca="1">Данные!Y3</f>
        <v>2</v>
      </c>
      <c r="Z3" s="54">
        <f>Данные!Z3</f>
        <v>0</v>
      </c>
      <c r="AA3" s="54" t="str">
        <f>Данные!AA3</f>
        <v>осн</v>
      </c>
      <c r="AB3" s="101">
        <f>VLOOKUP(F3, $BN$3:$BO$15, 2, 0)</f>
        <v>800</v>
      </c>
      <c r="AC3" s="101" t="str">
        <f>IF(IFERROR(MATCH(H3, $AK$4:$BL$4, 0), 0)&gt;=1, "ИВТ (бак)", IF(IFERROR(MATCH(H3, $AK$5:$BL$5, 0), 0)&gt;=1, "КЭО (маг)", ""))</f>
        <v/>
      </c>
      <c r="AD3" s="101" t="str">
        <f>IF(IFERROR(MATCH(H3, $AK$4:$AN$4, 0), 0)=1, "2015–2016", IF(IFERROR(MATCH(H3, $AO$4:$AR$4, 0), 0)=1, "2016–2017", IF(IFERROR(MATCH(H3, $AS$4:$AV$4, 0), 0)=1, "2017–2018", IF(IFERROR(MATCH(H3, $AW$4:$AZ$4, 0), 0)=1, "2018–2019", IF(IFERROR(MATCH(H3, $BA$4:$BD$4, 0), 0)=1, "2019–2020", IF(IFERROR(MATCH(H3, $BE$4:$BH$4, 0), 0)=1, "2020–2021", IF(IFERROR(MATCH(H3, $BI$4:$BL$4, 0), 0)=1, "2021–2022", "")))))))</f>
        <v/>
      </c>
      <c r="AE3" s="102">
        <f ca="1">SUM(J3:V3)</f>
        <v>176.88</v>
      </c>
      <c r="AF3" s="103">
        <f ca="1">AE3/AB3</f>
        <v>0.22109999999999999</v>
      </c>
      <c r="AG3" s="101"/>
      <c r="AH3" s="101"/>
      <c r="AI3" s="6"/>
      <c r="AJ3" s="10" t="s">
        <v>299</v>
      </c>
      <c r="AK3" s="13">
        <v>2015</v>
      </c>
      <c r="AL3" s="13">
        <v>2014</v>
      </c>
      <c r="AM3" s="13">
        <v>2013</v>
      </c>
      <c r="AN3" s="13">
        <v>2012</v>
      </c>
      <c r="AO3" s="13">
        <v>2016</v>
      </c>
      <c r="AP3" s="13">
        <v>2015</v>
      </c>
      <c r="AQ3" s="13">
        <v>2014</v>
      </c>
      <c r="AR3" s="13">
        <v>2013</v>
      </c>
      <c r="AS3" s="13">
        <v>2017</v>
      </c>
      <c r="AT3" s="13">
        <v>2016</v>
      </c>
      <c r="AU3" s="13">
        <v>2015</v>
      </c>
      <c r="AV3" s="13">
        <v>2014</v>
      </c>
      <c r="AW3" s="13">
        <v>2018</v>
      </c>
      <c r="AX3" s="13">
        <v>2017</v>
      </c>
      <c r="AY3" s="13">
        <v>2016</v>
      </c>
      <c r="AZ3" s="13">
        <v>2015</v>
      </c>
      <c r="BA3" s="13">
        <v>2019</v>
      </c>
      <c r="BB3" s="13">
        <v>2018</v>
      </c>
      <c r="BC3" s="13">
        <v>2017</v>
      </c>
      <c r="BD3" s="13">
        <v>2016</v>
      </c>
      <c r="BE3" s="13">
        <v>2020</v>
      </c>
      <c r="BF3" s="13">
        <v>2019</v>
      </c>
      <c r="BG3" s="13">
        <v>2018</v>
      </c>
      <c r="BH3" s="13">
        <v>2017</v>
      </c>
      <c r="BI3" s="13">
        <v>2021</v>
      </c>
      <c r="BJ3" s="13">
        <v>2020</v>
      </c>
      <c r="BK3" s="13">
        <v>2019</v>
      </c>
      <c r="BL3" s="13">
        <v>2018</v>
      </c>
      <c r="BN3" s="17" t="str">
        <f>Данные!BG3</f>
        <v>заведующий кафедрой</v>
      </c>
      <c r="BO3" s="52">
        <f>Данные!BH3</f>
        <v>700</v>
      </c>
      <c r="BQ3" s="72">
        <v>0</v>
      </c>
      <c r="BR3" s="72">
        <v>0</v>
      </c>
      <c r="BS3" s="72">
        <v>0</v>
      </c>
      <c r="BT3" s="72">
        <v>0</v>
      </c>
      <c r="BU3" s="72">
        <v>0</v>
      </c>
      <c r="BV3" s="72">
        <v>0</v>
      </c>
      <c r="BW3" s="72">
        <v>0</v>
      </c>
      <c r="BX3" s="72">
        <v>0</v>
      </c>
      <c r="BY3" s="72">
        <v>0</v>
      </c>
      <c r="BZ3" s="72">
        <v>0</v>
      </c>
      <c r="CA3" s="72">
        <v>0</v>
      </c>
      <c r="CB3" s="72">
        <v>0</v>
      </c>
      <c r="CC3" s="72">
        <v>0</v>
      </c>
      <c r="CD3" s="72">
        <v>0</v>
      </c>
      <c r="CE3" s="72">
        <v>0</v>
      </c>
      <c r="CF3" s="72">
        <v>0</v>
      </c>
      <c r="CG3" s="72">
        <v>0</v>
      </c>
      <c r="CH3" s="72">
        <v>0</v>
      </c>
      <c r="CI3" s="72">
        <v>0</v>
      </c>
      <c r="CJ3" s="72">
        <v>0</v>
      </c>
      <c r="CK3" s="72">
        <v>0</v>
      </c>
      <c r="CL3" s="72">
        <v>0</v>
      </c>
      <c r="CM3" s="72">
        <v>0</v>
      </c>
      <c r="CN3" s="72">
        <v>0</v>
      </c>
      <c r="CO3" s="72">
        <v>0</v>
      </c>
      <c r="CP3" s="72">
        <v>0</v>
      </c>
      <c r="CQ3" s="72">
        <v>0</v>
      </c>
      <c r="CR3" s="72">
        <v>0</v>
      </c>
      <c r="CS3" s="72">
        <v>0</v>
      </c>
      <c r="CT3" s="72">
        <v>0</v>
      </c>
      <c r="CU3" s="72">
        <v>0</v>
      </c>
      <c r="CV3" s="72">
        <v>0</v>
      </c>
      <c r="CW3" s="72">
        <v>0</v>
      </c>
      <c r="CX3" s="72">
        <v>0</v>
      </c>
      <c r="CY3" s="72">
        <v>0</v>
      </c>
      <c r="CZ3" s="72">
        <v>0</v>
      </c>
      <c r="DA3" s="72">
        <v>0</v>
      </c>
      <c r="DB3" s="72">
        <v>0</v>
      </c>
      <c r="DC3" s="72">
        <v>0</v>
      </c>
      <c r="DD3" s="72">
        <v>0</v>
      </c>
      <c r="DE3" s="72">
        <v>0</v>
      </c>
      <c r="DF3" s="72">
        <v>0</v>
      </c>
      <c r="DG3" s="72">
        <v>0</v>
      </c>
      <c r="DH3" s="72">
        <v>0</v>
      </c>
      <c r="DI3" s="72">
        <v>0</v>
      </c>
      <c r="DJ3" s="72">
        <v>0</v>
      </c>
      <c r="DK3" s="72">
        <v>0</v>
      </c>
      <c r="DL3" s="72">
        <v>0</v>
      </c>
      <c r="DM3" s="72">
        <v>0</v>
      </c>
      <c r="DN3" s="72">
        <v>0</v>
      </c>
      <c r="DO3" s="72">
        <v>0</v>
      </c>
      <c r="DP3" s="72">
        <v>0</v>
      </c>
      <c r="DQ3" s="72">
        <v>0</v>
      </c>
      <c r="DR3" s="72">
        <v>0</v>
      </c>
      <c r="DS3" s="72">
        <v>0</v>
      </c>
      <c r="DT3" s="72">
        <v>0</v>
      </c>
      <c r="DU3" s="72">
        <v>0</v>
      </c>
      <c r="DV3" s="72">
        <v>0</v>
      </c>
      <c r="DW3" s="72">
        <v>0</v>
      </c>
      <c r="DX3" s="72">
        <v>0</v>
      </c>
      <c r="DY3" s="72">
        <v>0</v>
      </c>
      <c r="DZ3" s="72">
        <v>0</v>
      </c>
      <c r="EA3" s="72">
        <v>0</v>
      </c>
      <c r="EB3" s="72">
        <v>0</v>
      </c>
      <c r="EC3" s="72">
        <v>0</v>
      </c>
      <c r="ED3" s="72">
        <v>0</v>
      </c>
      <c r="EE3" s="72">
        <v>0</v>
      </c>
      <c r="EF3" s="72">
        <v>0</v>
      </c>
      <c r="EG3" s="72">
        <v>0</v>
      </c>
      <c r="EH3" s="72">
        <v>0</v>
      </c>
      <c r="EI3" s="72">
        <v>0</v>
      </c>
      <c r="EJ3" s="72">
        <v>0</v>
      </c>
      <c r="EK3" s="72">
        <v>0</v>
      </c>
      <c r="EL3" s="72">
        <v>0</v>
      </c>
    </row>
    <row r="4" spans="1:142" ht="37.5" x14ac:dyDescent="0.35">
      <c r="A4" s="59">
        <f>Данные!A4</f>
        <v>4276</v>
      </c>
      <c r="B4" s="59">
        <f>Данные!B4</f>
        <v>2015</v>
      </c>
      <c r="C4" s="59" t="str">
        <f>Данные!C4</f>
        <v>компьютерных технологий и электронного обучения</v>
      </c>
      <c r="D4" s="59" t="str">
        <f>Данные!D4</f>
        <v>Абрамян Геннадий Владимирович</v>
      </c>
      <c r="E4" s="59" t="str">
        <f>Данные!E4</f>
        <v>доктор педагогических наук</v>
      </c>
      <c r="F4" s="59" t="str">
        <f>Данные!F4</f>
        <v>профессор</v>
      </c>
      <c r="G4" s="59">
        <f>Данные!G4</f>
        <v>1</v>
      </c>
      <c r="H4" s="59">
        <f>Данные!H4</f>
        <v>13818</v>
      </c>
      <c r="I4" s="59" t="str">
        <f>Данные!I4</f>
        <v>Информационное обеспечение технологического образования. Применение Интернет-технологий в технологическом образовании</v>
      </c>
      <c r="J4" s="59">
        <f>Данные!J4</f>
        <v>18</v>
      </c>
      <c r="K4" s="59">
        <f>Данные!K4</f>
        <v>0</v>
      </c>
      <c r="L4" s="59">
        <f>Данные!L4</f>
        <v>54</v>
      </c>
      <c r="M4" s="60">
        <f t="shared" ref="M4:M67" si="0">SUM(J4:L4)/10</f>
        <v>7.2</v>
      </c>
      <c r="N4" s="60">
        <f t="shared" ref="N4:N67" ca="1" si="1">2+(0.33*W4)</f>
        <v>10.25</v>
      </c>
      <c r="O4" s="60">
        <f t="shared" ref="O4:O67" ca="1" si="2">0.25*W4</f>
        <v>6.25</v>
      </c>
      <c r="P4" s="60">
        <f t="shared" ref="P4:P67" ca="1" si="3">0.25*W4</f>
        <v>6.25</v>
      </c>
      <c r="Q4" s="54">
        <f>Данные!Q4</f>
        <v>0</v>
      </c>
      <c r="R4" s="54">
        <f>Данные!R4</f>
        <v>0</v>
      </c>
      <c r="S4" s="54">
        <f>Данные!S4</f>
        <v>0</v>
      </c>
      <c r="T4" s="54">
        <f>Данные!T4</f>
        <v>21</v>
      </c>
      <c r="U4" s="54">
        <f>Данные!U4</f>
        <v>0</v>
      </c>
      <c r="V4" s="54">
        <f>Данные!V4</f>
        <v>0</v>
      </c>
      <c r="W4" s="54">
        <f ca="1">Данные!W4</f>
        <v>25</v>
      </c>
      <c r="X4" s="54" t="str">
        <f ca="1">Данные!X4</f>
        <v>1</v>
      </c>
      <c r="Y4" s="54" t="str">
        <f ca="1">Данные!Y4</f>
        <v>2</v>
      </c>
      <c r="Z4" s="54">
        <f>Данные!Z4</f>
        <v>0</v>
      </c>
      <c r="AA4" s="54" t="str">
        <f>Данные!AA4</f>
        <v>осн</v>
      </c>
      <c r="AB4" s="101">
        <f t="shared" ref="AB4:AB67" si="4">VLOOKUP(F4, $BN$3:$BO$15, 2, 0)</f>
        <v>750</v>
      </c>
      <c r="AC4" s="101" t="str">
        <f t="shared" ref="AC4:AC67" si="5">IF(IFERROR(MATCH(H4, $AK$4:$BL$4, 0), 0)&gt;=1, "ИВТ (бак)", IF(IFERROR(MATCH(H4, $AK$5:$BL$5, 0), 0)&gt;=1, "КЭО (маг)", ""))</f>
        <v/>
      </c>
      <c r="AD4" s="101" t="str">
        <f t="shared" ref="AD4:AD67" si="6">IF(IFERROR(MATCH(H4, $AK$4:$AN$4, 0), 0)=1, "2015–2016", IF(IFERROR(MATCH(H4, $AO$4:$AR$4, 0), 0)=1, "2016–2017", IF(IFERROR(MATCH(H4, $AS$4:$AV$4, 0), 0)=1, "2017–2018", IF(IFERROR(MATCH(H4, $AW$4:$AZ$4, 0), 0)=1, "2018–2019", IF(IFERROR(MATCH(H4, $BA$4:$BD$4, 0), 0)=1, "2019–2020", IF(IFERROR(MATCH(H4, $BE$4:$BH$4, 0), 0)=1, "2020–2021", IF(IFERROR(MATCH(H4, $BI$4:$BL$4, 0), 0)=1, "2021–2022", "")))))))</f>
        <v/>
      </c>
      <c r="AE4" s="102">
        <f ca="1">SUM(J4:V4)</f>
        <v>122.95</v>
      </c>
      <c r="AF4" s="103">
        <f ca="1">AE4/AB4</f>
        <v>0.16393333333333335</v>
      </c>
      <c r="AG4" s="101"/>
      <c r="AH4" s="101"/>
      <c r="AI4" s="6"/>
      <c r="AJ4" s="11" t="s">
        <v>300</v>
      </c>
      <c r="AK4" s="48">
        <f>Данные!AD4</f>
        <v>14014</v>
      </c>
      <c r="AL4" s="55">
        <f>Данные!AE4</f>
        <v>24098</v>
      </c>
      <c r="AM4" s="55">
        <f>Данные!AF4</f>
        <v>11090</v>
      </c>
      <c r="AN4" s="55">
        <f>Данные!AG4</f>
        <v>12090</v>
      </c>
      <c r="AO4" s="55">
        <f>Данные!AH4</f>
        <v>15177</v>
      </c>
      <c r="AP4" s="55">
        <f>Данные!AI4</f>
        <v>15377</v>
      </c>
      <c r="AQ4" s="55">
        <f>Данные!AJ4</f>
        <v>25432</v>
      </c>
      <c r="AR4" s="55">
        <f>Данные!AK4</f>
        <v>23456</v>
      </c>
      <c r="AS4" s="55">
        <f>Данные!AL4</f>
        <v>16591</v>
      </c>
      <c r="AT4" s="55">
        <f>Данные!AM4</f>
        <v>16002</v>
      </c>
      <c r="AU4" s="55">
        <f>Данные!AN4</f>
        <v>16003</v>
      </c>
      <c r="AV4" s="55">
        <f>Данные!AO4</f>
        <v>16457</v>
      </c>
      <c r="AW4" s="55">
        <f>Данные!AP4</f>
        <v>17043</v>
      </c>
      <c r="AX4" s="55">
        <f>Данные!AQ4</f>
        <v>17236</v>
      </c>
      <c r="AY4" s="55">
        <f>Данные!AR4</f>
        <v>17232</v>
      </c>
      <c r="AZ4" s="55">
        <f>Данные!AS4</f>
        <v>17231</v>
      </c>
      <c r="BA4" s="55">
        <f>Данные!AT4</f>
        <v>19321</v>
      </c>
      <c r="BB4" s="55" t="str">
        <f>Данные!AU4</f>
        <v>2 курс (б) 2018 год/пост</v>
      </c>
      <c r="BC4" s="55" t="str">
        <f>Данные!AV4</f>
        <v>3 курс 2017 год/пост</v>
      </c>
      <c r="BD4" s="55" t="str">
        <f>Данные!AW4</f>
        <v>4 курс 2016 год/пост</v>
      </c>
      <c r="BE4" s="55">
        <f>Данные!AX4</f>
        <v>10980</v>
      </c>
      <c r="BF4" s="55">
        <f>Данные!AY4</f>
        <v>19000</v>
      </c>
      <c r="BG4" s="55" t="str">
        <f>Данные!AZ4</f>
        <v>3 курс 2018 год/пост</v>
      </c>
      <c r="BH4" s="55" t="str">
        <f>Данные!BA4</f>
        <v>4 курс 2017 год/пост</v>
      </c>
      <c r="BI4" s="55">
        <f>Данные!BB4</f>
        <v>19001</v>
      </c>
      <c r="BJ4" s="55">
        <f>Данные!BC4</f>
        <v>23000</v>
      </c>
      <c r="BK4" s="55">
        <f>Данные!BD4</f>
        <v>25000</v>
      </c>
      <c r="BL4" s="55" t="str">
        <f>Данные!BE4</f>
        <v>4 курс 2018 год/пост</v>
      </c>
      <c r="BN4" s="74" t="str">
        <f>Данные!BG4</f>
        <v>профессор</v>
      </c>
      <c r="BO4" s="75">
        <f>Данные!BH4</f>
        <v>750</v>
      </c>
      <c r="BQ4" s="72">
        <v>0</v>
      </c>
      <c r="BR4" s="72">
        <v>0</v>
      </c>
      <c r="BS4" s="72">
        <v>0</v>
      </c>
      <c r="BT4" s="72">
        <v>0</v>
      </c>
      <c r="BU4" s="72">
        <v>0</v>
      </c>
      <c r="BV4" s="72">
        <v>0</v>
      </c>
      <c r="BW4" s="72">
        <v>0</v>
      </c>
      <c r="BX4" s="72">
        <v>0</v>
      </c>
      <c r="BY4" s="72">
        <v>0</v>
      </c>
      <c r="BZ4" s="72">
        <v>0</v>
      </c>
      <c r="CA4" s="72">
        <v>0</v>
      </c>
      <c r="CB4" s="72">
        <v>0</v>
      </c>
      <c r="CC4" s="72">
        <v>0</v>
      </c>
      <c r="CD4" s="72">
        <v>0</v>
      </c>
      <c r="CE4" s="72">
        <v>0</v>
      </c>
      <c r="CF4" s="72">
        <v>0</v>
      </c>
      <c r="CG4" s="72">
        <v>0</v>
      </c>
      <c r="CH4" s="72">
        <v>0</v>
      </c>
      <c r="CI4" s="72">
        <v>0</v>
      </c>
      <c r="CJ4" s="72">
        <v>0</v>
      </c>
      <c r="CK4" s="72">
        <v>0</v>
      </c>
      <c r="CL4" s="72">
        <v>0</v>
      </c>
      <c r="CM4" s="72">
        <v>0</v>
      </c>
      <c r="CN4" s="72">
        <v>0</v>
      </c>
      <c r="CO4" s="72">
        <v>0</v>
      </c>
      <c r="CP4" s="72">
        <v>0</v>
      </c>
      <c r="CQ4" s="72">
        <v>0</v>
      </c>
      <c r="CR4" s="72">
        <v>0</v>
      </c>
      <c r="CS4" s="72">
        <v>0</v>
      </c>
      <c r="CT4" s="72">
        <v>0</v>
      </c>
      <c r="CU4" s="72">
        <v>0</v>
      </c>
      <c r="CV4" s="72">
        <v>0</v>
      </c>
      <c r="CW4" s="72">
        <v>0</v>
      </c>
      <c r="CX4" s="72">
        <v>0</v>
      </c>
      <c r="CY4" s="72">
        <v>0</v>
      </c>
      <c r="CZ4" s="72">
        <v>0</v>
      </c>
      <c r="DA4" s="72">
        <v>0</v>
      </c>
      <c r="DB4" s="72">
        <v>0</v>
      </c>
      <c r="DC4" s="72">
        <v>0</v>
      </c>
      <c r="DD4" s="72">
        <v>0</v>
      </c>
      <c r="DE4" s="72">
        <v>0</v>
      </c>
      <c r="DF4" s="72">
        <v>0</v>
      </c>
      <c r="DG4" s="72">
        <v>0</v>
      </c>
      <c r="DH4" s="72">
        <v>0</v>
      </c>
      <c r="DI4" s="72">
        <v>0</v>
      </c>
      <c r="DJ4" s="72">
        <v>0</v>
      </c>
      <c r="DK4" s="72">
        <v>0</v>
      </c>
      <c r="DL4" s="72">
        <v>0</v>
      </c>
      <c r="DM4" s="72">
        <v>0</v>
      </c>
      <c r="DN4" s="72">
        <v>0</v>
      </c>
      <c r="DO4" s="72">
        <v>0</v>
      </c>
      <c r="DP4" s="72">
        <v>0</v>
      </c>
      <c r="DQ4" s="72">
        <v>0</v>
      </c>
      <c r="DR4" s="72">
        <v>0</v>
      </c>
      <c r="DS4" s="72">
        <v>0</v>
      </c>
      <c r="DT4" s="72">
        <v>0</v>
      </c>
      <c r="DU4" s="72">
        <v>0</v>
      </c>
      <c r="DV4" s="72">
        <v>0</v>
      </c>
      <c r="DW4" s="72">
        <v>0</v>
      </c>
      <c r="DX4" s="72">
        <v>0</v>
      </c>
      <c r="DY4" s="72">
        <v>0</v>
      </c>
      <c r="DZ4" s="72">
        <v>0</v>
      </c>
      <c r="EA4" s="72">
        <v>0</v>
      </c>
      <c r="EB4" s="72">
        <v>0</v>
      </c>
      <c r="EC4" s="72">
        <v>0</v>
      </c>
      <c r="ED4" s="72">
        <v>0</v>
      </c>
      <c r="EE4" s="72">
        <v>0</v>
      </c>
      <c r="EF4" s="72">
        <v>0</v>
      </c>
      <c r="EG4" s="72">
        <v>0</v>
      </c>
      <c r="EH4" s="72">
        <v>0</v>
      </c>
      <c r="EI4" s="72">
        <v>0</v>
      </c>
      <c r="EJ4" s="72">
        <v>0</v>
      </c>
      <c r="EK4" s="72">
        <v>0</v>
      </c>
      <c r="EL4" s="72">
        <v>0</v>
      </c>
    </row>
    <row r="5" spans="1:142" ht="37.5" x14ac:dyDescent="0.35">
      <c r="A5" s="59">
        <f>Данные!A5</f>
        <v>4276</v>
      </c>
      <c r="B5" s="59">
        <f>Данные!B5</f>
        <v>2015</v>
      </c>
      <c r="C5" s="59" t="str">
        <f>Данные!C5</f>
        <v>компьютерных технологий и электронного обучения</v>
      </c>
      <c r="D5" s="59" t="str">
        <f>Данные!D5</f>
        <v>Авксентьева Елена Юрьевна</v>
      </c>
      <c r="E5" s="59" t="str">
        <f>Данные!E5</f>
        <v>кандидат педагогических наук</v>
      </c>
      <c r="F5" s="59" t="str">
        <f>Данные!F5</f>
        <v>доцент</v>
      </c>
      <c r="G5" s="59">
        <f>Данные!G5</f>
        <v>1</v>
      </c>
      <c r="H5" s="59">
        <f>Данные!H5</f>
        <v>13818</v>
      </c>
      <c r="I5" s="59" t="str">
        <f>Данные!I5</f>
        <v>Информационные технологии</v>
      </c>
      <c r="J5" s="59">
        <f>Данные!J5</f>
        <v>0</v>
      </c>
      <c r="K5" s="59">
        <f>Данные!K5</f>
        <v>0</v>
      </c>
      <c r="L5" s="59">
        <f>Данные!L5</f>
        <v>0</v>
      </c>
      <c r="M5" s="60">
        <f t="shared" si="0"/>
        <v>0</v>
      </c>
      <c r="N5" s="60">
        <f t="shared" ca="1" si="1"/>
        <v>10.25</v>
      </c>
      <c r="O5" s="60">
        <f t="shared" ca="1" si="2"/>
        <v>6.25</v>
      </c>
      <c r="P5" s="60">
        <f t="shared" ca="1" si="3"/>
        <v>6.25</v>
      </c>
      <c r="Q5" s="54">
        <f>Данные!Q5</f>
        <v>0</v>
      </c>
      <c r="R5" s="54">
        <f>Данные!R5</f>
        <v>0</v>
      </c>
      <c r="S5" s="54">
        <f>Данные!S5</f>
        <v>0</v>
      </c>
      <c r="T5" s="54">
        <f>Данные!T5</f>
        <v>15</v>
      </c>
      <c r="U5" s="54">
        <f>Данные!U5</f>
        <v>0</v>
      </c>
      <c r="V5" s="54">
        <f>Данные!V5</f>
        <v>0</v>
      </c>
      <c r="W5" s="54">
        <f ca="1">Данные!W5</f>
        <v>25</v>
      </c>
      <c r="X5" s="54" t="str">
        <f ca="1">Данные!X5</f>
        <v>1</v>
      </c>
      <c r="Y5" s="54" t="str">
        <f ca="1">Данные!Y5</f>
        <v>2</v>
      </c>
      <c r="Z5" s="54">
        <f>Данные!Z5</f>
        <v>0</v>
      </c>
      <c r="AA5" s="54" t="str">
        <f>Данные!AA5</f>
        <v>осн</v>
      </c>
      <c r="AB5" s="101">
        <f t="shared" si="4"/>
        <v>800</v>
      </c>
      <c r="AC5" s="101" t="str">
        <f t="shared" si="5"/>
        <v/>
      </c>
      <c r="AD5" s="101" t="str">
        <f t="shared" si="6"/>
        <v/>
      </c>
      <c r="AE5" s="102">
        <f t="shared" ref="AE5:AE67" ca="1" si="7">SUM(J5:V5)</f>
        <v>37.75</v>
      </c>
      <c r="AF5" s="103">
        <f t="shared" ref="AF5:AF68" ca="1" si="8">AE5/AB5</f>
        <v>4.71875E-2</v>
      </c>
      <c r="AG5" s="101"/>
      <c r="AH5" s="101"/>
      <c r="AI5" s="6"/>
      <c r="AJ5" s="12" t="s">
        <v>301</v>
      </c>
      <c r="AK5" s="53">
        <f>Данные!AD5</f>
        <v>14020</v>
      </c>
      <c r="AL5" s="53">
        <f>Данные!AE5</f>
        <v>34567</v>
      </c>
      <c r="AM5" s="44"/>
      <c r="AN5" s="44"/>
      <c r="AO5" s="53">
        <f>Данные!AH5</f>
        <v>34789</v>
      </c>
      <c r="AP5" s="53">
        <f>Данные!AI5</f>
        <v>12987</v>
      </c>
      <c r="AQ5" s="57"/>
      <c r="AR5" s="57"/>
      <c r="AS5" s="56">
        <f>Данные!AL5</f>
        <v>16595</v>
      </c>
      <c r="AT5" s="53">
        <f>Данные!AM5</f>
        <v>15764</v>
      </c>
      <c r="AU5" s="57"/>
      <c r="AV5" s="57"/>
      <c r="AW5" s="56">
        <f>Данные!AP5</f>
        <v>17048</v>
      </c>
      <c r="AX5" s="53">
        <f>Данные!AQ5</f>
        <v>17248</v>
      </c>
      <c r="AY5" s="57"/>
      <c r="AZ5" s="57"/>
      <c r="BA5" s="56">
        <f>Данные!AT5</f>
        <v>18945</v>
      </c>
      <c r="BB5" s="53" t="str">
        <f>Данные!AU5</f>
        <v>2 курс (м) 2018 год/пост</v>
      </c>
      <c r="BC5" s="57"/>
      <c r="BD5" s="57"/>
      <c r="BE5" s="56">
        <f>Данные!AX5</f>
        <v>23900</v>
      </c>
      <c r="BF5" s="53">
        <f>Данные!AY5</f>
        <v>15999</v>
      </c>
      <c r="BG5" s="57"/>
      <c r="BH5" s="57"/>
      <c r="BI5" s="56">
        <f>Данные!BB5</f>
        <v>12000</v>
      </c>
      <c r="BJ5" s="53">
        <f>Данные!BC5</f>
        <v>24000</v>
      </c>
      <c r="BK5" s="57"/>
      <c r="BL5" s="57"/>
      <c r="BN5" s="51" t="str">
        <f>Данные!BG5</f>
        <v>доцент</v>
      </c>
      <c r="BO5" s="52">
        <f>Данные!BH5</f>
        <v>800</v>
      </c>
      <c r="BQ5" s="72">
        <v>0</v>
      </c>
      <c r="BR5" s="72">
        <v>0</v>
      </c>
      <c r="BS5" s="72">
        <v>0</v>
      </c>
      <c r="BT5" s="72">
        <v>0</v>
      </c>
      <c r="BU5" s="72">
        <v>0</v>
      </c>
      <c r="BV5" s="72">
        <v>0</v>
      </c>
      <c r="BW5" s="72">
        <v>0</v>
      </c>
      <c r="BX5" s="72">
        <v>0</v>
      </c>
      <c r="BY5" s="72">
        <v>0</v>
      </c>
      <c r="BZ5" s="72">
        <v>0</v>
      </c>
      <c r="CA5" s="72">
        <v>0</v>
      </c>
      <c r="CB5" s="72">
        <v>0</v>
      </c>
      <c r="CC5" s="72">
        <v>0</v>
      </c>
      <c r="CD5" s="72">
        <v>0</v>
      </c>
      <c r="CE5" s="72">
        <v>0</v>
      </c>
      <c r="CF5" s="72">
        <v>0</v>
      </c>
      <c r="CG5" s="72">
        <v>0</v>
      </c>
      <c r="CH5" s="72">
        <v>0</v>
      </c>
      <c r="CI5" s="72">
        <v>0</v>
      </c>
      <c r="CJ5" s="72">
        <v>0</v>
      </c>
      <c r="CK5" s="72">
        <v>0</v>
      </c>
      <c r="CL5" s="72">
        <v>0</v>
      </c>
      <c r="CM5" s="72">
        <v>0</v>
      </c>
      <c r="CN5" s="72">
        <v>0</v>
      </c>
      <c r="CO5" s="72">
        <v>0</v>
      </c>
      <c r="CP5" s="72">
        <v>0</v>
      </c>
      <c r="CQ5" s="72">
        <v>0</v>
      </c>
      <c r="CR5" s="72">
        <v>0</v>
      </c>
      <c r="CS5" s="72">
        <v>0</v>
      </c>
      <c r="CT5" s="72">
        <v>0</v>
      </c>
      <c r="CU5" s="72">
        <v>0</v>
      </c>
      <c r="CV5" s="72">
        <v>0</v>
      </c>
      <c r="CW5" s="72">
        <v>0</v>
      </c>
      <c r="CX5" s="72">
        <v>0</v>
      </c>
      <c r="CY5" s="72">
        <v>0</v>
      </c>
      <c r="CZ5" s="72">
        <v>0</v>
      </c>
      <c r="DA5" s="72">
        <v>0</v>
      </c>
      <c r="DB5" s="72">
        <v>0</v>
      </c>
      <c r="DC5" s="72">
        <v>0</v>
      </c>
      <c r="DD5" s="72">
        <v>0</v>
      </c>
      <c r="DE5" s="72">
        <v>0</v>
      </c>
      <c r="DF5" s="72">
        <v>0</v>
      </c>
      <c r="DG5" s="72">
        <v>0</v>
      </c>
      <c r="DH5" s="72">
        <v>0</v>
      </c>
      <c r="DI5" s="72">
        <v>0</v>
      </c>
      <c r="DJ5" s="72">
        <v>0</v>
      </c>
      <c r="DK5" s="72">
        <v>0</v>
      </c>
      <c r="DL5" s="72">
        <v>0</v>
      </c>
      <c r="DM5" s="72">
        <v>0</v>
      </c>
      <c r="DN5" s="72">
        <v>0</v>
      </c>
      <c r="DO5" s="72">
        <v>0</v>
      </c>
      <c r="DP5" s="72">
        <v>0</v>
      </c>
      <c r="DQ5" s="72">
        <v>0</v>
      </c>
      <c r="DR5" s="72">
        <v>0</v>
      </c>
      <c r="DS5" s="72">
        <v>0</v>
      </c>
      <c r="DT5" s="72">
        <v>0</v>
      </c>
      <c r="DU5" s="72">
        <v>0</v>
      </c>
      <c r="DV5" s="72">
        <v>0</v>
      </c>
      <c r="DW5" s="72">
        <v>0</v>
      </c>
      <c r="DX5" s="72">
        <v>0</v>
      </c>
      <c r="DY5" s="72">
        <v>0</v>
      </c>
      <c r="DZ5" s="72">
        <v>0</v>
      </c>
      <c r="EA5" s="72">
        <v>0</v>
      </c>
      <c r="EB5" s="72">
        <v>0</v>
      </c>
      <c r="EC5" s="72">
        <v>0</v>
      </c>
      <c r="ED5" s="72">
        <v>0</v>
      </c>
      <c r="EE5" s="72">
        <v>0</v>
      </c>
      <c r="EF5" s="72">
        <v>0</v>
      </c>
      <c r="EG5" s="72">
        <v>0</v>
      </c>
      <c r="EH5" s="72">
        <v>0</v>
      </c>
      <c r="EI5" s="72">
        <v>0</v>
      </c>
      <c r="EJ5" s="72">
        <v>0</v>
      </c>
      <c r="EK5" s="72">
        <v>0</v>
      </c>
      <c r="EL5" s="72">
        <v>0</v>
      </c>
    </row>
    <row r="6" spans="1:142" x14ac:dyDescent="0.35">
      <c r="A6" s="59">
        <f>Данные!A6</f>
        <v>4276</v>
      </c>
      <c r="B6" s="59">
        <f>Данные!B6</f>
        <v>2015</v>
      </c>
      <c r="C6" s="59" t="str">
        <f>Данные!C6</f>
        <v>компьютерных технологий и электронного обучения</v>
      </c>
      <c r="D6" s="59" t="str">
        <f>Данные!D6</f>
        <v>Гончарова Светлана Викторовна</v>
      </c>
      <c r="E6" s="59" t="str">
        <f>Данные!E6</f>
        <v>кандидат педагогических наук</v>
      </c>
      <c r="F6" s="59" t="str">
        <f>Данные!F6</f>
        <v>доцент</v>
      </c>
      <c r="G6" s="59">
        <f>Данные!G6</f>
        <v>1</v>
      </c>
      <c r="H6" s="59">
        <f>Данные!H6</f>
        <v>13818</v>
      </c>
      <c r="I6" s="59" t="str">
        <f>Данные!I6</f>
        <v>Информационные технологии</v>
      </c>
      <c r="J6" s="59">
        <f>Данные!J6</f>
        <v>9</v>
      </c>
      <c r="K6" s="59">
        <f>Данные!K6</f>
        <v>32</v>
      </c>
      <c r="L6" s="59">
        <f>Данные!L6</f>
        <v>0</v>
      </c>
      <c r="M6" s="60">
        <f t="shared" si="0"/>
        <v>4.0999999999999996</v>
      </c>
      <c r="N6" s="60">
        <f t="shared" ca="1" si="1"/>
        <v>10.25</v>
      </c>
      <c r="O6" s="60">
        <f t="shared" ca="1" si="2"/>
        <v>6.25</v>
      </c>
      <c r="P6" s="60">
        <f t="shared" ca="1" si="3"/>
        <v>6.25</v>
      </c>
      <c r="Q6" s="54">
        <f>Данные!Q6</f>
        <v>0</v>
      </c>
      <c r="R6" s="54">
        <f>Данные!R6</f>
        <v>0</v>
      </c>
      <c r="S6" s="54">
        <f>Данные!S6</f>
        <v>0</v>
      </c>
      <c r="T6" s="54">
        <f>Данные!T6</f>
        <v>3</v>
      </c>
      <c r="U6" s="54">
        <f>Данные!U6</f>
        <v>0</v>
      </c>
      <c r="V6" s="54">
        <f>Данные!V6</f>
        <v>0</v>
      </c>
      <c r="W6" s="54">
        <f ca="1">Данные!W6</f>
        <v>25</v>
      </c>
      <c r="X6" s="54" t="str">
        <f ca="1">Данные!X6</f>
        <v>1</v>
      </c>
      <c r="Y6" s="54" t="str">
        <f ca="1">Данные!Y6</f>
        <v>2</v>
      </c>
      <c r="Z6" s="54">
        <f>Данные!Z6</f>
        <v>0</v>
      </c>
      <c r="AA6" s="54" t="str">
        <f>Данные!AA6</f>
        <v>осн</v>
      </c>
      <c r="AB6" s="101">
        <f t="shared" si="4"/>
        <v>800</v>
      </c>
      <c r="AC6" s="101" t="str">
        <f t="shared" si="5"/>
        <v/>
      </c>
      <c r="AD6" s="101" t="str">
        <f t="shared" si="6"/>
        <v/>
      </c>
      <c r="AE6" s="102">
        <f t="shared" ca="1" si="7"/>
        <v>70.849999999999994</v>
      </c>
      <c r="AF6" s="103">
        <f t="shared" ca="1" si="8"/>
        <v>8.8562499999999988E-2</v>
      </c>
      <c r="AG6" s="101"/>
      <c r="AH6" s="101"/>
      <c r="AI6" s="6"/>
      <c r="BN6" s="51" t="str">
        <f>Данные!BG6</f>
        <v>старший преподаватель</v>
      </c>
      <c r="BO6" s="52">
        <f>Данные!BH6</f>
        <v>850</v>
      </c>
      <c r="BQ6" s="72">
        <v>0</v>
      </c>
      <c r="BR6" s="72">
        <v>0</v>
      </c>
      <c r="BS6" s="72">
        <v>0</v>
      </c>
      <c r="BT6" s="72">
        <v>0</v>
      </c>
      <c r="BU6" s="72">
        <v>0</v>
      </c>
      <c r="BV6" s="72">
        <v>0</v>
      </c>
      <c r="BW6" s="72">
        <v>0</v>
      </c>
      <c r="BX6" s="72">
        <v>0</v>
      </c>
      <c r="BY6" s="72">
        <v>0</v>
      </c>
      <c r="BZ6" s="72">
        <v>0</v>
      </c>
      <c r="CA6" s="72">
        <v>0</v>
      </c>
      <c r="CB6" s="72">
        <v>0</v>
      </c>
      <c r="CC6" s="72">
        <v>0</v>
      </c>
      <c r="CD6" s="72">
        <v>0</v>
      </c>
      <c r="CE6" s="72">
        <v>0</v>
      </c>
      <c r="CF6" s="72">
        <v>0</v>
      </c>
      <c r="CG6" s="72">
        <v>0</v>
      </c>
      <c r="CH6" s="72">
        <v>0</v>
      </c>
      <c r="CI6" s="72">
        <v>0</v>
      </c>
      <c r="CJ6" s="72">
        <v>0</v>
      </c>
      <c r="CK6" s="72">
        <v>0</v>
      </c>
      <c r="CL6" s="72">
        <v>0</v>
      </c>
      <c r="CM6" s="72">
        <v>0</v>
      </c>
      <c r="CN6" s="72">
        <v>0</v>
      </c>
      <c r="CO6" s="72">
        <v>0</v>
      </c>
      <c r="CP6" s="72">
        <v>0</v>
      </c>
      <c r="CQ6" s="72">
        <v>0</v>
      </c>
      <c r="CR6" s="72">
        <v>0</v>
      </c>
      <c r="CS6" s="72">
        <v>0</v>
      </c>
      <c r="CT6" s="72">
        <v>0</v>
      </c>
      <c r="CU6" s="72">
        <v>0</v>
      </c>
      <c r="CV6" s="72">
        <v>0</v>
      </c>
      <c r="CW6" s="72">
        <v>0</v>
      </c>
      <c r="CX6" s="72">
        <v>0</v>
      </c>
      <c r="CY6" s="72">
        <v>0</v>
      </c>
      <c r="CZ6" s="72">
        <v>0</v>
      </c>
      <c r="DA6" s="72">
        <v>0</v>
      </c>
      <c r="DB6" s="72">
        <v>0</v>
      </c>
      <c r="DC6" s="72">
        <v>0</v>
      </c>
      <c r="DD6" s="72">
        <v>0</v>
      </c>
      <c r="DE6" s="72">
        <v>0</v>
      </c>
      <c r="DF6" s="72">
        <v>0</v>
      </c>
      <c r="DG6" s="72">
        <v>0</v>
      </c>
      <c r="DH6" s="72">
        <v>0</v>
      </c>
      <c r="DI6" s="72">
        <v>0</v>
      </c>
      <c r="DJ6" s="72">
        <v>0</v>
      </c>
      <c r="DK6" s="72">
        <v>0</v>
      </c>
      <c r="DL6" s="72">
        <v>0</v>
      </c>
      <c r="DM6" s="72">
        <v>0</v>
      </c>
      <c r="DN6" s="72">
        <v>0</v>
      </c>
      <c r="DO6" s="72">
        <v>0</v>
      </c>
      <c r="DP6" s="72">
        <v>0</v>
      </c>
      <c r="DQ6" s="72">
        <v>0</v>
      </c>
      <c r="DR6" s="72">
        <v>0</v>
      </c>
      <c r="DS6" s="72">
        <v>0</v>
      </c>
      <c r="DT6" s="72">
        <v>0</v>
      </c>
      <c r="DU6" s="72">
        <v>0</v>
      </c>
      <c r="DV6" s="72">
        <v>0</v>
      </c>
      <c r="DW6" s="72">
        <v>0</v>
      </c>
      <c r="DX6" s="72">
        <v>0</v>
      </c>
      <c r="DY6" s="72">
        <v>0</v>
      </c>
      <c r="DZ6" s="72">
        <v>0</v>
      </c>
      <c r="EA6" s="72">
        <v>0</v>
      </c>
      <c r="EB6" s="72">
        <v>0</v>
      </c>
      <c r="EC6" s="72">
        <v>0</v>
      </c>
      <c r="ED6" s="72">
        <v>0</v>
      </c>
      <c r="EE6" s="72">
        <v>0</v>
      </c>
      <c r="EF6" s="72">
        <v>0</v>
      </c>
      <c r="EG6" s="72">
        <v>0</v>
      </c>
      <c r="EH6" s="72">
        <v>0</v>
      </c>
      <c r="EI6" s="72">
        <v>0</v>
      </c>
      <c r="EJ6" s="72">
        <v>0</v>
      </c>
      <c r="EK6" s="72">
        <v>0</v>
      </c>
      <c r="EL6" s="72">
        <v>0</v>
      </c>
    </row>
    <row r="7" spans="1:142" x14ac:dyDescent="0.35">
      <c r="A7" s="59">
        <f>Данные!A7</f>
        <v>4276</v>
      </c>
      <c r="B7" s="59">
        <f>Данные!B7</f>
        <v>2015</v>
      </c>
      <c r="C7" s="59" t="str">
        <f>Данные!C7</f>
        <v>компьютерных технологий и электронного обучения</v>
      </c>
      <c r="D7" s="59" t="str">
        <f>Данные!D7</f>
        <v>Ильина Татьяна Сергеевна</v>
      </c>
      <c r="E7" s="59" t="str">
        <f>Данные!E7</f>
        <v>нет</v>
      </c>
      <c r="F7" s="59" t="str">
        <f>Данные!F7</f>
        <v>старший преподаватель</v>
      </c>
      <c r="G7" s="59">
        <f>Данные!G7</f>
        <v>1</v>
      </c>
      <c r="H7" s="59">
        <f>Данные!H7</f>
        <v>13818</v>
      </c>
      <c r="I7" s="59" t="str">
        <f>Данные!I7</f>
        <v>Информационные технологии</v>
      </c>
      <c r="J7" s="59">
        <f>Данные!J7</f>
        <v>0</v>
      </c>
      <c r="K7" s="59">
        <f>Данные!K7</f>
        <v>64</v>
      </c>
      <c r="L7" s="59">
        <f>Данные!L7</f>
        <v>0</v>
      </c>
      <c r="M7" s="60">
        <f t="shared" si="0"/>
        <v>6.4</v>
      </c>
      <c r="N7" s="60">
        <f t="shared" ca="1" si="1"/>
        <v>10.25</v>
      </c>
      <c r="O7" s="60">
        <f t="shared" ca="1" si="2"/>
        <v>6.25</v>
      </c>
      <c r="P7" s="60">
        <f t="shared" ca="1" si="3"/>
        <v>6.25</v>
      </c>
      <c r="Q7" s="54">
        <f>Данные!Q7</f>
        <v>0</v>
      </c>
      <c r="R7" s="54">
        <f>Данные!R7</f>
        <v>0</v>
      </c>
      <c r="S7" s="54">
        <f>Данные!S7</f>
        <v>0</v>
      </c>
      <c r="T7" s="54">
        <f>Данные!T7</f>
        <v>3</v>
      </c>
      <c r="U7" s="54">
        <f>Данные!U7</f>
        <v>0</v>
      </c>
      <c r="V7" s="54">
        <f>Данные!V7</f>
        <v>0</v>
      </c>
      <c r="W7" s="54">
        <f ca="1">Данные!W7</f>
        <v>25</v>
      </c>
      <c r="X7" s="54" t="str">
        <f ca="1">Данные!X7</f>
        <v>1</v>
      </c>
      <c r="Y7" s="54" t="str">
        <f ca="1">Данные!Y7</f>
        <v>2</v>
      </c>
      <c r="Z7" s="54">
        <f>Данные!Z7</f>
        <v>0</v>
      </c>
      <c r="AA7" s="54" t="str">
        <f>Данные!AA7</f>
        <v>осн</v>
      </c>
      <c r="AB7" s="101">
        <f t="shared" si="4"/>
        <v>850</v>
      </c>
      <c r="AC7" s="101" t="str">
        <f t="shared" si="5"/>
        <v/>
      </c>
      <c r="AD7" s="101" t="str">
        <f t="shared" si="6"/>
        <v/>
      </c>
      <c r="AE7" s="102">
        <f t="shared" ca="1" si="7"/>
        <v>96.15</v>
      </c>
      <c r="AF7" s="103">
        <f t="shared" ca="1" si="8"/>
        <v>0.11311764705882353</v>
      </c>
      <c r="AG7" s="101"/>
      <c r="AH7" s="101"/>
      <c r="AI7" s="6"/>
      <c r="BN7" s="51" t="str">
        <f>Данные!BG7</f>
        <v>ассистент</v>
      </c>
      <c r="BO7" s="52">
        <f>Данные!BH7</f>
        <v>900</v>
      </c>
      <c r="BQ7" s="72">
        <v>0</v>
      </c>
      <c r="BR7" s="72">
        <v>0</v>
      </c>
      <c r="BS7" s="72">
        <v>0</v>
      </c>
      <c r="BT7" s="72">
        <v>0</v>
      </c>
      <c r="BU7" s="72">
        <v>0</v>
      </c>
      <c r="BV7" s="72">
        <v>0</v>
      </c>
      <c r="BW7" s="72">
        <v>0</v>
      </c>
      <c r="BX7" s="72">
        <v>0</v>
      </c>
      <c r="BY7" s="72">
        <v>0</v>
      </c>
      <c r="BZ7" s="72">
        <v>0</v>
      </c>
      <c r="CA7" s="72">
        <v>0</v>
      </c>
      <c r="CB7" s="72">
        <v>0</v>
      </c>
      <c r="CC7" s="72">
        <v>0</v>
      </c>
      <c r="CD7" s="72">
        <v>0</v>
      </c>
      <c r="CE7" s="72">
        <v>0</v>
      </c>
      <c r="CF7" s="72">
        <v>0</v>
      </c>
      <c r="CG7" s="72">
        <v>0</v>
      </c>
      <c r="CH7" s="72">
        <v>0</v>
      </c>
      <c r="CI7" s="72">
        <v>0</v>
      </c>
      <c r="CJ7" s="72">
        <v>0</v>
      </c>
      <c r="CK7" s="72">
        <v>0</v>
      </c>
      <c r="CL7" s="72">
        <v>0</v>
      </c>
      <c r="CM7" s="72">
        <v>0</v>
      </c>
      <c r="CN7" s="72">
        <v>0</v>
      </c>
      <c r="CO7" s="72">
        <v>0</v>
      </c>
      <c r="CP7" s="72">
        <v>0</v>
      </c>
      <c r="CQ7" s="72">
        <v>0</v>
      </c>
      <c r="CR7" s="72">
        <v>0</v>
      </c>
      <c r="CS7" s="72">
        <v>0</v>
      </c>
      <c r="CT7" s="72">
        <v>0</v>
      </c>
      <c r="CU7" s="72">
        <v>0</v>
      </c>
      <c r="CV7" s="72">
        <v>0</v>
      </c>
      <c r="CW7" s="72">
        <v>0</v>
      </c>
      <c r="CX7" s="72">
        <v>0</v>
      </c>
      <c r="CY7" s="72">
        <v>0</v>
      </c>
      <c r="CZ7" s="72">
        <v>0</v>
      </c>
      <c r="DA7" s="72">
        <v>0</v>
      </c>
      <c r="DB7" s="72">
        <v>0</v>
      </c>
      <c r="DC7" s="72">
        <v>0</v>
      </c>
      <c r="DD7" s="72">
        <v>0</v>
      </c>
      <c r="DE7" s="72">
        <v>0</v>
      </c>
      <c r="DF7" s="72">
        <v>0</v>
      </c>
      <c r="DG7" s="72">
        <v>0</v>
      </c>
      <c r="DH7" s="72">
        <v>0</v>
      </c>
      <c r="DI7" s="72">
        <v>0</v>
      </c>
      <c r="DJ7" s="72">
        <v>0</v>
      </c>
      <c r="DK7" s="72">
        <v>0</v>
      </c>
      <c r="DL7" s="72">
        <v>0</v>
      </c>
      <c r="DM7" s="72">
        <v>0</v>
      </c>
      <c r="DN7" s="72">
        <v>0</v>
      </c>
      <c r="DO7" s="72">
        <v>0</v>
      </c>
      <c r="DP7" s="72">
        <v>0</v>
      </c>
      <c r="DQ7" s="72">
        <v>0</v>
      </c>
      <c r="DR7" s="72">
        <v>0</v>
      </c>
      <c r="DS7" s="72">
        <v>0</v>
      </c>
      <c r="DT7" s="72">
        <v>0</v>
      </c>
      <c r="DU7" s="72">
        <v>0</v>
      </c>
      <c r="DV7" s="72">
        <v>0</v>
      </c>
      <c r="DW7" s="72">
        <v>0</v>
      </c>
      <c r="DX7" s="72">
        <v>0</v>
      </c>
      <c r="DY7" s="72">
        <v>0</v>
      </c>
      <c r="DZ7" s="72">
        <v>0</v>
      </c>
      <c r="EA7" s="72">
        <v>0</v>
      </c>
      <c r="EB7" s="72">
        <v>0</v>
      </c>
      <c r="EC7" s="72">
        <v>0</v>
      </c>
      <c r="ED7" s="72">
        <v>0</v>
      </c>
      <c r="EE7" s="72">
        <v>0</v>
      </c>
      <c r="EF7" s="72">
        <v>0</v>
      </c>
      <c r="EG7" s="72">
        <v>0</v>
      </c>
      <c r="EH7" s="72">
        <v>0</v>
      </c>
      <c r="EI7" s="72">
        <v>0</v>
      </c>
      <c r="EJ7" s="72">
        <v>0</v>
      </c>
      <c r="EK7" s="72">
        <v>0</v>
      </c>
      <c r="EL7" s="72">
        <v>0</v>
      </c>
    </row>
    <row r="8" spans="1:142" ht="28.5" x14ac:dyDescent="0.65">
      <c r="A8" s="59">
        <f>Данные!A8</f>
        <v>4276</v>
      </c>
      <c r="B8" s="59">
        <f>Данные!B8</f>
        <v>2016</v>
      </c>
      <c r="C8" s="59" t="str">
        <f>Данные!C8</f>
        <v>компьютерных технологий и электронного обучения</v>
      </c>
      <c r="D8" s="59" t="str">
        <f>Данные!D8</f>
        <v>Готская Ирина Борисовна</v>
      </c>
      <c r="E8" s="59" t="str">
        <f>Данные!E8</f>
        <v>доктор педагогических наук</v>
      </c>
      <c r="F8" s="59" t="str">
        <f>Данные!F8</f>
        <v>профессор</v>
      </c>
      <c r="G8" s="59">
        <f>Данные!G8</f>
        <v>1</v>
      </c>
      <c r="H8" s="59">
        <f>Данные!H8</f>
        <v>14784</v>
      </c>
      <c r="I8" s="59" t="str">
        <f>Данные!I8</f>
        <v>Информационное обеспечение технологического образования. Применение электронных образовательных ресурсов в технологическом образовании</v>
      </c>
      <c r="J8" s="59">
        <f>Данные!J8</f>
        <v>32</v>
      </c>
      <c r="K8" s="59">
        <f>Данные!K8</f>
        <v>0</v>
      </c>
      <c r="L8" s="59">
        <f>Данные!L8</f>
        <v>120</v>
      </c>
      <c r="M8" s="60">
        <f t="shared" si="0"/>
        <v>15.2</v>
      </c>
      <c r="N8" s="60">
        <f t="shared" ca="1" si="1"/>
        <v>5.6300000000000008</v>
      </c>
      <c r="O8" s="60">
        <f t="shared" ca="1" si="2"/>
        <v>2.75</v>
      </c>
      <c r="P8" s="60">
        <f t="shared" ca="1" si="3"/>
        <v>2.75</v>
      </c>
      <c r="Q8" s="54">
        <f>Данные!Q8</f>
        <v>0</v>
      </c>
      <c r="R8" s="54">
        <f>Данные!R8</f>
        <v>0</v>
      </c>
      <c r="S8" s="54">
        <f>Данные!S8</f>
        <v>0</v>
      </c>
      <c r="T8" s="54">
        <f>Данные!T8</f>
        <v>21</v>
      </c>
      <c r="U8" s="54">
        <f>Данные!U8</f>
        <v>0</v>
      </c>
      <c r="V8" s="54">
        <f>Данные!V8</f>
        <v>0</v>
      </c>
      <c r="W8" s="54">
        <f ca="1">Данные!W8</f>
        <v>11</v>
      </c>
      <c r="X8" s="54" t="str">
        <f ca="1">Данные!X8</f>
        <v>1</v>
      </c>
      <c r="Y8" s="54" t="str">
        <f ca="1">Данные!Y8</f>
        <v>1</v>
      </c>
      <c r="Z8" s="54">
        <f>Данные!Z8</f>
        <v>0</v>
      </c>
      <c r="AA8" s="54" t="str">
        <f>Данные!AA8</f>
        <v>осн</v>
      </c>
      <c r="AB8" s="101">
        <f t="shared" si="4"/>
        <v>750</v>
      </c>
      <c r="AC8" s="101" t="str">
        <f t="shared" si="5"/>
        <v/>
      </c>
      <c r="AD8" s="101" t="str">
        <f t="shared" si="6"/>
        <v/>
      </c>
      <c r="AE8" s="102">
        <f t="shared" ca="1" si="7"/>
        <v>199.32999999999998</v>
      </c>
      <c r="AF8" s="103">
        <f t="shared" ca="1" si="8"/>
        <v>0.26577333333333331</v>
      </c>
      <c r="AG8" s="101"/>
      <c r="AH8" s="101"/>
      <c r="AI8" s="6"/>
      <c r="AJ8" s="10" t="s">
        <v>293</v>
      </c>
      <c r="AK8" s="106" t="s">
        <v>294</v>
      </c>
      <c r="AL8" s="107"/>
      <c r="AM8" s="107"/>
      <c r="AN8" s="108"/>
      <c r="AO8" s="106" t="s">
        <v>295</v>
      </c>
      <c r="AP8" s="107"/>
      <c r="AQ8" s="107"/>
      <c r="AR8" s="108"/>
      <c r="AS8" s="106" t="s">
        <v>296</v>
      </c>
      <c r="AT8" s="107"/>
      <c r="AU8" s="107"/>
      <c r="AV8" s="108"/>
      <c r="AW8" s="106" t="s">
        <v>297</v>
      </c>
      <c r="AX8" s="107"/>
      <c r="AY8" s="107"/>
      <c r="AZ8" s="108"/>
      <c r="BA8" s="106" t="s">
        <v>320</v>
      </c>
      <c r="BB8" s="107"/>
      <c r="BC8" s="107"/>
      <c r="BD8" s="108"/>
      <c r="BE8" s="106" t="s">
        <v>321</v>
      </c>
      <c r="BF8" s="107"/>
      <c r="BG8" s="107"/>
      <c r="BH8" s="108"/>
      <c r="BI8" s="106" t="s">
        <v>322</v>
      </c>
      <c r="BJ8" s="107"/>
      <c r="BK8" s="107"/>
      <c r="BL8" s="108"/>
      <c r="BN8" s="51" t="str">
        <f>Данные!BG8</f>
        <v>эксперт-программист</v>
      </c>
      <c r="BO8" s="52">
        <f>Данные!BH8</f>
        <v>900</v>
      </c>
      <c r="BQ8" s="72">
        <v>0</v>
      </c>
      <c r="BR8" s="72">
        <v>0</v>
      </c>
      <c r="BS8" s="72">
        <v>0</v>
      </c>
      <c r="BT8" s="72">
        <v>0</v>
      </c>
      <c r="BU8" s="72">
        <v>0</v>
      </c>
      <c r="BV8" s="72">
        <v>0</v>
      </c>
      <c r="BW8" s="72">
        <v>0</v>
      </c>
      <c r="BX8" s="72">
        <v>0</v>
      </c>
      <c r="BY8" s="72">
        <v>0</v>
      </c>
      <c r="BZ8" s="72">
        <v>0</v>
      </c>
      <c r="CA8" s="72">
        <v>0</v>
      </c>
      <c r="CB8" s="72">
        <v>0</v>
      </c>
      <c r="CC8" s="72">
        <v>0</v>
      </c>
      <c r="CD8" s="72">
        <v>0</v>
      </c>
      <c r="CE8" s="72">
        <v>0</v>
      </c>
      <c r="CF8" s="72">
        <v>0</v>
      </c>
      <c r="CG8" s="72">
        <v>0</v>
      </c>
      <c r="CH8" s="72">
        <v>0</v>
      </c>
      <c r="CI8" s="72">
        <v>0</v>
      </c>
      <c r="CJ8" s="72">
        <v>0</v>
      </c>
      <c r="CK8" s="72">
        <v>0</v>
      </c>
      <c r="CL8" s="72">
        <v>0</v>
      </c>
      <c r="CM8" s="72">
        <v>0</v>
      </c>
      <c r="CN8" s="72">
        <v>0</v>
      </c>
      <c r="CO8" s="72">
        <v>0</v>
      </c>
      <c r="CP8" s="72">
        <v>0</v>
      </c>
      <c r="CQ8" s="72">
        <v>0</v>
      </c>
      <c r="CR8" s="72">
        <v>0</v>
      </c>
      <c r="CS8" s="72">
        <v>0</v>
      </c>
      <c r="CT8" s="72">
        <v>0</v>
      </c>
      <c r="CU8" s="72">
        <v>0</v>
      </c>
      <c r="CV8" s="72">
        <v>0</v>
      </c>
      <c r="CW8" s="72">
        <v>0</v>
      </c>
      <c r="CX8" s="72">
        <v>0</v>
      </c>
      <c r="CY8" s="72">
        <v>0</v>
      </c>
      <c r="CZ8" s="72">
        <v>0</v>
      </c>
      <c r="DA8" s="72">
        <v>0</v>
      </c>
      <c r="DB8" s="72">
        <v>0</v>
      </c>
      <c r="DC8" s="72">
        <v>0</v>
      </c>
      <c r="DD8" s="72">
        <v>0</v>
      </c>
      <c r="DE8" s="72">
        <v>0</v>
      </c>
      <c r="DF8" s="72">
        <v>0</v>
      </c>
      <c r="DG8" s="72">
        <v>0</v>
      </c>
      <c r="DH8" s="72">
        <v>0</v>
      </c>
      <c r="DI8" s="72">
        <v>0</v>
      </c>
      <c r="DJ8" s="72">
        <v>0</v>
      </c>
      <c r="DK8" s="72">
        <v>0</v>
      </c>
      <c r="DL8" s="72">
        <v>0</v>
      </c>
      <c r="DM8" s="72">
        <v>0</v>
      </c>
      <c r="DN8" s="72">
        <v>0</v>
      </c>
      <c r="DO8" s="72">
        <v>0</v>
      </c>
      <c r="DP8" s="72">
        <v>0</v>
      </c>
      <c r="DQ8" s="72">
        <v>0</v>
      </c>
      <c r="DR8" s="72">
        <v>0</v>
      </c>
      <c r="DS8" s="72">
        <v>0</v>
      </c>
      <c r="DT8" s="72">
        <v>0</v>
      </c>
      <c r="DU8" s="72">
        <v>0</v>
      </c>
      <c r="DV8" s="72">
        <v>0</v>
      </c>
      <c r="DW8" s="72">
        <v>0</v>
      </c>
      <c r="DX8" s="72">
        <v>0</v>
      </c>
      <c r="DY8" s="72">
        <v>0</v>
      </c>
      <c r="DZ8" s="72">
        <v>0</v>
      </c>
      <c r="EA8" s="72">
        <v>0</v>
      </c>
      <c r="EB8" s="72">
        <v>0</v>
      </c>
      <c r="EC8" s="72">
        <v>0</v>
      </c>
      <c r="ED8" s="72">
        <v>0</v>
      </c>
      <c r="EE8" s="72">
        <v>0</v>
      </c>
      <c r="EF8" s="72">
        <v>0</v>
      </c>
      <c r="EG8" s="72">
        <v>0</v>
      </c>
      <c r="EH8" s="72">
        <v>0</v>
      </c>
      <c r="EI8" s="72">
        <v>0</v>
      </c>
      <c r="EJ8" s="72">
        <v>0</v>
      </c>
      <c r="EK8" s="72">
        <v>0</v>
      </c>
      <c r="EL8" s="72">
        <v>0</v>
      </c>
    </row>
    <row r="9" spans="1:142" ht="21" x14ac:dyDescent="0.5">
      <c r="A9" s="59">
        <f>Данные!A9</f>
        <v>4276</v>
      </c>
      <c r="B9" s="59">
        <f>Данные!B9</f>
        <v>2017</v>
      </c>
      <c r="C9" s="59" t="str">
        <f>Данные!C9</f>
        <v>компьютерных технологий и электронного обучения</v>
      </c>
      <c r="D9" s="59" t="str">
        <f>Данные!D9</f>
        <v>Готская Ирина Борисовна</v>
      </c>
      <c r="E9" s="59" t="str">
        <f>Данные!E9</f>
        <v>доктор педагогических наук</v>
      </c>
      <c r="F9" s="59" t="str">
        <f>Данные!F9</f>
        <v>профессор</v>
      </c>
      <c r="G9" s="59">
        <f>Данные!G9</f>
        <v>1</v>
      </c>
      <c r="H9" s="59">
        <f>Данные!H9</f>
        <v>16006</v>
      </c>
      <c r="I9" s="59" t="str">
        <f>Данные!I9</f>
        <v>Информационное обеспечение технологического образования. Информационное обеспечение инновационной технологической деятельности</v>
      </c>
      <c r="J9" s="59">
        <f>Данные!J9</f>
        <v>16</v>
      </c>
      <c r="K9" s="59">
        <f>Данные!K9</f>
        <v>0</v>
      </c>
      <c r="L9" s="59">
        <f>Данные!L9</f>
        <v>60</v>
      </c>
      <c r="M9" s="60">
        <f t="shared" si="0"/>
        <v>7.6</v>
      </c>
      <c r="N9" s="60">
        <f t="shared" ca="1" si="1"/>
        <v>6.29</v>
      </c>
      <c r="O9" s="60">
        <f t="shared" ca="1" si="2"/>
        <v>3.25</v>
      </c>
      <c r="P9" s="60">
        <f t="shared" ca="1" si="3"/>
        <v>3.25</v>
      </c>
      <c r="Q9" s="54">
        <f>Данные!Q9</f>
        <v>0</v>
      </c>
      <c r="R9" s="54">
        <f>Данные!R9</f>
        <v>0</v>
      </c>
      <c r="S9" s="54">
        <f>Данные!S9</f>
        <v>0</v>
      </c>
      <c r="T9" s="54">
        <f>Данные!T9</f>
        <v>11</v>
      </c>
      <c r="U9" s="54">
        <f>Данные!U9</f>
        <v>0</v>
      </c>
      <c r="V9" s="54">
        <f>Данные!V9</f>
        <v>0</v>
      </c>
      <c r="W9" s="54">
        <f ca="1">Данные!W9</f>
        <v>13</v>
      </c>
      <c r="X9" s="54" t="str">
        <f ca="1">Данные!X9</f>
        <v>1</v>
      </c>
      <c r="Y9" s="54" t="str">
        <f ca="1">Данные!Y9</f>
        <v>1</v>
      </c>
      <c r="Z9" s="54">
        <f>Данные!Z9</f>
        <v>0</v>
      </c>
      <c r="AA9" s="54" t="str">
        <f>Данные!AA9</f>
        <v>осн</v>
      </c>
      <c r="AB9" s="101">
        <f t="shared" si="4"/>
        <v>750</v>
      </c>
      <c r="AC9" s="101" t="str">
        <f t="shared" si="5"/>
        <v/>
      </c>
      <c r="AD9" s="101" t="str">
        <f t="shared" si="6"/>
        <v/>
      </c>
      <c r="AE9" s="102">
        <f t="shared" ca="1" si="7"/>
        <v>107.39</v>
      </c>
      <c r="AF9" s="103">
        <f t="shared" ca="1" si="8"/>
        <v>0.14318666666666666</v>
      </c>
      <c r="AG9" s="101"/>
      <c r="AH9" s="101"/>
      <c r="AI9" s="6"/>
      <c r="AJ9" s="10" t="s">
        <v>298</v>
      </c>
      <c r="AK9" s="13">
        <v>1</v>
      </c>
      <c r="AL9" s="13">
        <v>2</v>
      </c>
      <c r="AM9" s="13">
        <v>3</v>
      </c>
      <c r="AN9" s="13">
        <v>4</v>
      </c>
      <c r="AO9" s="13">
        <v>1</v>
      </c>
      <c r="AP9" s="13">
        <v>2</v>
      </c>
      <c r="AQ9" s="13">
        <v>3</v>
      </c>
      <c r="AR9" s="13">
        <v>4</v>
      </c>
      <c r="AS9" s="13">
        <v>1</v>
      </c>
      <c r="AT9" s="13">
        <v>2</v>
      </c>
      <c r="AU9" s="13">
        <v>3</v>
      </c>
      <c r="AV9" s="13">
        <v>4</v>
      </c>
      <c r="AW9" s="13">
        <v>1</v>
      </c>
      <c r="AX9" s="13">
        <v>2</v>
      </c>
      <c r="AY9" s="13">
        <v>3</v>
      </c>
      <c r="AZ9" s="13">
        <v>4</v>
      </c>
      <c r="BA9" s="13">
        <v>1</v>
      </c>
      <c r="BB9" s="13">
        <v>2</v>
      </c>
      <c r="BC9" s="13">
        <v>3</v>
      </c>
      <c r="BD9" s="13">
        <v>4</v>
      </c>
      <c r="BE9" s="13">
        <v>1</v>
      </c>
      <c r="BF9" s="13">
        <v>2</v>
      </c>
      <c r="BG9" s="13">
        <v>3</v>
      </c>
      <c r="BH9" s="13">
        <v>4</v>
      </c>
      <c r="BI9" s="13">
        <v>1</v>
      </c>
      <c r="BJ9" s="13">
        <v>2</v>
      </c>
      <c r="BK9" s="13">
        <v>3</v>
      </c>
      <c r="BL9" s="13">
        <v>4</v>
      </c>
      <c r="BN9" s="51" t="str">
        <f>Данные!BG9</f>
        <v>и.о.доцент</v>
      </c>
      <c r="BO9" s="52">
        <f>Данные!BH9</f>
        <v>900</v>
      </c>
      <c r="BQ9" s="72">
        <v>0</v>
      </c>
      <c r="BR9" s="72">
        <v>0</v>
      </c>
      <c r="BS9" s="72">
        <v>0</v>
      </c>
      <c r="BT9" s="72">
        <v>0</v>
      </c>
      <c r="BU9" s="72">
        <v>0</v>
      </c>
      <c r="BV9" s="72">
        <v>0</v>
      </c>
      <c r="BW9" s="72">
        <v>0</v>
      </c>
      <c r="BX9" s="72">
        <v>0</v>
      </c>
      <c r="BY9" s="72">
        <v>0</v>
      </c>
      <c r="BZ9" s="72">
        <v>0</v>
      </c>
      <c r="CA9" s="72">
        <v>0</v>
      </c>
      <c r="CB9" s="72">
        <v>0</v>
      </c>
      <c r="CC9" s="72">
        <v>0</v>
      </c>
      <c r="CD9" s="72">
        <v>0</v>
      </c>
      <c r="CE9" s="72">
        <v>0</v>
      </c>
      <c r="CF9" s="72">
        <v>0</v>
      </c>
      <c r="CG9" s="72">
        <v>0</v>
      </c>
      <c r="CH9" s="72">
        <v>0</v>
      </c>
      <c r="CI9" s="72">
        <v>0</v>
      </c>
      <c r="CJ9" s="72">
        <v>0</v>
      </c>
      <c r="CK9" s="72">
        <v>0</v>
      </c>
      <c r="CL9" s="72">
        <v>0</v>
      </c>
      <c r="CM9" s="72">
        <v>0</v>
      </c>
      <c r="CN9" s="72">
        <v>0</v>
      </c>
      <c r="CO9" s="72">
        <v>0</v>
      </c>
      <c r="CP9" s="72">
        <v>0</v>
      </c>
      <c r="CQ9" s="72">
        <v>0</v>
      </c>
      <c r="CR9" s="72">
        <v>0</v>
      </c>
      <c r="CS9" s="72">
        <v>0</v>
      </c>
      <c r="CT9" s="72">
        <v>0</v>
      </c>
      <c r="CU9" s="72">
        <v>0</v>
      </c>
      <c r="CV9" s="72">
        <v>0</v>
      </c>
      <c r="CW9" s="72">
        <v>0</v>
      </c>
      <c r="CX9" s="72">
        <v>0</v>
      </c>
      <c r="CY9" s="72">
        <v>0</v>
      </c>
      <c r="CZ9" s="72">
        <v>0</v>
      </c>
      <c r="DA9" s="72">
        <v>0</v>
      </c>
      <c r="DB9" s="72">
        <v>0</v>
      </c>
      <c r="DC9" s="72">
        <v>0</v>
      </c>
      <c r="DD9" s="72">
        <v>0</v>
      </c>
      <c r="DE9" s="72">
        <v>0</v>
      </c>
      <c r="DF9" s="72">
        <v>0</v>
      </c>
      <c r="DG9" s="72">
        <v>0</v>
      </c>
      <c r="DH9" s="72">
        <v>0</v>
      </c>
      <c r="DI9" s="72">
        <v>0</v>
      </c>
      <c r="DJ9" s="72">
        <v>0</v>
      </c>
      <c r="DK9" s="72">
        <v>0</v>
      </c>
      <c r="DL9" s="72">
        <v>0</v>
      </c>
      <c r="DM9" s="72">
        <v>0</v>
      </c>
      <c r="DN9" s="72">
        <v>0</v>
      </c>
      <c r="DO9" s="72">
        <v>0</v>
      </c>
      <c r="DP9" s="72">
        <v>0</v>
      </c>
      <c r="DQ9" s="72">
        <v>0</v>
      </c>
      <c r="DR9" s="72">
        <v>0</v>
      </c>
      <c r="DS9" s="72">
        <v>0</v>
      </c>
      <c r="DT9" s="72">
        <v>0</v>
      </c>
      <c r="DU9" s="72">
        <v>0</v>
      </c>
      <c r="DV9" s="72">
        <v>0</v>
      </c>
      <c r="DW9" s="72">
        <v>0</v>
      </c>
      <c r="DX9" s="72">
        <v>0</v>
      </c>
      <c r="DY9" s="72">
        <v>0</v>
      </c>
      <c r="DZ9" s="72">
        <v>0</v>
      </c>
      <c r="EA9" s="72">
        <v>0</v>
      </c>
      <c r="EB9" s="72">
        <v>0</v>
      </c>
      <c r="EC9" s="72">
        <v>0</v>
      </c>
      <c r="ED9" s="72">
        <v>0</v>
      </c>
      <c r="EE9" s="72">
        <v>0</v>
      </c>
      <c r="EF9" s="72">
        <v>0</v>
      </c>
      <c r="EG9" s="72">
        <v>0</v>
      </c>
      <c r="EH9" s="72">
        <v>0</v>
      </c>
      <c r="EI9" s="72">
        <v>0</v>
      </c>
      <c r="EJ9" s="72">
        <v>0</v>
      </c>
      <c r="EK9" s="72">
        <v>0</v>
      </c>
      <c r="EL9" s="72">
        <v>0</v>
      </c>
    </row>
    <row r="10" spans="1:142" ht="21" x14ac:dyDescent="0.5">
      <c r="A10" s="59">
        <f>Данные!A10</f>
        <v>4277</v>
      </c>
      <c r="B10" s="59">
        <f>Данные!B10</f>
        <v>2017</v>
      </c>
      <c r="C10" s="59" t="str">
        <f>Данные!C10</f>
        <v>компьютерных технологий и электронного обучения</v>
      </c>
      <c r="D10" s="59" t="str">
        <f>Данные!D10</f>
        <v>Абрамян Геннадий Владимирович</v>
      </c>
      <c r="E10" s="59" t="str">
        <f>Данные!E10</f>
        <v>доктор педагогических наук</v>
      </c>
      <c r="F10" s="59" t="str">
        <f>Данные!F10</f>
        <v>профессор</v>
      </c>
      <c r="G10" s="59">
        <f>Данные!G10</f>
        <v>1</v>
      </c>
      <c r="H10" s="59">
        <f>Данные!H10</f>
        <v>16005</v>
      </c>
      <c r="I10" s="59" t="str">
        <f>Данные!I10</f>
        <v>Мультимедиа технологии и компьютерная графика</v>
      </c>
      <c r="J10" s="59">
        <f>Данные!J10</f>
        <v>18</v>
      </c>
      <c r="K10" s="59">
        <f>Данные!K10</f>
        <v>0</v>
      </c>
      <c r="L10" s="59">
        <f>Данные!L10</f>
        <v>54</v>
      </c>
      <c r="M10" s="60">
        <f t="shared" si="0"/>
        <v>7.2</v>
      </c>
      <c r="N10" s="60">
        <f t="shared" ca="1" si="1"/>
        <v>5.96</v>
      </c>
      <c r="O10" s="60">
        <f t="shared" ca="1" si="2"/>
        <v>3</v>
      </c>
      <c r="P10" s="60">
        <f t="shared" ca="1" si="3"/>
        <v>3</v>
      </c>
      <c r="Q10" s="54">
        <f>Данные!Q10</f>
        <v>0</v>
      </c>
      <c r="R10" s="54">
        <f>Данные!R10</f>
        <v>0</v>
      </c>
      <c r="S10" s="54">
        <f>Данные!S10</f>
        <v>0</v>
      </c>
      <c r="T10" s="54">
        <f>Данные!T10</f>
        <v>11</v>
      </c>
      <c r="U10" s="54">
        <f>Данные!U10</f>
        <v>0</v>
      </c>
      <c r="V10" s="54">
        <f>Данные!V10</f>
        <v>0</v>
      </c>
      <c r="W10" s="54">
        <f ca="1">Данные!W10</f>
        <v>12</v>
      </c>
      <c r="X10" s="54" t="str">
        <f ca="1">Данные!X10</f>
        <v>1</v>
      </c>
      <c r="Y10" s="54" t="str">
        <f ca="1">Данные!Y10</f>
        <v>1</v>
      </c>
      <c r="Z10" s="54">
        <f>Данные!Z10</f>
        <v>0</v>
      </c>
      <c r="AA10" s="54" t="str">
        <f>Данные!AA10</f>
        <v>осн</v>
      </c>
      <c r="AB10" s="101">
        <f t="shared" si="4"/>
        <v>750</v>
      </c>
      <c r="AC10" s="101" t="str">
        <f t="shared" si="5"/>
        <v/>
      </c>
      <c r="AD10" s="101" t="str">
        <f t="shared" si="6"/>
        <v/>
      </c>
      <c r="AE10" s="102">
        <f t="shared" ca="1" si="7"/>
        <v>102.16</v>
      </c>
      <c r="AF10" s="103">
        <f t="shared" ca="1" si="8"/>
        <v>0.13621333333333333</v>
      </c>
      <c r="AG10" s="101"/>
      <c r="AH10" s="101"/>
      <c r="AJ10" s="10" t="s">
        <v>299</v>
      </c>
      <c r="AK10" s="13">
        <v>2015</v>
      </c>
      <c r="AL10" s="13">
        <v>2014</v>
      </c>
      <c r="AM10" s="13">
        <v>2013</v>
      </c>
      <c r="AN10" s="13">
        <v>2012</v>
      </c>
      <c r="AO10" s="13">
        <v>2016</v>
      </c>
      <c r="AP10" s="13">
        <v>2015</v>
      </c>
      <c r="AQ10" s="13">
        <v>2014</v>
      </c>
      <c r="AR10" s="13">
        <v>2013</v>
      </c>
      <c r="AS10" s="13">
        <v>2017</v>
      </c>
      <c r="AT10" s="13">
        <v>2016</v>
      </c>
      <c r="AU10" s="13">
        <v>2015</v>
      </c>
      <c r="AV10" s="13">
        <v>2014</v>
      </c>
      <c r="AW10" s="13">
        <v>2018</v>
      </c>
      <c r="AX10" s="13">
        <v>2017</v>
      </c>
      <c r="AY10" s="13">
        <v>2016</v>
      </c>
      <c r="AZ10" s="13">
        <v>2015</v>
      </c>
      <c r="BA10" s="13">
        <v>2019</v>
      </c>
      <c r="BB10" s="13">
        <v>2018</v>
      </c>
      <c r="BC10" s="13">
        <v>2017</v>
      </c>
      <c r="BD10" s="13">
        <v>2016</v>
      </c>
      <c r="BE10" s="13">
        <v>2020</v>
      </c>
      <c r="BF10" s="13">
        <v>2019</v>
      </c>
      <c r="BG10" s="13">
        <v>2018</v>
      </c>
      <c r="BH10" s="13">
        <v>2017</v>
      </c>
      <c r="BI10" s="13">
        <v>2021</v>
      </c>
      <c r="BJ10" s="13">
        <v>2020</v>
      </c>
      <c r="BK10" s="13">
        <v>2019</v>
      </c>
      <c r="BL10" s="13">
        <v>2018</v>
      </c>
      <c r="BN10" s="51" t="str">
        <f>Данные!BG10</f>
        <v>внешний</v>
      </c>
      <c r="BO10" s="52">
        <f>Данные!BH10</f>
        <v>900</v>
      </c>
      <c r="BQ10" s="72">
        <v>0</v>
      </c>
      <c r="BR10" s="72">
        <v>0</v>
      </c>
      <c r="BS10" s="72">
        <v>0</v>
      </c>
      <c r="BT10" s="72">
        <v>0</v>
      </c>
      <c r="BU10" s="72">
        <v>0</v>
      </c>
      <c r="BV10" s="72">
        <v>0</v>
      </c>
      <c r="BW10" s="72">
        <v>0</v>
      </c>
      <c r="BX10" s="72">
        <v>0</v>
      </c>
      <c r="BY10" s="72">
        <v>0</v>
      </c>
      <c r="BZ10" s="72">
        <v>0</v>
      </c>
      <c r="CA10" s="72">
        <v>0</v>
      </c>
      <c r="CB10" s="72">
        <v>0</v>
      </c>
      <c r="CC10" s="72">
        <v>0</v>
      </c>
      <c r="CD10" s="72">
        <v>0</v>
      </c>
      <c r="CE10" s="72">
        <v>0</v>
      </c>
      <c r="CF10" s="72">
        <v>0</v>
      </c>
      <c r="CG10" s="72">
        <v>0</v>
      </c>
      <c r="CH10" s="72">
        <v>0</v>
      </c>
      <c r="CI10" s="72">
        <v>0</v>
      </c>
      <c r="CJ10" s="72">
        <v>0</v>
      </c>
      <c r="CK10" s="72">
        <v>0</v>
      </c>
      <c r="CL10" s="72">
        <v>0</v>
      </c>
      <c r="CM10" s="72">
        <v>0</v>
      </c>
      <c r="CN10" s="72">
        <v>0</v>
      </c>
      <c r="CO10" s="72">
        <v>0</v>
      </c>
      <c r="CP10" s="72">
        <v>0</v>
      </c>
      <c r="CQ10" s="72">
        <v>0</v>
      </c>
      <c r="CR10" s="72">
        <v>0</v>
      </c>
      <c r="CS10" s="72">
        <v>0</v>
      </c>
      <c r="CT10" s="72">
        <v>0</v>
      </c>
      <c r="CU10" s="72">
        <v>0</v>
      </c>
      <c r="CV10" s="72">
        <v>0</v>
      </c>
      <c r="CW10" s="72">
        <v>0</v>
      </c>
      <c r="CX10" s="72">
        <v>0</v>
      </c>
      <c r="CY10" s="72">
        <v>0</v>
      </c>
      <c r="CZ10" s="72">
        <v>0</v>
      </c>
      <c r="DA10" s="72">
        <v>0</v>
      </c>
      <c r="DB10" s="72">
        <v>0</v>
      </c>
      <c r="DC10" s="72">
        <v>0</v>
      </c>
      <c r="DD10" s="72">
        <v>0</v>
      </c>
      <c r="DE10" s="72">
        <v>0</v>
      </c>
      <c r="DF10" s="72">
        <v>0</v>
      </c>
      <c r="DG10" s="72">
        <v>0</v>
      </c>
      <c r="DH10" s="72">
        <v>0</v>
      </c>
      <c r="DI10" s="72">
        <v>0</v>
      </c>
      <c r="DJ10" s="72">
        <v>0</v>
      </c>
      <c r="DK10" s="72">
        <v>0</v>
      </c>
      <c r="DL10" s="72">
        <v>0</v>
      </c>
      <c r="DM10" s="72">
        <v>0</v>
      </c>
      <c r="DN10" s="72">
        <v>0</v>
      </c>
      <c r="DO10" s="72">
        <v>0</v>
      </c>
      <c r="DP10" s="72">
        <v>0</v>
      </c>
      <c r="DQ10" s="72">
        <v>0</v>
      </c>
      <c r="DR10" s="72">
        <v>0</v>
      </c>
      <c r="DS10" s="72">
        <v>0</v>
      </c>
      <c r="DT10" s="72">
        <v>0</v>
      </c>
      <c r="DU10" s="72">
        <v>0</v>
      </c>
      <c r="DV10" s="72">
        <v>0</v>
      </c>
      <c r="DW10" s="72">
        <v>0</v>
      </c>
      <c r="DX10" s="72">
        <v>0</v>
      </c>
      <c r="DY10" s="72">
        <v>0</v>
      </c>
      <c r="DZ10" s="72">
        <v>0</v>
      </c>
      <c r="EA10" s="72">
        <v>0</v>
      </c>
      <c r="EB10" s="72">
        <v>0</v>
      </c>
      <c r="EC10" s="72">
        <v>0</v>
      </c>
      <c r="ED10" s="72">
        <v>0</v>
      </c>
      <c r="EE10" s="72">
        <v>0</v>
      </c>
      <c r="EF10" s="72">
        <v>0</v>
      </c>
      <c r="EG10" s="72">
        <v>0</v>
      </c>
      <c r="EH10" s="72">
        <v>0</v>
      </c>
      <c r="EI10" s="72">
        <v>0</v>
      </c>
      <c r="EJ10" s="72">
        <v>0</v>
      </c>
      <c r="EK10" s="72">
        <v>0</v>
      </c>
      <c r="EL10" s="72">
        <v>0</v>
      </c>
    </row>
    <row r="11" spans="1:142" ht="26" x14ac:dyDescent="0.35">
      <c r="A11" s="59">
        <f>Данные!A11</f>
        <v>4277</v>
      </c>
      <c r="B11" s="59">
        <f>Данные!B11</f>
        <v>2018</v>
      </c>
      <c r="C11" s="59" t="str">
        <f>Данные!C11</f>
        <v>компьютерных технологий и электронного обучения</v>
      </c>
      <c r="D11" s="59" t="str">
        <f>Данные!D11</f>
        <v>Абрамян Геннадий Владимирович</v>
      </c>
      <c r="E11" s="59" t="str">
        <f>Данные!E11</f>
        <v>доктор педагогических наук</v>
      </c>
      <c r="F11" s="59" t="str">
        <f>Данные!F11</f>
        <v>профессор</v>
      </c>
      <c r="G11" s="59">
        <f>Данные!G11</f>
        <v>1</v>
      </c>
      <c r="H11" s="59">
        <f>Данные!H11</f>
        <v>17336</v>
      </c>
      <c r="I11" s="59" t="str">
        <f>Данные!I11</f>
        <v>Мультимедиа технологии и компьютерная графика</v>
      </c>
      <c r="J11" s="59">
        <f>Данные!J11</f>
        <v>0</v>
      </c>
      <c r="K11" s="59">
        <f>Данные!K11</f>
        <v>0</v>
      </c>
      <c r="L11" s="59">
        <f>Данные!L11</f>
        <v>36</v>
      </c>
      <c r="M11" s="60">
        <f t="shared" si="0"/>
        <v>3.6</v>
      </c>
      <c r="N11" s="60">
        <f t="shared" ca="1" si="1"/>
        <v>9.59</v>
      </c>
      <c r="O11" s="60">
        <f t="shared" ca="1" si="2"/>
        <v>5.75</v>
      </c>
      <c r="P11" s="60">
        <f t="shared" ca="1" si="3"/>
        <v>5.75</v>
      </c>
      <c r="Q11" s="54">
        <f>Данные!Q11</f>
        <v>0</v>
      </c>
      <c r="R11" s="54">
        <f>Данные!R11</f>
        <v>0</v>
      </c>
      <c r="S11" s="54">
        <f>Данные!S11</f>
        <v>0</v>
      </c>
      <c r="T11" s="54">
        <f>Данные!T11</f>
        <v>11</v>
      </c>
      <c r="U11" s="54">
        <f>Данные!U11</f>
        <v>0</v>
      </c>
      <c r="V11" s="54">
        <f>Данные!V11</f>
        <v>0</v>
      </c>
      <c r="W11" s="54">
        <f ca="1">Данные!W11</f>
        <v>23</v>
      </c>
      <c r="X11" s="54" t="str">
        <f ca="1">Данные!X11</f>
        <v>1</v>
      </c>
      <c r="Y11" s="54" t="str">
        <f ca="1">Данные!Y11</f>
        <v>2</v>
      </c>
      <c r="Z11" s="54">
        <f>Данные!Z11</f>
        <v>0</v>
      </c>
      <c r="AA11" s="54" t="str">
        <f>Данные!AA11</f>
        <v>осн</v>
      </c>
      <c r="AB11" s="101">
        <f t="shared" si="4"/>
        <v>750</v>
      </c>
      <c r="AC11" s="101" t="str">
        <f t="shared" si="5"/>
        <v/>
      </c>
      <c r="AD11" s="101" t="str">
        <f t="shared" si="6"/>
        <v/>
      </c>
      <c r="AE11" s="102">
        <f t="shared" ca="1" si="7"/>
        <v>71.69</v>
      </c>
      <c r="AF11" s="103">
        <f t="shared" ca="1" si="8"/>
        <v>9.5586666666666667E-2</v>
      </c>
      <c r="AG11" s="101"/>
      <c r="AH11" s="101"/>
      <c r="AJ11" s="11" t="s">
        <v>300</v>
      </c>
      <c r="AK11" s="55">
        <f>Данные!AD11</f>
        <v>13</v>
      </c>
      <c r="AL11" s="55">
        <f>Данные!AE11</f>
        <v>15</v>
      </c>
      <c r="AM11" s="55">
        <f>Данные!AF11</f>
        <v>24</v>
      </c>
      <c r="AN11" s="55">
        <f>Данные!AG11</f>
        <v>34</v>
      </c>
      <c r="AO11" s="55">
        <f>Данные!AH11</f>
        <v>27</v>
      </c>
      <c r="AP11" s="55">
        <f>Данные!AI11</f>
        <v>13</v>
      </c>
      <c r="AQ11" s="55">
        <f>Данные!AJ11</f>
        <v>56</v>
      </c>
      <c r="AR11" s="55">
        <f>Данные!AK11</f>
        <v>55</v>
      </c>
      <c r="AS11" s="55">
        <f>Данные!AL11</f>
        <v>29</v>
      </c>
      <c r="AT11" s="55">
        <f>Данные!AM11</f>
        <v>27</v>
      </c>
      <c r="AU11" s="55">
        <f>Данные!AN11</f>
        <v>13</v>
      </c>
      <c r="AV11" s="55">
        <f>Данные!AO11</f>
        <v>23</v>
      </c>
      <c r="AW11" s="55">
        <f>Данные!AP11</f>
        <v>39</v>
      </c>
      <c r="AX11" s="55">
        <f>Данные!AQ11</f>
        <v>29</v>
      </c>
      <c r="AY11" s="55">
        <f>Данные!AR11</f>
        <v>27</v>
      </c>
      <c r="AZ11" s="55">
        <f>Данные!AS11</f>
        <v>13</v>
      </c>
      <c r="BA11" s="55">
        <f>Данные!AT11</f>
        <v>10</v>
      </c>
      <c r="BB11" s="55">
        <f>Данные!AU11</f>
        <v>39</v>
      </c>
      <c r="BC11" s="55">
        <f>Данные!AV11</f>
        <v>29</v>
      </c>
      <c r="BD11" s="55">
        <f>Данные!AW11</f>
        <v>27</v>
      </c>
      <c r="BE11" s="55">
        <f>Данные!AX11</f>
        <v>20</v>
      </c>
      <c r="BF11" s="55">
        <f>Данные!AY11</f>
        <v>45</v>
      </c>
      <c r="BG11" s="55">
        <f>Данные!AZ11</f>
        <v>29</v>
      </c>
      <c r="BH11" s="55">
        <f>Данные!BA11</f>
        <v>27</v>
      </c>
      <c r="BI11" s="55">
        <f>Данные!BB11</f>
        <v>20</v>
      </c>
      <c r="BJ11" s="55">
        <f>Данные!BC11</f>
        <v>45</v>
      </c>
      <c r="BK11" s="55">
        <f>Данные!BD11</f>
        <v>48</v>
      </c>
      <c r="BL11" s="55">
        <f>Данные!BE11</f>
        <v>39</v>
      </c>
      <c r="BN11" s="51" t="str">
        <f>Данные!BG11</f>
        <v>должность</v>
      </c>
      <c r="BO11" s="52">
        <f>Данные!BH11</f>
        <v>1</v>
      </c>
      <c r="BQ11" s="72">
        <v>0</v>
      </c>
      <c r="BR11" s="72">
        <v>0</v>
      </c>
      <c r="BS11" s="72">
        <v>0</v>
      </c>
      <c r="BT11" s="72">
        <v>0</v>
      </c>
      <c r="BU11" s="72">
        <v>0</v>
      </c>
      <c r="BV11" s="72">
        <v>0</v>
      </c>
      <c r="BW11" s="72">
        <v>0</v>
      </c>
      <c r="BX11" s="72">
        <v>0</v>
      </c>
      <c r="BY11" s="72">
        <v>0</v>
      </c>
      <c r="BZ11" s="72">
        <v>0</v>
      </c>
      <c r="CA11" s="72">
        <v>0</v>
      </c>
      <c r="CB11" s="72">
        <v>0</v>
      </c>
      <c r="CC11" s="72">
        <v>0</v>
      </c>
      <c r="CD11" s="72">
        <v>0</v>
      </c>
      <c r="CE11" s="72">
        <v>0</v>
      </c>
      <c r="CF11" s="72">
        <v>0</v>
      </c>
      <c r="CG11" s="72">
        <v>0</v>
      </c>
      <c r="CH11" s="72">
        <v>0</v>
      </c>
      <c r="CI11" s="72">
        <v>0</v>
      </c>
      <c r="CJ11" s="72">
        <v>0</v>
      </c>
      <c r="CK11" s="72">
        <v>0</v>
      </c>
      <c r="CL11" s="72">
        <v>0</v>
      </c>
      <c r="CM11" s="72">
        <v>0</v>
      </c>
      <c r="CN11" s="72">
        <v>0</v>
      </c>
      <c r="CO11" s="72">
        <v>0</v>
      </c>
      <c r="CP11" s="72">
        <v>0</v>
      </c>
      <c r="CQ11" s="72">
        <v>0</v>
      </c>
      <c r="CR11" s="72">
        <v>0</v>
      </c>
      <c r="CS11" s="72">
        <v>0</v>
      </c>
      <c r="CT11" s="72">
        <v>0</v>
      </c>
      <c r="CU11" s="72">
        <v>0</v>
      </c>
      <c r="CV11" s="72">
        <v>0</v>
      </c>
      <c r="CW11" s="72">
        <v>0</v>
      </c>
      <c r="CX11" s="72">
        <v>0</v>
      </c>
      <c r="CY11" s="72">
        <v>0</v>
      </c>
      <c r="CZ11" s="72">
        <v>0</v>
      </c>
      <c r="DA11" s="72">
        <v>0</v>
      </c>
      <c r="DB11" s="72">
        <v>0</v>
      </c>
      <c r="DC11" s="72">
        <v>0</v>
      </c>
      <c r="DD11" s="72">
        <v>0</v>
      </c>
      <c r="DE11" s="72">
        <v>0</v>
      </c>
      <c r="DF11" s="72">
        <v>0</v>
      </c>
      <c r="DG11" s="72">
        <v>0</v>
      </c>
      <c r="DH11" s="72">
        <v>0</v>
      </c>
      <c r="DI11" s="72">
        <v>0</v>
      </c>
      <c r="DJ11" s="72">
        <v>0</v>
      </c>
      <c r="DK11" s="72">
        <v>0</v>
      </c>
      <c r="DL11" s="72">
        <v>0</v>
      </c>
      <c r="DM11" s="72">
        <v>0</v>
      </c>
      <c r="DN11" s="72">
        <v>0</v>
      </c>
      <c r="DO11" s="72">
        <v>0</v>
      </c>
      <c r="DP11" s="72">
        <v>0</v>
      </c>
      <c r="DQ11" s="72">
        <v>0</v>
      </c>
      <c r="DR11" s="72">
        <v>0</v>
      </c>
      <c r="DS11" s="72">
        <v>0</v>
      </c>
      <c r="DT11" s="72">
        <v>0</v>
      </c>
      <c r="DU11" s="72">
        <v>0</v>
      </c>
      <c r="DV11" s="72">
        <v>0</v>
      </c>
      <c r="DW11" s="72">
        <v>0</v>
      </c>
      <c r="DX11" s="72">
        <v>0</v>
      </c>
      <c r="DY11" s="72">
        <v>0</v>
      </c>
      <c r="DZ11" s="72">
        <v>0</v>
      </c>
      <c r="EA11" s="72">
        <v>0</v>
      </c>
      <c r="EB11" s="72">
        <v>0</v>
      </c>
      <c r="EC11" s="72">
        <v>0</v>
      </c>
      <c r="ED11" s="72">
        <v>0</v>
      </c>
      <c r="EE11" s="72">
        <v>0</v>
      </c>
      <c r="EF11" s="72">
        <v>0</v>
      </c>
      <c r="EG11" s="72">
        <v>0</v>
      </c>
      <c r="EH11" s="72">
        <v>0</v>
      </c>
      <c r="EI11" s="72">
        <v>0</v>
      </c>
      <c r="EJ11" s="72">
        <v>0</v>
      </c>
      <c r="EK11" s="72">
        <v>0</v>
      </c>
      <c r="EL11" s="72">
        <v>0</v>
      </c>
    </row>
    <row r="12" spans="1:142" ht="26" x14ac:dyDescent="0.35">
      <c r="A12" s="59">
        <f>Данные!A12</f>
        <v>4699</v>
      </c>
      <c r="B12" s="59">
        <f>Данные!B12</f>
        <v>2016</v>
      </c>
      <c r="C12" s="59" t="str">
        <f>Данные!C12</f>
        <v>компьютерных технологий и электронного обучения</v>
      </c>
      <c r="D12" s="59" t="str">
        <f>Данные!D12</f>
        <v>Полякова Наталия Александровна</v>
      </c>
      <c r="E12" s="59" t="str">
        <f>Данные!E12</f>
        <v>кандидат педагогических наук</v>
      </c>
      <c r="F12" s="59" t="str">
        <f>Данные!F12</f>
        <v>доцент</v>
      </c>
      <c r="G12" s="59">
        <f>Данные!G12</f>
        <v>1</v>
      </c>
      <c r="H12" s="59">
        <f>Данные!H12</f>
        <v>15014</v>
      </c>
      <c r="I12" s="59" t="str">
        <f>Данные!I12</f>
        <v>Информационные технологии</v>
      </c>
      <c r="J12" s="59">
        <f>Данные!J12</f>
        <v>9</v>
      </c>
      <c r="K12" s="59">
        <f>Данные!K12</f>
        <v>32</v>
      </c>
      <c r="L12" s="59">
        <f>Данные!L12</f>
        <v>0</v>
      </c>
      <c r="M12" s="60">
        <f t="shared" si="0"/>
        <v>4.0999999999999996</v>
      </c>
      <c r="N12" s="60">
        <f t="shared" ca="1" si="1"/>
        <v>8.93</v>
      </c>
      <c r="O12" s="60">
        <f t="shared" ca="1" si="2"/>
        <v>5.25</v>
      </c>
      <c r="P12" s="60">
        <f t="shared" ca="1" si="3"/>
        <v>5.25</v>
      </c>
      <c r="Q12" s="54">
        <f>Данные!Q12</f>
        <v>0</v>
      </c>
      <c r="R12" s="54">
        <f>Данные!R12</f>
        <v>0</v>
      </c>
      <c r="S12" s="54">
        <f>Данные!S12</f>
        <v>0</v>
      </c>
      <c r="T12" s="54">
        <f>Данные!T12</f>
        <v>6</v>
      </c>
      <c r="U12" s="54">
        <f>Данные!U12</f>
        <v>0</v>
      </c>
      <c r="V12" s="54">
        <f>Данные!V12</f>
        <v>0</v>
      </c>
      <c r="W12" s="54">
        <f ca="1">Данные!W12</f>
        <v>21</v>
      </c>
      <c r="X12" s="54" t="str">
        <f ca="1">Данные!X12</f>
        <v>1</v>
      </c>
      <c r="Y12" s="54" t="str">
        <f ca="1">Данные!Y12</f>
        <v>2</v>
      </c>
      <c r="Z12" s="54">
        <f>Данные!Z12</f>
        <v>0</v>
      </c>
      <c r="AA12" s="54" t="str">
        <f>Данные!AA12</f>
        <v>осн</v>
      </c>
      <c r="AB12" s="101">
        <f t="shared" si="4"/>
        <v>800</v>
      </c>
      <c r="AC12" s="101" t="str">
        <f t="shared" si="5"/>
        <v/>
      </c>
      <c r="AD12" s="101" t="str">
        <f t="shared" si="6"/>
        <v/>
      </c>
      <c r="AE12" s="102">
        <f t="shared" ca="1" si="7"/>
        <v>70.53</v>
      </c>
      <c r="AF12" s="103">
        <f t="shared" ca="1" si="8"/>
        <v>8.8162500000000005E-2</v>
      </c>
      <c r="AG12" s="101"/>
      <c r="AH12" s="101"/>
      <c r="AJ12" s="12" t="s">
        <v>301</v>
      </c>
      <c r="AK12" s="22">
        <f>Данные!AD12</f>
        <v>10</v>
      </c>
      <c r="AL12" s="58">
        <f>Данные!AE12</f>
        <v>23</v>
      </c>
      <c r="AM12" s="57"/>
      <c r="AN12" s="57"/>
      <c r="AO12" s="56">
        <f>Данные!AH12</f>
        <v>56</v>
      </c>
      <c r="AP12" s="58">
        <f>Данные!AI12</f>
        <v>34</v>
      </c>
      <c r="AQ12" s="57"/>
      <c r="AR12" s="57"/>
      <c r="AS12" s="56">
        <f>Данные!AL12</f>
        <v>10</v>
      </c>
      <c r="AT12" s="58">
        <f>Данные!AM12</f>
        <v>10</v>
      </c>
      <c r="AU12" s="57"/>
      <c r="AV12" s="57"/>
      <c r="AW12" s="56">
        <f>Данные!AP12</f>
        <v>10</v>
      </c>
      <c r="AX12" s="58">
        <f>Данные!AQ12</f>
        <v>10</v>
      </c>
      <c r="AY12" s="57"/>
      <c r="AZ12" s="57"/>
      <c r="BA12" s="56">
        <f>Данные!AT12</f>
        <v>27</v>
      </c>
      <c r="BB12" s="58">
        <f>Данные!AU12</f>
        <v>10</v>
      </c>
      <c r="BC12" s="57"/>
      <c r="BD12" s="57"/>
      <c r="BE12" s="56">
        <f>Данные!AX12</f>
        <v>43</v>
      </c>
      <c r="BF12" s="58">
        <f>Данные!AY12</f>
        <v>38</v>
      </c>
      <c r="BG12" s="57"/>
      <c r="BH12" s="57"/>
      <c r="BI12" s="56">
        <f>Данные!BB12</f>
        <v>43</v>
      </c>
      <c r="BJ12" s="53">
        <f>Данные!BC12</f>
        <v>45</v>
      </c>
      <c r="BK12" s="44"/>
      <c r="BL12" s="44"/>
      <c r="BN12" s="51" t="str">
        <f>Данные!BG12</f>
        <v>должность</v>
      </c>
      <c r="BO12" s="52">
        <f>Данные!BH12</f>
        <v>1</v>
      </c>
      <c r="BQ12" s="72">
        <v>0</v>
      </c>
      <c r="BR12" s="72">
        <v>0</v>
      </c>
      <c r="BS12" s="72">
        <v>0</v>
      </c>
      <c r="BT12" s="72">
        <v>0</v>
      </c>
      <c r="BU12" s="72">
        <v>0</v>
      </c>
      <c r="BV12" s="72">
        <v>0</v>
      </c>
      <c r="BW12" s="72">
        <v>0</v>
      </c>
      <c r="BX12" s="72">
        <v>0</v>
      </c>
      <c r="BY12" s="72">
        <v>0</v>
      </c>
      <c r="BZ12" s="72">
        <v>0</v>
      </c>
      <c r="CA12" s="72">
        <v>0</v>
      </c>
      <c r="CB12" s="72">
        <v>0</v>
      </c>
      <c r="CC12" s="72">
        <v>0</v>
      </c>
      <c r="CD12" s="72">
        <v>0</v>
      </c>
      <c r="CE12" s="72">
        <v>0</v>
      </c>
      <c r="CF12" s="72">
        <v>0</v>
      </c>
      <c r="CG12" s="72">
        <v>0</v>
      </c>
      <c r="CH12" s="72">
        <v>0</v>
      </c>
      <c r="CI12" s="72">
        <v>0</v>
      </c>
      <c r="CJ12" s="72">
        <v>0</v>
      </c>
      <c r="CK12" s="72">
        <v>0</v>
      </c>
      <c r="CL12" s="72">
        <v>0</v>
      </c>
      <c r="CM12" s="72">
        <v>0</v>
      </c>
      <c r="CN12" s="72">
        <v>0</v>
      </c>
      <c r="CO12" s="72">
        <v>0</v>
      </c>
      <c r="CP12" s="72">
        <v>0</v>
      </c>
      <c r="CQ12" s="72">
        <v>0</v>
      </c>
      <c r="CR12" s="72">
        <v>0</v>
      </c>
      <c r="CS12" s="72">
        <v>0</v>
      </c>
      <c r="CT12" s="72">
        <v>0</v>
      </c>
      <c r="CU12" s="72">
        <v>0</v>
      </c>
      <c r="CV12" s="72">
        <v>0</v>
      </c>
      <c r="CW12" s="72">
        <v>0</v>
      </c>
      <c r="CX12" s="72">
        <v>0</v>
      </c>
      <c r="CY12" s="72">
        <v>0</v>
      </c>
      <c r="CZ12" s="72">
        <v>0</v>
      </c>
      <c r="DA12" s="72">
        <v>0</v>
      </c>
      <c r="DB12" s="72">
        <v>0</v>
      </c>
      <c r="DC12" s="72">
        <v>0</v>
      </c>
      <c r="DD12" s="72">
        <v>0</v>
      </c>
      <c r="DE12" s="72">
        <v>0</v>
      </c>
      <c r="DF12" s="72">
        <v>0</v>
      </c>
      <c r="DG12" s="72">
        <v>0</v>
      </c>
      <c r="DH12" s="72">
        <v>0</v>
      </c>
      <c r="DI12" s="72">
        <v>0</v>
      </c>
      <c r="DJ12" s="72">
        <v>0</v>
      </c>
      <c r="DK12" s="72">
        <v>0</v>
      </c>
      <c r="DL12" s="72">
        <v>0</v>
      </c>
      <c r="DM12" s="72">
        <v>0</v>
      </c>
      <c r="DN12" s="72">
        <v>0</v>
      </c>
      <c r="DO12" s="72">
        <v>0</v>
      </c>
      <c r="DP12" s="72">
        <v>0</v>
      </c>
      <c r="DQ12" s="72">
        <v>0</v>
      </c>
      <c r="DR12" s="72">
        <v>0</v>
      </c>
      <c r="DS12" s="72">
        <v>0</v>
      </c>
      <c r="DT12" s="72">
        <v>0</v>
      </c>
      <c r="DU12" s="72">
        <v>0</v>
      </c>
      <c r="DV12" s="72">
        <v>0</v>
      </c>
      <c r="DW12" s="72">
        <v>0</v>
      </c>
      <c r="DX12" s="72">
        <v>0</v>
      </c>
      <c r="DY12" s="72">
        <v>0</v>
      </c>
      <c r="DZ12" s="72">
        <v>0</v>
      </c>
      <c r="EA12" s="72">
        <v>0</v>
      </c>
      <c r="EB12" s="72">
        <v>0</v>
      </c>
      <c r="EC12" s="72">
        <v>0</v>
      </c>
      <c r="ED12" s="72">
        <v>0</v>
      </c>
      <c r="EE12" s="72">
        <v>0</v>
      </c>
      <c r="EF12" s="72">
        <v>0</v>
      </c>
      <c r="EG12" s="72">
        <v>0</v>
      </c>
      <c r="EH12" s="72">
        <v>0</v>
      </c>
      <c r="EI12" s="72">
        <v>0</v>
      </c>
      <c r="EJ12" s="72">
        <v>0</v>
      </c>
      <c r="EK12" s="72">
        <v>0</v>
      </c>
      <c r="EL12" s="72">
        <v>0</v>
      </c>
    </row>
    <row r="13" spans="1:142" x14ac:dyDescent="0.35">
      <c r="A13" s="59">
        <f>Данные!A13</f>
        <v>4699</v>
      </c>
      <c r="B13" s="59">
        <f>Данные!B13</f>
        <v>2018</v>
      </c>
      <c r="C13" s="59" t="str">
        <f>Данные!C13</f>
        <v>компьютерных технологий и электронного обучения</v>
      </c>
      <c r="D13" s="59" t="str">
        <f>Данные!D13</f>
        <v>Абрамян Геннадий Владимирович</v>
      </c>
      <c r="E13" s="59" t="str">
        <f>Данные!E13</f>
        <v>доктор педагогических наук</v>
      </c>
      <c r="F13" s="59" t="str">
        <f>Данные!F13</f>
        <v>профессор</v>
      </c>
      <c r="G13" s="59">
        <f>Данные!G13</f>
        <v>1</v>
      </c>
      <c r="H13" s="59">
        <f>Данные!H13</f>
        <v>17337</v>
      </c>
      <c r="I13" s="59" t="str">
        <f>Данные!I13</f>
        <v>Мультимедиа технологии и компьютерная графика</v>
      </c>
      <c r="J13" s="59">
        <f>Данные!J13</f>
        <v>18</v>
      </c>
      <c r="K13" s="59">
        <f>Данные!K13</f>
        <v>0</v>
      </c>
      <c r="L13" s="59">
        <f>Данные!L13</f>
        <v>54</v>
      </c>
      <c r="M13" s="60">
        <f t="shared" si="0"/>
        <v>7.2</v>
      </c>
      <c r="N13" s="60">
        <f t="shared" ca="1" si="1"/>
        <v>9.92</v>
      </c>
      <c r="O13" s="60">
        <f t="shared" ca="1" si="2"/>
        <v>6</v>
      </c>
      <c r="P13" s="60">
        <f t="shared" ca="1" si="3"/>
        <v>6</v>
      </c>
      <c r="Q13" s="54">
        <f>Данные!Q13</f>
        <v>0</v>
      </c>
      <c r="R13" s="54">
        <f>Данные!R13</f>
        <v>0</v>
      </c>
      <c r="S13" s="54">
        <f>Данные!S13</f>
        <v>0</v>
      </c>
      <c r="T13" s="54">
        <f>Данные!T13</f>
        <v>10</v>
      </c>
      <c r="U13" s="54">
        <f>Данные!U13</f>
        <v>0</v>
      </c>
      <c r="V13" s="54">
        <f>Данные!V13</f>
        <v>0</v>
      </c>
      <c r="W13" s="54">
        <f ca="1">Данные!W13</f>
        <v>24</v>
      </c>
      <c r="X13" s="54" t="str">
        <f ca="1">Данные!X13</f>
        <v>1</v>
      </c>
      <c r="Y13" s="54" t="str">
        <f ca="1">Данные!Y13</f>
        <v>2</v>
      </c>
      <c r="Z13" s="54">
        <f>Данные!Z13</f>
        <v>0</v>
      </c>
      <c r="AA13" s="54" t="str">
        <f>Данные!AA13</f>
        <v>осн</v>
      </c>
      <c r="AB13" s="101">
        <f t="shared" si="4"/>
        <v>750</v>
      </c>
      <c r="AC13" s="101" t="str">
        <f t="shared" si="5"/>
        <v/>
      </c>
      <c r="AD13" s="101" t="str">
        <f t="shared" si="6"/>
        <v/>
      </c>
      <c r="AE13" s="102">
        <f t="shared" ca="1" si="7"/>
        <v>111.12</v>
      </c>
      <c r="AF13" s="103">
        <f t="shared" ca="1" si="8"/>
        <v>0.14816000000000001</v>
      </c>
      <c r="AG13" s="101"/>
      <c r="AH13" s="101"/>
      <c r="BN13" s="51" t="str">
        <f>Данные!BG13</f>
        <v>должность</v>
      </c>
      <c r="BO13" s="52">
        <f>Данные!BH13</f>
        <v>1</v>
      </c>
      <c r="BQ13" s="72">
        <v>0</v>
      </c>
      <c r="BR13" s="72">
        <v>0</v>
      </c>
      <c r="BS13" s="72">
        <v>0</v>
      </c>
      <c r="BT13" s="72">
        <v>0</v>
      </c>
      <c r="BU13" s="72">
        <v>0</v>
      </c>
      <c r="BV13" s="72">
        <v>0</v>
      </c>
      <c r="BW13" s="72">
        <v>0</v>
      </c>
      <c r="BX13" s="72">
        <v>0</v>
      </c>
      <c r="BY13" s="72">
        <v>0</v>
      </c>
      <c r="BZ13" s="72">
        <v>0</v>
      </c>
      <c r="CA13" s="72">
        <v>0</v>
      </c>
      <c r="CB13" s="72">
        <v>0</v>
      </c>
      <c r="CC13" s="72">
        <v>0</v>
      </c>
      <c r="CD13" s="72">
        <v>0</v>
      </c>
      <c r="CE13" s="72">
        <v>0</v>
      </c>
      <c r="CF13" s="72">
        <v>0</v>
      </c>
      <c r="CG13" s="72">
        <v>0</v>
      </c>
      <c r="CH13" s="72">
        <v>0</v>
      </c>
      <c r="CI13" s="72">
        <v>0</v>
      </c>
      <c r="CJ13" s="72">
        <v>0</v>
      </c>
      <c r="CK13" s="72">
        <v>0</v>
      </c>
      <c r="CL13" s="72">
        <v>0</v>
      </c>
      <c r="CM13" s="72">
        <v>0</v>
      </c>
      <c r="CN13" s="72">
        <v>0</v>
      </c>
      <c r="CO13" s="72">
        <v>0</v>
      </c>
      <c r="CP13" s="72">
        <v>0</v>
      </c>
      <c r="CQ13" s="72">
        <v>0</v>
      </c>
      <c r="CR13" s="72">
        <v>0</v>
      </c>
      <c r="CS13" s="72">
        <v>0</v>
      </c>
      <c r="CT13" s="72">
        <v>0</v>
      </c>
      <c r="CU13" s="72">
        <v>0</v>
      </c>
      <c r="CV13" s="72">
        <v>0</v>
      </c>
      <c r="CW13" s="72">
        <v>0</v>
      </c>
      <c r="CX13" s="72">
        <v>0</v>
      </c>
      <c r="CY13" s="72">
        <v>0</v>
      </c>
      <c r="CZ13" s="72">
        <v>0</v>
      </c>
      <c r="DA13" s="72">
        <v>0</v>
      </c>
      <c r="DB13" s="72">
        <v>0</v>
      </c>
      <c r="DC13" s="72">
        <v>0</v>
      </c>
      <c r="DD13" s="72">
        <v>0</v>
      </c>
      <c r="DE13" s="72">
        <v>0</v>
      </c>
      <c r="DF13" s="72">
        <v>0</v>
      </c>
      <c r="DG13" s="72">
        <v>0</v>
      </c>
      <c r="DH13" s="72">
        <v>0</v>
      </c>
      <c r="DI13" s="72">
        <v>0</v>
      </c>
      <c r="DJ13" s="72">
        <v>0</v>
      </c>
      <c r="DK13" s="72">
        <v>0</v>
      </c>
      <c r="DL13" s="72">
        <v>0</v>
      </c>
      <c r="DM13" s="72">
        <v>0</v>
      </c>
      <c r="DN13" s="72">
        <v>0</v>
      </c>
      <c r="DO13" s="72">
        <v>0</v>
      </c>
      <c r="DP13" s="72">
        <v>0</v>
      </c>
      <c r="DQ13" s="72">
        <v>0</v>
      </c>
      <c r="DR13" s="72">
        <v>0</v>
      </c>
      <c r="DS13" s="72">
        <v>0</v>
      </c>
      <c r="DT13" s="72">
        <v>0</v>
      </c>
      <c r="DU13" s="72">
        <v>0</v>
      </c>
      <c r="DV13" s="72">
        <v>0</v>
      </c>
      <c r="DW13" s="72">
        <v>0</v>
      </c>
      <c r="DX13" s="72">
        <v>0</v>
      </c>
      <c r="DY13" s="72">
        <v>0</v>
      </c>
      <c r="DZ13" s="72">
        <v>0</v>
      </c>
      <c r="EA13" s="72">
        <v>0</v>
      </c>
      <c r="EB13" s="72">
        <v>0</v>
      </c>
      <c r="EC13" s="72">
        <v>0</v>
      </c>
      <c r="ED13" s="72">
        <v>0</v>
      </c>
      <c r="EE13" s="72">
        <v>0</v>
      </c>
      <c r="EF13" s="72">
        <v>0</v>
      </c>
      <c r="EG13" s="72">
        <v>0</v>
      </c>
      <c r="EH13" s="72">
        <v>0</v>
      </c>
      <c r="EI13" s="72">
        <v>0</v>
      </c>
      <c r="EJ13" s="72">
        <v>0</v>
      </c>
      <c r="EK13" s="72">
        <v>0</v>
      </c>
      <c r="EL13" s="72">
        <v>0</v>
      </c>
    </row>
    <row r="14" spans="1:142" x14ac:dyDescent="0.35">
      <c r="A14" s="59">
        <f>Данные!A14</f>
        <v>4701</v>
      </c>
      <c r="B14" s="59">
        <f>Данные!B14</f>
        <v>2016</v>
      </c>
      <c r="C14" s="59" t="str">
        <f>Данные!C14</f>
        <v>компьютерных технологий и электронного обучения</v>
      </c>
      <c r="D14" s="59" t="str">
        <f>Данные!D14</f>
        <v>Аксютин Павел Александрович</v>
      </c>
      <c r="E14" s="59" t="str">
        <f>Данные!E14</f>
        <v>нет</v>
      </c>
      <c r="F14" s="59" t="str">
        <f>Данные!F14</f>
        <v>ассистент</v>
      </c>
      <c r="G14" s="59">
        <f>Данные!G14</f>
        <v>0.5</v>
      </c>
      <c r="H14" s="59">
        <f>Данные!H14</f>
        <v>15313</v>
      </c>
      <c r="I14" s="59" t="str">
        <f>Данные!I14</f>
        <v>Информационные технологии</v>
      </c>
      <c r="J14" s="59">
        <f>Данные!J14</f>
        <v>0</v>
      </c>
      <c r="K14" s="59">
        <f>Данные!K14</f>
        <v>0</v>
      </c>
      <c r="L14" s="59">
        <f>Данные!L14</f>
        <v>0</v>
      </c>
      <c r="M14" s="60">
        <f t="shared" si="0"/>
        <v>0</v>
      </c>
      <c r="N14" s="60">
        <f t="shared" ca="1" si="1"/>
        <v>8.6000000000000014</v>
      </c>
      <c r="O14" s="60">
        <f t="shared" ca="1" si="2"/>
        <v>5</v>
      </c>
      <c r="P14" s="60">
        <f t="shared" ca="1" si="3"/>
        <v>5</v>
      </c>
      <c r="Q14" s="54">
        <f>Данные!Q14</f>
        <v>0</v>
      </c>
      <c r="R14" s="54">
        <f>Данные!R14</f>
        <v>0</v>
      </c>
      <c r="S14" s="54">
        <f>Данные!S14</f>
        <v>0</v>
      </c>
      <c r="T14" s="54">
        <f>Данные!T14</f>
        <v>7</v>
      </c>
      <c r="U14" s="54">
        <f>Данные!U14</f>
        <v>0</v>
      </c>
      <c r="V14" s="54">
        <f>Данные!V14</f>
        <v>0</v>
      </c>
      <c r="W14" s="54">
        <f ca="1">Данные!W14</f>
        <v>20</v>
      </c>
      <c r="X14" s="54" t="str">
        <f ca="1">Данные!X14</f>
        <v>1</v>
      </c>
      <c r="Y14" s="54" t="str">
        <f ca="1">Данные!Y14</f>
        <v>2</v>
      </c>
      <c r="Z14" s="54">
        <f>Данные!Z14</f>
        <v>0</v>
      </c>
      <c r="AA14" s="54" t="str">
        <f>Данные!AA14</f>
        <v>осн</v>
      </c>
      <c r="AB14" s="101">
        <f t="shared" si="4"/>
        <v>900</v>
      </c>
      <c r="AC14" s="101" t="str">
        <f t="shared" si="5"/>
        <v/>
      </c>
      <c r="AD14" s="101" t="str">
        <f t="shared" si="6"/>
        <v/>
      </c>
      <c r="AE14" s="102">
        <f t="shared" ca="1" si="7"/>
        <v>25.6</v>
      </c>
      <c r="AF14" s="103">
        <f t="shared" ca="1" si="8"/>
        <v>2.8444444444444446E-2</v>
      </c>
      <c r="AG14" s="101"/>
      <c r="AH14" s="101"/>
      <c r="BN14" s="51" t="str">
        <f>Данные!BG14</f>
        <v>должность</v>
      </c>
      <c r="BO14" s="52">
        <f>Данные!BH14</f>
        <v>1</v>
      </c>
      <c r="BQ14" s="72">
        <v>0</v>
      </c>
      <c r="BR14" s="72">
        <v>0</v>
      </c>
      <c r="BS14" s="72">
        <v>0</v>
      </c>
      <c r="BT14" s="72">
        <v>0</v>
      </c>
      <c r="BU14" s="72">
        <v>0</v>
      </c>
      <c r="BV14" s="72">
        <v>0</v>
      </c>
      <c r="BW14" s="72">
        <v>0</v>
      </c>
      <c r="BX14" s="72">
        <v>0</v>
      </c>
      <c r="BY14" s="72">
        <v>0</v>
      </c>
      <c r="BZ14" s="72">
        <v>0</v>
      </c>
      <c r="CA14" s="72">
        <v>0</v>
      </c>
      <c r="CB14" s="72">
        <v>0</v>
      </c>
      <c r="CC14" s="72">
        <v>0</v>
      </c>
      <c r="CD14" s="72">
        <v>0</v>
      </c>
      <c r="CE14" s="72">
        <v>0</v>
      </c>
      <c r="CF14" s="72">
        <v>0</v>
      </c>
      <c r="CG14" s="72">
        <v>0</v>
      </c>
      <c r="CH14" s="72">
        <v>0</v>
      </c>
      <c r="CI14" s="72">
        <v>0</v>
      </c>
      <c r="CJ14" s="72">
        <v>0</v>
      </c>
      <c r="CK14" s="72">
        <v>0</v>
      </c>
      <c r="CL14" s="72">
        <v>0</v>
      </c>
      <c r="CM14" s="72">
        <v>0</v>
      </c>
      <c r="CN14" s="72">
        <v>0</v>
      </c>
      <c r="CO14" s="72">
        <v>0</v>
      </c>
      <c r="CP14" s="72">
        <v>0</v>
      </c>
      <c r="CQ14" s="72">
        <v>0</v>
      </c>
      <c r="CR14" s="72">
        <v>0</v>
      </c>
      <c r="CS14" s="72">
        <v>0</v>
      </c>
      <c r="CT14" s="72">
        <v>0</v>
      </c>
      <c r="CU14" s="72">
        <v>0</v>
      </c>
      <c r="CV14" s="72">
        <v>0</v>
      </c>
      <c r="CW14" s="72">
        <v>0</v>
      </c>
      <c r="CX14" s="72">
        <v>0</v>
      </c>
      <c r="CY14" s="72">
        <v>0</v>
      </c>
      <c r="CZ14" s="72">
        <v>0</v>
      </c>
      <c r="DA14" s="72">
        <v>0</v>
      </c>
      <c r="DB14" s="72">
        <v>0</v>
      </c>
      <c r="DC14" s="72">
        <v>0</v>
      </c>
      <c r="DD14" s="72">
        <v>0</v>
      </c>
      <c r="DE14" s="72">
        <v>0</v>
      </c>
      <c r="DF14" s="72">
        <v>0</v>
      </c>
      <c r="DG14" s="72">
        <v>0</v>
      </c>
      <c r="DH14" s="72">
        <v>0</v>
      </c>
      <c r="DI14" s="72">
        <v>0</v>
      </c>
      <c r="DJ14" s="72">
        <v>0</v>
      </c>
      <c r="DK14" s="72">
        <v>0</v>
      </c>
      <c r="DL14" s="72">
        <v>0</v>
      </c>
      <c r="DM14" s="72">
        <v>0</v>
      </c>
      <c r="DN14" s="72">
        <v>0</v>
      </c>
      <c r="DO14" s="72">
        <v>0</v>
      </c>
      <c r="DP14" s="72">
        <v>0</v>
      </c>
      <c r="DQ14" s="72">
        <v>0</v>
      </c>
      <c r="DR14" s="72">
        <v>0</v>
      </c>
      <c r="DS14" s="72">
        <v>0</v>
      </c>
      <c r="DT14" s="72">
        <v>0</v>
      </c>
      <c r="DU14" s="72">
        <v>0</v>
      </c>
      <c r="DV14" s="72">
        <v>0</v>
      </c>
      <c r="DW14" s="72">
        <v>0</v>
      </c>
      <c r="DX14" s="72">
        <v>0</v>
      </c>
      <c r="DY14" s="72">
        <v>0</v>
      </c>
      <c r="DZ14" s="72">
        <v>0</v>
      </c>
      <c r="EA14" s="72">
        <v>0</v>
      </c>
      <c r="EB14" s="72">
        <v>0</v>
      </c>
      <c r="EC14" s="72">
        <v>0</v>
      </c>
      <c r="ED14" s="72">
        <v>0</v>
      </c>
      <c r="EE14" s="72">
        <v>0</v>
      </c>
      <c r="EF14" s="72">
        <v>0</v>
      </c>
      <c r="EG14" s="72">
        <v>0</v>
      </c>
      <c r="EH14" s="72">
        <v>0</v>
      </c>
      <c r="EI14" s="72">
        <v>0</v>
      </c>
      <c r="EJ14" s="72">
        <v>0</v>
      </c>
      <c r="EK14" s="72">
        <v>0</v>
      </c>
      <c r="EL14" s="72">
        <v>0</v>
      </c>
    </row>
    <row r="15" spans="1:142" x14ac:dyDescent="0.35">
      <c r="A15" s="59">
        <f>Данные!A15</f>
        <v>4701</v>
      </c>
      <c r="B15" s="59">
        <f>Данные!B15</f>
        <v>2016</v>
      </c>
      <c r="C15" s="59" t="str">
        <f>Данные!C15</f>
        <v>компьютерных технологий и электронного обучения</v>
      </c>
      <c r="D15" s="59" t="str">
        <f>Данные!D15</f>
        <v>Власова Елена Зотиковна</v>
      </c>
      <c r="E15" s="59" t="str">
        <f>Данные!E15</f>
        <v>доктор педагогических наук</v>
      </c>
      <c r="F15" s="59" t="str">
        <f>Данные!F15</f>
        <v>заведующий кафедрой</v>
      </c>
      <c r="G15" s="59">
        <f>Данные!G15</f>
        <v>1</v>
      </c>
      <c r="H15" s="59">
        <f>Данные!H15</f>
        <v>15313</v>
      </c>
      <c r="I15" s="59" t="str">
        <f>Данные!I15</f>
        <v>Информатика</v>
      </c>
      <c r="J15" s="59">
        <f>Данные!J15</f>
        <v>2</v>
      </c>
      <c r="K15" s="59">
        <f>Данные!K15</f>
        <v>0</v>
      </c>
      <c r="L15" s="59">
        <f>Данные!L15</f>
        <v>0</v>
      </c>
      <c r="M15" s="60">
        <f t="shared" si="0"/>
        <v>0.2</v>
      </c>
      <c r="N15" s="60">
        <f t="shared" ca="1" si="1"/>
        <v>8.6000000000000014</v>
      </c>
      <c r="O15" s="60">
        <f t="shared" ca="1" si="2"/>
        <v>5</v>
      </c>
      <c r="P15" s="60">
        <f t="shared" ca="1" si="3"/>
        <v>5</v>
      </c>
      <c r="Q15" s="54">
        <f>Данные!Q15</f>
        <v>0</v>
      </c>
      <c r="R15" s="54">
        <f>Данные!R15</f>
        <v>0</v>
      </c>
      <c r="S15" s="54">
        <f>Данные!S15</f>
        <v>0</v>
      </c>
      <c r="T15" s="54">
        <f>Данные!T15</f>
        <v>9</v>
      </c>
      <c r="U15" s="54">
        <f>Данные!U15</f>
        <v>0</v>
      </c>
      <c r="V15" s="54">
        <f>Данные!V15</f>
        <v>0</v>
      </c>
      <c r="W15" s="54">
        <f ca="1">Данные!W15</f>
        <v>20</v>
      </c>
      <c r="X15" s="54" t="str">
        <f ca="1">Данные!X15</f>
        <v>1</v>
      </c>
      <c r="Y15" s="54" t="str">
        <f ca="1">Данные!Y15</f>
        <v>2</v>
      </c>
      <c r="Z15" s="54">
        <f>Данные!Z15</f>
        <v>0</v>
      </c>
      <c r="AA15" s="54" t="str">
        <f>Данные!AA15</f>
        <v>осн</v>
      </c>
      <c r="AB15" s="101">
        <f t="shared" si="4"/>
        <v>700</v>
      </c>
      <c r="AC15" s="101" t="str">
        <f t="shared" si="5"/>
        <v/>
      </c>
      <c r="AD15" s="101" t="str">
        <f t="shared" si="6"/>
        <v/>
      </c>
      <c r="AE15" s="102">
        <f t="shared" ca="1" si="7"/>
        <v>29.8</v>
      </c>
      <c r="AF15" s="103">
        <f t="shared" ca="1" si="8"/>
        <v>4.2571428571428573E-2</v>
      </c>
      <c r="AG15" s="101"/>
      <c r="AH15" s="101"/>
      <c r="BN15" s="51" t="str">
        <f>Данные!BG15</f>
        <v>должность</v>
      </c>
      <c r="BO15" s="52">
        <f>Данные!BH15</f>
        <v>1</v>
      </c>
      <c r="BQ15" s="72">
        <v>0</v>
      </c>
      <c r="BR15" s="72">
        <v>0</v>
      </c>
      <c r="BS15" s="72">
        <v>0</v>
      </c>
      <c r="BT15" s="72">
        <v>0</v>
      </c>
      <c r="BU15" s="72">
        <v>0</v>
      </c>
      <c r="BV15" s="72">
        <v>0</v>
      </c>
      <c r="BW15" s="72">
        <v>0</v>
      </c>
      <c r="BX15" s="72">
        <v>0</v>
      </c>
      <c r="BY15" s="72">
        <v>0</v>
      </c>
      <c r="BZ15" s="72">
        <v>0</v>
      </c>
      <c r="CA15" s="72">
        <v>0</v>
      </c>
      <c r="CB15" s="72">
        <v>0</v>
      </c>
      <c r="CC15" s="72">
        <v>0</v>
      </c>
      <c r="CD15" s="72">
        <v>0</v>
      </c>
      <c r="CE15" s="72">
        <v>0</v>
      </c>
      <c r="CF15" s="72">
        <v>0</v>
      </c>
      <c r="CG15" s="72">
        <v>0</v>
      </c>
      <c r="CH15" s="72">
        <v>0</v>
      </c>
      <c r="CI15" s="72">
        <v>0</v>
      </c>
      <c r="CJ15" s="72">
        <v>0</v>
      </c>
      <c r="CK15" s="72">
        <v>0</v>
      </c>
      <c r="CL15" s="72">
        <v>0</v>
      </c>
      <c r="CM15" s="72">
        <v>0</v>
      </c>
      <c r="CN15" s="72">
        <v>0</v>
      </c>
      <c r="CO15" s="72">
        <v>0</v>
      </c>
      <c r="CP15" s="72">
        <v>0</v>
      </c>
      <c r="CQ15" s="72">
        <v>0</v>
      </c>
      <c r="CR15" s="72">
        <v>0</v>
      </c>
      <c r="CS15" s="72">
        <v>0</v>
      </c>
      <c r="CT15" s="72">
        <v>0</v>
      </c>
      <c r="CU15" s="72">
        <v>0</v>
      </c>
      <c r="CV15" s="72">
        <v>0</v>
      </c>
      <c r="CW15" s="72">
        <v>0</v>
      </c>
      <c r="CX15" s="72">
        <v>0</v>
      </c>
      <c r="CY15" s="72">
        <v>0</v>
      </c>
      <c r="CZ15" s="72">
        <v>0</v>
      </c>
      <c r="DA15" s="72">
        <v>0</v>
      </c>
      <c r="DB15" s="72">
        <v>0</v>
      </c>
      <c r="DC15" s="72">
        <v>0</v>
      </c>
      <c r="DD15" s="72">
        <v>0</v>
      </c>
      <c r="DE15" s="72">
        <v>0</v>
      </c>
      <c r="DF15" s="72">
        <v>0</v>
      </c>
      <c r="DG15" s="72">
        <v>0</v>
      </c>
      <c r="DH15" s="72">
        <v>0</v>
      </c>
      <c r="DI15" s="72">
        <v>0</v>
      </c>
      <c r="DJ15" s="72">
        <v>0</v>
      </c>
      <c r="DK15" s="72">
        <v>0</v>
      </c>
      <c r="DL15" s="72">
        <v>0</v>
      </c>
      <c r="DM15" s="72">
        <v>0</v>
      </c>
      <c r="DN15" s="72">
        <v>0</v>
      </c>
      <c r="DO15" s="72">
        <v>0</v>
      </c>
      <c r="DP15" s="72">
        <v>0</v>
      </c>
      <c r="DQ15" s="72">
        <v>0</v>
      </c>
      <c r="DR15" s="72">
        <v>0</v>
      </c>
      <c r="DS15" s="72">
        <v>0</v>
      </c>
      <c r="DT15" s="72">
        <v>0</v>
      </c>
      <c r="DU15" s="72">
        <v>0</v>
      </c>
      <c r="DV15" s="72">
        <v>0</v>
      </c>
      <c r="DW15" s="72">
        <v>0</v>
      </c>
      <c r="DX15" s="72">
        <v>0</v>
      </c>
      <c r="DY15" s="72">
        <v>0</v>
      </c>
      <c r="DZ15" s="72">
        <v>0</v>
      </c>
      <c r="EA15" s="72">
        <v>0</v>
      </c>
      <c r="EB15" s="72">
        <v>0</v>
      </c>
      <c r="EC15" s="72">
        <v>0</v>
      </c>
      <c r="ED15" s="72">
        <v>0</v>
      </c>
      <c r="EE15" s="72">
        <v>0</v>
      </c>
      <c r="EF15" s="72">
        <v>0</v>
      </c>
      <c r="EG15" s="72">
        <v>0</v>
      </c>
      <c r="EH15" s="72">
        <v>0</v>
      </c>
      <c r="EI15" s="72">
        <v>0</v>
      </c>
      <c r="EJ15" s="72">
        <v>0</v>
      </c>
      <c r="EK15" s="72">
        <v>0</v>
      </c>
      <c r="EL15" s="72">
        <v>0</v>
      </c>
    </row>
    <row r="16" spans="1:142" x14ac:dyDescent="0.35">
      <c r="A16" s="59">
        <f>Данные!A16</f>
        <v>4701</v>
      </c>
      <c r="B16" s="59">
        <f>Данные!B16</f>
        <v>2016</v>
      </c>
      <c r="C16" s="59" t="str">
        <f>Данные!C16</f>
        <v>компьютерных технологий и электронного обучения</v>
      </c>
      <c r="D16" s="59" t="str">
        <f>Данные!D16</f>
        <v>Гончарова Светлана Викторовна</v>
      </c>
      <c r="E16" s="59" t="str">
        <f>Данные!E16</f>
        <v>кандидат педагогических наук</v>
      </c>
      <c r="F16" s="59" t="str">
        <f>Данные!F16</f>
        <v>доцент</v>
      </c>
      <c r="G16" s="59">
        <f>Данные!G16</f>
        <v>1</v>
      </c>
      <c r="H16" s="59">
        <f>Данные!H16</f>
        <v>15313</v>
      </c>
      <c r="I16" s="59" t="str">
        <f>Данные!I16</f>
        <v>Информатика</v>
      </c>
      <c r="J16" s="59">
        <f>Данные!J16</f>
        <v>32</v>
      </c>
      <c r="K16" s="59">
        <f>Данные!K16</f>
        <v>0</v>
      </c>
      <c r="L16" s="59">
        <f>Данные!L16</f>
        <v>51</v>
      </c>
      <c r="M16" s="60">
        <f t="shared" si="0"/>
        <v>8.3000000000000007</v>
      </c>
      <c r="N16" s="60">
        <f t="shared" ca="1" si="1"/>
        <v>8.6000000000000014</v>
      </c>
      <c r="O16" s="60">
        <f t="shared" ca="1" si="2"/>
        <v>5</v>
      </c>
      <c r="P16" s="60">
        <f t="shared" ca="1" si="3"/>
        <v>5</v>
      </c>
      <c r="Q16" s="54">
        <f>Данные!Q16</f>
        <v>0</v>
      </c>
      <c r="R16" s="54">
        <f>Данные!R16</f>
        <v>0</v>
      </c>
      <c r="S16" s="54">
        <f>Данные!S16</f>
        <v>0</v>
      </c>
      <c r="T16" s="54">
        <f>Данные!T16</f>
        <v>4</v>
      </c>
      <c r="U16" s="54">
        <f>Данные!U16</f>
        <v>0</v>
      </c>
      <c r="V16" s="54">
        <f>Данные!V16</f>
        <v>0</v>
      </c>
      <c r="W16" s="54">
        <f ca="1">Данные!W16</f>
        <v>20</v>
      </c>
      <c r="X16" s="54" t="str">
        <f ca="1">Данные!X16</f>
        <v>1</v>
      </c>
      <c r="Y16" s="54" t="str">
        <f ca="1">Данные!Y16</f>
        <v>2</v>
      </c>
      <c r="Z16" s="54">
        <f>Данные!Z16</f>
        <v>0</v>
      </c>
      <c r="AA16" s="54" t="str">
        <f>Данные!AA16</f>
        <v>осн</v>
      </c>
      <c r="AB16" s="101">
        <f t="shared" si="4"/>
        <v>800</v>
      </c>
      <c r="AC16" s="101" t="str">
        <f t="shared" si="5"/>
        <v/>
      </c>
      <c r="AD16" s="101" t="str">
        <f t="shared" si="6"/>
        <v/>
      </c>
      <c r="AE16" s="102">
        <f t="shared" ca="1" si="7"/>
        <v>113.9</v>
      </c>
      <c r="AF16" s="103">
        <f t="shared" ca="1" si="8"/>
        <v>0.142375</v>
      </c>
      <c r="AG16" s="101"/>
      <c r="AH16" s="101"/>
      <c r="BQ16" s="72">
        <v>0</v>
      </c>
      <c r="BR16" s="72">
        <v>0</v>
      </c>
      <c r="BS16" s="72">
        <v>0</v>
      </c>
      <c r="BT16" s="72">
        <v>0</v>
      </c>
      <c r="BU16" s="72">
        <v>0</v>
      </c>
      <c r="BV16" s="72">
        <v>0</v>
      </c>
      <c r="BW16" s="72">
        <v>0</v>
      </c>
      <c r="BX16" s="72">
        <v>0</v>
      </c>
      <c r="BY16" s="72">
        <v>0</v>
      </c>
      <c r="BZ16" s="72">
        <v>0</v>
      </c>
      <c r="CA16" s="72">
        <v>0</v>
      </c>
      <c r="CB16" s="72">
        <v>0</v>
      </c>
      <c r="CC16" s="72">
        <v>0</v>
      </c>
      <c r="CD16" s="72">
        <v>0</v>
      </c>
      <c r="CE16" s="72">
        <v>0</v>
      </c>
      <c r="CF16" s="72">
        <v>0</v>
      </c>
      <c r="CG16" s="72">
        <v>0</v>
      </c>
      <c r="CH16" s="72">
        <v>0</v>
      </c>
      <c r="CI16" s="72">
        <v>0</v>
      </c>
      <c r="CJ16" s="72">
        <v>0</v>
      </c>
      <c r="CK16" s="72">
        <v>0</v>
      </c>
      <c r="CL16" s="72">
        <v>0</v>
      </c>
      <c r="CM16" s="72">
        <v>0</v>
      </c>
      <c r="CN16" s="72">
        <v>0</v>
      </c>
      <c r="CO16" s="72">
        <v>0</v>
      </c>
      <c r="CP16" s="72">
        <v>0</v>
      </c>
      <c r="CQ16" s="72">
        <v>0</v>
      </c>
      <c r="CR16" s="72">
        <v>0</v>
      </c>
      <c r="CS16" s="72">
        <v>0</v>
      </c>
      <c r="CT16" s="72">
        <v>0</v>
      </c>
      <c r="CU16" s="72">
        <v>0</v>
      </c>
      <c r="CV16" s="72">
        <v>0</v>
      </c>
      <c r="CW16" s="72">
        <v>0</v>
      </c>
      <c r="CX16" s="72">
        <v>0</v>
      </c>
      <c r="CY16" s="72">
        <v>0</v>
      </c>
      <c r="CZ16" s="72">
        <v>0</v>
      </c>
      <c r="DA16" s="72">
        <v>0</v>
      </c>
      <c r="DB16" s="72">
        <v>0</v>
      </c>
      <c r="DC16" s="72">
        <v>0</v>
      </c>
      <c r="DD16" s="72">
        <v>0</v>
      </c>
      <c r="DE16" s="72">
        <v>0</v>
      </c>
      <c r="DF16" s="72">
        <v>0</v>
      </c>
      <c r="DG16" s="72">
        <v>0</v>
      </c>
      <c r="DH16" s="72">
        <v>0</v>
      </c>
      <c r="DI16" s="72">
        <v>0</v>
      </c>
      <c r="DJ16" s="72">
        <v>0</v>
      </c>
      <c r="DK16" s="72">
        <v>0</v>
      </c>
      <c r="DL16" s="72">
        <v>0</v>
      </c>
      <c r="DM16" s="72">
        <v>0</v>
      </c>
      <c r="DN16" s="72">
        <v>0</v>
      </c>
      <c r="DO16" s="72">
        <v>0</v>
      </c>
      <c r="DP16" s="72">
        <v>0</v>
      </c>
      <c r="DQ16" s="72">
        <v>0</v>
      </c>
      <c r="DR16" s="72">
        <v>0</v>
      </c>
      <c r="DS16" s="72">
        <v>0</v>
      </c>
      <c r="DT16" s="72">
        <v>0</v>
      </c>
      <c r="DU16" s="72">
        <v>0</v>
      </c>
      <c r="DV16" s="72">
        <v>0</v>
      </c>
      <c r="DW16" s="72">
        <v>0</v>
      </c>
      <c r="DX16" s="72">
        <v>0</v>
      </c>
      <c r="DY16" s="72">
        <v>0</v>
      </c>
      <c r="DZ16" s="72">
        <v>0</v>
      </c>
      <c r="EA16" s="72">
        <v>0</v>
      </c>
      <c r="EB16" s="72">
        <v>0</v>
      </c>
      <c r="EC16" s="72">
        <v>0</v>
      </c>
      <c r="ED16" s="72">
        <v>0</v>
      </c>
      <c r="EE16" s="72">
        <v>0</v>
      </c>
      <c r="EF16" s="72">
        <v>0</v>
      </c>
      <c r="EG16" s="72">
        <v>0</v>
      </c>
      <c r="EH16" s="72">
        <v>0</v>
      </c>
      <c r="EI16" s="72">
        <v>0</v>
      </c>
      <c r="EJ16" s="72">
        <v>0</v>
      </c>
      <c r="EK16" s="72">
        <v>0</v>
      </c>
      <c r="EL16" s="72">
        <v>0</v>
      </c>
    </row>
    <row r="17" spans="1:142" x14ac:dyDescent="0.35">
      <c r="A17" s="59">
        <f>Данные!A17</f>
        <v>4701</v>
      </c>
      <c r="B17" s="59">
        <f>Данные!B17</f>
        <v>2016</v>
      </c>
      <c r="C17" s="59" t="str">
        <f>Данные!C17</f>
        <v>компьютерных технологий и электронного обучения</v>
      </c>
      <c r="D17" s="59" t="str">
        <f>Данные!D17</f>
        <v>Ильина Татьяна Сергеевна</v>
      </c>
      <c r="E17" s="59" t="str">
        <f>Данные!E17</f>
        <v>нет</v>
      </c>
      <c r="F17" s="59" t="str">
        <f>Данные!F17</f>
        <v>старший преподаватель</v>
      </c>
      <c r="G17" s="59">
        <f>Данные!G17</f>
        <v>1</v>
      </c>
      <c r="H17" s="59">
        <f>Данные!H17</f>
        <v>15313</v>
      </c>
      <c r="I17" s="59" t="str">
        <f>Данные!I17</f>
        <v>Информатика</v>
      </c>
      <c r="J17" s="59">
        <f>Данные!J17</f>
        <v>0</v>
      </c>
      <c r="K17" s="59">
        <f>Данные!K17</f>
        <v>0</v>
      </c>
      <c r="L17" s="59">
        <f>Данные!L17</f>
        <v>102</v>
      </c>
      <c r="M17" s="60">
        <f t="shared" si="0"/>
        <v>10.199999999999999</v>
      </c>
      <c r="N17" s="60">
        <f t="shared" ca="1" si="1"/>
        <v>8.6000000000000014</v>
      </c>
      <c r="O17" s="60">
        <f t="shared" ca="1" si="2"/>
        <v>5</v>
      </c>
      <c r="P17" s="60">
        <f t="shared" ca="1" si="3"/>
        <v>5</v>
      </c>
      <c r="Q17" s="54">
        <f>Данные!Q17</f>
        <v>0</v>
      </c>
      <c r="R17" s="54">
        <f>Данные!R17</f>
        <v>0</v>
      </c>
      <c r="S17" s="54">
        <f>Данные!S17</f>
        <v>0</v>
      </c>
      <c r="T17" s="54">
        <f>Данные!T17</f>
        <v>10</v>
      </c>
      <c r="U17" s="54">
        <f>Данные!U17</f>
        <v>0</v>
      </c>
      <c r="V17" s="54">
        <f>Данные!V17</f>
        <v>0</v>
      </c>
      <c r="W17" s="54">
        <f ca="1">Данные!W17</f>
        <v>20</v>
      </c>
      <c r="X17" s="54" t="str">
        <f ca="1">Данные!X17</f>
        <v>1</v>
      </c>
      <c r="Y17" s="54" t="str">
        <f ca="1">Данные!Y17</f>
        <v>2</v>
      </c>
      <c r="Z17" s="54">
        <f>Данные!Z17</f>
        <v>0</v>
      </c>
      <c r="AA17" s="54" t="str">
        <f>Данные!AA17</f>
        <v>осн</v>
      </c>
      <c r="AB17" s="101">
        <f t="shared" si="4"/>
        <v>850</v>
      </c>
      <c r="AC17" s="101" t="str">
        <f t="shared" si="5"/>
        <v/>
      </c>
      <c r="AD17" s="101" t="str">
        <f t="shared" si="6"/>
        <v/>
      </c>
      <c r="AE17" s="102">
        <f t="shared" ca="1" si="7"/>
        <v>140.80000000000001</v>
      </c>
      <c r="AF17" s="103">
        <f t="shared" ca="1" si="8"/>
        <v>0.16564705882352943</v>
      </c>
      <c r="AG17" s="101"/>
      <c r="AH17" s="101"/>
      <c r="BQ17" s="72">
        <v>0</v>
      </c>
      <c r="BR17" s="72">
        <v>0</v>
      </c>
      <c r="BS17" s="72">
        <v>0</v>
      </c>
      <c r="BT17" s="72">
        <v>0</v>
      </c>
      <c r="BU17" s="72">
        <v>0</v>
      </c>
      <c r="BV17" s="72">
        <v>0</v>
      </c>
      <c r="BW17" s="72">
        <v>0</v>
      </c>
      <c r="BX17" s="72">
        <v>0</v>
      </c>
      <c r="BY17" s="72">
        <v>0</v>
      </c>
      <c r="BZ17" s="72">
        <v>0</v>
      </c>
      <c r="CA17" s="72">
        <v>0</v>
      </c>
      <c r="CB17" s="72">
        <v>0</v>
      </c>
      <c r="CC17" s="72">
        <v>0</v>
      </c>
      <c r="CD17" s="72">
        <v>0</v>
      </c>
      <c r="CE17" s="72">
        <v>0</v>
      </c>
      <c r="CF17" s="72">
        <v>0</v>
      </c>
      <c r="CG17" s="72">
        <v>0</v>
      </c>
      <c r="CH17" s="72">
        <v>0</v>
      </c>
      <c r="CI17" s="72">
        <v>0</v>
      </c>
      <c r="CJ17" s="72">
        <v>0</v>
      </c>
      <c r="CK17" s="72">
        <v>0</v>
      </c>
      <c r="CL17" s="72">
        <v>0</v>
      </c>
      <c r="CM17" s="72">
        <v>0</v>
      </c>
      <c r="CN17" s="72">
        <v>0</v>
      </c>
      <c r="CO17" s="72">
        <v>0</v>
      </c>
      <c r="CP17" s="72">
        <v>0</v>
      </c>
      <c r="CQ17" s="72">
        <v>0</v>
      </c>
      <c r="CR17" s="72">
        <v>0</v>
      </c>
      <c r="CS17" s="72">
        <v>0</v>
      </c>
      <c r="CT17" s="72">
        <v>0</v>
      </c>
      <c r="CU17" s="72">
        <v>0</v>
      </c>
      <c r="CV17" s="72">
        <v>0</v>
      </c>
      <c r="CW17" s="72">
        <v>0</v>
      </c>
      <c r="CX17" s="72">
        <v>0</v>
      </c>
      <c r="CY17" s="72">
        <v>0</v>
      </c>
      <c r="CZ17" s="72">
        <v>0</v>
      </c>
      <c r="DA17" s="72">
        <v>0</v>
      </c>
      <c r="DB17" s="72">
        <v>0</v>
      </c>
      <c r="DC17" s="72">
        <v>0</v>
      </c>
      <c r="DD17" s="72">
        <v>0</v>
      </c>
      <c r="DE17" s="72">
        <v>0</v>
      </c>
      <c r="DF17" s="72">
        <v>0</v>
      </c>
      <c r="DG17" s="72">
        <v>0</v>
      </c>
      <c r="DH17" s="72">
        <v>0</v>
      </c>
      <c r="DI17" s="72">
        <v>0</v>
      </c>
      <c r="DJ17" s="72">
        <v>0</v>
      </c>
      <c r="DK17" s="72">
        <v>0</v>
      </c>
      <c r="DL17" s="72">
        <v>0</v>
      </c>
      <c r="DM17" s="72">
        <v>0</v>
      </c>
      <c r="DN17" s="72">
        <v>0</v>
      </c>
      <c r="DO17" s="72">
        <v>0</v>
      </c>
      <c r="DP17" s="72">
        <v>0</v>
      </c>
      <c r="DQ17" s="72">
        <v>0</v>
      </c>
      <c r="DR17" s="72">
        <v>0</v>
      </c>
      <c r="DS17" s="72">
        <v>0</v>
      </c>
      <c r="DT17" s="72">
        <v>0</v>
      </c>
      <c r="DU17" s="72">
        <v>0</v>
      </c>
      <c r="DV17" s="72">
        <v>0</v>
      </c>
      <c r="DW17" s="72">
        <v>0</v>
      </c>
      <c r="DX17" s="72">
        <v>0</v>
      </c>
      <c r="DY17" s="72">
        <v>0</v>
      </c>
      <c r="DZ17" s="72">
        <v>0</v>
      </c>
      <c r="EA17" s="72">
        <v>0</v>
      </c>
      <c r="EB17" s="72">
        <v>0</v>
      </c>
      <c r="EC17" s="72">
        <v>0</v>
      </c>
      <c r="ED17" s="72">
        <v>0</v>
      </c>
      <c r="EE17" s="72">
        <v>0</v>
      </c>
      <c r="EF17" s="72">
        <v>0</v>
      </c>
      <c r="EG17" s="72">
        <v>0</v>
      </c>
      <c r="EH17" s="72">
        <v>0</v>
      </c>
      <c r="EI17" s="72">
        <v>0</v>
      </c>
      <c r="EJ17" s="72">
        <v>0</v>
      </c>
      <c r="EK17" s="72">
        <v>0</v>
      </c>
      <c r="EL17" s="72">
        <v>0</v>
      </c>
    </row>
    <row r="18" spans="1:142" x14ac:dyDescent="0.35">
      <c r="A18" s="59">
        <f>Данные!A18</f>
        <v>4701</v>
      </c>
      <c r="B18" s="59">
        <f>Данные!B18</f>
        <v>2016</v>
      </c>
      <c r="C18" s="59" t="str">
        <f>Данные!C18</f>
        <v>компьютерных технологий и электронного обучения</v>
      </c>
      <c r="D18" s="59" t="str">
        <f>Данные!D18</f>
        <v>Карпова Наталья Александровна</v>
      </c>
      <c r="E18" s="59" t="str">
        <f>Данные!E18</f>
        <v>кандидат технических наук</v>
      </c>
      <c r="F18" s="59" t="str">
        <f>Данные!F18</f>
        <v>доцент</v>
      </c>
      <c r="G18" s="59">
        <f>Данные!G18</f>
        <v>0.5</v>
      </c>
      <c r="H18" s="59">
        <f>Данные!H18</f>
        <v>15313</v>
      </c>
      <c r="I18" s="59" t="str">
        <f>Данные!I18</f>
        <v>Информационные технологии</v>
      </c>
      <c r="J18" s="59">
        <f>Данные!J18</f>
        <v>17</v>
      </c>
      <c r="K18" s="59">
        <f>Данные!K18</f>
        <v>0</v>
      </c>
      <c r="L18" s="59">
        <f>Данные!L18</f>
        <v>102</v>
      </c>
      <c r="M18" s="60">
        <f t="shared" si="0"/>
        <v>11.9</v>
      </c>
      <c r="N18" s="60">
        <f t="shared" ca="1" si="1"/>
        <v>8.6000000000000014</v>
      </c>
      <c r="O18" s="60">
        <f t="shared" ca="1" si="2"/>
        <v>5</v>
      </c>
      <c r="P18" s="60">
        <f t="shared" ca="1" si="3"/>
        <v>5</v>
      </c>
      <c r="Q18" s="54">
        <f>Данные!Q18</f>
        <v>0</v>
      </c>
      <c r="R18" s="54">
        <f>Данные!R18</f>
        <v>0</v>
      </c>
      <c r="S18" s="54">
        <f>Данные!S18</f>
        <v>0</v>
      </c>
      <c r="T18" s="54">
        <f>Данные!T18</f>
        <v>12</v>
      </c>
      <c r="U18" s="54">
        <f>Данные!U18</f>
        <v>0</v>
      </c>
      <c r="V18" s="54">
        <f>Данные!V18</f>
        <v>0</v>
      </c>
      <c r="W18" s="54">
        <f ca="1">Данные!W18</f>
        <v>20</v>
      </c>
      <c r="X18" s="54" t="str">
        <f ca="1">Данные!X18</f>
        <v>1</v>
      </c>
      <c r="Y18" s="54" t="str">
        <f ca="1">Данные!Y18</f>
        <v>2</v>
      </c>
      <c r="Z18" s="54">
        <f>Данные!Z18</f>
        <v>0</v>
      </c>
      <c r="AA18" s="54" t="str">
        <f>Данные!AA18</f>
        <v>осн</v>
      </c>
      <c r="AB18" s="101">
        <f t="shared" si="4"/>
        <v>800</v>
      </c>
      <c r="AC18" s="101" t="str">
        <f t="shared" si="5"/>
        <v/>
      </c>
      <c r="AD18" s="101" t="str">
        <f t="shared" si="6"/>
        <v/>
      </c>
      <c r="AE18" s="102">
        <f t="shared" ca="1" si="7"/>
        <v>161.5</v>
      </c>
      <c r="AF18" s="103">
        <f t="shared" ca="1" si="8"/>
        <v>0.201875</v>
      </c>
      <c r="AG18" s="101"/>
      <c r="AH18" s="101"/>
      <c r="BQ18" s="72">
        <v>0</v>
      </c>
      <c r="BR18" s="72">
        <v>0</v>
      </c>
      <c r="BS18" s="72">
        <v>0</v>
      </c>
      <c r="BT18" s="72">
        <v>0</v>
      </c>
      <c r="BU18" s="72">
        <v>0</v>
      </c>
      <c r="BV18" s="72">
        <v>0</v>
      </c>
      <c r="BW18" s="72">
        <v>0</v>
      </c>
      <c r="BX18" s="72">
        <v>0</v>
      </c>
      <c r="BY18" s="72">
        <v>0</v>
      </c>
      <c r="BZ18" s="72">
        <v>0</v>
      </c>
      <c r="CA18" s="72">
        <v>0</v>
      </c>
      <c r="CB18" s="72">
        <v>0</v>
      </c>
      <c r="CC18" s="72">
        <v>0</v>
      </c>
      <c r="CD18" s="72">
        <v>0</v>
      </c>
      <c r="CE18" s="72">
        <v>0</v>
      </c>
      <c r="CF18" s="72">
        <v>0</v>
      </c>
      <c r="CG18" s="72">
        <v>0</v>
      </c>
      <c r="CH18" s="72">
        <v>0</v>
      </c>
      <c r="CI18" s="72">
        <v>0</v>
      </c>
      <c r="CJ18" s="72">
        <v>0</v>
      </c>
      <c r="CK18" s="72">
        <v>0</v>
      </c>
      <c r="CL18" s="72">
        <v>0</v>
      </c>
      <c r="CM18" s="72">
        <v>0</v>
      </c>
      <c r="CN18" s="72">
        <v>0</v>
      </c>
      <c r="CO18" s="72">
        <v>0</v>
      </c>
      <c r="CP18" s="72">
        <v>0</v>
      </c>
      <c r="CQ18" s="72">
        <v>0</v>
      </c>
      <c r="CR18" s="72">
        <v>0</v>
      </c>
      <c r="CS18" s="72">
        <v>0</v>
      </c>
      <c r="CT18" s="72">
        <v>0</v>
      </c>
      <c r="CU18" s="72">
        <v>0</v>
      </c>
      <c r="CV18" s="72">
        <v>0</v>
      </c>
      <c r="CW18" s="72">
        <v>0</v>
      </c>
      <c r="CX18" s="72">
        <v>0</v>
      </c>
      <c r="CY18" s="72">
        <v>0</v>
      </c>
      <c r="CZ18" s="72">
        <v>0</v>
      </c>
      <c r="DA18" s="72">
        <v>0</v>
      </c>
      <c r="DB18" s="72">
        <v>0</v>
      </c>
      <c r="DC18" s="72">
        <v>0</v>
      </c>
      <c r="DD18" s="72">
        <v>0</v>
      </c>
      <c r="DE18" s="72">
        <v>0</v>
      </c>
      <c r="DF18" s="72">
        <v>0</v>
      </c>
      <c r="DG18" s="72">
        <v>0</v>
      </c>
      <c r="DH18" s="72">
        <v>0</v>
      </c>
      <c r="DI18" s="72">
        <v>0</v>
      </c>
      <c r="DJ18" s="72">
        <v>0</v>
      </c>
      <c r="DK18" s="72">
        <v>0</v>
      </c>
      <c r="DL18" s="72">
        <v>0</v>
      </c>
      <c r="DM18" s="72">
        <v>0</v>
      </c>
      <c r="DN18" s="72">
        <v>0</v>
      </c>
      <c r="DO18" s="72">
        <v>0</v>
      </c>
      <c r="DP18" s="72">
        <v>0</v>
      </c>
      <c r="DQ18" s="72">
        <v>0</v>
      </c>
      <c r="DR18" s="72">
        <v>0</v>
      </c>
      <c r="DS18" s="72">
        <v>0</v>
      </c>
      <c r="DT18" s="72">
        <v>0</v>
      </c>
      <c r="DU18" s="72">
        <v>0</v>
      </c>
      <c r="DV18" s="72">
        <v>0</v>
      </c>
      <c r="DW18" s="72">
        <v>0</v>
      </c>
      <c r="DX18" s="72">
        <v>0</v>
      </c>
      <c r="DY18" s="72">
        <v>0</v>
      </c>
      <c r="DZ18" s="72">
        <v>0</v>
      </c>
      <c r="EA18" s="72">
        <v>0</v>
      </c>
      <c r="EB18" s="72">
        <v>0</v>
      </c>
      <c r="EC18" s="72">
        <v>0</v>
      </c>
      <c r="ED18" s="72">
        <v>0</v>
      </c>
      <c r="EE18" s="72">
        <v>0</v>
      </c>
      <c r="EF18" s="72">
        <v>0</v>
      </c>
      <c r="EG18" s="72">
        <v>0</v>
      </c>
      <c r="EH18" s="72">
        <v>0</v>
      </c>
      <c r="EI18" s="72">
        <v>0</v>
      </c>
      <c r="EJ18" s="72">
        <v>0</v>
      </c>
      <c r="EK18" s="72">
        <v>0</v>
      </c>
      <c r="EL18" s="72">
        <v>0</v>
      </c>
    </row>
    <row r="19" spans="1:142" x14ac:dyDescent="0.35">
      <c r="A19" s="59">
        <f>Данные!A19</f>
        <v>4755</v>
      </c>
      <c r="B19" s="59">
        <f>Данные!B19</f>
        <v>2016</v>
      </c>
      <c r="C19" s="59" t="str">
        <f>Данные!C19</f>
        <v>компьютерных технологий и электронного обучения</v>
      </c>
      <c r="D19" s="59" t="str">
        <f>Данные!D19</f>
        <v>Абрамян Геннадий Владимирович</v>
      </c>
      <c r="E19" s="59" t="str">
        <f>Данные!E19</f>
        <v>доктор педагогических наук</v>
      </c>
      <c r="F19" s="59" t="str">
        <f>Данные!F19</f>
        <v>профессор</v>
      </c>
      <c r="G19" s="59">
        <f>Данные!G19</f>
        <v>1</v>
      </c>
      <c r="H19" s="59">
        <f>Данные!H19</f>
        <v>15058</v>
      </c>
      <c r="I19" s="59" t="str">
        <f>Данные!I19</f>
        <v>Информационное обеспечение технологического образования. Применение Интернет-технологий в технологическом образовании</v>
      </c>
      <c r="J19" s="59">
        <f>Данные!J19</f>
        <v>18</v>
      </c>
      <c r="K19" s="59">
        <f>Данные!K19</f>
        <v>0</v>
      </c>
      <c r="L19" s="59">
        <f>Данные!L19</f>
        <v>72</v>
      </c>
      <c r="M19" s="60">
        <f t="shared" si="0"/>
        <v>9</v>
      </c>
      <c r="N19" s="60">
        <f t="shared" ca="1" si="1"/>
        <v>10.25</v>
      </c>
      <c r="O19" s="60">
        <f t="shared" ca="1" si="2"/>
        <v>6.25</v>
      </c>
      <c r="P19" s="60">
        <f t="shared" ca="1" si="3"/>
        <v>6.25</v>
      </c>
      <c r="Q19" s="54">
        <f>Данные!Q19</f>
        <v>0</v>
      </c>
      <c r="R19" s="54">
        <f>Данные!R19</f>
        <v>0</v>
      </c>
      <c r="S19" s="54">
        <f>Данные!S19</f>
        <v>0</v>
      </c>
      <c r="T19" s="54">
        <f>Данные!T19</f>
        <v>17</v>
      </c>
      <c r="U19" s="54">
        <f>Данные!U19</f>
        <v>0</v>
      </c>
      <c r="V19" s="54">
        <f>Данные!V19</f>
        <v>0</v>
      </c>
      <c r="W19" s="54">
        <f ca="1">Данные!W19</f>
        <v>25</v>
      </c>
      <c r="X19" s="54" t="str">
        <f ca="1">Данные!X19</f>
        <v>1</v>
      </c>
      <c r="Y19" s="54" t="str">
        <f ca="1">Данные!Y19</f>
        <v>2</v>
      </c>
      <c r="Z19" s="54">
        <f>Данные!Z19</f>
        <v>0</v>
      </c>
      <c r="AA19" s="54" t="str">
        <f>Данные!AA19</f>
        <v>осн</v>
      </c>
      <c r="AB19" s="101">
        <f t="shared" si="4"/>
        <v>750</v>
      </c>
      <c r="AC19" s="101" t="str">
        <f t="shared" si="5"/>
        <v/>
      </c>
      <c r="AD19" s="101" t="str">
        <f t="shared" si="6"/>
        <v/>
      </c>
      <c r="AE19" s="102">
        <f t="shared" ca="1" si="7"/>
        <v>138.75</v>
      </c>
      <c r="AF19" s="103">
        <f t="shared" ca="1" si="8"/>
        <v>0.185</v>
      </c>
      <c r="AG19" s="101"/>
      <c r="AH19" s="101"/>
      <c r="BQ19" s="72">
        <v>0</v>
      </c>
      <c r="BR19" s="72">
        <v>0</v>
      </c>
      <c r="BS19" s="72">
        <v>0</v>
      </c>
      <c r="BT19" s="72">
        <v>0</v>
      </c>
      <c r="BU19" s="72">
        <v>0</v>
      </c>
      <c r="BV19" s="72">
        <v>0</v>
      </c>
      <c r="BW19" s="72">
        <v>0</v>
      </c>
      <c r="BX19" s="72">
        <v>0</v>
      </c>
      <c r="BY19" s="72">
        <v>0</v>
      </c>
      <c r="BZ19" s="72">
        <v>0</v>
      </c>
      <c r="CA19" s="72">
        <v>0</v>
      </c>
      <c r="CB19" s="72">
        <v>0</v>
      </c>
      <c r="CC19" s="72">
        <v>0</v>
      </c>
      <c r="CD19" s="72">
        <v>0</v>
      </c>
      <c r="CE19" s="72">
        <v>0</v>
      </c>
      <c r="CF19" s="72">
        <v>0</v>
      </c>
      <c r="CG19" s="72">
        <v>0</v>
      </c>
      <c r="CH19" s="72">
        <v>0</v>
      </c>
      <c r="CI19" s="72">
        <v>0</v>
      </c>
      <c r="CJ19" s="72">
        <v>0</v>
      </c>
      <c r="CK19" s="72">
        <v>0</v>
      </c>
      <c r="CL19" s="72">
        <v>0</v>
      </c>
      <c r="CM19" s="72">
        <v>0</v>
      </c>
      <c r="CN19" s="72">
        <v>0</v>
      </c>
      <c r="CO19" s="72">
        <v>0</v>
      </c>
      <c r="CP19" s="72">
        <v>0</v>
      </c>
      <c r="CQ19" s="72">
        <v>0</v>
      </c>
      <c r="CR19" s="72">
        <v>0</v>
      </c>
      <c r="CS19" s="72">
        <v>0</v>
      </c>
      <c r="CT19" s="72">
        <v>0</v>
      </c>
      <c r="CU19" s="72">
        <v>0</v>
      </c>
      <c r="CV19" s="72">
        <v>0</v>
      </c>
      <c r="CW19" s="72">
        <v>0</v>
      </c>
      <c r="CX19" s="72">
        <v>0</v>
      </c>
      <c r="CY19" s="72">
        <v>0</v>
      </c>
      <c r="CZ19" s="72">
        <v>0</v>
      </c>
      <c r="DA19" s="72">
        <v>0</v>
      </c>
      <c r="DB19" s="72">
        <v>0</v>
      </c>
      <c r="DC19" s="72">
        <v>0</v>
      </c>
      <c r="DD19" s="72">
        <v>0</v>
      </c>
      <c r="DE19" s="72">
        <v>0</v>
      </c>
      <c r="DF19" s="72">
        <v>0</v>
      </c>
      <c r="DG19" s="72">
        <v>0</v>
      </c>
      <c r="DH19" s="72">
        <v>0</v>
      </c>
      <c r="DI19" s="72">
        <v>0</v>
      </c>
      <c r="DJ19" s="72">
        <v>0</v>
      </c>
      <c r="DK19" s="72">
        <v>0</v>
      </c>
      <c r="DL19" s="72">
        <v>0</v>
      </c>
      <c r="DM19" s="72">
        <v>0</v>
      </c>
      <c r="DN19" s="72">
        <v>0</v>
      </c>
      <c r="DO19" s="72">
        <v>0</v>
      </c>
      <c r="DP19" s="72">
        <v>0</v>
      </c>
      <c r="DQ19" s="72">
        <v>0</v>
      </c>
      <c r="DR19" s="72">
        <v>0</v>
      </c>
      <c r="DS19" s="72">
        <v>0</v>
      </c>
      <c r="DT19" s="72">
        <v>0</v>
      </c>
      <c r="DU19" s="72">
        <v>0</v>
      </c>
      <c r="DV19" s="72">
        <v>0</v>
      </c>
      <c r="DW19" s="72">
        <v>0</v>
      </c>
      <c r="DX19" s="72">
        <v>0</v>
      </c>
      <c r="DY19" s="72">
        <v>0</v>
      </c>
      <c r="DZ19" s="72">
        <v>0</v>
      </c>
      <c r="EA19" s="72">
        <v>0</v>
      </c>
      <c r="EB19" s="72">
        <v>0</v>
      </c>
      <c r="EC19" s="72">
        <v>0</v>
      </c>
      <c r="ED19" s="72">
        <v>0</v>
      </c>
      <c r="EE19" s="72">
        <v>0</v>
      </c>
      <c r="EF19" s="72">
        <v>0</v>
      </c>
      <c r="EG19" s="72">
        <v>0</v>
      </c>
      <c r="EH19" s="72">
        <v>0</v>
      </c>
      <c r="EI19" s="72">
        <v>0</v>
      </c>
      <c r="EJ19" s="72">
        <v>0</v>
      </c>
      <c r="EK19" s="72">
        <v>0</v>
      </c>
      <c r="EL19" s="72">
        <v>0</v>
      </c>
    </row>
    <row r="20" spans="1:142" x14ac:dyDescent="0.35">
      <c r="A20" s="59">
        <f>Данные!A20</f>
        <v>4755</v>
      </c>
      <c r="B20" s="59">
        <f>Данные!B20</f>
        <v>2016</v>
      </c>
      <c r="C20" s="59" t="str">
        <f>Данные!C20</f>
        <v>компьютерных технологий и электронного обучения</v>
      </c>
      <c r="D20" s="59" t="str">
        <f>Данные!D20</f>
        <v>Авксентьева Елена Юрьевна</v>
      </c>
      <c r="E20" s="59" t="str">
        <f>Данные!E20</f>
        <v>кандидат педагогических наук</v>
      </c>
      <c r="F20" s="59" t="str">
        <f>Данные!F20</f>
        <v>доцент</v>
      </c>
      <c r="G20" s="59">
        <f>Данные!G20</f>
        <v>1</v>
      </c>
      <c r="H20" s="59">
        <f>Данные!H20</f>
        <v>15058</v>
      </c>
      <c r="I20" s="59" t="str">
        <f>Данные!I20</f>
        <v>Информационные технологии</v>
      </c>
      <c r="J20" s="59">
        <f>Данные!J20</f>
        <v>0</v>
      </c>
      <c r="K20" s="59">
        <f>Данные!K20</f>
        <v>96</v>
      </c>
      <c r="L20" s="59">
        <f>Данные!L20</f>
        <v>0</v>
      </c>
      <c r="M20" s="60">
        <f t="shared" si="0"/>
        <v>9.6</v>
      </c>
      <c r="N20" s="60">
        <f t="shared" ca="1" si="1"/>
        <v>10.25</v>
      </c>
      <c r="O20" s="60">
        <f t="shared" ca="1" si="2"/>
        <v>6.25</v>
      </c>
      <c r="P20" s="60">
        <f t="shared" ca="1" si="3"/>
        <v>6.25</v>
      </c>
      <c r="Q20" s="54">
        <f>Данные!Q20</f>
        <v>0</v>
      </c>
      <c r="R20" s="54">
        <f>Данные!R20</f>
        <v>0</v>
      </c>
      <c r="S20" s="54">
        <f>Данные!S20</f>
        <v>0</v>
      </c>
      <c r="T20" s="54">
        <f>Данные!T20</f>
        <v>12</v>
      </c>
      <c r="U20" s="54">
        <f>Данные!U20</f>
        <v>0</v>
      </c>
      <c r="V20" s="54">
        <f>Данные!V20</f>
        <v>0</v>
      </c>
      <c r="W20" s="54">
        <f ca="1">Данные!W20</f>
        <v>25</v>
      </c>
      <c r="X20" s="54" t="str">
        <f ca="1">Данные!X20</f>
        <v>1</v>
      </c>
      <c r="Y20" s="54" t="str">
        <f ca="1">Данные!Y20</f>
        <v>2</v>
      </c>
      <c r="Z20" s="54">
        <f>Данные!Z20</f>
        <v>0</v>
      </c>
      <c r="AA20" s="54" t="str">
        <f>Данные!AA20</f>
        <v>осн</v>
      </c>
      <c r="AB20" s="101">
        <f t="shared" si="4"/>
        <v>800</v>
      </c>
      <c r="AC20" s="101" t="str">
        <f t="shared" si="5"/>
        <v/>
      </c>
      <c r="AD20" s="101" t="str">
        <f t="shared" si="6"/>
        <v/>
      </c>
      <c r="AE20" s="102">
        <f t="shared" ca="1" si="7"/>
        <v>140.35</v>
      </c>
      <c r="AF20" s="103">
        <f t="shared" ca="1" si="8"/>
        <v>0.1754375</v>
      </c>
      <c r="AG20" s="101"/>
      <c r="AH20" s="101"/>
      <c r="BQ20" s="72">
        <v>0</v>
      </c>
      <c r="BR20" s="72">
        <v>0</v>
      </c>
      <c r="BS20" s="72">
        <v>0</v>
      </c>
      <c r="BT20" s="72">
        <v>0</v>
      </c>
      <c r="BU20" s="72">
        <v>0</v>
      </c>
      <c r="BV20" s="72">
        <v>0</v>
      </c>
      <c r="BW20" s="72">
        <v>0</v>
      </c>
      <c r="BX20" s="72">
        <v>0</v>
      </c>
      <c r="BY20" s="72">
        <v>0</v>
      </c>
      <c r="BZ20" s="72">
        <v>0</v>
      </c>
      <c r="CA20" s="72">
        <v>0</v>
      </c>
      <c r="CB20" s="72">
        <v>0</v>
      </c>
      <c r="CC20" s="72">
        <v>0</v>
      </c>
      <c r="CD20" s="72">
        <v>0</v>
      </c>
      <c r="CE20" s="72">
        <v>0</v>
      </c>
      <c r="CF20" s="72">
        <v>0</v>
      </c>
      <c r="CG20" s="72">
        <v>0</v>
      </c>
      <c r="CH20" s="72">
        <v>0</v>
      </c>
      <c r="CI20" s="72">
        <v>0</v>
      </c>
      <c r="CJ20" s="72">
        <v>0</v>
      </c>
      <c r="CK20" s="72">
        <v>0</v>
      </c>
      <c r="CL20" s="72">
        <v>0</v>
      </c>
      <c r="CM20" s="72">
        <v>0</v>
      </c>
      <c r="CN20" s="72">
        <v>0</v>
      </c>
      <c r="CO20" s="72">
        <v>0</v>
      </c>
      <c r="CP20" s="72">
        <v>0</v>
      </c>
      <c r="CQ20" s="72">
        <v>0</v>
      </c>
      <c r="CR20" s="72">
        <v>0</v>
      </c>
      <c r="CS20" s="72">
        <v>0</v>
      </c>
      <c r="CT20" s="72">
        <v>0</v>
      </c>
      <c r="CU20" s="72">
        <v>0</v>
      </c>
      <c r="CV20" s="72">
        <v>0</v>
      </c>
      <c r="CW20" s="72">
        <v>0</v>
      </c>
      <c r="CX20" s="72">
        <v>0</v>
      </c>
      <c r="CY20" s="72">
        <v>0</v>
      </c>
      <c r="CZ20" s="72">
        <v>0</v>
      </c>
      <c r="DA20" s="72">
        <v>0</v>
      </c>
      <c r="DB20" s="72">
        <v>0</v>
      </c>
      <c r="DC20" s="72">
        <v>0</v>
      </c>
      <c r="DD20" s="72">
        <v>0</v>
      </c>
      <c r="DE20" s="72">
        <v>0</v>
      </c>
      <c r="DF20" s="72">
        <v>0</v>
      </c>
      <c r="DG20" s="72">
        <v>0</v>
      </c>
      <c r="DH20" s="72">
        <v>0</v>
      </c>
      <c r="DI20" s="72">
        <v>0</v>
      </c>
      <c r="DJ20" s="72">
        <v>0</v>
      </c>
      <c r="DK20" s="72">
        <v>0</v>
      </c>
      <c r="DL20" s="72">
        <v>0</v>
      </c>
      <c r="DM20" s="72">
        <v>0</v>
      </c>
      <c r="DN20" s="72">
        <v>0</v>
      </c>
      <c r="DO20" s="72">
        <v>0</v>
      </c>
      <c r="DP20" s="72">
        <v>0</v>
      </c>
      <c r="DQ20" s="72">
        <v>0</v>
      </c>
      <c r="DR20" s="72">
        <v>0</v>
      </c>
      <c r="DS20" s="72">
        <v>0</v>
      </c>
      <c r="DT20" s="72">
        <v>0</v>
      </c>
      <c r="DU20" s="72">
        <v>0</v>
      </c>
      <c r="DV20" s="72">
        <v>0</v>
      </c>
      <c r="DW20" s="72">
        <v>0</v>
      </c>
      <c r="DX20" s="72">
        <v>0</v>
      </c>
      <c r="DY20" s="72">
        <v>0</v>
      </c>
      <c r="DZ20" s="72">
        <v>0</v>
      </c>
      <c r="EA20" s="72">
        <v>0</v>
      </c>
      <c r="EB20" s="72">
        <v>0</v>
      </c>
      <c r="EC20" s="72">
        <v>0</v>
      </c>
      <c r="ED20" s="72">
        <v>0</v>
      </c>
      <c r="EE20" s="72">
        <v>0</v>
      </c>
      <c r="EF20" s="72">
        <v>0</v>
      </c>
      <c r="EG20" s="72">
        <v>0</v>
      </c>
      <c r="EH20" s="72">
        <v>0</v>
      </c>
      <c r="EI20" s="72">
        <v>0</v>
      </c>
      <c r="EJ20" s="72">
        <v>0</v>
      </c>
      <c r="EK20" s="72">
        <v>0</v>
      </c>
      <c r="EL20" s="72">
        <v>0</v>
      </c>
    </row>
    <row r="21" spans="1:142" x14ac:dyDescent="0.35">
      <c r="A21" s="59">
        <f>Данные!A21</f>
        <v>4755</v>
      </c>
      <c r="B21" s="59">
        <f>Данные!B21</f>
        <v>2016</v>
      </c>
      <c r="C21" s="59" t="str">
        <f>Данные!C21</f>
        <v>компьютерных технологий и электронного обучения</v>
      </c>
      <c r="D21" s="59" t="str">
        <f>Данные!D21</f>
        <v>Карпова Наталья Александровна</v>
      </c>
      <c r="E21" s="59" t="str">
        <f>Данные!E21</f>
        <v>кандидат технических наук</v>
      </c>
      <c r="F21" s="59" t="str">
        <f>Данные!F21</f>
        <v>доцент</v>
      </c>
      <c r="G21" s="59">
        <f>Данные!G21</f>
        <v>1</v>
      </c>
      <c r="H21" s="59">
        <f>Данные!H21</f>
        <v>15058</v>
      </c>
      <c r="I21" s="59" t="str">
        <f>Данные!I21</f>
        <v>Информационное обеспечение технологического образования. Применение Интернет-технологий в технологическом образовании</v>
      </c>
      <c r="J21" s="59">
        <f>Данные!J21</f>
        <v>0</v>
      </c>
      <c r="K21" s="59">
        <f>Данные!K21</f>
        <v>0</v>
      </c>
      <c r="L21" s="59">
        <f>Данные!L21</f>
        <v>0</v>
      </c>
      <c r="M21" s="60">
        <f t="shared" si="0"/>
        <v>0</v>
      </c>
      <c r="N21" s="60">
        <f t="shared" ca="1" si="1"/>
        <v>10.25</v>
      </c>
      <c r="O21" s="60">
        <f t="shared" ca="1" si="2"/>
        <v>6.25</v>
      </c>
      <c r="P21" s="60">
        <f t="shared" ca="1" si="3"/>
        <v>6.25</v>
      </c>
      <c r="Q21" s="54">
        <f>Данные!Q21</f>
        <v>0</v>
      </c>
      <c r="R21" s="54">
        <f>Данные!R21</f>
        <v>0</v>
      </c>
      <c r="S21" s="54">
        <f>Данные!S21</f>
        <v>0</v>
      </c>
      <c r="T21" s="54">
        <f>Данные!T21</f>
        <v>2</v>
      </c>
      <c r="U21" s="54">
        <f>Данные!U21</f>
        <v>0</v>
      </c>
      <c r="V21" s="54">
        <f>Данные!V21</f>
        <v>0</v>
      </c>
      <c r="W21" s="54">
        <f ca="1">Данные!W21</f>
        <v>25</v>
      </c>
      <c r="X21" s="54" t="str">
        <f ca="1">Данные!X21</f>
        <v>1</v>
      </c>
      <c r="Y21" s="54" t="str">
        <f ca="1">Данные!Y21</f>
        <v>2</v>
      </c>
      <c r="Z21" s="54">
        <f>Данные!Z21</f>
        <v>0</v>
      </c>
      <c r="AA21" s="54" t="str">
        <f>Данные!AA21</f>
        <v>осн</v>
      </c>
      <c r="AB21" s="101">
        <f t="shared" si="4"/>
        <v>800</v>
      </c>
      <c r="AC21" s="101" t="str">
        <f t="shared" si="5"/>
        <v/>
      </c>
      <c r="AD21" s="101" t="str">
        <f t="shared" si="6"/>
        <v/>
      </c>
      <c r="AE21" s="102">
        <f t="shared" ca="1" si="7"/>
        <v>24.75</v>
      </c>
      <c r="AF21" s="103">
        <f t="shared" ca="1" si="8"/>
        <v>3.09375E-2</v>
      </c>
      <c r="AG21" s="101"/>
      <c r="AH21" s="101"/>
      <c r="BQ21" s="72">
        <v>0</v>
      </c>
      <c r="BR21" s="72">
        <v>0</v>
      </c>
      <c r="BS21" s="72">
        <v>0</v>
      </c>
      <c r="BT21" s="72">
        <v>0</v>
      </c>
      <c r="BU21" s="72">
        <v>0</v>
      </c>
      <c r="BV21" s="72">
        <v>0</v>
      </c>
      <c r="BW21" s="72">
        <v>0</v>
      </c>
      <c r="BX21" s="72">
        <v>0</v>
      </c>
      <c r="BY21" s="72">
        <v>0</v>
      </c>
      <c r="BZ21" s="72">
        <v>0</v>
      </c>
      <c r="CA21" s="72">
        <v>0</v>
      </c>
      <c r="CB21" s="72">
        <v>0</v>
      </c>
      <c r="CC21" s="72">
        <v>0</v>
      </c>
      <c r="CD21" s="72">
        <v>0</v>
      </c>
      <c r="CE21" s="72">
        <v>0</v>
      </c>
      <c r="CF21" s="72">
        <v>0</v>
      </c>
      <c r="CG21" s="72">
        <v>0</v>
      </c>
      <c r="CH21" s="72">
        <v>0</v>
      </c>
      <c r="CI21" s="72">
        <v>0</v>
      </c>
      <c r="CJ21" s="72">
        <v>0</v>
      </c>
      <c r="CK21" s="72">
        <v>0</v>
      </c>
      <c r="CL21" s="72">
        <v>0</v>
      </c>
      <c r="CM21" s="72">
        <v>0</v>
      </c>
      <c r="CN21" s="72">
        <v>0</v>
      </c>
      <c r="CO21" s="72">
        <v>0</v>
      </c>
      <c r="CP21" s="72">
        <v>0</v>
      </c>
      <c r="CQ21" s="72">
        <v>0</v>
      </c>
      <c r="CR21" s="72">
        <v>0</v>
      </c>
      <c r="CS21" s="72">
        <v>0</v>
      </c>
      <c r="CT21" s="72">
        <v>0</v>
      </c>
      <c r="CU21" s="72">
        <v>0</v>
      </c>
      <c r="CV21" s="72">
        <v>0</v>
      </c>
      <c r="CW21" s="72">
        <v>0</v>
      </c>
      <c r="CX21" s="72">
        <v>0</v>
      </c>
      <c r="CY21" s="72">
        <v>0</v>
      </c>
      <c r="CZ21" s="72">
        <v>0</v>
      </c>
      <c r="DA21" s="72">
        <v>0</v>
      </c>
      <c r="DB21" s="72">
        <v>0</v>
      </c>
      <c r="DC21" s="72">
        <v>0</v>
      </c>
      <c r="DD21" s="72">
        <v>0</v>
      </c>
      <c r="DE21" s="72">
        <v>0</v>
      </c>
      <c r="DF21" s="72">
        <v>0</v>
      </c>
      <c r="DG21" s="72">
        <v>0</v>
      </c>
      <c r="DH21" s="72">
        <v>0</v>
      </c>
      <c r="DI21" s="72">
        <v>0</v>
      </c>
      <c r="DJ21" s="72">
        <v>0</v>
      </c>
      <c r="DK21" s="72">
        <v>0</v>
      </c>
      <c r="DL21" s="72">
        <v>0</v>
      </c>
      <c r="DM21" s="72">
        <v>0</v>
      </c>
      <c r="DN21" s="72">
        <v>0</v>
      </c>
      <c r="DO21" s="72">
        <v>0</v>
      </c>
      <c r="DP21" s="72">
        <v>0</v>
      </c>
      <c r="DQ21" s="72">
        <v>0</v>
      </c>
      <c r="DR21" s="72">
        <v>0</v>
      </c>
      <c r="DS21" s="72">
        <v>0</v>
      </c>
      <c r="DT21" s="72">
        <v>0</v>
      </c>
      <c r="DU21" s="72">
        <v>0</v>
      </c>
      <c r="DV21" s="72">
        <v>0</v>
      </c>
      <c r="DW21" s="72">
        <v>0</v>
      </c>
      <c r="DX21" s="72">
        <v>0</v>
      </c>
      <c r="DY21" s="72">
        <v>0</v>
      </c>
      <c r="DZ21" s="72">
        <v>0</v>
      </c>
      <c r="EA21" s="72">
        <v>0</v>
      </c>
      <c r="EB21" s="72">
        <v>0</v>
      </c>
      <c r="EC21" s="72">
        <v>0</v>
      </c>
      <c r="ED21" s="72">
        <v>0</v>
      </c>
      <c r="EE21" s="72">
        <v>0</v>
      </c>
      <c r="EF21" s="72">
        <v>0</v>
      </c>
      <c r="EG21" s="72">
        <v>0</v>
      </c>
      <c r="EH21" s="72">
        <v>0</v>
      </c>
      <c r="EI21" s="72">
        <v>0</v>
      </c>
      <c r="EJ21" s="72">
        <v>0</v>
      </c>
      <c r="EK21" s="72">
        <v>0</v>
      </c>
      <c r="EL21" s="72">
        <v>0</v>
      </c>
    </row>
    <row r="22" spans="1:142" x14ac:dyDescent="0.35">
      <c r="A22" s="59">
        <f>Данные!A22</f>
        <v>4755</v>
      </c>
      <c r="B22" s="59">
        <f>Данные!B22</f>
        <v>2016</v>
      </c>
      <c r="C22" s="59" t="str">
        <f>Данные!C22</f>
        <v>компьютерных технологий и электронного обучения</v>
      </c>
      <c r="D22" s="59" t="str">
        <f>Данные!D22</f>
        <v>Полякова Наталия Александровна</v>
      </c>
      <c r="E22" s="59" t="str">
        <f>Данные!E22</f>
        <v>кандидат педагогических наук</v>
      </c>
      <c r="F22" s="59" t="str">
        <f>Данные!F22</f>
        <v>доцент</v>
      </c>
      <c r="G22" s="59">
        <f>Данные!G22</f>
        <v>1</v>
      </c>
      <c r="H22" s="59">
        <f>Данные!H22</f>
        <v>15058</v>
      </c>
      <c r="I22" s="59" t="str">
        <f>Данные!I22</f>
        <v>Информационные технологии</v>
      </c>
      <c r="J22" s="59">
        <f>Данные!J22</f>
        <v>9</v>
      </c>
      <c r="K22" s="59">
        <f>Данные!K22</f>
        <v>0</v>
      </c>
      <c r="L22" s="59">
        <f>Данные!L22</f>
        <v>0</v>
      </c>
      <c r="M22" s="60">
        <f t="shared" si="0"/>
        <v>0.9</v>
      </c>
      <c r="N22" s="60">
        <f t="shared" ca="1" si="1"/>
        <v>10.25</v>
      </c>
      <c r="O22" s="60">
        <f t="shared" ca="1" si="2"/>
        <v>6.25</v>
      </c>
      <c r="P22" s="60">
        <f t="shared" ca="1" si="3"/>
        <v>6.25</v>
      </c>
      <c r="Q22" s="54">
        <f>Данные!Q22</f>
        <v>0</v>
      </c>
      <c r="R22" s="54">
        <f>Данные!R22</f>
        <v>0</v>
      </c>
      <c r="S22" s="54">
        <f>Данные!S22</f>
        <v>0</v>
      </c>
      <c r="T22" s="54">
        <f>Данные!T22</f>
        <v>0</v>
      </c>
      <c r="U22" s="54">
        <f>Данные!U22</f>
        <v>0</v>
      </c>
      <c r="V22" s="54">
        <f>Данные!V22</f>
        <v>0</v>
      </c>
      <c r="W22" s="54">
        <f ca="1">Данные!W22</f>
        <v>25</v>
      </c>
      <c r="X22" s="54" t="str">
        <f ca="1">Данные!X22</f>
        <v>1</v>
      </c>
      <c r="Y22" s="54" t="str">
        <f ca="1">Данные!Y22</f>
        <v>2</v>
      </c>
      <c r="Z22" s="54">
        <f>Данные!Z22</f>
        <v>0</v>
      </c>
      <c r="AA22" s="54" t="str">
        <f>Данные!AA22</f>
        <v>осн</v>
      </c>
      <c r="AB22" s="101">
        <f t="shared" si="4"/>
        <v>800</v>
      </c>
      <c r="AC22" s="101" t="str">
        <f t="shared" si="5"/>
        <v/>
      </c>
      <c r="AD22" s="101" t="str">
        <f t="shared" si="6"/>
        <v/>
      </c>
      <c r="AE22" s="102">
        <f t="shared" ca="1" si="7"/>
        <v>32.65</v>
      </c>
      <c r="AF22" s="103">
        <f t="shared" ca="1" si="8"/>
        <v>4.0812500000000002E-2</v>
      </c>
      <c r="AG22" s="101"/>
      <c r="AH22" s="101"/>
      <c r="BQ22" s="72">
        <v>0</v>
      </c>
      <c r="BR22" s="72">
        <v>0</v>
      </c>
      <c r="BS22" s="72">
        <v>0</v>
      </c>
      <c r="BT22" s="72">
        <v>0</v>
      </c>
      <c r="BU22" s="72">
        <v>0</v>
      </c>
      <c r="BV22" s="72">
        <v>0</v>
      </c>
      <c r="BW22" s="72">
        <v>0</v>
      </c>
      <c r="BX22" s="72">
        <v>0</v>
      </c>
      <c r="BY22" s="72">
        <v>0</v>
      </c>
      <c r="BZ22" s="72">
        <v>0</v>
      </c>
      <c r="CA22" s="72">
        <v>0</v>
      </c>
      <c r="CB22" s="72">
        <v>0</v>
      </c>
      <c r="CC22" s="72">
        <v>0</v>
      </c>
      <c r="CD22" s="72">
        <v>0</v>
      </c>
      <c r="CE22" s="72">
        <v>0</v>
      </c>
      <c r="CF22" s="72">
        <v>0</v>
      </c>
      <c r="CG22" s="72">
        <v>0</v>
      </c>
      <c r="CH22" s="72">
        <v>0</v>
      </c>
      <c r="CI22" s="72">
        <v>0</v>
      </c>
      <c r="CJ22" s="72">
        <v>0</v>
      </c>
      <c r="CK22" s="72">
        <v>0</v>
      </c>
      <c r="CL22" s="72">
        <v>0</v>
      </c>
      <c r="CM22" s="72">
        <v>0</v>
      </c>
      <c r="CN22" s="72">
        <v>0</v>
      </c>
      <c r="CO22" s="72">
        <v>0</v>
      </c>
      <c r="CP22" s="72">
        <v>0</v>
      </c>
      <c r="CQ22" s="72">
        <v>0</v>
      </c>
      <c r="CR22" s="72">
        <v>0</v>
      </c>
      <c r="CS22" s="72">
        <v>0</v>
      </c>
      <c r="CT22" s="72">
        <v>0</v>
      </c>
      <c r="CU22" s="72">
        <v>0</v>
      </c>
      <c r="CV22" s="72">
        <v>0</v>
      </c>
      <c r="CW22" s="72">
        <v>0</v>
      </c>
      <c r="CX22" s="72">
        <v>0</v>
      </c>
      <c r="CY22" s="72">
        <v>0</v>
      </c>
      <c r="CZ22" s="72">
        <v>0</v>
      </c>
      <c r="DA22" s="72">
        <v>0</v>
      </c>
      <c r="DB22" s="72">
        <v>0</v>
      </c>
      <c r="DC22" s="72">
        <v>0</v>
      </c>
      <c r="DD22" s="72">
        <v>0</v>
      </c>
      <c r="DE22" s="72">
        <v>0</v>
      </c>
      <c r="DF22" s="72">
        <v>0</v>
      </c>
      <c r="DG22" s="72">
        <v>0</v>
      </c>
      <c r="DH22" s="72">
        <v>0</v>
      </c>
      <c r="DI22" s="72">
        <v>0</v>
      </c>
      <c r="DJ22" s="72">
        <v>0</v>
      </c>
      <c r="DK22" s="72">
        <v>0</v>
      </c>
      <c r="DL22" s="72">
        <v>0</v>
      </c>
      <c r="DM22" s="72">
        <v>0</v>
      </c>
      <c r="DN22" s="72">
        <v>0</v>
      </c>
      <c r="DO22" s="72">
        <v>0</v>
      </c>
      <c r="DP22" s="72">
        <v>0</v>
      </c>
      <c r="DQ22" s="72">
        <v>0</v>
      </c>
      <c r="DR22" s="72">
        <v>0</v>
      </c>
      <c r="DS22" s="72">
        <v>0</v>
      </c>
      <c r="DT22" s="72">
        <v>0</v>
      </c>
      <c r="DU22" s="72">
        <v>0</v>
      </c>
      <c r="DV22" s="72">
        <v>0</v>
      </c>
      <c r="DW22" s="72">
        <v>0</v>
      </c>
      <c r="DX22" s="72">
        <v>0</v>
      </c>
      <c r="DY22" s="72">
        <v>0</v>
      </c>
      <c r="DZ22" s="72">
        <v>0</v>
      </c>
      <c r="EA22" s="72">
        <v>0</v>
      </c>
      <c r="EB22" s="72">
        <v>0</v>
      </c>
      <c r="EC22" s="72">
        <v>0</v>
      </c>
      <c r="ED22" s="72">
        <v>0</v>
      </c>
      <c r="EE22" s="72">
        <v>0</v>
      </c>
      <c r="EF22" s="72">
        <v>0</v>
      </c>
      <c r="EG22" s="72">
        <v>0</v>
      </c>
      <c r="EH22" s="72">
        <v>0</v>
      </c>
      <c r="EI22" s="72">
        <v>0</v>
      </c>
      <c r="EJ22" s="72">
        <v>0</v>
      </c>
      <c r="EK22" s="72">
        <v>0</v>
      </c>
      <c r="EL22" s="72">
        <v>0</v>
      </c>
    </row>
    <row r="23" spans="1:142" x14ac:dyDescent="0.35">
      <c r="A23" s="59">
        <f>Данные!A23</f>
        <v>4755</v>
      </c>
      <c r="B23" s="59">
        <f>Данные!B23</f>
        <v>2017</v>
      </c>
      <c r="C23" s="59" t="str">
        <f>Данные!C23</f>
        <v>компьютерных технологий и электронного обучения</v>
      </c>
      <c r="D23" s="59" t="str">
        <f>Данные!D23</f>
        <v>Готская Ирина Борисовна</v>
      </c>
      <c r="E23" s="59" t="str">
        <f>Данные!E23</f>
        <v>доктор педагогических наук</v>
      </c>
      <c r="F23" s="59" t="str">
        <f>Данные!F23</f>
        <v>профессор</v>
      </c>
      <c r="G23" s="59">
        <f>Данные!G23</f>
        <v>1</v>
      </c>
      <c r="H23" s="59">
        <f>Данные!H23</f>
        <v>16007</v>
      </c>
      <c r="I23" s="59" t="str">
        <f>Данные!I23</f>
        <v>Информационное обеспечение технологического образования. Применение электронных образовательных ресурсов в технологическом образовании</v>
      </c>
      <c r="J23" s="59">
        <f>Данные!J23</f>
        <v>32</v>
      </c>
      <c r="K23" s="59">
        <f>Данные!K23</f>
        <v>0</v>
      </c>
      <c r="L23" s="59">
        <f>Данные!L23</f>
        <v>160</v>
      </c>
      <c r="M23" s="60">
        <f t="shared" si="0"/>
        <v>19.2</v>
      </c>
      <c r="N23" s="60">
        <f t="shared" ca="1" si="1"/>
        <v>6.62</v>
      </c>
      <c r="O23" s="60">
        <f t="shared" ca="1" si="2"/>
        <v>3.5</v>
      </c>
      <c r="P23" s="60">
        <f t="shared" ca="1" si="3"/>
        <v>3.5</v>
      </c>
      <c r="Q23" s="54">
        <f>Данные!Q23</f>
        <v>0</v>
      </c>
      <c r="R23" s="54">
        <f>Данные!R23</f>
        <v>0</v>
      </c>
      <c r="S23" s="54">
        <f>Данные!S23</f>
        <v>0</v>
      </c>
      <c r="T23" s="54">
        <f>Данные!T23</f>
        <v>22</v>
      </c>
      <c r="U23" s="54">
        <f>Данные!U23</f>
        <v>0</v>
      </c>
      <c r="V23" s="54">
        <f>Данные!V23</f>
        <v>0</v>
      </c>
      <c r="W23" s="54">
        <f ca="1">Данные!W23</f>
        <v>14</v>
      </c>
      <c r="X23" s="54" t="str">
        <f ca="1">Данные!X23</f>
        <v>1</v>
      </c>
      <c r="Y23" s="54" t="str">
        <f ca="1">Данные!Y23</f>
        <v>1</v>
      </c>
      <c r="Z23" s="54">
        <f>Данные!Z23</f>
        <v>0</v>
      </c>
      <c r="AA23" s="54" t="str">
        <f>Данные!AA23</f>
        <v>осн</v>
      </c>
      <c r="AB23" s="101">
        <f t="shared" si="4"/>
        <v>750</v>
      </c>
      <c r="AC23" s="101" t="str">
        <f t="shared" si="5"/>
        <v/>
      </c>
      <c r="AD23" s="101" t="str">
        <f t="shared" si="6"/>
        <v/>
      </c>
      <c r="AE23" s="102">
        <f t="shared" ca="1" si="7"/>
        <v>246.82</v>
      </c>
      <c r="AF23" s="103">
        <f t="shared" ca="1" si="8"/>
        <v>0.32909333333333335</v>
      </c>
      <c r="AG23" s="101"/>
      <c r="AH23" s="101"/>
      <c r="BQ23" s="72">
        <v>0</v>
      </c>
      <c r="BR23" s="72">
        <v>0</v>
      </c>
      <c r="BS23" s="72">
        <v>0</v>
      </c>
      <c r="BT23" s="72">
        <v>0</v>
      </c>
      <c r="BU23" s="72">
        <v>0</v>
      </c>
      <c r="BV23" s="72">
        <v>0</v>
      </c>
      <c r="BW23" s="72">
        <v>0</v>
      </c>
      <c r="BX23" s="72">
        <v>0</v>
      </c>
      <c r="BY23" s="72">
        <v>0</v>
      </c>
      <c r="BZ23" s="72">
        <v>0</v>
      </c>
      <c r="CA23" s="72">
        <v>0</v>
      </c>
      <c r="CB23" s="72">
        <v>0</v>
      </c>
      <c r="CC23" s="72">
        <v>0</v>
      </c>
      <c r="CD23" s="72">
        <v>0</v>
      </c>
      <c r="CE23" s="72">
        <v>0</v>
      </c>
      <c r="CF23" s="72">
        <v>0</v>
      </c>
      <c r="CG23" s="72">
        <v>0</v>
      </c>
      <c r="CH23" s="72">
        <v>0</v>
      </c>
      <c r="CI23" s="72">
        <v>0</v>
      </c>
      <c r="CJ23" s="72">
        <v>0</v>
      </c>
      <c r="CK23" s="72">
        <v>0</v>
      </c>
      <c r="CL23" s="72">
        <v>0</v>
      </c>
      <c r="CM23" s="72">
        <v>0</v>
      </c>
      <c r="CN23" s="72">
        <v>0</v>
      </c>
      <c r="CO23" s="72">
        <v>0</v>
      </c>
      <c r="CP23" s="72">
        <v>0</v>
      </c>
      <c r="CQ23" s="72">
        <v>0</v>
      </c>
      <c r="CR23" s="72">
        <v>0</v>
      </c>
      <c r="CS23" s="72">
        <v>0</v>
      </c>
      <c r="CT23" s="72">
        <v>0</v>
      </c>
      <c r="CU23" s="72">
        <v>0</v>
      </c>
      <c r="CV23" s="72">
        <v>0</v>
      </c>
      <c r="CW23" s="72">
        <v>0</v>
      </c>
      <c r="CX23" s="72">
        <v>0</v>
      </c>
      <c r="CY23" s="72">
        <v>0</v>
      </c>
      <c r="CZ23" s="72">
        <v>0</v>
      </c>
      <c r="DA23" s="72">
        <v>0</v>
      </c>
      <c r="DB23" s="72">
        <v>0</v>
      </c>
      <c r="DC23" s="72">
        <v>0</v>
      </c>
      <c r="DD23" s="72">
        <v>0</v>
      </c>
      <c r="DE23" s="72">
        <v>0</v>
      </c>
      <c r="DF23" s="72">
        <v>0</v>
      </c>
      <c r="DG23" s="72">
        <v>0</v>
      </c>
      <c r="DH23" s="72">
        <v>0</v>
      </c>
      <c r="DI23" s="72">
        <v>0</v>
      </c>
      <c r="DJ23" s="72">
        <v>0</v>
      </c>
      <c r="DK23" s="72">
        <v>0</v>
      </c>
      <c r="DL23" s="72">
        <v>0</v>
      </c>
      <c r="DM23" s="72">
        <v>0</v>
      </c>
      <c r="DN23" s="72">
        <v>0</v>
      </c>
      <c r="DO23" s="72">
        <v>0</v>
      </c>
      <c r="DP23" s="72">
        <v>0</v>
      </c>
      <c r="DQ23" s="72">
        <v>0</v>
      </c>
      <c r="DR23" s="72">
        <v>0</v>
      </c>
      <c r="DS23" s="72">
        <v>0</v>
      </c>
      <c r="DT23" s="72">
        <v>0</v>
      </c>
      <c r="DU23" s="72">
        <v>0</v>
      </c>
      <c r="DV23" s="72">
        <v>0</v>
      </c>
      <c r="DW23" s="72">
        <v>0</v>
      </c>
      <c r="DX23" s="72">
        <v>0</v>
      </c>
      <c r="DY23" s="72">
        <v>0</v>
      </c>
      <c r="DZ23" s="72">
        <v>0</v>
      </c>
      <c r="EA23" s="72">
        <v>0</v>
      </c>
      <c r="EB23" s="72">
        <v>0</v>
      </c>
      <c r="EC23" s="72">
        <v>0</v>
      </c>
      <c r="ED23" s="72">
        <v>0</v>
      </c>
      <c r="EE23" s="72">
        <v>0</v>
      </c>
      <c r="EF23" s="72">
        <v>0</v>
      </c>
      <c r="EG23" s="72">
        <v>0</v>
      </c>
      <c r="EH23" s="72">
        <v>0</v>
      </c>
      <c r="EI23" s="72">
        <v>0</v>
      </c>
      <c r="EJ23" s="72">
        <v>0</v>
      </c>
      <c r="EK23" s="72">
        <v>0</v>
      </c>
      <c r="EL23" s="72">
        <v>0</v>
      </c>
    </row>
    <row r="24" spans="1:142" x14ac:dyDescent="0.35">
      <c r="A24" s="59">
        <f>Данные!A24</f>
        <v>4755</v>
      </c>
      <c r="B24" s="59">
        <f>Данные!B24</f>
        <v>2018</v>
      </c>
      <c r="C24" s="59" t="str">
        <f>Данные!C24</f>
        <v>компьютерных технологий и электронного обучения</v>
      </c>
      <c r="D24" s="59" t="str">
        <f>Данные!D24</f>
        <v>Готская Ирина Борисовна</v>
      </c>
      <c r="E24" s="59" t="str">
        <f>Данные!E24</f>
        <v>доктор педагогических наук</v>
      </c>
      <c r="F24" s="59" t="str">
        <f>Данные!F24</f>
        <v>профессор</v>
      </c>
      <c r="G24" s="59">
        <f>Данные!G24</f>
        <v>0.75</v>
      </c>
      <c r="H24" s="59">
        <f>Данные!H24</f>
        <v>17235</v>
      </c>
      <c r="I24" s="59" t="str">
        <f>Данные!I24</f>
        <v>Информационное обеспечение технологического образования. Информационное обеспечение инновационной технологической деятельности</v>
      </c>
      <c r="J24" s="59">
        <f>Данные!J24</f>
        <v>16</v>
      </c>
      <c r="K24" s="59">
        <f>Данные!K24</f>
        <v>0</v>
      </c>
      <c r="L24" s="59">
        <f>Данные!L24</f>
        <v>80</v>
      </c>
      <c r="M24" s="60">
        <f t="shared" si="0"/>
        <v>9.6</v>
      </c>
      <c r="N24" s="60">
        <f t="shared" ca="1" si="1"/>
        <v>9.2600000000000016</v>
      </c>
      <c r="O24" s="60">
        <f t="shared" ca="1" si="2"/>
        <v>5.5</v>
      </c>
      <c r="P24" s="60">
        <f t="shared" ca="1" si="3"/>
        <v>5.5</v>
      </c>
      <c r="Q24" s="54">
        <f>Данные!Q24</f>
        <v>0</v>
      </c>
      <c r="R24" s="54">
        <f>Данные!R24</f>
        <v>0</v>
      </c>
      <c r="S24" s="54">
        <f>Данные!S24</f>
        <v>0</v>
      </c>
      <c r="T24" s="54">
        <f>Данные!T24</f>
        <v>13</v>
      </c>
      <c r="U24" s="54">
        <f>Данные!U24</f>
        <v>0</v>
      </c>
      <c r="V24" s="54">
        <f>Данные!V24</f>
        <v>0</v>
      </c>
      <c r="W24" s="54">
        <f ca="1">Данные!W24</f>
        <v>22</v>
      </c>
      <c r="X24" s="54" t="str">
        <f ca="1">Данные!X24</f>
        <v>1</v>
      </c>
      <c r="Y24" s="54" t="str">
        <f ca="1">Данные!Y24</f>
        <v>2</v>
      </c>
      <c r="Z24" s="54">
        <f>Данные!Z24</f>
        <v>0</v>
      </c>
      <c r="AA24" s="54" t="str">
        <f>Данные!AA24</f>
        <v>осн</v>
      </c>
      <c r="AB24" s="101">
        <f t="shared" si="4"/>
        <v>750</v>
      </c>
      <c r="AC24" s="101" t="str">
        <f t="shared" si="5"/>
        <v/>
      </c>
      <c r="AD24" s="101" t="str">
        <f t="shared" si="6"/>
        <v/>
      </c>
      <c r="AE24" s="102">
        <f t="shared" ca="1" si="7"/>
        <v>138.86000000000001</v>
      </c>
      <c r="AF24" s="103">
        <f t="shared" ca="1" si="8"/>
        <v>0.18514666666666668</v>
      </c>
      <c r="AG24" s="101"/>
      <c r="AH24" s="101"/>
      <c r="BQ24" s="72">
        <v>0</v>
      </c>
      <c r="BR24" s="72">
        <v>0</v>
      </c>
      <c r="BS24" s="72">
        <v>0</v>
      </c>
      <c r="BT24" s="72">
        <v>0</v>
      </c>
      <c r="BU24" s="72">
        <v>0</v>
      </c>
      <c r="BV24" s="72">
        <v>0</v>
      </c>
      <c r="BW24" s="72">
        <v>0</v>
      </c>
      <c r="BX24" s="72">
        <v>0</v>
      </c>
      <c r="BY24" s="72">
        <v>0</v>
      </c>
      <c r="BZ24" s="72">
        <v>0</v>
      </c>
      <c r="CA24" s="72">
        <v>0</v>
      </c>
      <c r="CB24" s="72">
        <v>0</v>
      </c>
      <c r="CC24" s="72">
        <v>0</v>
      </c>
      <c r="CD24" s="72">
        <v>0</v>
      </c>
      <c r="CE24" s="72">
        <v>0</v>
      </c>
      <c r="CF24" s="72">
        <v>0</v>
      </c>
      <c r="CG24" s="72">
        <v>0</v>
      </c>
      <c r="CH24" s="72">
        <v>0</v>
      </c>
      <c r="CI24" s="72">
        <v>0</v>
      </c>
      <c r="CJ24" s="72">
        <v>0</v>
      </c>
      <c r="CK24" s="72">
        <v>0</v>
      </c>
      <c r="CL24" s="72">
        <v>0</v>
      </c>
      <c r="CM24" s="72">
        <v>0</v>
      </c>
      <c r="CN24" s="72">
        <v>0</v>
      </c>
      <c r="CO24" s="72">
        <v>0</v>
      </c>
      <c r="CP24" s="72">
        <v>0</v>
      </c>
      <c r="CQ24" s="72">
        <v>0</v>
      </c>
      <c r="CR24" s="72">
        <v>0</v>
      </c>
      <c r="CS24" s="72">
        <v>0</v>
      </c>
      <c r="CT24" s="72">
        <v>0</v>
      </c>
      <c r="CU24" s="72">
        <v>0</v>
      </c>
      <c r="CV24" s="72">
        <v>0</v>
      </c>
      <c r="CW24" s="72">
        <v>0</v>
      </c>
      <c r="CX24" s="72">
        <v>0</v>
      </c>
      <c r="CY24" s="72">
        <v>0</v>
      </c>
      <c r="CZ24" s="72">
        <v>0</v>
      </c>
      <c r="DA24" s="72">
        <v>0</v>
      </c>
      <c r="DB24" s="72">
        <v>0</v>
      </c>
      <c r="DC24" s="72">
        <v>0</v>
      </c>
      <c r="DD24" s="72">
        <v>0</v>
      </c>
      <c r="DE24" s="72">
        <v>0</v>
      </c>
      <c r="DF24" s="72">
        <v>0</v>
      </c>
      <c r="DG24" s="72">
        <v>0</v>
      </c>
      <c r="DH24" s="72">
        <v>0</v>
      </c>
      <c r="DI24" s="72">
        <v>0</v>
      </c>
      <c r="DJ24" s="72">
        <v>0</v>
      </c>
      <c r="DK24" s="72">
        <v>0</v>
      </c>
      <c r="DL24" s="72">
        <v>0</v>
      </c>
      <c r="DM24" s="72">
        <v>0</v>
      </c>
      <c r="DN24" s="72">
        <v>0</v>
      </c>
      <c r="DO24" s="72">
        <v>0</v>
      </c>
      <c r="DP24" s="72">
        <v>0</v>
      </c>
      <c r="DQ24" s="72">
        <v>0</v>
      </c>
      <c r="DR24" s="72">
        <v>0</v>
      </c>
      <c r="DS24" s="72">
        <v>0</v>
      </c>
      <c r="DT24" s="72">
        <v>0</v>
      </c>
      <c r="DU24" s="72">
        <v>0</v>
      </c>
      <c r="DV24" s="72">
        <v>0</v>
      </c>
      <c r="DW24" s="72">
        <v>0</v>
      </c>
      <c r="DX24" s="72">
        <v>0</v>
      </c>
      <c r="DY24" s="72">
        <v>0</v>
      </c>
      <c r="DZ24" s="72">
        <v>0</v>
      </c>
      <c r="EA24" s="72">
        <v>0</v>
      </c>
      <c r="EB24" s="72">
        <v>0</v>
      </c>
      <c r="EC24" s="72">
        <v>0</v>
      </c>
      <c r="ED24" s="72">
        <v>0</v>
      </c>
      <c r="EE24" s="72">
        <v>0</v>
      </c>
      <c r="EF24" s="72">
        <v>0</v>
      </c>
      <c r="EG24" s="72">
        <v>0</v>
      </c>
      <c r="EH24" s="72">
        <v>0</v>
      </c>
      <c r="EI24" s="72">
        <v>0</v>
      </c>
      <c r="EJ24" s="72">
        <v>0</v>
      </c>
      <c r="EK24" s="72">
        <v>0</v>
      </c>
      <c r="EL24" s="72">
        <v>0</v>
      </c>
    </row>
    <row r="25" spans="1:142" x14ac:dyDescent="0.35">
      <c r="A25" s="59">
        <f>Данные!A25</f>
        <v>4848</v>
      </c>
      <c r="B25" s="59">
        <f>Данные!B25</f>
        <v>2015</v>
      </c>
      <c r="C25" s="59" t="str">
        <f>Данные!C25</f>
        <v>компьютерных технологий и электронного обучения</v>
      </c>
      <c r="D25" s="59" t="str">
        <f>Данные!D25</f>
        <v>Абрамян Геннадий Владимирович</v>
      </c>
      <c r="E25" s="59" t="str">
        <f>Данные!E25</f>
        <v>доктор педагогических наук</v>
      </c>
      <c r="F25" s="59" t="str">
        <f>Данные!F25</f>
        <v>профессор</v>
      </c>
      <c r="G25" s="59">
        <f>Данные!G25</f>
        <v>1</v>
      </c>
      <c r="H25" s="59">
        <f>Данные!H25</f>
        <v>14014</v>
      </c>
      <c r="I25" s="59" t="str">
        <f>Данные!I25</f>
        <v>ЭВМ и периферийные устройства</v>
      </c>
      <c r="J25" s="59">
        <f>Данные!J25</f>
        <v>42</v>
      </c>
      <c r="K25" s="59">
        <f>Данные!K25</f>
        <v>0</v>
      </c>
      <c r="L25" s="59">
        <f>Данные!L25</f>
        <v>42</v>
      </c>
      <c r="M25" s="60">
        <f t="shared" si="0"/>
        <v>8.4</v>
      </c>
      <c r="N25" s="60">
        <f t="shared" ca="1" si="1"/>
        <v>6.29</v>
      </c>
      <c r="O25" s="60">
        <f t="shared" ca="1" si="2"/>
        <v>3.25</v>
      </c>
      <c r="P25" s="60">
        <f t="shared" ca="1" si="3"/>
        <v>3.25</v>
      </c>
      <c r="Q25" s="54">
        <f>Данные!Q25</f>
        <v>0</v>
      </c>
      <c r="R25" s="54">
        <f>Данные!R25</f>
        <v>0</v>
      </c>
      <c r="S25" s="54">
        <f>Данные!S25</f>
        <v>0</v>
      </c>
      <c r="T25" s="54">
        <f>Данные!T25</f>
        <v>0</v>
      </c>
      <c r="U25" s="54">
        <f>Данные!U25</f>
        <v>0</v>
      </c>
      <c r="V25" s="54">
        <f>Данные!V25</f>
        <v>0</v>
      </c>
      <c r="W25" s="54">
        <f ca="1">Данные!W25</f>
        <v>13</v>
      </c>
      <c r="X25" s="54" t="str">
        <f ca="1">Данные!X25</f>
        <v>1</v>
      </c>
      <c r="Y25" s="54" t="str">
        <f ca="1">Данные!Y25</f>
        <v>1</v>
      </c>
      <c r="Z25" s="54">
        <f>Данные!Z25</f>
        <v>0</v>
      </c>
      <c r="AA25" s="54" t="str">
        <f>Данные!AA25</f>
        <v>осн</v>
      </c>
      <c r="AB25" s="101">
        <f t="shared" si="4"/>
        <v>750</v>
      </c>
      <c r="AC25" s="101" t="str">
        <f t="shared" si="5"/>
        <v>ИВТ (бак)</v>
      </c>
      <c r="AD25" s="101" t="str">
        <f t="shared" si="6"/>
        <v>2015–2016</v>
      </c>
      <c r="AE25" s="102">
        <f t="shared" ca="1" si="7"/>
        <v>105.19000000000001</v>
      </c>
      <c r="AF25" s="103">
        <f t="shared" ca="1" si="8"/>
        <v>0.14025333333333334</v>
      </c>
      <c r="AG25" s="101"/>
      <c r="AH25" s="101"/>
      <c r="BQ25" s="72">
        <v>0</v>
      </c>
      <c r="BR25" s="72">
        <v>0</v>
      </c>
      <c r="BS25" s="72">
        <v>0</v>
      </c>
      <c r="BT25" s="72">
        <v>0</v>
      </c>
      <c r="BU25" s="72">
        <v>0</v>
      </c>
      <c r="BV25" s="72">
        <v>0</v>
      </c>
      <c r="BW25" s="72">
        <v>0</v>
      </c>
      <c r="BX25" s="72">
        <v>0</v>
      </c>
      <c r="BY25" s="72">
        <v>0</v>
      </c>
      <c r="BZ25" s="72">
        <v>0</v>
      </c>
      <c r="CA25" s="72">
        <v>0</v>
      </c>
      <c r="CB25" s="72">
        <v>0</v>
      </c>
      <c r="CC25" s="72">
        <v>0</v>
      </c>
      <c r="CD25" s="72">
        <v>0</v>
      </c>
      <c r="CE25" s="72">
        <v>0</v>
      </c>
      <c r="CF25" s="72">
        <v>0</v>
      </c>
      <c r="CG25" s="72">
        <v>0</v>
      </c>
      <c r="CH25" s="72">
        <v>0</v>
      </c>
      <c r="CI25" s="72">
        <v>0</v>
      </c>
      <c r="CJ25" s="72">
        <v>0</v>
      </c>
      <c r="CK25" s="72">
        <v>0</v>
      </c>
      <c r="CL25" s="72">
        <v>0</v>
      </c>
      <c r="CM25" s="72">
        <v>0</v>
      </c>
      <c r="CN25" s="72">
        <v>0</v>
      </c>
      <c r="CO25" s="72">
        <v>0</v>
      </c>
      <c r="CP25" s="72">
        <v>0</v>
      </c>
      <c r="CQ25" s="72">
        <v>0</v>
      </c>
      <c r="CR25" s="72">
        <v>0</v>
      </c>
      <c r="CS25" s="72">
        <v>0</v>
      </c>
      <c r="CT25" s="72">
        <v>0</v>
      </c>
      <c r="CU25" s="72">
        <v>0</v>
      </c>
      <c r="CV25" s="72">
        <v>0</v>
      </c>
      <c r="CW25" s="72">
        <v>0</v>
      </c>
      <c r="CX25" s="72">
        <v>0</v>
      </c>
      <c r="CY25" s="72">
        <v>0</v>
      </c>
      <c r="CZ25" s="72">
        <v>0</v>
      </c>
      <c r="DA25" s="72">
        <v>0</v>
      </c>
      <c r="DB25" s="72">
        <v>0</v>
      </c>
      <c r="DC25" s="72">
        <v>0</v>
      </c>
      <c r="DD25" s="72">
        <v>0</v>
      </c>
      <c r="DE25" s="72">
        <v>0</v>
      </c>
      <c r="DF25" s="72">
        <v>0</v>
      </c>
      <c r="DG25" s="72">
        <v>0</v>
      </c>
      <c r="DH25" s="72">
        <v>0</v>
      </c>
      <c r="DI25" s="72">
        <v>0</v>
      </c>
      <c r="DJ25" s="72">
        <v>0</v>
      </c>
      <c r="DK25" s="72">
        <v>0</v>
      </c>
      <c r="DL25" s="72">
        <v>0</v>
      </c>
      <c r="DM25" s="72">
        <v>0</v>
      </c>
      <c r="DN25" s="72">
        <v>0</v>
      </c>
      <c r="DO25" s="72">
        <v>0</v>
      </c>
      <c r="DP25" s="72">
        <v>0</v>
      </c>
      <c r="DQ25" s="72">
        <v>0</v>
      </c>
      <c r="DR25" s="72">
        <v>0</v>
      </c>
      <c r="DS25" s="72">
        <v>0</v>
      </c>
      <c r="DT25" s="72">
        <v>0</v>
      </c>
      <c r="DU25" s="72">
        <v>0</v>
      </c>
      <c r="DV25" s="72">
        <v>0</v>
      </c>
      <c r="DW25" s="72">
        <v>0</v>
      </c>
      <c r="DX25" s="72">
        <v>0</v>
      </c>
      <c r="DY25" s="72">
        <v>0</v>
      </c>
      <c r="DZ25" s="72">
        <v>0</v>
      </c>
      <c r="EA25" s="72">
        <v>0</v>
      </c>
      <c r="EB25" s="72">
        <v>0</v>
      </c>
      <c r="EC25" s="72">
        <v>0</v>
      </c>
      <c r="ED25" s="72">
        <v>0</v>
      </c>
      <c r="EE25" s="72">
        <v>0</v>
      </c>
      <c r="EF25" s="72">
        <v>0</v>
      </c>
      <c r="EG25" s="72">
        <v>0</v>
      </c>
      <c r="EH25" s="72">
        <v>0</v>
      </c>
      <c r="EI25" s="72">
        <v>0</v>
      </c>
      <c r="EJ25" s="72">
        <v>0</v>
      </c>
      <c r="EK25" s="72">
        <v>0</v>
      </c>
      <c r="EL25" s="72">
        <v>0</v>
      </c>
    </row>
    <row r="26" spans="1:142" x14ac:dyDescent="0.35">
      <c r="A26" s="59">
        <f>Данные!A26</f>
        <v>4848</v>
      </c>
      <c r="B26" s="59">
        <f>Данные!B26</f>
        <v>2015</v>
      </c>
      <c r="C26" s="59" t="str">
        <f>Данные!C26</f>
        <v>компьютерных технологий и электронного обучения</v>
      </c>
      <c r="D26" s="59" t="str">
        <f>Данные!D26</f>
        <v>Власова Елена Зотиковна</v>
      </c>
      <c r="E26" s="59" t="str">
        <f>Данные!E26</f>
        <v>доктор педагогических наук</v>
      </c>
      <c r="F26" s="59" t="str">
        <f>Данные!F26</f>
        <v>заведующий кафедрой</v>
      </c>
      <c r="G26" s="59">
        <f>Данные!G26</f>
        <v>1</v>
      </c>
      <c r="H26" s="59">
        <f>Данные!H26</f>
        <v>14014</v>
      </c>
      <c r="I26" s="59" t="str">
        <f>Данные!I26</f>
        <v>Информатика</v>
      </c>
      <c r="J26" s="59">
        <f>Данные!J26</f>
        <v>17</v>
      </c>
      <c r="K26" s="59">
        <f>Данные!K26</f>
        <v>17</v>
      </c>
      <c r="L26" s="59">
        <f>Данные!L26</f>
        <v>0</v>
      </c>
      <c r="M26" s="60">
        <f t="shared" si="0"/>
        <v>3.4</v>
      </c>
      <c r="N26" s="60">
        <f t="shared" ca="1" si="1"/>
        <v>6.29</v>
      </c>
      <c r="O26" s="60">
        <f t="shared" ca="1" si="2"/>
        <v>3.25</v>
      </c>
      <c r="P26" s="60">
        <f t="shared" ca="1" si="3"/>
        <v>3.25</v>
      </c>
      <c r="Q26" s="54">
        <f>Данные!Q26</f>
        <v>0</v>
      </c>
      <c r="R26" s="54">
        <f>Данные!R26</f>
        <v>0</v>
      </c>
      <c r="S26" s="54">
        <f>Данные!S26</f>
        <v>0</v>
      </c>
      <c r="T26" s="54">
        <f>Данные!T26</f>
        <v>0</v>
      </c>
      <c r="U26" s="54">
        <f>Данные!U26</f>
        <v>0</v>
      </c>
      <c r="V26" s="54">
        <f>Данные!V26</f>
        <v>0</v>
      </c>
      <c r="W26" s="54">
        <f ca="1">Данные!W26</f>
        <v>13</v>
      </c>
      <c r="X26" s="54" t="str">
        <f ca="1">Данные!X26</f>
        <v>1</v>
      </c>
      <c r="Y26" s="54" t="str">
        <f ca="1">Данные!Y26</f>
        <v>1</v>
      </c>
      <c r="Z26" s="54">
        <f>Данные!Z26</f>
        <v>0</v>
      </c>
      <c r="AA26" s="54" t="str">
        <f>Данные!AA26</f>
        <v>осн</v>
      </c>
      <c r="AB26" s="101">
        <f t="shared" si="4"/>
        <v>700</v>
      </c>
      <c r="AC26" s="101" t="str">
        <f t="shared" si="5"/>
        <v>ИВТ (бак)</v>
      </c>
      <c r="AD26" s="101" t="str">
        <f t="shared" si="6"/>
        <v>2015–2016</v>
      </c>
      <c r="AE26" s="102">
        <f t="shared" ca="1" si="7"/>
        <v>50.19</v>
      </c>
      <c r="AF26" s="103">
        <f t="shared" ca="1" si="8"/>
        <v>7.17E-2</v>
      </c>
      <c r="AG26" s="101"/>
      <c r="AH26" s="101"/>
      <c r="BQ26" s="72">
        <v>0</v>
      </c>
      <c r="BR26" s="72">
        <v>0</v>
      </c>
      <c r="BS26" s="72">
        <v>0</v>
      </c>
      <c r="BT26" s="72">
        <v>0</v>
      </c>
      <c r="BU26" s="72">
        <v>0</v>
      </c>
      <c r="BV26" s="72">
        <v>0</v>
      </c>
      <c r="BW26" s="72">
        <v>0</v>
      </c>
      <c r="BX26" s="72">
        <v>0</v>
      </c>
      <c r="BY26" s="72">
        <v>0</v>
      </c>
      <c r="BZ26" s="72">
        <v>0</v>
      </c>
      <c r="CA26" s="72">
        <v>0</v>
      </c>
      <c r="CB26" s="72">
        <v>0</v>
      </c>
      <c r="CC26" s="72">
        <v>0</v>
      </c>
      <c r="CD26" s="72">
        <v>0</v>
      </c>
      <c r="CE26" s="72">
        <v>0</v>
      </c>
      <c r="CF26" s="72">
        <v>0</v>
      </c>
      <c r="CG26" s="72">
        <v>0</v>
      </c>
      <c r="CH26" s="72">
        <v>0</v>
      </c>
      <c r="CI26" s="72">
        <v>0</v>
      </c>
      <c r="CJ26" s="72">
        <v>0</v>
      </c>
      <c r="CK26" s="72">
        <v>0</v>
      </c>
      <c r="CL26" s="72">
        <v>0</v>
      </c>
      <c r="CM26" s="72">
        <v>0</v>
      </c>
      <c r="CN26" s="72">
        <v>0</v>
      </c>
      <c r="CO26" s="72">
        <v>0</v>
      </c>
      <c r="CP26" s="72">
        <v>0</v>
      </c>
      <c r="CQ26" s="72">
        <v>0</v>
      </c>
      <c r="CR26" s="72">
        <v>0</v>
      </c>
      <c r="CS26" s="72">
        <v>0</v>
      </c>
      <c r="CT26" s="72">
        <v>0</v>
      </c>
      <c r="CU26" s="72">
        <v>0</v>
      </c>
      <c r="CV26" s="72">
        <v>0</v>
      </c>
      <c r="CW26" s="72">
        <v>0</v>
      </c>
      <c r="CX26" s="72">
        <v>0</v>
      </c>
      <c r="CY26" s="72">
        <v>0</v>
      </c>
      <c r="CZ26" s="72">
        <v>0</v>
      </c>
      <c r="DA26" s="72">
        <v>0</v>
      </c>
      <c r="DB26" s="72">
        <v>0</v>
      </c>
      <c r="DC26" s="72">
        <v>0</v>
      </c>
      <c r="DD26" s="72">
        <v>0</v>
      </c>
      <c r="DE26" s="72">
        <v>0</v>
      </c>
      <c r="DF26" s="72">
        <v>0</v>
      </c>
      <c r="DG26" s="72">
        <v>0</v>
      </c>
      <c r="DH26" s="72">
        <v>0</v>
      </c>
      <c r="DI26" s="72">
        <v>0</v>
      </c>
      <c r="DJ26" s="72">
        <v>0</v>
      </c>
      <c r="DK26" s="72">
        <v>0</v>
      </c>
      <c r="DL26" s="72">
        <v>0</v>
      </c>
      <c r="DM26" s="72">
        <v>0</v>
      </c>
      <c r="DN26" s="72">
        <v>0</v>
      </c>
      <c r="DO26" s="72">
        <v>0</v>
      </c>
      <c r="DP26" s="72">
        <v>0</v>
      </c>
      <c r="DQ26" s="72">
        <v>0</v>
      </c>
      <c r="DR26" s="72">
        <v>0</v>
      </c>
      <c r="DS26" s="72">
        <v>0</v>
      </c>
      <c r="DT26" s="72">
        <v>0</v>
      </c>
      <c r="DU26" s="72">
        <v>0</v>
      </c>
      <c r="DV26" s="72">
        <v>0</v>
      </c>
      <c r="DW26" s="72">
        <v>0</v>
      </c>
      <c r="DX26" s="72">
        <v>0</v>
      </c>
      <c r="DY26" s="72">
        <v>0</v>
      </c>
      <c r="DZ26" s="72">
        <v>0</v>
      </c>
      <c r="EA26" s="72">
        <v>0</v>
      </c>
      <c r="EB26" s="72">
        <v>0</v>
      </c>
      <c r="EC26" s="72">
        <v>0</v>
      </c>
      <c r="ED26" s="72">
        <v>0</v>
      </c>
      <c r="EE26" s="72">
        <v>0</v>
      </c>
      <c r="EF26" s="72">
        <v>0</v>
      </c>
      <c r="EG26" s="72">
        <v>0</v>
      </c>
      <c r="EH26" s="72">
        <v>0</v>
      </c>
      <c r="EI26" s="72">
        <v>0</v>
      </c>
      <c r="EJ26" s="72">
        <v>0</v>
      </c>
      <c r="EK26" s="72">
        <v>0</v>
      </c>
      <c r="EL26" s="72">
        <v>0</v>
      </c>
    </row>
    <row r="27" spans="1:142" s="6" customFormat="1" x14ac:dyDescent="0.35">
      <c r="A27" s="59">
        <f>Данные!A27</f>
        <v>4848</v>
      </c>
      <c r="B27" s="59">
        <f>Данные!B27</f>
        <v>2015</v>
      </c>
      <c r="C27" s="59" t="str">
        <f>Данные!C27</f>
        <v>компьютерных технологий и электронного обучения</v>
      </c>
      <c r="D27" s="59" t="str">
        <f>Данные!D27</f>
        <v>Власова Елена Зотиковна</v>
      </c>
      <c r="E27" s="59" t="str">
        <f>Данные!E27</f>
        <v>доктор педагогических наук</v>
      </c>
      <c r="F27" s="59" t="str">
        <f>Данные!F27</f>
        <v>заведующий кафедрой</v>
      </c>
      <c r="G27" s="59">
        <f>Данные!G27</f>
        <v>1</v>
      </c>
      <c r="H27" s="59">
        <f>Данные!H27</f>
        <v>14014</v>
      </c>
      <c r="I27" s="59" t="str">
        <f>Данные!I27</f>
        <v>Программирование</v>
      </c>
      <c r="J27" s="59">
        <f>Данные!J27</f>
        <v>13</v>
      </c>
      <c r="K27" s="59">
        <f>Данные!K27</f>
        <v>0</v>
      </c>
      <c r="L27" s="59">
        <f>Данные!L27</f>
        <v>23</v>
      </c>
      <c r="M27" s="60">
        <f t="shared" si="0"/>
        <v>3.6</v>
      </c>
      <c r="N27" s="60">
        <f t="shared" ca="1" si="1"/>
        <v>6.29</v>
      </c>
      <c r="O27" s="60">
        <f t="shared" ca="1" si="2"/>
        <v>3.25</v>
      </c>
      <c r="P27" s="60">
        <f t="shared" ca="1" si="3"/>
        <v>3.25</v>
      </c>
      <c r="Q27" s="54">
        <f>Данные!Q27</f>
        <v>0</v>
      </c>
      <c r="R27" s="54">
        <f>Данные!R27</f>
        <v>0</v>
      </c>
      <c r="S27" s="54">
        <f>Данные!S27</f>
        <v>0</v>
      </c>
      <c r="T27" s="54">
        <f>Данные!T27</f>
        <v>0</v>
      </c>
      <c r="U27" s="54">
        <f>Данные!U27</f>
        <v>0</v>
      </c>
      <c r="V27" s="54">
        <f>Данные!V27</f>
        <v>0</v>
      </c>
      <c r="W27" s="54">
        <f ca="1">Данные!W27</f>
        <v>13</v>
      </c>
      <c r="X27" s="54" t="str">
        <f ca="1">Данные!X27</f>
        <v>1</v>
      </c>
      <c r="Y27" s="54" t="str">
        <f ca="1">Данные!Y27</f>
        <v>1</v>
      </c>
      <c r="Z27" s="54">
        <f>Данные!Z27</f>
        <v>0</v>
      </c>
      <c r="AA27" s="54" t="str">
        <f>Данные!AA27</f>
        <v>осн</v>
      </c>
      <c r="AB27" s="101">
        <f t="shared" si="4"/>
        <v>700</v>
      </c>
      <c r="AC27" s="101" t="str">
        <f t="shared" si="5"/>
        <v>ИВТ (бак)</v>
      </c>
      <c r="AD27" s="101" t="str">
        <f t="shared" si="6"/>
        <v>2015–2016</v>
      </c>
      <c r="AE27" s="102">
        <f t="shared" ca="1" si="7"/>
        <v>52.39</v>
      </c>
      <c r="AF27" s="103">
        <f t="shared" ca="1" si="8"/>
        <v>7.4842857142857142E-2</v>
      </c>
      <c r="AG27" s="101"/>
      <c r="AH27" s="101"/>
      <c r="AI27"/>
      <c r="BM27"/>
      <c r="BN27"/>
      <c r="BO27"/>
      <c r="BQ27" s="72">
        <v>0</v>
      </c>
      <c r="BR27" s="72">
        <v>0</v>
      </c>
      <c r="BS27" s="72">
        <v>0</v>
      </c>
      <c r="BT27" s="72">
        <v>0</v>
      </c>
      <c r="BU27" s="72">
        <v>0</v>
      </c>
      <c r="BV27" s="72">
        <v>0</v>
      </c>
      <c r="BW27" s="72">
        <v>0</v>
      </c>
      <c r="BX27" s="72">
        <v>0</v>
      </c>
      <c r="BY27" s="72">
        <v>0</v>
      </c>
      <c r="BZ27" s="72">
        <v>0</v>
      </c>
      <c r="CA27" s="72">
        <v>0</v>
      </c>
      <c r="CB27" s="72">
        <v>0</v>
      </c>
      <c r="CC27" s="72">
        <v>0</v>
      </c>
      <c r="CD27" s="72">
        <v>0</v>
      </c>
      <c r="CE27" s="72">
        <v>0</v>
      </c>
      <c r="CF27" s="72">
        <v>0</v>
      </c>
      <c r="CG27" s="72">
        <v>0</v>
      </c>
      <c r="CH27" s="72">
        <v>0</v>
      </c>
      <c r="CI27" s="72">
        <v>0</v>
      </c>
      <c r="CJ27" s="72">
        <v>0</v>
      </c>
      <c r="CK27" s="72">
        <v>0</v>
      </c>
      <c r="CL27" s="72">
        <v>0</v>
      </c>
      <c r="CM27" s="72">
        <v>0</v>
      </c>
      <c r="CN27" s="72">
        <v>0</v>
      </c>
      <c r="CO27" s="72">
        <v>0</v>
      </c>
      <c r="CP27" s="72">
        <v>0</v>
      </c>
      <c r="CQ27" s="72">
        <v>0</v>
      </c>
      <c r="CR27" s="72">
        <v>0</v>
      </c>
      <c r="CS27" s="72">
        <v>0</v>
      </c>
      <c r="CT27" s="72">
        <v>0</v>
      </c>
      <c r="CU27" s="72">
        <v>0</v>
      </c>
      <c r="CV27" s="72">
        <v>0</v>
      </c>
      <c r="CW27" s="72">
        <v>0</v>
      </c>
      <c r="CX27" s="72">
        <v>0</v>
      </c>
      <c r="CY27" s="72">
        <v>0</v>
      </c>
      <c r="CZ27" s="72">
        <v>0</v>
      </c>
      <c r="DA27" s="72">
        <v>0</v>
      </c>
      <c r="DB27" s="72">
        <v>0</v>
      </c>
      <c r="DC27" s="72">
        <v>0</v>
      </c>
      <c r="DD27" s="72">
        <v>0</v>
      </c>
      <c r="DE27" s="72">
        <v>0</v>
      </c>
      <c r="DF27" s="72">
        <v>0</v>
      </c>
      <c r="DG27" s="72">
        <v>0</v>
      </c>
      <c r="DH27" s="72">
        <v>0</v>
      </c>
      <c r="DI27" s="72">
        <v>0</v>
      </c>
      <c r="DJ27" s="72">
        <v>0</v>
      </c>
      <c r="DK27" s="72">
        <v>0</v>
      </c>
      <c r="DL27" s="72">
        <v>0</v>
      </c>
      <c r="DM27" s="72">
        <v>0</v>
      </c>
      <c r="DN27" s="72">
        <v>0</v>
      </c>
      <c r="DO27" s="72">
        <v>0</v>
      </c>
      <c r="DP27" s="72">
        <v>0</v>
      </c>
      <c r="DQ27" s="72">
        <v>0</v>
      </c>
      <c r="DR27" s="72">
        <v>0</v>
      </c>
      <c r="DS27" s="72">
        <v>0</v>
      </c>
      <c r="DT27" s="72">
        <v>0</v>
      </c>
      <c r="DU27" s="72">
        <v>0</v>
      </c>
      <c r="DV27" s="72">
        <v>0</v>
      </c>
      <c r="DW27" s="72">
        <v>0</v>
      </c>
      <c r="DX27" s="72">
        <v>0</v>
      </c>
      <c r="DY27" s="72">
        <v>0</v>
      </c>
      <c r="DZ27" s="72">
        <v>0</v>
      </c>
      <c r="EA27" s="72">
        <v>0</v>
      </c>
      <c r="EB27" s="72">
        <v>0</v>
      </c>
      <c r="EC27" s="72">
        <v>0</v>
      </c>
      <c r="ED27" s="72">
        <v>0</v>
      </c>
      <c r="EE27" s="72">
        <v>0</v>
      </c>
      <c r="EF27" s="72">
        <v>0</v>
      </c>
      <c r="EG27" s="72">
        <v>0</v>
      </c>
      <c r="EH27" s="72">
        <v>0</v>
      </c>
      <c r="EI27" s="72">
        <v>0</v>
      </c>
      <c r="EJ27" s="72">
        <v>0</v>
      </c>
      <c r="EK27" s="72">
        <v>0</v>
      </c>
      <c r="EL27" s="72">
        <v>0</v>
      </c>
    </row>
    <row r="28" spans="1:142" s="6" customFormat="1" x14ac:dyDescent="0.35">
      <c r="A28" s="59">
        <f>Данные!A28</f>
        <v>4848</v>
      </c>
      <c r="B28" s="59">
        <f>Данные!B28</f>
        <v>2015</v>
      </c>
      <c r="C28" s="59" t="str">
        <f>Данные!C28</f>
        <v>компьютерных технологий и электронного обучения</v>
      </c>
      <c r="D28" s="59" t="str">
        <f>Данные!D28</f>
        <v>Власова Елена Зотиковна</v>
      </c>
      <c r="E28" s="59" t="str">
        <f>Данные!E28</f>
        <v>доктор педагогических наук</v>
      </c>
      <c r="F28" s="59" t="str">
        <f>Данные!F28</f>
        <v>заведующий кафедрой</v>
      </c>
      <c r="G28" s="59">
        <f>Данные!G28</f>
        <v>1</v>
      </c>
      <c r="H28" s="59">
        <f>Данные!H28</f>
        <v>14014</v>
      </c>
      <c r="I28" s="59" t="str">
        <f>Данные!I28</f>
        <v>Модуль "ИТ в математике и физике"</v>
      </c>
      <c r="J28" s="59">
        <f>Данные!J28</f>
        <v>0</v>
      </c>
      <c r="K28" s="59">
        <f>Данные!K28</f>
        <v>0</v>
      </c>
      <c r="L28" s="59">
        <f>Данные!L28</f>
        <v>0</v>
      </c>
      <c r="M28" s="60">
        <f t="shared" si="0"/>
        <v>0</v>
      </c>
      <c r="N28" s="60">
        <f t="shared" ca="1" si="1"/>
        <v>6.29</v>
      </c>
      <c r="O28" s="60">
        <f t="shared" ca="1" si="2"/>
        <v>3.25</v>
      </c>
      <c r="P28" s="60">
        <f t="shared" ca="1" si="3"/>
        <v>3.25</v>
      </c>
      <c r="Q28" s="54">
        <f>Данные!Q28</f>
        <v>0</v>
      </c>
      <c r="R28" s="54">
        <f>Данные!R28</f>
        <v>0</v>
      </c>
      <c r="S28" s="54">
        <f>Данные!S28</f>
        <v>0</v>
      </c>
      <c r="T28" s="54">
        <f>Данные!T28</f>
        <v>0</v>
      </c>
      <c r="U28" s="54">
        <f>Данные!U28</f>
        <v>0</v>
      </c>
      <c r="V28" s="54">
        <f>Данные!V28</f>
        <v>0</v>
      </c>
      <c r="W28" s="54">
        <f ca="1">Данные!W28</f>
        <v>13</v>
      </c>
      <c r="X28" s="54" t="str">
        <f ca="1">Данные!X28</f>
        <v>1</v>
      </c>
      <c r="Y28" s="54" t="str">
        <f ca="1">Данные!Y28</f>
        <v>1</v>
      </c>
      <c r="Z28" s="54">
        <f>Данные!Z28</f>
        <v>0</v>
      </c>
      <c r="AA28" s="54" t="str">
        <f>Данные!AA28</f>
        <v>осн</v>
      </c>
      <c r="AB28" s="101">
        <f t="shared" si="4"/>
        <v>700</v>
      </c>
      <c r="AC28" s="101" t="str">
        <f t="shared" si="5"/>
        <v>ИВТ (бак)</v>
      </c>
      <c r="AD28" s="101" t="str">
        <f t="shared" si="6"/>
        <v>2015–2016</v>
      </c>
      <c r="AE28" s="102">
        <f t="shared" ca="1" si="7"/>
        <v>12.79</v>
      </c>
      <c r="AF28" s="103">
        <f t="shared" ca="1" si="8"/>
        <v>1.827142857142857E-2</v>
      </c>
      <c r="AG28" s="101"/>
      <c r="AH28" s="101"/>
      <c r="AI28"/>
      <c r="BM28"/>
      <c r="BN28"/>
      <c r="BO28"/>
      <c r="BQ28" s="72">
        <v>0</v>
      </c>
      <c r="BR28" s="72">
        <v>0</v>
      </c>
      <c r="BS28" s="72">
        <v>0</v>
      </c>
      <c r="BT28" s="72">
        <v>0</v>
      </c>
      <c r="BU28" s="72">
        <v>0</v>
      </c>
      <c r="BV28" s="72">
        <v>0</v>
      </c>
      <c r="BW28" s="72">
        <v>0</v>
      </c>
      <c r="BX28" s="72">
        <v>0</v>
      </c>
      <c r="BY28" s="72">
        <v>0</v>
      </c>
      <c r="BZ28" s="72">
        <v>0</v>
      </c>
      <c r="CA28" s="72">
        <v>0</v>
      </c>
      <c r="CB28" s="72">
        <v>0</v>
      </c>
      <c r="CC28" s="72">
        <v>0</v>
      </c>
      <c r="CD28" s="72">
        <v>0</v>
      </c>
      <c r="CE28" s="72">
        <v>0</v>
      </c>
      <c r="CF28" s="72">
        <v>0</v>
      </c>
      <c r="CG28" s="72">
        <v>0</v>
      </c>
      <c r="CH28" s="72">
        <v>0</v>
      </c>
      <c r="CI28" s="72">
        <v>0</v>
      </c>
      <c r="CJ28" s="72">
        <v>0</v>
      </c>
      <c r="CK28" s="72">
        <v>0</v>
      </c>
      <c r="CL28" s="72">
        <v>0</v>
      </c>
      <c r="CM28" s="72">
        <v>0</v>
      </c>
      <c r="CN28" s="72">
        <v>0</v>
      </c>
      <c r="CO28" s="72">
        <v>0</v>
      </c>
      <c r="CP28" s="72">
        <v>0</v>
      </c>
      <c r="CQ28" s="72">
        <v>0</v>
      </c>
      <c r="CR28" s="72">
        <v>0</v>
      </c>
      <c r="CS28" s="72">
        <v>0</v>
      </c>
      <c r="CT28" s="72">
        <v>0</v>
      </c>
      <c r="CU28" s="72">
        <v>0</v>
      </c>
      <c r="CV28" s="72">
        <v>0</v>
      </c>
      <c r="CW28" s="72">
        <v>0</v>
      </c>
      <c r="CX28" s="72">
        <v>0</v>
      </c>
      <c r="CY28" s="72">
        <v>0</v>
      </c>
      <c r="CZ28" s="72">
        <v>0</v>
      </c>
      <c r="DA28" s="72">
        <v>0</v>
      </c>
      <c r="DB28" s="72">
        <v>0</v>
      </c>
      <c r="DC28" s="72">
        <v>0</v>
      </c>
      <c r="DD28" s="72">
        <v>0</v>
      </c>
      <c r="DE28" s="72">
        <v>0</v>
      </c>
      <c r="DF28" s="72">
        <v>0</v>
      </c>
      <c r="DG28" s="72">
        <v>0</v>
      </c>
      <c r="DH28" s="72">
        <v>0</v>
      </c>
      <c r="DI28" s="72">
        <v>0</v>
      </c>
      <c r="DJ28" s="72">
        <v>0</v>
      </c>
      <c r="DK28" s="72">
        <v>0</v>
      </c>
      <c r="DL28" s="72">
        <v>0</v>
      </c>
      <c r="DM28" s="72">
        <v>0</v>
      </c>
      <c r="DN28" s="72">
        <v>0</v>
      </c>
      <c r="DO28" s="72">
        <v>0</v>
      </c>
      <c r="DP28" s="72">
        <v>0</v>
      </c>
      <c r="DQ28" s="72">
        <v>0</v>
      </c>
      <c r="DR28" s="72">
        <v>0</v>
      </c>
      <c r="DS28" s="72">
        <v>0</v>
      </c>
      <c r="DT28" s="72">
        <v>0</v>
      </c>
      <c r="DU28" s="72">
        <v>0</v>
      </c>
      <c r="DV28" s="72">
        <v>0</v>
      </c>
      <c r="DW28" s="72">
        <v>0</v>
      </c>
      <c r="DX28" s="72">
        <v>0</v>
      </c>
      <c r="DY28" s="72">
        <v>0</v>
      </c>
      <c r="DZ28" s="72">
        <v>0</v>
      </c>
      <c r="EA28" s="72">
        <v>0</v>
      </c>
      <c r="EB28" s="72">
        <v>0</v>
      </c>
      <c r="EC28" s="72">
        <v>0</v>
      </c>
      <c r="ED28" s="72">
        <v>0</v>
      </c>
      <c r="EE28" s="72">
        <v>0</v>
      </c>
      <c r="EF28" s="72">
        <v>0</v>
      </c>
      <c r="EG28" s="72">
        <v>0</v>
      </c>
      <c r="EH28" s="72">
        <v>0</v>
      </c>
      <c r="EI28" s="72">
        <v>0</v>
      </c>
      <c r="EJ28" s="72">
        <v>0</v>
      </c>
      <c r="EK28" s="72">
        <v>0</v>
      </c>
      <c r="EL28" s="72">
        <v>0</v>
      </c>
    </row>
    <row r="29" spans="1:142" s="6" customFormat="1" x14ac:dyDescent="0.35">
      <c r="A29" s="59">
        <f>Данные!A29</f>
        <v>4848</v>
      </c>
      <c r="B29" s="59">
        <f>Данные!B29</f>
        <v>2015</v>
      </c>
      <c r="C29" s="59" t="str">
        <f>Данные!C29</f>
        <v>компьютерных технологий и электронного обучения</v>
      </c>
      <c r="D29" s="59" t="str">
        <f>Данные!D29</f>
        <v>Власова Елена Зотиковна</v>
      </c>
      <c r="E29" s="59" t="str">
        <f>Данные!E29</f>
        <v>доктор педагогических наук</v>
      </c>
      <c r="F29" s="59" t="str">
        <f>Данные!F29</f>
        <v>заведующий кафедрой</v>
      </c>
      <c r="G29" s="59">
        <f>Данные!G29</f>
        <v>1</v>
      </c>
      <c r="H29" s="59">
        <f>Данные!H29</f>
        <v>14014</v>
      </c>
      <c r="I29" s="59" t="str">
        <f>Данные!I29</f>
        <v>Модуль "ИТ в математике и физике". ИТ в физике</v>
      </c>
      <c r="J29" s="59">
        <f>Данные!J29</f>
        <v>12</v>
      </c>
      <c r="K29" s="59">
        <f>Данные!K29</f>
        <v>0</v>
      </c>
      <c r="L29" s="59">
        <f>Данные!L29</f>
        <v>0</v>
      </c>
      <c r="M29" s="60">
        <f t="shared" si="0"/>
        <v>1.2</v>
      </c>
      <c r="N29" s="60">
        <f t="shared" ca="1" si="1"/>
        <v>6.29</v>
      </c>
      <c r="O29" s="60">
        <f t="shared" ca="1" si="2"/>
        <v>3.25</v>
      </c>
      <c r="P29" s="60">
        <f t="shared" ca="1" si="3"/>
        <v>3.25</v>
      </c>
      <c r="Q29" s="54">
        <f>Данные!Q29</f>
        <v>0</v>
      </c>
      <c r="R29" s="54">
        <f>Данные!R29</f>
        <v>0</v>
      </c>
      <c r="S29" s="54">
        <f>Данные!S29</f>
        <v>0</v>
      </c>
      <c r="T29" s="54">
        <f>Данные!T29</f>
        <v>0</v>
      </c>
      <c r="U29" s="54">
        <f>Данные!U29</f>
        <v>0</v>
      </c>
      <c r="V29" s="54">
        <f>Данные!V29</f>
        <v>0</v>
      </c>
      <c r="W29" s="54">
        <f ca="1">Данные!W29</f>
        <v>13</v>
      </c>
      <c r="X29" s="54" t="str">
        <f ca="1">Данные!X29</f>
        <v>1</v>
      </c>
      <c r="Y29" s="54" t="str">
        <f ca="1">Данные!Y29</f>
        <v>1</v>
      </c>
      <c r="Z29" s="54">
        <f>Данные!Z29</f>
        <v>0</v>
      </c>
      <c r="AA29" s="54" t="str">
        <f>Данные!AA29</f>
        <v>осн</v>
      </c>
      <c r="AB29" s="101">
        <f t="shared" si="4"/>
        <v>700</v>
      </c>
      <c r="AC29" s="101" t="str">
        <f t="shared" si="5"/>
        <v>ИВТ (бак)</v>
      </c>
      <c r="AD29" s="101" t="str">
        <f t="shared" si="6"/>
        <v>2015–2016</v>
      </c>
      <c r="AE29" s="102">
        <f t="shared" ca="1" si="7"/>
        <v>25.99</v>
      </c>
      <c r="AF29" s="103">
        <f t="shared" ca="1" si="8"/>
        <v>3.7128571428571427E-2</v>
      </c>
      <c r="AG29" s="101"/>
      <c r="AH29" s="101"/>
      <c r="AI29"/>
      <c r="BM29"/>
      <c r="BN29"/>
      <c r="BO29"/>
      <c r="BQ29" s="72">
        <v>0</v>
      </c>
      <c r="BR29" s="72">
        <v>0</v>
      </c>
      <c r="BS29" s="72">
        <v>0</v>
      </c>
      <c r="BT29" s="72">
        <v>0</v>
      </c>
      <c r="BU29" s="72">
        <v>0</v>
      </c>
      <c r="BV29" s="72">
        <v>0</v>
      </c>
      <c r="BW29" s="72">
        <v>0</v>
      </c>
      <c r="BX29" s="72">
        <v>0</v>
      </c>
      <c r="BY29" s="72">
        <v>0</v>
      </c>
      <c r="BZ29" s="72">
        <v>0</v>
      </c>
      <c r="CA29" s="72">
        <v>0</v>
      </c>
      <c r="CB29" s="72">
        <v>0</v>
      </c>
      <c r="CC29" s="72">
        <v>0</v>
      </c>
      <c r="CD29" s="72">
        <v>0</v>
      </c>
      <c r="CE29" s="72">
        <v>0</v>
      </c>
      <c r="CF29" s="72">
        <v>0</v>
      </c>
      <c r="CG29" s="72">
        <v>0</v>
      </c>
      <c r="CH29" s="72">
        <v>0</v>
      </c>
      <c r="CI29" s="72">
        <v>0</v>
      </c>
      <c r="CJ29" s="72">
        <v>0</v>
      </c>
      <c r="CK29" s="72">
        <v>0</v>
      </c>
      <c r="CL29" s="72">
        <v>0</v>
      </c>
      <c r="CM29" s="72">
        <v>0</v>
      </c>
      <c r="CN29" s="72">
        <v>0</v>
      </c>
      <c r="CO29" s="72">
        <v>0</v>
      </c>
      <c r="CP29" s="72">
        <v>0</v>
      </c>
      <c r="CQ29" s="72">
        <v>0</v>
      </c>
      <c r="CR29" s="72">
        <v>0</v>
      </c>
      <c r="CS29" s="72">
        <v>0</v>
      </c>
      <c r="CT29" s="72">
        <v>0</v>
      </c>
      <c r="CU29" s="72">
        <v>0</v>
      </c>
      <c r="CV29" s="72">
        <v>0</v>
      </c>
      <c r="CW29" s="72">
        <v>0</v>
      </c>
      <c r="CX29" s="72">
        <v>0</v>
      </c>
      <c r="CY29" s="72">
        <v>0</v>
      </c>
      <c r="CZ29" s="72">
        <v>0</v>
      </c>
      <c r="DA29" s="72">
        <v>0</v>
      </c>
      <c r="DB29" s="72">
        <v>0</v>
      </c>
      <c r="DC29" s="72">
        <v>0</v>
      </c>
      <c r="DD29" s="72">
        <v>0</v>
      </c>
      <c r="DE29" s="72">
        <v>0</v>
      </c>
      <c r="DF29" s="72">
        <v>0</v>
      </c>
      <c r="DG29" s="72">
        <v>0</v>
      </c>
      <c r="DH29" s="72">
        <v>0</v>
      </c>
      <c r="DI29" s="72">
        <v>0</v>
      </c>
      <c r="DJ29" s="72">
        <v>0</v>
      </c>
      <c r="DK29" s="72">
        <v>0</v>
      </c>
      <c r="DL29" s="72">
        <v>0</v>
      </c>
      <c r="DM29" s="72">
        <v>0</v>
      </c>
      <c r="DN29" s="72">
        <v>0</v>
      </c>
      <c r="DO29" s="72">
        <v>0</v>
      </c>
      <c r="DP29" s="72">
        <v>0</v>
      </c>
      <c r="DQ29" s="72">
        <v>0</v>
      </c>
      <c r="DR29" s="72">
        <v>0</v>
      </c>
      <c r="DS29" s="72">
        <v>0</v>
      </c>
      <c r="DT29" s="72">
        <v>0</v>
      </c>
      <c r="DU29" s="72">
        <v>0</v>
      </c>
      <c r="DV29" s="72">
        <v>0</v>
      </c>
      <c r="DW29" s="72">
        <v>0</v>
      </c>
      <c r="DX29" s="72">
        <v>0</v>
      </c>
      <c r="DY29" s="72">
        <v>0</v>
      </c>
      <c r="DZ29" s="72">
        <v>0</v>
      </c>
      <c r="EA29" s="72">
        <v>0</v>
      </c>
      <c r="EB29" s="72">
        <v>0</v>
      </c>
      <c r="EC29" s="72">
        <v>0</v>
      </c>
      <c r="ED29" s="72">
        <v>0</v>
      </c>
      <c r="EE29" s="72">
        <v>0</v>
      </c>
      <c r="EF29" s="72">
        <v>0</v>
      </c>
      <c r="EG29" s="72">
        <v>0</v>
      </c>
      <c r="EH29" s="72">
        <v>0</v>
      </c>
      <c r="EI29" s="72">
        <v>0</v>
      </c>
      <c r="EJ29" s="72">
        <v>0</v>
      </c>
      <c r="EK29" s="72">
        <v>0</v>
      </c>
      <c r="EL29" s="72">
        <v>0</v>
      </c>
    </row>
    <row r="30" spans="1:142" s="6" customFormat="1" x14ac:dyDescent="0.35">
      <c r="A30" s="59">
        <f>Данные!A30</f>
        <v>4848</v>
      </c>
      <c r="B30" s="59">
        <f>Данные!B30</f>
        <v>2015</v>
      </c>
      <c r="C30" s="59" t="str">
        <f>Данные!C30</f>
        <v>компьютерных технологий и электронного обучения</v>
      </c>
      <c r="D30" s="59" t="str">
        <f>Данные!D30</f>
        <v>Гончарова Светлана Викторовна</v>
      </c>
      <c r="E30" s="59" t="str">
        <f>Данные!E30</f>
        <v>кандидат педагогических наук</v>
      </c>
      <c r="F30" s="59" t="str">
        <f>Данные!F30</f>
        <v>доцент</v>
      </c>
      <c r="G30" s="59">
        <f>Данные!G30</f>
        <v>1</v>
      </c>
      <c r="H30" s="59">
        <f>Данные!H30</f>
        <v>14014</v>
      </c>
      <c r="I30" s="59" t="str">
        <f>Данные!I30</f>
        <v>Информатика</v>
      </c>
      <c r="J30" s="59">
        <f>Данные!J30</f>
        <v>0</v>
      </c>
      <c r="K30" s="59">
        <f>Данные!K30</f>
        <v>0</v>
      </c>
      <c r="L30" s="59">
        <f>Данные!L30</f>
        <v>34</v>
      </c>
      <c r="M30" s="60">
        <f t="shared" si="0"/>
        <v>3.4</v>
      </c>
      <c r="N30" s="60">
        <f t="shared" ca="1" si="1"/>
        <v>6.29</v>
      </c>
      <c r="O30" s="60">
        <f t="shared" ca="1" si="2"/>
        <v>3.25</v>
      </c>
      <c r="P30" s="60">
        <f t="shared" ca="1" si="3"/>
        <v>3.25</v>
      </c>
      <c r="Q30" s="54">
        <f>Данные!Q30</f>
        <v>0</v>
      </c>
      <c r="R30" s="54">
        <f>Данные!R30</f>
        <v>0</v>
      </c>
      <c r="S30" s="54">
        <f>Данные!S30</f>
        <v>0</v>
      </c>
      <c r="T30" s="54">
        <f>Данные!T30</f>
        <v>0</v>
      </c>
      <c r="U30" s="54">
        <f>Данные!U30</f>
        <v>0</v>
      </c>
      <c r="V30" s="54">
        <f>Данные!V30</f>
        <v>0</v>
      </c>
      <c r="W30" s="54">
        <f ca="1">Данные!W30</f>
        <v>13</v>
      </c>
      <c r="X30" s="54" t="str">
        <f ca="1">Данные!X30</f>
        <v>1</v>
      </c>
      <c r="Y30" s="54" t="str">
        <f ca="1">Данные!Y30</f>
        <v>1</v>
      </c>
      <c r="Z30" s="54">
        <f>Данные!Z30</f>
        <v>0</v>
      </c>
      <c r="AA30" s="54" t="str">
        <f>Данные!AA30</f>
        <v>осн</v>
      </c>
      <c r="AB30" s="101">
        <f t="shared" si="4"/>
        <v>800</v>
      </c>
      <c r="AC30" s="101" t="str">
        <f t="shared" si="5"/>
        <v>ИВТ (бак)</v>
      </c>
      <c r="AD30" s="101" t="str">
        <f t="shared" si="6"/>
        <v>2015–2016</v>
      </c>
      <c r="AE30" s="102">
        <f t="shared" ca="1" si="7"/>
        <v>50.19</v>
      </c>
      <c r="AF30" s="103">
        <f t="shared" ca="1" si="8"/>
        <v>6.2737500000000002E-2</v>
      </c>
      <c r="AG30" s="101"/>
      <c r="AH30" s="101"/>
      <c r="AI30"/>
      <c r="BM30"/>
      <c r="BN30"/>
      <c r="BO30"/>
      <c r="BQ30" s="72">
        <v>0</v>
      </c>
      <c r="BR30" s="72">
        <v>0</v>
      </c>
      <c r="BS30" s="72">
        <v>0</v>
      </c>
      <c r="BT30" s="72">
        <v>0</v>
      </c>
      <c r="BU30" s="72">
        <v>0</v>
      </c>
      <c r="BV30" s="72">
        <v>0</v>
      </c>
      <c r="BW30" s="72">
        <v>0</v>
      </c>
      <c r="BX30" s="72">
        <v>0</v>
      </c>
      <c r="BY30" s="72">
        <v>0</v>
      </c>
      <c r="BZ30" s="72">
        <v>0</v>
      </c>
      <c r="CA30" s="72">
        <v>0</v>
      </c>
      <c r="CB30" s="72">
        <v>0</v>
      </c>
      <c r="CC30" s="72">
        <v>0</v>
      </c>
      <c r="CD30" s="72">
        <v>0</v>
      </c>
      <c r="CE30" s="72">
        <v>0</v>
      </c>
      <c r="CF30" s="72">
        <v>0</v>
      </c>
      <c r="CG30" s="72">
        <v>0</v>
      </c>
      <c r="CH30" s="72">
        <v>0</v>
      </c>
      <c r="CI30" s="72">
        <v>0</v>
      </c>
      <c r="CJ30" s="72">
        <v>0</v>
      </c>
      <c r="CK30" s="72">
        <v>0</v>
      </c>
      <c r="CL30" s="72">
        <v>0</v>
      </c>
      <c r="CM30" s="72">
        <v>0</v>
      </c>
      <c r="CN30" s="72">
        <v>0</v>
      </c>
      <c r="CO30" s="72">
        <v>0</v>
      </c>
      <c r="CP30" s="72">
        <v>0</v>
      </c>
      <c r="CQ30" s="72">
        <v>0</v>
      </c>
      <c r="CR30" s="72">
        <v>0</v>
      </c>
      <c r="CS30" s="72">
        <v>0</v>
      </c>
      <c r="CT30" s="72">
        <v>0</v>
      </c>
      <c r="CU30" s="72">
        <v>0</v>
      </c>
      <c r="CV30" s="72">
        <v>0</v>
      </c>
      <c r="CW30" s="72">
        <v>0</v>
      </c>
      <c r="CX30" s="72">
        <v>0</v>
      </c>
      <c r="CY30" s="72">
        <v>0</v>
      </c>
      <c r="CZ30" s="72">
        <v>0</v>
      </c>
      <c r="DA30" s="72">
        <v>0</v>
      </c>
      <c r="DB30" s="72">
        <v>0</v>
      </c>
      <c r="DC30" s="72">
        <v>0</v>
      </c>
      <c r="DD30" s="72">
        <v>0</v>
      </c>
      <c r="DE30" s="72">
        <v>0</v>
      </c>
      <c r="DF30" s="72">
        <v>0</v>
      </c>
      <c r="DG30" s="72">
        <v>0</v>
      </c>
      <c r="DH30" s="72">
        <v>0</v>
      </c>
      <c r="DI30" s="72">
        <v>0</v>
      </c>
      <c r="DJ30" s="72">
        <v>0</v>
      </c>
      <c r="DK30" s="72">
        <v>0</v>
      </c>
      <c r="DL30" s="72">
        <v>0</v>
      </c>
      <c r="DM30" s="72">
        <v>0</v>
      </c>
      <c r="DN30" s="72">
        <v>0</v>
      </c>
      <c r="DO30" s="72">
        <v>0</v>
      </c>
      <c r="DP30" s="72">
        <v>0</v>
      </c>
      <c r="DQ30" s="72">
        <v>0</v>
      </c>
      <c r="DR30" s="72">
        <v>0</v>
      </c>
      <c r="DS30" s="72">
        <v>0</v>
      </c>
      <c r="DT30" s="72">
        <v>0</v>
      </c>
      <c r="DU30" s="72">
        <v>0</v>
      </c>
      <c r="DV30" s="72">
        <v>0</v>
      </c>
      <c r="DW30" s="72">
        <v>0</v>
      </c>
      <c r="DX30" s="72">
        <v>0</v>
      </c>
      <c r="DY30" s="72">
        <v>0</v>
      </c>
      <c r="DZ30" s="72">
        <v>0</v>
      </c>
      <c r="EA30" s="72">
        <v>0</v>
      </c>
      <c r="EB30" s="72">
        <v>0</v>
      </c>
      <c r="EC30" s="72">
        <v>0</v>
      </c>
      <c r="ED30" s="72">
        <v>0</v>
      </c>
      <c r="EE30" s="72">
        <v>0</v>
      </c>
      <c r="EF30" s="72">
        <v>0</v>
      </c>
      <c r="EG30" s="72">
        <v>0</v>
      </c>
      <c r="EH30" s="72">
        <v>0</v>
      </c>
      <c r="EI30" s="72">
        <v>0</v>
      </c>
      <c r="EJ30" s="72">
        <v>0</v>
      </c>
      <c r="EK30" s="72">
        <v>0</v>
      </c>
      <c r="EL30" s="72">
        <v>0</v>
      </c>
    </row>
    <row r="31" spans="1:142" s="6" customFormat="1" x14ac:dyDescent="0.35">
      <c r="A31" s="59">
        <f>Данные!A31</f>
        <v>4848</v>
      </c>
      <c r="B31" s="59">
        <f>Данные!B31</f>
        <v>2015</v>
      </c>
      <c r="C31" s="59" t="str">
        <f>Данные!C31</f>
        <v>компьютерных технологий и электронного обучения</v>
      </c>
      <c r="D31" s="59" t="str">
        <f>Данные!D31</f>
        <v>Гончарова Светлана Викторовна</v>
      </c>
      <c r="E31" s="59" t="str">
        <f>Данные!E31</f>
        <v>кандидат педагогических наук</v>
      </c>
      <c r="F31" s="59" t="str">
        <f>Данные!F31</f>
        <v>доцент</v>
      </c>
      <c r="G31" s="59">
        <f>Данные!G31</f>
        <v>1</v>
      </c>
      <c r="H31" s="59">
        <f>Данные!H31</f>
        <v>14014</v>
      </c>
      <c r="I31" s="59" t="str">
        <f>Данные!I31</f>
        <v>Модуль "ИТ в математике и физике"</v>
      </c>
      <c r="J31" s="59">
        <f>Данные!J31</f>
        <v>0</v>
      </c>
      <c r="K31" s="59">
        <f>Данные!K31</f>
        <v>0</v>
      </c>
      <c r="L31" s="59">
        <f>Данные!L31</f>
        <v>0</v>
      </c>
      <c r="M31" s="60">
        <f t="shared" si="0"/>
        <v>0</v>
      </c>
      <c r="N31" s="60">
        <f t="shared" ca="1" si="1"/>
        <v>6.29</v>
      </c>
      <c r="O31" s="60">
        <f t="shared" ca="1" si="2"/>
        <v>3.25</v>
      </c>
      <c r="P31" s="60">
        <f t="shared" ca="1" si="3"/>
        <v>3.25</v>
      </c>
      <c r="Q31" s="54">
        <f>Данные!Q31</f>
        <v>0</v>
      </c>
      <c r="R31" s="54">
        <f>Данные!R31</f>
        <v>0</v>
      </c>
      <c r="S31" s="54">
        <f>Данные!S31</f>
        <v>0</v>
      </c>
      <c r="T31" s="54">
        <f>Данные!T31</f>
        <v>0</v>
      </c>
      <c r="U31" s="54">
        <f>Данные!U31</f>
        <v>0</v>
      </c>
      <c r="V31" s="54">
        <f>Данные!V31</f>
        <v>0</v>
      </c>
      <c r="W31" s="54">
        <f ca="1">Данные!W31</f>
        <v>13</v>
      </c>
      <c r="X31" s="54" t="str">
        <f ca="1">Данные!X31</f>
        <v>1</v>
      </c>
      <c r="Y31" s="54" t="str">
        <f ca="1">Данные!Y31</f>
        <v>1</v>
      </c>
      <c r="Z31" s="54">
        <f>Данные!Z31</f>
        <v>0</v>
      </c>
      <c r="AA31" s="54" t="str">
        <f>Данные!AA31</f>
        <v>осн</v>
      </c>
      <c r="AB31" s="101">
        <f t="shared" si="4"/>
        <v>800</v>
      </c>
      <c r="AC31" s="101" t="str">
        <f t="shared" si="5"/>
        <v>ИВТ (бак)</v>
      </c>
      <c r="AD31" s="101" t="str">
        <f t="shared" si="6"/>
        <v>2015–2016</v>
      </c>
      <c r="AE31" s="102">
        <f t="shared" ca="1" si="7"/>
        <v>12.79</v>
      </c>
      <c r="AF31" s="103">
        <f t="shared" ca="1" si="8"/>
        <v>1.5987499999999998E-2</v>
      </c>
      <c r="AG31" s="101"/>
      <c r="AH31" s="101"/>
      <c r="AI31"/>
      <c r="BM31"/>
      <c r="BN31"/>
      <c r="BO31"/>
      <c r="BQ31" s="72">
        <v>0</v>
      </c>
      <c r="BR31" s="72">
        <v>0</v>
      </c>
      <c r="BS31" s="72">
        <v>0</v>
      </c>
      <c r="BT31" s="72">
        <v>0</v>
      </c>
      <c r="BU31" s="72">
        <v>0</v>
      </c>
      <c r="BV31" s="72">
        <v>0</v>
      </c>
      <c r="BW31" s="72">
        <v>0</v>
      </c>
      <c r="BX31" s="72">
        <v>0</v>
      </c>
      <c r="BY31" s="72">
        <v>0</v>
      </c>
      <c r="BZ31" s="72">
        <v>0</v>
      </c>
      <c r="CA31" s="72">
        <v>0</v>
      </c>
      <c r="CB31" s="72">
        <v>0</v>
      </c>
      <c r="CC31" s="72">
        <v>0</v>
      </c>
      <c r="CD31" s="72">
        <v>0</v>
      </c>
      <c r="CE31" s="72">
        <v>0</v>
      </c>
      <c r="CF31" s="72">
        <v>0</v>
      </c>
      <c r="CG31" s="72">
        <v>0</v>
      </c>
      <c r="CH31" s="72">
        <v>0</v>
      </c>
      <c r="CI31" s="72">
        <v>0</v>
      </c>
      <c r="CJ31" s="72">
        <v>0</v>
      </c>
      <c r="CK31" s="72">
        <v>0</v>
      </c>
      <c r="CL31" s="72">
        <v>0</v>
      </c>
      <c r="CM31" s="72">
        <v>0</v>
      </c>
      <c r="CN31" s="72">
        <v>0</v>
      </c>
      <c r="CO31" s="72">
        <v>0</v>
      </c>
      <c r="CP31" s="72">
        <v>0</v>
      </c>
      <c r="CQ31" s="72">
        <v>0</v>
      </c>
      <c r="CR31" s="72">
        <v>0</v>
      </c>
      <c r="CS31" s="72">
        <v>0</v>
      </c>
      <c r="CT31" s="72">
        <v>0</v>
      </c>
      <c r="CU31" s="72">
        <v>0</v>
      </c>
      <c r="CV31" s="72">
        <v>0</v>
      </c>
      <c r="CW31" s="72">
        <v>0</v>
      </c>
      <c r="CX31" s="72">
        <v>0</v>
      </c>
      <c r="CY31" s="72">
        <v>0</v>
      </c>
      <c r="CZ31" s="72">
        <v>0</v>
      </c>
      <c r="DA31" s="72">
        <v>0</v>
      </c>
      <c r="DB31" s="72">
        <v>0</v>
      </c>
      <c r="DC31" s="72">
        <v>0</v>
      </c>
      <c r="DD31" s="72">
        <v>0</v>
      </c>
      <c r="DE31" s="72">
        <v>0</v>
      </c>
      <c r="DF31" s="72">
        <v>0</v>
      </c>
      <c r="DG31" s="72">
        <v>0</v>
      </c>
      <c r="DH31" s="72">
        <v>0</v>
      </c>
      <c r="DI31" s="72">
        <v>0</v>
      </c>
      <c r="DJ31" s="72">
        <v>0</v>
      </c>
      <c r="DK31" s="72">
        <v>0</v>
      </c>
      <c r="DL31" s="72">
        <v>0</v>
      </c>
      <c r="DM31" s="72">
        <v>0</v>
      </c>
      <c r="DN31" s="72">
        <v>0</v>
      </c>
      <c r="DO31" s="72">
        <v>0</v>
      </c>
      <c r="DP31" s="72">
        <v>0</v>
      </c>
      <c r="DQ31" s="72">
        <v>0</v>
      </c>
      <c r="DR31" s="72">
        <v>0</v>
      </c>
      <c r="DS31" s="72">
        <v>0</v>
      </c>
      <c r="DT31" s="72">
        <v>0</v>
      </c>
      <c r="DU31" s="72">
        <v>0</v>
      </c>
      <c r="DV31" s="72">
        <v>0</v>
      </c>
      <c r="DW31" s="72">
        <v>0</v>
      </c>
      <c r="DX31" s="72">
        <v>0</v>
      </c>
      <c r="DY31" s="72">
        <v>0</v>
      </c>
      <c r="DZ31" s="72">
        <v>0</v>
      </c>
      <c r="EA31" s="72">
        <v>0</v>
      </c>
      <c r="EB31" s="72">
        <v>0</v>
      </c>
      <c r="EC31" s="72">
        <v>0</v>
      </c>
      <c r="ED31" s="72">
        <v>0</v>
      </c>
      <c r="EE31" s="72">
        <v>0</v>
      </c>
      <c r="EF31" s="72">
        <v>0</v>
      </c>
      <c r="EG31" s="72">
        <v>0</v>
      </c>
      <c r="EH31" s="72">
        <v>0</v>
      </c>
      <c r="EI31" s="72">
        <v>0</v>
      </c>
      <c r="EJ31" s="72">
        <v>0</v>
      </c>
      <c r="EK31" s="72">
        <v>0</v>
      </c>
      <c r="EL31" s="72">
        <v>0</v>
      </c>
    </row>
    <row r="32" spans="1:142" s="6" customFormat="1" x14ac:dyDescent="0.35">
      <c r="A32" s="59">
        <f>Данные!A32</f>
        <v>4848</v>
      </c>
      <c r="B32" s="59">
        <f>Данные!B32</f>
        <v>2015</v>
      </c>
      <c r="C32" s="59" t="str">
        <f>Данные!C32</f>
        <v>компьютерных технологий и электронного обучения</v>
      </c>
      <c r="D32" s="59" t="str">
        <f>Данные!D32</f>
        <v>Гончарова Светлана Викторовна</v>
      </c>
      <c r="E32" s="59" t="str">
        <f>Данные!E32</f>
        <v>кандидат педагогических наук</v>
      </c>
      <c r="F32" s="59" t="str">
        <f>Данные!F32</f>
        <v>доцент</v>
      </c>
      <c r="G32" s="59">
        <f>Данные!G32</f>
        <v>1</v>
      </c>
      <c r="H32" s="59">
        <f>Данные!H32</f>
        <v>14014</v>
      </c>
      <c r="I32" s="59" t="str">
        <f>Данные!I32</f>
        <v>Модуль "ИТ в математике и физике". ИТ в физике</v>
      </c>
      <c r="J32" s="59">
        <f>Данные!J32</f>
        <v>0</v>
      </c>
      <c r="K32" s="59">
        <f>Данные!K32</f>
        <v>0</v>
      </c>
      <c r="L32" s="59">
        <f>Данные!L32</f>
        <v>24</v>
      </c>
      <c r="M32" s="60">
        <f t="shared" si="0"/>
        <v>2.4</v>
      </c>
      <c r="N32" s="60">
        <f t="shared" ca="1" si="1"/>
        <v>6.29</v>
      </c>
      <c r="O32" s="60">
        <f t="shared" ca="1" si="2"/>
        <v>3.25</v>
      </c>
      <c r="P32" s="60">
        <f t="shared" ca="1" si="3"/>
        <v>3.25</v>
      </c>
      <c r="Q32" s="54">
        <f>Данные!Q32</f>
        <v>0</v>
      </c>
      <c r="R32" s="54">
        <f>Данные!R32</f>
        <v>0</v>
      </c>
      <c r="S32" s="54">
        <f>Данные!S32</f>
        <v>0</v>
      </c>
      <c r="T32" s="54">
        <f>Данные!T32</f>
        <v>0</v>
      </c>
      <c r="U32" s="54">
        <f>Данные!U32</f>
        <v>0</v>
      </c>
      <c r="V32" s="54">
        <f>Данные!V32</f>
        <v>0</v>
      </c>
      <c r="W32" s="54">
        <f ca="1">Данные!W32</f>
        <v>13</v>
      </c>
      <c r="X32" s="54" t="str">
        <f ca="1">Данные!X32</f>
        <v>1</v>
      </c>
      <c r="Y32" s="54" t="str">
        <f ca="1">Данные!Y32</f>
        <v>1</v>
      </c>
      <c r="Z32" s="54">
        <f>Данные!Z32</f>
        <v>0</v>
      </c>
      <c r="AA32" s="54" t="str">
        <f>Данные!AA32</f>
        <v>осн</v>
      </c>
      <c r="AB32" s="101">
        <f t="shared" si="4"/>
        <v>800</v>
      </c>
      <c r="AC32" s="101" t="str">
        <f t="shared" si="5"/>
        <v>ИВТ (бак)</v>
      </c>
      <c r="AD32" s="101" t="str">
        <f t="shared" si="6"/>
        <v>2015–2016</v>
      </c>
      <c r="AE32" s="102">
        <f t="shared" ca="1" si="7"/>
        <v>39.19</v>
      </c>
      <c r="AF32" s="103">
        <f t="shared" ca="1" si="8"/>
        <v>4.8987499999999996E-2</v>
      </c>
      <c r="AG32" s="101"/>
      <c r="AH32" s="101"/>
      <c r="AI32"/>
      <c r="BM32"/>
      <c r="BN32"/>
      <c r="BO32"/>
      <c r="BQ32" s="72">
        <v>0</v>
      </c>
      <c r="BR32" s="72">
        <v>0</v>
      </c>
      <c r="BS32" s="72">
        <v>0</v>
      </c>
      <c r="BT32" s="72">
        <v>0</v>
      </c>
      <c r="BU32" s="72">
        <v>0</v>
      </c>
      <c r="BV32" s="72">
        <v>0</v>
      </c>
      <c r="BW32" s="72">
        <v>0</v>
      </c>
      <c r="BX32" s="72">
        <v>0</v>
      </c>
      <c r="BY32" s="72">
        <v>0</v>
      </c>
      <c r="BZ32" s="72">
        <v>0</v>
      </c>
      <c r="CA32" s="72">
        <v>0</v>
      </c>
      <c r="CB32" s="72">
        <v>0</v>
      </c>
      <c r="CC32" s="72">
        <v>0</v>
      </c>
      <c r="CD32" s="72">
        <v>0</v>
      </c>
      <c r="CE32" s="72">
        <v>0</v>
      </c>
      <c r="CF32" s="72">
        <v>0</v>
      </c>
      <c r="CG32" s="72">
        <v>0</v>
      </c>
      <c r="CH32" s="72">
        <v>0</v>
      </c>
      <c r="CI32" s="72">
        <v>0</v>
      </c>
      <c r="CJ32" s="72">
        <v>0</v>
      </c>
      <c r="CK32" s="72">
        <v>0</v>
      </c>
      <c r="CL32" s="72">
        <v>0</v>
      </c>
      <c r="CM32" s="72">
        <v>0</v>
      </c>
      <c r="CN32" s="72">
        <v>0</v>
      </c>
      <c r="CO32" s="72">
        <v>0</v>
      </c>
      <c r="CP32" s="72">
        <v>0</v>
      </c>
      <c r="CQ32" s="72">
        <v>0</v>
      </c>
      <c r="CR32" s="72">
        <v>0</v>
      </c>
      <c r="CS32" s="72">
        <v>0</v>
      </c>
      <c r="CT32" s="72">
        <v>0</v>
      </c>
      <c r="CU32" s="72">
        <v>0</v>
      </c>
      <c r="CV32" s="72">
        <v>0</v>
      </c>
      <c r="CW32" s="72">
        <v>0</v>
      </c>
      <c r="CX32" s="72">
        <v>0</v>
      </c>
      <c r="CY32" s="72">
        <v>0</v>
      </c>
      <c r="CZ32" s="72">
        <v>0</v>
      </c>
      <c r="DA32" s="72">
        <v>0</v>
      </c>
      <c r="DB32" s="72">
        <v>0</v>
      </c>
      <c r="DC32" s="72">
        <v>0</v>
      </c>
      <c r="DD32" s="72">
        <v>0</v>
      </c>
      <c r="DE32" s="72">
        <v>0</v>
      </c>
      <c r="DF32" s="72">
        <v>0</v>
      </c>
      <c r="DG32" s="72">
        <v>0</v>
      </c>
      <c r="DH32" s="72">
        <v>0</v>
      </c>
      <c r="DI32" s="72">
        <v>0</v>
      </c>
      <c r="DJ32" s="72">
        <v>0</v>
      </c>
      <c r="DK32" s="72">
        <v>0</v>
      </c>
      <c r="DL32" s="72">
        <v>0</v>
      </c>
      <c r="DM32" s="72">
        <v>0</v>
      </c>
      <c r="DN32" s="72">
        <v>0</v>
      </c>
      <c r="DO32" s="72">
        <v>0</v>
      </c>
      <c r="DP32" s="72">
        <v>0</v>
      </c>
      <c r="DQ32" s="72">
        <v>0</v>
      </c>
      <c r="DR32" s="72">
        <v>0</v>
      </c>
      <c r="DS32" s="72">
        <v>0</v>
      </c>
      <c r="DT32" s="72">
        <v>0</v>
      </c>
      <c r="DU32" s="72">
        <v>0</v>
      </c>
      <c r="DV32" s="72">
        <v>0</v>
      </c>
      <c r="DW32" s="72">
        <v>0</v>
      </c>
      <c r="DX32" s="72">
        <v>0</v>
      </c>
      <c r="DY32" s="72">
        <v>0</v>
      </c>
      <c r="DZ32" s="72">
        <v>0</v>
      </c>
      <c r="EA32" s="72">
        <v>0</v>
      </c>
      <c r="EB32" s="72">
        <v>0</v>
      </c>
      <c r="EC32" s="72">
        <v>0</v>
      </c>
      <c r="ED32" s="72">
        <v>0</v>
      </c>
      <c r="EE32" s="72">
        <v>0</v>
      </c>
      <c r="EF32" s="72">
        <v>0</v>
      </c>
      <c r="EG32" s="72">
        <v>0</v>
      </c>
      <c r="EH32" s="72">
        <v>0</v>
      </c>
      <c r="EI32" s="72">
        <v>0</v>
      </c>
      <c r="EJ32" s="72">
        <v>0</v>
      </c>
      <c r="EK32" s="72">
        <v>0</v>
      </c>
      <c r="EL32" s="72">
        <v>0</v>
      </c>
    </row>
    <row r="33" spans="1:142" s="6" customFormat="1" x14ac:dyDescent="0.35">
      <c r="A33" s="59">
        <f>Данные!A33</f>
        <v>4848</v>
      </c>
      <c r="B33" s="59">
        <f>Данные!B33</f>
        <v>2015</v>
      </c>
      <c r="C33" s="59" t="str">
        <f>Данные!C33</f>
        <v>компьютерных технологий и электронного обучения</v>
      </c>
      <c r="D33" s="59" t="str">
        <f>Данные!D33</f>
        <v>Гончарова Светлана Викторовна</v>
      </c>
      <c r="E33" s="59" t="str">
        <f>Данные!E33</f>
        <v>кандидат педагогических наук</v>
      </c>
      <c r="F33" s="59" t="str">
        <f>Данные!F33</f>
        <v>доцент</v>
      </c>
      <c r="G33" s="59">
        <f>Данные!G33</f>
        <v>1</v>
      </c>
      <c r="H33" s="59">
        <f>Данные!H33</f>
        <v>14014</v>
      </c>
      <c r="I33" s="59" t="str">
        <f>Данные!I33</f>
        <v>Программирование</v>
      </c>
      <c r="J33" s="59">
        <f>Данные!J33</f>
        <v>14</v>
      </c>
      <c r="K33" s="59">
        <f>Данные!K33</f>
        <v>0</v>
      </c>
      <c r="L33" s="59">
        <f>Данные!L33</f>
        <v>22</v>
      </c>
      <c r="M33" s="60">
        <f t="shared" si="0"/>
        <v>3.6</v>
      </c>
      <c r="N33" s="60">
        <f t="shared" ca="1" si="1"/>
        <v>6.29</v>
      </c>
      <c r="O33" s="60">
        <f t="shared" ca="1" si="2"/>
        <v>3.25</v>
      </c>
      <c r="P33" s="60">
        <f t="shared" ca="1" si="3"/>
        <v>3.25</v>
      </c>
      <c r="Q33" s="54">
        <f>Данные!Q33</f>
        <v>0</v>
      </c>
      <c r="R33" s="54">
        <f>Данные!R33</f>
        <v>0</v>
      </c>
      <c r="S33" s="54">
        <f>Данные!S33</f>
        <v>0</v>
      </c>
      <c r="T33" s="54">
        <f>Данные!T33</f>
        <v>0</v>
      </c>
      <c r="U33" s="54">
        <f>Данные!U33</f>
        <v>0</v>
      </c>
      <c r="V33" s="54">
        <f>Данные!V33</f>
        <v>0</v>
      </c>
      <c r="W33" s="54">
        <f ca="1">Данные!W33</f>
        <v>13</v>
      </c>
      <c r="X33" s="54" t="str">
        <f ca="1">Данные!X33</f>
        <v>1</v>
      </c>
      <c r="Y33" s="54" t="str">
        <f ca="1">Данные!Y33</f>
        <v>1</v>
      </c>
      <c r="Z33" s="54">
        <f>Данные!Z33</f>
        <v>0</v>
      </c>
      <c r="AA33" s="54" t="str">
        <f>Данные!AA33</f>
        <v>осн</v>
      </c>
      <c r="AB33" s="101">
        <f t="shared" si="4"/>
        <v>800</v>
      </c>
      <c r="AC33" s="101" t="str">
        <f t="shared" si="5"/>
        <v>ИВТ (бак)</v>
      </c>
      <c r="AD33" s="101" t="str">
        <f t="shared" si="6"/>
        <v>2015–2016</v>
      </c>
      <c r="AE33" s="102">
        <f t="shared" ca="1" si="7"/>
        <v>52.39</v>
      </c>
      <c r="AF33" s="103">
        <f t="shared" ca="1" si="8"/>
        <v>6.5487500000000004E-2</v>
      </c>
      <c r="AG33" s="101"/>
      <c r="AH33" s="101"/>
      <c r="AI33"/>
      <c r="BM33"/>
      <c r="BN33"/>
      <c r="BO33"/>
      <c r="BQ33" s="72">
        <v>0</v>
      </c>
      <c r="BR33" s="72">
        <v>0</v>
      </c>
      <c r="BS33" s="72">
        <v>0</v>
      </c>
      <c r="BT33" s="72">
        <v>0</v>
      </c>
      <c r="BU33" s="72">
        <v>0</v>
      </c>
      <c r="BV33" s="72">
        <v>0</v>
      </c>
      <c r="BW33" s="72">
        <v>0</v>
      </c>
      <c r="BX33" s="72">
        <v>0</v>
      </c>
      <c r="BY33" s="72">
        <v>0</v>
      </c>
      <c r="BZ33" s="72">
        <v>0</v>
      </c>
      <c r="CA33" s="72">
        <v>0</v>
      </c>
      <c r="CB33" s="72">
        <v>0</v>
      </c>
      <c r="CC33" s="72">
        <v>0</v>
      </c>
      <c r="CD33" s="72">
        <v>0</v>
      </c>
      <c r="CE33" s="72">
        <v>0</v>
      </c>
      <c r="CF33" s="72">
        <v>0</v>
      </c>
      <c r="CG33" s="72">
        <v>0</v>
      </c>
      <c r="CH33" s="72">
        <v>0</v>
      </c>
      <c r="CI33" s="72">
        <v>0</v>
      </c>
      <c r="CJ33" s="72">
        <v>0</v>
      </c>
      <c r="CK33" s="72">
        <v>0</v>
      </c>
      <c r="CL33" s="72">
        <v>0</v>
      </c>
      <c r="CM33" s="72">
        <v>0</v>
      </c>
      <c r="CN33" s="72">
        <v>0</v>
      </c>
      <c r="CO33" s="72">
        <v>0</v>
      </c>
      <c r="CP33" s="72">
        <v>0</v>
      </c>
      <c r="CQ33" s="72">
        <v>0</v>
      </c>
      <c r="CR33" s="72">
        <v>0</v>
      </c>
      <c r="CS33" s="72">
        <v>0</v>
      </c>
      <c r="CT33" s="72">
        <v>0</v>
      </c>
      <c r="CU33" s="72">
        <v>0</v>
      </c>
      <c r="CV33" s="72">
        <v>0</v>
      </c>
      <c r="CW33" s="72">
        <v>0</v>
      </c>
      <c r="CX33" s="72">
        <v>0</v>
      </c>
      <c r="CY33" s="72">
        <v>0</v>
      </c>
      <c r="CZ33" s="72">
        <v>0</v>
      </c>
      <c r="DA33" s="72">
        <v>0</v>
      </c>
      <c r="DB33" s="72">
        <v>0</v>
      </c>
      <c r="DC33" s="72">
        <v>0</v>
      </c>
      <c r="DD33" s="72">
        <v>0</v>
      </c>
      <c r="DE33" s="72">
        <v>0</v>
      </c>
      <c r="DF33" s="72">
        <v>0</v>
      </c>
      <c r="DG33" s="72">
        <v>0</v>
      </c>
      <c r="DH33" s="72">
        <v>0</v>
      </c>
      <c r="DI33" s="72">
        <v>0</v>
      </c>
      <c r="DJ33" s="72">
        <v>0</v>
      </c>
      <c r="DK33" s="72">
        <v>0</v>
      </c>
      <c r="DL33" s="72">
        <v>0</v>
      </c>
      <c r="DM33" s="72">
        <v>0</v>
      </c>
      <c r="DN33" s="72">
        <v>0</v>
      </c>
      <c r="DO33" s="72">
        <v>0</v>
      </c>
      <c r="DP33" s="72">
        <v>0</v>
      </c>
      <c r="DQ33" s="72">
        <v>0</v>
      </c>
      <c r="DR33" s="72">
        <v>0</v>
      </c>
      <c r="DS33" s="72">
        <v>0</v>
      </c>
      <c r="DT33" s="72">
        <v>0</v>
      </c>
      <c r="DU33" s="72">
        <v>0</v>
      </c>
      <c r="DV33" s="72">
        <v>0</v>
      </c>
      <c r="DW33" s="72">
        <v>0</v>
      </c>
      <c r="DX33" s="72">
        <v>0</v>
      </c>
      <c r="DY33" s="72">
        <v>0</v>
      </c>
      <c r="DZ33" s="72">
        <v>0</v>
      </c>
      <c r="EA33" s="72">
        <v>0</v>
      </c>
      <c r="EB33" s="72">
        <v>0</v>
      </c>
      <c r="EC33" s="72">
        <v>0</v>
      </c>
      <c r="ED33" s="72">
        <v>0</v>
      </c>
      <c r="EE33" s="72">
        <v>0</v>
      </c>
      <c r="EF33" s="72">
        <v>0</v>
      </c>
      <c r="EG33" s="72">
        <v>0</v>
      </c>
      <c r="EH33" s="72">
        <v>0</v>
      </c>
      <c r="EI33" s="72">
        <v>0</v>
      </c>
      <c r="EJ33" s="72">
        <v>0</v>
      </c>
      <c r="EK33" s="72">
        <v>0</v>
      </c>
      <c r="EL33" s="72">
        <v>0</v>
      </c>
    </row>
    <row r="34" spans="1:142" s="6" customFormat="1" x14ac:dyDescent="0.35">
      <c r="A34" s="59">
        <f>Данные!A34</f>
        <v>4848</v>
      </c>
      <c r="B34" s="59">
        <f>Данные!B34</f>
        <v>2015</v>
      </c>
      <c r="C34" s="59" t="str">
        <f>Данные!C34</f>
        <v>компьютерных технологий и электронного обучения</v>
      </c>
      <c r="D34" s="59" t="str">
        <f>Данные!D34</f>
        <v>Государев Илья Борисович</v>
      </c>
      <c r="E34" s="59" t="str">
        <f>Данные!E34</f>
        <v>кандидат педагогических наук</v>
      </c>
      <c r="F34" s="59" t="str">
        <f>Данные!F34</f>
        <v>доцент</v>
      </c>
      <c r="G34" s="59">
        <f>Данные!G34</f>
        <v>1</v>
      </c>
      <c r="H34" s="59">
        <f>Данные!H34</f>
        <v>14014</v>
      </c>
      <c r="I34" s="59" t="str">
        <f>Данные!I34</f>
        <v>Информационные технологии в изучении иностранных языков</v>
      </c>
      <c r="J34" s="59">
        <f>Данные!J34</f>
        <v>6</v>
      </c>
      <c r="K34" s="59">
        <f>Данные!K34</f>
        <v>0</v>
      </c>
      <c r="L34" s="59">
        <f>Данные!L34</f>
        <v>12</v>
      </c>
      <c r="M34" s="60">
        <f t="shared" si="0"/>
        <v>1.8</v>
      </c>
      <c r="N34" s="60">
        <f t="shared" ca="1" si="1"/>
        <v>6.29</v>
      </c>
      <c r="O34" s="60">
        <f t="shared" ca="1" si="2"/>
        <v>3.25</v>
      </c>
      <c r="P34" s="60">
        <f t="shared" ca="1" si="3"/>
        <v>3.25</v>
      </c>
      <c r="Q34" s="54">
        <f>Данные!Q34</f>
        <v>0</v>
      </c>
      <c r="R34" s="54">
        <f>Данные!R34</f>
        <v>0</v>
      </c>
      <c r="S34" s="54">
        <f>Данные!S34</f>
        <v>0</v>
      </c>
      <c r="T34" s="54">
        <f>Данные!T34</f>
        <v>0</v>
      </c>
      <c r="U34" s="54">
        <f>Данные!U34</f>
        <v>0</v>
      </c>
      <c r="V34" s="54">
        <f>Данные!V34</f>
        <v>0</v>
      </c>
      <c r="W34" s="54">
        <f ca="1">Данные!W34</f>
        <v>13</v>
      </c>
      <c r="X34" s="54" t="str">
        <f ca="1">Данные!X34</f>
        <v>1</v>
      </c>
      <c r="Y34" s="54" t="str">
        <f ca="1">Данные!Y34</f>
        <v>1</v>
      </c>
      <c r="Z34" s="54">
        <f>Данные!Z34</f>
        <v>0</v>
      </c>
      <c r="AA34" s="54" t="str">
        <f>Данные!AA34</f>
        <v>осн</v>
      </c>
      <c r="AB34" s="101">
        <f t="shared" si="4"/>
        <v>800</v>
      </c>
      <c r="AC34" s="101" t="str">
        <f t="shared" si="5"/>
        <v>ИВТ (бак)</v>
      </c>
      <c r="AD34" s="101" t="str">
        <f t="shared" si="6"/>
        <v>2015–2016</v>
      </c>
      <c r="AE34" s="102">
        <f t="shared" ca="1" si="7"/>
        <v>32.590000000000003</v>
      </c>
      <c r="AF34" s="103">
        <f t="shared" ca="1" si="8"/>
        <v>4.0737500000000003E-2</v>
      </c>
      <c r="AG34" s="101"/>
      <c r="AH34" s="101"/>
      <c r="AI34"/>
      <c r="BM34"/>
      <c r="BN34"/>
      <c r="BO34"/>
      <c r="BQ34" s="72">
        <v>0</v>
      </c>
      <c r="BR34" s="72">
        <v>0</v>
      </c>
      <c r="BS34" s="72">
        <v>0</v>
      </c>
      <c r="BT34" s="72">
        <v>0</v>
      </c>
      <c r="BU34" s="72">
        <v>0</v>
      </c>
      <c r="BV34" s="72">
        <v>0</v>
      </c>
      <c r="BW34" s="72">
        <v>0</v>
      </c>
      <c r="BX34" s="72">
        <v>0</v>
      </c>
      <c r="BY34" s="72">
        <v>0</v>
      </c>
      <c r="BZ34" s="72">
        <v>0</v>
      </c>
      <c r="CA34" s="72">
        <v>0</v>
      </c>
      <c r="CB34" s="72">
        <v>0</v>
      </c>
      <c r="CC34" s="72">
        <v>0</v>
      </c>
      <c r="CD34" s="72">
        <v>0</v>
      </c>
      <c r="CE34" s="72">
        <v>0</v>
      </c>
      <c r="CF34" s="72">
        <v>0</v>
      </c>
      <c r="CG34" s="72">
        <v>0</v>
      </c>
      <c r="CH34" s="72">
        <v>0</v>
      </c>
      <c r="CI34" s="72">
        <v>0</v>
      </c>
      <c r="CJ34" s="72">
        <v>0</v>
      </c>
      <c r="CK34" s="72">
        <v>0</v>
      </c>
      <c r="CL34" s="72">
        <v>0</v>
      </c>
      <c r="CM34" s="72">
        <v>0</v>
      </c>
      <c r="CN34" s="72">
        <v>0</v>
      </c>
      <c r="CO34" s="72">
        <v>0</v>
      </c>
      <c r="CP34" s="72">
        <v>0</v>
      </c>
      <c r="CQ34" s="72">
        <v>0</v>
      </c>
      <c r="CR34" s="72">
        <v>0</v>
      </c>
      <c r="CS34" s="72">
        <v>0</v>
      </c>
      <c r="CT34" s="72">
        <v>0</v>
      </c>
      <c r="CU34" s="72">
        <v>0</v>
      </c>
      <c r="CV34" s="72">
        <v>0</v>
      </c>
      <c r="CW34" s="72">
        <v>0</v>
      </c>
      <c r="CX34" s="72">
        <v>0</v>
      </c>
      <c r="CY34" s="72">
        <v>0</v>
      </c>
      <c r="CZ34" s="72">
        <v>0</v>
      </c>
      <c r="DA34" s="72">
        <v>0</v>
      </c>
      <c r="DB34" s="72">
        <v>0</v>
      </c>
      <c r="DC34" s="72">
        <v>0</v>
      </c>
      <c r="DD34" s="72">
        <v>0</v>
      </c>
      <c r="DE34" s="72">
        <v>0</v>
      </c>
      <c r="DF34" s="72">
        <v>0</v>
      </c>
      <c r="DG34" s="72">
        <v>0</v>
      </c>
      <c r="DH34" s="72">
        <v>0</v>
      </c>
      <c r="DI34" s="72">
        <v>0</v>
      </c>
      <c r="DJ34" s="72">
        <v>0</v>
      </c>
      <c r="DK34" s="72">
        <v>0</v>
      </c>
      <c r="DL34" s="72">
        <v>0</v>
      </c>
      <c r="DM34" s="72">
        <v>0</v>
      </c>
      <c r="DN34" s="72">
        <v>0</v>
      </c>
      <c r="DO34" s="72">
        <v>0</v>
      </c>
      <c r="DP34" s="72">
        <v>0</v>
      </c>
      <c r="DQ34" s="72">
        <v>0</v>
      </c>
      <c r="DR34" s="72">
        <v>0</v>
      </c>
      <c r="DS34" s="72">
        <v>0</v>
      </c>
      <c r="DT34" s="72">
        <v>0</v>
      </c>
      <c r="DU34" s="72">
        <v>0</v>
      </c>
      <c r="DV34" s="72">
        <v>0</v>
      </c>
      <c r="DW34" s="72">
        <v>0</v>
      </c>
      <c r="DX34" s="72">
        <v>0</v>
      </c>
      <c r="DY34" s="72">
        <v>0</v>
      </c>
      <c r="DZ34" s="72">
        <v>0</v>
      </c>
      <c r="EA34" s="72">
        <v>0</v>
      </c>
      <c r="EB34" s="72">
        <v>0</v>
      </c>
      <c r="EC34" s="72">
        <v>0</v>
      </c>
      <c r="ED34" s="72">
        <v>0</v>
      </c>
      <c r="EE34" s="72">
        <v>0</v>
      </c>
      <c r="EF34" s="72">
        <v>0</v>
      </c>
      <c r="EG34" s="72">
        <v>0</v>
      </c>
      <c r="EH34" s="72">
        <v>0</v>
      </c>
      <c r="EI34" s="72">
        <v>0</v>
      </c>
      <c r="EJ34" s="72">
        <v>0</v>
      </c>
      <c r="EK34" s="72">
        <v>0</v>
      </c>
      <c r="EL34" s="72">
        <v>0</v>
      </c>
    </row>
    <row r="35" spans="1:142" s="6" customFormat="1" x14ac:dyDescent="0.35">
      <c r="A35" s="59">
        <f>Данные!A35</f>
        <v>4848</v>
      </c>
      <c r="B35" s="59">
        <f>Данные!B35</f>
        <v>2015</v>
      </c>
      <c r="C35" s="59" t="str">
        <f>Данные!C35</f>
        <v>компьютерных технологий и электронного обучения</v>
      </c>
      <c r="D35" s="59" t="str">
        <f>Данные!D35</f>
        <v>Государев Илья Борисович</v>
      </c>
      <c r="E35" s="59" t="str">
        <f>Данные!E35</f>
        <v>кандидат педагогических наук</v>
      </c>
      <c r="F35" s="59" t="str">
        <f>Данные!F35</f>
        <v>доцент</v>
      </c>
      <c r="G35" s="59">
        <f>Данные!G35</f>
        <v>1</v>
      </c>
      <c r="H35" s="59">
        <f>Данные!H35</f>
        <v>14014</v>
      </c>
      <c r="I35" s="59" t="str">
        <f>Данные!I35</f>
        <v>Модуль "Дискретные структуры"</v>
      </c>
      <c r="J35" s="59">
        <f>Данные!J35</f>
        <v>0</v>
      </c>
      <c r="K35" s="59">
        <f>Данные!K35</f>
        <v>0</v>
      </c>
      <c r="L35" s="59">
        <f>Данные!L35</f>
        <v>0</v>
      </c>
      <c r="M35" s="60">
        <f t="shared" si="0"/>
        <v>0</v>
      </c>
      <c r="N35" s="60">
        <f t="shared" ca="1" si="1"/>
        <v>6.29</v>
      </c>
      <c r="O35" s="60">
        <f t="shared" ca="1" si="2"/>
        <v>3.25</v>
      </c>
      <c r="P35" s="60">
        <f t="shared" ca="1" si="3"/>
        <v>3.25</v>
      </c>
      <c r="Q35" s="54">
        <f>Данные!Q35</f>
        <v>0</v>
      </c>
      <c r="R35" s="54">
        <f>Данные!R35</f>
        <v>0</v>
      </c>
      <c r="S35" s="54">
        <f>Данные!S35</f>
        <v>0</v>
      </c>
      <c r="T35" s="54">
        <f>Данные!T35</f>
        <v>0</v>
      </c>
      <c r="U35" s="54">
        <f>Данные!U35</f>
        <v>0</v>
      </c>
      <c r="V35" s="54">
        <f>Данные!V35</f>
        <v>0</v>
      </c>
      <c r="W35" s="54">
        <f ca="1">Данные!W35</f>
        <v>13</v>
      </c>
      <c r="X35" s="54" t="str">
        <f ca="1">Данные!X35</f>
        <v>1</v>
      </c>
      <c r="Y35" s="54" t="str">
        <f ca="1">Данные!Y35</f>
        <v>1</v>
      </c>
      <c r="Z35" s="54">
        <f>Данные!Z35</f>
        <v>0</v>
      </c>
      <c r="AA35" s="54" t="str">
        <f>Данные!AA35</f>
        <v>осн</v>
      </c>
      <c r="AB35" s="101">
        <f t="shared" si="4"/>
        <v>800</v>
      </c>
      <c r="AC35" s="101" t="str">
        <f t="shared" si="5"/>
        <v>ИВТ (бак)</v>
      </c>
      <c r="AD35" s="101" t="str">
        <f t="shared" si="6"/>
        <v>2015–2016</v>
      </c>
      <c r="AE35" s="102">
        <f t="shared" ca="1" si="7"/>
        <v>12.79</v>
      </c>
      <c r="AF35" s="103">
        <f t="shared" ca="1" si="8"/>
        <v>1.5987499999999998E-2</v>
      </c>
      <c r="AG35" s="101"/>
      <c r="AH35" s="101"/>
      <c r="AI35"/>
      <c r="BM35"/>
      <c r="BN35"/>
      <c r="BO35"/>
      <c r="BQ35" s="72">
        <v>0</v>
      </c>
      <c r="BR35" s="72">
        <v>0</v>
      </c>
      <c r="BS35" s="72">
        <v>0</v>
      </c>
      <c r="BT35" s="72">
        <v>0</v>
      </c>
      <c r="BU35" s="72">
        <v>0</v>
      </c>
      <c r="BV35" s="72">
        <v>0</v>
      </c>
      <c r="BW35" s="72">
        <v>0</v>
      </c>
      <c r="BX35" s="72">
        <v>0</v>
      </c>
      <c r="BY35" s="72">
        <v>0</v>
      </c>
      <c r="BZ35" s="72">
        <v>0</v>
      </c>
      <c r="CA35" s="72">
        <v>0</v>
      </c>
      <c r="CB35" s="72">
        <v>0</v>
      </c>
      <c r="CC35" s="72">
        <v>0</v>
      </c>
      <c r="CD35" s="72">
        <v>0</v>
      </c>
      <c r="CE35" s="72">
        <v>0</v>
      </c>
      <c r="CF35" s="72">
        <v>0</v>
      </c>
      <c r="CG35" s="72">
        <v>0</v>
      </c>
      <c r="CH35" s="72">
        <v>0</v>
      </c>
      <c r="CI35" s="72">
        <v>0</v>
      </c>
      <c r="CJ35" s="72">
        <v>0</v>
      </c>
      <c r="CK35" s="72">
        <v>0</v>
      </c>
      <c r="CL35" s="72">
        <v>0</v>
      </c>
      <c r="CM35" s="72">
        <v>0</v>
      </c>
      <c r="CN35" s="72">
        <v>0</v>
      </c>
      <c r="CO35" s="72">
        <v>0</v>
      </c>
      <c r="CP35" s="72">
        <v>0</v>
      </c>
      <c r="CQ35" s="72">
        <v>0</v>
      </c>
      <c r="CR35" s="72">
        <v>0</v>
      </c>
      <c r="CS35" s="72">
        <v>0</v>
      </c>
      <c r="CT35" s="72">
        <v>0</v>
      </c>
      <c r="CU35" s="72">
        <v>0</v>
      </c>
      <c r="CV35" s="72">
        <v>0</v>
      </c>
      <c r="CW35" s="72">
        <v>0</v>
      </c>
      <c r="CX35" s="72">
        <v>0</v>
      </c>
      <c r="CY35" s="72">
        <v>0</v>
      </c>
      <c r="CZ35" s="72">
        <v>0</v>
      </c>
      <c r="DA35" s="72">
        <v>0</v>
      </c>
      <c r="DB35" s="72">
        <v>0</v>
      </c>
      <c r="DC35" s="72">
        <v>0</v>
      </c>
      <c r="DD35" s="72">
        <v>0</v>
      </c>
      <c r="DE35" s="72">
        <v>0</v>
      </c>
      <c r="DF35" s="72">
        <v>0</v>
      </c>
      <c r="DG35" s="72">
        <v>0</v>
      </c>
      <c r="DH35" s="72">
        <v>0</v>
      </c>
      <c r="DI35" s="72">
        <v>0</v>
      </c>
      <c r="DJ35" s="72">
        <v>0</v>
      </c>
      <c r="DK35" s="72">
        <v>0</v>
      </c>
      <c r="DL35" s="72">
        <v>0</v>
      </c>
      <c r="DM35" s="72">
        <v>0</v>
      </c>
      <c r="DN35" s="72">
        <v>0</v>
      </c>
      <c r="DO35" s="72">
        <v>0</v>
      </c>
      <c r="DP35" s="72">
        <v>0</v>
      </c>
      <c r="DQ35" s="72">
        <v>0</v>
      </c>
      <c r="DR35" s="72">
        <v>0</v>
      </c>
      <c r="DS35" s="72">
        <v>0</v>
      </c>
      <c r="DT35" s="72">
        <v>0</v>
      </c>
      <c r="DU35" s="72">
        <v>0</v>
      </c>
      <c r="DV35" s="72">
        <v>0</v>
      </c>
      <c r="DW35" s="72">
        <v>0</v>
      </c>
      <c r="DX35" s="72">
        <v>0</v>
      </c>
      <c r="DY35" s="72">
        <v>0</v>
      </c>
      <c r="DZ35" s="72">
        <v>0</v>
      </c>
      <c r="EA35" s="72">
        <v>0</v>
      </c>
      <c r="EB35" s="72">
        <v>0</v>
      </c>
      <c r="EC35" s="72">
        <v>0</v>
      </c>
      <c r="ED35" s="72">
        <v>0</v>
      </c>
      <c r="EE35" s="72">
        <v>0</v>
      </c>
      <c r="EF35" s="72">
        <v>0</v>
      </c>
      <c r="EG35" s="72">
        <v>0</v>
      </c>
      <c r="EH35" s="72">
        <v>0</v>
      </c>
      <c r="EI35" s="72">
        <v>0</v>
      </c>
      <c r="EJ35" s="72">
        <v>0</v>
      </c>
      <c r="EK35" s="72">
        <v>0</v>
      </c>
      <c r="EL35" s="72">
        <v>0</v>
      </c>
    </row>
    <row r="36" spans="1:142" s="6" customFormat="1" x14ac:dyDescent="0.35">
      <c r="A36" s="59">
        <f>Данные!A36</f>
        <v>4848</v>
      </c>
      <c r="B36" s="59">
        <f>Данные!B36</f>
        <v>2015</v>
      </c>
      <c r="C36" s="59" t="str">
        <f>Данные!C36</f>
        <v>компьютерных технологий и электронного обучения</v>
      </c>
      <c r="D36" s="59" t="str">
        <f>Данные!D36</f>
        <v>Государев Илья Борисович</v>
      </c>
      <c r="E36" s="59" t="str">
        <f>Данные!E36</f>
        <v>кандидат педагогических наук</v>
      </c>
      <c r="F36" s="59" t="str">
        <f>Данные!F36</f>
        <v>доцент</v>
      </c>
      <c r="G36" s="59">
        <f>Данные!G36</f>
        <v>1</v>
      </c>
      <c r="H36" s="59">
        <f>Данные!H36</f>
        <v>14014</v>
      </c>
      <c r="I36" s="59" t="str">
        <f>Данные!I36</f>
        <v>Модуль "Дискретные структуры". Дискретная математика</v>
      </c>
      <c r="J36" s="59">
        <f>Данные!J36</f>
        <v>17</v>
      </c>
      <c r="K36" s="59">
        <f>Данные!K36</f>
        <v>17</v>
      </c>
      <c r="L36" s="59">
        <f>Данные!L36</f>
        <v>0</v>
      </c>
      <c r="M36" s="60">
        <f t="shared" si="0"/>
        <v>3.4</v>
      </c>
      <c r="N36" s="60">
        <f t="shared" ca="1" si="1"/>
        <v>6.29</v>
      </c>
      <c r="O36" s="60">
        <f t="shared" ca="1" si="2"/>
        <v>3.25</v>
      </c>
      <c r="P36" s="60">
        <f t="shared" ca="1" si="3"/>
        <v>3.25</v>
      </c>
      <c r="Q36" s="54">
        <f>Данные!Q36</f>
        <v>0</v>
      </c>
      <c r="R36" s="54">
        <f>Данные!R36</f>
        <v>0</v>
      </c>
      <c r="S36" s="54">
        <f>Данные!S36</f>
        <v>0</v>
      </c>
      <c r="T36" s="54">
        <f>Данные!T36</f>
        <v>0</v>
      </c>
      <c r="U36" s="54">
        <f>Данные!U36</f>
        <v>0</v>
      </c>
      <c r="V36" s="54">
        <f>Данные!V36</f>
        <v>0</v>
      </c>
      <c r="W36" s="54">
        <f ca="1">Данные!W36</f>
        <v>13</v>
      </c>
      <c r="X36" s="54" t="str">
        <f ca="1">Данные!X36</f>
        <v>1</v>
      </c>
      <c r="Y36" s="54" t="str">
        <f ca="1">Данные!Y36</f>
        <v>1</v>
      </c>
      <c r="Z36" s="54">
        <f>Данные!Z36</f>
        <v>0</v>
      </c>
      <c r="AA36" s="54" t="str">
        <f>Данные!AA36</f>
        <v>осн</v>
      </c>
      <c r="AB36" s="101">
        <f t="shared" si="4"/>
        <v>800</v>
      </c>
      <c r="AC36" s="101" t="str">
        <f t="shared" si="5"/>
        <v>ИВТ (бак)</v>
      </c>
      <c r="AD36" s="101" t="str">
        <f t="shared" si="6"/>
        <v>2015–2016</v>
      </c>
      <c r="AE36" s="102">
        <f t="shared" ca="1" si="7"/>
        <v>50.19</v>
      </c>
      <c r="AF36" s="103">
        <f t="shared" ca="1" si="8"/>
        <v>6.2737500000000002E-2</v>
      </c>
      <c r="AG36" s="101"/>
      <c r="AH36" s="101"/>
      <c r="AI36"/>
      <c r="BM36"/>
      <c r="BN36"/>
      <c r="BO36"/>
      <c r="BQ36" s="72">
        <v>0</v>
      </c>
      <c r="BR36" s="72">
        <v>0</v>
      </c>
      <c r="BS36" s="72">
        <v>0</v>
      </c>
      <c r="BT36" s="72">
        <v>0</v>
      </c>
      <c r="BU36" s="72">
        <v>0</v>
      </c>
      <c r="BV36" s="72">
        <v>0</v>
      </c>
      <c r="BW36" s="72">
        <v>0</v>
      </c>
      <c r="BX36" s="72">
        <v>0</v>
      </c>
      <c r="BY36" s="72">
        <v>0</v>
      </c>
      <c r="BZ36" s="72">
        <v>0</v>
      </c>
      <c r="CA36" s="72">
        <v>0</v>
      </c>
      <c r="CB36" s="72">
        <v>0</v>
      </c>
      <c r="CC36" s="72">
        <v>0</v>
      </c>
      <c r="CD36" s="72">
        <v>0</v>
      </c>
      <c r="CE36" s="72">
        <v>0</v>
      </c>
      <c r="CF36" s="72">
        <v>0</v>
      </c>
      <c r="CG36" s="72">
        <v>0</v>
      </c>
      <c r="CH36" s="72">
        <v>0</v>
      </c>
      <c r="CI36" s="72">
        <v>0</v>
      </c>
      <c r="CJ36" s="72">
        <v>0</v>
      </c>
      <c r="CK36" s="72">
        <v>0</v>
      </c>
      <c r="CL36" s="72">
        <v>0</v>
      </c>
      <c r="CM36" s="72">
        <v>0</v>
      </c>
      <c r="CN36" s="72">
        <v>0</v>
      </c>
      <c r="CO36" s="72">
        <v>0</v>
      </c>
      <c r="CP36" s="72">
        <v>0</v>
      </c>
      <c r="CQ36" s="72">
        <v>0</v>
      </c>
      <c r="CR36" s="72">
        <v>0</v>
      </c>
      <c r="CS36" s="72">
        <v>0</v>
      </c>
      <c r="CT36" s="72">
        <v>0</v>
      </c>
      <c r="CU36" s="72">
        <v>0</v>
      </c>
      <c r="CV36" s="72">
        <v>0</v>
      </c>
      <c r="CW36" s="72">
        <v>0</v>
      </c>
      <c r="CX36" s="72">
        <v>0</v>
      </c>
      <c r="CY36" s="72">
        <v>0</v>
      </c>
      <c r="CZ36" s="72">
        <v>0</v>
      </c>
      <c r="DA36" s="72">
        <v>0</v>
      </c>
      <c r="DB36" s="72">
        <v>0</v>
      </c>
      <c r="DC36" s="72">
        <v>0</v>
      </c>
      <c r="DD36" s="72">
        <v>0</v>
      </c>
      <c r="DE36" s="72">
        <v>0</v>
      </c>
      <c r="DF36" s="72">
        <v>0</v>
      </c>
      <c r="DG36" s="72">
        <v>0</v>
      </c>
      <c r="DH36" s="72">
        <v>0</v>
      </c>
      <c r="DI36" s="72">
        <v>0</v>
      </c>
      <c r="DJ36" s="72">
        <v>0</v>
      </c>
      <c r="DK36" s="72">
        <v>0</v>
      </c>
      <c r="DL36" s="72">
        <v>0</v>
      </c>
      <c r="DM36" s="72">
        <v>0</v>
      </c>
      <c r="DN36" s="72">
        <v>0</v>
      </c>
      <c r="DO36" s="72">
        <v>0</v>
      </c>
      <c r="DP36" s="72">
        <v>0</v>
      </c>
      <c r="DQ36" s="72">
        <v>0</v>
      </c>
      <c r="DR36" s="72">
        <v>0</v>
      </c>
      <c r="DS36" s="72">
        <v>0</v>
      </c>
      <c r="DT36" s="72">
        <v>0</v>
      </c>
      <c r="DU36" s="72">
        <v>0</v>
      </c>
      <c r="DV36" s="72">
        <v>0</v>
      </c>
      <c r="DW36" s="72">
        <v>0</v>
      </c>
      <c r="DX36" s="72">
        <v>0</v>
      </c>
      <c r="DY36" s="72">
        <v>0</v>
      </c>
      <c r="DZ36" s="72">
        <v>0</v>
      </c>
      <c r="EA36" s="72">
        <v>0</v>
      </c>
      <c r="EB36" s="72">
        <v>0</v>
      </c>
      <c r="EC36" s="72">
        <v>0</v>
      </c>
      <c r="ED36" s="72">
        <v>0</v>
      </c>
      <c r="EE36" s="72">
        <v>0</v>
      </c>
      <c r="EF36" s="72">
        <v>0</v>
      </c>
      <c r="EG36" s="72">
        <v>0</v>
      </c>
      <c r="EH36" s="72">
        <v>0</v>
      </c>
      <c r="EI36" s="72">
        <v>0</v>
      </c>
      <c r="EJ36" s="72">
        <v>0</v>
      </c>
      <c r="EK36" s="72">
        <v>0</v>
      </c>
      <c r="EL36" s="72">
        <v>0</v>
      </c>
    </row>
    <row r="37" spans="1:142" s="6" customFormat="1" x14ac:dyDescent="0.35">
      <c r="A37" s="59">
        <f>Данные!A37</f>
        <v>4848</v>
      </c>
      <c r="B37" s="59">
        <f>Данные!B37</f>
        <v>2015</v>
      </c>
      <c r="C37" s="59" t="str">
        <f>Данные!C37</f>
        <v>компьютерных технологий и электронного обучения</v>
      </c>
      <c r="D37" s="59" t="str">
        <f>Данные!D37</f>
        <v>Государев Илья Борисович</v>
      </c>
      <c r="E37" s="59" t="str">
        <f>Данные!E37</f>
        <v>кандидат педагогических наук</v>
      </c>
      <c r="F37" s="59" t="str">
        <f>Данные!F37</f>
        <v>доцент</v>
      </c>
      <c r="G37" s="59">
        <f>Данные!G37</f>
        <v>1</v>
      </c>
      <c r="H37" s="59">
        <f>Данные!H37</f>
        <v>14014</v>
      </c>
      <c r="I37" s="59" t="str">
        <f>Данные!I37</f>
        <v>Модуль "Дискретные структуры". Алгоритмы и анализ сложности</v>
      </c>
      <c r="J37" s="59">
        <f>Данные!J37</f>
        <v>9</v>
      </c>
      <c r="K37" s="59">
        <f>Данные!K37</f>
        <v>9</v>
      </c>
      <c r="L37" s="59">
        <f>Данные!L37</f>
        <v>0</v>
      </c>
      <c r="M37" s="60">
        <f t="shared" si="0"/>
        <v>1.8</v>
      </c>
      <c r="N37" s="60">
        <f t="shared" ca="1" si="1"/>
        <v>6.29</v>
      </c>
      <c r="O37" s="60">
        <f t="shared" ca="1" si="2"/>
        <v>3.25</v>
      </c>
      <c r="P37" s="60">
        <f t="shared" ca="1" si="3"/>
        <v>3.25</v>
      </c>
      <c r="Q37" s="54">
        <f>Данные!Q37</f>
        <v>0</v>
      </c>
      <c r="R37" s="54">
        <f>Данные!R37</f>
        <v>0</v>
      </c>
      <c r="S37" s="54">
        <f>Данные!S37</f>
        <v>0</v>
      </c>
      <c r="T37" s="54">
        <f>Данные!T37</f>
        <v>0</v>
      </c>
      <c r="U37" s="54">
        <f>Данные!U37</f>
        <v>0</v>
      </c>
      <c r="V37" s="54">
        <f>Данные!V37</f>
        <v>0</v>
      </c>
      <c r="W37" s="54">
        <f ca="1">Данные!W37</f>
        <v>13</v>
      </c>
      <c r="X37" s="54" t="str">
        <f ca="1">Данные!X37</f>
        <v>1</v>
      </c>
      <c r="Y37" s="54" t="str">
        <f ca="1">Данные!Y37</f>
        <v>1</v>
      </c>
      <c r="Z37" s="54">
        <f>Данные!Z37</f>
        <v>0</v>
      </c>
      <c r="AA37" s="54" t="str">
        <f>Данные!AA37</f>
        <v>осн</v>
      </c>
      <c r="AB37" s="101">
        <f t="shared" si="4"/>
        <v>800</v>
      </c>
      <c r="AC37" s="101" t="str">
        <f t="shared" si="5"/>
        <v>ИВТ (бак)</v>
      </c>
      <c r="AD37" s="101" t="str">
        <f t="shared" si="6"/>
        <v>2015–2016</v>
      </c>
      <c r="AE37" s="102">
        <f t="shared" ca="1" si="7"/>
        <v>32.590000000000003</v>
      </c>
      <c r="AF37" s="103">
        <f t="shared" ca="1" si="8"/>
        <v>4.0737500000000003E-2</v>
      </c>
      <c r="AG37" s="101"/>
      <c r="AH37" s="101"/>
      <c r="AI37"/>
      <c r="BM37"/>
      <c r="BN37"/>
      <c r="BO37"/>
      <c r="BQ37" s="72">
        <v>0</v>
      </c>
      <c r="BR37" s="72">
        <v>0</v>
      </c>
      <c r="BS37" s="72">
        <v>0</v>
      </c>
      <c r="BT37" s="72">
        <v>0</v>
      </c>
      <c r="BU37" s="72">
        <v>0</v>
      </c>
      <c r="BV37" s="72">
        <v>0</v>
      </c>
      <c r="BW37" s="72">
        <v>0</v>
      </c>
      <c r="BX37" s="72">
        <v>0</v>
      </c>
      <c r="BY37" s="72">
        <v>0</v>
      </c>
      <c r="BZ37" s="72">
        <v>0</v>
      </c>
      <c r="CA37" s="72">
        <v>0</v>
      </c>
      <c r="CB37" s="72">
        <v>0</v>
      </c>
      <c r="CC37" s="72">
        <v>0</v>
      </c>
      <c r="CD37" s="72">
        <v>0</v>
      </c>
      <c r="CE37" s="72">
        <v>0</v>
      </c>
      <c r="CF37" s="72">
        <v>0</v>
      </c>
      <c r="CG37" s="72">
        <v>0</v>
      </c>
      <c r="CH37" s="72">
        <v>0</v>
      </c>
      <c r="CI37" s="72">
        <v>0</v>
      </c>
      <c r="CJ37" s="72">
        <v>0</v>
      </c>
      <c r="CK37" s="72">
        <v>0</v>
      </c>
      <c r="CL37" s="72">
        <v>0</v>
      </c>
      <c r="CM37" s="72">
        <v>0</v>
      </c>
      <c r="CN37" s="72">
        <v>0</v>
      </c>
      <c r="CO37" s="72">
        <v>0</v>
      </c>
      <c r="CP37" s="72">
        <v>0</v>
      </c>
      <c r="CQ37" s="72">
        <v>0</v>
      </c>
      <c r="CR37" s="72">
        <v>0</v>
      </c>
      <c r="CS37" s="72">
        <v>0</v>
      </c>
      <c r="CT37" s="72">
        <v>0</v>
      </c>
      <c r="CU37" s="72">
        <v>0</v>
      </c>
      <c r="CV37" s="72">
        <v>0</v>
      </c>
      <c r="CW37" s="72">
        <v>0</v>
      </c>
      <c r="CX37" s="72">
        <v>0</v>
      </c>
      <c r="CY37" s="72">
        <v>0</v>
      </c>
      <c r="CZ37" s="72">
        <v>0</v>
      </c>
      <c r="DA37" s="72">
        <v>0</v>
      </c>
      <c r="DB37" s="72">
        <v>0</v>
      </c>
      <c r="DC37" s="72">
        <v>0</v>
      </c>
      <c r="DD37" s="72">
        <v>0</v>
      </c>
      <c r="DE37" s="72">
        <v>0</v>
      </c>
      <c r="DF37" s="72">
        <v>0</v>
      </c>
      <c r="DG37" s="72">
        <v>0</v>
      </c>
      <c r="DH37" s="72">
        <v>0</v>
      </c>
      <c r="DI37" s="72">
        <v>0</v>
      </c>
      <c r="DJ37" s="72">
        <v>0</v>
      </c>
      <c r="DK37" s="72">
        <v>0</v>
      </c>
      <c r="DL37" s="72">
        <v>0</v>
      </c>
      <c r="DM37" s="72">
        <v>0</v>
      </c>
      <c r="DN37" s="72">
        <v>0</v>
      </c>
      <c r="DO37" s="72">
        <v>0</v>
      </c>
      <c r="DP37" s="72">
        <v>0</v>
      </c>
      <c r="DQ37" s="72">
        <v>0</v>
      </c>
      <c r="DR37" s="72">
        <v>0</v>
      </c>
      <c r="DS37" s="72">
        <v>0</v>
      </c>
      <c r="DT37" s="72">
        <v>0</v>
      </c>
      <c r="DU37" s="72">
        <v>0</v>
      </c>
      <c r="DV37" s="72">
        <v>0</v>
      </c>
      <c r="DW37" s="72">
        <v>0</v>
      </c>
      <c r="DX37" s="72">
        <v>0</v>
      </c>
      <c r="DY37" s="72">
        <v>0</v>
      </c>
      <c r="DZ37" s="72">
        <v>0</v>
      </c>
      <c r="EA37" s="72">
        <v>0</v>
      </c>
      <c r="EB37" s="72">
        <v>0</v>
      </c>
      <c r="EC37" s="72">
        <v>0</v>
      </c>
      <c r="ED37" s="72">
        <v>0</v>
      </c>
      <c r="EE37" s="72">
        <v>0</v>
      </c>
      <c r="EF37" s="72">
        <v>0</v>
      </c>
      <c r="EG37" s="72">
        <v>0</v>
      </c>
      <c r="EH37" s="72">
        <v>0</v>
      </c>
      <c r="EI37" s="72">
        <v>0</v>
      </c>
      <c r="EJ37" s="72">
        <v>0</v>
      </c>
      <c r="EK37" s="72">
        <v>0</v>
      </c>
      <c r="EL37" s="72">
        <v>0</v>
      </c>
    </row>
    <row r="38" spans="1:142" s="6" customFormat="1" x14ac:dyDescent="0.35">
      <c r="A38" s="59">
        <f>Данные!A38</f>
        <v>4848</v>
      </c>
      <c r="B38" s="59">
        <f>Данные!B38</f>
        <v>2015</v>
      </c>
      <c r="C38" s="59" t="str">
        <f>Данные!C38</f>
        <v>компьютерных технологий и электронного обучения</v>
      </c>
      <c r="D38" s="59" t="str">
        <f>Данные!D38</f>
        <v>Ильина Татьяна Сергеевна</v>
      </c>
      <c r="E38" s="59" t="str">
        <f>Данные!E38</f>
        <v>нет</v>
      </c>
      <c r="F38" s="59" t="str">
        <f>Данные!F38</f>
        <v>старший преподаватель</v>
      </c>
      <c r="G38" s="59">
        <f>Данные!G38</f>
        <v>1</v>
      </c>
      <c r="H38" s="59">
        <f>Данные!H38</f>
        <v>14014</v>
      </c>
      <c r="I38" s="59" t="str">
        <f>Данные!I38</f>
        <v>Математика</v>
      </c>
      <c r="J38" s="59">
        <f>Данные!J38</f>
        <v>54</v>
      </c>
      <c r="K38" s="59">
        <f>Данные!K38</f>
        <v>54</v>
      </c>
      <c r="L38" s="59">
        <f>Данные!L38</f>
        <v>0</v>
      </c>
      <c r="M38" s="60">
        <f t="shared" si="0"/>
        <v>10.8</v>
      </c>
      <c r="N38" s="60">
        <f t="shared" ca="1" si="1"/>
        <v>6.29</v>
      </c>
      <c r="O38" s="60">
        <f t="shared" ca="1" si="2"/>
        <v>3.25</v>
      </c>
      <c r="P38" s="60">
        <f t="shared" ca="1" si="3"/>
        <v>3.25</v>
      </c>
      <c r="Q38" s="54">
        <f>Данные!Q38</f>
        <v>0</v>
      </c>
      <c r="R38" s="54">
        <f>Данные!R38</f>
        <v>0</v>
      </c>
      <c r="S38" s="54">
        <f>Данные!S38</f>
        <v>0</v>
      </c>
      <c r="T38" s="54">
        <f>Данные!T38</f>
        <v>0</v>
      </c>
      <c r="U38" s="54">
        <f>Данные!U38</f>
        <v>0</v>
      </c>
      <c r="V38" s="54">
        <f>Данные!V38</f>
        <v>0</v>
      </c>
      <c r="W38" s="54">
        <f ca="1">Данные!W38</f>
        <v>13</v>
      </c>
      <c r="X38" s="54" t="str">
        <f ca="1">Данные!X38</f>
        <v>1</v>
      </c>
      <c r="Y38" s="54" t="str">
        <f ca="1">Данные!Y38</f>
        <v>1</v>
      </c>
      <c r="Z38" s="54">
        <f>Данные!Z38</f>
        <v>0</v>
      </c>
      <c r="AA38" s="54" t="str">
        <f>Данные!AA38</f>
        <v>осн</v>
      </c>
      <c r="AB38" s="101">
        <f t="shared" si="4"/>
        <v>850</v>
      </c>
      <c r="AC38" s="101" t="str">
        <f t="shared" si="5"/>
        <v>ИВТ (бак)</v>
      </c>
      <c r="AD38" s="101" t="str">
        <f t="shared" si="6"/>
        <v>2015–2016</v>
      </c>
      <c r="AE38" s="102">
        <f t="shared" ca="1" si="7"/>
        <v>131.59</v>
      </c>
      <c r="AF38" s="103">
        <f t="shared" ca="1" si="8"/>
        <v>0.15481176470588234</v>
      </c>
      <c r="AG38" s="101"/>
      <c r="AH38" s="101"/>
      <c r="AI38"/>
      <c r="BM38"/>
      <c r="BN38"/>
      <c r="BO38"/>
      <c r="BQ38" s="72">
        <v>0</v>
      </c>
      <c r="BR38" s="72">
        <v>0</v>
      </c>
      <c r="BS38" s="72">
        <v>0</v>
      </c>
      <c r="BT38" s="72">
        <v>0</v>
      </c>
      <c r="BU38" s="72">
        <v>0</v>
      </c>
      <c r="BV38" s="72">
        <v>0</v>
      </c>
      <c r="BW38" s="72">
        <v>0</v>
      </c>
      <c r="BX38" s="72">
        <v>0</v>
      </c>
      <c r="BY38" s="72">
        <v>0</v>
      </c>
      <c r="BZ38" s="72">
        <v>0</v>
      </c>
      <c r="CA38" s="72">
        <v>0</v>
      </c>
      <c r="CB38" s="72">
        <v>0</v>
      </c>
      <c r="CC38" s="72">
        <v>0</v>
      </c>
      <c r="CD38" s="72">
        <v>0</v>
      </c>
      <c r="CE38" s="72">
        <v>0</v>
      </c>
      <c r="CF38" s="72">
        <v>0</v>
      </c>
      <c r="CG38" s="72">
        <v>0</v>
      </c>
      <c r="CH38" s="72">
        <v>0</v>
      </c>
      <c r="CI38" s="72">
        <v>0</v>
      </c>
      <c r="CJ38" s="72">
        <v>0</v>
      </c>
      <c r="CK38" s="72">
        <v>0</v>
      </c>
      <c r="CL38" s="72">
        <v>0</v>
      </c>
      <c r="CM38" s="72">
        <v>0</v>
      </c>
      <c r="CN38" s="72">
        <v>0</v>
      </c>
      <c r="CO38" s="72">
        <v>0</v>
      </c>
      <c r="CP38" s="72">
        <v>0</v>
      </c>
      <c r="CQ38" s="72">
        <v>0</v>
      </c>
      <c r="CR38" s="72">
        <v>0</v>
      </c>
      <c r="CS38" s="72">
        <v>0</v>
      </c>
      <c r="CT38" s="72">
        <v>0</v>
      </c>
      <c r="CU38" s="72">
        <v>0</v>
      </c>
      <c r="CV38" s="72">
        <v>0</v>
      </c>
      <c r="CW38" s="72">
        <v>0</v>
      </c>
      <c r="CX38" s="72">
        <v>0</v>
      </c>
      <c r="CY38" s="72">
        <v>0</v>
      </c>
      <c r="CZ38" s="72">
        <v>0</v>
      </c>
      <c r="DA38" s="72">
        <v>0</v>
      </c>
      <c r="DB38" s="72">
        <v>0</v>
      </c>
      <c r="DC38" s="72">
        <v>0</v>
      </c>
      <c r="DD38" s="72">
        <v>0</v>
      </c>
      <c r="DE38" s="72">
        <v>0</v>
      </c>
      <c r="DF38" s="72">
        <v>0</v>
      </c>
      <c r="DG38" s="72">
        <v>0</v>
      </c>
      <c r="DH38" s="72">
        <v>0</v>
      </c>
      <c r="DI38" s="72">
        <v>0</v>
      </c>
      <c r="DJ38" s="72">
        <v>0</v>
      </c>
      <c r="DK38" s="72">
        <v>0</v>
      </c>
      <c r="DL38" s="72">
        <v>0</v>
      </c>
      <c r="DM38" s="72">
        <v>0</v>
      </c>
      <c r="DN38" s="72">
        <v>0</v>
      </c>
      <c r="DO38" s="72">
        <v>0</v>
      </c>
      <c r="DP38" s="72">
        <v>0</v>
      </c>
      <c r="DQ38" s="72">
        <v>0</v>
      </c>
      <c r="DR38" s="72">
        <v>0</v>
      </c>
      <c r="DS38" s="72">
        <v>0</v>
      </c>
      <c r="DT38" s="72">
        <v>0</v>
      </c>
      <c r="DU38" s="72">
        <v>0</v>
      </c>
      <c r="DV38" s="72">
        <v>0</v>
      </c>
      <c r="DW38" s="72">
        <v>0</v>
      </c>
      <c r="DX38" s="72">
        <v>0</v>
      </c>
      <c r="DY38" s="72">
        <v>0</v>
      </c>
      <c r="DZ38" s="72">
        <v>0</v>
      </c>
      <c r="EA38" s="72">
        <v>0</v>
      </c>
      <c r="EB38" s="72">
        <v>0</v>
      </c>
      <c r="EC38" s="72">
        <v>0</v>
      </c>
      <c r="ED38" s="72">
        <v>0</v>
      </c>
      <c r="EE38" s="72">
        <v>0</v>
      </c>
      <c r="EF38" s="72">
        <v>0</v>
      </c>
      <c r="EG38" s="72">
        <v>0</v>
      </c>
      <c r="EH38" s="72">
        <v>0</v>
      </c>
      <c r="EI38" s="72">
        <v>0</v>
      </c>
      <c r="EJ38" s="72">
        <v>0</v>
      </c>
      <c r="EK38" s="72">
        <v>0</v>
      </c>
      <c r="EL38" s="72">
        <v>0</v>
      </c>
    </row>
    <row r="39" spans="1:142" s="6" customFormat="1" x14ac:dyDescent="0.35">
      <c r="A39" s="59">
        <f>Данные!A39</f>
        <v>4848</v>
      </c>
      <c r="B39" s="59">
        <f>Данные!B39</f>
        <v>2015</v>
      </c>
      <c r="C39" s="59" t="str">
        <f>Данные!C39</f>
        <v>компьютерных технологий и электронного обучения</v>
      </c>
      <c r="D39" s="59" t="str">
        <f>Данные!D39</f>
        <v>Ильина Татьяна Сергеевна</v>
      </c>
      <c r="E39" s="59" t="str">
        <f>Данные!E39</f>
        <v>нет</v>
      </c>
      <c r="F39" s="59" t="str">
        <f>Данные!F39</f>
        <v>старший преподаватель</v>
      </c>
      <c r="G39" s="59">
        <f>Данные!G39</f>
        <v>1</v>
      </c>
      <c r="H39" s="59">
        <f>Данные!H39</f>
        <v>14014</v>
      </c>
      <c r="I39" s="59" t="str">
        <f>Данные!I39</f>
        <v>Модуль "ИТ в математике и физике". Информационные технологии в математике</v>
      </c>
      <c r="J39" s="59">
        <f>Данные!J39</f>
        <v>0</v>
      </c>
      <c r="K39" s="59">
        <f>Данные!K39</f>
        <v>0</v>
      </c>
      <c r="L39" s="59">
        <f>Данные!L39</f>
        <v>36</v>
      </c>
      <c r="M39" s="60">
        <f t="shared" si="0"/>
        <v>3.6</v>
      </c>
      <c r="N39" s="60">
        <f t="shared" ca="1" si="1"/>
        <v>6.29</v>
      </c>
      <c r="O39" s="60">
        <f t="shared" ca="1" si="2"/>
        <v>3.25</v>
      </c>
      <c r="P39" s="60">
        <f t="shared" ca="1" si="3"/>
        <v>3.25</v>
      </c>
      <c r="Q39" s="54">
        <f>Данные!Q39</f>
        <v>0</v>
      </c>
      <c r="R39" s="54">
        <f>Данные!R39</f>
        <v>0</v>
      </c>
      <c r="S39" s="54">
        <f>Данные!S39</f>
        <v>0</v>
      </c>
      <c r="T39" s="54">
        <f>Данные!T39</f>
        <v>0</v>
      </c>
      <c r="U39" s="54">
        <f>Данные!U39</f>
        <v>0</v>
      </c>
      <c r="V39" s="54">
        <f>Данные!V39</f>
        <v>0</v>
      </c>
      <c r="W39" s="54">
        <f ca="1">Данные!W39</f>
        <v>13</v>
      </c>
      <c r="X39" s="54" t="str">
        <f ca="1">Данные!X39</f>
        <v>1</v>
      </c>
      <c r="Y39" s="54" t="str">
        <f ca="1">Данные!Y39</f>
        <v>1</v>
      </c>
      <c r="Z39" s="54">
        <f>Данные!Z39</f>
        <v>0</v>
      </c>
      <c r="AA39" s="54" t="str">
        <f>Данные!AA39</f>
        <v>осн</v>
      </c>
      <c r="AB39" s="101">
        <f t="shared" si="4"/>
        <v>850</v>
      </c>
      <c r="AC39" s="101" t="str">
        <f t="shared" si="5"/>
        <v>ИВТ (бак)</v>
      </c>
      <c r="AD39" s="101" t="str">
        <f t="shared" si="6"/>
        <v>2015–2016</v>
      </c>
      <c r="AE39" s="102">
        <f t="shared" ca="1" si="7"/>
        <v>52.39</v>
      </c>
      <c r="AF39" s="103">
        <f t="shared" ca="1" si="8"/>
        <v>6.1635294117647059E-2</v>
      </c>
      <c r="AG39" s="101"/>
      <c r="AH39" s="101"/>
      <c r="AI39"/>
      <c r="BM39"/>
      <c r="BN39"/>
      <c r="BO39"/>
      <c r="BQ39" s="72">
        <v>0</v>
      </c>
      <c r="BR39" s="72">
        <v>0</v>
      </c>
      <c r="BS39" s="72">
        <v>0</v>
      </c>
      <c r="BT39" s="72">
        <v>0</v>
      </c>
      <c r="BU39" s="72">
        <v>0</v>
      </c>
      <c r="BV39" s="72">
        <v>0</v>
      </c>
      <c r="BW39" s="72">
        <v>0</v>
      </c>
      <c r="BX39" s="72">
        <v>0</v>
      </c>
      <c r="BY39" s="72">
        <v>0</v>
      </c>
      <c r="BZ39" s="72">
        <v>0</v>
      </c>
      <c r="CA39" s="72">
        <v>0</v>
      </c>
      <c r="CB39" s="72">
        <v>0</v>
      </c>
      <c r="CC39" s="72">
        <v>0</v>
      </c>
      <c r="CD39" s="72">
        <v>0</v>
      </c>
      <c r="CE39" s="72">
        <v>0</v>
      </c>
      <c r="CF39" s="72">
        <v>0</v>
      </c>
      <c r="CG39" s="72">
        <v>0</v>
      </c>
      <c r="CH39" s="72">
        <v>0</v>
      </c>
      <c r="CI39" s="72">
        <v>0</v>
      </c>
      <c r="CJ39" s="72">
        <v>0</v>
      </c>
      <c r="CK39" s="72">
        <v>0</v>
      </c>
      <c r="CL39" s="72">
        <v>0</v>
      </c>
      <c r="CM39" s="72">
        <v>0</v>
      </c>
      <c r="CN39" s="72">
        <v>0</v>
      </c>
      <c r="CO39" s="72">
        <v>0</v>
      </c>
      <c r="CP39" s="72">
        <v>0</v>
      </c>
      <c r="CQ39" s="72">
        <v>0</v>
      </c>
      <c r="CR39" s="72">
        <v>0</v>
      </c>
      <c r="CS39" s="72">
        <v>0</v>
      </c>
      <c r="CT39" s="72">
        <v>0</v>
      </c>
      <c r="CU39" s="72">
        <v>0</v>
      </c>
      <c r="CV39" s="72">
        <v>0</v>
      </c>
      <c r="CW39" s="72">
        <v>0</v>
      </c>
      <c r="CX39" s="72">
        <v>0</v>
      </c>
      <c r="CY39" s="72">
        <v>0</v>
      </c>
      <c r="CZ39" s="72">
        <v>0</v>
      </c>
      <c r="DA39" s="72">
        <v>0</v>
      </c>
      <c r="DB39" s="72">
        <v>0</v>
      </c>
      <c r="DC39" s="72">
        <v>0</v>
      </c>
      <c r="DD39" s="72">
        <v>0</v>
      </c>
      <c r="DE39" s="72">
        <v>0</v>
      </c>
      <c r="DF39" s="72">
        <v>0</v>
      </c>
      <c r="DG39" s="72">
        <v>0</v>
      </c>
      <c r="DH39" s="72">
        <v>0</v>
      </c>
      <c r="DI39" s="72">
        <v>0</v>
      </c>
      <c r="DJ39" s="72">
        <v>0</v>
      </c>
      <c r="DK39" s="72">
        <v>0</v>
      </c>
      <c r="DL39" s="72">
        <v>0</v>
      </c>
      <c r="DM39" s="72">
        <v>0</v>
      </c>
      <c r="DN39" s="72">
        <v>0</v>
      </c>
      <c r="DO39" s="72">
        <v>0</v>
      </c>
      <c r="DP39" s="72">
        <v>0</v>
      </c>
      <c r="DQ39" s="72">
        <v>0</v>
      </c>
      <c r="DR39" s="72">
        <v>0</v>
      </c>
      <c r="DS39" s="72">
        <v>0</v>
      </c>
      <c r="DT39" s="72">
        <v>0</v>
      </c>
      <c r="DU39" s="72">
        <v>0</v>
      </c>
      <c r="DV39" s="72">
        <v>0</v>
      </c>
      <c r="DW39" s="72">
        <v>0</v>
      </c>
      <c r="DX39" s="72">
        <v>0</v>
      </c>
      <c r="DY39" s="72">
        <v>0</v>
      </c>
      <c r="DZ39" s="72">
        <v>0</v>
      </c>
      <c r="EA39" s="72">
        <v>0</v>
      </c>
      <c r="EB39" s="72">
        <v>0</v>
      </c>
      <c r="EC39" s="72">
        <v>0</v>
      </c>
      <c r="ED39" s="72">
        <v>0</v>
      </c>
      <c r="EE39" s="72">
        <v>0</v>
      </c>
      <c r="EF39" s="72">
        <v>0</v>
      </c>
      <c r="EG39" s="72">
        <v>0</v>
      </c>
      <c r="EH39" s="72">
        <v>0</v>
      </c>
      <c r="EI39" s="72">
        <v>0</v>
      </c>
      <c r="EJ39" s="72">
        <v>0</v>
      </c>
      <c r="EK39" s="72">
        <v>0</v>
      </c>
      <c r="EL39" s="72">
        <v>0</v>
      </c>
    </row>
    <row r="40" spans="1:142" s="6" customFormat="1" x14ac:dyDescent="0.35">
      <c r="A40" s="59">
        <f>Данные!A40</f>
        <v>4848</v>
      </c>
      <c r="B40" s="59">
        <f>Данные!B40</f>
        <v>2016</v>
      </c>
      <c r="C40" s="59" t="str">
        <f>Данные!C40</f>
        <v>компьютерных технологий и электронного обучения</v>
      </c>
      <c r="D40" s="59" t="str">
        <f>Данные!D40</f>
        <v>Абрамян Геннадий Владимирович</v>
      </c>
      <c r="E40" s="59" t="str">
        <f>Данные!E40</f>
        <v>доктор педагогических наук</v>
      </c>
      <c r="F40" s="59" t="str">
        <f>Данные!F40</f>
        <v>профессор</v>
      </c>
      <c r="G40" s="59">
        <f>Данные!G40</f>
        <v>1</v>
      </c>
      <c r="H40" s="59">
        <f>Данные!H40</f>
        <v>15377</v>
      </c>
      <c r="I40" s="59" t="str">
        <f>Данные!I40</f>
        <v>Базы данных</v>
      </c>
      <c r="J40" s="59">
        <f>Данные!J40</f>
        <v>36</v>
      </c>
      <c r="K40" s="59">
        <f>Данные!K40</f>
        <v>12</v>
      </c>
      <c r="L40" s="59">
        <f>Данные!L40</f>
        <v>26</v>
      </c>
      <c r="M40" s="60">
        <f t="shared" si="0"/>
        <v>7.4</v>
      </c>
      <c r="N40" s="60">
        <f t="shared" ca="1" si="1"/>
        <v>6.29</v>
      </c>
      <c r="O40" s="60">
        <f t="shared" ca="1" si="2"/>
        <v>3.25</v>
      </c>
      <c r="P40" s="60">
        <f t="shared" ca="1" si="3"/>
        <v>3.25</v>
      </c>
      <c r="Q40" s="54">
        <f>Данные!Q40</f>
        <v>0</v>
      </c>
      <c r="R40" s="54">
        <f>Данные!R40</f>
        <v>0</v>
      </c>
      <c r="S40" s="54">
        <f>Данные!S40</f>
        <v>0</v>
      </c>
      <c r="T40" s="54">
        <f>Данные!T40</f>
        <v>0</v>
      </c>
      <c r="U40" s="54">
        <f>Данные!U40</f>
        <v>0</v>
      </c>
      <c r="V40" s="54">
        <f>Данные!V40</f>
        <v>0</v>
      </c>
      <c r="W40" s="54">
        <f ca="1">Данные!W40</f>
        <v>13</v>
      </c>
      <c r="X40" s="54" t="str">
        <f ca="1">Данные!X40</f>
        <v>1</v>
      </c>
      <c r="Y40" s="54" t="str">
        <f ca="1">Данные!Y40</f>
        <v>1</v>
      </c>
      <c r="Z40" s="54">
        <f>Данные!Z40</f>
        <v>0</v>
      </c>
      <c r="AA40" s="54" t="str">
        <f>Данные!AA40</f>
        <v>осн</v>
      </c>
      <c r="AB40" s="101">
        <f t="shared" si="4"/>
        <v>750</v>
      </c>
      <c r="AC40" s="101" t="str">
        <f t="shared" si="5"/>
        <v>ИВТ (бак)</v>
      </c>
      <c r="AD40" s="101" t="str">
        <f t="shared" si="6"/>
        <v/>
      </c>
      <c r="AE40" s="102">
        <f t="shared" ca="1" si="7"/>
        <v>94.190000000000012</v>
      </c>
      <c r="AF40" s="103">
        <f t="shared" ca="1" si="8"/>
        <v>0.12558666666666668</v>
      </c>
      <c r="AG40" s="101"/>
      <c r="AH40" s="101"/>
      <c r="AI40"/>
      <c r="BM40"/>
      <c r="BN40"/>
      <c r="BO40"/>
      <c r="BQ40" s="72">
        <v>0</v>
      </c>
      <c r="BR40" s="72">
        <v>0</v>
      </c>
      <c r="BS40" s="72">
        <v>0</v>
      </c>
      <c r="BT40" s="72">
        <v>0</v>
      </c>
      <c r="BU40" s="72">
        <v>0</v>
      </c>
      <c r="BV40" s="72">
        <v>0</v>
      </c>
      <c r="BW40" s="72">
        <v>0</v>
      </c>
      <c r="BX40" s="72">
        <v>0</v>
      </c>
      <c r="BY40" s="72">
        <v>0</v>
      </c>
      <c r="BZ40" s="72">
        <v>0</v>
      </c>
      <c r="CA40" s="72">
        <v>0</v>
      </c>
      <c r="CB40" s="72">
        <v>0</v>
      </c>
      <c r="CC40" s="72">
        <v>0</v>
      </c>
      <c r="CD40" s="72">
        <v>0</v>
      </c>
      <c r="CE40" s="72">
        <v>0</v>
      </c>
      <c r="CF40" s="72">
        <v>0</v>
      </c>
      <c r="CG40" s="72">
        <v>0</v>
      </c>
      <c r="CH40" s="72">
        <v>0</v>
      </c>
      <c r="CI40" s="72">
        <v>0</v>
      </c>
      <c r="CJ40" s="72">
        <v>0</v>
      </c>
      <c r="CK40" s="72">
        <v>0</v>
      </c>
      <c r="CL40" s="72">
        <v>0</v>
      </c>
      <c r="CM40" s="72">
        <v>0</v>
      </c>
      <c r="CN40" s="72">
        <v>0</v>
      </c>
      <c r="CO40" s="72">
        <v>0</v>
      </c>
      <c r="CP40" s="72">
        <v>0</v>
      </c>
      <c r="CQ40" s="72">
        <v>0</v>
      </c>
      <c r="CR40" s="72">
        <v>0</v>
      </c>
      <c r="CS40" s="72">
        <v>0</v>
      </c>
      <c r="CT40" s="72">
        <v>0</v>
      </c>
      <c r="CU40" s="72">
        <v>0</v>
      </c>
      <c r="CV40" s="72">
        <v>0</v>
      </c>
      <c r="CW40" s="72">
        <v>0</v>
      </c>
      <c r="CX40" s="72">
        <v>0</v>
      </c>
      <c r="CY40" s="72">
        <v>0</v>
      </c>
      <c r="CZ40" s="72">
        <v>0</v>
      </c>
      <c r="DA40" s="72">
        <v>0</v>
      </c>
      <c r="DB40" s="72">
        <v>0</v>
      </c>
      <c r="DC40" s="72">
        <v>0</v>
      </c>
      <c r="DD40" s="72">
        <v>0</v>
      </c>
      <c r="DE40" s="72">
        <v>0</v>
      </c>
      <c r="DF40" s="72">
        <v>0</v>
      </c>
      <c r="DG40" s="72">
        <v>0</v>
      </c>
      <c r="DH40" s="72">
        <v>0</v>
      </c>
      <c r="DI40" s="72">
        <v>0</v>
      </c>
      <c r="DJ40" s="72">
        <v>0</v>
      </c>
      <c r="DK40" s="72">
        <v>0</v>
      </c>
      <c r="DL40" s="72">
        <v>0</v>
      </c>
      <c r="DM40" s="72">
        <v>0</v>
      </c>
      <c r="DN40" s="72">
        <v>0</v>
      </c>
      <c r="DO40" s="72">
        <v>0</v>
      </c>
      <c r="DP40" s="72">
        <v>0</v>
      </c>
      <c r="DQ40" s="72">
        <v>0</v>
      </c>
      <c r="DR40" s="72">
        <v>0</v>
      </c>
      <c r="DS40" s="72">
        <v>0</v>
      </c>
      <c r="DT40" s="72">
        <v>0</v>
      </c>
      <c r="DU40" s="72">
        <v>0</v>
      </c>
      <c r="DV40" s="72">
        <v>0</v>
      </c>
      <c r="DW40" s="72">
        <v>0</v>
      </c>
      <c r="DX40" s="72">
        <v>0</v>
      </c>
      <c r="DY40" s="72">
        <v>0</v>
      </c>
      <c r="DZ40" s="72">
        <v>0</v>
      </c>
      <c r="EA40" s="72">
        <v>0</v>
      </c>
      <c r="EB40" s="72">
        <v>0</v>
      </c>
      <c r="EC40" s="72">
        <v>0</v>
      </c>
      <c r="ED40" s="72">
        <v>0</v>
      </c>
      <c r="EE40" s="72">
        <v>0</v>
      </c>
      <c r="EF40" s="72">
        <v>0</v>
      </c>
      <c r="EG40" s="72">
        <v>0</v>
      </c>
      <c r="EH40" s="72">
        <v>0</v>
      </c>
      <c r="EI40" s="72">
        <v>0</v>
      </c>
      <c r="EJ40" s="72">
        <v>0</v>
      </c>
      <c r="EK40" s="72">
        <v>0</v>
      </c>
      <c r="EL40" s="72">
        <v>0</v>
      </c>
    </row>
    <row r="41" spans="1:142" s="6" customFormat="1" x14ac:dyDescent="0.35">
      <c r="A41" s="59">
        <f>Данные!A41</f>
        <v>4848</v>
      </c>
      <c r="B41" s="59">
        <f>Данные!B41</f>
        <v>2016</v>
      </c>
      <c r="C41" s="59" t="str">
        <f>Данные!C41</f>
        <v>компьютерных технологий и электронного обучения</v>
      </c>
      <c r="D41" s="59" t="str">
        <f>Данные!D41</f>
        <v>Абрамян Геннадий Владимирович</v>
      </c>
      <c r="E41" s="59" t="str">
        <f>Данные!E41</f>
        <v>доктор педагогических наук</v>
      </c>
      <c r="F41" s="59" t="str">
        <f>Данные!F41</f>
        <v>профессор</v>
      </c>
      <c r="G41" s="59">
        <f>Данные!G41</f>
        <v>1</v>
      </c>
      <c r="H41" s="59">
        <f>Данные!H41</f>
        <v>15377</v>
      </c>
      <c r="I41" s="59" t="str">
        <f>Данные!I41</f>
        <v>Операционные системы</v>
      </c>
      <c r="J41" s="59">
        <f>Данные!J41</f>
        <v>4</v>
      </c>
      <c r="K41" s="59">
        <f>Данные!K41</f>
        <v>14</v>
      </c>
      <c r="L41" s="59">
        <f>Данные!L41</f>
        <v>14</v>
      </c>
      <c r="M41" s="60">
        <f t="shared" si="0"/>
        <v>3.2</v>
      </c>
      <c r="N41" s="60">
        <f t="shared" ca="1" si="1"/>
        <v>6.29</v>
      </c>
      <c r="O41" s="60">
        <f t="shared" ca="1" si="2"/>
        <v>3.25</v>
      </c>
      <c r="P41" s="60">
        <f t="shared" ca="1" si="3"/>
        <v>3.25</v>
      </c>
      <c r="Q41" s="54">
        <f>Данные!Q41</f>
        <v>0</v>
      </c>
      <c r="R41" s="54">
        <f>Данные!R41</f>
        <v>0</v>
      </c>
      <c r="S41" s="54">
        <f>Данные!S41</f>
        <v>0</v>
      </c>
      <c r="T41" s="54">
        <f>Данные!T41</f>
        <v>0</v>
      </c>
      <c r="U41" s="54">
        <f>Данные!U41</f>
        <v>0</v>
      </c>
      <c r="V41" s="54">
        <f>Данные!V41</f>
        <v>0</v>
      </c>
      <c r="W41" s="54">
        <f ca="1">Данные!W41</f>
        <v>13</v>
      </c>
      <c r="X41" s="54" t="str">
        <f ca="1">Данные!X41</f>
        <v>1</v>
      </c>
      <c r="Y41" s="54" t="str">
        <f ca="1">Данные!Y41</f>
        <v>1</v>
      </c>
      <c r="Z41" s="54">
        <f>Данные!Z41</f>
        <v>0</v>
      </c>
      <c r="AA41" s="54" t="str">
        <f>Данные!AA41</f>
        <v>осн</v>
      </c>
      <c r="AB41" s="101">
        <f t="shared" si="4"/>
        <v>750</v>
      </c>
      <c r="AC41" s="101" t="str">
        <f t="shared" si="5"/>
        <v>ИВТ (бак)</v>
      </c>
      <c r="AD41" s="101" t="str">
        <f t="shared" si="6"/>
        <v/>
      </c>
      <c r="AE41" s="102">
        <f t="shared" ca="1" si="7"/>
        <v>47.99</v>
      </c>
      <c r="AF41" s="103">
        <f t="shared" ca="1" si="8"/>
        <v>6.3986666666666664E-2</v>
      </c>
      <c r="AG41" s="101"/>
      <c r="AH41" s="101"/>
      <c r="AI41"/>
      <c r="BM41"/>
      <c r="BN41"/>
      <c r="BO41"/>
      <c r="BQ41" s="72">
        <v>0</v>
      </c>
      <c r="BR41" s="72">
        <v>0</v>
      </c>
      <c r="BS41" s="72">
        <v>0</v>
      </c>
      <c r="BT41" s="72">
        <v>0</v>
      </c>
      <c r="BU41" s="72">
        <v>0</v>
      </c>
      <c r="BV41" s="72">
        <v>0</v>
      </c>
      <c r="BW41" s="72">
        <v>0</v>
      </c>
      <c r="BX41" s="72">
        <v>0</v>
      </c>
      <c r="BY41" s="72">
        <v>0</v>
      </c>
      <c r="BZ41" s="72">
        <v>0</v>
      </c>
      <c r="CA41" s="72">
        <v>0</v>
      </c>
      <c r="CB41" s="72">
        <v>0</v>
      </c>
      <c r="CC41" s="72">
        <v>0</v>
      </c>
      <c r="CD41" s="72">
        <v>0</v>
      </c>
      <c r="CE41" s="72">
        <v>0</v>
      </c>
      <c r="CF41" s="72">
        <v>0</v>
      </c>
      <c r="CG41" s="72">
        <v>0</v>
      </c>
      <c r="CH41" s="72">
        <v>0</v>
      </c>
      <c r="CI41" s="72">
        <v>0</v>
      </c>
      <c r="CJ41" s="72">
        <v>0</v>
      </c>
      <c r="CK41" s="72">
        <v>0</v>
      </c>
      <c r="CL41" s="72">
        <v>0</v>
      </c>
      <c r="CM41" s="72">
        <v>0</v>
      </c>
      <c r="CN41" s="72">
        <v>0</v>
      </c>
      <c r="CO41" s="72">
        <v>0</v>
      </c>
      <c r="CP41" s="72">
        <v>0</v>
      </c>
      <c r="CQ41" s="72">
        <v>0</v>
      </c>
      <c r="CR41" s="72">
        <v>0</v>
      </c>
      <c r="CS41" s="72">
        <v>0</v>
      </c>
      <c r="CT41" s="72">
        <v>0</v>
      </c>
      <c r="CU41" s="72">
        <v>0</v>
      </c>
      <c r="CV41" s="72">
        <v>0</v>
      </c>
      <c r="CW41" s="72">
        <v>0</v>
      </c>
      <c r="CX41" s="72">
        <v>0</v>
      </c>
      <c r="CY41" s="72">
        <v>0</v>
      </c>
      <c r="CZ41" s="72">
        <v>0</v>
      </c>
      <c r="DA41" s="72">
        <v>0</v>
      </c>
      <c r="DB41" s="72">
        <v>0</v>
      </c>
      <c r="DC41" s="72">
        <v>0</v>
      </c>
      <c r="DD41" s="72">
        <v>0</v>
      </c>
      <c r="DE41" s="72">
        <v>0</v>
      </c>
      <c r="DF41" s="72">
        <v>0</v>
      </c>
      <c r="DG41" s="72">
        <v>0</v>
      </c>
      <c r="DH41" s="72">
        <v>0</v>
      </c>
      <c r="DI41" s="72">
        <v>0</v>
      </c>
      <c r="DJ41" s="72">
        <v>0</v>
      </c>
      <c r="DK41" s="72">
        <v>0</v>
      </c>
      <c r="DL41" s="72">
        <v>0</v>
      </c>
      <c r="DM41" s="72">
        <v>0</v>
      </c>
      <c r="DN41" s="72">
        <v>0</v>
      </c>
      <c r="DO41" s="72">
        <v>0</v>
      </c>
      <c r="DP41" s="72">
        <v>0</v>
      </c>
      <c r="DQ41" s="72">
        <v>0</v>
      </c>
      <c r="DR41" s="72">
        <v>0</v>
      </c>
      <c r="DS41" s="72">
        <v>0</v>
      </c>
      <c r="DT41" s="72">
        <v>0</v>
      </c>
      <c r="DU41" s="72">
        <v>0</v>
      </c>
      <c r="DV41" s="72">
        <v>0</v>
      </c>
      <c r="DW41" s="72">
        <v>0</v>
      </c>
      <c r="DX41" s="72">
        <v>0</v>
      </c>
      <c r="DY41" s="72">
        <v>0</v>
      </c>
      <c r="DZ41" s="72">
        <v>0</v>
      </c>
      <c r="EA41" s="72">
        <v>0</v>
      </c>
      <c r="EB41" s="72">
        <v>0</v>
      </c>
      <c r="EC41" s="72">
        <v>0</v>
      </c>
      <c r="ED41" s="72">
        <v>0</v>
      </c>
      <c r="EE41" s="72">
        <v>0</v>
      </c>
      <c r="EF41" s="72">
        <v>0</v>
      </c>
      <c r="EG41" s="72">
        <v>0</v>
      </c>
      <c r="EH41" s="72">
        <v>0</v>
      </c>
      <c r="EI41" s="72">
        <v>0</v>
      </c>
      <c r="EJ41" s="72">
        <v>0</v>
      </c>
      <c r="EK41" s="72">
        <v>0</v>
      </c>
      <c r="EL41" s="72">
        <v>0</v>
      </c>
    </row>
    <row r="42" spans="1:142" s="6" customFormat="1" x14ac:dyDescent="0.35">
      <c r="A42" s="59">
        <f>Данные!A42</f>
        <v>4848</v>
      </c>
      <c r="B42" s="59">
        <f>Данные!B42</f>
        <v>2016</v>
      </c>
      <c r="C42" s="59" t="str">
        <f>Данные!C42</f>
        <v>компьютерных технологий и электронного обучения</v>
      </c>
      <c r="D42" s="59" t="str">
        <f>Данные!D42</f>
        <v>Абрамян Геннадий Владимирович</v>
      </c>
      <c r="E42" s="59" t="str">
        <f>Данные!E42</f>
        <v>доктор педагогических наук</v>
      </c>
      <c r="F42" s="59" t="str">
        <f>Данные!F42</f>
        <v>профессор</v>
      </c>
      <c r="G42" s="59">
        <f>Данные!G42</f>
        <v>1</v>
      </c>
      <c r="H42" s="59">
        <f>Данные!H42</f>
        <v>15377</v>
      </c>
      <c r="I42" s="59" t="str">
        <f>Данные!I42</f>
        <v>Программирование</v>
      </c>
      <c r="J42" s="59">
        <f>Данные!J42</f>
        <v>34</v>
      </c>
      <c r="K42" s="59">
        <f>Данные!K42</f>
        <v>0</v>
      </c>
      <c r="L42" s="59">
        <f>Данные!L42</f>
        <v>0</v>
      </c>
      <c r="M42" s="60">
        <f t="shared" si="0"/>
        <v>3.4</v>
      </c>
      <c r="N42" s="60">
        <f t="shared" ca="1" si="1"/>
        <v>6.29</v>
      </c>
      <c r="O42" s="60">
        <f t="shared" ca="1" si="2"/>
        <v>3.25</v>
      </c>
      <c r="P42" s="60">
        <f t="shared" ca="1" si="3"/>
        <v>3.25</v>
      </c>
      <c r="Q42" s="54">
        <f>Данные!Q42</f>
        <v>0</v>
      </c>
      <c r="R42" s="54">
        <f>Данные!R42</f>
        <v>0</v>
      </c>
      <c r="S42" s="54">
        <f>Данные!S42</f>
        <v>0</v>
      </c>
      <c r="T42" s="54">
        <f>Данные!T42</f>
        <v>0</v>
      </c>
      <c r="U42" s="54">
        <f>Данные!U42</f>
        <v>0</v>
      </c>
      <c r="V42" s="54">
        <f>Данные!V42</f>
        <v>0</v>
      </c>
      <c r="W42" s="54">
        <f ca="1">Данные!W42</f>
        <v>13</v>
      </c>
      <c r="X42" s="54" t="str">
        <f ca="1">Данные!X42</f>
        <v>1</v>
      </c>
      <c r="Y42" s="54" t="str">
        <f ca="1">Данные!Y42</f>
        <v>1</v>
      </c>
      <c r="Z42" s="54">
        <f>Данные!Z42</f>
        <v>0</v>
      </c>
      <c r="AA42" s="54">
        <f>Данные!AA42</f>
        <v>0</v>
      </c>
      <c r="AB42" s="101">
        <f t="shared" si="4"/>
        <v>750</v>
      </c>
      <c r="AC42" s="101" t="str">
        <f t="shared" si="5"/>
        <v>ИВТ (бак)</v>
      </c>
      <c r="AD42" s="101" t="str">
        <f t="shared" si="6"/>
        <v/>
      </c>
      <c r="AE42" s="102">
        <f t="shared" ca="1" si="7"/>
        <v>50.19</v>
      </c>
      <c r="AF42" s="103">
        <f t="shared" ca="1" si="8"/>
        <v>6.6919999999999993E-2</v>
      </c>
      <c r="AG42" s="101"/>
      <c r="AH42" s="101"/>
      <c r="AI42"/>
      <c r="BM42"/>
      <c r="BN42"/>
      <c r="BO42"/>
      <c r="BQ42" s="72">
        <v>0</v>
      </c>
      <c r="BR42" s="72">
        <v>0</v>
      </c>
      <c r="BS42" s="72">
        <v>0</v>
      </c>
      <c r="BT42" s="72">
        <v>0</v>
      </c>
      <c r="BU42" s="72">
        <v>0</v>
      </c>
      <c r="BV42" s="72">
        <v>0</v>
      </c>
      <c r="BW42" s="72">
        <v>0</v>
      </c>
      <c r="BX42" s="72">
        <v>0</v>
      </c>
      <c r="BY42" s="72">
        <v>0</v>
      </c>
      <c r="BZ42" s="72">
        <v>0</v>
      </c>
      <c r="CA42" s="72">
        <v>0</v>
      </c>
      <c r="CB42" s="72">
        <v>0</v>
      </c>
      <c r="CC42" s="72">
        <v>0</v>
      </c>
      <c r="CD42" s="72">
        <v>0</v>
      </c>
      <c r="CE42" s="72">
        <v>0</v>
      </c>
      <c r="CF42" s="72">
        <v>0</v>
      </c>
      <c r="CG42" s="72">
        <v>0</v>
      </c>
      <c r="CH42" s="72">
        <v>0</v>
      </c>
      <c r="CI42" s="72">
        <v>0</v>
      </c>
      <c r="CJ42" s="72">
        <v>0</v>
      </c>
      <c r="CK42" s="72">
        <v>0</v>
      </c>
      <c r="CL42" s="72">
        <v>0</v>
      </c>
      <c r="CM42" s="72">
        <v>0</v>
      </c>
      <c r="CN42" s="72">
        <v>0</v>
      </c>
      <c r="CO42" s="72">
        <v>0</v>
      </c>
      <c r="CP42" s="72">
        <v>0</v>
      </c>
      <c r="CQ42" s="72">
        <v>0</v>
      </c>
      <c r="CR42" s="72">
        <v>0</v>
      </c>
      <c r="CS42" s="72">
        <v>0</v>
      </c>
      <c r="CT42" s="72">
        <v>0</v>
      </c>
      <c r="CU42" s="72">
        <v>0</v>
      </c>
      <c r="CV42" s="72">
        <v>0</v>
      </c>
      <c r="CW42" s="72">
        <v>0</v>
      </c>
      <c r="CX42" s="72">
        <v>0</v>
      </c>
      <c r="CY42" s="72">
        <v>0</v>
      </c>
      <c r="CZ42" s="72">
        <v>0</v>
      </c>
      <c r="DA42" s="72">
        <v>0</v>
      </c>
      <c r="DB42" s="72">
        <v>0</v>
      </c>
      <c r="DC42" s="72">
        <v>0</v>
      </c>
      <c r="DD42" s="72">
        <v>0</v>
      </c>
      <c r="DE42" s="72">
        <v>0</v>
      </c>
      <c r="DF42" s="72">
        <v>0</v>
      </c>
      <c r="DG42" s="72">
        <v>0</v>
      </c>
      <c r="DH42" s="72">
        <v>0</v>
      </c>
      <c r="DI42" s="72">
        <v>0</v>
      </c>
      <c r="DJ42" s="72">
        <v>0</v>
      </c>
      <c r="DK42" s="72">
        <v>0</v>
      </c>
      <c r="DL42" s="72">
        <v>0</v>
      </c>
      <c r="DM42" s="72">
        <v>0</v>
      </c>
      <c r="DN42" s="72">
        <v>0</v>
      </c>
      <c r="DO42" s="72">
        <v>0</v>
      </c>
      <c r="DP42" s="72">
        <v>0</v>
      </c>
      <c r="DQ42" s="72">
        <v>0</v>
      </c>
      <c r="DR42" s="72">
        <v>0</v>
      </c>
      <c r="DS42" s="72">
        <v>0</v>
      </c>
      <c r="DT42" s="72">
        <v>0</v>
      </c>
      <c r="DU42" s="72">
        <v>0</v>
      </c>
      <c r="DV42" s="72">
        <v>0</v>
      </c>
      <c r="DW42" s="72">
        <v>0</v>
      </c>
      <c r="DX42" s="72">
        <v>0</v>
      </c>
      <c r="DY42" s="72">
        <v>0</v>
      </c>
      <c r="DZ42" s="72">
        <v>0</v>
      </c>
      <c r="EA42" s="72">
        <v>0</v>
      </c>
      <c r="EB42" s="72">
        <v>0</v>
      </c>
      <c r="EC42" s="72">
        <v>0</v>
      </c>
      <c r="ED42" s="72">
        <v>0</v>
      </c>
      <c r="EE42" s="72">
        <v>0</v>
      </c>
      <c r="EF42" s="72">
        <v>0</v>
      </c>
      <c r="EG42" s="72">
        <v>0</v>
      </c>
      <c r="EH42" s="72">
        <v>0</v>
      </c>
      <c r="EI42" s="72">
        <v>0</v>
      </c>
      <c r="EJ42" s="72">
        <v>0</v>
      </c>
      <c r="EK42" s="72">
        <v>0</v>
      </c>
      <c r="EL42" s="72">
        <v>0</v>
      </c>
    </row>
    <row r="43" spans="1:142" s="6" customFormat="1" x14ac:dyDescent="0.35">
      <c r="A43" s="59">
        <f>Данные!A43</f>
        <v>4848</v>
      </c>
      <c r="B43" s="59">
        <f>Данные!B43</f>
        <v>2016</v>
      </c>
      <c r="C43" s="59" t="str">
        <f>Данные!C43</f>
        <v>компьютерных технологий и электронного обучения</v>
      </c>
      <c r="D43" s="59" t="str">
        <f>Данные!D43</f>
        <v>Авксентьева Елена Юрьевна</v>
      </c>
      <c r="E43" s="59" t="str">
        <f>Данные!E43</f>
        <v>кандидат педагогических наук</v>
      </c>
      <c r="F43" s="59" t="str">
        <f>Данные!F43</f>
        <v>доцент</v>
      </c>
      <c r="G43" s="59">
        <f>Данные!G43</f>
        <v>1</v>
      </c>
      <c r="H43" s="59">
        <f>Данные!H43</f>
        <v>15377</v>
      </c>
      <c r="I43" s="59" t="str">
        <f>Данные!I43</f>
        <v>Модуль "Технологии и методы вычислений". Информационные технологии в решении задач оптимизации</v>
      </c>
      <c r="J43" s="59">
        <f>Данные!J43</f>
        <v>18</v>
      </c>
      <c r="K43" s="59">
        <f>Данные!K43</f>
        <v>0</v>
      </c>
      <c r="L43" s="59">
        <f>Данные!L43</f>
        <v>18</v>
      </c>
      <c r="M43" s="60">
        <f t="shared" si="0"/>
        <v>3.6</v>
      </c>
      <c r="N43" s="60">
        <f t="shared" ca="1" si="1"/>
        <v>6.29</v>
      </c>
      <c r="O43" s="60">
        <f t="shared" ca="1" si="2"/>
        <v>3.25</v>
      </c>
      <c r="P43" s="60">
        <f t="shared" ca="1" si="3"/>
        <v>3.25</v>
      </c>
      <c r="Q43" s="54">
        <f>Данные!Q43</f>
        <v>0</v>
      </c>
      <c r="R43" s="54">
        <f>Данные!R43</f>
        <v>0</v>
      </c>
      <c r="S43" s="54">
        <f>Данные!S43</f>
        <v>0</v>
      </c>
      <c r="T43" s="54">
        <f>Данные!T43</f>
        <v>0</v>
      </c>
      <c r="U43" s="54">
        <f>Данные!U43</f>
        <v>0</v>
      </c>
      <c r="V43" s="54">
        <f>Данные!V43</f>
        <v>0</v>
      </c>
      <c r="W43" s="54">
        <f ca="1">Данные!W43</f>
        <v>13</v>
      </c>
      <c r="X43" s="54" t="str">
        <f ca="1">Данные!X43</f>
        <v>1</v>
      </c>
      <c r="Y43" s="54" t="str">
        <f ca="1">Данные!Y43</f>
        <v>1</v>
      </c>
      <c r="Z43" s="54">
        <f>Данные!Z43</f>
        <v>0</v>
      </c>
      <c r="AA43" s="54" t="str">
        <f>Данные!AA43</f>
        <v>осн</v>
      </c>
      <c r="AB43" s="101">
        <f t="shared" si="4"/>
        <v>800</v>
      </c>
      <c r="AC43" s="101" t="str">
        <f t="shared" si="5"/>
        <v>ИВТ (бак)</v>
      </c>
      <c r="AD43" s="101" t="str">
        <f t="shared" si="6"/>
        <v/>
      </c>
      <c r="AE43" s="102">
        <f t="shared" ca="1" si="7"/>
        <v>52.39</v>
      </c>
      <c r="AF43" s="103">
        <f t="shared" ca="1" si="8"/>
        <v>6.5487500000000004E-2</v>
      </c>
      <c r="AG43" s="101"/>
      <c r="AH43" s="101"/>
      <c r="AI43"/>
      <c r="BM43"/>
      <c r="BN43"/>
      <c r="BO43"/>
      <c r="BQ43" s="72">
        <v>0</v>
      </c>
      <c r="BR43" s="72">
        <v>0</v>
      </c>
      <c r="BS43" s="72">
        <v>0</v>
      </c>
      <c r="BT43" s="72">
        <v>0</v>
      </c>
      <c r="BU43" s="72">
        <v>0</v>
      </c>
      <c r="BV43" s="72">
        <v>0</v>
      </c>
      <c r="BW43" s="72">
        <v>0</v>
      </c>
      <c r="BX43" s="72">
        <v>0</v>
      </c>
      <c r="BY43" s="72">
        <v>0</v>
      </c>
      <c r="BZ43" s="72">
        <v>0</v>
      </c>
      <c r="CA43" s="72">
        <v>0</v>
      </c>
      <c r="CB43" s="72">
        <v>0</v>
      </c>
      <c r="CC43" s="72">
        <v>0</v>
      </c>
      <c r="CD43" s="72">
        <v>0</v>
      </c>
      <c r="CE43" s="72">
        <v>0</v>
      </c>
      <c r="CF43" s="72">
        <v>0</v>
      </c>
      <c r="CG43" s="72">
        <v>0</v>
      </c>
      <c r="CH43" s="72">
        <v>0</v>
      </c>
      <c r="CI43" s="72">
        <v>0</v>
      </c>
      <c r="CJ43" s="72">
        <v>0</v>
      </c>
      <c r="CK43" s="72">
        <v>0</v>
      </c>
      <c r="CL43" s="72">
        <v>0</v>
      </c>
      <c r="CM43" s="72">
        <v>0</v>
      </c>
      <c r="CN43" s="72">
        <v>0</v>
      </c>
      <c r="CO43" s="72">
        <v>0</v>
      </c>
      <c r="CP43" s="72">
        <v>0</v>
      </c>
      <c r="CQ43" s="72">
        <v>0</v>
      </c>
      <c r="CR43" s="72">
        <v>0</v>
      </c>
      <c r="CS43" s="72">
        <v>0</v>
      </c>
      <c r="CT43" s="72">
        <v>0</v>
      </c>
      <c r="CU43" s="72">
        <v>0</v>
      </c>
      <c r="CV43" s="72">
        <v>0</v>
      </c>
      <c r="CW43" s="72">
        <v>0</v>
      </c>
      <c r="CX43" s="72">
        <v>0</v>
      </c>
      <c r="CY43" s="72">
        <v>0</v>
      </c>
      <c r="CZ43" s="72">
        <v>0</v>
      </c>
      <c r="DA43" s="72">
        <v>0</v>
      </c>
      <c r="DB43" s="72">
        <v>0</v>
      </c>
      <c r="DC43" s="72">
        <v>0</v>
      </c>
      <c r="DD43" s="72">
        <v>0</v>
      </c>
      <c r="DE43" s="72">
        <v>0</v>
      </c>
      <c r="DF43" s="72">
        <v>0</v>
      </c>
      <c r="DG43" s="72">
        <v>0</v>
      </c>
      <c r="DH43" s="72">
        <v>0</v>
      </c>
      <c r="DI43" s="72">
        <v>0</v>
      </c>
      <c r="DJ43" s="72">
        <v>0</v>
      </c>
      <c r="DK43" s="72">
        <v>0</v>
      </c>
      <c r="DL43" s="72">
        <v>0</v>
      </c>
      <c r="DM43" s="72">
        <v>0</v>
      </c>
      <c r="DN43" s="72">
        <v>0</v>
      </c>
      <c r="DO43" s="72">
        <v>0</v>
      </c>
      <c r="DP43" s="72">
        <v>0</v>
      </c>
      <c r="DQ43" s="72">
        <v>0</v>
      </c>
      <c r="DR43" s="72">
        <v>0</v>
      </c>
      <c r="DS43" s="72">
        <v>0</v>
      </c>
      <c r="DT43" s="72">
        <v>0</v>
      </c>
      <c r="DU43" s="72">
        <v>0</v>
      </c>
      <c r="DV43" s="72">
        <v>0</v>
      </c>
      <c r="DW43" s="72">
        <v>0</v>
      </c>
      <c r="DX43" s="72">
        <v>0</v>
      </c>
      <c r="DY43" s="72">
        <v>0</v>
      </c>
      <c r="DZ43" s="72">
        <v>0</v>
      </c>
      <c r="EA43" s="72">
        <v>0</v>
      </c>
      <c r="EB43" s="72">
        <v>0</v>
      </c>
      <c r="EC43" s="72">
        <v>0</v>
      </c>
      <c r="ED43" s="72">
        <v>0</v>
      </c>
      <c r="EE43" s="72">
        <v>0</v>
      </c>
      <c r="EF43" s="72">
        <v>0</v>
      </c>
      <c r="EG43" s="72">
        <v>0</v>
      </c>
      <c r="EH43" s="72">
        <v>0</v>
      </c>
      <c r="EI43" s="72">
        <v>0</v>
      </c>
      <c r="EJ43" s="72">
        <v>0</v>
      </c>
      <c r="EK43" s="72">
        <v>0</v>
      </c>
      <c r="EL43" s="72">
        <v>0</v>
      </c>
    </row>
    <row r="44" spans="1:142" s="6" customFormat="1" x14ac:dyDescent="0.35">
      <c r="A44" s="59">
        <f>Данные!A44</f>
        <v>4848</v>
      </c>
      <c r="B44" s="59">
        <f>Данные!B44</f>
        <v>2016</v>
      </c>
      <c r="C44" s="59" t="str">
        <f>Данные!C44</f>
        <v>компьютерных технологий и электронного обучения</v>
      </c>
      <c r="D44" s="59" t="str">
        <f>Данные!D44</f>
        <v>Власова Елена Зотиковна</v>
      </c>
      <c r="E44" s="59" t="str">
        <f>Данные!E44</f>
        <v>доктор педагогических наук</v>
      </c>
      <c r="F44" s="59" t="str">
        <f>Данные!F44</f>
        <v>заведующий кафедрой</v>
      </c>
      <c r="G44" s="59">
        <f>Данные!G44</f>
        <v>1</v>
      </c>
      <c r="H44" s="59">
        <f>Данные!H44</f>
        <v>15377</v>
      </c>
      <c r="I44" s="59" t="str">
        <f>Данные!I44</f>
        <v>Модуль "Технологии и методы вычислений"</v>
      </c>
      <c r="J44" s="59">
        <f>Данные!J44</f>
        <v>0</v>
      </c>
      <c r="K44" s="59">
        <f>Данные!K44</f>
        <v>0</v>
      </c>
      <c r="L44" s="59">
        <f>Данные!L44</f>
        <v>0</v>
      </c>
      <c r="M44" s="60">
        <f t="shared" si="0"/>
        <v>0</v>
      </c>
      <c r="N44" s="60">
        <f t="shared" ca="1" si="1"/>
        <v>6.29</v>
      </c>
      <c r="O44" s="60">
        <f t="shared" ca="1" si="2"/>
        <v>3.25</v>
      </c>
      <c r="P44" s="60">
        <f t="shared" ca="1" si="3"/>
        <v>3.25</v>
      </c>
      <c r="Q44" s="54">
        <f>Данные!Q44</f>
        <v>0</v>
      </c>
      <c r="R44" s="54">
        <f>Данные!R44</f>
        <v>0</v>
      </c>
      <c r="S44" s="54">
        <f>Данные!S44</f>
        <v>0</v>
      </c>
      <c r="T44" s="54">
        <f>Данные!T44</f>
        <v>0</v>
      </c>
      <c r="U44" s="54">
        <f>Данные!U44</f>
        <v>0</v>
      </c>
      <c r="V44" s="54">
        <f>Данные!V44</f>
        <v>0</v>
      </c>
      <c r="W44" s="54">
        <f ca="1">Данные!W44</f>
        <v>13</v>
      </c>
      <c r="X44" s="54" t="str">
        <f ca="1">Данные!X44</f>
        <v>1</v>
      </c>
      <c r="Y44" s="54" t="str">
        <f ca="1">Данные!Y44</f>
        <v>1</v>
      </c>
      <c r="Z44" s="54">
        <f>Данные!Z44</f>
        <v>0</v>
      </c>
      <c r="AA44" s="54" t="str">
        <f>Данные!AA44</f>
        <v>осн</v>
      </c>
      <c r="AB44" s="101">
        <f t="shared" si="4"/>
        <v>700</v>
      </c>
      <c r="AC44" s="101" t="str">
        <f t="shared" si="5"/>
        <v>ИВТ (бак)</v>
      </c>
      <c r="AD44" s="101" t="str">
        <f t="shared" si="6"/>
        <v/>
      </c>
      <c r="AE44" s="102">
        <f t="shared" ca="1" si="7"/>
        <v>12.79</v>
      </c>
      <c r="AF44" s="103">
        <f t="shared" ca="1" si="8"/>
        <v>1.827142857142857E-2</v>
      </c>
      <c r="AG44" s="101"/>
      <c r="AH44" s="101"/>
      <c r="AI44"/>
      <c r="BM44"/>
      <c r="BN44"/>
      <c r="BO44"/>
      <c r="BQ44" s="72">
        <v>0</v>
      </c>
      <c r="BR44" s="72">
        <v>0</v>
      </c>
      <c r="BS44" s="72">
        <v>0</v>
      </c>
      <c r="BT44" s="72">
        <v>0</v>
      </c>
      <c r="BU44" s="72">
        <v>0</v>
      </c>
      <c r="BV44" s="72">
        <v>0</v>
      </c>
      <c r="BW44" s="72">
        <v>0</v>
      </c>
      <c r="BX44" s="72">
        <v>0</v>
      </c>
      <c r="BY44" s="72">
        <v>0</v>
      </c>
      <c r="BZ44" s="72">
        <v>0</v>
      </c>
      <c r="CA44" s="72">
        <v>0</v>
      </c>
      <c r="CB44" s="72">
        <v>0</v>
      </c>
      <c r="CC44" s="72">
        <v>0</v>
      </c>
      <c r="CD44" s="72">
        <v>0</v>
      </c>
      <c r="CE44" s="72">
        <v>0</v>
      </c>
      <c r="CF44" s="72">
        <v>0</v>
      </c>
      <c r="CG44" s="72">
        <v>0</v>
      </c>
      <c r="CH44" s="72">
        <v>0</v>
      </c>
      <c r="CI44" s="72">
        <v>0</v>
      </c>
      <c r="CJ44" s="72">
        <v>0</v>
      </c>
      <c r="CK44" s="72">
        <v>0</v>
      </c>
      <c r="CL44" s="72">
        <v>0</v>
      </c>
      <c r="CM44" s="72">
        <v>0</v>
      </c>
      <c r="CN44" s="72">
        <v>0</v>
      </c>
      <c r="CO44" s="72">
        <v>0</v>
      </c>
      <c r="CP44" s="72">
        <v>0</v>
      </c>
      <c r="CQ44" s="72">
        <v>0</v>
      </c>
      <c r="CR44" s="72">
        <v>0</v>
      </c>
      <c r="CS44" s="72">
        <v>0</v>
      </c>
      <c r="CT44" s="72">
        <v>0</v>
      </c>
      <c r="CU44" s="72">
        <v>0</v>
      </c>
      <c r="CV44" s="72">
        <v>0</v>
      </c>
      <c r="CW44" s="72">
        <v>0</v>
      </c>
      <c r="CX44" s="72">
        <v>0</v>
      </c>
      <c r="CY44" s="72">
        <v>0</v>
      </c>
      <c r="CZ44" s="72">
        <v>0</v>
      </c>
      <c r="DA44" s="72">
        <v>0</v>
      </c>
      <c r="DB44" s="72">
        <v>0</v>
      </c>
      <c r="DC44" s="72">
        <v>0</v>
      </c>
      <c r="DD44" s="72">
        <v>0</v>
      </c>
      <c r="DE44" s="72">
        <v>0</v>
      </c>
      <c r="DF44" s="72">
        <v>0</v>
      </c>
      <c r="DG44" s="72">
        <v>0</v>
      </c>
      <c r="DH44" s="72">
        <v>0</v>
      </c>
      <c r="DI44" s="72">
        <v>0</v>
      </c>
      <c r="DJ44" s="72">
        <v>0</v>
      </c>
      <c r="DK44" s="72">
        <v>0</v>
      </c>
      <c r="DL44" s="72">
        <v>0</v>
      </c>
      <c r="DM44" s="72">
        <v>0</v>
      </c>
      <c r="DN44" s="72">
        <v>0</v>
      </c>
      <c r="DO44" s="72">
        <v>0</v>
      </c>
      <c r="DP44" s="72">
        <v>0</v>
      </c>
      <c r="DQ44" s="72">
        <v>0</v>
      </c>
      <c r="DR44" s="72">
        <v>0</v>
      </c>
      <c r="DS44" s="72">
        <v>0</v>
      </c>
      <c r="DT44" s="72">
        <v>0</v>
      </c>
      <c r="DU44" s="72">
        <v>0</v>
      </c>
      <c r="DV44" s="72">
        <v>0</v>
      </c>
      <c r="DW44" s="72">
        <v>0</v>
      </c>
      <c r="DX44" s="72">
        <v>0</v>
      </c>
      <c r="DY44" s="72">
        <v>0</v>
      </c>
      <c r="DZ44" s="72">
        <v>0</v>
      </c>
      <c r="EA44" s="72">
        <v>0</v>
      </c>
      <c r="EB44" s="72">
        <v>0</v>
      </c>
      <c r="EC44" s="72">
        <v>0</v>
      </c>
      <c r="ED44" s="72">
        <v>0</v>
      </c>
      <c r="EE44" s="72">
        <v>0</v>
      </c>
      <c r="EF44" s="72">
        <v>0</v>
      </c>
      <c r="EG44" s="72">
        <v>0</v>
      </c>
      <c r="EH44" s="72">
        <v>0</v>
      </c>
      <c r="EI44" s="72">
        <v>0</v>
      </c>
      <c r="EJ44" s="72">
        <v>0</v>
      </c>
      <c r="EK44" s="72">
        <v>0</v>
      </c>
      <c r="EL44" s="72">
        <v>0</v>
      </c>
    </row>
    <row r="45" spans="1:142" s="6" customFormat="1" x14ac:dyDescent="0.35">
      <c r="A45" s="59">
        <f>Данные!A45</f>
        <v>4848</v>
      </c>
      <c r="B45" s="59">
        <f>Данные!B45</f>
        <v>2016</v>
      </c>
      <c r="C45" s="59" t="str">
        <f>Данные!C45</f>
        <v>компьютерных технологий и электронного обучения</v>
      </c>
      <c r="D45" s="59" t="str">
        <f>Данные!D45</f>
        <v>Власова Елена Зотиковна</v>
      </c>
      <c r="E45" s="59" t="str">
        <f>Данные!E45</f>
        <v>доктор педагогических наук</v>
      </c>
      <c r="F45" s="59" t="str">
        <f>Данные!F45</f>
        <v>заведующий кафедрой</v>
      </c>
      <c r="G45" s="59">
        <f>Данные!G45</f>
        <v>1</v>
      </c>
      <c r="H45" s="59">
        <f>Данные!H45</f>
        <v>15377</v>
      </c>
      <c r="I45" s="59" t="str">
        <f>Данные!I45</f>
        <v>Модуль "Технологии и методы вычислений". Анализ данных</v>
      </c>
      <c r="J45" s="59">
        <f>Данные!J45</f>
        <v>17</v>
      </c>
      <c r="K45" s="59">
        <f>Данные!K45</f>
        <v>0</v>
      </c>
      <c r="L45" s="59">
        <f>Данные!L45</f>
        <v>0</v>
      </c>
      <c r="M45" s="60">
        <f t="shared" si="0"/>
        <v>1.7</v>
      </c>
      <c r="N45" s="60">
        <f t="shared" ca="1" si="1"/>
        <v>6.29</v>
      </c>
      <c r="O45" s="60">
        <f t="shared" ca="1" si="2"/>
        <v>3.25</v>
      </c>
      <c r="P45" s="60">
        <f t="shared" ca="1" si="3"/>
        <v>3.25</v>
      </c>
      <c r="Q45" s="54">
        <f>Данные!Q45</f>
        <v>0</v>
      </c>
      <c r="R45" s="54">
        <f>Данные!R45</f>
        <v>0</v>
      </c>
      <c r="S45" s="54">
        <f>Данные!S45</f>
        <v>0</v>
      </c>
      <c r="T45" s="54">
        <f>Данные!T45</f>
        <v>0</v>
      </c>
      <c r="U45" s="54">
        <f>Данные!U45</f>
        <v>0</v>
      </c>
      <c r="V45" s="54">
        <f>Данные!V45</f>
        <v>0</v>
      </c>
      <c r="W45" s="54">
        <f ca="1">Данные!W45</f>
        <v>13</v>
      </c>
      <c r="X45" s="54" t="str">
        <f ca="1">Данные!X45</f>
        <v>1</v>
      </c>
      <c r="Y45" s="54" t="str">
        <f ca="1">Данные!Y45</f>
        <v>1</v>
      </c>
      <c r="Z45" s="54">
        <f>Данные!Z45</f>
        <v>0</v>
      </c>
      <c r="AA45" s="54" t="str">
        <f>Данные!AA45</f>
        <v>осн</v>
      </c>
      <c r="AB45" s="101">
        <f t="shared" si="4"/>
        <v>700</v>
      </c>
      <c r="AC45" s="101" t="str">
        <f t="shared" si="5"/>
        <v>ИВТ (бак)</v>
      </c>
      <c r="AD45" s="101" t="str">
        <f t="shared" si="6"/>
        <v/>
      </c>
      <c r="AE45" s="102">
        <f t="shared" ca="1" si="7"/>
        <v>31.49</v>
      </c>
      <c r="AF45" s="103">
        <f t="shared" ca="1" si="8"/>
        <v>4.4985714285714282E-2</v>
      </c>
      <c r="AG45" s="101"/>
      <c r="AH45" s="101"/>
      <c r="AI45"/>
      <c r="BM45"/>
      <c r="BN45"/>
      <c r="BO45"/>
      <c r="BQ45" s="72">
        <v>0</v>
      </c>
      <c r="BR45" s="72">
        <v>0</v>
      </c>
      <c r="BS45" s="72">
        <v>0</v>
      </c>
      <c r="BT45" s="72">
        <v>0</v>
      </c>
      <c r="BU45" s="72">
        <v>0</v>
      </c>
      <c r="BV45" s="72">
        <v>0</v>
      </c>
      <c r="BW45" s="72">
        <v>0</v>
      </c>
      <c r="BX45" s="72">
        <v>0</v>
      </c>
      <c r="BY45" s="72">
        <v>0</v>
      </c>
      <c r="BZ45" s="72">
        <v>0</v>
      </c>
      <c r="CA45" s="72">
        <v>0</v>
      </c>
      <c r="CB45" s="72">
        <v>0</v>
      </c>
      <c r="CC45" s="72">
        <v>0</v>
      </c>
      <c r="CD45" s="72">
        <v>0</v>
      </c>
      <c r="CE45" s="72">
        <v>0</v>
      </c>
      <c r="CF45" s="72">
        <v>0</v>
      </c>
      <c r="CG45" s="72">
        <v>0</v>
      </c>
      <c r="CH45" s="72">
        <v>0</v>
      </c>
      <c r="CI45" s="72">
        <v>0</v>
      </c>
      <c r="CJ45" s="72">
        <v>0</v>
      </c>
      <c r="CK45" s="72">
        <v>0</v>
      </c>
      <c r="CL45" s="72">
        <v>0</v>
      </c>
      <c r="CM45" s="72">
        <v>0</v>
      </c>
      <c r="CN45" s="72">
        <v>0</v>
      </c>
      <c r="CO45" s="72">
        <v>0</v>
      </c>
      <c r="CP45" s="72">
        <v>0</v>
      </c>
      <c r="CQ45" s="72">
        <v>0</v>
      </c>
      <c r="CR45" s="72">
        <v>0</v>
      </c>
      <c r="CS45" s="72">
        <v>0</v>
      </c>
      <c r="CT45" s="72">
        <v>0</v>
      </c>
      <c r="CU45" s="72">
        <v>0</v>
      </c>
      <c r="CV45" s="72">
        <v>0</v>
      </c>
      <c r="CW45" s="72">
        <v>0</v>
      </c>
      <c r="CX45" s="72">
        <v>0</v>
      </c>
      <c r="CY45" s="72">
        <v>0</v>
      </c>
      <c r="CZ45" s="72">
        <v>0</v>
      </c>
      <c r="DA45" s="72">
        <v>0</v>
      </c>
      <c r="DB45" s="72">
        <v>0</v>
      </c>
      <c r="DC45" s="72">
        <v>0</v>
      </c>
      <c r="DD45" s="72">
        <v>0</v>
      </c>
      <c r="DE45" s="72">
        <v>0</v>
      </c>
      <c r="DF45" s="72">
        <v>0</v>
      </c>
      <c r="DG45" s="72">
        <v>0</v>
      </c>
      <c r="DH45" s="72">
        <v>0</v>
      </c>
      <c r="DI45" s="72">
        <v>0</v>
      </c>
      <c r="DJ45" s="72">
        <v>0</v>
      </c>
      <c r="DK45" s="72">
        <v>0</v>
      </c>
      <c r="DL45" s="72">
        <v>0</v>
      </c>
      <c r="DM45" s="72">
        <v>0</v>
      </c>
      <c r="DN45" s="72">
        <v>0</v>
      </c>
      <c r="DO45" s="72">
        <v>0</v>
      </c>
      <c r="DP45" s="72">
        <v>0</v>
      </c>
      <c r="DQ45" s="72">
        <v>0</v>
      </c>
      <c r="DR45" s="72">
        <v>0</v>
      </c>
      <c r="DS45" s="72">
        <v>0</v>
      </c>
      <c r="DT45" s="72">
        <v>0</v>
      </c>
      <c r="DU45" s="72">
        <v>0</v>
      </c>
      <c r="DV45" s="72">
        <v>0</v>
      </c>
      <c r="DW45" s="72">
        <v>0</v>
      </c>
      <c r="DX45" s="72">
        <v>0</v>
      </c>
      <c r="DY45" s="72">
        <v>0</v>
      </c>
      <c r="DZ45" s="72">
        <v>0</v>
      </c>
      <c r="EA45" s="72">
        <v>0</v>
      </c>
      <c r="EB45" s="72">
        <v>0</v>
      </c>
      <c r="EC45" s="72">
        <v>0</v>
      </c>
      <c r="ED45" s="72">
        <v>0</v>
      </c>
      <c r="EE45" s="72">
        <v>0</v>
      </c>
      <c r="EF45" s="72">
        <v>0</v>
      </c>
      <c r="EG45" s="72">
        <v>0</v>
      </c>
      <c r="EH45" s="72">
        <v>0</v>
      </c>
      <c r="EI45" s="72">
        <v>0</v>
      </c>
      <c r="EJ45" s="72">
        <v>0</v>
      </c>
      <c r="EK45" s="72">
        <v>0</v>
      </c>
      <c r="EL45" s="72">
        <v>0</v>
      </c>
    </row>
    <row r="46" spans="1:142" s="6" customFormat="1" x14ac:dyDescent="0.35">
      <c r="A46" s="59">
        <f>Данные!A46</f>
        <v>4848</v>
      </c>
      <c r="B46" s="59">
        <f>Данные!B46</f>
        <v>2016</v>
      </c>
      <c r="C46" s="59" t="str">
        <f>Данные!C46</f>
        <v>компьютерных технологий и электронного обучения</v>
      </c>
      <c r="D46" s="59" t="str">
        <f>Данные!D46</f>
        <v>Власова Елена Зотиковна</v>
      </c>
      <c r="E46" s="59" t="str">
        <f>Данные!E46</f>
        <v>доктор педагогических наук</v>
      </c>
      <c r="F46" s="59" t="str">
        <f>Данные!F46</f>
        <v>заведующий кафедрой</v>
      </c>
      <c r="G46" s="59">
        <f>Данные!G46</f>
        <v>1</v>
      </c>
      <c r="H46" s="59">
        <f>Данные!H46</f>
        <v>15377</v>
      </c>
      <c r="I46" s="59" t="str">
        <f>Данные!I46</f>
        <v>Модуль "Технологии и методы вычислений". Вычислительная математика</v>
      </c>
      <c r="J46" s="59">
        <f>Данные!J46</f>
        <v>17</v>
      </c>
      <c r="K46" s="59">
        <f>Данные!K46</f>
        <v>0</v>
      </c>
      <c r="L46" s="59">
        <f>Данные!L46</f>
        <v>0</v>
      </c>
      <c r="M46" s="60">
        <f t="shared" si="0"/>
        <v>1.7</v>
      </c>
      <c r="N46" s="60">
        <f t="shared" ca="1" si="1"/>
        <v>6.29</v>
      </c>
      <c r="O46" s="60">
        <f t="shared" ca="1" si="2"/>
        <v>3.25</v>
      </c>
      <c r="P46" s="60">
        <f t="shared" ca="1" si="3"/>
        <v>3.25</v>
      </c>
      <c r="Q46" s="54">
        <f>Данные!Q46</f>
        <v>0</v>
      </c>
      <c r="R46" s="54">
        <f>Данные!R46</f>
        <v>0</v>
      </c>
      <c r="S46" s="54">
        <f>Данные!S46</f>
        <v>0</v>
      </c>
      <c r="T46" s="54">
        <f>Данные!T46</f>
        <v>0</v>
      </c>
      <c r="U46" s="54">
        <f>Данные!U46</f>
        <v>0</v>
      </c>
      <c r="V46" s="54">
        <f>Данные!V46</f>
        <v>0</v>
      </c>
      <c r="W46" s="54">
        <f ca="1">Данные!W46</f>
        <v>13</v>
      </c>
      <c r="X46" s="54" t="str">
        <f ca="1">Данные!X46</f>
        <v>1</v>
      </c>
      <c r="Y46" s="54" t="str">
        <f ca="1">Данные!Y46</f>
        <v>1</v>
      </c>
      <c r="Z46" s="54">
        <f>Данные!Z46</f>
        <v>0</v>
      </c>
      <c r="AA46" s="54" t="str">
        <f>Данные!AA46</f>
        <v>осн</v>
      </c>
      <c r="AB46" s="101">
        <f t="shared" si="4"/>
        <v>700</v>
      </c>
      <c r="AC46" s="101" t="str">
        <f t="shared" si="5"/>
        <v>ИВТ (бак)</v>
      </c>
      <c r="AD46" s="101" t="str">
        <f t="shared" si="6"/>
        <v/>
      </c>
      <c r="AE46" s="102">
        <f t="shared" ca="1" si="7"/>
        <v>31.49</v>
      </c>
      <c r="AF46" s="103">
        <f t="shared" ca="1" si="8"/>
        <v>4.4985714285714282E-2</v>
      </c>
      <c r="AG46" s="101"/>
      <c r="AH46" s="101"/>
      <c r="AI46"/>
      <c r="BM46"/>
      <c r="BN46"/>
      <c r="BO46"/>
      <c r="BQ46" s="72">
        <v>0</v>
      </c>
      <c r="BR46" s="72">
        <v>0</v>
      </c>
      <c r="BS46" s="72">
        <v>0</v>
      </c>
      <c r="BT46" s="72">
        <v>0</v>
      </c>
      <c r="BU46" s="72">
        <v>0</v>
      </c>
      <c r="BV46" s="72">
        <v>0</v>
      </c>
      <c r="BW46" s="72">
        <v>0</v>
      </c>
      <c r="BX46" s="72">
        <v>0</v>
      </c>
      <c r="BY46" s="72">
        <v>0</v>
      </c>
      <c r="BZ46" s="72">
        <v>0</v>
      </c>
      <c r="CA46" s="72">
        <v>0</v>
      </c>
      <c r="CB46" s="72">
        <v>0</v>
      </c>
      <c r="CC46" s="72">
        <v>0</v>
      </c>
      <c r="CD46" s="72">
        <v>0</v>
      </c>
      <c r="CE46" s="72">
        <v>0</v>
      </c>
      <c r="CF46" s="72">
        <v>0</v>
      </c>
      <c r="CG46" s="72">
        <v>0</v>
      </c>
      <c r="CH46" s="72">
        <v>0</v>
      </c>
      <c r="CI46" s="72">
        <v>0</v>
      </c>
      <c r="CJ46" s="72">
        <v>0</v>
      </c>
      <c r="CK46" s="72">
        <v>0</v>
      </c>
      <c r="CL46" s="72">
        <v>0</v>
      </c>
      <c r="CM46" s="72">
        <v>0</v>
      </c>
      <c r="CN46" s="72">
        <v>0</v>
      </c>
      <c r="CO46" s="72">
        <v>0</v>
      </c>
      <c r="CP46" s="72">
        <v>0</v>
      </c>
      <c r="CQ46" s="72">
        <v>0</v>
      </c>
      <c r="CR46" s="72">
        <v>0</v>
      </c>
      <c r="CS46" s="72">
        <v>0</v>
      </c>
      <c r="CT46" s="72">
        <v>0</v>
      </c>
      <c r="CU46" s="72">
        <v>0</v>
      </c>
      <c r="CV46" s="72">
        <v>0</v>
      </c>
      <c r="CW46" s="72">
        <v>0</v>
      </c>
      <c r="CX46" s="72">
        <v>0</v>
      </c>
      <c r="CY46" s="72">
        <v>0</v>
      </c>
      <c r="CZ46" s="72">
        <v>0</v>
      </c>
      <c r="DA46" s="72">
        <v>0</v>
      </c>
      <c r="DB46" s="72">
        <v>0</v>
      </c>
      <c r="DC46" s="72">
        <v>0</v>
      </c>
      <c r="DD46" s="72">
        <v>0</v>
      </c>
      <c r="DE46" s="72">
        <v>0</v>
      </c>
      <c r="DF46" s="72">
        <v>0</v>
      </c>
      <c r="DG46" s="72">
        <v>0</v>
      </c>
      <c r="DH46" s="72">
        <v>0</v>
      </c>
      <c r="DI46" s="72">
        <v>0</v>
      </c>
      <c r="DJ46" s="72">
        <v>0</v>
      </c>
      <c r="DK46" s="72">
        <v>0</v>
      </c>
      <c r="DL46" s="72">
        <v>0</v>
      </c>
      <c r="DM46" s="72">
        <v>0</v>
      </c>
      <c r="DN46" s="72">
        <v>0</v>
      </c>
      <c r="DO46" s="72">
        <v>0</v>
      </c>
      <c r="DP46" s="72">
        <v>0</v>
      </c>
      <c r="DQ46" s="72">
        <v>0</v>
      </c>
      <c r="DR46" s="72">
        <v>0</v>
      </c>
      <c r="DS46" s="72">
        <v>0</v>
      </c>
      <c r="DT46" s="72">
        <v>0</v>
      </c>
      <c r="DU46" s="72">
        <v>0</v>
      </c>
      <c r="DV46" s="72">
        <v>0</v>
      </c>
      <c r="DW46" s="72">
        <v>0</v>
      </c>
      <c r="DX46" s="72">
        <v>0</v>
      </c>
      <c r="DY46" s="72">
        <v>0</v>
      </c>
      <c r="DZ46" s="72">
        <v>0</v>
      </c>
      <c r="EA46" s="72">
        <v>0</v>
      </c>
      <c r="EB46" s="72">
        <v>0</v>
      </c>
      <c r="EC46" s="72">
        <v>0</v>
      </c>
      <c r="ED46" s="72">
        <v>0</v>
      </c>
      <c r="EE46" s="72">
        <v>0</v>
      </c>
      <c r="EF46" s="72">
        <v>0</v>
      </c>
      <c r="EG46" s="72">
        <v>0</v>
      </c>
      <c r="EH46" s="72">
        <v>0</v>
      </c>
      <c r="EI46" s="72">
        <v>0</v>
      </c>
      <c r="EJ46" s="72">
        <v>0</v>
      </c>
      <c r="EK46" s="72">
        <v>0</v>
      </c>
      <c r="EL46" s="72">
        <v>0</v>
      </c>
    </row>
    <row r="47" spans="1:142" s="6" customFormat="1" x14ac:dyDescent="0.35">
      <c r="A47" s="59">
        <f>Данные!A47</f>
        <v>4848</v>
      </c>
      <c r="B47" s="59">
        <f>Данные!B47</f>
        <v>2016</v>
      </c>
      <c r="C47" s="59" t="str">
        <f>Данные!C47</f>
        <v>компьютерных технологий и электронного обучения</v>
      </c>
      <c r="D47" s="59" t="str">
        <f>Данные!D47</f>
        <v>Власова Елена Зотиковна</v>
      </c>
      <c r="E47" s="59" t="str">
        <f>Данные!E47</f>
        <v>доктор педагогических наук</v>
      </c>
      <c r="F47" s="59" t="str">
        <f>Данные!F47</f>
        <v>заведующий кафедрой</v>
      </c>
      <c r="G47" s="59">
        <f>Данные!G47</f>
        <v>1</v>
      </c>
      <c r="H47" s="59">
        <f>Данные!H47</f>
        <v>15377</v>
      </c>
      <c r="I47" s="59" t="str">
        <f>Данные!I47</f>
        <v>Модуль "Технологии и методы вычислений". Технологии компьютерного моделирования</v>
      </c>
      <c r="J47" s="59">
        <f>Данные!J47</f>
        <v>18</v>
      </c>
      <c r="K47" s="59">
        <f>Данные!K47</f>
        <v>0</v>
      </c>
      <c r="L47" s="59">
        <f>Данные!L47</f>
        <v>27</v>
      </c>
      <c r="M47" s="60">
        <f t="shared" si="0"/>
        <v>4.5</v>
      </c>
      <c r="N47" s="60">
        <f t="shared" ca="1" si="1"/>
        <v>6.29</v>
      </c>
      <c r="O47" s="60">
        <f t="shared" ca="1" si="2"/>
        <v>3.25</v>
      </c>
      <c r="P47" s="60">
        <f t="shared" ca="1" si="3"/>
        <v>3.25</v>
      </c>
      <c r="Q47" s="54">
        <f>Данные!Q47</f>
        <v>0</v>
      </c>
      <c r="R47" s="54">
        <f>Данные!R47</f>
        <v>0</v>
      </c>
      <c r="S47" s="54">
        <f>Данные!S47</f>
        <v>0</v>
      </c>
      <c r="T47" s="54">
        <f>Данные!T47</f>
        <v>0</v>
      </c>
      <c r="U47" s="54">
        <f>Данные!U47</f>
        <v>0</v>
      </c>
      <c r="V47" s="54">
        <f>Данные!V47</f>
        <v>0</v>
      </c>
      <c r="W47" s="54">
        <f ca="1">Данные!W47</f>
        <v>13</v>
      </c>
      <c r="X47" s="54" t="str">
        <f ca="1">Данные!X47</f>
        <v>1</v>
      </c>
      <c r="Y47" s="54" t="str">
        <f ca="1">Данные!Y47</f>
        <v>1</v>
      </c>
      <c r="Z47" s="54">
        <f>Данные!Z47</f>
        <v>0</v>
      </c>
      <c r="AA47" s="54" t="str">
        <f>Данные!AA47</f>
        <v>осн</v>
      </c>
      <c r="AB47" s="101">
        <f t="shared" si="4"/>
        <v>700</v>
      </c>
      <c r="AC47" s="101" t="str">
        <f t="shared" si="5"/>
        <v>ИВТ (бак)</v>
      </c>
      <c r="AD47" s="101" t="str">
        <f t="shared" si="6"/>
        <v/>
      </c>
      <c r="AE47" s="102">
        <f t="shared" ca="1" si="7"/>
        <v>62.29</v>
      </c>
      <c r="AF47" s="103">
        <f t="shared" ca="1" si="8"/>
        <v>8.8985714285714279E-2</v>
      </c>
      <c r="AG47" s="101"/>
      <c r="AH47" s="101"/>
      <c r="AI47"/>
      <c r="BM47"/>
      <c r="BN47"/>
      <c r="BO47"/>
      <c r="BQ47" s="72">
        <v>0</v>
      </c>
      <c r="BR47" s="72">
        <v>0</v>
      </c>
      <c r="BS47" s="72">
        <v>0</v>
      </c>
      <c r="BT47" s="72">
        <v>0</v>
      </c>
      <c r="BU47" s="72">
        <v>0</v>
      </c>
      <c r="BV47" s="72">
        <v>0</v>
      </c>
      <c r="BW47" s="72">
        <v>0</v>
      </c>
      <c r="BX47" s="72">
        <v>0</v>
      </c>
      <c r="BY47" s="72">
        <v>0</v>
      </c>
      <c r="BZ47" s="72">
        <v>0</v>
      </c>
      <c r="CA47" s="72">
        <v>0</v>
      </c>
      <c r="CB47" s="72">
        <v>0</v>
      </c>
      <c r="CC47" s="72">
        <v>0</v>
      </c>
      <c r="CD47" s="72">
        <v>0</v>
      </c>
      <c r="CE47" s="72">
        <v>0</v>
      </c>
      <c r="CF47" s="72">
        <v>0</v>
      </c>
      <c r="CG47" s="72">
        <v>0</v>
      </c>
      <c r="CH47" s="72">
        <v>0</v>
      </c>
      <c r="CI47" s="72">
        <v>0</v>
      </c>
      <c r="CJ47" s="72">
        <v>0</v>
      </c>
      <c r="CK47" s="72">
        <v>0</v>
      </c>
      <c r="CL47" s="72">
        <v>0</v>
      </c>
      <c r="CM47" s="72">
        <v>0</v>
      </c>
      <c r="CN47" s="72">
        <v>0</v>
      </c>
      <c r="CO47" s="72">
        <v>0</v>
      </c>
      <c r="CP47" s="72">
        <v>0</v>
      </c>
      <c r="CQ47" s="72">
        <v>0</v>
      </c>
      <c r="CR47" s="72">
        <v>0</v>
      </c>
      <c r="CS47" s="72">
        <v>0</v>
      </c>
      <c r="CT47" s="72">
        <v>0</v>
      </c>
      <c r="CU47" s="72">
        <v>0</v>
      </c>
      <c r="CV47" s="72">
        <v>0</v>
      </c>
      <c r="CW47" s="72">
        <v>0</v>
      </c>
      <c r="CX47" s="72">
        <v>0</v>
      </c>
      <c r="CY47" s="72">
        <v>0</v>
      </c>
      <c r="CZ47" s="72">
        <v>0</v>
      </c>
      <c r="DA47" s="72">
        <v>0</v>
      </c>
      <c r="DB47" s="72">
        <v>0</v>
      </c>
      <c r="DC47" s="72">
        <v>0</v>
      </c>
      <c r="DD47" s="72">
        <v>0</v>
      </c>
      <c r="DE47" s="72">
        <v>0</v>
      </c>
      <c r="DF47" s="72">
        <v>0</v>
      </c>
      <c r="DG47" s="72">
        <v>0</v>
      </c>
      <c r="DH47" s="72">
        <v>0</v>
      </c>
      <c r="DI47" s="72">
        <v>0</v>
      </c>
      <c r="DJ47" s="72">
        <v>0</v>
      </c>
      <c r="DK47" s="72">
        <v>0</v>
      </c>
      <c r="DL47" s="72">
        <v>0</v>
      </c>
      <c r="DM47" s="72">
        <v>0</v>
      </c>
      <c r="DN47" s="72">
        <v>0</v>
      </c>
      <c r="DO47" s="72">
        <v>0</v>
      </c>
      <c r="DP47" s="72">
        <v>0</v>
      </c>
      <c r="DQ47" s="72">
        <v>0</v>
      </c>
      <c r="DR47" s="72">
        <v>0</v>
      </c>
      <c r="DS47" s="72">
        <v>0</v>
      </c>
      <c r="DT47" s="72">
        <v>0</v>
      </c>
      <c r="DU47" s="72">
        <v>0</v>
      </c>
      <c r="DV47" s="72">
        <v>0</v>
      </c>
      <c r="DW47" s="72">
        <v>0</v>
      </c>
      <c r="DX47" s="72">
        <v>0</v>
      </c>
      <c r="DY47" s="72">
        <v>0</v>
      </c>
      <c r="DZ47" s="72">
        <v>0</v>
      </c>
      <c r="EA47" s="72">
        <v>0</v>
      </c>
      <c r="EB47" s="72">
        <v>0</v>
      </c>
      <c r="EC47" s="72">
        <v>0</v>
      </c>
      <c r="ED47" s="72">
        <v>0</v>
      </c>
      <c r="EE47" s="72">
        <v>0</v>
      </c>
      <c r="EF47" s="72">
        <v>0</v>
      </c>
      <c r="EG47" s="72">
        <v>0</v>
      </c>
      <c r="EH47" s="72">
        <v>0</v>
      </c>
      <c r="EI47" s="72">
        <v>0</v>
      </c>
      <c r="EJ47" s="72">
        <v>0</v>
      </c>
      <c r="EK47" s="72">
        <v>0</v>
      </c>
      <c r="EL47" s="72">
        <v>0</v>
      </c>
    </row>
    <row r="48" spans="1:142" s="6" customFormat="1" x14ac:dyDescent="0.35">
      <c r="A48" s="59">
        <f>Данные!A48</f>
        <v>4848</v>
      </c>
      <c r="B48" s="59">
        <f>Данные!B48</f>
        <v>2016</v>
      </c>
      <c r="C48" s="59" t="str">
        <f>Данные!C48</f>
        <v>компьютерных технологий и электронного обучения</v>
      </c>
      <c r="D48" s="59" t="str">
        <f>Данные!D48</f>
        <v>Гончарова Светлана Викторовна</v>
      </c>
      <c r="E48" s="59" t="str">
        <f>Данные!E48</f>
        <v>кандидат педагогических наук</v>
      </c>
      <c r="F48" s="59" t="str">
        <f>Данные!F48</f>
        <v>доцент</v>
      </c>
      <c r="G48" s="59">
        <f>Данные!G48</f>
        <v>1</v>
      </c>
      <c r="H48" s="59">
        <f>Данные!H48</f>
        <v>15377</v>
      </c>
      <c r="I48" s="59" t="str">
        <f>Данные!I48</f>
        <v>Модуль "Технологии и методы вычислений"</v>
      </c>
      <c r="J48" s="59">
        <f>Данные!J48</f>
        <v>0</v>
      </c>
      <c r="K48" s="59">
        <f>Данные!K48</f>
        <v>0</v>
      </c>
      <c r="L48" s="59">
        <f>Данные!L48</f>
        <v>0</v>
      </c>
      <c r="M48" s="60">
        <f t="shared" si="0"/>
        <v>0</v>
      </c>
      <c r="N48" s="60">
        <f t="shared" ca="1" si="1"/>
        <v>6.29</v>
      </c>
      <c r="O48" s="60">
        <f t="shared" ca="1" si="2"/>
        <v>3.25</v>
      </c>
      <c r="P48" s="60">
        <f t="shared" ca="1" si="3"/>
        <v>3.25</v>
      </c>
      <c r="Q48" s="54">
        <f>Данные!Q48</f>
        <v>0</v>
      </c>
      <c r="R48" s="54">
        <f>Данные!R48</f>
        <v>0</v>
      </c>
      <c r="S48" s="54">
        <f>Данные!S48</f>
        <v>0</v>
      </c>
      <c r="T48" s="54">
        <f>Данные!T48</f>
        <v>0</v>
      </c>
      <c r="U48" s="54">
        <f>Данные!U48</f>
        <v>0</v>
      </c>
      <c r="V48" s="54">
        <f>Данные!V48</f>
        <v>0</v>
      </c>
      <c r="W48" s="54">
        <f ca="1">Данные!W48</f>
        <v>13</v>
      </c>
      <c r="X48" s="54" t="str">
        <f ca="1">Данные!X48</f>
        <v>1</v>
      </c>
      <c r="Y48" s="54" t="str">
        <f ca="1">Данные!Y48</f>
        <v>1</v>
      </c>
      <c r="Z48" s="54">
        <f>Данные!Z48</f>
        <v>0</v>
      </c>
      <c r="AA48" s="54" t="str">
        <f>Данные!AA48</f>
        <v>осн</v>
      </c>
      <c r="AB48" s="101">
        <f t="shared" si="4"/>
        <v>800</v>
      </c>
      <c r="AC48" s="101" t="str">
        <f t="shared" si="5"/>
        <v>ИВТ (бак)</v>
      </c>
      <c r="AD48" s="101" t="str">
        <f t="shared" si="6"/>
        <v/>
      </c>
      <c r="AE48" s="102">
        <f t="shared" ca="1" si="7"/>
        <v>12.79</v>
      </c>
      <c r="AF48" s="103">
        <f t="shared" ca="1" si="8"/>
        <v>1.5987499999999998E-2</v>
      </c>
      <c r="AG48" s="101"/>
      <c r="AH48" s="101"/>
      <c r="AI48"/>
      <c r="BM48"/>
      <c r="BN48"/>
      <c r="BO48"/>
      <c r="BQ48" s="72">
        <v>0</v>
      </c>
      <c r="BR48" s="72">
        <v>0</v>
      </c>
      <c r="BS48" s="72">
        <v>0</v>
      </c>
      <c r="BT48" s="72">
        <v>0</v>
      </c>
      <c r="BU48" s="72">
        <v>0</v>
      </c>
      <c r="BV48" s="72">
        <v>0</v>
      </c>
      <c r="BW48" s="72">
        <v>0</v>
      </c>
      <c r="BX48" s="72">
        <v>0</v>
      </c>
      <c r="BY48" s="72">
        <v>0</v>
      </c>
      <c r="BZ48" s="72">
        <v>0</v>
      </c>
      <c r="CA48" s="72">
        <v>0</v>
      </c>
      <c r="CB48" s="72">
        <v>0</v>
      </c>
      <c r="CC48" s="72">
        <v>0</v>
      </c>
      <c r="CD48" s="72">
        <v>0</v>
      </c>
      <c r="CE48" s="72">
        <v>0</v>
      </c>
      <c r="CF48" s="72">
        <v>0</v>
      </c>
      <c r="CG48" s="72">
        <v>0</v>
      </c>
      <c r="CH48" s="72">
        <v>0</v>
      </c>
      <c r="CI48" s="72">
        <v>0</v>
      </c>
      <c r="CJ48" s="72">
        <v>0</v>
      </c>
      <c r="CK48" s="72">
        <v>0</v>
      </c>
      <c r="CL48" s="72">
        <v>0</v>
      </c>
      <c r="CM48" s="72">
        <v>0</v>
      </c>
      <c r="CN48" s="72">
        <v>0</v>
      </c>
      <c r="CO48" s="72">
        <v>0</v>
      </c>
      <c r="CP48" s="72">
        <v>0</v>
      </c>
      <c r="CQ48" s="72">
        <v>0</v>
      </c>
      <c r="CR48" s="72">
        <v>0</v>
      </c>
      <c r="CS48" s="72">
        <v>0</v>
      </c>
      <c r="CT48" s="72">
        <v>0</v>
      </c>
      <c r="CU48" s="72">
        <v>0</v>
      </c>
      <c r="CV48" s="72">
        <v>0</v>
      </c>
      <c r="CW48" s="72">
        <v>0</v>
      </c>
      <c r="CX48" s="72">
        <v>0</v>
      </c>
      <c r="CY48" s="72">
        <v>0</v>
      </c>
      <c r="CZ48" s="72">
        <v>0</v>
      </c>
      <c r="DA48" s="72">
        <v>0</v>
      </c>
      <c r="DB48" s="72">
        <v>0</v>
      </c>
      <c r="DC48" s="72">
        <v>0</v>
      </c>
      <c r="DD48" s="72">
        <v>0</v>
      </c>
      <c r="DE48" s="72">
        <v>0</v>
      </c>
      <c r="DF48" s="72">
        <v>0</v>
      </c>
      <c r="DG48" s="72">
        <v>0</v>
      </c>
      <c r="DH48" s="72">
        <v>0</v>
      </c>
      <c r="DI48" s="72">
        <v>0</v>
      </c>
      <c r="DJ48" s="72">
        <v>0</v>
      </c>
      <c r="DK48" s="72">
        <v>0</v>
      </c>
      <c r="DL48" s="72">
        <v>0</v>
      </c>
      <c r="DM48" s="72">
        <v>0</v>
      </c>
      <c r="DN48" s="72">
        <v>0</v>
      </c>
      <c r="DO48" s="72">
        <v>0</v>
      </c>
      <c r="DP48" s="72">
        <v>0</v>
      </c>
      <c r="DQ48" s="72">
        <v>0</v>
      </c>
      <c r="DR48" s="72">
        <v>0</v>
      </c>
      <c r="DS48" s="72">
        <v>0</v>
      </c>
      <c r="DT48" s="72">
        <v>0</v>
      </c>
      <c r="DU48" s="72">
        <v>0</v>
      </c>
      <c r="DV48" s="72">
        <v>0</v>
      </c>
      <c r="DW48" s="72">
        <v>0</v>
      </c>
      <c r="DX48" s="72">
        <v>0</v>
      </c>
      <c r="DY48" s="72">
        <v>0</v>
      </c>
      <c r="DZ48" s="72">
        <v>0</v>
      </c>
      <c r="EA48" s="72">
        <v>0</v>
      </c>
      <c r="EB48" s="72">
        <v>0</v>
      </c>
      <c r="EC48" s="72">
        <v>0</v>
      </c>
      <c r="ED48" s="72">
        <v>0</v>
      </c>
      <c r="EE48" s="72">
        <v>0</v>
      </c>
      <c r="EF48" s="72">
        <v>0</v>
      </c>
      <c r="EG48" s="72">
        <v>0</v>
      </c>
      <c r="EH48" s="72">
        <v>0</v>
      </c>
      <c r="EI48" s="72">
        <v>0</v>
      </c>
      <c r="EJ48" s="72">
        <v>0</v>
      </c>
      <c r="EK48" s="72">
        <v>0</v>
      </c>
      <c r="EL48" s="72">
        <v>0</v>
      </c>
    </row>
    <row r="49" spans="1:142" s="6" customFormat="1" x14ac:dyDescent="0.35">
      <c r="A49" s="59">
        <f>Данные!A49</f>
        <v>4848</v>
      </c>
      <c r="B49" s="59">
        <f>Данные!B49</f>
        <v>2016</v>
      </c>
      <c r="C49" s="59" t="str">
        <f>Данные!C49</f>
        <v>компьютерных технологий и электронного обучения</v>
      </c>
      <c r="D49" s="59" t="str">
        <f>Данные!D49</f>
        <v>Гончарова Светлана Викторовна</v>
      </c>
      <c r="E49" s="59" t="str">
        <f>Данные!E49</f>
        <v>кандидат педагогических наук</v>
      </c>
      <c r="F49" s="59" t="str">
        <f>Данные!F49</f>
        <v>доцент</v>
      </c>
      <c r="G49" s="59">
        <f>Данные!G49</f>
        <v>1</v>
      </c>
      <c r="H49" s="59">
        <f>Данные!H49</f>
        <v>15377</v>
      </c>
      <c r="I49" s="59" t="str">
        <f>Данные!I49</f>
        <v>Модуль "Технологии и методы вычислений". Анализ данных</v>
      </c>
      <c r="J49" s="59">
        <f>Данные!J49</f>
        <v>0</v>
      </c>
      <c r="K49" s="59">
        <f>Данные!K49</f>
        <v>0</v>
      </c>
      <c r="L49" s="59">
        <f>Данные!L49</f>
        <v>34</v>
      </c>
      <c r="M49" s="60">
        <f t="shared" si="0"/>
        <v>3.4</v>
      </c>
      <c r="N49" s="60">
        <f t="shared" ca="1" si="1"/>
        <v>6.29</v>
      </c>
      <c r="O49" s="60">
        <f t="shared" ca="1" si="2"/>
        <v>3.25</v>
      </c>
      <c r="P49" s="60">
        <f t="shared" ca="1" si="3"/>
        <v>3.25</v>
      </c>
      <c r="Q49" s="54">
        <f>Данные!Q49</f>
        <v>0</v>
      </c>
      <c r="R49" s="54">
        <f>Данные!R49</f>
        <v>0</v>
      </c>
      <c r="S49" s="54">
        <f>Данные!S49</f>
        <v>0</v>
      </c>
      <c r="T49" s="54">
        <f>Данные!T49</f>
        <v>0</v>
      </c>
      <c r="U49" s="54">
        <f>Данные!U49</f>
        <v>0</v>
      </c>
      <c r="V49" s="54">
        <f>Данные!V49</f>
        <v>0</v>
      </c>
      <c r="W49" s="54">
        <f ca="1">Данные!W49</f>
        <v>13</v>
      </c>
      <c r="X49" s="54" t="str">
        <f ca="1">Данные!X49</f>
        <v>1</v>
      </c>
      <c r="Y49" s="54" t="str">
        <f ca="1">Данные!Y49</f>
        <v>1</v>
      </c>
      <c r="Z49" s="54">
        <f>Данные!Z49</f>
        <v>0</v>
      </c>
      <c r="AA49" s="54" t="str">
        <f>Данные!AA49</f>
        <v>осн</v>
      </c>
      <c r="AB49" s="101">
        <f t="shared" si="4"/>
        <v>800</v>
      </c>
      <c r="AC49" s="101" t="str">
        <f t="shared" si="5"/>
        <v>ИВТ (бак)</v>
      </c>
      <c r="AD49" s="101" t="str">
        <f t="shared" si="6"/>
        <v/>
      </c>
      <c r="AE49" s="102">
        <f t="shared" ca="1" si="7"/>
        <v>50.19</v>
      </c>
      <c r="AF49" s="103">
        <f t="shared" ca="1" si="8"/>
        <v>6.2737500000000002E-2</v>
      </c>
      <c r="AG49" s="101"/>
      <c r="AH49" s="101"/>
      <c r="AI49"/>
      <c r="BM49"/>
      <c r="BN49"/>
      <c r="BO49"/>
      <c r="BQ49" s="72">
        <v>0</v>
      </c>
      <c r="BR49" s="72">
        <v>0</v>
      </c>
      <c r="BS49" s="72">
        <v>0</v>
      </c>
      <c r="BT49" s="72">
        <v>0</v>
      </c>
      <c r="BU49" s="72">
        <v>0</v>
      </c>
      <c r="BV49" s="72">
        <v>0</v>
      </c>
      <c r="BW49" s="72">
        <v>0</v>
      </c>
      <c r="BX49" s="72">
        <v>0</v>
      </c>
      <c r="BY49" s="72">
        <v>0</v>
      </c>
      <c r="BZ49" s="72">
        <v>0</v>
      </c>
      <c r="CA49" s="72">
        <v>0</v>
      </c>
      <c r="CB49" s="72">
        <v>0</v>
      </c>
      <c r="CC49" s="72">
        <v>0</v>
      </c>
      <c r="CD49" s="72">
        <v>0</v>
      </c>
      <c r="CE49" s="72">
        <v>0</v>
      </c>
      <c r="CF49" s="72">
        <v>0</v>
      </c>
      <c r="CG49" s="72">
        <v>0</v>
      </c>
      <c r="CH49" s="72">
        <v>0</v>
      </c>
      <c r="CI49" s="72">
        <v>0</v>
      </c>
      <c r="CJ49" s="72">
        <v>0</v>
      </c>
      <c r="CK49" s="72">
        <v>0</v>
      </c>
      <c r="CL49" s="72">
        <v>0</v>
      </c>
      <c r="CM49" s="72">
        <v>0</v>
      </c>
      <c r="CN49" s="72">
        <v>0</v>
      </c>
      <c r="CO49" s="72">
        <v>0</v>
      </c>
      <c r="CP49" s="72">
        <v>0</v>
      </c>
      <c r="CQ49" s="72">
        <v>0</v>
      </c>
      <c r="CR49" s="72">
        <v>0</v>
      </c>
      <c r="CS49" s="72">
        <v>0</v>
      </c>
      <c r="CT49" s="72">
        <v>0</v>
      </c>
      <c r="CU49" s="72">
        <v>0</v>
      </c>
      <c r="CV49" s="72">
        <v>0</v>
      </c>
      <c r="CW49" s="72">
        <v>0</v>
      </c>
      <c r="CX49" s="72">
        <v>0</v>
      </c>
      <c r="CY49" s="72">
        <v>0</v>
      </c>
      <c r="CZ49" s="72">
        <v>0</v>
      </c>
      <c r="DA49" s="72">
        <v>0</v>
      </c>
      <c r="DB49" s="72">
        <v>0</v>
      </c>
      <c r="DC49" s="72">
        <v>0</v>
      </c>
      <c r="DD49" s="72">
        <v>0</v>
      </c>
      <c r="DE49" s="72">
        <v>0</v>
      </c>
      <c r="DF49" s="72">
        <v>0</v>
      </c>
      <c r="DG49" s="72">
        <v>0</v>
      </c>
      <c r="DH49" s="72">
        <v>0</v>
      </c>
      <c r="DI49" s="72">
        <v>0</v>
      </c>
      <c r="DJ49" s="72">
        <v>0</v>
      </c>
      <c r="DK49" s="72">
        <v>0</v>
      </c>
      <c r="DL49" s="72">
        <v>0</v>
      </c>
      <c r="DM49" s="72">
        <v>0</v>
      </c>
      <c r="DN49" s="72">
        <v>0</v>
      </c>
      <c r="DO49" s="72">
        <v>0</v>
      </c>
      <c r="DP49" s="72">
        <v>0</v>
      </c>
      <c r="DQ49" s="72">
        <v>0</v>
      </c>
      <c r="DR49" s="72">
        <v>0</v>
      </c>
      <c r="DS49" s="72">
        <v>0</v>
      </c>
      <c r="DT49" s="72">
        <v>0</v>
      </c>
      <c r="DU49" s="72">
        <v>0</v>
      </c>
      <c r="DV49" s="72">
        <v>0</v>
      </c>
      <c r="DW49" s="72">
        <v>0</v>
      </c>
      <c r="DX49" s="72">
        <v>0</v>
      </c>
      <c r="DY49" s="72">
        <v>0</v>
      </c>
      <c r="DZ49" s="72">
        <v>0</v>
      </c>
      <c r="EA49" s="72">
        <v>0</v>
      </c>
      <c r="EB49" s="72">
        <v>0</v>
      </c>
      <c r="EC49" s="72">
        <v>0</v>
      </c>
      <c r="ED49" s="72">
        <v>0</v>
      </c>
      <c r="EE49" s="72">
        <v>0</v>
      </c>
      <c r="EF49" s="72">
        <v>0</v>
      </c>
      <c r="EG49" s="72">
        <v>0</v>
      </c>
      <c r="EH49" s="72">
        <v>0</v>
      </c>
      <c r="EI49" s="72">
        <v>0</v>
      </c>
      <c r="EJ49" s="72">
        <v>0</v>
      </c>
      <c r="EK49" s="72">
        <v>0</v>
      </c>
      <c r="EL49" s="72">
        <v>0</v>
      </c>
    </row>
    <row r="50" spans="1:142" s="6" customFormat="1" x14ac:dyDescent="0.35">
      <c r="A50" s="59">
        <f>Данные!A50</f>
        <v>4848</v>
      </c>
      <c r="B50" s="59">
        <f>Данные!B50</f>
        <v>2016</v>
      </c>
      <c r="C50" s="59" t="str">
        <f>Данные!C50</f>
        <v>компьютерных технологий и электронного обучения</v>
      </c>
      <c r="D50" s="59" t="str">
        <f>Данные!D50</f>
        <v>Гончарова Светлана Викторовна</v>
      </c>
      <c r="E50" s="59" t="str">
        <f>Данные!E50</f>
        <v>кандидат педагогических наук</v>
      </c>
      <c r="F50" s="59" t="str">
        <f>Данные!F50</f>
        <v>доцент</v>
      </c>
      <c r="G50" s="59">
        <f>Данные!G50</f>
        <v>1</v>
      </c>
      <c r="H50" s="59">
        <f>Данные!H50</f>
        <v>15377</v>
      </c>
      <c r="I50" s="59" t="str">
        <f>Данные!I50</f>
        <v>Модуль "Технологии и методы вычислений". Технологии компьютерного моделирования</v>
      </c>
      <c r="J50" s="59">
        <f>Данные!J50</f>
        <v>0</v>
      </c>
      <c r="K50" s="59">
        <f>Данные!K50</f>
        <v>0</v>
      </c>
      <c r="L50" s="59">
        <f>Данные!L50</f>
        <v>27</v>
      </c>
      <c r="M50" s="60">
        <f t="shared" si="0"/>
        <v>2.7</v>
      </c>
      <c r="N50" s="60">
        <f t="shared" ca="1" si="1"/>
        <v>6.29</v>
      </c>
      <c r="O50" s="60">
        <f t="shared" ca="1" si="2"/>
        <v>3.25</v>
      </c>
      <c r="P50" s="60">
        <f t="shared" ca="1" si="3"/>
        <v>3.25</v>
      </c>
      <c r="Q50" s="54">
        <f>Данные!Q50</f>
        <v>0</v>
      </c>
      <c r="R50" s="54">
        <f>Данные!R50</f>
        <v>0</v>
      </c>
      <c r="S50" s="54">
        <f>Данные!S50</f>
        <v>0</v>
      </c>
      <c r="T50" s="54">
        <f>Данные!T50</f>
        <v>0</v>
      </c>
      <c r="U50" s="54">
        <f>Данные!U50</f>
        <v>0</v>
      </c>
      <c r="V50" s="54">
        <f>Данные!V50</f>
        <v>0</v>
      </c>
      <c r="W50" s="54">
        <f ca="1">Данные!W50</f>
        <v>13</v>
      </c>
      <c r="X50" s="54" t="str">
        <f ca="1">Данные!X50</f>
        <v>1</v>
      </c>
      <c r="Y50" s="54" t="str">
        <f ca="1">Данные!Y50</f>
        <v>1</v>
      </c>
      <c r="Z50" s="54">
        <f>Данные!Z50</f>
        <v>0</v>
      </c>
      <c r="AA50" s="54" t="str">
        <f>Данные!AA50</f>
        <v>осн</v>
      </c>
      <c r="AB50" s="101">
        <f t="shared" si="4"/>
        <v>800</v>
      </c>
      <c r="AC50" s="101" t="str">
        <f t="shared" si="5"/>
        <v>ИВТ (бак)</v>
      </c>
      <c r="AD50" s="101" t="str">
        <f t="shared" si="6"/>
        <v/>
      </c>
      <c r="AE50" s="102">
        <f t="shared" ca="1" si="7"/>
        <v>42.49</v>
      </c>
      <c r="AF50" s="103">
        <f t="shared" ca="1" si="8"/>
        <v>5.31125E-2</v>
      </c>
      <c r="AG50" s="101"/>
      <c r="AH50" s="101"/>
      <c r="AI50"/>
      <c r="BM50"/>
      <c r="BN50"/>
      <c r="BO50"/>
      <c r="BQ50" s="72">
        <v>0</v>
      </c>
      <c r="BR50" s="72">
        <v>0</v>
      </c>
      <c r="BS50" s="72">
        <v>0</v>
      </c>
      <c r="BT50" s="72">
        <v>0</v>
      </c>
      <c r="BU50" s="72">
        <v>0</v>
      </c>
      <c r="BV50" s="72">
        <v>0</v>
      </c>
      <c r="BW50" s="72">
        <v>0</v>
      </c>
      <c r="BX50" s="72">
        <v>0</v>
      </c>
      <c r="BY50" s="72">
        <v>0</v>
      </c>
      <c r="BZ50" s="72">
        <v>0</v>
      </c>
      <c r="CA50" s="72">
        <v>0</v>
      </c>
      <c r="CB50" s="72">
        <v>0</v>
      </c>
      <c r="CC50" s="72">
        <v>0</v>
      </c>
      <c r="CD50" s="72">
        <v>0</v>
      </c>
      <c r="CE50" s="72">
        <v>0</v>
      </c>
      <c r="CF50" s="72">
        <v>0</v>
      </c>
      <c r="CG50" s="72">
        <v>0</v>
      </c>
      <c r="CH50" s="72">
        <v>0</v>
      </c>
      <c r="CI50" s="72">
        <v>0</v>
      </c>
      <c r="CJ50" s="72">
        <v>0</v>
      </c>
      <c r="CK50" s="72">
        <v>0</v>
      </c>
      <c r="CL50" s="72">
        <v>0</v>
      </c>
      <c r="CM50" s="72">
        <v>0</v>
      </c>
      <c r="CN50" s="72">
        <v>0</v>
      </c>
      <c r="CO50" s="72">
        <v>0</v>
      </c>
      <c r="CP50" s="72">
        <v>0</v>
      </c>
      <c r="CQ50" s="72">
        <v>0</v>
      </c>
      <c r="CR50" s="72">
        <v>0</v>
      </c>
      <c r="CS50" s="72">
        <v>0</v>
      </c>
      <c r="CT50" s="72">
        <v>0</v>
      </c>
      <c r="CU50" s="72">
        <v>0</v>
      </c>
      <c r="CV50" s="72">
        <v>0</v>
      </c>
      <c r="CW50" s="72">
        <v>0</v>
      </c>
      <c r="CX50" s="72">
        <v>0</v>
      </c>
      <c r="CY50" s="72">
        <v>0</v>
      </c>
      <c r="CZ50" s="72">
        <v>0</v>
      </c>
      <c r="DA50" s="72">
        <v>0</v>
      </c>
      <c r="DB50" s="72">
        <v>0</v>
      </c>
      <c r="DC50" s="72">
        <v>0</v>
      </c>
      <c r="DD50" s="72">
        <v>0</v>
      </c>
      <c r="DE50" s="72">
        <v>0</v>
      </c>
      <c r="DF50" s="72">
        <v>0</v>
      </c>
      <c r="DG50" s="72">
        <v>0</v>
      </c>
      <c r="DH50" s="72">
        <v>0</v>
      </c>
      <c r="DI50" s="72">
        <v>0</v>
      </c>
      <c r="DJ50" s="72">
        <v>0</v>
      </c>
      <c r="DK50" s="72">
        <v>0</v>
      </c>
      <c r="DL50" s="72">
        <v>0</v>
      </c>
      <c r="DM50" s="72">
        <v>0</v>
      </c>
      <c r="DN50" s="72">
        <v>0</v>
      </c>
      <c r="DO50" s="72">
        <v>0</v>
      </c>
      <c r="DP50" s="72">
        <v>0</v>
      </c>
      <c r="DQ50" s="72">
        <v>0</v>
      </c>
      <c r="DR50" s="72">
        <v>0</v>
      </c>
      <c r="DS50" s="72">
        <v>0</v>
      </c>
      <c r="DT50" s="72">
        <v>0</v>
      </c>
      <c r="DU50" s="72">
        <v>0</v>
      </c>
      <c r="DV50" s="72">
        <v>0</v>
      </c>
      <c r="DW50" s="72">
        <v>0</v>
      </c>
      <c r="DX50" s="72">
        <v>0</v>
      </c>
      <c r="DY50" s="72">
        <v>0</v>
      </c>
      <c r="DZ50" s="72">
        <v>0</v>
      </c>
      <c r="EA50" s="72">
        <v>0</v>
      </c>
      <c r="EB50" s="72">
        <v>0</v>
      </c>
      <c r="EC50" s="72">
        <v>0</v>
      </c>
      <c r="ED50" s="72">
        <v>0</v>
      </c>
      <c r="EE50" s="72">
        <v>0</v>
      </c>
      <c r="EF50" s="72">
        <v>0</v>
      </c>
      <c r="EG50" s="72">
        <v>0</v>
      </c>
      <c r="EH50" s="72">
        <v>0</v>
      </c>
      <c r="EI50" s="72">
        <v>0</v>
      </c>
      <c r="EJ50" s="72">
        <v>0</v>
      </c>
      <c r="EK50" s="72">
        <v>0</v>
      </c>
      <c r="EL50" s="72">
        <v>0</v>
      </c>
    </row>
    <row r="51" spans="1:142" s="6" customFormat="1" x14ac:dyDescent="0.35">
      <c r="A51" s="59">
        <f>Данные!A51</f>
        <v>4848</v>
      </c>
      <c r="B51" s="59">
        <f>Данные!B51</f>
        <v>2016</v>
      </c>
      <c r="C51" s="59" t="str">
        <f>Данные!C51</f>
        <v>компьютерных технологий и электронного обучения</v>
      </c>
      <c r="D51" s="59" t="str">
        <f>Данные!D51</f>
        <v>Государев Илья Борисович</v>
      </c>
      <c r="E51" s="59" t="str">
        <f>Данные!E51</f>
        <v>кандидат педагогических наук</v>
      </c>
      <c r="F51" s="59" t="str">
        <f>Данные!F51</f>
        <v>доцент</v>
      </c>
      <c r="G51" s="59">
        <f>Данные!G51</f>
        <v>1</v>
      </c>
      <c r="H51" s="59">
        <f>Данные!H51</f>
        <v>15377</v>
      </c>
      <c r="I51" s="59" t="str">
        <f>Данные!I51</f>
        <v>Модуль "Проектирование и разработка веб-решений "</v>
      </c>
      <c r="J51" s="59">
        <f>Данные!J51</f>
        <v>0</v>
      </c>
      <c r="K51" s="59">
        <f>Данные!K51</f>
        <v>0</v>
      </c>
      <c r="L51" s="59">
        <f>Данные!L51</f>
        <v>0</v>
      </c>
      <c r="M51" s="60">
        <f t="shared" si="0"/>
        <v>0</v>
      </c>
      <c r="N51" s="60">
        <f t="shared" ca="1" si="1"/>
        <v>6.29</v>
      </c>
      <c r="O51" s="60">
        <f t="shared" ca="1" si="2"/>
        <v>3.25</v>
      </c>
      <c r="P51" s="60">
        <f t="shared" ca="1" si="3"/>
        <v>3.25</v>
      </c>
      <c r="Q51" s="54">
        <f>Данные!Q51</f>
        <v>0</v>
      </c>
      <c r="R51" s="54">
        <f>Данные!R51</f>
        <v>0</v>
      </c>
      <c r="S51" s="54">
        <f>Данные!S51</f>
        <v>0</v>
      </c>
      <c r="T51" s="54">
        <f>Данные!T51</f>
        <v>0</v>
      </c>
      <c r="U51" s="54">
        <f>Данные!U51</f>
        <v>0</v>
      </c>
      <c r="V51" s="54">
        <f>Данные!V51</f>
        <v>0</v>
      </c>
      <c r="W51" s="54">
        <f ca="1">Данные!W51</f>
        <v>13</v>
      </c>
      <c r="X51" s="54" t="str">
        <f ca="1">Данные!X51</f>
        <v>1</v>
      </c>
      <c r="Y51" s="54" t="str">
        <f ca="1">Данные!Y51</f>
        <v>1</v>
      </c>
      <c r="Z51" s="54">
        <f>Данные!Z51</f>
        <v>0</v>
      </c>
      <c r="AA51" s="54" t="str">
        <f>Данные!AA51</f>
        <v>осн</v>
      </c>
      <c r="AB51" s="101">
        <f t="shared" si="4"/>
        <v>800</v>
      </c>
      <c r="AC51" s="101" t="str">
        <f t="shared" si="5"/>
        <v>ИВТ (бак)</v>
      </c>
      <c r="AD51" s="101" t="str">
        <f t="shared" si="6"/>
        <v/>
      </c>
      <c r="AE51" s="102">
        <f t="shared" ca="1" si="7"/>
        <v>12.79</v>
      </c>
      <c r="AF51" s="103">
        <f t="shared" ca="1" si="8"/>
        <v>1.5987499999999998E-2</v>
      </c>
      <c r="AG51" s="101"/>
      <c r="AH51" s="101"/>
      <c r="AI51"/>
      <c r="BM51"/>
      <c r="BN51"/>
      <c r="BO51"/>
      <c r="BQ51" s="72">
        <v>0</v>
      </c>
      <c r="BR51" s="72">
        <v>0</v>
      </c>
      <c r="BS51" s="72">
        <v>0</v>
      </c>
      <c r="BT51" s="72">
        <v>0</v>
      </c>
      <c r="BU51" s="72">
        <v>0</v>
      </c>
      <c r="BV51" s="72">
        <v>0</v>
      </c>
      <c r="BW51" s="72">
        <v>0</v>
      </c>
      <c r="BX51" s="72">
        <v>0</v>
      </c>
      <c r="BY51" s="72">
        <v>0</v>
      </c>
      <c r="BZ51" s="72">
        <v>0</v>
      </c>
      <c r="CA51" s="72">
        <v>0</v>
      </c>
      <c r="CB51" s="72">
        <v>0</v>
      </c>
      <c r="CC51" s="72">
        <v>0</v>
      </c>
      <c r="CD51" s="72">
        <v>0</v>
      </c>
      <c r="CE51" s="72">
        <v>0</v>
      </c>
      <c r="CF51" s="72">
        <v>0</v>
      </c>
      <c r="CG51" s="72">
        <v>0</v>
      </c>
      <c r="CH51" s="72">
        <v>0</v>
      </c>
      <c r="CI51" s="72">
        <v>0</v>
      </c>
      <c r="CJ51" s="72">
        <v>0</v>
      </c>
      <c r="CK51" s="72">
        <v>0</v>
      </c>
      <c r="CL51" s="72">
        <v>0</v>
      </c>
      <c r="CM51" s="72">
        <v>0</v>
      </c>
      <c r="CN51" s="72">
        <v>0</v>
      </c>
      <c r="CO51" s="72">
        <v>0</v>
      </c>
      <c r="CP51" s="72">
        <v>0</v>
      </c>
      <c r="CQ51" s="72">
        <v>0</v>
      </c>
      <c r="CR51" s="72">
        <v>0</v>
      </c>
      <c r="CS51" s="72">
        <v>0</v>
      </c>
      <c r="CT51" s="72">
        <v>0</v>
      </c>
      <c r="CU51" s="72">
        <v>0</v>
      </c>
      <c r="CV51" s="72">
        <v>0</v>
      </c>
      <c r="CW51" s="72">
        <v>0</v>
      </c>
      <c r="CX51" s="72">
        <v>0</v>
      </c>
      <c r="CY51" s="72">
        <v>0</v>
      </c>
      <c r="CZ51" s="72">
        <v>0</v>
      </c>
      <c r="DA51" s="72">
        <v>0</v>
      </c>
      <c r="DB51" s="72">
        <v>0</v>
      </c>
      <c r="DC51" s="72">
        <v>0</v>
      </c>
      <c r="DD51" s="72">
        <v>0</v>
      </c>
      <c r="DE51" s="72">
        <v>0</v>
      </c>
      <c r="DF51" s="72">
        <v>0</v>
      </c>
      <c r="DG51" s="72">
        <v>0</v>
      </c>
      <c r="DH51" s="72">
        <v>0</v>
      </c>
      <c r="DI51" s="72">
        <v>0</v>
      </c>
      <c r="DJ51" s="72">
        <v>0</v>
      </c>
      <c r="DK51" s="72">
        <v>0</v>
      </c>
      <c r="DL51" s="72">
        <v>0</v>
      </c>
      <c r="DM51" s="72">
        <v>0</v>
      </c>
      <c r="DN51" s="72">
        <v>0</v>
      </c>
      <c r="DO51" s="72">
        <v>0</v>
      </c>
      <c r="DP51" s="72">
        <v>0</v>
      </c>
      <c r="DQ51" s="72">
        <v>0</v>
      </c>
      <c r="DR51" s="72">
        <v>0</v>
      </c>
      <c r="DS51" s="72">
        <v>0</v>
      </c>
      <c r="DT51" s="72">
        <v>0</v>
      </c>
      <c r="DU51" s="72">
        <v>0</v>
      </c>
      <c r="DV51" s="72">
        <v>0</v>
      </c>
      <c r="DW51" s="72">
        <v>0</v>
      </c>
      <c r="DX51" s="72">
        <v>0</v>
      </c>
      <c r="DY51" s="72">
        <v>0</v>
      </c>
      <c r="DZ51" s="72">
        <v>0</v>
      </c>
      <c r="EA51" s="72">
        <v>0</v>
      </c>
      <c r="EB51" s="72">
        <v>0</v>
      </c>
      <c r="EC51" s="72">
        <v>0</v>
      </c>
      <c r="ED51" s="72">
        <v>0</v>
      </c>
      <c r="EE51" s="72">
        <v>0</v>
      </c>
      <c r="EF51" s="72">
        <v>0</v>
      </c>
      <c r="EG51" s="72">
        <v>0</v>
      </c>
      <c r="EH51" s="72">
        <v>0</v>
      </c>
      <c r="EI51" s="72">
        <v>0</v>
      </c>
      <c r="EJ51" s="72">
        <v>0</v>
      </c>
      <c r="EK51" s="72">
        <v>0</v>
      </c>
      <c r="EL51" s="72">
        <v>0</v>
      </c>
    </row>
    <row r="52" spans="1:142" s="6" customFormat="1" x14ac:dyDescent="0.35">
      <c r="A52" s="59">
        <f>Данные!A52</f>
        <v>4848</v>
      </c>
      <c r="B52" s="59">
        <f>Данные!B52</f>
        <v>2016</v>
      </c>
      <c r="C52" s="59" t="str">
        <f>Данные!C52</f>
        <v>компьютерных технологий и электронного обучения</v>
      </c>
      <c r="D52" s="59" t="str">
        <f>Данные!D52</f>
        <v>Государев Илья Борисович</v>
      </c>
      <c r="E52" s="59" t="str">
        <f>Данные!E52</f>
        <v>кандидат педагогических наук</v>
      </c>
      <c r="F52" s="59" t="str">
        <f>Данные!F52</f>
        <v>доцент</v>
      </c>
      <c r="G52" s="59">
        <f>Данные!G52</f>
        <v>1</v>
      </c>
      <c r="H52" s="59">
        <f>Данные!H52</f>
        <v>15377</v>
      </c>
      <c r="I52" s="59" t="str">
        <f>Данные!I52</f>
        <v>Модуль "Проектирование и разработка веб-решений ". Веб-проектирование и веб-дизайн</v>
      </c>
      <c r="J52" s="59">
        <f>Данные!J52</f>
        <v>17</v>
      </c>
      <c r="K52" s="59">
        <f>Данные!K52</f>
        <v>17</v>
      </c>
      <c r="L52" s="59">
        <f>Данные!L52</f>
        <v>20</v>
      </c>
      <c r="M52" s="60">
        <f t="shared" si="0"/>
        <v>5.4</v>
      </c>
      <c r="N52" s="60">
        <f t="shared" ca="1" si="1"/>
        <v>6.29</v>
      </c>
      <c r="O52" s="60">
        <f t="shared" ca="1" si="2"/>
        <v>3.25</v>
      </c>
      <c r="P52" s="60">
        <f t="shared" ca="1" si="3"/>
        <v>3.25</v>
      </c>
      <c r="Q52" s="54">
        <f>Данные!Q52</f>
        <v>0</v>
      </c>
      <c r="R52" s="54">
        <f>Данные!R52</f>
        <v>0</v>
      </c>
      <c r="S52" s="54">
        <f>Данные!S52</f>
        <v>0</v>
      </c>
      <c r="T52" s="54">
        <f>Данные!T52</f>
        <v>0</v>
      </c>
      <c r="U52" s="54">
        <f>Данные!U52</f>
        <v>0</v>
      </c>
      <c r="V52" s="54">
        <f>Данные!V52</f>
        <v>0</v>
      </c>
      <c r="W52" s="54">
        <f ca="1">Данные!W52</f>
        <v>13</v>
      </c>
      <c r="X52" s="54" t="str">
        <f ca="1">Данные!X52</f>
        <v>1</v>
      </c>
      <c r="Y52" s="54" t="str">
        <f ca="1">Данные!Y52</f>
        <v>1</v>
      </c>
      <c r="Z52" s="54">
        <f>Данные!Z52</f>
        <v>0</v>
      </c>
      <c r="AA52" s="54" t="str">
        <f>Данные!AA52</f>
        <v>осн</v>
      </c>
      <c r="AB52" s="101">
        <f t="shared" si="4"/>
        <v>800</v>
      </c>
      <c r="AC52" s="101" t="str">
        <f t="shared" si="5"/>
        <v>ИВТ (бак)</v>
      </c>
      <c r="AD52" s="101" t="str">
        <f t="shared" si="6"/>
        <v/>
      </c>
      <c r="AE52" s="102">
        <f t="shared" ca="1" si="7"/>
        <v>72.19</v>
      </c>
      <c r="AF52" s="103">
        <f t="shared" ca="1" si="8"/>
        <v>9.0237499999999998E-2</v>
      </c>
      <c r="AG52" s="101"/>
      <c r="AH52" s="101"/>
      <c r="AI52"/>
      <c r="BM52"/>
      <c r="BN52"/>
      <c r="BO52"/>
      <c r="BQ52" s="72">
        <v>0</v>
      </c>
      <c r="BR52" s="72">
        <v>0</v>
      </c>
      <c r="BS52" s="72">
        <v>0</v>
      </c>
      <c r="BT52" s="72">
        <v>0</v>
      </c>
      <c r="BU52" s="72">
        <v>0</v>
      </c>
      <c r="BV52" s="72">
        <v>0</v>
      </c>
      <c r="BW52" s="72">
        <v>0</v>
      </c>
      <c r="BX52" s="72">
        <v>0</v>
      </c>
      <c r="BY52" s="72">
        <v>0</v>
      </c>
      <c r="BZ52" s="72">
        <v>0</v>
      </c>
      <c r="CA52" s="72">
        <v>0</v>
      </c>
      <c r="CB52" s="72">
        <v>0</v>
      </c>
      <c r="CC52" s="72">
        <v>0</v>
      </c>
      <c r="CD52" s="72">
        <v>0</v>
      </c>
      <c r="CE52" s="72">
        <v>0</v>
      </c>
      <c r="CF52" s="72">
        <v>0</v>
      </c>
      <c r="CG52" s="72">
        <v>0</v>
      </c>
      <c r="CH52" s="72">
        <v>0</v>
      </c>
      <c r="CI52" s="72">
        <v>0</v>
      </c>
      <c r="CJ52" s="72">
        <v>0</v>
      </c>
      <c r="CK52" s="72">
        <v>0</v>
      </c>
      <c r="CL52" s="72">
        <v>0</v>
      </c>
      <c r="CM52" s="72">
        <v>0</v>
      </c>
      <c r="CN52" s="72">
        <v>0</v>
      </c>
      <c r="CO52" s="72">
        <v>0</v>
      </c>
      <c r="CP52" s="72">
        <v>0</v>
      </c>
      <c r="CQ52" s="72">
        <v>0</v>
      </c>
      <c r="CR52" s="72">
        <v>0</v>
      </c>
      <c r="CS52" s="72">
        <v>0</v>
      </c>
      <c r="CT52" s="72">
        <v>0</v>
      </c>
      <c r="CU52" s="72">
        <v>0</v>
      </c>
      <c r="CV52" s="72">
        <v>0</v>
      </c>
      <c r="CW52" s="72">
        <v>0</v>
      </c>
      <c r="CX52" s="72">
        <v>0</v>
      </c>
      <c r="CY52" s="72">
        <v>0</v>
      </c>
      <c r="CZ52" s="72">
        <v>0</v>
      </c>
      <c r="DA52" s="72">
        <v>0</v>
      </c>
      <c r="DB52" s="72">
        <v>0</v>
      </c>
      <c r="DC52" s="72">
        <v>0</v>
      </c>
      <c r="DD52" s="72">
        <v>0</v>
      </c>
      <c r="DE52" s="72">
        <v>0</v>
      </c>
      <c r="DF52" s="72">
        <v>0</v>
      </c>
      <c r="DG52" s="72">
        <v>0</v>
      </c>
      <c r="DH52" s="72">
        <v>0</v>
      </c>
      <c r="DI52" s="72">
        <v>0</v>
      </c>
      <c r="DJ52" s="72">
        <v>0</v>
      </c>
      <c r="DK52" s="72">
        <v>0</v>
      </c>
      <c r="DL52" s="72">
        <v>0</v>
      </c>
      <c r="DM52" s="72">
        <v>0</v>
      </c>
      <c r="DN52" s="72">
        <v>0</v>
      </c>
      <c r="DO52" s="72">
        <v>0</v>
      </c>
      <c r="DP52" s="72">
        <v>0</v>
      </c>
      <c r="DQ52" s="72">
        <v>0</v>
      </c>
      <c r="DR52" s="72">
        <v>0</v>
      </c>
      <c r="DS52" s="72">
        <v>0</v>
      </c>
      <c r="DT52" s="72">
        <v>0</v>
      </c>
      <c r="DU52" s="72">
        <v>0</v>
      </c>
      <c r="DV52" s="72">
        <v>0</v>
      </c>
      <c r="DW52" s="72">
        <v>0</v>
      </c>
      <c r="DX52" s="72">
        <v>0</v>
      </c>
      <c r="DY52" s="72">
        <v>0</v>
      </c>
      <c r="DZ52" s="72">
        <v>0</v>
      </c>
      <c r="EA52" s="72">
        <v>0</v>
      </c>
      <c r="EB52" s="72">
        <v>0</v>
      </c>
      <c r="EC52" s="72">
        <v>0</v>
      </c>
      <c r="ED52" s="72">
        <v>0</v>
      </c>
      <c r="EE52" s="72">
        <v>0</v>
      </c>
      <c r="EF52" s="72">
        <v>0</v>
      </c>
      <c r="EG52" s="72">
        <v>0</v>
      </c>
      <c r="EH52" s="72">
        <v>0</v>
      </c>
      <c r="EI52" s="72">
        <v>0</v>
      </c>
      <c r="EJ52" s="72">
        <v>0</v>
      </c>
      <c r="EK52" s="72">
        <v>0</v>
      </c>
      <c r="EL52" s="72">
        <v>0</v>
      </c>
    </row>
    <row r="53" spans="1:142" s="6" customFormat="1" x14ac:dyDescent="0.35">
      <c r="A53" s="59">
        <f>Данные!A53</f>
        <v>4848</v>
      </c>
      <c r="B53" s="59">
        <f>Данные!B53</f>
        <v>2016</v>
      </c>
      <c r="C53" s="59" t="str">
        <f>Данные!C53</f>
        <v>компьютерных технологий и электронного обучения</v>
      </c>
      <c r="D53" s="59" t="str">
        <f>Данные!D53</f>
        <v>Государев Илья Борисович</v>
      </c>
      <c r="E53" s="59" t="str">
        <f>Данные!E53</f>
        <v>кандидат педагогических наук</v>
      </c>
      <c r="F53" s="59" t="str">
        <f>Данные!F53</f>
        <v>доцент</v>
      </c>
      <c r="G53" s="59">
        <f>Данные!G53</f>
        <v>1</v>
      </c>
      <c r="H53" s="59">
        <f>Данные!H53</f>
        <v>15377</v>
      </c>
      <c r="I53" s="59" t="str">
        <f>Данные!I53</f>
        <v>Модуль "Проектирование и разработка веб-решений ". Компьютерный практикум</v>
      </c>
      <c r="J53" s="59">
        <f>Данные!J53</f>
        <v>0</v>
      </c>
      <c r="K53" s="59">
        <f>Данные!K53</f>
        <v>0</v>
      </c>
      <c r="L53" s="59">
        <f>Данные!L53</f>
        <v>36</v>
      </c>
      <c r="M53" s="60">
        <f t="shared" si="0"/>
        <v>3.6</v>
      </c>
      <c r="N53" s="60">
        <f t="shared" ca="1" si="1"/>
        <v>6.29</v>
      </c>
      <c r="O53" s="60">
        <f t="shared" ca="1" si="2"/>
        <v>3.25</v>
      </c>
      <c r="P53" s="60">
        <f t="shared" ca="1" si="3"/>
        <v>3.25</v>
      </c>
      <c r="Q53" s="54">
        <f>Данные!Q53</f>
        <v>0</v>
      </c>
      <c r="R53" s="54">
        <f>Данные!R53</f>
        <v>0</v>
      </c>
      <c r="S53" s="54">
        <f>Данные!S53</f>
        <v>0</v>
      </c>
      <c r="T53" s="54">
        <f>Данные!T53</f>
        <v>0</v>
      </c>
      <c r="U53" s="54">
        <f>Данные!U53</f>
        <v>0</v>
      </c>
      <c r="V53" s="54">
        <f>Данные!V53</f>
        <v>0</v>
      </c>
      <c r="W53" s="54">
        <f ca="1">Данные!W53</f>
        <v>13</v>
      </c>
      <c r="X53" s="54" t="str">
        <f ca="1">Данные!X53</f>
        <v>1</v>
      </c>
      <c r="Y53" s="54" t="str">
        <f ca="1">Данные!Y53</f>
        <v>1</v>
      </c>
      <c r="Z53" s="54">
        <f>Данные!Z53</f>
        <v>0</v>
      </c>
      <c r="AA53" s="54" t="str">
        <f>Данные!AA53</f>
        <v>осн</v>
      </c>
      <c r="AB53" s="101">
        <f t="shared" si="4"/>
        <v>800</v>
      </c>
      <c r="AC53" s="101" t="str">
        <f t="shared" si="5"/>
        <v>ИВТ (бак)</v>
      </c>
      <c r="AD53" s="101" t="str">
        <f t="shared" si="6"/>
        <v/>
      </c>
      <c r="AE53" s="102">
        <f t="shared" ca="1" si="7"/>
        <v>52.39</v>
      </c>
      <c r="AF53" s="103">
        <f t="shared" ca="1" si="8"/>
        <v>6.5487500000000004E-2</v>
      </c>
      <c r="AG53" s="101"/>
      <c r="AH53" s="101"/>
      <c r="AI53"/>
      <c r="BM53"/>
      <c r="BN53"/>
      <c r="BO53"/>
      <c r="BQ53" s="72">
        <v>0</v>
      </c>
      <c r="BR53" s="72">
        <v>0</v>
      </c>
      <c r="BS53" s="72">
        <v>0</v>
      </c>
      <c r="BT53" s="72">
        <v>0</v>
      </c>
      <c r="BU53" s="72">
        <v>0</v>
      </c>
      <c r="BV53" s="72">
        <v>0</v>
      </c>
      <c r="BW53" s="72">
        <v>0</v>
      </c>
      <c r="BX53" s="72">
        <v>0</v>
      </c>
      <c r="BY53" s="72">
        <v>0</v>
      </c>
      <c r="BZ53" s="72">
        <v>0</v>
      </c>
      <c r="CA53" s="72">
        <v>0</v>
      </c>
      <c r="CB53" s="72">
        <v>0</v>
      </c>
      <c r="CC53" s="72">
        <v>0</v>
      </c>
      <c r="CD53" s="72">
        <v>0</v>
      </c>
      <c r="CE53" s="72">
        <v>0</v>
      </c>
      <c r="CF53" s="72">
        <v>0</v>
      </c>
      <c r="CG53" s="72">
        <v>0</v>
      </c>
      <c r="CH53" s="72">
        <v>0</v>
      </c>
      <c r="CI53" s="72">
        <v>0</v>
      </c>
      <c r="CJ53" s="72">
        <v>0</v>
      </c>
      <c r="CK53" s="72">
        <v>0</v>
      </c>
      <c r="CL53" s="72">
        <v>0</v>
      </c>
      <c r="CM53" s="72">
        <v>0</v>
      </c>
      <c r="CN53" s="72">
        <v>0</v>
      </c>
      <c r="CO53" s="72">
        <v>0</v>
      </c>
      <c r="CP53" s="72">
        <v>0</v>
      </c>
      <c r="CQ53" s="72">
        <v>0</v>
      </c>
      <c r="CR53" s="72">
        <v>0</v>
      </c>
      <c r="CS53" s="72">
        <v>0</v>
      </c>
      <c r="CT53" s="72">
        <v>0</v>
      </c>
      <c r="CU53" s="72">
        <v>0</v>
      </c>
      <c r="CV53" s="72">
        <v>0</v>
      </c>
      <c r="CW53" s="72">
        <v>0</v>
      </c>
      <c r="CX53" s="72">
        <v>0</v>
      </c>
      <c r="CY53" s="72">
        <v>0</v>
      </c>
      <c r="CZ53" s="72">
        <v>0</v>
      </c>
      <c r="DA53" s="72">
        <v>0</v>
      </c>
      <c r="DB53" s="72">
        <v>0</v>
      </c>
      <c r="DC53" s="72">
        <v>0</v>
      </c>
      <c r="DD53" s="72">
        <v>0</v>
      </c>
      <c r="DE53" s="72">
        <v>0</v>
      </c>
      <c r="DF53" s="72">
        <v>0</v>
      </c>
      <c r="DG53" s="72">
        <v>0</v>
      </c>
      <c r="DH53" s="72">
        <v>0</v>
      </c>
      <c r="DI53" s="72">
        <v>0</v>
      </c>
      <c r="DJ53" s="72">
        <v>0</v>
      </c>
      <c r="DK53" s="72">
        <v>0</v>
      </c>
      <c r="DL53" s="72">
        <v>0</v>
      </c>
      <c r="DM53" s="72">
        <v>0</v>
      </c>
      <c r="DN53" s="72">
        <v>0</v>
      </c>
      <c r="DO53" s="72">
        <v>0</v>
      </c>
      <c r="DP53" s="72">
        <v>0</v>
      </c>
      <c r="DQ53" s="72">
        <v>0</v>
      </c>
      <c r="DR53" s="72">
        <v>0</v>
      </c>
      <c r="DS53" s="72">
        <v>0</v>
      </c>
      <c r="DT53" s="72">
        <v>0</v>
      </c>
      <c r="DU53" s="72">
        <v>0</v>
      </c>
      <c r="DV53" s="72">
        <v>0</v>
      </c>
      <c r="DW53" s="72">
        <v>0</v>
      </c>
      <c r="DX53" s="72">
        <v>0</v>
      </c>
      <c r="DY53" s="72">
        <v>0</v>
      </c>
      <c r="DZ53" s="72">
        <v>0</v>
      </c>
      <c r="EA53" s="72">
        <v>0</v>
      </c>
      <c r="EB53" s="72">
        <v>0</v>
      </c>
      <c r="EC53" s="72">
        <v>0</v>
      </c>
      <c r="ED53" s="72">
        <v>0</v>
      </c>
      <c r="EE53" s="72">
        <v>0</v>
      </c>
      <c r="EF53" s="72">
        <v>0</v>
      </c>
      <c r="EG53" s="72">
        <v>0</v>
      </c>
      <c r="EH53" s="72">
        <v>0</v>
      </c>
      <c r="EI53" s="72">
        <v>0</v>
      </c>
      <c r="EJ53" s="72">
        <v>0</v>
      </c>
      <c r="EK53" s="72">
        <v>0</v>
      </c>
      <c r="EL53" s="72">
        <v>0</v>
      </c>
    </row>
    <row r="54" spans="1:142" s="6" customFormat="1" x14ac:dyDescent="0.35">
      <c r="A54" s="59">
        <f>Данные!A54</f>
        <v>4848</v>
      </c>
      <c r="B54" s="59">
        <f>Данные!B54</f>
        <v>2016</v>
      </c>
      <c r="C54" s="59" t="str">
        <f>Данные!C54</f>
        <v>компьютерных технологий и электронного обучения</v>
      </c>
      <c r="D54" s="59" t="str">
        <f>Данные!D54</f>
        <v>Государев Илья Борисович</v>
      </c>
      <c r="E54" s="59" t="str">
        <f>Данные!E54</f>
        <v>кандидат педагогических наук</v>
      </c>
      <c r="F54" s="59" t="str">
        <f>Данные!F54</f>
        <v>доцент</v>
      </c>
      <c r="G54" s="59">
        <f>Данные!G54</f>
        <v>1</v>
      </c>
      <c r="H54" s="59">
        <f>Данные!H54</f>
        <v>15377</v>
      </c>
      <c r="I54" s="59" t="str">
        <f>Данные!I54</f>
        <v>Модуль "Проектирование и разработка веб-решений ". Разработка интерфейсов обогащенных веб-приложений</v>
      </c>
      <c r="J54" s="59">
        <f>Данные!J54</f>
        <v>0</v>
      </c>
      <c r="K54" s="59">
        <f>Данные!K54</f>
        <v>0</v>
      </c>
      <c r="L54" s="59">
        <f>Данные!L54</f>
        <v>36</v>
      </c>
      <c r="M54" s="60">
        <f t="shared" si="0"/>
        <v>3.6</v>
      </c>
      <c r="N54" s="60">
        <f t="shared" ca="1" si="1"/>
        <v>6.29</v>
      </c>
      <c r="O54" s="60">
        <f t="shared" ca="1" si="2"/>
        <v>3.25</v>
      </c>
      <c r="P54" s="60">
        <f t="shared" ca="1" si="3"/>
        <v>3.25</v>
      </c>
      <c r="Q54" s="54">
        <f>Данные!Q54</f>
        <v>0</v>
      </c>
      <c r="R54" s="54">
        <f>Данные!R54</f>
        <v>0</v>
      </c>
      <c r="S54" s="54">
        <f>Данные!S54</f>
        <v>0</v>
      </c>
      <c r="T54" s="54">
        <f>Данные!T54</f>
        <v>0</v>
      </c>
      <c r="U54" s="54">
        <f>Данные!U54</f>
        <v>0</v>
      </c>
      <c r="V54" s="54">
        <f>Данные!V54</f>
        <v>0</v>
      </c>
      <c r="W54" s="54">
        <f ca="1">Данные!W54</f>
        <v>13</v>
      </c>
      <c r="X54" s="54" t="str">
        <f ca="1">Данные!X54</f>
        <v>1</v>
      </c>
      <c r="Y54" s="54" t="str">
        <f ca="1">Данные!Y54</f>
        <v>1</v>
      </c>
      <c r="Z54" s="54">
        <f>Данные!Z54</f>
        <v>0</v>
      </c>
      <c r="AA54" s="54" t="str">
        <f>Данные!AA54</f>
        <v>осн</v>
      </c>
      <c r="AB54" s="101">
        <f t="shared" si="4"/>
        <v>800</v>
      </c>
      <c r="AC54" s="101" t="str">
        <f t="shared" si="5"/>
        <v>ИВТ (бак)</v>
      </c>
      <c r="AD54" s="101" t="str">
        <f t="shared" si="6"/>
        <v/>
      </c>
      <c r="AE54" s="102">
        <f t="shared" ca="1" si="7"/>
        <v>52.39</v>
      </c>
      <c r="AF54" s="103">
        <f t="shared" ca="1" si="8"/>
        <v>6.5487500000000004E-2</v>
      </c>
      <c r="AG54" s="101"/>
      <c r="AH54" s="101"/>
      <c r="AI54"/>
      <c r="BM54"/>
      <c r="BN54"/>
      <c r="BO54"/>
      <c r="BQ54" s="72">
        <v>0</v>
      </c>
      <c r="BR54" s="72">
        <v>0</v>
      </c>
      <c r="BS54" s="72">
        <v>0</v>
      </c>
      <c r="BT54" s="72">
        <v>0</v>
      </c>
      <c r="BU54" s="72">
        <v>0</v>
      </c>
      <c r="BV54" s="72">
        <v>0</v>
      </c>
      <c r="BW54" s="72">
        <v>0</v>
      </c>
      <c r="BX54" s="72">
        <v>0</v>
      </c>
      <c r="BY54" s="72">
        <v>0</v>
      </c>
      <c r="BZ54" s="72">
        <v>0</v>
      </c>
      <c r="CA54" s="72">
        <v>0</v>
      </c>
      <c r="CB54" s="72">
        <v>0</v>
      </c>
      <c r="CC54" s="72">
        <v>0</v>
      </c>
      <c r="CD54" s="72">
        <v>0</v>
      </c>
      <c r="CE54" s="72">
        <v>0</v>
      </c>
      <c r="CF54" s="72">
        <v>0</v>
      </c>
      <c r="CG54" s="72">
        <v>0</v>
      </c>
      <c r="CH54" s="72">
        <v>0</v>
      </c>
      <c r="CI54" s="72">
        <v>0</v>
      </c>
      <c r="CJ54" s="72">
        <v>0</v>
      </c>
      <c r="CK54" s="72">
        <v>0</v>
      </c>
      <c r="CL54" s="72">
        <v>0</v>
      </c>
      <c r="CM54" s="72">
        <v>0</v>
      </c>
      <c r="CN54" s="72">
        <v>0</v>
      </c>
      <c r="CO54" s="72">
        <v>0</v>
      </c>
      <c r="CP54" s="72">
        <v>0</v>
      </c>
      <c r="CQ54" s="72">
        <v>0</v>
      </c>
      <c r="CR54" s="72">
        <v>0</v>
      </c>
      <c r="CS54" s="72">
        <v>0</v>
      </c>
      <c r="CT54" s="72">
        <v>0</v>
      </c>
      <c r="CU54" s="72">
        <v>0</v>
      </c>
      <c r="CV54" s="72">
        <v>0</v>
      </c>
      <c r="CW54" s="72">
        <v>0</v>
      </c>
      <c r="CX54" s="72">
        <v>0</v>
      </c>
      <c r="CY54" s="72">
        <v>0</v>
      </c>
      <c r="CZ54" s="72">
        <v>0</v>
      </c>
      <c r="DA54" s="72">
        <v>0</v>
      </c>
      <c r="DB54" s="72">
        <v>0</v>
      </c>
      <c r="DC54" s="72">
        <v>0</v>
      </c>
      <c r="DD54" s="72">
        <v>0</v>
      </c>
      <c r="DE54" s="72">
        <v>0</v>
      </c>
      <c r="DF54" s="72">
        <v>0</v>
      </c>
      <c r="DG54" s="72">
        <v>0</v>
      </c>
      <c r="DH54" s="72">
        <v>0</v>
      </c>
      <c r="DI54" s="72">
        <v>0</v>
      </c>
      <c r="DJ54" s="72">
        <v>0</v>
      </c>
      <c r="DK54" s="72">
        <v>0</v>
      </c>
      <c r="DL54" s="72">
        <v>0</v>
      </c>
      <c r="DM54" s="72">
        <v>0</v>
      </c>
      <c r="DN54" s="72">
        <v>0</v>
      </c>
      <c r="DO54" s="72">
        <v>0</v>
      </c>
      <c r="DP54" s="72">
        <v>0</v>
      </c>
      <c r="DQ54" s="72">
        <v>0</v>
      </c>
      <c r="DR54" s="72">
        <v>0</v>
      </c>
      <c r="DS54" s="72">
        <v>0</v>
      </c>
      <c r="DT54" s="72">
        <v>0</v>
      </c>
      <c r="DU54" s="72">
        <v>0</v>
      </c>
      <c r="DV54" s="72">
        <v>0</v>
      </c>
      <c r="DW54" s="72">
        <v>0</v>
      </c>
      <c r="DX54" s="72">
        <v>0</v>
      </c>
      <c r="DY54" s="72">
        <v>0</v>
      </c>
      <c r="DZ54" s="72">
        <v>0</v>
      </c>
      <c r="EA54" s="72">
        <v>0</v>
      </c>
      <c r="EB54" s="72">
        <v>0</v>
      </c>
      <c r="EC54" s="72">
        <v>0</v>
      </c>
      <c r="ED54" s="72">
        <v>0</v>
      </c>
      <c r="EE54" s="72">
        <v>0</v>
      </c>
      <c r="EF54" s="72">
        <v>0</v>
      </c>
      <c r="EG54" s="72">
        <v>0</v>
      </c>
      <c r="EH54" s="72">
        <v>0</v>
      </c>
      <c r="EI54" s="72">
        <v>0</v>
      </c>
      <c r="EJ54" s="72">
        <v>0</v>
      </c>
      <c r="EK54" s="72">
        <v>0</v>
      </c>
      <c r="EL54" s="72">
        <v>0</v>
      </c>
    </row>
    <row r="55" spans="1:142" s="6" customFormat="1" x14ac:dyDescent="0.35">
      <c r="A55" s="59">
        <f>Данные!A55</f>
        <v>4848</v>
      </c>
      <c r="B55" s="59">
        <f>Данные!B55</f>
        <v>2016</v>
      </c>
      <c r="C55" s="59" t="str">
        <f>Данные!C55</f>
        <v>компьютерных технологий и электронного обучения</v>
      </c>
      <c r="D55" s="59" t="str">
        <f>Данные!D55</f>
        <v>Государев Илья Борисович</v>
      </c>
      <c r="E55" s="59" t="str">
        <f>Данные!E55</f>
        <v>кандидат педагогических наук</v>
      </c>
      <c r="F55" s="59" t="str">
        <f>Данные!F55</f>
        <v>доцент</v>
      </c>
      <c r="G55" s="59">
        <f>Данные!G55</f>
        <v>1</v>
      </c>
      <c r="H55" s="59">
        <f>Данные!H55</f>
        <v>15377</v>
      </c>
      <c r="I55" s="59" t="str">
        <f>Данные!I55</f>
        <v>Управление программными проектами</v>
      </c>
      <c r="J55" s="59">
        <f>Данные!J55</f>
        <v>14</v>
      </c>
      <c r="K55" s="59">
        <f>Данные!K55</f>
        <v>0</v>
      </c>
      <c r="L55" s="59">
        <f>Данные!L55</f>
        <v>0</v>
      </c>
      <c r="M55" s="60">
        <f t="shared" si="0"/>
        <v>1.4</v>
      </c>
      <c r="N55" s="60">
        <f t="shared" ca="1" si="1"/>
        <v>6.29</v>
      </c>
      <c r="O55" s="60">
        <f t="shared" ca="1" si="2"/>
        <v>3.25</v>
      </c>
      <c r="P55" s="60">
        <f t="shared" ca="1" si="3"/>
        <v>3.25</v>
      </c>
      <c r="Q55" s="54">
        <f>Данные!Q55</f>
        <v>0</v>
      </c>
      <c r="R55" s="54">
        <f>Данные!R55</f>
        <v>0</v>
      </c>
      <c r="S55" s="54">
        <f>Данные!S55</f>
        <v>0</v>
      </c>
      <c r="T55" s="54">
        <f>Данные!T55</f>
        <v>0</v>
      </c>
      <c r="U55" s="54">
        <f>Данные!U55</f>
        <v>0</v>
      </c>
      <c r="V55" s="54">
        <f>Данные!V55</f>
        <v>0</v>
      </c>
      <c r="W55" s="54">
        <f ca="1">Данные!W55</f>
        <v>13</v>
      </c>
      <c r="X55" s="54" t="str">
        <f ca="1">Данные!X55</f>
        <v>1</v>
      </c>
      <c r="Y55" s="54" t="str">
        <f ca="1">Данные!Y55</f>
        <v>1</v>
      </c>
      <c r="Z55" s="54">
        <f>Данные!Z55</f>
        <v>0</v>
      </c>
      <c r="AA55" s="54">
        <f>Данные!AA55</f>
        <v>0</v>
      </c>
      <c r="AB55" s="101">
        <f t="shared" si="4"/>
        <v>800</v>
      </c>
      <c r="AC55" s="101" t="str">
        <f t="shared" si="5"/>
        <v>ИВТ (бак)</v>
      </c>
      <c r="AD55" s="101" t="str">
        <f t="shared" si="6"/>
        <v/>
      </c>
      <c r="AE55" s="102">
        <f t="shared" ca="1" si="7"/>
        <v>28.19</v>
      </c>
      <c r="AF55" s="103">
        <f t="shared" ca="1" si="8"/>
        <v>3.5237500000000005E-2</v>
      </c>
      <c r="AG55" s="101"/>
      <c r="AH55" s="101"/>
      <c r="AI55"/>
      <c r="BM55"/>
      <c r="BN55"/>
      <c r="BO55"/>
      <c r="BQ55" s="72">
        <v>0</v>
      </c>
      <c r="BR55" s="72">
        <v>0</v>
      </c>
      <c r="BS55" s="72">
        <v>0</v>
      </c>
      <c r="BT55" s="72">
        <v>0</v>
      </c>
      <c r="BU55" s="72">
        <v>0</v>
      </c>
      <c r="BV55" s="72">
        <v>0</v>
      </c>
      <c r="BW55" s="72">
        <v>0</v>
      </c>
      <c r="BX55" s="72">
        <v>0</v>
      </c>
      <c r="BY55" s="72">
        <v>0</v>
      </c>
      <c r="BZ55" s="72">
        <v>0</v>
      </c>
      <c r="CA55" s="72">
        <v>0</v>
      </c>
      <c r="CB55" s="72">
        <v>0</v>
      </c>
      <c r="CC55" s="72">
        <v>0</v>
      </c>
      <c r="CD55" s="72">
        <v>0</v>
      </c>
      <c r="CE55" s="72">
        <v>0</v>
      </c>
      <c r="CF55" s="72">
        <v>0</v>
      </c>
      <c r="CG55" s="72">
        <v>0</v>
      </c>
      <c r="CH55" s="72">
        <v>0</v>
      </c>
      <c r="CI55" s="72">
        <v>0</v>
      </c>
      <c r="CJ55" s="72">
        <v>0</v>
      </c>
      <c r="CK55" s="72">
        <v>0</v>
      </c>
      <c r="CL55" s="72">
        <v>0</v>
      </c>
      <c r="CM55" s="72">
        <v>0</v>
      </c>
      <c r="CN55" s="72">
        <v>0</v>
      </c>
      <c r="CO55" s="72">
        <v>0</v>
      </c>
      <c r="CP55" s="72">
        <v>0</v>
      </c>
      <c r="CQ55" s="72">
        <v>0</v>
      </c>
      <c r="CR55" s="72">
        <v>0</v>
      </c>
      <c r="CS55" s="72">
        <v>0</v>
      </c>
      <c r="CT55" s="72">
        <v>0</v>
      </c>
      <c r="CU55" s="72">
        <v>0</v>
      </c>
      <c r="CV55" s="72">
        <v>0</v>
      </c>
      <c r="CW55" s="72">
        <v>0</v>
      </c>
      <c r="CX55" s="72">
        <v>0</v>
      </c>
      <c r="CY55" s="72">
        <v>0</v>
      </c>
      <c r="CZ55" s="72">
        <v>0</v>
      </c>
      <c r="DA55" s="72">
        <v>0</v>
      </c>
      <c r="DB55" s="72">
        <v>0</v>
      </c>
      <c r="DC55" s="72">
        <v>0</v>
      </c>
      <c r="DD55" s="72">
        <v>0</v>
      </c>
      <c r="DE55" s="72">
        <v>0</v>
      </c>
      <c r="DF55" s="72">
        <v>0</v>
      </c>
      <c r="DG55" s="72">
        <v>0</v>
      </c>
      <c r="DH55" s="72">
        <v>0</v>
      </c>
      <c r="DI55" s="72">
        <v>0</v>
      </c>
      <c r="DJ55" s="72">
        <v>0</v>
      </c>
      <c r="DK55" s="72">
        <v>0</v>
      </c>
      <c r="DL55" s="72">
        <v>0</v>
      </c>
      <c r="DM55" s="72">
        <v>0</v>
      </c>
      <c r="DN55" s="72">
        <v>0</v>
      </c>
      <c r="DO55" s="72">
        <v>0</v>
      </c>
      <c r="DP55" s="72">
        <v>0</v>
      </c>
      <c r="DQ55" s="72">
        <v>0</v>
      </c>
      <c r="DR55" s="72">
        <v>0</v>
      </c>
      <c r="DS55" s="72">
        <v>0</v>
      </c>
      <c r="DT55" s="72">
        <v>0</v>
      </c>
      <c r="DU55" s="72">
        <v>0</v>
      </c>
      <c r="DV55" s="72">
        <v>0</v>
      </c>
      <c r="DW55" s="72">
        <v>0</v>
      </c>
      <c r="DX55" s="72">
        <v>0</v>
      </c>
      <c r="DY55" s="72">
        <v>0</v>
      </c>
      <c r="DZ55" s="72">
        <v>0</v>
      </c>
      <c r="EA55" s="72">
        <v>0</v>
      </c>
      <c r="EB55" s="72">
        <v>0</v>
      </c>
      <c r="EC55" s="72">
        <v>0</v>
      </c>
      <c r="ED55" s="72">
        <v>0</v>
      </c>
      <c r="EE55" s="72">
        <v>0</v>
      </c>
      <c r="EF55" s="72">
        <v>0</v>
      </c>
      <c r="EG55" s="72">
        <v>0</v>
      </c>
      <c r="EH55" s="72">
        <v>0</v>
      </c>
      <c r="EI55" s="72">
        <v>0</v>
      </c>
      <c r="EJ55" s="72">
        <v>0</v>
      </c>
      <c r="EK55" s="72">
        <v>0</v>
      </c>
      <c r="EL55" s="72">
        <v>0</v>
      </c>
    </row>
    <row r="56" spans="1:142" s="6" customFormat="1" x14ac:dyDescent="0.35">
      <c r="A56" s="59">
        <f>Данные!A56</f>
        <v>4848</v>
      </c>
      <c r="B56" s="59">
        <f>Данные!B56</f>
        <v>2016</v>
      </c>
      <c r="C56" s="59" t="str">
        <f>Данные!C56</f>
        <v>компьютерных технологий и электронного обучения</v>
      </c>
      <c r="D56" s="59" t="str">
        <f>Данные!D56</f>
        <v>Жуков Николай Николаевич</v>
      </c>
      <c r="E56" s="59" t="str">
        <f>Данные!E56</f>
        <v>нет</v>
      </c>
      <c r="F56" s="59" t="str">
        <f>Данные!F56</f>
        <v>ассистент</v>
      </c>
      <c r="G56" s="59">
        <f>Данные!G56</f>
        <v>1</v>
      </c>
      <c r="H56" s="59">
        <f>Данные!H56</f>
        <v>15377</v>
      </c>
      <c r="I56" s="59" t="str">
        <f>Данные!I56</f>
        <v>Модуль "Технологии и методы вычислений". Вычислительная математика</v>
      </c>
      <c r="J56" s="59">
        <f>Данные!J56</f>
        <v>0</v>
      </c>
      <c r="K56" s="59">
        <f>Данные!K56</f>
        <v>0</v>
      </c>
      <c r="L56" s="59">
        <f>Данные!L56</f>
        <v>34</v>
      </c>
      <c r="M56" s="60">
        <f t="shared" si="0"/>
        <v>3.4</v>
      </c>
      <c r="N56" s="60">
        <f t="shared" ca="1" si="1"/>
        <v>6.29</v>
      </c>
      <c r="O56" s="60">
        <f t="shared" ca="1" si="2"/>
        <v>3.25</v>
      </c>
      <c r="P56" s="60">
        <f t="shared" ca="1" si="3"/>
        <v>3.25</v>
      </c>
      <c r="Q56" s="54">
        <f>Данные!Q56</f>
        <v>0</v>
      </c>
      <c r="R56" s="54">
        <f>Данные!R56</f>
        <v>0</v>
      </c>
      <c r="S56" s="54">
        <f>Данные!S56</f>
        <v>0</v>
      </c>
      <c r="T56" s="54">
        <f>Данные!T56</f>
        <v>0</v>
      </c>
      <c r="U56" s="54">
        <f>Данные!U56</f>
        <v>0</v>
      </c>
      <c r="V56" s="54">
        <f>Данные!V56</f>
        <v>0</v>
      </c>
      <c r="W56" s="54">
        <f ca="1">Данные!W56</f>
        <v>13</v>
      </c>
      <c r="X56" s="54" t="str">
        <f ca="1">Данные!X56</f>
        <v>1</v>
      </c>
      <c r="Y56" s="54" t="str">
        <f ca="1">Данные!Y56</f>
        <v>1</v>
      </c>
      <c r="Z56" s="54">
        <f>Данные!Z56</f>
        <v>0</v>
      </c>
      <c r="AA56" s="54" t="str">
        <f>Данные!AA56</f>
        <v>осн</v>
      </c>
      <c r="AB56" s="101">
        <f t="shared" si="4"/>
        <v>900</v>
      </c>
      <c r="AC56" s="101" t="str">
        <f t="shared" si="5"/>
        <v>ИВТ (бак)</v>
      </c>
      <c r="AD56" s="101" t="str">
        <f t="shared" si="6"/>
        <v/>
      </c>
      <c r="AE56" s="102">
        <f t="shared" ca="1" si="7"/>
        <v>50.19</v>
      </c>
      <c r="AF56" s="103">
        <f t="shared" ca="1" si="8"/>
        <v>5.5766666666666666E-2</v>
      </c>
      <c r="AG56" s="101"/>
      <c r="AH56" s="101"/>
      <c r="AI56"/>
      <c r="BM56"/>
      <c r="BN56"/>
      <c r="BO56"/>
      <c r="BQ56" s="72">
        <v>0</v>
      </c>
      <c r="BR56" s="72">
        <v>0</v>
      </c>
      <c r="BS56" s="72">
        <v>0</v>
      </c>
      <c r="BT56" s="72">
        <v>0</v>
      </c>
      <c r="BU56" s="72">
        <v>0</v>
      </c>
      <c r="BV56" s="72">
        <v>0</v>
      </c>
      <c r="BW56" s="72">
        <v>0</v>
      </c>
      <c r="BX56" s="72">
        <v>0</v>
      </c>
      <c r="BY56" s="72">
        <v>0</v>
      </c>
      <c r="BZ56" s="72">
        <v>0</v>
      </c>
      <c r="CA56" s="72">
        <v>0</v>
      </c>
      <c r="CB56" s="72">
        <v>0</v>
      </c>
      <c r="CC56" s="72">
        <v>0</v>
      </c>
      <c r="CD56" s="72">
        <v>0</v>
      </c>
      <c r="CE56" s="72">
        <v>0</v>
      </c>
      <c r="CF56" s="72">
        <v>0</v>
      </c>
      <c r="CG56" s="72">
        <v>0</v>
      </c>
      <c r="CH56" s="72">
        <v>0</v>
      </c>
      <c r="CI56" s="72">
        <v>0</v>
      </c>
      <c r="CJ56" s="72">
        <v>0</v>
      </c>
      <c r="CK56" s="72">
        <v>0</v>
      </c>
      <c r="CL56" s="72">
        <v>0</v>
      </c>
      <c r="CM56" s="72">
        <v>0</v>
      </c>
      <c r="CN56" s="72">
        <v>0</v>
      </c>
      <c r="CO56" s="72">
        <v>0</v>
      </c>
      <c r="CP56" s="72">
        <v>0</v>
      </c>
      <c r="CQ56" s="72">
        <v>0</v>
      </c>
      <c r="CR56" s="72">
        <v>0</v>
      </c>
      <c r="CS56" s="72">
        <v>0</v>
      </c>
      <c r="CT56" s="72">
        <v>0</v>
      </c>
      <c r="CU56" s="72">
        <v>0</v>
      </c>
      <c r="CV56" s="72">
        <v>0</v>
      </c>
      <c r="CW56" s="72">
        <v>0</v>
      </c>
      <c r="CX56" s="72">
        <v>0</v>
      </c>
      <c r="CY56" s="72">
        <v>0</v>
      </c>
      <c r="CZ56" s="72">
        <v>0</v>
      </c>
      <c r="DA56" s="72">
        <v>0</v>
      </c>
      <c r="DB56" s="72">
        <v>0</v>
      </c>
      <c r="DC56" s="72">
        <v>0</v>
      </c>
      <c r="DD56" s="72">
        <v>0</v>
      </c>
      <c r="DE56" s="72">
        <v>0</v>
      </c>
      <c r="DF56" s="72">
        <v>0</v>
      </c>
      <c r="DG56" s="72">
        <v>0</v>
      </c>
      <c r="DH56" s="72">
        <v>0</v>
      </c>
      <c r="DI56" s="72">
        <v>0</v>
      </c>
      <c r="DJ56" s="72">
        <v>0</v>
      </c>
      <c r="DK56" s="72">
        <v>0</v>
      </c>
      <c r="DL56" s="72">
        <v>0</v>
      </c>
      <c r="DM56" s="72">
        <v>0</v>
      </c>
      <c r="DN56" s="72">
        <v>0</v>
      </c>
      <c r="DO56" s="72">
        <v>0</v>
      </c>
      <c r="DP56" s="72">
        <v>0</v>
      </c>
      <c r="DQ56" s="72">
        <v>0</v>
      </c>
      <c r="DR56" s="72">
        <v>0</v>
      </c>
      <c r="DS56" s="72">
        <v>0</v>
      </c>
      <c r="DT56" s="72">
        <v>0</v>
      </c>
      <c r="DU56" s="72">
        <v>0</v>
      </c>
      <c r="DV56" s="72">
        <v>0</v>
      </c>
      <c r="DW56" s="72">
        <v>0</v>
      </c>
      <c r="DX56" s="72">
        <v>0</v>
      </c>
      <c r="DY56" s="72">
        <v>0</v>
      </c>
      <c r="DZ56" s="72">
        <v>0</v>
      </c>
      <c r="EA56" s="72">
        <v>0</v>
      </c>
      <c r="EB56" s="72">
        <v>0</v>
      </c>
      <c r="EC56" s="72">
        <v>0</v>
      </c>
      <c r="ED56" s="72">
        <v>0</v>
      </c>
      <c r="EE56" s="72">
        <v>0</v>
      </c>
      <c r="EF56" s="72">
        <v>0</v>
      </c>
      <c r="EG56" s="72">
        <v>0</v>
      </c>
      <c r="EH56" s="72">
        <v>0</v>
      </c>
      <c r="EI56" s="72">
        <v>0</v>
      </c>
      <c r="EJ56" s="72">
        <v>0</v>
      </c>
      <c r="EK56" s="72">
        <v>0</v>
      </c>
      <c r="EL56" s="72">
        <v>0</v>
      </c>
    </row>
    <row r="57" spans="1:142" s="6" customFormat="1" x14ac:dyDescent="0.35">
      <c r="A57" s="59">
        <f>Данные!A57</f>
        <v>4848</v>
      </c>
      <c r="B57" s="59">
        <f>Данные!B57</f>
        <v>2016</v>
      </c>
      <c r="C57" s="59" t="str">
        <f>Данные!C57</f>
        <v>компьютерных технологий и электронного обучения</v>
      </c>
      <c r="D57" s="59" t="str">
        <f>Данные!D57</f>
        <v>Жуков Николай Николаевич</v>
      </c>
      <c r="E57" s="59" t="str">
        <f>Данные!E57</f>
        <v>нет</v>
      </c>
      <c r="F57" s="59" t="str">
        <f>Данные!F57</f>
        <v>ассистент</v>
      </c>
      <c r="G57" s="59">
        <f>Данные!G57</f>
        <v>1</v>
      </c>
      <c r="H57" s="59">
        <f>Данные!H57</f>
        <v>15377</v>
      </c>
      <c r="I57" s="59" t="str">
        <f>Данные!I57</f>
        <v>Базы данных</v>
      </c>
      <c r="J57" s="59">
        <f>Данные!J57</f>
        <v>0</v>
      </c>
      <c r="K57" s="59">
        <f>Данные!K57</f>
        <v>0</v>
      </c>
      <c r="L57" s="59">
        <f>Данные!L57</f>
        <v>34</v>
      </c>
      <c r="M57" s="60">
        <f t="shared" si="0"/>
        <v>3.4</v>
      </c>
      <c r="N57" s="60">
        <f t="shared" ca="1" si="1"/>
        <v>6.29</v>
      </c>
      <c r="O57" s="60">
        <f t="shared" ca="1" si="2"/>
        <v>3.25</v>
      </c>
      <c r="P57" s="60">
        <f t="shared" ca="1" si="3"/>
        <v>3.25</v>
      </c>
      <c r="Q57" s="54">
        <f>Данные!Q57</f>
        <v>0</v>
      </c>
      <c r="R57" s="54">
        <f>Данные!R57</f>
        <v>0</v>
      </c>
      <c r="S57" s="54">
        <f>Данные!S57</f>
        <v>0</v>
      </c>
      <c r="T57" s="54">
        <f>Данные!T57</f>
        <v>0</v>
      </c>
      <c r="U57" s="54">
        <f>Данные!U57</f>
        <v>0</v>
      </c>
      <c r="V57" s="54">
        <f>Данные!V57</f>
        <v>0</v>
      </c>
      <c r="W57" s="54">
        <f ca="1">Данные!W57</f>
        <v>13</v>
      </c>
      <c r="X57" s="54" t="str">
        <f ca="1">Данные!X57</f>
        <v>1</v>
      </c>
      <c r="Y57" s="54" t="str">
        <f ca="1">Данные!Y57</f>
        <v>1</v>
      </c>
      <c r="Z57" s="54">
        <f>Данные!Z57</f>
        <v>0</v>
      </c>
      <c r="AA57" s="54">
        <f>Данные!AA57</f>
        <v>0</v>
      </c>
      <c r="AB57" s="101">
        <f t="shared" si="4"/>
        <v>900</v>
      </c>
      <c r="AC57" s="101" t="str">
        <f t="shared" si="5"/>
        <v>ИВТ (бак)</v>
      </c>
      <c r="AD57" s="101" t="str">
        <f t="shared" si="6"/>
        <v/>
      </c>
      <c r="AE57" s="102">
        <f t="shared" ca="1" si="7"/>
        <v>50.19</v>
      </c>
      <c r="AF57" s="103">
        <f t="shared" ca="1" si="8"/>
        <v>5.5766666666666666E-2</v>
      </c>
      <c r="AG57" s="101"/>
      <c r="AH57" s="101"/>
      <c r="AI57"/>
      <c r="BM57"/>
      <c r="BN57"/>
      <c r="BO57"/>
      <c r="BQ57" s="72">
        <v>0</v>
      </c>
      <c r="BR57" s="72">
        <v>0</v>
      </c>
      <c r="BS57" s="72">
        <v>0</v>
      </c>
      <c r="BT57" s="72">
        <v>0</v>
      </c>
      <c r="BU57" s="72">
        <v>0</v>
      </c>
      <c r="BV57" s="72">
        <v>0</v>
      </c>
      <c r="BW57" s="72">
        <v>0</v>
      </c>
      <c r="BX57" s="72">
        <v>0</v>
      </c>
      <c r="BY57" s="72">
        <v>0</v>
      </c>
      <c r="BZ57" s="72">
        <v>0</v>
      </c>
      <c r="CA57" s="72">
        <v>0</v>
      </c>
      <c r="CB57" s="72">
        <v>0</v>
      </c>
      <c r="CC57" s="72">
        <v>0</v>
      </c>
      <c r="CD57" s="72">
        <v>0</v>
      </c>
      <c r="CE57" s="72">
        <v>0</v>
      </c>
      <c r="CF57" s="72">
        <v>0</v>
      </c>
      <c r="CG57" s="72">
        <v>0</v>
      </c>
      <c r="CH57" s="72">
        <v>0</v>
      </c>
      <c r="CI57" s="72">
        <v>0</v>
      </c>
      <c r="CJ57" s="72">
        <v>0</v>
      </c>
      <c r="CK57" s="72">
        <v>0</v>
      </c>
      <c r="CL57" s="72">
        <v>0</v>
      </c>
      <c r="CM57" s="72">
        <v>0</v>
      </c>
      <c r="CN57" s="72">
        <v>0</v>
      </c>
      <c r="CO57" s="72">
        <v>0</v>
      </c>
      <c r="CP57" s="72">
        <v>0</v>
      </c>
      <c r="CQ57" s="72">
        <v>0</v>
      </c>
      <c r="CR57" s="72">
        <v>0</v>
      </c>
      <c r="CS57" s="72">
        <v>0</v>
      </c>
      <c r="CT57" s="72">
        <v>0</v>
      </c>
      <c r="CU57" s="72">
        <v>0</v>
      </c>
      <c r="CV57" s="72">
        <v>0</v>
      </c>
      <c r="CW57" s="72">
        <v>0</v>
      </c>
      <c r="CX57" s="72">
        <v>0</v>
      </c>
      <c r="CY57" s="72">
        <v>0</v>
      </c>
      <c r="CZ57" s="72">
        <v>0</v>
      </c>
      <c r="DA57" s="72">
        <v>0</v>
      </c>
      <c r="DB57" s="72">
        <v>0</v>
      </c>
      <c r="DC57" s="72">
        <v>0</v>
      </c>
      <c r="DD57" s="72">
        <v>0</v>
      </c>
      <c r="DE57" s="72">
        <v>0</v>
      </c>
      <c r="DF57" s="72">
        <v>0</v>
      </c>
      <c r="DG57" s="72">
        <v>0</v>
      </c>
      <c r="DH57" s="72">
        <v>0</v>
      </c>
      <c r="DI57" s="72">
        <v>0</v>
      </c>
      <c r="DJ57" s="72">
        <v>0</v>
      </c>
      <c r="DK57" s="72">
        <v>0</v>
      </c>
      <c r="DL57" s="72">
        <v>0</v>
      </c>
      <c r="DM57" s="72">
        <v>0</v>
      </c>
      <c r="DN57" s="72">
        <v>0</v>
      </c>
      <c r="DO57" s="72">
        <v>0</v>
      </c>
      <c r="DP57" s="72">
        <v>0</v>
      </c>
      <c r="DQ57" s="72">
        <v>0</v>
      </c>
      <c r="DR57" s="72">
        <v>0</v>
      </c>
      <c r="DS57" s="72">
        <v>0</v>
      </c>
      <c r="DT57" s="72">
        <v>0</v>
      </c>
      <c r="DU57" s="72">
        <v>0</v>
      </c>
      <c r="DV57" s="72">
        <v>0</v>
      </c>
      <c r="DW57" s="72">
        <v>0</v>
      </c>
      <c r="DX57" s="72">
        <v>0</v>
      </c>
      <c r="DY57" s="72">
        <v>0</v>
      </c>
      <c r="DZ57" s="72">
        <v>0</v>
      </c>
      <c r="EA57" s="72">
        <v>0</v>
      </c>
      <c r="EB57" s="72">
        <v>0</v>
      </c>
      <c r="EC57" s="72">
        <v>0</v>
      </c>
      <c r="ED57" s="72">
        <v>0</v>
      </c>
      <c r="EE57" s="72">
        <v>0</v>
      </c>
      <c r="EF57" s="72">
        <v>0</v>
      </c>
      <c r="EG57" s="72">
        <v>0</v>
      </c>
      <c r="EH57" s="72">
        <v>0</v>
      </c>
      <c r="EI57" s="72">
        <v>0</v>
      </c>
      <c r="EJ57" s="72">
        <v>0</v>
      </c>
      <c r="EK57" s="72">
        <v>0</v>
      </c>
      <c r="EL57" s="72">
        <v>0</v>
      </c>
    </row>
    <row r="58" spans="1:142" s="6" customFormat="1" x14ac:dyDescent="0.35">
      <c r="A58" s="59">
        <f>Данные!A58</f>
        <v>4848</v>
      </c>
      <c r="B58" s="59">
        <f>Данные!B58</f>
        <v>2016</v>
      </c>
      <c r="C58" s="59" t="str">
        <f>Данные!C58</f>
        <v>компьютерных технологий и электронного обучения</v>
      </c>
      <c r="D58" s="59" t="str">
        <f>Данные!D58</f>
        <v>Жуков Николай Николаевич</v>
      </c>
      <c r="E58" s="59" t="str">
        <f>Данные!E58</f>
        <v>нет</v>
      </c>
      <c r="F58" s="59" t="str">
        <f>Данные!F58</f>
        <v>ассистент</v>
      </c>
      <c r="G58" s="59">
        <f>Данные!G58</f>
        <v>1</v>
      </c>
      <c r="H58" s="59">
        <f>Данные!H58</f>
        <v>15377</v>
      </c>
      <c r="I58" s="59" t="str">
        <f>Данные!I58</f>
        <v>Программирование</v>
      </c>
      <c r="J58" s="59">
        <f>Данные!J58</f>
        <v>0</v>
      </c>
      <c r="K58" s="59">
        <f>Данные!K58</f>
        <v>0</v>
      </c>
      <c r="L58" s="59">
        <f>Данные!L58</f>
        <v>34</v>
      </c>
      <c r="M58" s="60">
        <f t="shared" si="0"/>
        <v>3.4</v>
      </c>
      <c r="N58" s="60">
        <f t="shared" ca="1" si="1"/>
        <v>6.29</v>
      </c>
      <c r="O58" s="60">
        <f t="shared" ca="1" si="2"/>
        <v>3.25</v>
      </c>
      <c r="P58" s="60">
        <f t="shared" ca="1" si="3"/>
        <v>3.25</v>
      </c>
      <c r="Q58" s="54">
        <f>Данные!Q58</f>
        <v>0</v>
      </c>
      <c r="R58" s="54">
        <f>Данные!R58</f>
        <v>0</v>
      </c>
      <c r="S58" s="54">
        <f>Данные!S58</f>
        <v>0</v>
      </c>
      <c r="T58" s="54">
        <f>Данные!T58</f>
        <v>0</v>
      </c>
      <c r="U58" s="54">
        <f>Данные!U58</f>
        <v>0</v>
      </c>
      <c r="V58" s="54">
        <f>Данные!V58</f>
        <v>0</v>
      </c>
      <c r="W58" s="54">
        <f ca="1">Данные!W58</f>
        <v>13</v>
      </c>
      <c r="X58" s="54" t="str">
        <f ca="1">Данные!X58</f>
        <v>1</v>
      </c>
      <c r="Y58" s="54" t="str">
        <f ca="1">Данные!Y58</f>
        <v>1</v>
      </c>
      <c r="Z58" s="54">
        <f>Данные!Z58</f>
        <v>0</v>
      </c>
      <c r="AA58" s="54" t="str">
        <f>Данные!AA58</f>
        <v>осн</v>
      </c>
      <c r="AB58" s="101">
        <f t="shared" si="4"/>
        <v>900</v>
      </c>
      <c r="AC58" s="101" t="str">
        <f t="shared" si="5"/>
        <v>ИВТ (бак)</v>
      </c>
      <c r="AD58" s="101" t="str">
        <f t="shared" si="6"/>
        <v/>
      </c>
      <c r="AE58" s="102">
        <f t="shared" ca="1" si="7"/>
        <v>50.19</v>
      </c>
      <c r="AF58" s="103">
        <f t="shared" ca="1" si="8"/>
        <v>5.5766666666666666E-2</v>
      </c>
      <c r="AG58" s="101"/>
      <c r="AH58" s="101"/>
      <c r="AI58"/>
      <c r="BM58"/>
      <c r="BN58"/>
      <c r="BO58"/>
      <c r="BQ58" s="72">
        <v>0</v>
      </c>
      <c r="BR58" s="72">
        <v>0</v>
      </c>
      <c r="BS58" s="72">
        <v>0</v>
      </c>
      <c r="BT58" s="72">
        <v>0</v>
      </c>
      <c r="BU58" s="72">
        <v>0</v>
      </c>
      <c r="BV58" s="72">
        <v>0</v>
      </c>
      <c r="BW58" s="72">
        <v>0</v>
      </c>
      <c r="BX58" s="72">
        <v>0</v>
      </c>
      <c r="BY58" s="72">
        <v>0</v>
      </c>
      <c r="BZ58" s="72">
        <v>0</v>
      </c>
      <c r="CA58" s="72">
        <v>0</v>
      </c>
      <c r="CB58" s="72">
        <v>0</v>
      </c>
      <c r="CC58" s="72">
        <v>0</v>
      </c>
      <c r="CD58" s="72">
        <v>0</v>
      </c>
      <c r="CE58" s="72">
        <v>0</v>
      </c>
      <c r="CF58" s="72">
        <v>0</v>
      </c>
      <c r="CG58" s="72">
        <v>0</v>
      </c>
      <c r="CH58" s="72">
        <v>0</v>
      </c>
      <c r="CI58" s="72">
        <v>0</v>
      </c>
      <c r="CJ58" s="72">
        <v>0</v>
      </c>
      <c r="CK58" s="72">
        <v>0</v>
      </c>
      <c r="CL58" s="72">
        <v>0</v>
      </c>
      <c r="CM58" s="72">
        <v>0</v>
      </c>
      <c r="CN58" s="72">
        <v>0</v>
      </c>
      <c r="CO58" s="72">
        <v>0</v>
      </c>
      <c r="CP58" s="72">
        <v>0</v>
      </c>
      <c r="CQ58" s="72">
        <v>0</v>
      </c>
      <c r="CR58" s="72">
        <v>0</v>
      </c>
      <c r="CS58" s="72">
        <v>0</v>
      </c>
      <c r="CT58" s="72">
        <v>0</v>
      </c>
      <c r="CU58" s="72">
        <v>0</v>
      </c>
      <c r="CV58" s="72">
        <v>0</v>
      </c>
      <c r="CW58" s="72">
        <v>0</v>
      </c>
      <c r="CX58" s="72">
        <v>0</v>
      </c>
      <c r="CY58" s="72">
        <v>0</v>
      </c>
      <c r="CZ58" s="72">
        <v>0</v>
      </c>
      <c r="DA58" s="72">
        <v>0</v>
      </c>
      <c r="DB58" s="72">
        <v>0</v>
      </c>
      <c r="DC58" s="72">
        <v>0</v>
      </c>
      <c r="DD58" s="72">
        <v>0</v>
      </c>
      <c r="DE58" s="72">
        <v>0</v>
      </c>
      <c r="DF58" s="72">
        <v>0</v>
      </c>
      <c r="DG58" s="72">
        <v>0</v>
      </c>
      <c r="DH58" s="72">
        <v>0</v>
      </c>
      <c r="DI58" s="72">
        <v>0</v>
      </c>
      <c r="DJ58" s="72">
        <v>0</v>
      </c>
      <c r="DK58" s="72">
        <v>0</v>
      </c>
      <c r="DL58" s="72">
        <v>0</v>
      </c>
      <c r="DM58" s="72">
        <v>0</v>
      </c>
      <c r="DN58" s="72">
        <v>0</v>
      </c>
      <c r="DO58" s="72">
        <v>0</v>
      </c>
      <c r="DP58" s="72">
        <v>0</v>
      </c>
      <c r="DQ58" s="72">
        <v>0</v>
      </c>
      <c r="DR58" s="72">
        <v>0</v>
      </c>
      <c r="DS58" s="72">
        <v>0</v>
      </c>
      <c r="DT58" s="72">
        <v>0</v>
      </c>
      <c r="DU58" s="72">
        <v>0</v>
      </c>
      <c r="DV58" s="72">
        <v>0</v>
      </c>
      <c r="DW58" s="72">
        <v>0</v>
      </c>
      <c r="DX58" s="72">
        <v>0</v>
      </c>
      <c r="DY58" s="72">
        <v>0</v>
      </c>
      <c r="DZ58" s="72">
        <v>0</v>
      </c>
      <c r="EA58" s="72">
        <v>0</v>
      </c>
      <c r="EB58" s="72">
        <v>0</v>
      </c>
      <c r="EC58" s="72">
        <v>0</v>
      </c>
      <c r="ED58" s="72">
        <v>0</v>
      </c>
      <c r="EE58" s="72">
        <v>0</v>
      </c>
      <c r="EF58" s="72">
        <v>0</v>
      </c>
      <c r="EG58" s="72">
        <v>0</v>
      </c>
      <c r="EH58" s="72">
        <v>0</v>
      </c>
      <c r="EI58" s="72">
        <v>0</v>
      </c>
      <c r="EJ58" s="72">
        <v>0</v>
      </c>
      <c r="EK58" s="72">
        <v>0</v>
      </c>
      <c r="EL58" s="72">
        <v>0</v>
      </c>
    </row>
    <row r="59" spans="1:142" s="6" customFormat="1" x14ac:dyDescent="0.35">
      <c r="A59" s="59">
        <f>Данные!A59</f>
        <v>4848</v>
      </c>
      <c r="B59" s="59">
        <f>Данные!B59</f>
        <v>2016</v>
      </c>
      <c r="C59" s="59" t="str">
        <f>Данные!C59</f>
        <v>компьютерных технологий и электронного обучения</v>
      </c>
      <c r="D59" s="59" t="str">
        <f>Данные!D59</f>
        <v>Жуков Николай Николаевич</v>
      </c>
      <c r="E59" s="59" t="str">
        <f>Данные!E59</f>
        <v>нет</v>
      </c>
      <c r="F59" s="59" t="str">
        <f>Данные!F59</f>
        <v>ассистент</v>
      </c>
      <c r="G59" s="59">
        <f>Данные!G59</f>
        <v>1</v>
      </c>
      <c r="H59" s="59">
        <f>Данные!H59</f>
        <v>15377</v>
      </c>
      <c r="I59" s="59" t="str">
        <f>Данные!I59</f>
        <v>Управление программными проектами</v>
      </c>
      <c r="J59" s="59">
        <f>Данные!J59</f>
        <v>0</v>
      </c>
      <c r="K59" s="59">
        <f>Данные!K59</f>
        <v>0</v>
      </c>
      <c r="L59" s="59">
        <f>Данные!L59</f>
        <v>32</v>
      </c>
      <c r="M59" s="60">
        <f t="shared" si="0"/>
        <v>3.2</v>
      </c>
      <c r="N59" s="60">
        <f t="shared" ca="1" si="1"/>
        <v>6.29</v>
      </c>
      <c r="O59" s="60">
        <f t="shared" ca="1" si="2"/>
        <v>3.25</v>
      </c>
      <c r="P59" s="60">
        <f t="shared" ca="1" si="3"/>
        <v>3.25</v>
      </c>
      <c r="Q59" s="54">
        <f>Данные!Q59</f>
        <v>0</v>
      </c>
      <c r="R59" s="54">
        <f>Данные!R59</f>
        <v>0</v>
      </c>
      <c r="S59" s="54">
        <f>Данные!S59</f>
        <v>0</v>
      </c>
      <c r="T59" s="54">
        <f>Данные!T59</f>
        <v>0</v>
      </c>
      <c r="U59" s="54">
        <f>Данные!U59</f>
        <v>0</v>
      </c>
      <c r="V59" s="54">
        <f>Данные!V59</f>
        <v>0</v>
      </c>
      <c r="W59" s="54">
        <f ca="1">Данные!W59</f>
        <v>13</v>
      </c>
      <c r="X59" s="54" t="str">
        <f ca="1">Данные!X59</f>
        <v>1</v>
      </c>
      <c r="Y59" s="54" t="str">
        <f ca="1">Данные!Y59</f>
        <v>1</v>
      </c>
      <c r="Z59" s="54">
        <f>Данные!Z59</f>
        <v>0</v>
      </c>
      <c r="AA59" s="54" t="str">
        <f>Данные!AA59</f>
        <v>осн</v>
      </c>
      <c r="AB59" s="101">
        <f t="shared" si="4"/>
        <v>900</v>
      </c>
      <c r="AC59" s="101" t="str">
        <f t="shared" si="5"/>
        <v>ИВТ (бак)</v>
      </c>
      <c r="AD59" s="101" t="str">
        <f t="shared" si="6"/>
        <v/>
      </c>
      <c r="AE59" s="102">
        <f t="shared" ca="1" si="7"/>
        <v>47.99</v>
      </c>
      <c r="AF59" s="103">
        <f t="shared" ca="1" si="8"/>
        <v>5.3322222222222222E-2</v>
      </c>
      <c r="AG59" s="101"/>
      <c r="AH59" s="101"/>
      <c r="AI59"/>
      <c r="BM59"/>
      <c r="BN59"/>
      <c r="BO59"/>
      <c r="BQ59" s="72">
        <v>0</v>
      </c>
      <c r="BR59" s="72">
        <v>0</v>
      </c>
      <c r="BS59" s="72">
        <v>0</v>
      </c>
      <c r="BT59" s="72">
        <v>0</v>
      </c>
      <c r="BU59" s="72">
        <v>0</v>
      </c>
      <c r="BV59" s="72">
        <v>0</v>
      </c>
      <c r="BW59" s="72">
        <v>0</v>
      </c>
      <c r="BX59" s="72">
        <v>0</v>
      </c>
      <c r="BY59" s="72">
        <v>0</v>
      </c>
      <c r="BZ59" s="72">
        <v>0</v>
      </c>
      <c r="CA59" s="72">
        <v>0</v>
      </c>
      <c r="CB59" s="72">
        <v>0</v>
      </c>
      <c r="CC59" s="72">
        <v>0</v>
      </c>
      <c r="CD59" s="72">
        <v>0</v>
      </c>
      <c r="CE59" s="72">
        <v>0</v>
      </c>
      <c r="CF59" s="72">
        <v>0</v>
      </c>
      <c r="CG59" s="72">
        <v>0</v>
      </c>
      <c r="CH59" s="72">
        <v>0</v>
      </c>
      <c r="CI59" s="72">
        <v>0</v>
      </c>
      <c r="CJ59" s="72">
        <v>0</v>
      </c>
      <c r="CK59" s="72">
        <v>0</v>
      </c>
      <c r="CL59" s="72">
        <v>0</v>
      </c>
      <c r="CM59" s="72">
        <v>0</v>
      </c>
      <c r="CN59" s="72">
        <v>0</v>
      </c>
      <c r="CO59" s="72">
        <v>0</v>
      </c>
      <c r="CP59" s="72">
        <v>0</v>
      </c>
      <c r="CQ59" s="72">
        <v>0</v>
      </c>
      <c r="CR59" s="72">
        <v>0</v>
      </c>
      <c r="CS59" s="72">
        <v>0</v>
      </c>
      <c r="CT59" s="72">
        <v>0</v>
      </c>
      <c r="CU59" s="72">
        <v>0</v>
      </c>
      <c r="CV59" s="72">
        <v>0</v>
      </c>
      <c r="CW59" s="72">
        <v>0</v>
      </c>
      <c r="CX59" s="72">
        <v>0</v>
      </c>
      <c r="CY59" s="72">
        <v>0</v>
      </c>
      <c r="CZ59" s="72">
        <v>0</v>
      </c>
      <c r="DA59" s="72">
        <v>0</v>
      </c>
      <c r="DB59" s="72">
        <v>0</v>
      </c>
      <c r="DC59" s="72">
        <v>0</v>
      </c>
      <c r="DD59" s="72">
        <v>0</v>
      </c>
      <c r="DE59" s="72">
        <v>0</v>
      </c>
      <c r="DF59" s="72">
        <v>0</v>
      </c>
      <c r="DG59" s="72">
        <v>0</v>
      </c>
      <c r="DH59" s="72">
        <v>0</v>
      </c>
      <c r="DI59" s="72">
        <v>0</v>
      </c>
      <c r="DJ59" s="72">
        <v>0</v>
      </c>
      <c r="DK59" s="72">
        <v>0</v>
      </c>
      <c r="DL59" s="72">
        <v>0</v>
      </c>
      <c r="DM59" s="72">
        <v>0</v>
      </c>
      <c r="DN59" s="72">
        <v>0</v>
      </c>
      <c r="DO59" s="72">
        <v>0</v>
      </c>
      <c r="DP59" s="72">
        <v>0</v>
      </c>
      <c r="DQ59" s="72">
        <v>0</v>
      </c>
      <c r="DR59" s="72">
        <v>0</v>
      </c>
      <c r="DS59" s="72">
        <v>0</v>
      </c>
      <c r="DT59" s="72">
        <v>0</v>
      </c>
      <c r="DU59" s="72">
        <v>0</v>
      </c>
      <c r="DV59" s="72">
        <v>0</v>
      </c>
      <c r="DW59" s="72">
        <v>0</v>
      </c>
      <c r="DX59" s="72">
        <v>0</v>
      </c>
      <c r="DY59" s="72">
        <v>0</v>
      </c>
      <c r="DZ59" s="72">
        <v>0</v>
      </c>
      <c r="EA59" s="72">
        <v>0</v>
      </c>
      <c r="EB59" s="72">
        <v>0</v>
      </c>
      <c r="EC59" s="72">
        <v>0</v>
      </c>
      <c r="ED59" s="72">
        <v>0</v>
      </c>
      <c r="EE59" s="72">
        <v>0</v>
      </c>
      <c r="EF59" s="72">
        <v>0</v>
      </c>
      <c r="EG59" s="72">
        <v>0</v>
      </c>
      <c r="EH59" s="72">
        <v>0</v>
      </c>
      <c r="EI59" s="72">
        <v>0</v>
      </c>
      <c r="EJ59" s="72">
        <v>0</v>
      </c>
      <c r="EK59" s="72">
        <v>0</v>
      </c>
      <c r="EL59" s="72">
        <v>0</v>
      </c>
    </row>
    <row r="60" spans="1:142" s="6" customFormat="1" x14ac:dyDescent="0.35">
      <c r="A60" s="59">
        <f>Данные!A60</f>
        <v>4848</v>
      </c>
      <c r="B60" s="59">
        <f>Данные!B60</f>
        <v>2016</v>
      </c>
      <c r="C60" s="59" t="str">
        <f>Данные!C60</f>
        <v>компьютерных технологий и электронного обучения</v>
      </c>
      <c r="D60" s="59" t="str">
        <f>Данные!D60</f>
        <v>Жуков Николай Николаевич</v>
      </c>
      <c r="E60" s="59" t="str">
        <f>Данные!E60</f>
        <v>нет</v>
      </c>
      <c r="F60" s="59" t="str">
        <f>Данные!F60</f>
        <v>ассистент</v>
      </c>
      <c r="G60" s="59">
        <f>Данные!G60</f>
        <v>1</v>
      </c>
      <c r="H60" s="59">
        <f>Данные!H60</f>
        <v>15377</v>
      </c>
      <c r="I60" s="59" t="str">
        <f>Данные!I60</f>
        <v>Модуль "Проектирование и разработка веб-решений ". Веб-проектирование и веб-дизайн</v>
      </c>
      <c r="J60" s="59">
        <f>Данные!J60</f>
        <v>0</v>
      </c>
      <c r="K60" s="59">
        <f>Данные!K60</f>
        <v>0</v>
      </c>
      <c r="L60" s="59">
        <f>Данные!L60</f>
        <v>14</v>
      </c>
      <c r="M60" s="60">
        <f t="shared" si="0"/>
        <v>1.4</v>
      </c>
      <c r="N60" s="60">
        <f t="shared" ca="1" si="1"/>
        <v>6.29</v>
      </c>
      <c r="O60" s="60">
        <f t="shared" ca="1" si="2"/>
        <v>3.25</v>
      </c>
      <c r="P60" s="60">
        <f t="shared" ca="1" si="3"/>
        <v>3.25</v>
      </c>
      <c r="Q60" s="54">
        <f>Данные!Q60</f>
        <v>0</v>
      </c>
      <c r="R60" s="54">
        <f>Данные!R60</f>
        <v>0</v>
      </c>
      <c r="S60" s="54">
        <f>Данные!S60</f>
        <v>0</v>
      </c>
      <c r="T60" s="54">
        <f>Данные!T60</f>
        <v>0</v>
      </c>
      <c r="U60" s="54">
        <f>Данные!U60</f>
        <v>0</v>
      </c>
      <c r="V60" s="54">
        <f>Данные!V60</f>
        <v>0</v>
      </c>
      <c r="W60" s="54">
        <f ca="1">Данные!W60</f>
        <v>13</v>
      </c>
      <c r="X60" s="54" t="str">
        <f ca="1">Данные!X60</f>
        <v>1</v>
      </c>
      <c r="Y60" s="54" t="str">
        <f ca="1">Данные!Y60</f>
        <v>1</v>
      </c>
      <c r="Z60" s="54">
        <f>Данные!Z60</f>
        <v>0</v>
      </c>
      <c r="AA60" s="54">
        <f>Данные!AA60</f>
        <v>0</v>
      </c>
      <c r="AB60" s="101">
        <f t="shared" si="4"/>
        <v>900</v>
      </c>
      <c r="AC60" s="101" t="str">
        <f t="shared" si="5"/>
        <v>ИВТ (бак)</v>
      </c>
      <c r="AD60" s="101" t="str">
        <f t="shared" si="6"/>
        <v/>
      </c>
      <c r="AE60" s="102">
        <f t="shared" ca="1" si="7"/>
        <v>28.19</v>
      </c>
      <c r="AF60" s="103">
        <f t="shared" ca="1" si="8"/>
        <v>3.1322222222222224E-2</v>
      </c>
      <c r="AG60" s="101"/>
      <c r="AH60" s="101"/>
      <c r="AI60"/>
      <c r="BM60"/>
      <c r="BN60"/>
      <c r="BO60"/>
      <c r="BQ60" s="72">
        <v>0</v>
      </c>
      <c r="BR60" s="72">
        <v>0</v>
      </c>
      <c r="BS60" s="72">
        <v>0</v>
      </c>
      <c r="BT60" s="72">
        <v>0</v>
      </c>
      <c r="BU60" s="72">
        <v>0</v>
      </c>
      <c r="BV60" s="72">
        <v>0</v>
      </c>
      <c r="BW60" s="72">
        <v>0</v>
      </c>
      <c r="BX60" s="72">
        <v>0</v>
      </c>
      <c r="BY60" s="72">
        <v>0</v>
      </c>
      <c r="BZ60" s="72">
        <v>0</v>
      </c>
      <c r="CA60" s="72">
        <v>0</v>
      </c>
      <c r="CB60" s="72">
        <v>0</v>
      </c>
      <c r="CC60" s="72">
        <v>0</v>
      </c>
      <c r="CD60" s="72">
        <v>0</v>
      </c>
      <c r="CE60" s="72">
        <v>0</v>
      </c>
      <c r="CF60" s="72">
        <v>0</v>
      </c>
      <c r="CG60" s="72">
        <v>0</v>
      </c>
      <c r="CH60" s="72">
        <v>0</v>
      </c>
      <c r="CI60" s="72">
        <v>0</v>
      </c>
      <c r="CJ60" s="72">
        <v>0</v>
      </c>
      <c r="CK60" s="72">
        <v>0</v>
      </c>
      <c r="CL60" s="72">
        <v>0</v>
      </c>
      <c r="CM60" s="72">
        <v>0</v>
      </c>
      <c r="CN60" s="72">
        <v>0</v>
      </c>
      <c r="CO60" s="72">
        <v>0</v>
      </c>
      <c r="CP60" s="72">
        <v>0</v>
      </c>
      <c r="CQ60" s="72">
        <v>0</v>
      </c>
      <c r="CR60" s="72">
        <v>0</v>
      </c>
      <c r="CS60" s="72">
        <v>0</v>
      </c>
      <c r="CT60" s="72">
        <v>0</v>
      </c>
      <c r="CU60" s="72">
        <v>0</v>
      </c>
      <c r="CV60" s="72">
        <v>0</v>
      </c>
      <c r="CW60" s="72">
        <v>0</v>
      </c>
      <c r="CX60" s="72">
        <v>0</v>
      </c>
      <c r="CY60" s="72">
        <v>0</v>
      </c>
      <c r="CZ60" s="72">
        <v>0</v>
      </c>
      <c r="DA60" s="72">
        <v>0</v>
      </c>
      <c r="DB60" s="72">
        <v>0</v>
      </c>
      <c r="DC60" s="72">
        <v>0</v>
      </c>
      <c r="DD60" s="72">
        <v>0</v>
      </c>
      <c r="DE60" s="72">
        <v>0</v>
      </c>
      <c r="DF60" s="72">
        <v>0</v>
      </c>
      <c r="DG60" s="72">
        <v>0</v>
      </c>
      <c r="DH60" s="72">
        <v>0</v>
      </c>
      <c r="DI60" s="72">
        <v>0</v>
      </c>
      <c r="DJ60" s="72">
        <v>0</v>
      </c>
      <c r="DK60" s="72">
        <v>0</v>
      </c>
      <c r="DL60" s="72">
        <v>0</v>
      </c>
      <c r="DM60" s="72">
        <v>0</v>
      </c>
      <c r="DN60" s="72">
        <v>0</v>
      </c>
      <c r="DO60" s="72">
        <v>0</v>
      </c>
      <c r="DP60" s="72">
        <v>0</v>
      </c>
      <c r="DQ60" s="72">
        <v>0</v>
      </c>
      <c r="DR60" s="72">
        <v>0</v>
      </c>
      <c r="DS60" s="72">
        <v>0</v>
      </c>
      <c r="DT60" s="72">
        <v>0</v>
      </c>
      <c r="DU60" s="72">
        <v>0</v>
      </c>
      <c r="DV60" s="72">
        <v>0</v>
      </c>
      <c r="DW60" s="72">
        <v>0</v>
      </c>
      <c r="DX60" s="72">
        <v>0</v>
      </c>
      <c r="DY60" s="72">
        <v>0</v>
      </c>
      <c r="DZ60" s="72">
        <v>0</v>
      </c>
      <c r="EA60" s="72">
        <v>0</v>
      </c>
      <c r="EB60" s="72">
        <v>0</v>
      </c>
      <c r="EC60" s="72">
        <v>0</v>
      </c>
      <c r="ED60" s="72">
        <v>0</v>
      </c>
      <c r="EE60" s="72">
        <v>0</v>
      </c>
      <c r="EF60" s="72">
        <v>0</v>
      </c>
      <c r="EG60" s="72">
        <v>0</v>
      </c>
      <c r="EH60" s="72">
        <v>0</v>
      </c>
      <c r="EI60" s="72">
        <v>0</v>
      </c>
      <c r="EJ60" s="72">
        <v>0</v>
      </c>
      <c r="EK60" s="72">
        <v>0</v>
      </c>
      <c r="EL60" s="72">
        <v>0</v>
      </c>
    </row>
    <row r="61" spans="1:142" s="6" customFormat="1" x14ac:dyDescent="0.35">
      <c r="A61" s="59">
        <f>Данные!A61</f>
        <v>4848</v>
      </c>
      <c r="B61" s="59">
        <f>Данные!B61</f>
        <v>2016</v>
      </c>
      <c r="C61" s="59" t="str">
        <f>Данные!C61</f>
        <v>компьютерных технологий и электронного обучения</v>
      </c>
      <c r="D61" s="59" t="str">
        <f>Данные!D61</f>
        <v>Ильина Татьяна Сергеевна</v>
      </c>
      <c r="E61" s="59" t="str">
        <f>Данные!E61</f>
        <v>нет</v>
      </c>
      <c r="F61" s="59" t="str">
        <f>Данные!F61</f>
        <v>старший преподаватель</v>
      </c>
      <c r="G61" s="59">
        <f>Данные!G61</f>
        <v>1</v>
      </c>
      <c r="H61" s="59">
        <f>Данные!H61</f>
        <v>15377</v>
      </c>
      <c r="I61" s="59" t="str">
        <f>Данные!I61</f>
        <v>Математика</v>
      </c>
      <c r="J61" s="59">
        <f>Данные!J61</f>
        <v>54</v>
      </c>
      <c r="K61" s="59">
        <f>Данные!K61</f>
        <v>54</v>
      </c>
      <c r="L61" s="59">
        <f>Данные!L61</f>
        <v>0</v>
      </c>
      <c r="M61" s="60">
        <f t="shared" si="0"/>
        <v>10.8</v>
      </c>
      <c r="N61" s="60">
        <f t="shared" ca="1" si="1"/>
        <v>6.29</v>
      </c>
      <c r="O61" s="60">
        <f t="shared" ca="1" si="2"/>
        <v>3.25</v>
      </c>
      <c r="P61" s="60">
        <f t="shared" ca="1" si="3"/>
        <v>3.25</v>
      </c>
      <c r="Q61" s="54">
        <f>Данные!Q61</f>
        <v>0</v>
      </c>
      <c r="R61" s="54">
        <f>Данные!R61</f>
        <v>0</v>
      </c>
      <c r="S61" s="54">
        <f>Данные!S61</f>
        <v>0</v>
      </c>
      <c r="T61" s="54">
        <f>Данные!T61</f>
        <v>0</v>
      </c>
      <c r="U61" s="54">
        <f>Данные!U61</f>
        <v>0</v>
      </c>
      <c r="V61" s="54">
        <f>Данные!V61</f>
        <v>0</v>
      </c>
      <c r="W61" s="54">
        <f ca="1">Данные!W61</f>
        <v>13</v>
      </c>
      <c r="X61" s="54" t="str">
        <f ca="1">Данные!X61</f>
        <v>1</v>
      </c>
      <c r="Y61" s="54" t="str">
        <f ca="1">Данные!Y61</f>
        <v>1</v>
      </c>
      <c r="Z61" s="54">
        <f>Данные!Z61</f>
        <v>0</v>
      </c>
      <c r="AA61" s="54" t="str">
        <f>Данные!AA61</f>
        <v>осн</v>
      </c>
      <c r="AB61" s="101">
        <f t="shared" si="4"/>
        <v>850</v>
      </c>
      <c r="AC61" s="101" t="str">
        <f t="shared" si="5"/>
        <v>ИВТ (бак)</v>
      </c>
      <c r="AD61" s="101" t="str">
        <f t="shared" si="6"/>
        <v/>
      </c>
      <c r="AE61" s="102">
        <f t="shared" ca="1" si="7"/>
        <v>131.59</v>
      </c>
      <c r="AF61" s="103">
        <f t="shared" ca="1" si="8"/>
        <v>0.15481176470588234</v>
      </c>
      <c r="AG61" s="101"/>
      <c r="AH61" s="101"/>
      <c r="AI61"/>
      <c r="BM61"/>
      <c r="BN61"/>
      <c r="BO61"/>
      <c r="BQ61" s="72">
        <v>0</v>
      </c>
      <c r="BR61" s="72">
        <v>0</v>
      </c>
      <c r="BS61" s="72">
        <v>0</v>
      </c>
      <c r="BT61" s="72">
        <v>0</v>
      </c>
      <c r="BU61" s="72">
        <v>0</v>
      </c>
      <c r="BV61" s="72">
        <v>0</v>
      </c>
      <c r="BW61" s="72">
        <v>0</v>
      </c>
      <c r="BX61" s="72">
        <v>0</v>
      </c>
      <c r="BY61" s="72">
        <v>0</v>
      </c>
      <c r="BZ61" s="72">
        <v>0</v>
      </c>
      <c r="CA61" s="72">
        <v>0</v>
      </c>
      <c r="CB61" s="72">
        <v>0</v>
      </c>
      <c r="CC61" s="72">
        <v>0</v>
      </c>
      <c r="CD61" s="72">
        <v>0</v>
      </c>
      <c r="CE61" s="72">
        <v>0</v>
      </c>
      <c r="CF61" s="72">
        <v>0</v>
      </c>
      <c r="CG61" s="72">
        <v>0</v>
      </c>
      <c r="CH61" s="72">
        <v>0</v>
      </c>
      <c r="CI61" s="72">
        <v>0</v>
      </c>
      <c r="CJ61" s="72">
        <v>0</v>
      </c>
      <c r="CK61" s="72">
        <v>0</v>
      </c>
      <c r="CL61" s="72">
        <v>0</v>
      </c>
      <c r="CM61" s="72">
        <v>0</v>
      </c>
      <c r="CN61" s="72">
        <v>0</v>
      </c>
      <c r="CO61" s="72">
        <v>0</v>
      </c>
      <c r="CP61" s="72">
        <v>0</v>
      </c>
      <c r="CQ61" s="72">
        <v>0</v>
      </c>
      <c r="CR61" s="72">
        <v>0</v>
      </c>
      <c r="CS61" s="72">
        <v>0</v>
      </c>
      <c r="CT61" s="72">
        <v>0</v>
      </c>
      <c r="CU61" s="72">
        <v>0</v>
      </c>
      <c r="CV61" s="72">
        <v>0</v>
      </c>
      <c r="CW61" s="72">
        <v>0</v>
      </c>
      <c r="CX61" s="72">
        <v>0</v>
      </c>
      <c r="CY61" s="72">
        <v>0</v>
      </c>
      <c r="CZ61" s="72">
        <v>0</v>
      </c>
      <c r="DA61" s="72">
        <v>0</v>
      </c>
      <c r="DB61" s="72">
        <v>0</v>
      </c>
      <c r="DC61" s="72">
        <v>0</v>
      </c>
      <c r="DD61" s="72">
        <v>0</v>
      </c>
      <c r="DE61" s="72">
        <v>0</v>
      </c>
      <c r="DF61" s="72">
        <v>0</v>
      </c>
      <c r="DG61" s="72">
        <v>0</v>
      </c>
      <c r="DH61" s="72">
        <v>0</v>
      </c>
      <c r="DI61" s="72">
        <v>0</v>
      </c>
      <c r="DJ61" s="72">
        <v>0</v>
      </c>
      <c r="DK61" s="72">
        <v>0</v>
      </c>
      <c r="DL61" s="72">
        <v>0</v>
      </c>
      <c r="DM61" s="72">
        <v>0</v>
      </c>
      <c r="DN61" s="72">
        <v>0</v>
      </c>
      <c r="DO61" s="72">
        <v>0</v>
      </c>
      <c r="DP61" s="72">
        <v>0</v>
      </c>
      <c r="DQ61" s="72">
        <v>0</v>
      </c>
      <c r="DR61" s="72">
        <v>0</v>
      </c>
      <c r="DS61" s="72">
        <v>0</v>
      </c>
      <c r="DT61" s="72">
        <v>0</v>
      </c>
      <c r="DU61" s="72">
        <v>0</v>
      </c>
      <c r="DV61" s="72">
        <v>0</v>
      </c>
      <c r="DW61" s="72">
        <v>0</v>
      </c>
      <c r="DX61" s="72">
        <v>0</v>
      </c>
      <c r="DY61" s="72">
        <v>0</v>
      </c>
      <c r="DZ61" s="72">
        <v>0</v>
      </c>
      <c r="EA61" s="72">
        <v>0</v>
      </c>
      <c r="EB61" s="72">
        <v>0</v>
      </c>
      <c r="EC61" s="72">
        <v>0</v>
      </c>
      <c r="ED61" s="72">
        <v>0</v>
      </c>
      <c r="EE61" s="72">
        <v>0</v>
      </c>
      <c r="EF61" s="72">
        <v>0</v>
      </c>
      <c r="EG61" s="72">
        <v>0</v>
      </c>
      <c r="EH61" s="72">
        <v>0</v>
      </c>
      <c r="EI61" s="72">
        <v>0</v>
      </c>
      <c r="EJ61" s="72">
        <v>0</v>
      </c>
      <c r="EK61" s="72">
        <v>0</v>
      </c>
      <c r="EL61" s="72">
        <v>0</v>
      </c>
    </row>
    <row r="62" spans="1:142" s="6" customFormat="1" x14ac:dyDescent="0.35">
      <c r="A62" s="59">
        <f>Данные!A62</f>
        <v>4848</v>
      </c>
      <c r="B62" s="59">
        <f>Данные!B62</f>
        <v>2017</v>
      </c>
      <c r="C62" s="59" t="str">
        <f>Данные!C62</f>
        <v>компьютерных технологий и электронного обучения</v>
      </c>
      <c r="D62" s="59" t="str">
        <f>Данные!D62</f>
        <v>Авксентьева Елена Юрьевна</v>
      </c>
      <c r="E62" s="59" t="str">
        <f>Данные!E62</f>
        <v>кандидат педагогических наук</v>
      </c>
      <c r="F62" s="59" t="str">
        <f>Данные!F62</f>
        <v>доцент</v>
      </c>
      <c r="G62" s="59">
        <f>Данные!G62</f>
        <v>1</v>
      </c>
      <c r="H62" s="59">
        <f>Данные!H62</f>
        <v>16003</v>
      </c>
      <c r="I62" s="59" t="str">
        <f>Данные!I62</f>
        <v>Инженерная и компьютерная графика</v>
      </c>
      <c r="J62" s="59">
        <f>Данные!J62</f>
        <v>0</v>
      </c>
      <c r="K62" s="59">
        <f>Данные!K62</f>
        <v>48</v>
      </c>
      <c r="L62" s="59">
        <f>Данные!L62</f>
        <v>9</v>
      </c>
      <c r="M62" s="60">
        <f t="shared" si="0"/>
        <v>5.7</v>
      </c>
      <c r="N62" s="60">
        <f t="shared" ca="1" si="1"/>
        <v>6.29</v>
      </c>
      <c r="O62" s="60">
        <f t="shared" ca="1" si="2"/>
        <v>3.25</v>
      </c>
      <c r="P62" s="60">
        <f t="shared" ca="1" si="3"/>
        <v>3.25</v>
      </c>
      <c r="Q62" s="54">
        <f>Данные!Q62</f>
        <v>0</v>
      </c>
      <c r="R62" s="54">
        <f>Данные!R62</f>
        <v>0</v>
      </c>
      <c r="S62" s="54">
        <f>Данные!S62</f>
        <v>0</v>
      </c>
      <c r="T62" s="54">
        <f>Данные!T62</f>
        <v>0</v>
      </c>
      <c r="U62" s="54">
        <f>Данные!U62</f>
        <v>0</v>
      </c>
      <c r="V62" s="54">
        <f>Данные!V62</f>
        <v>0</v>
      </c>
      <c r="W62" s="54">
        <f ca="1">Данные!W62</f>
        <v>13</v>
      </c>
      <c r="X62" s="54" t="str">
        <f ca="1">Данные!X62</f>
        <v>1</v>
      </c>
      <c r="Y62" s="54" t="str">
        <f ca="1">Данные!Y62</f>
        <v>1</v>
      </c>
      <c r="Z62" s="54">
        <f>Данные!Z62</f>
        <v>0</v>
      </c>
      <c r="AA62" s="54" t="str">
        <f>Данные!AA62</f>
        <v>осн</v>
      </c>
      <c r="AB62" s="101">
        <f t="shared" si="4"/>
        <v>800</v>
      </c>
      <c r="AC62" s="101" t="str">
        <f t="shared" si="5"/>
        <v>ИВТ (бак)</v>
      </c>
      <c r="AD62" s="101" t="str">
        <f t="shared" si="6"/>
        <v/>
      </c>
      <c r="AE62" s="102">
        <f t="shared" ca="1" si="7"/>
        <v>75.490000000000009</v>
      </c>
      <c r="AF62" s="103">
        <f t="shared" ca="1" si="8"/>
        <v>9.4362500000000016E-2</v>
      </c>
      <c r="AG62" s="101"/>
      <c r="AH62" s="101"/>
      <c r="AI62"/>
      <c r="BM62"/>
      <c r="BN62"/>
      <c r="BO62"/>
      <c r="BQ62" s="72">
        <v>0</v>
      </c>
      <c r="BR62" s="72">
        <v>0</v>
      </c>
      <c r="BS62" s="72">
        <v>0</v>
      </c>
      <c r="BT62" s="72">
        <v>0</v>
      </c>
      <c r="BU62" s="72">
        <v>0</v>
      </c>
      <c r="BV62" s="72">
        <v>0</v>
      </c>
      <c r="BW62" s="72">
        <v>0</v>
      </c>
      <c r="BX62" s="72">
        <v>0</v>
      </c>
      <c r="BY62" s="72">
        <v>0</v>
      </c>
      <c r="BZ62" s="72">
        <v>0</v>
      </c>
      <c r="CA62" s="72">
        <v>0</v>
      </c>
      <c r="CB62" s="72">
        <v>0</v>
      </c>
      <c r="CC62" s="72">
        <v>0</v>
      </c>
      <c r="CD62" s="72">
        <v>0</v>
      </c>
      <c r="CE62" s="72">
        <v>0</v>
      </c>
      <c r="CF62" s="72">
        <v>0</v>
      </c>
      <c r="CG62" s="72">
        <v>0</v>
      </c>
      <c r="CH62" s="72">
        <v>0</v>
      </c>
      <c r="CI62" s="72">
        <v>0</v>
      </c>
      <c r="CJ62" s="72">
        <v>0</v>
      </c>
      <c r="CK62" s="72">
        <v>0</v>
      </c>
      <c r="CL62" s="72">
        <v>0</v>
      </c>
      <c r="CM62" s="72">
        <v>0</v>
      </c>
      <c r="CN62" s="72">
        <v>0</v>
      </c>
      <c r="CO62" s="72">
        <v>0</v>
      </c>
      <c r="CP62" s="72">
        <v>0</v>
      </c>
      <c r="CQ62" s="72">
        <v>0</v>
      </c>
      <c r="CR62" s="72">
        <v>0</v>
      </c>
      <c r="CS62" s="72">
        <v>0</v>
      </c>
      <c r="CT62" s="72">
        <v>0</v>
      </c>
      <c r="CU62" s="72">
        <v>0</v>
      </c>
      <c r="CV62" s="72">
        <v>0</v>
      </c>
      <c r="CW62" s="72">
        <v>0</v>
      </c>
      <c r="CX62" s="72">
        <v>0</v>
      </c>
      <c r="CY62" s="72">
        <v>0</v>
      </c>
      <c r="CZ62" s="72">
        <v>0</v>
      </c>
      <c r="DA62" s="72">
        <v>0</v>
      </c>
      <c r="DB62" s="72">
        <v>0</v>
      </c>
      <c r="DC62" s="72">
        <v>0</v>
      </c>
      <c r="DD62" s="72">
        <v>0</v>
      </c>
      <c r="DE62" s="72">
        <v>0</v>
      </c>
      <c r="DF62" s="72">
        <v>0</v>
      </c>
      <c r="DG62" s="72">
        <v>0</v>
      </c>
      <c r="DH62" s="72">
        <v>0</v>
      </c>
      <c r="DI62" s="72">
        <v>0</v>
      </c>
      <c r="DJ62" s="72">
        <v>0</v>
      </c>
      <c r="DK62" s="72">
        <v>0</v>
      </c>
      <c r="DL62" s="72">
        <v>0</v>
      </c>
      <c r="DM62" s="72">
        <v>0</v>
      </c>
      <c r="DN62" s="72">
        <v>0</v>
      </c>
      <c r="DO62" s="72">
        <v>0</v>
      </c>
      <c r="DP62" s="72">
        <v>0</v>
      </c>
      <c r="DQ62" s="72">
        <v>0</v>
      </c>
      <c r="DR62" s="72">
        <v>0</v>
      </c>
      <c r="DS62" s="72">
        <v>0</v>
      </c>
      <c r="DT62" s="72">
        <v>0</v>
      </c>
      <c r="DU62" s="72">
        <v>0</v>
      </c>
      <c r="DV62" s="72">
        <v>0</v>
      </c>
      <c r="DW62" s="72">
        <v>0</v>
      </c>
      <c r="DX62" s="72">
        <v>0</v>
      </c>
      <c r="DY62" s="72">
        <v>0</v>
      </c>
      <c r="DZ62" s="72">
        <v>0</v>
      </c>
      <c r="EA62" s="72">
        <v>0</v>
      </c>
      <c r="EB62" s="72">
        <v>0</v>
      </c>
      <c r="EC62" s="72">
        <v>0</v>
      </c>
      <c r="ED62" s="72">
        <v>0</v>
      </c>
      <c r="EE62" s="72">
        <v>0</v>
      </c>
      <c r="EF62" s="72">
        <v>0</v>
      </c>
      <c r="EG62" s="72">
        <v>0</v>
      </c>
      <c r="EH62" s="72">
        <v>0</v>
      </c>
      <c r="EI62" s="72">
        <v>0</v>
      </c>
      <c r="EJ62" s="72">
        <v>0</v>
      </c>
      <c r="EK62" s="72">
        <v>0</v>
      </c>
      <c r="EL62" s="72">
        <v>0</v>
      </c>
    </row>
    <row r="63" spans="1:142" s="6" customFormat="1" x14ac:dyDescent="0.35">
      <c r="A63" s="59">
        <f>Данные!A63</f>
        <v>4848</v>
      </c>
      <c r="B63" s="59">
        <f>Данные!B63</f>
        <v>2017</v>
      </c>
      <c r="C63" s="59" t="str">
        <f>Данные!C63</f>
        <v>компьютерных технологий и электронного обучения</v>
      </c>
      <c r="D63" s="59" t="str">
        <f>Данные!D63</f>
        <v>Авксентьева Елена Юрьевна</v>
      </c>
      <c r="E63" s="59" t="str">
        <f>Данные!E63</f>
        <v>кандидат педагогических наук</v>
      </c>
      <c r="F63" s="59" t="str">
        <f>Данные!F63</f>
        <v>доцент</v>
      </c>
      <c r="G63" s="59">
        <f>Данные!G63</f>
        <v>1</v>
      </c>
      <c r="H63" s="59">
        <f>Данные!H63</f>
        <v>16003</v>
      </c>
      <c r="I63" s="59" t="str">
        <f>Данные!I63</f>
        <v>Программирование</v>
      </c>
      <c r="J63" s="59">
        <f>Данные!J63</f>
        <v>54</v>
      </c>
      <c r="K63" s="59">
        <f>Данные!K63</f>
        <v>0</v>
      </c>
      <c r="L63" s="59">
        <f>Данные!L63</f>
        <v>0</v>
      </c>
      <c r="M63" s="60">
        <f t="shared" si="0"/>
        <v>5.4</v>
      </c>
      <c r="N63" s="60">
        <f t="shared" ca="1" si="1"/>
        <v>6.29</v>
      </c>
      <c r="O63" s="60">
        <f t="shared" ca="1" si="2"/>
        <v>3.25</v>
      </c>
      <c r="P63" s="60">
        <f t="shared" ca="1" si="3"/>
        <v>3.25</v>
      </c>
      <c r="Q63" s="54">
        <f>Данные!Q63</f>
        <v>0</v>
      </c>
      <c r="R63" s="54">
        <f>Данные!R63</f>
        <v>0</v>
      </c>
      <c r="S63" s="54">
        <f>Данные!S63</f>
        <v>0</v>
      </c>
      <c r="T63" s="54">
        <f>Данные!T63</f>
        <v>0</v>
      </c>
      <c r="U63" s="54">
        <f>Данные!U63</f>
        <v>0</v>
      </c>
      <c r="V63" s="54">
        <f>Данные!V63</f>
        <v>0</v>
      </c>
      <c r="W63" s="54">
        <f ca="1">Данные!W63</f>
        <v>13</v>
      </c>
      <c r="X63" s="54" t="str">
        <f ca="1">Данные!X63</f>
        <v>1</v>
      </c>
      <c r="Y63" s="54" t="str">
        <f ca="1">Данные!Y63</f>
        <v>1</v>
      </c>
      <c r="Z63" s="54">
        <f>Данные!Z63</f>
        <v>0</v>
      </c>
      <c r="AA63" s="54" t="str">
        <f>Данные!AA63</f>
        <v>осн</v>
      </c>
      <c r="AB63" s="101">
        <f t="shared" si="4"/>
        <v>800</v>
      </c>
      <c r="AC63" s="101" t="str">
        <f t="shared" si="5"/>
        <v>ИВТ (бак)</v>
      </c>
      <c r="AD63" s="101" t="str">
        <f t="shared" si="6"/>
        <v/>
      </c>
      <c r="AE63" s="102">
        <f t="shared" ca="1" si="7"/>
        <v>72.19</v>
      </c>
      <c r="AF63" s="103">
        <f t="shared" ca="1" si="8"/>
        <v>9.0237499999999998E-2</v>
      </c>
      <c r="AG63" s="101"/>
      <c r="AH63" s="101"/>
      <c r="AI63"/>
      <c r="BM63"/>
      <c r="BN63"/>
      <c r="BO63"/>
      <c r="BQ63" s="72">
        <v>0</v>
      </c>
      <c r="BR63" s="72">
        <v>0</v>
      </c>
      <c r="BS63" s="72">
        <v>0</v>
      </c>
      <c r="BT63" s="72">
        <v>0</v>
      </c>
      <c r="BU63" s="72">
        <v>0</v>
      </c>
      <c r="BV63" s="72">
        <v>0</v>
      </c>
      <c r="BW63" s="72">
        <v>0</v>
      </c>
      <c r="BX63" s="72">
        <v>0</v>
      </c>
      <c r="BY63" s="72">
        <v>0</v>
      </c>
      <c r="BZ63" s="72">
        <v>0</v>
      </c>
      <c r="CA63" s="72">
        <v>0</v>
      </c>
      <c r="CB63" s="72">
        <v>0</v>
      </c>
      <c r="CC63" s="72">
        <v>0</v>
      </c>
      <c r="CD63" s="72">
        <v>0</v>
      </c>
      <c r="CE63" s="72">
        <v>0</v>
      </c>
      <c r="CF63" s="72">
        <v>0</v>
      </c>
      <c r="CG63" s="72">
        <v>0</v>
      </c>
      <c r="CH63" s="72">
        <v>0</v>
      </c>
      <c r="CI63" s="72">
        <v>0</v>
      </c>
      <c r="CJ63" s="72">
        <v>0</v>
      </c>
      <c r="CK63" s="72">
        <v>0</v>
      </c>
      <c r="CL63" s="72">
        <v>0</v>
      </c>
      <c r="CM63" s="72">
        <v>0</v>
      </c>
      <c r="CN63" s="72">
        <v>0</v>
      </c>
      <c r="CO63" s="72">
        <v>0</v>
      </c>
      <c r="CP63" s="72">
        <v>0</v>
      </c>
      <c r="CQ63" s="72">
        <v>0</v>
      </c>
      <c r="CR63" s="72">
        <v>0</v>
      </c>
      <c r="CS63" s="72">
        <v>0</v>
      </c>
      <c r="CT63" s="72">
        <v>0</v>
      </c>
      <c r="CU63" s="72">
        <v>0</v>
      </c>
      <c r="CV63" s="72">
        <v>0</v>
      </c>
      <c r="CW63" s="72">
        <v>0</v>
      </c>
      <c r="CX63" s="72">
        <v>0</v>
      </c>
      <c r="CY63" s="72">
        <v>0</v>
      </c>
      <c r="CZ63" s="72">
        <v>0</v>
      </c>
      <c r="DA63" s="72">
        <v>0</v>
      </c>
      <c r="DB63" s="72">
        <v>0</v>
      </c>
      <c r="DC63" s="72">
        <v>0</v>
      </c>
      <c r="DD63" s="72">
        <v>0</v>
      </c>
      <c r="DE63" s="72">
        <v>0</v>
      </c>
      <c r="DF63" s="72">
        <v>0</v>
      </c>
      <c r="DG63" s="72">
        <v>0</v>
      </c>
      <c r="DH63" s="72">
        <v>0</v>
      </c>
      <c r="DI63" s="72">
        <v>0</v>
      </c>
      <c r="DJ63" s="72">
        <v>0</v>
      </c>
      <c r="DK63" s="72">
        <v>0</v>
      </c>
      <c r="DL63" s="72">
        <v>0</v>
      </c>
      <c r="DM63" s="72">
        <v>0</v>
      </c>
      <c r="DN63" s="72">
        <v>0</v>
      </c>
      <c r="DO63" s="72">
        <v>0</v>
      </c>
      <c r="DP63" s="72">
        <v>0</v>
      </c>
      <c r="DQ63" s="72">
        <v>0</v>
      </c>
      <c r="DR63" s="72">
        <v>0</v>
      </c>
      <c r="DS63" s="72">
        <v>0</v>
      </c>
      <c r="DT63" s="72">
        <v>0</v>
      </c>
      <c r="DU63" s="72">
        <v>0</v>
      </c>
      <c r="DV63" s="72">
        <v>0</v>
      </c>
      <c r="DW63" s="72">
        <v>0</v>
      </c>
      <c r="DX63" s="72">
        <v>0</v>
      </c>
      <c r="DY63" s="72">
        <v>0</v>
      </c>
      <c r="DZ63" s="72">
        <v>0</v>
      </c>
      <c r="EA63" s="72">
        <v>0</v>
      </c>
      <c r="EB63" s="72">
        <v>0</v>
      </c>
      <c r="EC63" s="72">
        <v>0</v>
      </c>
      <c r="ED63" s="72">
        <v>0</v>
      </c>
      <c r="EE63" s="72">
        <v>0</v>
      </c>
      <c r="EF63" s="72">
        <v>0</v>
      </c>
      <c r="EG63" s="72">
        <v>0</v>
      </c>
      <c r="EH63" s="72">
        <v>0</v>
      </c>
      <c r="EI63" s="72">
        <v>0</v>
      </c>
      <c r="EJ63" s="72">
        <v>0</v>
      </c>
      <c r="EK63" s="72">
        <v>0</v>
      </c>
      <c r="EL63" s="72">
        <v>0</v>
      </c>
    </row>
    <row r="64" spans="1:142" s="6" customFormat="1" x14ac:dyDescent="0.35">
      <c r="A64" s="59">
        <f>Данные!A64</f>
        <v>4848</v>
      </c>
      <c r="B64" s="59">
        <f>Данные!B64</f>
        <v>2017</v>
      </c>
      <c r="C64" s="59" t="str">
        <f>Данные!C64</f>
        <v>компьютерных технологий и электронного обучения</v>
      </c>
      <c r="D64" s="59" t="str">
        <f>Данные!D64</f>
        <v>Авксентьева Елена Юрьевна</v>
      </c>
      <c r="E64" s="59" t="str">
        <f>Данные!E64</f>
        <v>кандидат педагогических наук</v>
      </c>
      <c r="F64" s="59" t="str">
        <f>Данные!F64</f>
        <v>доцент</v>
      </c>
      <c r="G64" s="59">
        <f>Данные!G64</f>
        <v>1</v>
      </c>
      <c r="H64" s="59">
        <f>Данные!H64</f>
        <v>16003</v>
      </c>
      <c r="I64" s="59" t="str">
        <f>Данные!I64</f>
        <v>Сети и телекоммуникации</v>
      </c>
      <c r="J64" s="59">
        <f>Данные!J64</f>
        <v>24</v>
      </c>
      <c r="K64" s="59">
        <f>Данные!K64</f>
        <v>0</v>
      </c>
      <c r="L64" s="59">
        <f>Данные!L64</f>
        <v>48</v>
      </c>
      <c r="M64" s="60">
        <f t="shared" si="0"/>
        <v>7.2</v>
      </c>
      <c r="N64" s="60">
        <f t="shared" ca="1" si="1"/>
        <v>6.29</v>
      </c>
      <c r="O64" s="60">
        <f t="shared" ca="1" si="2"/>
        <v>3.25</v>
      </c>
      <c r="P64" s="60">
        <f t="shared" ca="1" si="3"/>
        <v>3.25</v>
      </c>
      <c r="Q64" s="54">
        <f>Данные!Q64</f>
        <v>0</v>
      </c>
      <c r="R64" s="54">
        <f>Данные!R64</f>
        <v>0</v>
      </c>
      <c r="S64" s="54">
        <f>Данные!S64</f>
        <v>0</v>
      </c>
      <c r="T64" s="54">
        <f>Данные!T64</f>
        <v>0</v>
      </c>
      <c r="U64" s="54">
        <f>Данные!U64</f>
        <v>0</v>
      </c>
      <c r="V64" s="54">
        <f>Данные!V64</f>
        <v>0</v>
      </c>
      <c r="W64" s="54">
        <f ca="1">Данные!W64</f>
        <v>13</v>
      </c>
      <c r="X64" s="54" t="str">
        <f ca="1">Данные!X64</f>
        <v>1</v>
      </c>
      <c r="Y64" s="54" t="str">
        <f ca="1">Данные!Y64</f>
        <v>1</v>
      </c>
      <c r="Z64" s="54">
        <f>Данные!Z64</f>
        <v>0</v>
      </c>
      <c r="AA64" s="54" t="str">
        <f>Данные!AA64</f>
        <v>осн</v>
      </c>
      <c r="AB64" s="101">
        <f t="shared" si="4"/>
        <v>800</v>
      </c>
      <c r="AC64" s="101" t="str">
        <f t="shared" si="5"/>
        <v>ИВТ (бак)</v>
      </c>
      <c r="AD64" s="101" t="str">
        <f t="shared" si="6"/>
        <v/>
      </c>
      <c r="AE64" s="102">
        <f t="shared" ca="1" si="7"/>
        <v>91.990000000000009</v>
      </c>
      <c r="AF64" s="103">
        <f t="shared" ca="1" si="8"/>
        <v>0.11498750000000001</v>
      </c>
      <c r="AG64" s="101"/>
      <c r="AH64" s="101"/>
      <c r="AI64"/>
      <c r="BM64"/>
      <c r="BN64"/>
      <c r="BO64"/>
      <c r="BQ64" s="72">
        <v>0</v>
      </c>
      <c r="BR64" s="72">
        <v>0</v>
      </c>
      <c r="BS64" s="72">
        <v>0</v>
      </c>
      <c r="BT64" s="72">
        <v>0</v>
      </c>
      <c r="BU64" s="72">
        <v>0</v>
      </c>
      <c r="BV64" s="72">
        <v>0</v>
      </c>
      <c r="BW64" s="72">
        <v>0</v>
      </c>
      <c r="BX64" s="72">
        <v>0</v>
      </c>
      <c r="BY64" s="72">
        <v>0</v>
      </c>
      <c r="BZ64" s="72">
        <v>0</v>
      </c>
      <c r="CA64" s="72">
        <v>0</v>
      </c>
      <c r="CB64" s="72">
        <v>0</v>
      </c>
      <c r="CC64" s="72">
        <v>0</v>
      </c>
      <c r="CD64" s="72">
        <v>0</v>
      </c>
      <c r="CE64" s="72">
        <v>0</v>
      </c>
      <c r="CF64" s="72">
        <v>0</v>
      </c>
      <c r="CG64" s="72">
        <v>0</v>
      </c>
      <c r="CH64" s="72">
        <v>0</v>
      </c>
      <c r="CI64" s="72">
        <v>0</v>
      </c>
      <c r="CJ64" s="72">
        <v>0</v>
      </c>
      <c r="CK64" s="72">
        <v>0</v>
      </c>
      <c r="CL64" s="72">
        <v>0</v>
      </c>
      <c r="CM64" s="72">
        <v>0</v>
      </c>
      <c r="CN64" s="72">
        <v>0</v>
      </c>
      <c r="CO64" s="72">
        <v>0</v>
      </c>
      <c r="CP64" s="72">
        <v>0</v>
      </c>
      <c r="CQ64" s="72">
        <v>0</v>
      </c>
      <c r="CR64" s="72">
        <v>0</v>
      </c>
      <c r="CS64" s="72">
        <v>0</v>
      </c>
      <c r="CT64" s="72">
        <v>0</v>
      </c>
      <c r="CU64" s="72">
        <v>0</v>
      </c>
      <c r="CV64" s="72">
        <v>0</v>
      </c>
      <c r="CW64" s="72">
        <v>0</v>
      </c>
      <c r="CX64" s="72">
        <v>0</v>
      </c>
      <c r="CY64" s="72">
        <v>0</v>
      </c>
      <c r="CZ64" s="72">
        <v>0</v>
      </c>
      <c r="DA64" s="72">
        <v>0</v>
      </c>
      <c r="DB64" s="72">
        <v>0</v>
      </c>
      <c r="DC64" s="72">
        <v>0</v>
      </c>
      <c r="DD64" s="72">
        <v>0</v>
      </c>
      <c r="DE64" s="72">
        <v>0</v>
      </c>
      <c r="DF64" s="72">
        <v>0</v>
      </c>
      <c r="DG64" s="72">
        <v>0</v>
      </c>
      <c r="DH64" s="72">
        <v>0</v>
      </c>
      <c r="DI64" s="72">
        <v>0</v>
      </c>
      <c r="DJ64" s="72">
        <v>0</v>
      </c>
      <c r="DK64" s="72">
        <v>0</v>
      </c>
      <c r="DL64" s="72">
        <v>0</v>
      </c>
      <c r="DM64" s="72">
        <v>0</v>
      </c>
      <c r="DN64" s="72">
        <v>0</v>
      </c>
      <c r="DO64" s="72">
        <v>0</v>
      </c>
      <c r="DP64" s="72">
        <v>0</v>
      </c>
      <c r="DQ64" s="72">
        <v>0</v>
      </c>
      <c r="DR64" s="72">
        <v>0</v>
      </c>
      <c r="DS64" s="72">
        <v>0</v>
      </c>
      <c r="DT64" s="72">
        <v>0</v>
      </c>
      <c r="DU64" s="72">
        <v>0</v>
      </c>
      <c r="DV64" s="72">
        <v>0</v>
      </c>
      <c r="DW64" s="72">
        <v>0</v>
      </c>
      <c r="DX64" s="72">
        <v>0</v>
      </c>
      <c r="DY64" s="72">
        <v>0</v>
      </c>
      <c r="DZ64" s="72">
        <v>0</v>
      </c>
      <c r="EA64" s="72">
        <v>0</v>
      </c>
      <c r="EB64" s="72">
        <v>0</v>
      </c>
      <c r="EC64" s="72">
        <v>0</v>
      </c>
      <c r="ED64" s="72">
        <v>0</v>
      </c>
      <c r="EE64" s="72">
        <v>0</v>
      </c>
      <c r="EF64" s="72">
        <v>0</v>
      </c>
      <c r="EG64" s="72">
        <v>0</v>
      </c>
      <c r="EH64" s="72">
        <v>0</v>
      </c>
      <c r="EI64" s="72">
        <v>0</v>
      </c>
      <c r="EJ64" s="72">
        <v>0</v>
      </c>
      <c r="EK64" s="72">
        <v>0</v>
      </c>
      <c r="EL64" s="72">
        <v>0</v>
      </c>
    </row>
    <row r="65" spans="1:142" s="6" customFormat="1" x14ac:dyDescent="0.35">
      <c r="A65" s="59">
        <f>Данные!A65</f>
        <v>4848</v>
      </c>
      <c r="B65" s="59">
        <f>Данные!B65</f>
        <v>2017</v>
      </c>
      <c r="C65" s="59" t="str">
        <f>Данные!C65</f>
        <v>компьютерных технологий и электронного обучения</v>
      </c>
      <c r="D65" s="59" t="str">
        <f>Данные!D65</f>
        <v>Аксютин Павел Александрович</v>
      </c>
      <c r="E65" s="59" t="str">
        <f>Данные!E65</f>
        <v>нет</v>
      </c>
      <c r="F65" s="59" t="str">
        <f>Данные!F65</f>
        <v>ассистент</v>
      </c>
      <c r="G65" s="59">
        <f>Данные!G65</f>
        <v>0.5</v>
      </c>
      <c r="H65" s="59">
        <f>Данные!H65</f>
        <v>16003</v>
      </c>
      <c r="I65" s="59" t="str">
        <f>Данные!I65</f>
        <v>Модуль "Информационные технологии". Дисциплины и курсы по выбору. Прикладные информационные технологии</v>
      </c>
      <c r="J65" s="59">
        <f>Данные!J65</f>
        <v>0</v>
      </c>
      <c r="K65" s="59">
        <f>Данные!K65</f>
        <v>22</v>
      </c>
      <c r="L65" s="59">
        <f>Данные!L65</f>
        <v>22</v>
      </c>
      <c r="M65" s="60">
        <f t="shared" si="0"/>
        <v>4.4000000000000004</v>
      </c>
      <c r="N65" s="60">
        <f t="shared" ca="1" si="1"/>
        <v>6.29</v>
      </c>
      <c r="O65" s="60">
        <f t="shared" ca="1" si="2"/>
        <v>3.25</v>
      </c>
      <c r="P65" s="60">
        <f t="shared" ca="1" si="3"/>
        <v>3.25</v>
      </c>
      <c r="Q65" s="54">
        <f>Данные!Q65</f>
        <v>0</v>
      </c>
      <c r="R65" s="54">
        <f>Данные!R65</f>
        <v>0</v>
      </c>
      <c r="S65" s="54">
        <f>Данные!S65</f>
        <v>0</v>
      </c>
      <c r="T65" s="54">
        <f>Данные!T65</f>
        <v>0</v>
      </c>
      <c r="U65" s="54">
        <f>Данные!U65</f>
        <v>0</v>
      </c>
      <c r="V65" s="54">
        <f>Данные!V65</f>
        <v>0</v>
      </c>
      <c r="W65" s="54">
        <f ca="1">Данные!W65</f>
        <v>13</v>
      </c>
      <c r="X65" s="54" t="str">
        <f ca="1">Данные!X65</f>
        <v>1</v>
      </c>
      <c r="Y65" s="54" t="str">
        <f ca="1">Данные!Y65</f>
        <v>1</v>
      </c>
      <c r="Z65" s="54">
        <f>Данные!Z65</f>
        <v>0</v>
      </c>
      <c r="AA65" s="54" t="str">
        <f>Данные!AA65</f>
        <v>осн</v>
      </c>
      <c r="AB65" s="101">
        <f t="shared" si="4"/>
        <v>900</v>
      </c>
      <c r="AC65" s="101" t="str">
        <f t="shared" si="5"/>
        <v>ИВТ (бак)</v>
      </c>
      <c r="AD65" s="101" t="str">
        <f t="shared" si="6"/>
        <v/>
      </c>
      <c r="AE65" s="102">
        <f t="shared" ca="1" si="7"/>
        <v>61.19</v>
      </c>
      <c r="AF65" s="103">
        <f t="shared" ca="1" si="8"/>
        <v>6.798888888888889E-2</v>
      </c>
      <c r="AG65" s="101"/>
      <c r="AH65" s="101"/>
      <c r="AI65"/>
      <c r="BM65"/>
      <c r="BN65"/>
      <c r="BO65"/>
      <c r="BQ65" s="72">
        <v>0</v>
      </c>
      <c r="BR65" s="72">
        <v>0</v>
      </c>
      <c r="BS65" s="72">
        <v>0</v>
      </c>
      <c r="BT65" s="72">
        <v>0</v>
      </c>
      <c r="BU65" s="72">
        <v>0</v>
      </c>
      <c r="BV65" s="72">
        <v>0</v>
      </c>
      <c r="BW65" s="72">
        <v>0</v>
      </c>
      <c r="BX65" s="72">
        <v>0</v>
      </c>
      <c r="BY65" s="72">
        <v>0</v>
      </c>
      <c r="BZ65" s="72">
        <v>0</v>
      </c>
      <c r="CA65" s="72">
        <v>0</v>
      </c>
      <c r="CB65" s="72">
        <v>0</v>
      </c>
      <c r="CC65" s="72">
        <v>0</v>
      </c>
      <c r="CD65" s="72">
        <v>0</v>
      </c>
      <c r="CE65" s="72">
        <v>0</v>
      </c>
      <c r="CF65" s="72">
        <v>0</v>
      </c>
      <c r="CG65" s="72">
        <v>0</v>
      </c>
      <c r="CH65" s="72">
        <v>0</v>
      </c>
      <c r="CI65" s="72">
        <v>0</v>
      </c>
      <c r="CJ65" s="72">
        <v>0</v>
      </c>
      <c r="CK65" s="72">
        <v>0</v>
      </c>
      <c r="CL65" s="72">
        <v>0</v>
      </c>
      <c r="CM65" s="72">
        <v>0</v>
      </c>
      <c r="CN65" s="72">
        <v>0</v>
      </c>
      <c r="CO65" s="72">
        <v>0</v>
      </c>
      <c r="CP65" s="72">
        <v>0</v>
      </c>
      <c r="CQ65" s="72">
        <v>0</v>
      </c>
      <c r="CR65" s="72">
        <v>0</v>
      </c>
      <c r="CS65" s="72">
        <v>0</v>
      </c>
      <c r="CT65" s="72">
        <v>0</v>
      </c>
      <c r="CU65" s="72">
        <v>0</v>
      </c>
      <c r="CV65" s="72">
        <v>0</v>
      </c>
      <c r="CW65" s="72">
        <v>0</v>
      </c>
      <c r="CX65" s="72">
        <v>0</v>
      </c>
      <c r="CY65" s="72">
        <v>0</v>
      </c>
      <c r="CZ65" s="72">
        <v>0</v>
      </c>
      <c r="DA65" s="72">
        <v>0</v>
      </c>
      <c r="DB65" s="72">
        <v>0</v>
      </c>
      <c r="DC65" s="72">
        <v>0</v>
      </c>
      <c r="DD65" s="72">
        <v>0</v>
      </c>
      <c r="DE65" s="72">
        <v>0</v>
      </c>
      <c r="DF65" s="72">
        <v>0</v>
      </c>
      <c r="DG65" s="72">
        <v>0</v>
      </c>
      <c r="DH65" s="72">
        <v>0</v>
      </c>
      <c r="DI65" s="72">
        <v>0</v>
      </c>
      <c r="DJ65" s="72">
        <v>0</v>
      </c>
      <c r="DK65" s="72">
        <v>0</v>
      </c>
      <c r="DL65" s="72">
        <v>0</v>
      </c>
      <c r="DM65" s="72">
        <v>0</v>
      </c>
      <c r="DN65" s="72">
        <v>0</v>
      </c>
      <c r="DO65" s="72">
        <v>0</v>
      </c>
      <c r="DP65" s="72">
        <v>0</v>
      </c>
      <c r="DQ65" s="72">
        <v>0</v>
      </c>
      <c r="DR65" s="72">
        <v>0</v>
      </c>
      <c r="DS65" s="72">
        <v>0</v>
      </c>
      <c r="DT65" s="72">
        <v>0</v>
      </c>
      <c r="DU65" s="72">
        <v>0</v>
      </c>
      <c r="DV65" s="72">
        <v>0</v>
      </c>
      <c r="DW65" s="72">
        <v>0</v>
      </c>
      <c r="DX65" s="72">
        <v>0</v>
      </c>
      <c r="DY65" s="72">
        <v>0</v>
      </c>
      <c r="DZ65" s="72">
        <v>0</v>
      </c>
      <c r="EA65" s="72">
        <v>0</v>
      </c>
      <c r="EB65" s="72">
        <v>0</v>
      </c>
      <c r="EC65" s="72">
        <v>0</v>
      </c>
      <c r="ED65" s="72">
        <v>0</v>
      </c>
      <c r="EE65" s="72">
        <v>0</v>
      </c>
      <c r="EF65" s="72">
        <v>0</v>
      </c>
      <c r="EG65" s="72">
        <v>0</v>
      </c>
      <c r="EH65" s="72">
        <v>0</v>
      </c>
      <c r="EI65" s="72">
        <v>0</v>
      </c>
      <c r="EJ65" s="72">
        <v>0</v>
      </c>
      <c r="EK65" s="72">
        <v>0</v>
      </c>
      <c r="EL65" s="72">
        <v>0</v>
      </c>
    </row>
    <row r="66" spans="1:142" s="6" customFormat="1" x14ac:dyDescent="0.35">
      <c r="A66" s="59">
        <f>Данные!A66</f>
        <v>4848</v>
      </c>
      <c r="B66" s="59">
        <f>Данные!B66</f>
        <v>2017</v>
      </c>
      <c r="C66" s="59" t="str">
        <f>Данные!C66</f>
        <v>компьютерных технологий и электронного обучения</v>
      </c>
      <c r="D66" s="59" t="str">
        <f>Данные!D66</f>
        <v>Аксютин Павел Александрович</v>
      </c>
      <c r="E66" s="59" t="str">
        <f>Данные!E66</f>
        <v>нет</v>
      </c>
      <c r="F66" s="59" t="str">
        <f>Данные!F66</f>
        <v>ассистент</v>
      </c>
      <c r="G66" s="59">
        <f>Данные!G66</f>
        <v>0.5</v>
      </c>
      <c r="H66" s="59">
        <f>Данные!H66</f>
        <v>16003</v>
      </c>
      <c r="I66" s="59" t="str">
        <f>Данные!I66</f>
        <v>Модуль "Информационные технологии". Техника и технологии представления и публикации информации</v>
      </c>
      <c r="J66" s="59">
        <f>Данные!J66</f>
        <v>0</v>
      </c>
      <c r="K66" s="59">
        <f>Данные!K66</f>
        <v>0</v>
      </c>
      <c r="L66" s="59">
        <f>Данные!L66</f>
        <v>34</v>
      </c>
      <c r="M66" s="60">
        <f t="shared" si="0"/>
        <v>3.4</v>
      </c>
      <c r="N66" s="60">
        <f t="shared" ca="1" si="1"/>
        <v>6.29</v>
      </c>
      <c r="O66" s="60">
        <f t="shared" ca="1" si="2"/>
        <v>3.25</v>
      </c>
      <c r="P66" s="60">
        <f t="shared" ca="1" si="3"/>
        <v>3.25</v>
      </c>
      <c r="Q66" s="54">
        <f>Данные!Q66</f>
        <v>0</v>
      </c>
      <c r="R66" s="54">
        <f>Данные!R66</f>
        <v>0</v>
      </c>
      <c r="S66" s="54">
        <f>Данные!S66</f>
        <v>0</v>
      </c>
      <c r="T66" s="54">
        <f>Данные!T66</f>
        <v>0</v>
      </c>
      <c r="U66" s="54">
        <f>Данные!U66</f>
        <v>0</v>
      </c>
      <c r="V66" s="54">
        <f>Данные!V66</f>
        <v>0</v>
      </c>
      <c r="W66" s="54">
        <f ca="1">Данные!W66</f>
        <v>13</v>
      </c>
      <c r="X66" s="54" t="str">
        <f ca="1">Данные!X66</f>
        <v>1</v>
      </c>
      <c r="Y66" s="54" t="str">
        <f ca="1">Данные!Y66</f>
        <v>1</v>
      </c>
      <c r="Z66" s="54">
        <f>Данные!Z66</f>
        <v>0</v>
      </c>
      <c r="AA66" s="54">
        <f>Данные!AA66</f>
        <v>0</v>
      </c>
      <c r="AB66" s="101">
        <f t="shared" si="4"/>
        <v>900</v>
      </c>
      <c r="AC66" s="101" t="str">
        <f t="shared" si="5"/>
        <v>ИВТ (бак)</v>
      </c>
      <c r="AD66" s="101" t="str">
        <f t="shared" si="6"/>
        <v/>
      </c>
      <c r="AE66" s="102">
        <f t="shared" ca="1" si="7"/>
        <v>50.19</v>
      </c>
      <c r="AF66" s="103">
        <f t="shared" ca="1" si="8"/>
        <v>5.5766666666666666E-2</v>
      </c>
      <c r="AG66" s="101"/>
      <c r="AH66" s="101"/>
      <c r="AI66"/>
      <c r="BM66"/>
      <c r="BN66"/>
      <c r="BO66"/>
      <c r="BQ66" s="72">
        <v>0</v>
      </c>
      <c r="BR66" s="72">
        <v>0</v>
      </c>
      <c r="BS66" s="72">
        <v>0</v>
      </c>
      <c r="BT66" s="72">
        <v>0</v>
      </c>
      <c r="BU66" s="72">
        <v>0</v>
      </c>
      <c r="BV66" s="72">
        <v>0</v>
      </c>
      <c r="BW66" s="72">
        <v>0</v>
      </c>
      <c r="BX66" s="72">
        <v>0</v>
      </c>
      <c r="BY66" s="72">
        <v>0</v>
      </c>
      <c r="BZ66" s="72">
        <v>0</v>
      </c>
      <c r="CA66" s="72">
        <v>0</v>
      </c>
      <c r="CB66" s="72">
        <v>0</v>
      </c>
      <c r="CC66" s="72">
        <v>0</v>
      </c>
      <c r="CD66" s="72">
        <v>0</v>
      </c>
      <c r="CE66" s="72">
        <v>0</v>
      </c>
      <c r="CF66" s="72">
        <v>0</v>
      </c>
      <c r="CG66" s="72">
        <v>0</v>
      </c>
      <c r="CH66" s="72">
        <v>0</v>
      </c>
      <c r="CI66" s="72">
        <v>0</v>
      </c>
      <c r="CJ66" s="72">
        <v>0</v>
      </c>
      <c r="CK66" s="72">
        <v>0</v>
      </c>
      <c r="CL66" s="72">
        <v>0</v>
      </c>
      <c r="CM66" s="72">
        <v>0</v>
      </c>
      <c r="CN66" s="72">
        <v>0</v>
      </c>
      <c r="CO66" s="72">
        <v>0</v>
      </c>
      <c r="CP66" s="72">
        <v>0</v>
      </c>
      <c r="CQ66" s="72">
        <v>0</v>
      </c>
      <c r="CR66" s="72">
        <v>0</v>
      </c>
      <c r="CS66" s="72">
        <v>0</v>
      </c>
      <c r="CT66" s="72">
        <v>0</v>
      </c>
      <c r="CU66" s="72">
        <v>0</v>
      </c>
      <c r="CV66" s="72">
        <v>0</v>
      </c>
      <c r="CW66" s="72">
        <v>0</v>
      </c>
      <c r="CX66" s="72">
        <v>0</v>
      </c>
      <c r="CY66" s="72">
        <v>0</v>
      </c>
      <c r="CZ66" s="72">
        <v>0</v>
      </c>
      <c r="DA66" s="72">
        <v>0</v>
      </c>
      <c r="DB66" s="72">
        <v>0</v>
      </c>
      <c r="DC66" s="72">
        <v>0</v>
      </c>
      <c r="DD66" s="72">
        <v>0</v>
      </c>
      <c r="DE66" s="72">
        <v>0</v>
      </c>
      <c r="DF66" s="72">
        <v>0</v>
      </c>
      <c r="DG66" s="72">
        <v>0</v>
      </c>
      <c r="DH66" s="72">
        <v>0</v>
      </c>
      <c r="DI66" s="72">
        <v>0</v>
      </c>
      <c r="DJ66" s="72">
        <v>0</v>
      </c>
      <c r="DK66" s="72">
        <v>0</v>
      </c>
      <c r="DL66" s="72">
        <v>0</v>
      </c>
      <c r="DM66" s="72">
        <v>0</v>
      </c>
      <c r="DN66" s="72">
        <v>0</v>
      </c>
      <c r="DO66" s="72">
        <v>0</v>
      </c>
      <c r="DP66" s="72">
        <v>0</v>
      </c>
      <c r="DQ66" s="72">
        <v>0</v>
      </c>
      <c r="DR66" s="72">
        <v>0</v>
      </c>
      <c r="DS66" s="72">
        <v>0</v>
      </c>
      <c r="DT66" s="72">
        <v>0</v>
      </c>
      <c r="DU66" s="72">
        <v>0</v>
      </c>
      <c r="DV66" s="72">
        <v>0</v>
      </c>
      <c r="DW66" s="72">
        <v>0</v>
      </c>
      <c r="DX66" s="72">
        <v>0</v>
      </c>
      <c r="DY66" s="72">
        <v>0</v>
      </c>
      <c r="DZ66" s="72">
        <v>0</v>
      </c>
      <c r="EA66" s="72">
        <v>0</v>
      </c>
      <c r="EB66" s="72">
        <v>0</v>
      </c>
      <c r="EC66" s="72">
        <v>0</v>
      </c>
      <c r="ED66" s="72">
        <v>0</v>
      </c>
      <c r="EE66" s="72">
        <v>0</v>
      </c>
      <c r="EF66" s="72">
        <v>0</v>
      </c>
      <c r="EG66" s="72">
        <v>0</v>
      </c>
      <c r="EH66" s="72">
        <v>0</v>
      </c>
      <c r="EI66" s="72">
        <v>0</v>
      </c>
      <c r="EJ66" s="72">
        <v>0</v>
      </c>
      <c r="EK66" s="72">
        <v>0</v>
      </c>
      <c r="EL66" s="72">
        <v>0</v>
      </c>
    </row>
    <row r="67" spans="1:142" s="6" customFormat="1" x14ac:dyDescent="0.35">
      <c r="A67" s="59">
        <f>Данные!A67</f>
        <v>4848</v>
      </c>
      <c r="B67" s="59">
        <f>Данные!B67</f>
        <v>2017</v>
      </c>
      <c r="C67" s="59" t="str">
        <f>Данные!C67</f>
        <v>компьютерных технологий и электронного обучения</v>
      </c>
      <c r="D67" s="59" t="str">
        <f>Данные!D67</f>
        <v>Аксютин Павел Александрович</v>
      </c>
      <c r="E67" s="59" t="str">
        <f>Данные!E67</f>
        <v>нет</v>
      </c>
      <c r="F67" s="59" t="str">
        <f>Данные!F67</f>
        <v>ассистент</v>
      </c>
      <c r="G67" s="59">
        <f>Данные!G67</f>
        <v>0.5</v>
      </c>
      <c r="H67" s="59">
        <f>Данные!H67</f>
        <v>16003</v>
      </c>
      <c r="I67" s="59" t="str">
        <f>Данные!I67</f>
        <v>Модуль "Информационные технологии". Основы корпоративного электронного обучения</v>
      </c>
      <c r="J67" s="59">
        <f>Данные!J67</f>
        <v>0</v>
      </c>
      <c r="K67" s="59">
        <f>Данные!K67</f>
        <v>10</v>
      </c>
      <c r="L67" s="59">
        <f>Данные!L67</f>
        <v>20</v>
      </c>
      <c r="M67" s="60">
        <f t="shared" si="0"/>
        <v>3</v>
      </c>
      <c r="N67" s="60">
        <f t="shared" ca="1" si="1"/>
        <v>6.29</v>
      </c>
      <c r="O67" s="60">
        <f t="shared" ca="1" si="2"/>
        <v>3.25</v>
      </c>
      <c r="P67" s="60">
        <f t="shared" ca="1" si="3"/>
        <v>3.25</v>
      </c>
      <c r="Q67" s="54">
        <f>Данные!Q67</f>
        <v>0</v>
      </c>
      <c r="R67" s="54">
        <f>Данные!R67</f>
        <v>0</v>
      </c>
      <c r="S67" s="54">
        <f>Данные!S67</f>
        <v>0</v>
      </c>
      <c r="T67" s="54">
        <f>Данные!T67</f>
        <v>0</v>
      </c>
      <c r="U67" s="54">
        <f>Данные!U67</f>
        <v>0</v>
      </c>
      <c r="V67" s="54">
        <f>Данные!V67</f>
        <v>0</v>
      </c>
      <c r="W67" s="54">
        <f ca="1">Данные!W67</f>
        <v>13</v>
      </c>
      <c r="X67" s="54" t="str">
        <f ca="1">Данные!X67</f>
        <v>1</v>
      </c>
      <c r="Y67" s="54" t="str">
        <f ca="1">Данные!Y67</f>
        <v>1</v>
      </c>
      <c r="Z67" s="54">
        <f>Данные!Z67</f>
        <v>0</v>
      </c>
      <c r="AA67" s="54">
        <f>Данные!AA67</f>
        <v>0</v>
      </c>
      <c r="AB67" s="101">
        <f t="shared" si="4"/>
        <v>900</v>
      </c>
      <c r="AC67" s="101" t="str">
        <f t="shared" si="5"/>
        <v>ИВТ (бак)</v>
      </c>
      <c r="AD67" s="101" t="str">
        <f t="shared" si="6"/>
        <v/>
      </c>
      <c r="AE67" s="102">
        <f t="shared" ca="1" si="7"/>
        <v>45.79</v>
      </c>
      <c r="AF67" s="103">
        <f t="shared" ca="1" si="8"/>
        <v>5.0877777777777779E-2</v>
      </c>
      <c r="AG67" s="101"/>
      <c r="AH67" s="101"/>
      <c r="AI67"/>
      <c r="BM67"/>
      <c r="BN67"/>
      <c r="BO67"/>
      <c r="BQ67" s="72">
        <v>0</v>
      </c>
      <c r="BR67" s="72">
        <v>0</v>
      </c>
      <c r="BS67" s="72">
        <v>0</v>
      </c>
      <c r="BT67" s="72">
        <v>0</v>
      </c>
      <c r="BU67" s="72">
        <v>0</v>
      </c>
      <c r="BV67" s="72">
        <v>0</v>
      </c>
      <c r="BW67" s="72">
        <v>0</v>
      </c>
      <c r="BX67" s="72">
        <v>0</v>
      </c>
      <c r="BY67" s="72">
        <v>0</v>
      </c>
      <c r="BZ67" s="72">
        <v>0</v>
      </c>
      <c r="CA67" s="72">
        <v>0</v>
      </c>
      <c r="CB67" s="72">
        <v>0</v>
      </c>
      <c r="CC67" s="72">
        <v>0</v>
      </c>
      <c r="CD67" s="72">
        <v>0</v>
      </c>
      <c r="CE67" s="72">
        <v>0</v>
      </c>
      <c r="CF67" s="72">
        <v>0</v>
      </c>
      <c r="CG67" s="72">
        <v>0</v>
      </c>
      <c r="CH67" s="72">
        <v>0</v>
      </c>
      <c r="CI67" s="72">
        <v>0</v>
      </c>
      <c r="CJ67" s="72">
        <v>0</v>
      </c>
      <c r="CK67" s="72">
        <v>0</v>
      </c>
      <c r="CL67" s="72">
        <v>0</v>
      </c>
      <c r="CM67" s="72">
        <v>0</v>
      </c>
      <c r="CN67" s="72">
        <v>0</v>
      </c>
      <c r="CO67" s="72">
        <v>0</v>
      </c>
      <c r="CP67" s="72">
        <v>0</v>
      </c>
      <c r="CQ67" s="72">
        <v>0</v>
      </c>
      <c r="CR67" s="72">
        <v>0</v>
      </c>
      <c r="CS67" s="72">
        <v>0</v>
      </c>
      <c r="CT67" s="72">
        <v>0</v>
      </c>
      <c r="CU67" s="72">
        <v>0</v>
      </c>
      <c r="CV67" s="72">
        <v>0</v>
      </c>
      <c r="CW67" s="72">
        <v>0</v>
      </c>
      <c r="CX67" s="72">
        <v>0</v>
      </c>
      <c r="CY67" s="72">
        <v>0</v>
      </c>
      <c r="CZ67" s="72">
        <v>0</v>
      </c>
      <c r="DA67" s="72">
        <v>0</v>
      </c>
      <c r="DB67" s="72">
        <v>0</v>
      </c>
      <c r="DC67" s="72">
        <v>0</v>
      </c>
      <c r="DD67" s="72">
        <v>0</v>
      </c>
      <c r="DE67" s="72">
        <v>0</v>
      </c>
      <c r="DF67" s="72">
        <v>0</v>
      </c>
      <c r="DG67" s="72">
        <v>0</v>
      </c>
      <c r="DH67" s="72">
        <v>0</v>
      </c>
      <c r="DI67" s="72">
        <v>0</v>
      </c>
      <c r="DJ67" s="72">
        <v>0</v>
      </c>
      <c r="DK67" s="72">
        <v>0</v>
      </c>
      <c r="DL67" s="72">
        <v>0</v>
      </c>
      <c r="DM67" s="72">
        <v>0</v>
      </c>
      <c r="DN67" s="72">
        <v>0</v>
      </c>
      <c r="DO67" s="72">
        <v>0</v>
      </c>
      <c r="DP67" s="72">
        <v>0</v>
      </c>
      <c r="DQ67" s="72">
        <v>0</v>
      </c>
      <c r="DR67" s="72">
        <v>0</v>
      </c>
      <c r="DS67" s="72">
        <v>0</v>
      </c>
      <c r="DT67" s="72">
        <v>0</v>
      </c>
      <c r="DU67" s="72">
        <v>0</v>
      </c>
      <c r="DV67" s="72">
        <v>0</v>
      </c>
      <c r="DW67" s="72">
        <v>0</v>
      </c>
      <c r="DX67" s="72">
        <v>0</v>
      </c>
      <c r="DY67" s="72">
        <v>0</v>
      </c>
      <c r="DZ67" s="72">
        <v>0</v>
      </c>
      <c r="EA67" s="72">
        <v>0</v>
      </c>
      <c r="EB67" s="72">
        <v>0</v>
      </c>
      <c r="EC67" s="72">
        <v>0</v>
      </c>
      <c r="ED67" s="72">
        <v>0</v>
      </c>
      <c r="EE67" s="72">
        <v>0</v>
      </c>
      <c r="EF67" s="72">
        <v>0</v>
      </c>
      <c r="EG67" s="72">
        <v>0</v>
      </c>
      <c r="EH67" s="72">
        <v>0</v>
      </c>
      <c r="EI67" s="72">
        <v>0</v>
      </c>
      <c r="EJ67" s="72">
        <v>0</v>
      </c>
      <c r="EK67" s="72">
        <v>0</v>
      </c>
      <c r="EL67" s="72">
        <v>0</v>
      </c>
    </row>
    <row r="68" spans="1:142" s="6" customFormat="1" x14ac:dyDescent="0.35">
      <c r="A68" s="59">
        <f>Данные!A68</f>
        <v>4848</v>
      </c>
      <c r="B68" s="59">
        <f>Данные!B68</f>
        <v>2017</v>
      </c>
      <c r="C68" s="59" t="str">
        <f>Данные!C68</f>
        <v>компьютерных технологий и электронного обучения</v>
      </c>
      <c r="D68" s="59" t="str">
        <f>Данные!D68</f>
        <v>Аксютин Павел Александрович</v>
      </c>
      <c r="E68" s="59" t="str">
        <f>Данные!E68</f>
        <v>нет</v>
      </c>
      <c r="F68" s="59" t="str">
        <f>Данные!F68</f>
        <v>ассистент</v>
      </c>
      <c r="G68" s="59">
        <f>Данные!G68</f>
        <v>0.5</v>
      </c>
      <c r="H68" s="59">
        <f>Данные!H68</f>
        <v>16003</v>
      </c>
      <c r="I68" s="59" t="str">
        <f>Данные!I68</f>
        <v>Программирование</v>
      </c>
      <c r="J68" s="59">
        <f>Данные!J68</f>
        <v>0</v>
      </c>
      <c r="K68" s="59">
        <f>Данные!K68</f>
        <v>0</v>
      </c>
      <c r="L68" s="59">
        <f>Данные!L68</f>
        <v>20</v>
      </c>
      <c r="M68" s="60">
        <f t="shared" ref="M68:M131" si="9">SUM(J68:L68)/10</f>
        <v>2</v>
      </c>
      <c r="N68" s="60">
        <f t="shared" ref="N68:N131" ca="1" si="10">2+(0.33*W68)</f>
        <v>6.29</v>
      </c>
      <c r="O68" s="60">
        <f t="shared" ref="O68:O131" ca="1" si="11">0.25*W68</f>
        <v>3.25</v>
      </c>
      <c r="P68" s="60">
        <f t="shared" ref="P68:P131" ca="1" si="12">0.25*W68</f>
        <v>3.25</v>
      </c>
      <c r="Q68" s="54">
        <f>Данные!Q68</f>
        <v>0</v>
      </c>
      <c r="R68" s="54">
        <f>Данные!R68</f>
        <v>0</v>
      </c>
      <c r="S68" s="54">
        <f>Данные!S68</f>
        <v>0</v>
      </c>
      <c r="T68" s="54">
        <f>Данные!T68</f>
        <v>0</v>
      </c>
      <c r="U68" s="54">
        <f>Данные!U68</f>
        <v>0</v>
      </c>
      <c r="V68" s="54">
        <f>Данные!V68</f>
        <v>0</v>
      </c>
      <c r="W68" s="54">
        <f ca="1">Данные!W68</f>
        <v>13</v>
      </c>
      <c r="X68" s="54" t="str">
        <f ca="1">Данные!X68</f>
        <v>1</v>
      </c>
      <c r="Y68" s="54" t="str">
        <f ca="1">Данные!Y68</f>
        <v>1</v>
      </c>
      <c r="Z68" s="54">
        <f>Данные!Z68</f>
        <v>0</v>
      </c>
      <c r="AA68" s="54">
        <f>Данные!AA68</f>
        <v>0</v>
      </c>
      <c r="AB68" s="101">
        <f t="shared" ref="AB68:AB131" si="13">VLOOKUP(F68, $BN$3:$BO$15, 2, 0)</f>
        <v>900</v>
      </c>
      <c r="AC68" s="101" t="str">
        <f t="shared" ref="AC68:AC131" si="14">IF(IFERROR(MATCH(H68, $AK$4:$BL$4, 0), 0)&gt;=1, "ИВТ (бак)", IF(IFERROR(MATCH(H68, $AK$5:$BL$5, 0), 0)&gt;=1, "КЭО (маг)", ""))</f>
        <v>ИВТ (бак)</v>
      </c>
      <c r="AD68" s="101" t="str">
        <f t="shared" ref="AD68:AD131" si="15">IF(IFERROR(MATCH(H68, $AK$4:$AN$4, 0), 0)=1, "2015–2016", IF(IFERROR(MATCH(H68, $AO$4:$AR$4, 0), 0)=1, "2016–2017", IF(IFERROR(MATCH(H68, $AS$4:$AV$4, 0), 0)=1, "2017–2018", IF(IFERROR(MATCH(H68, $AW$4:$AZ$4, 0), 0)=1, "2018–2019", IF(IFERROR(MATCH(H68, $BA$4:$BD$4, 0), 0)=1, "2019–2020", IF(IFERROR(MATCH(H68, $BE$4:$BH$4, 0), 0)=1, "2020–2021", IF(IFERROR(MATCH(H68, $BI$4:$BL$4, 0), 0)=1, "2021–2022", "")))))))</f>
        <v/>
      </c>
      <c r="AE68" s="102">
        <f t="shared" ref="AE68:AE131" ca="1" si="16">SUM(J68:V68)</f>
        <v>34.79</v>
      </c>
      <c r="AF68" s="103">
        <f t="shared" ca="1" si="8"/>
        <v>3.8655555555555554E-2</v>
      </c>
      <c r="AG68" s="101"/>
      <c r="AH68" s="101"/>
      <c r="AI68"/>
      <c r="BM68"/>
      <c r="BN68"/>
      <c r="BO68"/>
      <c r="BQ68" s="72">
        <v>0</v>
      </c>
      <c r="BR68" s="72">
        <v>0</v>
      </c>
      <c r="BS68" s="72">
        <v>0</v>
      </c>
      <c r="BT68" s="72">
        <v>0</v>
      </c>
      <c r="BU68" s="72">
        <v>0</v>
      </c>
      <c r="BV68" s="72">
        <v>0</v>
      </c>
      <c r="BW68" s="72">
        <v>0</v>
      </c>
      <c r="BX68" s="72">
        <v>0</v>
      </c>
      <c r="BY68" s="72">
        <v>0</v>
      </c>
      <c r="BZ68" s="72">
        <v>0</v>
      </c>
      <c r="CA68" s="72">
        <v>0</v>
      </c>
      <c r="CB68" s="72">
        <v>0</v>
      </c>
      <c r="CC68" s="72">
        <v>0</v>
      </c>
      <c r="CD68" s="72">
        <v>0</v>
      </c>
      <c r="CE68" s="72">
        <v>0</v>
      </c>
      <c r="CF68" s="72">
        <v>0</v>
      </c>
      <c r="CG68" s="72">
        <v>0</v>
      </c>
      <c r="CH68" s="72">
        <v>0</v>
      </c>
      <c r="CI68" s="72">
        <v>0</v>
      </c>
      <c r="CJ68" s="72">
        <v>0</v>
      </c>
      <c r="CK68" s="72">
        <v>0</v>
      </c>
      <c r="CL68" s="72">
        <v>0</v>
      </c>
      <c r="CM68" s="72">
        <v>0</v>
      </c>
      <c r="CN68" s="72">
        <v>0</v>
      </c>
      <c r="CO68" s="72">
        <v>0</v>
      </c>
      <c r="CP68" s="72">
        <v>0</v>
      </c>
      <c r="CQ68" s="72">
        <v>0</v>
      </c>
      <c r="CR68" s="72">
        <v>0</v>
      </c>
      <c r="CS68" s="72">
        <v>0</v>
      </c>
      <c r="CT68" s="72">
        <v>0</v>
      </c>
      <c r="CU68" s="72">
        <v>0</v>
      </c>
      <c r="CV68" s="72">
        <v>0</v>
      </c>
      <c r="CW68" s="72">
        <v>0</v>
      </c>
      <c r="CX68" s="72">
        <v>0</v>
      </c>
      <c r="CY68" s="72">
        <v>0</v>
      </c>
      <c r="CZ68" s="72">
        <v>0</v>
      </c>
      <c r="DA68" s="72">
        <v>0</v>
      </c>
      <c r="DB68" s="72">
        <v>0</v>
      </c>
      <c r="DC68" s="72">
        <v>0</v>
      </c>
      <c r="DD68" s="72">
        <v>0</v>
      </c>
      <c r="DE68" s="72">
        <v>0</v>
      </c>
      <c r="DF68" s="72">
        <v>0</v>
      </c>
      <c r="DG68" s="72">
        <v>0</v>
      </c>
      <c r="DH68" s="72">
        <v>0</v>
      </c>
      <c r="DI68" s="72">
        <v>0</v>
      </c>
      <c r="DJ68" s="72">
        <v>0</v>
      </c>
      <c r="DK68" s="72">
        <v>0</v>
      </c>
      <c r="DL68" s="72">
        <v>0</v>
      </c>
      <c r="DM68" s="72">
        <v>0</v>
      </c>
      <c r="DN68" s="72">
        <v>0</v>
      </c>
      <c r="DO68" s="72">
        <v>0</v>
      </c>
      <c r="DP68" s="72">
        <v>0</v>
      </c>
      <c r="DQ68" s="72">
        <v>0</v>
      </c>
      <c r="DR68" s="72">
        <v>0</v>
      </c>
      <c r="DS68" s="72">
        <v>0</v>
      </c>
      <c r="DT68" s="72">
        <v>0</v>
      </c>
      <c r="DU68" s="72">
        <v>0</v>
      </c>
      <c r="DV68" s="72">
        <v>0</v>
      </c>
      <c r="DW68" s="72">
        <v>0</v>
      </c>
      <c r="DX68" s="72">
        <v>0</v>
      </c>
      <c r="DY68" s="72">
        <v>0</v>
      </c>
      <c r="DZ68" s="72">
        <v>0</v>
      </c>
      <c r="EA68" s="72">
        <v>0</v>
      </c>
      <c r="EB68" s="72">
        <v>0</v>
      </c>
      <c r="EC68" s="72">
        <v>0</v>
      </c>
      <c r="ED68" s="72">
        <v>0</v>
      </c>
      <c r="EE68" s="72">
        <v>0</v>
      </c>
      <c r="EF68" s="72">
        <v>0</v>
      </c>
      <c r="EG68" s="72">
        <v>0</v>
      </c>
      <c r="EH68" s="72">
        <v>0</v>
      </c>
      <c r="EI68" s="72">
        <v>0</v>
      </c>
      <c r="EJ68" s="72">
        <v>0</v>
      </c>
      <c r="EK68" s="72">
        <v>0</v>
      </c>
      <c r="EL68" s="72">
        <v>0</v>
      </c>
    </row>
    <row r="69" spans="1:142" s="6" customFormat="1" x14ac:dyDescent="0.35">
      <c r="A69" s="59">
        <f>Данные!A69</f>
        <v>4848</v>
      </c>
      <c r="B69" s="59">
        <f>Данные!B69</f>
        <v>2017</v>
      </c>
      <c r="C69" s="59" t="str">
        <f>Данные!C69</f>
        <v>компьютерных технологий и электронного обучения</v>
      </c>
      <c r="D69" s="59" t="str">
        <f>Данные!D69</f>
        <v>Власова Елена Зотиковна</v>
      </c>
      <c r="E69" s="59" t="str">
        <f>Данные!E69</f>
        <v>доктор педагогических наук</v>
      </c>
      <c r="F69" s="59" t="str">
        <f>Данные!F69</f>
        <v>заведующий кафедрой</v>
      </c>
      <c r="G69" s="59">
        <f>Данные!G69</f>
        <v>1</v>
      </c>
      <c r="H69" s="59">
        <f>Данные!H69</f>
        <v>16003</v>
      </c>
      <c r="I69" s="59" t="str">
        <f>Данные!I69</f>
        <v>Подготовка к государственной итоговой аттестации</v>
      </c>
      <c r="J69" s="59">
        <f>Данные!J69</f>
        <v>10</v>
      </c>
      <c r="K69" s="59">
        <f>Данные!K69</f>
        <v>8</v>
      </c>
      <c r="L69" s="59">
        <f>Данные!L69</f>
        <v>0</v>
      </c>
      <c r="M69" s="60">
        <f t="shared" si="9"/>
        <v>1.8</v>
      </c>
      <c r="N69" s="60">
        <f t="shared" ca="1" si="10"/>
        <v>6.29</v>
      </c>
      <c r="O69" s="60">
        <f t="shared" ca="1" si="11"/>
        <v>3.25</v>
      </c>
      <c r="P69" s="60">
        <f t="shared" ca="1" si="12"/>
        <v>3.25</v>
      </c>
      <c r="Q69" s="54">
        <f>Данные!Q69</f>
        <v>0</v>
      </c>
      <c r="R69" s="54">
        <f>Данные!R69</f>
        <v>0</v>
      </c>
      <c r="S69" s="54">
        <f>Данные!S69</f>
        <v>0</v>
      </c>
      <c r="T69" s="54">
        <f>Данные!T69</f>
        <v>0</v>
      </c>
      <c r="U69" s="54">
        <f>Данные!U69</f>
        <v>0</v>
      </c>
      <c r="V69" s="54">
        <f>Данные!V69</f>
        <v>0</v>
      </c>
      <c r="W69" s="54">
        <f ca="1">Данные!W69</f>
        <v>13</v>
      </c>
      <c r="X69" s="54" t="str">
        <f ca="1">Данные!X69</f>
        <v>1</v>
      </c>
      <c r="Y69" s="54" t="str">
        <f ca="1">Данные!Y69</f>
        <v>1</v>
      </c>
      <c r="Z69" s="54">
        <f>Данные!Z69</f>
        <v>0</v>
      </c>
      <c r="AA69" s="54" t="str">
        <f>Данные!AA69</f>
        <v>осн</v>
      </c>
      <c r="AB69" s="101">
        <f t="shared" si="13"/>
        <v>700</v>
      </c>
      <c r="AC69" s="101" t="str">
        <f t="shared" si="14"/>
        <v>ИВТ (бак)</v>
      </c>
      <c r="AD69" s="101" t="str">
        <f t="shared" si="15"/>
        <v/>
      </c>
      <c r="AE69" s="102">
        <f t="shared" ca="1" si="16"/>
        <v>32.590000000000003</v>
      </c>
      <c r="AF69" s="103">
        <f t="shared" ref="AF69:AF132" ca="1" si="17">AE69/AB69</f>
        <v>4.6557142857142859E-2</v>
      </c>
      <c r="AG69" s="101"/>
      <c r="AH69" s="101"/>
      <c r="AI69"/>
      <c r="BM69"/>
      <c r="BN69"/>
      <c r="BO69"/>
      <c r="BQ69" s="72">
        <v>0</v>
      </c>
      <c r="BR69" s="72">
        <v>0</v>
      </c>
      <c r="BS69" s="72">
        <v>0</v>
      </c>
      <c r="BT69" s="72">
        <v>0</v>
      </c>
      <c r="BU69" s="72">
        <v>0</v>
      </c>
      <c r="BV69" s="72">
        <v>0</v>
      </c>
      <c r="BW69" s="72">
        <v>0</v>
      </c>
      <c r="BX69" s="72">
        <v>0</v>
      </c>
      <c r="BY69" s="72">
        <v>0</v>
      </c>
      <c r="BZ69" s="72">
        <v>0</v>
      </c>
      <c r="CA69" s="72">
        <v>0</v>
      </c>
      <c r="CB69" s="72">
        <v>0</v>
      </c>
      <c r="CC69" s="72">
        <v>0</v>
      </c>
      <c r="CD69" s="72">
        <v>0</v>
      </c>
      <c r="CE69" s="72">
        <v>0</v>
      </c>
      <c r="CF69" s="72">
        <v>0</v>
      </c>
      <c r="CG69" s="72">
        <v>0</v>
      </c>
      <c r="CH69" s="72">
        <v>0</v>
      </c>
      <c r="CI69" s="72">
        <v>0</v>
      </c>
      <c r="CJ69" s="72">
        <v>0</v>
      </c>
      <c r="CK69" s="72">
        <v>0</v>
      </c>
      <c r="CL69" s="72">
        <v>0</v>
      </c>
      <c r="CM69" s="72">
        <v>0</v>
      </c>
      <c r="CN69" s="72">
        <v>0</v>
      </c>
      <c r="CO69" s="72">
        <v>0</v>
      </c>
      <c r="CP69" s="72">
        <v>0</v>
      </c>
      <c r="CQ69" s="72">
        <v>0</v>
      </c>
      <c r="CR69" s="72">
        <v>0</v>
      </c>
      <c r="CS69" s="72">
        <v>0</v>
      </c>
      <c r="CT69" s="72">
        <v>0</v>
      </c>
      <c r="CU69" s="72">
        <v>0</v>
      </c>
      <c r="CV69" s="72">
        <v>0</v>
      </c>
      <c r="CW69" s="72">
        <v>0</v>
      </c>
      <c r="CX69" s="72">
        <v>0</v>
      </c>
      <c r="CY69" s="72">
        <v>0</v>
      </c>
      <c r="CZ69" s="72">
        <v>0</v>
      </c>
      <c r="DA69" s="72">
        <v>0</v>
      </c>
      <c r="DB69" s="72">
        <v>0</v>
      </c>
      <c r="DC69" s="72">
        <v>0</v>
      </c>
      <c r="DD69" s="72">
        <v>0</v>
      </c>
      <c r="DE69" s="72">
        <v>0</v>
      </c>
      <c r="DF69" s="72">
        <v>0</v>
      </c>
      <c r="DG69" s="72">
        <v>0</v>
      </c>
      <c r="DH69" s="72">
        <v>0</v>
      </c>
      <c r="DI69" s="72">
        <v>0</v>
      </c>
      <c r="DJ69" s="72">
        <v>0</v>
      </c>
      <c r="DK69" s="72">
        <v>0</v>
      </c>
      <c r="DL69" s="72">
        <v>0</v>
      </c>
      <c r="DM69" s="72">
        <v>0</v>
      </c>
      <c r="DN69" s="72">
        <v>0</v>
      </c>
      <c r="DO69" s="72">
        <v>0</v>
      </c>
      <c r="DP69" s="72">
        <v>0</v>
      </c>
      <c r="DQ69" s="72">
        <v>0</v>
      </c>
      <c r="DR69" s="72">
        <v>0</v>
      </c>
      <c r="DS69" s="72">
        <v>0</v>
      </c>
      <c r="DT69" s="72">
        <v>0</v>
      </c>
      <c r="DU69" s="72">
        <v>0</v>
      </c>
      <c r="DV69" s="72">
        <v>0</v>
      </c>
      <c r="DW69" s="72">
        <v>0</v>
      </c>
      <c r="DX69" s="72">
        <v>0</v>
      </c>
      <c r="DY69" s="72">
        <v>0</v>
      </c>
      <c r="DZ69" s="72">
        <v>0</v>
      </c>
      <c r="EA69" s="72">
        <v>0</v>
      </c>
      <c r="EB69" s="72">
        <v>0</v>
      </c>
      <c r="EC69" s="72">
        <v>0</v>
      </c>
      <c r="ED69" s="72">
        <v>0</v>
      </c>
      <c r="EE69" s="72">
        <v>0</v>
      </c>
      <c r="EF69" s="72">
        <v>0</v>
      </c>
      <c r="EG69" s="72">
        <v>0</v>
      </c>
      <c r="EH69" s="72">
        <v>0</v>
      </c>
      <c r="EI69" s="72">
        <v>0</v>
      </c>
      <c r="EJ69" s="72">
        <v>0</v>
      </c>
      <c r="EK69" s="72">
        <v>0</v>
      </c>
      <c r="EL69" s="72">
        <v>0</v>
      </c>
    </row>
    <row r="70" spans="1:142" s="6" customFormat="1" x14ac:dyDescent="0.35">
      <c r="A70" s="59">
        <f>Данные!A70</f>
        <v>4848</v>
      </c>
      <c r="B70" s="59">
        <f>Данные!B70</f>
        <v>2017</v>
      </c>
      <c r="C70" s="59" t="str">
        <f>Данные!C70</f>
        <v>компьютерных технологий и электронного обучения</v>
      </c>
      <c r="D70" s="59" t="str">
        <f>Данные!D70</f>
        <v>Гончарова Светлана Викторовна</v>
      </c>
      <c r="E70" s="59" t="str">
        <f>Данные!E70</f>
        <v>кандидат педагогических наук</v>
      </c>
      <c r="F70" s="59" t="str">
        <f>Данные!F70</f>
        <v>доцент</v>
      </c>
      <c r="G70" s="59">
        <f>Данные!G70</f>
        <v>1</v>
      </c>
      <c r="H70" s="59">
        <f>Данные!H70</f>
        <v>16003</v>
      </c>
      <c r="I70" s="59" t="str">
        <f>Данные!I70</f>
        <v>Модуль "Информационные технологии". Основы корпоративного электронного обучения</v>
      </c>
      <c r="J70" s="59">
        <f>Данные!J70</f>
        <v>6</v>
      </c>
      <c r="K70" s="59">
        <f>Данные!K70</f>
        <v>0</v>
      </c>
      <c r="L70" s="59">
        <f>Данные!L70</f>
        <v>0</v>
      </c>
      <c r="M70" s="60">
        <f t="shared" si="9"/>
        <v>0.6</v>
      </c>
      <c r="N70" s="60">
        <f t="shared" ca="1" si="10"/>
        <v>6.29</v>
      </c>
      <c r="O70" s="60">
        <f t="shared" ca="1" si="11"/>
        <v>3.25</v>
      </c>
      <c r="P70" s="60">
        <f t="shared" ca="1" si="12"/>
        <v>3.25</v>
      </c>
      <c r="Q70" s="54">
        <f>Данные!Q70</f>
        <v>0</v>
      </c>
      <c r="R70" s="54">
        <f>Данные!R70</f>
        <v>0</v>
      </c>
      <c r="S70" s="54">
        <f>Данные!S70</f>
        <v>0</v>
      </c>
      <c r="T70" s="54">
        <f>Данные!T70</f>
        <v>0</v>
      </c>
      <c r="U70" s="54">
        <f>Данные!U70</f>
        <v>0</v>
      </c>
      <c r="V70" s="54">
        <f>Данные!V70</f>
        <v>0</v>
      </c>
      <c r="W70" s="54">
        <f ca="1">Данные!W70</f>
        <v>13</v>
      </c>
      <c r="X70" s="54" t="str">
        <f ca="1">Данные!X70</f>
        <v>1</v>
      </c>
      <c r="Y70" s="54" t="str">
        <f ca="1">Данные!Y70</f>
        <v>1</v>
      </c>
      <c r="Z70" s="54">
        <f>Данные!Z70</f>
        <v>0</v>
      </c>
      <c r="AA70" s="54" t="str">
        <f>Данные!AA70</f>
        <v>осн</v>
      </c>
      <c r="AB70" s="101">
        <f t="shared" si="13"/>
        <v>800</v>
      </c>
      <c r="AC70" s="101" t="str">
        <f t="shared" si="14"/>
        <v>ИВТ (бак)</v>
      </c>
      <c r="AD70" s="101" t="str">
        <f t="shared" si="15"/>
        <v/>
      </c>
      <c r="AE70" s="102">
        <f t="shared" ca="1" si="16"/>
        <v>19.39</v>
      </c>
      <c r="AF70" s="103">
        <f t="shared" ca="1" si="17"/>
        <v>2.4237500000000002E-2</v>
      </c>
      <c r="AG70" s="101"/>
      <c r="AH70" s="101"/>
      <c r="AI70"/>
      <c r="BM70"/>
      <c r="BN70"/>
      <c r="BO70"/>
      <c r="BQ70" s="72">
        <v>0</v>
      </c>
      <c r="BR70" s="72">
        <v>0</v>
      </c>
      <c r="BS70" s="72">
        <v>0</v>
      </c>
      <c r="BT70" s="72">
        <v>0</v>
      </c>
      <c r="BU70" s="72">
        <v>0</v>
      </c>
      <c r="BV70" s="72">
        <v>0</v>
      </c>
      <c r="BW70" s="72">
        <v>0</v>
      </c>
      <c r="BX70" s="72">
        <v>0</v>
      </c>
      <c r="BY70" s="72">
        <v>0</v>
      </c>
      <c r="BZ70" s="72">
        <v>0</v>
      </c>
      <c r="CA70" s="72">
        <v>0</v>
      </c>
      <c r="CB70" s="72">
        <v>0</v>
      </c>
      <c r="CC70" s="72">
        <v>0</v>
      </c>
      <c r="CD70" s="72">
        <v>0</v>
      </c>
      <c r="CE70" s="72">
        <v>0</v>
      </c>
      <c r="CF70" s="72">
        <v>0</v>
      </c>
      <c r="CG70" s="72">
        <v>0</v>
      </c>
      <c r="CH70" s="72">
        <v>0</v>
      </c>
      <c r="CI70" s="72">
        <v>0</v>
      </c>
      <c r="CJ70" s="72">
        <v>0</v>
      </c>
      <c r="CK70" s="72">
        <v>0</v>
      </c>
      <c r="CL70" s="72">
        <v>0</v>
      </c>
      <c r="CM70" s="72">
        <v>0</v>
      </c>
      <c r="CN70" s="72">
        <v>0</v>
      </c>
      <c r="CO70" s="72">
        <v>0</v>
      </c>
      <c r="CP70" s="72">
        <v>0</v>
      </c>
      <c r="CQ70" s="72">
        <v>0</v>
      </c>
      <c r="CR70" s="72">
        <v>0</v>
      </c>
      <c r="CS70" s="72">
        <v>0</v>
      </c>
      <c r="CT70" s="72">
        <v>0</v>
      </c>
      <c r="CU70" s="72">
        <v>0</v>
      </c>
      <c r="CV70" s="72">
        <v>0</v>
      </c>
      <c r="CW70" s="72">
        <v>0</v>
      </c>
      <c r="CX70" s="72">
        <v>0</v>
      </c>
      <c r="CY70" s="72">
        <v>0</v>
      </c>
      <c r="CZ70" s="72">
        <v>0</v>
      </c>
      <c r="DA70" s="72">
        <v>0</v>
      </c>
      <c r="DB70" s="72">
        <v>0</v>
      </c>
      <c r="DC70" s="72">
        <v>0</v>
      </c>
      <c r="DD70" s="72">
        <v>0</v>
      </c>
      <c r="DE70" s="72">
        <v>0</v>
      </c>
      <c r="DF70" s="72">
        <v>0</v>
      </c>
      <c r="DG70" s="72">
        <v>0</v>
      </c>
      <c r="DH70" s="72">
        <v>0</v>
      </c>
      <c r="DI70" s="72">
        <v>0</v>
      </c>
      <c r="DJ70" s="72">
        <v>0</v>
      </c>
      <c r="DK70" s="72">
        <v>0</v>
      </c>
      <c r="DL70" s="72">
        <v>0</v>
      </c>
      <c r="DM70" s="72">
        <v>0</v>
      </c>
      <c r="DN70" s="72">
        <v>0</v>
      </c>
      <c r="DO70" s="72">
        <v>0</v>
      </c>
      <c r="DP70" s="72">
        <v>0</v>
      </c>
      <c r="DQ70" s="72">
        <v>0</v>
      </c>
      <c r="DR70" s="72">
        <v>0</v>
      </c>
      <c r="DS70" s="72">
        <v>0</v>
      </c>
      <c r="DT70" s="72">
        <v>0</v>
      </c>
      <c r="DU70" s="72">
        <v>0</v>
      </c>
      <c r="DV70" s="72">
        <v>0</v>
      </c>
      <c r="DW70" s="72">
        <v>0</v>
      </c>
      <c r="DX70" s="72">
        <v>0</v>
      </c>
      <c r="DY70" s="72">
        <v>0</v>
      </c>
      <c r="DZ70" s="72">
        <v>0</v>
      </c>
      <c r="EA70" s="72">
        <v>0</v>
      </c>
      <c r="EB70" s="72">
        <v>0</v>
      </c>
      <c r="EC70" s="72">
        <v>0</v>
      </c>
      <c r="ED70" s="72">
        <v>0</v>
      </c>
      <c r="EE70" s="72">
        <v>0</v>
      </c>
      <c r="EF70" s="72">
        <v>0</v>
      </c>
      <c r="EG70" s="72">
        <v>0</v>
      </c>
      <c r="EH70" s="72">
        <v>0</v>
      </c>
      <c r="EI70" s="72">
        <v>0</v>
      </c>
      <c r="EJ70" s="72">
        <v>0</v>
      </c>
      <c r="EK70" s="72">
        <v>0</v>
      </c>
      <c r="EL70" s="72">
        <v>0</v>
      </c>
    </row>
    <row r="71" spans="1:142" s="6" customFormat="1" x14ac:dyDescent="0.35">
      <c r="A71" s="59">
        <f>Данные!A71</f>
        <v>4848</v>
      </c>
      <c r="B71" s="59">
        <f>Данные!B71</f>
        <v>2017</v>
      </c>
      <c r="C71" s="59" t="str">
        <f>Данные!C71</f>
        <v>компьютерных технологий и электронного обучения</v>
      </c>
      <c r="D71" s="59" t="str">
        <f>Данные!D71</f>
        <v>Карпова Наталья Александровна</v>
      </c>
      <c r="E71" s="59" t="str">
        <f>Данные!E71</f>
        <v>кандидат технических наук</v>
      </c>
      <c r="F71" s="59" t="str">
        <f>Данные!F71</f>
        <v>доцент</v>
      </c>
      <c r="G71" s="59">
        <f>Данные!G71</f>
        <v>1</v>
      </c>
      <c r="H71" s="59">
        <f>Данные!H71</f>
        <v>16003</v>
      </c>
      <c r="I71" s="59" t="str">
        <f>Данные!I71</f>
        <v>Модуль "Информационные технологии"</v>
      </c>
      <c r="J71" s="59">
        <f>Данные!J71</f>
        <v>0</v>
      </c>
      <c r="K71" s="59">
        <f>Данные!K71</f>
        <v>0</v>
      </c>
      <c r="L71" s="59">
        <f>Данные!L71</f>
        <v>0</v>
      </c>
      <c r="M71" s="60">
        <f t="shared" si="9"/>
        <v>0</v>
      </c>
      <c r="N71" s="60">
        <f t="shared" ca="1" si="10"/>
        <v>6.29</v>
      </c>
      <c r="O71" s="60">
        <f t="shared" ca="1" si="11"/>
        <v>3.25</v>
      </c>
      <c r="P71" s="60">
        <f t="shared" ca="1" si="12"/>
        <v>3.25</v>
      </c>
      <c r="Q71" s="54">
        <f>Данные!Q71</f>
        <v>0</v>
      </c>
      <c r="R71" s="54">
        <f>Данные!R71</f>
        <v>0</v>
      </c>
      <c r="S71" s="54">
        <f>Данные!S71</f>
        <v>0</v>
      </c>
      <c r="T71" s="54">
        <f>Данные!T71</f>
        <v>0</v>
      </c>
      <c r="U71" s="54">
        <f>Данные!U71</f>
        <v>0</v>
      </c>
      <c r="V71" s="54">
        <f>Данные!V71</f>
        <v>0</v>
      </c>
      <c r="W71" s="54">
        <f ca="1">Данные!W71</f>
        <v>13</v>
      </c>
      <c r="X71" s="54" t="str">
        <f ca="1">Данные!X71</f>
        <v>1</v>
      </c>
      <c r="Y71" s="54" t="str">
        <f ca="1">Данные!Y71</f>
        <v>1</v>
      </c>
      <c r="Z71" s="54">
        <f>Данные!Z71</f>
        <v>0</v>
      </c>
      <c r="AA71" s="54" t="str">
        <f>Данные!AA71</f>
        <v>осн</v>
      </c>
      <c r="AB71" s="101">
        <f t="shared" si="13"/>
        <v>800</v>
      </c>
      <c r="AC71" s="101" t="str">
        <f t="shared" si="14"/>
        <v>ИВТ (бак)</v>
      </c>
      <c r="AD71" s="101" t="str">
        <f t="shared" si="15"/>
        <v/>
      </c>
      <c r="AE71" s="102">
        <f t="shared" ca="1" si="16"/>
        <v>12.79</v>
      </c>
      <c r="AF71" s="103">
        <f t="shared" ca="1" si="17"/>
        <v>1.5987499999999998E-2</v>
      </c>
      <c r="AG71" s="101"/>
      <c r="AH71" s="101"/>
      <c r="AI71"/>
      <c r="BM71"/>
      <c r="BN71"/>
      <c r="BO71"/>
      <c r="BQ71" s="72">
        <v>0</v>
      </c>
      <c r="BR71" s="72">
        <v>0</v>
      </c>
      <c r="BS71" s="72">
        <v>0</v>
      </c>
      <c r="BT71" s="72">
        <v>0</v>
      </c>
      <c r="BU71" s="72">
        <v>0</v>
      </c>
      <c r="BV71" s="72">
        <v>0</v>
      </c>
      <c r="BW71" s="72">
        <v>0</v>
      </c>
      <c r="BX71" s="72">
        <v>0</v>
      </c>
      <c r="BY71" s="72">
        <v>0</v>
      </c>
      <c r="BZ71" s="72">
        <v>0</v>
      </c>
      <c r="CA71" s="72">
        <v>0</v>
      </c>
      <c r="CB71" s="72">
        <v>0</v>
      </c>
      <c r="CC71" s="72">
        <v>0</v>
      </c>
      <c r="CD71" s="72">
        <v>0</v>
      </c>
      <c r="CE71" s="72">
        <v>0</v>
      </c>
      <c r="CF71" s="72">
        <v>0</v>
      </c>
      <c r="CG71" s="72">
        <v>0</v>
      </c>
      <c r="CH71" s="72">
        <v>0</v>
      </c>
      <c r="CI71" s="72">
        <v>0</v>
      </c>
      <c r="CJ71" s="72">
        <v>0</v>
      </c>
      <c r="CK71" s="72">
        <v>0</v>
      </c>
      <c r="CL71" s="72">
        <v>0</v>
      </c>
      <c r="CM71" s="72">
        <v>0</v>
      </c>
      <c r="CN71" s="72">
        <v>0</v>
      </c>
      <c r="CO71" s="72">
        <v>0</v>
      </c>
      <c r="CP71" s="72">
        <v>0</v>
      </c>
      <c r="CQ71" s="72">
        <v>0</v>
      </c>
      <c r="CR71" s="72">
        <v>0</v>
      </c>
      <c r="CS71" s="72">
        <v>0</v>
      </c>
      <c r="CT71" s="72">
        <v>0</v>
      </c>
      <c r="CU71" s="72">
        <v>0</v>
      </c>
      <c r="CV71" s="72">
        <v>0</v>
      </c>
      <c r="CW71" s="72">
        <v>0</v>
      </c>
      <c r="CX71" s="72">
        <v>0</v>
      </c>
      <c r="CY71" s="72">
        <v>0</v>
      </c>
      <c r="CZ71" s="72">
        <v>0</v>
      </c>
      <c r="DA71" s="72">
        <v>0</v>
      </c>
      <c r="DB71" s="72">
        <v>0</v>
      </c>
      <c r="DC71" s="72">
        <v>0</v>
      </c>
      <c r="DD71" s="72">
        <v>0</v>
      </c>
      <c r="DE71" s="72">
        <v>0</v>
      </c>
      <c r="DF71" s="72">
        <v>0</v>
      </c>
      <c r="DG71" s="72">
        <v>0</v>
      </c>
      <c r="DH71" s="72">
        <v>0</v>
      </c>
      <c r="DI71" s="72">
        <v>0</v>
      </c>
      <c r="DJ71" s="72">
        <v>0</v>
      </c>
      <c r="DK71" s="72">
        <v>0</v>
      </c>
      <c r="DL71" s="72">
        <v>0</v>
      </c>
      <c r="DM71" s="72">
        <v>0</v>
      </c>
      <c r="DN71" s="72">
        <v>0</v>
      </c>
      <c r="DO71" s="72">
        <v>0</v>
      </c>
      <c r="DP71" s="72">
        <v>0</v>
      </c>
      <c r="DQ71" s="72">
        <v>0</v>
      </c>
      <c r="DR71" s="72">
        <v>0</v>
      </c>
      <c r="DS71" s="72">
        <v>0</v>
      </c>
      <c r="DT71" s="72">
        <v>0</v>
      </c>
      <c r="DU71" s="72">
        <v>0</v>
      </c>
      <c r="DV71" s="72">
        <v>0</v>
      </c>
      <c r="DW71" s="72">
        <v>0</v>
      </c>
      <c r="DX71" s="72">
        <v>0</v>
      </c>
      <c r="DY71" s="72">
        <v>0</v>
      </c>
      <c r="DZ71" s="72">
        <v>0</v>
      </c>
      <c r="EA71" s="72">
        <v>0</v>
      </c>
      <c r="EB71" s="72">
        <v>0</v>
      </c>
      <c r="EC71" s="72">
        <v>0</v>
      </c>
      <c r="ED71" s="72">
        <v>0</v>
      </c>
      <c r="EE71" s="72">
        <v>0</v>
      </c>
      <c r="EF71" s="72">
        <v>0</v>
      </c>
      <c r="EG71" s="72">
        <v>0</v>
      </c>
      <c r="EH71" s="72">
        <v>0</v>
      </c>
      <c r="EI71" s="72">
        <v>0</v>
      </c>
      <c r="EJ71" s="72">
        <v>0</v>
      </c>
      <c r="EK71" s="72">
        <v>0</v>
      </c>
      <c r="EL71" s="72">
        <v>0</v>
      </c>
    </row>
    <row r="72" spans="1:142" s="6" customFormat="1" x14ac:dyDescent="0.35">
      <c r="A72" s="59">
        <f>Данные!A72</f>
        <v>4848</v>
      </c>
      <c r="B72" s="59">
        <f>Данные!B72</f>
        <v>2017</v>
      </c>
      <c r="C72" s="59" t="str">
        <f>Данные!C72</f>
        <v>компьютерных технологий и электронного обучения</v>
      </c>
      <c r="D72" s="59" t="str">
        <f>Данные!D72</f>
        <v>Жуков Николай Николаевич</v>
      </c>
      <c r="E72" s="59" t="str">
        <f>Данные!E72</f>
        <v>нет</v>
      </c>
      <c r="F72" s="59" t="str">
        <f>Данные!F72</f>
        <v>ассистент</v>
      </c>
      <c r="G72" s="59">
        <f>Данные!G72</f>
        <v>1</v>
      </c>
      <c r="H72" s="59">
        <f>Данные!H72</f>
        <v>16003</v>
      </c>
      <c r="I72" s="59" t="str">
        <f>Данные!I72</f>
        <v>Инженерная и компьютерная графика</v>
      </c>
      <c r="J72" s="59">
        <f>Данные!J72</f>
        <v>0</v>
      </c>
      <c r="K72" s="59">
        <f>Данные!K72</f>
        <v>0</v>
      </c>
      <c r="L72" s="59">
        <f>Данные!L72</f>
        <v>54</v>
      </c>
      <c r="M72" s="60">
        <f t="shared" si="9"/>
        <v>5.4</v>
      </c>
      <c r="N72" s="60">
        <f t="shared" ca="1" si="10"/>
        <v>6.29</v>
      </c>
      <c r="O72" s="60">
        <f t="shared" ca="1" si="11"/>
        <v>3.25</v>
      </c>
      <c r="P72" s="60">
        <f t="shared" ca="1" si="12"/>
        <v>3.25</v>
      </c>
      <c r="Q72" s="54">
        <f>Данные!Q72</f>
        <v>0</v>
      </c>
      <c r="R72" s="54">
        <f>Данные!R72</f>
        <v>0</v>
      </c>
      <c r="S72" s="54">
        <f>Данные!S72</f>
        <v>0</v>
      </c>
      <c r="T72" s="54">
        <f>Данные!T72</f>
        <v>0</v>
      </c>
      <c r="U72" s="54">
        <f>Данные!U72</f>
        <v>0</v>
      </c>
      <c r="V72" s="54">
        <f>Данные!V72</f>
        <v>0</v>
      </c>
      <c r="W72" s="54">
        <f ca="1">Данные!W72</f>
        <v>13</v>
      </c>
      <c r="X72" s="54" t="str">
        <f ca="1">Данные!X72</f>
        <v>1</v>
      </c>
      <c r="Y72" s="54" t="str">
        <f ca="1">Данные!Y72</f>
        <v>1</v>
      </c>
      <c r="Z72" s="54">
        <f>Данные!Z72</f>
        <v>0</v>
      </c>
      <c r="AA72" s="54" t="str">
        <f>Данные!AA72</f>
        <v>осн</v>
      </c>
      <c r="AB72" s="101">
        <f t="shared" si="13"/>
        <v>900</v>
      </c>
      <c r="AC72" s="101" t="str">
        <f t="shared" si="14"/>
        <v>ИВТ (бак)</v>
      </c>
      <c r="AD72" s="101" t="str">
        <f t="shared" si="15"/>
        <v/>
      </c>
      <c r="AE72" s="102">
        <f t="shared" ca="1" si="16"/>
        <v>72.19</v>
      </c>
      <c r="AF72" s="103">
        <f t="shared" ca="1" si="17"/>
        <v>8.0211111111111108E-2</v>
      </c>
      <c r="AG72" s="101"/>
      <c r="AH72" s="101"/>
      <c r="AI72"/>
      <c r="BM72"/>
      <c r="BN72"/>
      <c r="BO72"/>
      <c r="BQ72" s="72">
        <v>0</v>
      </c>
      <c r="BR72" s="72">
        <v>0</v>
      </c>
      <c r="BS72" s="72">
        <v>0</v>
      </c>
      <c r="BT72" s="72">
        <v>0</v>
      </c>
      <c r="BU72" s="72">
        <v>0</v>
      </c>
      <c r="BV72" s="72">
        <v>0</v>
      </c>
      <c r="BW72" s="72">
        <v>0</v>
      </c>
      <c r="BX72" s="72">
        <v>0</v>
      </c>
      <c r="BY72" s="72">
        <v>0</v>
      </c>
      <c r="BZ72" s="72">
        <v>0</v>
      </c>
      <c r="CA72" s="72">
        <v>0</v>
      </c>
      <c r="CB72" s="72">
        <v>0</v>
      </c>
      <c r="CC72" s="72">
        <v>0</v>
      </c>
      <c r="CD72" s="72">
        <v>0</v>
      </c>
      <c r="CE72" s="72">
        <v>0</v>
      </c>
      <c r="CF72" s="72">
        <v>0</v>
      </c>
      <c r="CG72" s="72">
        <v>0</v>
      </c>
      <c r="CH72" s="72">
        <v>0</v>
      </c>
      <c r="CI72" s="72">
        <v>0</v>
      </c>
      <c r="CJ72" s="72">
        <v>0</v>
      </c>
      <c r="CK72" s="72">
        <v>0</v>
      </c>
      <c r="CL72" s="72">
        <v>0</v>
      </c>
      <c r="CM72" s="72">
        <v>0</v>
      </c>
      <c r="CN72" s="72">
        <v>0</v>
      </c>
      <c r="CO72" s="72">
        <v>0</v>
      </c>
      <c r="CP72" s="72">
        <v>0</v>
      </c>
      <c r="CQ72" s="72">
        <v>0</v>
      </c>
      <c r="CR72" s="72">
        <v>0</v>
      </c>
      <c r="CS72" s="72">
        <v>0</v>
      </c>
      <c r="CT72" s="72">
        <v>0</v>
      </c>
      <c r="CU72" s="72">
        <v>0</v>
      </c>
      <c r="CV72" s="72">
        <v>0</v>
      </c>
      <c r="CW72" s="72">
        <v>0</v>
      </c>
      <c r="CX72" s="72">
        <v>0</v>
      </c>
      <c r="CY72" s="72">
        <v>0</v>
      </c>
      <c r="CZ72" s="72">
        <v>0</v>
      </c>
      <c r="DA72" s="72">
        <v>0</v>
      </c>
      <c r="DB72" s="72">
        <v>0</v>
      </c>
      <c r="DC72" s="72">
        <v>0</v>
      </c>
      <c r="DD72" s="72">
        <v>0</v>
      </c>
      <c r="DE72" s="72">
        <v>0</v>
      </c>
      <c r="DF72" s="72">
        <v>0</v>
      </c>
      <c r="DG72" s="72">
        <v>0</v>
      </c>
      <c r="DH72" s="72">
        <v>0</v>
      </c>
      <c r="DI72" s="72">
        <v>0</v>
      </c>
      <c r="DJ72" s="72">
        <v>0</v>
      </c>
      <c r="DK72" s="72">
        <v>0</v>
      </c>
      <c r="DL72" s="72">
        <v>0</v>
      </c>
      <c r="DM72" s="72">
        <v>0</v>
      </c>
      <c r="DN72" s="72">
        <v>0</v>
      </c>
      <c r="DO72" s="72">
        <v>0</v>
      </c>
      <c r="DP72" s="72">
        <v>0</v>
      </c>
      <c r="DQ72" s="72">
        <v>0</v>
      </c>
      <c r="DR72" s="72">
        <v>0</v>
      </c>
      <c r="DS72" s="72">
        <v>0</v>
      </c>
      <c r="DT72" s="72">
        <v>0</v>
      </c>
      <c r="DU72" s="72">
        <v>0</v>
      </c>
      <c r="DV72" s="72">
        <v>0</v>
      </c>
      <c r="DW72" s="72">
        <v>0</v>
      </c>
      <c r="DX72" s="72">
        <v>0</v>
      </c>
      <c r="DY72" s="72">
        <v>0</v>
      </c>
      <c r="DZ72" s="72">
        <v>0</v>
      </c>
      <c r="EA72" s="72">
        <v>0</v>
      </c>
      <c r="EB72" s="72">
        <v>0</v>
      </c>
      <c r="EC72" s="72">
        <v>0</v>
      </c>
      <c r="ED72" s="72">
        <v>0</v>
      </c>
      <c r="EE72" s="72">
        <v>0</v>
      </c>
      <c r="EF72" s="72">
        <v>0</v>
      </c>
      <c r="EG72" s="72">
        <v>0</v>
      </c>
      <c r="EH72" s="72">
        <v>0</v>
      </c>
      <c r="EI72" s="72">
        <v>0</v>
      </c>
      <c r="EJ72" s="72">
        <v>0</v>
      </c>
      <c r="EK72" s="72">
        <v>0</v>
      </c>
      <c r="EL72" s="72">
        <v>0</v>
      </c>
    </row>
    <row r="73" spans="1:142" s="6" customFormat="1" x14ac:dyDescent="0.35">
      <c r="A73" s="59">
        <f>Данные!A73</f>
        <v>4848</v>
      </c>
      <c r="B73" s="59">
        <f>Данные!B73</f>
        <v>2017</v>
      </c>
      <c r="C73" s="59" t="str">
        <f>Данные!C73</f>
        <v>компьютерных технологий и электронного обучения</v>
      </c>
      <c r="D73" s="59" t="str">
        <f>Данные!D73</f>
        <v>Жуков Николай Николаевич</v>
      </c>
      <c r="E73" s="59" t="str">
        <f>Данные!E73</f>
        <v>нет</v>
      </c>
      <c r="F73" s="59" t="str">
        <f>Данные!F73</f>
        <v>ассистент</v>
      </c>
      <c r="G73" s="59">
        <f>Данные!G73</f>
        <v>1</v>
      </c>
      <c r="H73" s="59">
        <f>Данные!H73</f>
        <v>16003</v>
      </c>
      <c r="I73" s="59" t="str">
        <f>Данные!I73</f>
        <v>Программирование</v>
      </c>
      <c r="J73" s="59">
        <f>Данные!J73</f>
        <v>0</v>
      </c>
      <c r="K73" s="59">
        <f>Данные!K73</f>
        <v>0</v>
      </c>
      <c r="L73" s="59">
        <f>Данные!L73</f>
        <v>62</v>
      </c>
      <c r="M73" s="60">
        <f t="shared" si="9"/>
        <v>6.2</v>
      </c>
      <c r="N73" s="60">
        <f t="shared" ca="1" si="10"/>
        <v>6.29</v>
      </c>
      <c r="O73" s="60">
        <f t="shared" ca="1" si="11"/>
        <v>3.25</v>
      </c>
      <c r="P73" s="60">
        <f t="shared" ca="1" si="12"/>
        <v>3.25</v>
      </c>
      <c r="Q73" s="54">
        <f>Данные!Q73</f>
        <v>0</v>
      </c>
      <c r="R73" s="54">
        <f>Данные!R73</f>
        <v>0</v>
      </c>
      <c r="S73" s="54">
        <f>Данные!S73</f>
        <v>0</v>
      </c>
      <c r="T73" s="54">
        <f>Данные!T73</f>
        <v>0</v>
      </c>
      <c r="U73" s="54">
        <f>Данные!U73</f>
        <v>0</v>
      </c>
      <c r="V73" s="54">
        <f>Данные!V73</f>
        <v>0</v>
      </c>
      <c r="W73" s="54">
        <f ca="1">Данные!W73</f>
        <v>13</v>
      </c>
      <c r="X73" s="54" t="str">
        <f ca="1">Данные!X73</f>
        <v>1</v>
      </c>
      <c r="Y73" s="54" t="str">
        <f ca="1">Данные!Y73</f>
        <v>1</v>
      </c>
      <c r="Z73" s="54">
        <f>Данные!Z73</f>
        <v>0</v>
      </c>
      <c r="AA73" s="54" t="str">
        <f>Данные!AA73</f>
        <v>осн</v>
      </c>
      <c r="AB73" s="101">
        <f t="shared" si="13"/>
        <v>900</v>
      </c>
      <c r="AC73" s="101" t="str">
        <f t="shared" si="14"/>
        <v>ИВТ (бак)</v>
      </c>
      <c r="AD73" s="101" t="str">
        <f t="shared" si="15"/>
        <v/>
      </c>
      <c r="AE73" s="102">
        <f t="shared" ca="1" si="16"/>
        <v>80.990000000000009</v>
      </c>
      <c r="AF73" s="103">
        <f t="shared" ca="1" si="17"/>
        <v>8.9988888888888896E-2</v>
      </c>
      <c r="AG73" s="101"/>
      <c r="AH73" s="101"/>
      <c r="AI73"/>
      <c r="BM73"/>
      <c r="BN73"/>
      <c r="BO73"/>
      <c r="BQ73" s="72">
        <v>0</v>
      </c>
      <c r="BR73" s="72">
        <v>0</v>
      </c>
      <c r="BS73" s="72">
        <v>0</v>
      </c>
      <c r="BT73" s="72">
        <v>0</v>
      </c>
      <c r="BU73" s="72">
        <v>0</v>
      </c>
      <c r="BV73" s="72">
        <v>0</v>
      </c>
      <c r="BW73" s="72">
        <v>0</v>
      </c>
      <c r="BX73" s="72">
        <v>0</v>
      </c>
      <c r="BY73" s="72">
        <v>0</v>
      </c>
      <c r="BZ73" s="72">
        <v>0</v>
      </c>
      <c r="CA73" s="72">
        <v>0</v>
      </c>
      <c r="CB73" s="72">
        <v>0</v>
      </c>
      <c r="CC73" s="72">
        <v>0</v>
      </c>
      <c r="CD73" s="72">
        <v>0</v>
      </c>
      <c r="CE73" s="72">
        <v>0</v>
      </c>
      <c r="CF73" s="72">
        <v>0</v>
      </c>
      <c r="CG73" s="72">
        <v>0</v>
      </c>
      <c r="CH73" s="72">
        <v>0</v>
      </c>
      <c r="CI73" s="72">
        <v>0</v>
      </c>
      <c r="CJ73" s="72">
        <v>0</v>
      </c>
      <c r="CK73" s="72">
        <v>0</v>
      </c>
      <c r="CL73" s="72">
        <v>0</v>
      </c>
      <c r="CM73" s="72">
        <v>0</v>
      </c>
      <c r="CN73" s="72">
        <v>0</v>
      </c>
      <c r="CO73" s="72">
        <v>0</v>
      </c>
      <c r="CP73" s="72">
        <v>0</v>
      </c>
      <c r="CQ73" s="72">
        <v>0</v>
      </c>
      <c r="CR73" s="72">
        <v>0</v>
      </c>
      <c r="CS73" s="72">
        <v>0</v>
      </c>
      <c r="CT73" s="72">
        <v>0</v>
      </c>
      <c r="CU73" s="72">
        <v>0</v>
      </c>
      <c r="CV73" s="72">
        <v>0</v>
      </c>
      <c r="CW73" s="72">
        <v>0</v>
      </c>
      <c r="CX73" s="72">
        <v>0</v>
      </c>
      <c r="CY73" s="72">
        <v>0</v>
      </c>
      <c r="CZ73" s="72">
        <v>0</v>
      </c>
      <c r="DA73" s="72">
        <v>0</v>
      </c>
      <c r="DB73" s="72">
        <v>0</v>
      </c>
      <c r="DC73" s="72">
        <v>0</v>
      </c>
      <c r="DD73" s="72">
        <v>0</v>
      </c>
      <c r="DE73" s="72">
        <v>0</v>
      </c>
      <c r="DF73" s="72">
        <v>0</v>
      </c>
      <c r="DG73" s="72">
        <v>0</v>
      </c>
      <c r="DH73" s="72">
        <v>0</v>
      </c>
      <c r="DI73" s="72">
        <v>0</v>
      </c>
      <c r="DJ73" s="72">
        <v>0</v>
      </c>
      <c r="DK73" s="72">
        <v>0</v>
      </c>
      <c r="DL73" s="72">
        <v>0</v>
      </c>
      <c r="DM73" s="72">
        <v>0</v>
      </c>
      <c r="DN73" s="72">
        <v>0</v>
      </c>
      <c r="DO73" s="72">
        <v>0</v>
      </c>
      <c r="DP73" s="72">
        <v>0</v>
      </c>
      <c r="DQ73" s="72">
        <v>0</v>
      </c>
      <c r="DR73" s="72">
        <v>0</v>
      </c>
      <c r="DS73" s="72">
        <v>0</v>
      </c>
      <c r="DT73" s="72">
        <v>0</v>
      </c>
      <c r="DU73" s="72">
        <v>0</v>
      </c>
      <c r="DV73" s="72">
        <v>0</v>
      </c>
      <c r="DW73" s="72">
        <v>0</v>
      </c>
      <c r="DX73" s="72">
        <v>0</v>
      </c>
      <c r="DY73" s="72">
        <v>0</v>
      </c>
      <c r="DZ73" s="72">
        <v>0</v>
      </c>
      <c r="EA73" s="72">
        <v>0</v>
      </c>
      <c r="EB73" s="72">
        <v>0</v>
      </c>
      <c r="EC73" s="72">
        <v>0</v>
      </c>
      <c r="ED73" s="72">
        <v>0</v>
      </c>
      <c r="EE73" s="72">
        <v>0</v>
      </c>
      <c r="EF73" s="72">
        <v>0</v>
      </c>
      <c r="EG73" s="72">
        <v>0</v>
      </c>
      <c r="EH73" s="72">
        <v>0</v>
      </c>
      <c r="EI73" s="72">
        <v>0</v>
      </c>
      <c r="EJ73" s="72">
        <v>0</v>
      </c>
      <c r="EK73" s="72">
        <v>0</v>
      </c>
      <c r="EL73" s="72">
        <v>0</v>
      </c>
    </row>
    <row r="74" spans="1:142" s="6" customFormat="1" x14ac:dyDescent="0.35">
      <c r="A74" s="59">
        <f>Данные!A74</f>
        <v>4848</v>
      </c>
      <c r="B74" s="59">
        <f>Данные!B74</f>
        <v>2017</v>
      </c>
      <c r="C74" s="59" t="str">
        <f>Данные!C74</f>
        <v>компьютерных технологий и электронного обучения</v>
      </c>
      <c r="D74" s="59" t="str">
        <f>Данные!D74</f>
        <v>Жуков Николай Николаевич</v>
      </c>
      <c r="E74" s="59" t="str">
        <f>Данные!E74</f>
        <v>нет</v>
      </c>
      <c r="F74" s="59" t="str">
        <f>Данные!F74</f>
        <v>ассистент</v>
      </c>
      <c r="G74" s="59">
        <f>Данные!G74</f>
        <v>1</v>
      </c>
      <c r="H74" s="59">
        <f>Данные!H74</f>
        <v>16003</v>
      </c>
      <c r="I74" s="59" t="str">
        <f>Данные!I74</f>
        <v>Учебная практика. Информатика и вычислительная техника. Технологии разработки программного обеспечения</v>
      </c>
      <c r="J74" s="59">
        <f>Данные!J74</f>
        <v>0</v>
      </c>
      <c r="K74" s="59">
        <f>Данные!K74</f>
        <v>0</v>
      </c>
      <c r="L74" s="59">
        <f>Данные!L74</f>
        <v>0</v>
      </c>
      <c r="M74" s="60">
        <f t="shared" si="9"/>
        <v>0</v>
      </c>
      <c r="N74" s="60">
        <f t="shared" ca="1" si="10"/>
        <v>6.29</v>
      </c>
      <c r="O74" s="60">
        <f t="shared" ca="1" si="11"/>
        <v>3.25</v>
      </c>
      <c r="P74" s="60">
        <f t="shared" ca="1" si="12"/>
        <v>3.25</v>
      </c>
      <c r="Q74" s="54">
        <f>Данные!Q74</f>
        <v>0</v>
      </c>
      <c r="R74" s="54">
        <f>Данные!R74</f>
        <v>0</v>
      </c>
      <c r="S74" s="54">
        <f>Данные!S74</f>
        <v>0</v>
      </c>
      <c r="T74" s="54">
        <f>Данные!T74</f>
        <v>0</v>
      </c>
      <c r="U74" s="54">
        <f>Данные!U74</f>
        <v>26</v>
      </c>
      <c r="V74" s="54">
        <f>Данные!V74</f>
        <v>0</v>
      </c>
      <c r="W74" s="54">
        <f ca="1">Данные!W74</f>
        <v>13</v>
      </c>
      <c r="X74" s="54" t="str">
        <f ca="1">Данные!X74</f>
        <v>1</v>
      </c>
      <c r="Y74" s="54" t="str">
        <f ca="1">Данные!Y74</f>
        <v>1</v>
      </c>
      <c r="Z74" s="54">
        <f>Данные!Z74</f>
        <v>0</v>
      </c>
      <c r="AA74" s="54" t="str">
        <f>Данные!AA74</f>
        <v>осн</v>
      </c>
      <c r="AB74" s="101">
        <f t="shared" si="13"/>
        <v>900</v>
      </c>
      <c r="AC74" s="101" t="str">
        <f t="shared" si="14"/>
        <v>ИВТ (бак)</v>
      </c>
      <c r="AD74" s="101" t="str">
        <f t="shared" si="15"/>
        <v/>
      </c>
      <c r="AE74" s="102">
        <f t="shared" ca="1" si="16"/>
        <v>38.79</v>
      </c>
      <c r="AF74" s="103">
        <f t="shared" ca="1" si="17"/>
        <v>4.3099999999999999E-2</v>
      </c>
      <c r="AG74" s="101"/>
      <c r="AH74" s="101"/>
      <c r="AI74"/>
      <c r="BM74"/>
      <c r="BN74"/>
      <c r="BO74"/>
      <c r="BQ74" s="72">
        <v>0</v>
      </c>
      <c r="BR74" s="72">
        <v>0</v>
      </c>
      <c r="BS74" s="72">
        <v>0</v>
      </c>
      <c r="BT74" s="72">
        <v>0</v>
      </c>
      <c r="BU74" s="72">
        <v>0</v>
      </c>
      <c r="BV74" s="72">
        <v>0</v>
      </c>
      <c r="BW74" s="72">
        <v>0</v>
      </c>
      <c r="BX74" s="72">
        <v>0</v>
      </c>
      <c r="BY74" s="72">
        <v>0</v>
      </c>
      <c r="BZ74" s="72">
        <v>0</v>
      </c>
      <c r="CA74" s="72">
        <v>0</v>
      </c>
      <c r="CB74" s="72">
        <v>0</v>
      </c>
      <c r="CC74" s="72">
        <v>0</v>
      </c>
      <c r="CD74" s="72">
        <v>0</v>
      </c>
      <c r="CE74" s="72">
        <v>0</v>
      </c>
      <c r="CF74" s="72">
        <v>0</v>
      </c>
      <c r="CG74" s="72">
        <v>0</v>
      </c>
      <c r="CH74" s="72">
        <v>0</v>
      </c>
      <c r="CI74" s="72">
        <v>0</v>
      </c>
      <c r="CJ74" s="72">
        <v>0</v>
      </c>
      <c r="CK74" s="72">
        <v>0</v>
      </c>
      <c r="CL74" s="72">
        <v>0</v>
      </c>
      <c r="CM74" s="72">
        <v>0</v>
      </c>
      <c r="CN74" s="72">
        <v>0</v>
      </c>
      <c r="CO74" s="72">
        <v>0</v>
      </c>
      <c r="CP74" s="72">
        <v>0</v>
      </c>
      <c r="CQ74" s="72">
        <v>0</v>
      </c>
      <c r="CR74" s="72">
        <v>0</v>
      </c>
      <c r="CS74" s="72">
        <v>0</v>
      </c>
      <c r="CT74" s="72">
        <v>0</v>
      </c>
      <c r="CU74" s="72">
        <v>0</v>
      </c>
      <c r="CV74" s="72">
        <v>0</v>
      </c>
      <c r="CW74" s="72">
        <v>0</v>
      </c>
      <c r="CX74" s="72">
        <v>0</v>
      </c>
      <c r="CY74" s="72">
        <v>0</v>
      </c>
      <c r="CZ74" s="72">
        <v>0</v>
      </c>
      <c r="DA74" s="72">
        <v>0</v>
      </c>
      <c r="DB74" s="72">
        <v>0</v>
      </c>
      <c r="DC74" s="72">
        <v>0</v>
      </c>
      <c r="DD74" s="72">
        <v>0</v>
      </c>
      <c r="DE74" s="72">
        <v>0</v>
      </c>
      <c r="DF74" s="72">
        <v>0</v>
      </c>
      <c r="DG74" s="72">
        <v>0</v>
      </c>
      <c r="DH74" s="72">
        <v>0</v>
      </c>
      <c r="DI74" s="72">
        <v>0</v>
      </c>
      <c r="DJ74" s="72">
        <v>0</v>
      </c>
      <c r="DK74" s="72">
        <v>0</v>
      </c>
      <c r="DL74" s="72">
        <v>0</v>
      </c>
      <c r="DM74" s="72">
        <v>0</v>
      </c>
      <c r="DN74" s="72">
        <v>0</v>
      </c>
      <c r="DO74" s="72">
        <v>0</v>
      </c>
      <c r="DP74" s="72">
        <v>0</v>
      </c>
      <c r="DQ74" s="72">
        <v>0</v>
      </c>
      <c r="DR74" s="72">
        <v>0</v>
      </c>
      <c r="DS74" s="72">
        <v>0</v>
      </c>
      <c r="DT74" s="72">
        <v>0</v>
      </c>
      <c r="DU74" s="72">
        <v>0</v>
      </c>
      <c r="DV74" s="72">
        <v>0</v>
      </c>
      <c r="DW74" s="72">
        <v>0</v>
      </c>
      <c r="DX74" s="72">
        <v>0</v>
      </c>
      <c r="DY74" s="72">
        <v>0</v>
      </c>
      <c r="DZ74" s="72">
        <v>0</v>
      </c>
      <c r="EA74" s="72">
        <v>0</v>
      </c>
      <c r="EB74" s="72">
        <v>0</v>
      </c>
      <c r="EC74" s="72">
        <v>0</v>
      </c>
      <c r="ED74" s="72">
        <v>0</v>
      </c>
      <c r="EE74" s="72">
        <v>0</v>
      </c>
      <c r="EF74" s="72">
        <v>0</v>
      </c>
      <c r="EG74" s="72">
        <v>0</v>
      </c>
      <c r="EH74" s="72">
        <v>0</v>
      </c>
      <c r="EI74" s="72">
        <v>0</v>
      </c>
      <c r="EJ74" s="72">
        <v>0</v>
      </c>
      <c r="EK74" s="72">
        <v>0</v>
      </c>
      <c r="EL74" s="72">
        <v>0</v>
      </c>
    </row>
    <row r="75" spans="1:142" s="6" customFormat="1" x14ac:dyDescent="0.35">
      <c r="A75" s="59">
        <f>Данные!A75</f>
        <v>4848</v>
      </c>
      <c r="B75" s="59">
        <f>Данные!B75</f>
        <v>2017</v>
      </c>
      <c r="C75" s="59" t="str">
        <f>Данные!C75</f>
        <v>компьютерных технологий и электронного обучения</v>
      </c>
      <c r="D75" s="59" t="str">
        <f>Данные!D75</f>
        <v>Ильина Татьяна Сергеевна</v>
      </c>
      <c r="E75" s="59" t="str">
        <f>Данные!E75</f>
        <v>нет</v>
      </c>
      <c r="F75" s="59" t="str">
        <f>Данные!F75</f>
        <v>старший преподаватель</v>
      </c>
      <c r="G75" s="59">
        <f>Данные!G75</f>
        <v>1</v>
      </c>
      <c r="H75" s="59">
        <f>Данные!H75</f>
        <v>16003</v>
      </c>
      <c r="I75" s="59" t="str">
        <f>Данные!I75</f>
        <v>Модуль "Информационные технологии". Техника и технологии представления и публикации информации</v>
      </c>
      <c r="J75" s="59">
        <f>Данные!J75</f>
        <v>17</v>
      </c>
      <c r="K75" s="59">
        <f>Данные!K75</f>
        <v>0</v>
      </c>
      <c r="L75" s="59">
        <f>Данные!L75</f>
        <v>0</v>
      </c>
      <c r="M75" s="60">
        <f t="shared" si="9"/>
        <v>1.7</v>
      </c>
      <c r="N75" s="60">
        <f t="shared" ca="1" si="10"/>
        <v>6.29</v>
      </c>
      <c r="O75" s="60">
        <f t="shared" ca="1" si="11"/>
        <v>3.25</v>
      </c>
      <c r="P75" s="60">
        <f t="shared" ca="1" si="12"/>
        <v>3.25</v>
      </c>
      <c r="Q75" s="54">
        <f>Данные!Q75</f>
        <v>0</v>
      </c>
      <c r="R75" s="54">
        <f>Данные!R75</f>
        <v>0</v>
      </c>
      <c r="S75" s="54">
        <f>Данные!S75</f>
        <v>0</v>
      </c>
      <c r="T75" s="54">
        <f>Данные!T75</f>
        <v>0</v>
      </c>
      <c r="U75" s="54">
        <f>Данные!U75</f>
        <v>0</v>
      </c>
      <c r="V75" s="54">
        <f>Данные!V75</f>
        <v>0</v>
      </c>
      <c r="W75" s="54">
        <f ca="1">Данные!W75</f>
        <v>13</v>
      </c>
      <c r="X75" s="54" t="str">
        <f ca="1">Данные!X75</f>
        <v>1</v>
      </c>
      <c r="Y75" s="54" t="str">
        <f ca="1">Данные!Y75</f>
        <v>1</v>
      </c>
      <c r="Z75" s="54">
        <f>Данные!Z75</f>
        <v>0</v>
      </c>
      <c r="AA75" s="54" t="str">
        <f>Данные!AA75</f>
        <v>осн</v>
      </c>
      <c r="AB75" s="101">
        <f t="shared" si="13"/>
        <v>850</v>
      </c>
      <c r="AC75" s="101" t="str">
        <f t="shared" si="14"/>
        <v>ИВТ (бак)</v>
      </c>
      <c r="AD75" s="101" t="str">
        <f t="shared" si="15"/>
        <v/>
      </c>
      <c r="AE75" s="102">
        <f t="shared" ca="1" si="16"/>
        <v>31.49</v>
      </c>
      <c r="AF75" s="103">
        <f t="shared" ca="1" si="17"/>
        <v>3.7047058823529412E-2</v>
      </c>
      <c r="AG75" s="101"/>
      <c r="AH75" s="101"/>
      <c r="AI75"/>
      <c r="BM75"/>
      <c r="BN75"/>
      <c r="BO75"/>
      <c r="BQ75" s="72">
        <v>0</v>
      </c>
      <c r="BR75" s="72">
        <v>0</v>
      </c>
      <c r="BS75" s="72">
        <v>0</v>
      </c>
      <c r="BT75" s="72">
        <v>0</v>
      </c>
      <c r="BU75" s="72">
        <v>0</v>
      </c>
      <c r="BV75" s="72">
        <v>0</v>
      </c>
      <c r="BW75" s="72">
        <v>0</v>
      </c>
      <c r="BX75" s="72">
        <v>0</v>
      </c>
      <c r="BY75" s="72">
        <v>0</v>
      </c>
      <c r="BZ75" s="72">
        <v>0</v>
      </c>
      <c r="CA75" s="72">
        <v>0</v>
      </c>
      <c r="CB75" s="72">
        <v>0</v>
      </c>
      <c r="CC75" s="72">
        <v>0</v>
      </c>
      <c r="CD75" s="72">
        <v>0</v>
      </c>
      <c r="CE75" s="72">
        <v>0</v>
      </c>
      <c r="CF75" s="72">
        <v>0</v>
      </c>
      <c r="CG75" s="72">
        <v>0</v>
      </c>
      <c r="CH75" s="72">
        <v>0</v>
      </c>
      <c r="CI75" s="72">
        <v>0</v>
      </c>
      <c r="CJ75" s="72">
        <v>0</v>
      </c>
      <c r="CK75" s="72">
        <v>0</v>
      </c>
      <c r="CL75" s="72">
        <v>0</v>
      </c>
      <c r="CM75" s="72">
        <v>0</v>
      </c>
      <c r="CN75" s="72">
        <v>0</v>
      </c>
      <c r="CO75" s="72">
        <v>0</v>
      </c>
      <c r="CP75" s="72">
        <v>0</v>
      </c>
      <c r="CQ75" s="72">
        <v>0</v>
      </c>
      <c r="CR75" s="72">
        <v>0</v>
      </c>
      <c r="CS75" s="72">
        <v>0</v>
      </c>
      <c r="CT75" s="72">
        <v>0</v>
      </c>
      <c r="CU75" s="72">
        <v>0</v>
      </c>
      <c r="CV75" s="72">
        <v>0</v>
      </c>
      <c r="CW75" s="72">
        <v>0</v>
      </c>
      <c r="CX75" s="72">
        <v>0</v>
      </c>
      <c r="CY75" s="72">
        <v>0</v>
      </c>
      <c r="CZ75" s="72">
        <v>0</v>
      </c>
      <c r="DA75" s="72">
        <v>0</v>
      </c>
      <c r="DB75" s="72">
        <v>0</v>
      </c>
      <c r="DC75" s="72">
        <v>0</v>
      </c>
      <c r="DD75" s="72">
        <v>0</v>
      </c>
      <c r="DE75" s="72">
        <v>0</v>
      </c>
      <c r="DF75" s="72">
        <v>0</v>
      </c>
      <c r="DG75" s="72">
        <v>0</v>
      </c>
      <c r="DH75" s="72">
        <v>0</v>
      </c>
      <c r="DI75" s="72">
        <v>0</v>
      </c>
      <c r="DJ75" s="72">
        <v>0</v>
      </c>
      <c r="DK75" s="72">
        <v>0</v>
      </c>
      <c r="DL75" s="72">
        <v>0</v>
      </c>
      <c r="DM75" s="72">
        <v>0</v>
      </c>
      <c r="DN75" s="72">
        <v>0</v>
      </c>
      <c r="DO75" s="72">
        <v>0</v>
      </c>
      <c r="DP75" s="72">
        <v>0</v>
      </c>
      <c r="DQ75" s="72">
        <v>0</v>
      </c>
      <c r="DR75" s="72">
        <v>0</v>
      </c>
      <c r="DS75" s="72">
        <v>0</v>
      </c>
      <c r="DT75" s="72">
        <v>0</v>
      </c>
      <c r="DU75" s="72">
        <v>0</v>
      </c>
      <c r="DV75" s="72">
        <v>0</v>
      </c>
      <c r="DW75" s="72">
        <v>0</v>
      </c>
      <c r="DX75" s="72">
        <v>0</v>
      </c>
      <c r="DY75" s="72">
        <v>0</v>
      </c>
      <c r="DZ75" s="72">
        <v>0</v>
      </c>
      <c r="EA75" s="72">
        <v>0</v>
      </c>
      <c r="EB75" s="72">
        <v>0</v>
      </c>
      <c r="EC75" s="72">
        <v>0</v>
      </c>
      <c r="ED75" s="72">
        <v>0</v>
      </c>
      <c r="EE75" s="72">
        <v>0</v>
      </c>
      <c r="EF75" s="72">
        <v>0</v>
      </c>
      <c r="EG75" s="72">
        <v>0</v>
      </c>
      <c r="EH75" s="72">
        <v>0</v>
      </c>
      <c r="EI75" s="72">
        <v>0</v>
      </c>
      <c r="EJ75" s="72">
        <v>0</v>
      </c>
      <c r="EK75" s="72">
        <v>0</v>
      </c>
      <c r="EL75" s="72">
        <v>0</v>
      </c>
    </row>
    <row r="76" spans="1:142" s="6" customFormat="1" x14ac:dyDescent="0.35">
      <c r="A76" s="59">
        <f>Данные!A76</f>
        <v>4848</v>
      </c>
      <c r="B76" s="59">
        <f>Данные!B76</f>
        <v>2017</v>
      </c>
      <c r="C76" s="59" t="str">
        <f>Данные!C76</f>
        <v>компьютерных технологий и электронного обучения</v>
      </c>
      <c r="D76" s="59" t="str">
        <f>Данные!D76</f>
        <v>Ильина Татьяна Сергеевна</v>
      </c>
      <c r="E76" s="59" t="str">
        <f>Данные!E76</f>
        <v>нет</v>
      </c>
      <c r="F76" s="59" t="str">
        <f>Данные!F76</f>
        <v>старший преподаватель</v>
      </c>
      <c r="G76" s="59">
        <f>Данные!G76</f>
        <v>1</v>
      </c>
      <c r="H76" s="59">
        <f>Данные!H76</f>
        <v>16003</v>
      </c>
      <c r="I76" s="59" t="str">
        <f>Данные!I76</f>
        <v>Модуль "Информационные технологии". Дисциплины и курсы по выбору. Прикладные информационные технологии</v>
      </c>
      <c r="J76" s="59">
        <f>Данные!J76</f>
        <v>28</v>
      </c>
      <c r="K76" s="59">
        <f>Данные!K76</f>
        <v>0</v>
      </c>
      <c r="L76" s="59">
        <f>Данные!L76</f>
        <v>0</v>
      </c>
      <c r="M76" s="60">
        <f t="shared" si="9"/>
        <v>2.8</v>
      </c>
      <c r="N76" s="60">
        <f t="shared" ca="1" si="10"/>
        <v>6.29</v>
      </c>
      <c r="O76" s="60">
        <f t="shared" ca="1" si="11"/>
        <v>3.25</v>
      </c>
      <c r="P76" s="60">
        <f t="shared" ca="1" si="12"/>
        <v>3.25</v>
      </c>
      <c r="Q76" s="54">
        <f>Данные!Q76</f>
        <v>0</v>
      </c>
      <c r="R76" s="54">
        <f>Данные!R76</f>
        <v>0</v>
      </c>
      <c r="S76" s="54">
        <f>Данные!S76</f>
        <v>0</v>
      </c>
      <c r="T76" s="54">
        <f>Данные!T76</f>
        <v>0</v>
      </c>
      <c r="U76" s="54">
        <f>Данные!U76</f>
        <v>0</v>
      </c>
      <c r="V76" s="54">
        <f>Данные!V76</f>
        <v>0</v>
      </c>
      <c r="W76" s="54">
        <f ca="1">Данные!W76</f>
        <v>13</v>
      </c>
      <c r="X76" s="54" t="str">
        <f ca="1">Данные!X76</f>
        <v>1</v>
      </c>
      <c r="Y76" s="54" t="str">
        <f ca="1">Данные!Y76</f>
        <v>1</v>
      </c>
      <c r="Z76" s="54">
        <f>Данные!Z76</f>
        <v>0</v>
      </c>
      <c r="AA76" s="54">
        <f>Данные!AA76</f>
        <v>0</v>
      </c>
      <c r="AB76" s="101">
        <f t="shared" si="13"/>
        <v>850</v>
      </c>
      <c r="AC76" s="101" t="str">
        <f t="shared" si="14"/>
        <v>ИВТ (бак)</v>
      </c>
      <c r="AD76" s="101" t="str">
        <f t="shared" si="15"/>
        <v/>
      </c>
      <c r="AE76" s="102">
        <f t="shared" ca="1" si="16"/>
        <v>43.59</v>
      </c>
      <c r="AF76" s="103">
        <f t="shared" ca="1" si="17"/>
        <v>5.1282352941176473E-2</v>
      </c>
      <c r="AG76" s="101"/>
      <c r="AH76" s="101"/>
      <c r="AI76"/>
      <c r="BM76"/>
      <c r="BN76"/>
      <c r="BO76"/>
      <c r="BQ76" s="72">
        <v>0</v>
      </c>
      <c r="BR76" s="72">
        <v>0</v>
      </c>
      <c r="BS76" s="72">
        <v>0</v>
      </c>
      <c r="BT76" s="72">
        <v>0</v>
      </c>
      <c r="BU76" s="72">
        <v>0</v>
      </c>
      <c r="BV76" s="72">
        <v>0</v>
      </c>
      <c r="BW76" s="72">
        <v>0</v>
      </c>
      <c r="BX76" s="72">
        <v>0</v>
      </c>
      <c r="BY76" s="72">
        <v>0</v>
      </c>
      <c r="BZ76" s="72">
        <v>0</v>
      </c>
      <c r="CA76" s="72">
        <v>0</v>
      </c>
      <c r="CB76" s="72">
        <v>0</v>
      </c>
      <c r="CC76" s="72">
        <v>0</v>
      </c>
      <c r="CD76" s="72">
        <v>0</v>
      </c>
      <c r="CE76" s="72">
        <v>0</v>
      </c>
      <c r="CF76" s="72">
        <v>0</v>
      </c>
      <c r="CG76" s="72">
        <v>0</v>
      </c>
      <c r="CH76" s="72">
        <v>0</v>
      </c>
      <c r="CI76" s="72">
        <v>0</v>
      </c>
      <c r="CJ76" s="72">
        <v>0</v>
      </c>
      <c r="CK76" s="72">
        <v>0</v>
      </c>
      <c r="CL76" s="72">
        <v>0</v>
      </c>
      <c r="CM76" s="72">
        <v>0</v>
      </c>
      <c r="CN76" s="72">
        <v>0</v>
      </c>
      <c r="CO76" s="72">
        <v>0</v>
      </c>
      <c r="CP76" s="72">
        <v>0</v>
      </c>
      <c r="CQ76" s="72">
        <v>0</v>
      </c>
      <c r="CR76" s="72">
        <v>0</v>
      </c>
      <c r="CS76" s="72">
        <v>0</v>
      </c>
      <c r="CT76" s="72">
        <v>0</v>
      </c>
      <c r="CU76" s="72">
        <v>0</v>
      </c>
      <c r="CV76" s="72">
        <v>0</v>
      </c>
      <c r="CW76" s="72">
        <v>0</v>
      </c>
      <c r="CX76" s="72">
        <v>0</v>
      </c>
      <c r="CY76" s="72">
        <v>0</v>
      </c>
      <c r="CZ76" s="72">
        <v>0</v>
      </c>
      <c r="DA76" s="72">
        <v>0</v>
      </c>
      <c r="DB76" s="72">
        <v>0</v>
      </c>
      <c r="DC76" s="72">
        <v>0</v>
      </c>
      <c r="DD76" s="72">
        <v>0</v>
      </c>
      <c r="DE76" s="72">
        <v>0</v>
      </c>
      <c r="DF76" s="72">
        <v>0</v>
      </c>
      <c r="DG76" s="72">
        <v>0</v>
      </c>
      <c r="DH76" s="72">
        <v>0</v>
      </c>
      <c r="DI76" s="72">
        <v>0</v>
      </c>
      <c r="DJ76" s="72">
        <v>0</v>
      </c>
      <c r="DK76" s="72">
        <v>0</v>
      </c>
      <c r="DL76" s="72">
        <v>0</v>
      </c>
      <c r="DM76" s="72">
        <v>0</v>
      </c>
      <c r="DN76" s="72">
        <v>0</v>
      </c>
      <c r="DO76" s="72">
        <v>0</v>
      </c>
      <c r="DP76" s="72">
        <v>0</v>
      </c>
      <c r="DQ76" s="72">
        <v>0</v>
      </c>
      <c r="DR76" s="72">
        <v>0</v>
      </c>
      <c r="DS76" s="72">
        <v>0</v>
      </c>
      <c r="DT76" s="72">
        <v>0</v>
      </c>
      <c r="DU76" s="72">
        <v>0</v>
      </c>
      <c r="DV76" s="72">
        <v>0</v>
      </c>
      <c r="DW76" s="72">
        <v>0</v>
      </c>
      <c r="DX76" s="72">
        <v>0</v>
      </c>
      <c r="DY76" s="72">
        <v>0</v>
      </c>
      <c r="DZ76" s="72">
        <v>0</v>
      </c>
      <c r="EA76" s="72">
        <v>0</v>
      </c>
      <c r="EB76" s="72">
        <v>0</v>
      </c>
      <c r="EC76" s="72">
        <v>0</v>
      </c>
      <c r="ED76" s="72">
        <v>0</v>
      </c>
      <c r="EE76" s="72">
        <v>0</v>
      </c>
      <c r="EF76" s="72">
        <v>0</v>
      </c>
      <c r="EG76" s="72">
        <v>0</v>
      </c>
      <c r="EH76" s="72">
        <v>0</v>
      </c>
      <c r="EI76" s="72">
        <v>0</v>
      </c>
      <c r="EJ76" s="72">
        <v>0</v>
      </c>
      <c r="EK76" s="72">
        <v>0</v>
      </c>
      <c r="EL76" s="72">
        <v>0</v>
      </c>
    </row>
    <row r="77" spans="1:142" s="6" customFormat="1" x14ac:dyDescent="0.35">
      <c r="A77" s="59">
        <f>Данные!A77</f>
        <v>4848</v>
      </c>
      <c r="B77" s="59">
        <f>Данные!B77</f>
        <v>2017</v>
      </c>
      <c r="C77" s="59" t="str">
        <f>Данные!C77</f>
        <v>компьютерных технологий и электронного обучения</v>
      </c>
      <c r="D77" s="59" t="str">
        <f>Данные!D77</f>
        <v>Карпова Наталья Александровна</v>
      </c>
      <c r="E77" s="59" t="str">
        <f>Данные!E77</f>
        <v>кандидат технических наук</v>
      </c>
      <c r="F77" s="59" t="str">
        <f>Данные!F77</f>
        <v>доцент</v>
      </c>
      <c r="G77" s="59">
        <f>Данные!G77</f>
        <v>1</v>
      </c>
      <c r="H77" s="59">
        <f>Данные!H77</f>
        <v>16003</v>
      </c>
      <c r="I77" s="59" t="str">
        <f>Данные!I77</f>
        <v>Модуль "Информационные технологии". Интегрированные издательские системы и технологии</v>
      </c>
      <c r="J77" s="59">
        <f>Данные!J77</f>
        <v>16</v>
      </c>
      <c r="K77" s="59">
        <f>Данные!K77</f>
        <v>0</v>
      </c>
      <c r="L77" s="59">
        <f>Данные!L77</f>
        <v>20</v>
      </c>
      <c r="M77" s="60">
        <f t="shared" si="9"/>
        <v>3.6</v>
      </c>
      <c r="N77" s="60">
        <f t="shared" ca="1" si="10"/>
        <v>6.29</v>
      </c>
      <c r="O77" s="60">
        <f t="shared" ca="1" si="11"/>
        <v>3.25</v>
      </c>
      <c r="P77" s="60">
        <f t="shared" ca="1" si="12"/>
        <v>3.25</v>
      </c>
      <c r="Q77" s="54">
        <f>Данные!Q77</f>
        <v>0</v>
      </c>
      <c r="R77" s="54">
        <f>Данные!R77</f>
        <v>0</v>
      </c>
      <c r="S77" s="54">
        <f>Данные!S77</f>
        <v>0</v>
      </c>
      <c r="T77" s="54">
        <f>Данные!T77</f>
        <v>0</v>
      </c>
      <c r="U77" s="54">
        <f>Данные!U77</f>
        <v>0</v>
      </c>
      <c r="V77" s="54">
        <f>Данные!V77</f>
        <v>0</v>
      </c>
      <c r="W77" s="54">
        <f ca="1">Данные!W77</f>
        <v>13</v>
      </c>
      <c r="X77" s="54" t="str">
        <f ca="1">Данные!X77</f>
        <v>1</v>
      </c>
      <c r="Y77" s="54" t="str">
        <f ca="1">Данные!Y77</f>
        <v>1</v>
      </c>
      <c r="Z77" s="54">
        <f>Данные!Z77</f>
        <v>0</v>
      </c>
      <c r="AA77" s="54" t="str">
        <f>Данные!AA77</f>
        <v>осн</v>
      </c>
      <c r="AB77" s="101">
        <f t="shared" si="13"/>
        <v>800</v>
      </c>
      <c r="AC77" s="101" t="str">
        <f t="shared" si="14"/>
        <v>ИВТ (бак)</v>
      </c>
      <c r="AD77" s="101" t="str">
        <f t="shared" si="15"/>
        <v/>
      </c>
      <c r="AE77" s="102">
        <f t="shared" ca="1" si="16"/>
        <v>52.39</v>
      </c>
      <c r="AF77" s="103">
        <f t="shared" ca="1" si="17"/>
        <v>6.5487500000000004E-2</v>
      </c>
      <c r="AG77" s="101"/>
      <c r="AH77" s="101"/>
      <c r="AI77"/>
      <c r="BM77"/>
      <c r="BN77"/>
      <c r="BO77"/>
      <c r="BQ77" s="72">
        <v>0</v>
      </c>
      <c r="BR77" s="72">
        <v>0</v>
      </c>
      <c r="BS77" s="72">
        <v>0</v>
      </c>
      <c r="BT77" s="72">
        <v>0</v>
      </c>
      <c r="BU77" s="72">
        <v>0</v>
      </c>
      <c r="BV77" s="72">
        <v>0</v>
      </c>
      <c r="BW77" s="72">
        <v>0</v>
      </c>
      <c r="BX77" s="72">
        <v>0</v>
      </c>
      <c r="BY77" s="72">
        <v>0</v>
      </c>
      <c r="BZ77" s="72">
        <v>0</v>
      </c>
      <c r="CA77" s="72">
        <v>0</v>
      </c>
      <c r="CB77" s="72">
        <v>0</v>
      </c>
      <c r="CC77" s="72">
        <v>0</v>
      </c>
      <c r="CD77" s="72">
        <v>0</v>
      </c>
      <c r="CE77" s="72">
        <v>0</v>
      </c>
      <c r="CF77" s="72">
        <v>0</v>
      </c>
      <c r="CG77" s="72">
        <v>0</v>
      </c>
      <c r="CH77" s="72">
        <v>0</v>
      </c>
      <c r="CI77" s="72">
        <v>0</v>
      </c>
      <c r="CJ77" s="72">
        <v>0</v>
      </c>
      <c r="CK77" s="72">
        <v>0</v>
      </c>
      <c r="CL77" s="72">
        <v>0</v>
      </c>
      <c r="CM77" s="72">
        <v>0</v>
      </c>
      <c r="CN77" s="72">
        <v>0</v>
      </c>
      <c r="CO77" s="72">
        <v>0</v>
      </c>
      <c r="CP77" s="72">
        <v>0</v>
      </c>
      <c r="CQ77" s="72">
        <v>0</v>
      </c>
      <c r="CR77" s="72">
        <v>0</v>
      </c>
      <c r="CS77" s="72">
        <v>0</v>
      </c>
      <c r="CT77" s="72">
        <v>0</v>
      </c>
      <c r="CU77" s="72">
        <v>0</v>
      </c>
      <c r="CV77" s="72">
        <v>0</v>
      </c>
      <c r="CW77" s="72">
        <v>0</v>
      </c>
      <c r="CX77" s="72">
        <v>0</v>
      </c>
      <c r="CY77" s="72">
        <v>0</v>
      </c>
      <c r="CZ77" s="72">
        <v>0</v>
      </c>
      <c r="DA77" s="72">
        <v>0</v>
      </c>
      <c r="DB77" s="72">
        <v>0</v>
      </c>
      <c r="DC77" s="72">
        <v>0</v>
      </c>
      <c r="DD77" s="72">
        <v>0</v>
      </c>
      <c r="DE77" s="72">
        <v>0</v>
      </c>
      <c r="DF77" s="72">
        <v>0</v>
      </c>
      <c r="DG77" s="72">
        <v>0</v>
      </c>
      <c r="DH77" s="72">
        <v>0</v>
      </c>
      <c r="DI77" s="72">
        <v>0</v>
      </c>
      <c r="DJ77" s="72">
        <v>0</v>
      </c>
      <c r="DK77" s="72">
        <v>0</v>
      </c>
      <c r="DL77" s="72">
        <v>0</v>
      </c>
      <c r="DM77" s="72">
        <v>0</v>
      </c>
      <c r="DN77" s="72">
        <v>0</v>
      </c>
      <c r="DO77" s="72">
        <v>0</v>
      </c>
      <c r="DP77" s="72">
        <v>0</v>
      </c>
      <c r="DQ77" s="72">
        <v>0</v>
      </c>
      <c r="DR77" s="72">
        <v>0</v>
      </c>
      <c r="DS77" s="72">
        <v>0</v>
      </c>
      <c r="DT77" s="72">
        <v>0</v>
      </c>
      <c r="DU77" s="72">
        <v>0</v>
      </c>
      <c r="DV77" s="72">
        <v>0</v>
      </c>
      <c r="DW77" s="72">
        <v>0</v>
      </c>
      <c r="DX77" s="72">
        <v>0</v>
      </c>
      <c r="DY77" s="72">
        <v>0</v>
      </c>
      <c r="DZ77" s="72">
        <v>0</v>
      </c>
      <c r="EA77" s="72">
        <v>0</v>
      </c>
      <c r="EB77" s="72">
        <v>0</v>
      </c>
      <c r="EC77" s="72">
        <v>0</v>
      </c>
      <c r="ED77" s="72">
        <v>0</v>
      </c>
      <c r="EE77" s="72">
        <v>0</v>
      </c>
      <c r="EF77" s="72">
        <v>0</v>
      </c>
      <c r="EG77" s="72">
        <v>0</v>
      </c>
      <c r="EH77" s="72">
        <v>0</v>
      </c>
      <c r="EI77" s="72">
        <v>0</v>
      </c>
      <c r="EJ77" s="72">
        <v>0</v>
      </c>
      <c r="EK77" s="72">
        <v>0</v>
      </c>
      <c r="EL77" s="72">
        <v>0</v>
      </c>
    </row>
    <row r="78" spans="1:142" s="6" customFormat="1" x14ac:dyDescent="0.35">
      <c r="A78" s="59">
        <f>Данные!A78</f>
        <v>4848</v>
      </c>
      <c r="B78" s="59">
        <f>Данные!B78</f>
        <v>2017</v>
      </c>
      <c r="C78" s="59" t="str">
        <f>Данные!C78</f>
        <v>компьютерных технологий и электронного обучения</v>
      </c>
      <c r="D78" s="59" t="str">
        <f>Данные!D78</f>
        <v>Шалденкова Анна Владимировна</v>
      </c>
      <c r="E78" s="59" t="str">
        <f>Данные!E78</f>
        <v>кандидат физ.-мат. наук</v>
      </c>
      <c r="F78" s="59" t="str">
        <f>Данные!F78</f>
        <v>ассистент</v>
      </c>
      <c r="G78" s="59">
        <f>Данные!G78</f>
        <v>1</v>
      </c>
      <c r="H78" s="59">
        <f>Данные!H78</f>
        <v>16003</v>
      </c>
      <c r="I78" s="59" t="str">
        <f>Данные!I78</f>
        <v>Учебная практика. Информатика и вычислительная техника. Технологии разработки программного обеспечения</v>
      </c>
      <c r="J78" s="59">
        <f>Данные!J78</f>
        <v>0</v>
      </c>
      <c r="K78" s="59">
        <f>Данные!K78</f>
        <v>0</v>
      </c>
      <c r="L78" s="59">
        <f>Данные!L78</f>
        <v>0</v>
      </c>
      <c r="M78" s="60">
        <f t="shared" si="9"/>
        <v>0</v>
      </c>
      <c r="N78" s="60">
        <f t="shared" ca="1" si="10"/>
        <v>6.29</v>
      </c>
      <c r="O78" s="60">
        <f t="shared" ca="1" si="11"/>
        <v>3.25</v>
      </c>
      <c r="P78" s="60">
        <f t="shared" ca="1" si="12"/>
        <v>3.25</v>
      </c>
      <c r="Q78" s="54">
        <f>Данные!Q78</f>
        <v>0</v>
      </c>
      <c r="R78" s="54">
        <f>Данные!R78</f>
        <v>0</v>
      </c>
      <c r="S78" s="54">
        <f>Данные!S78</f>
        <v>0</v>
      </c>
      <c r="T78" s="54">
        <f>Данные!T78</f>
        <v>0</v>
      </c>
      <c r="U78" s="54">
        <f>Данные!U78</f>
        <v>26</v>
      </c>
      <c r="V78" s="54">
        <f>Данные!V78</f>
        <v>0</v>
      </c>
      <c r="W78" s="54">
        <f ca="1">Данные!W78</f>
        <v>13</v>
      </c>
      <c r="X78" s="54" t="str">
        <f ca="1">Данные!X78</f>
        <v>1</v>
      </c>
      <c r="Y78" s="54" t="str">
        <f ca="1">Данные!Y78</f>
        <v>1</v>
      </c>
      <c r="Z78" s="54">
        <f>Данные!Z78</f>
        <v>0</v>
      </c>
      <c r="AA78" s="54" t="str">
        <f>Данные!AA78</f>
        <v>осн</v>
      </c>
      <c r="AB78" s="101">
        <f t="shared" si="13"/>
        <v>900</v>
      </c>
      <c r="AC78" s="101" t="str">
        <f t="shared" si="14"/>
        <v>ИВТ (бак)</v>
      </c>
      <c r="AD78" s="101" t="str">
        <f t="shared" si="15"/>
        <v/>
      </c>
      <c r="AE78" s="102">
        <f t="shared" ca="1" si="16"/>
        <v>38.79</v>
      </c>
      <c r="AF78" s="103">
        <f t="shared" ca="1" si="17"/>
        <v>4.3099999999999999E-2</v>
      </c>
      <c r="AG78" s="101"/>
      <c r="AH78" s="101"/>
      <c r="AI78"/>
      <c r="BM78"/>
      <c r="BN78"/>
      <c r="BO78"/>
      <c r="BQ78" s="72">
        <v>0</v>
      </c>
      <c r="BR78" s="72">
        <v>0</v>
      </c>
      <c r="BS78" s="72">
        <v>0</v>
      </c>
      <c r="BT78" s="72">
        <v>0</v>
      </c>
      <c r="BU78" s="72">
        <v>0</v>
      </c>
      <c r="BV78" s="72">
        <v>0</v>
      </c>
      <c r="BW78" s="72">
        <v>0</v>
      </c>
      <c r="BX78" s="72">
        <v>0</v>
      </c>
      <c r="BY78" s="72">
        <v>0</v>
      </c>
      <c r="BZ78" s="72">
        <v>0</v>
      </c>
      <c r="CA78" s="72">
        <v>0</v>
      </c>
      <c r="CB78" s="72">
        <v>0</v>
      </c>
      <c r="CC78" s="72">
        <v>0</v>
      </c>
      <c r="CD78" s="72">
        <v>0</v>
      </c>
      <c r="CE78" s="72">
        <v>0</v>
      </c>
      <c r="CF78" s="72">
        <v>0</v>
      </c>
      <c r="CG78" s="72">
        <v>0</v>
      </c>
      <c r="CH78" s="72">
        <v>0</v>
      </c>
      <c r="CI78" s="72">
        <v>0</v>
      </c>
      <c r="CJ78" s="72">
        <v>0</v>
      </c>
      <c r="CK78" s="72">
        <v>0</v>
      </c>
      <c r="CL78" s="72">
        <v>0</v>
      </c>
      <c r="CM78" s="72">
        <v>0</v>
      </c>
      <c r="CN78" s="72">
        <v>0</v>
      </c>
      <c r="CO78" s="72">
        <v>0</v>
      </c>
      <c r="CP78" s="72">
        <v>0</v>
      </c>
      <c r="CQ78" s="72">
        <v>0</v>
      </c>
      <c r="CR78" s="72">
        <v>0</v>
      </c>
      <c r="CS78" s="72">
        <v>0</v>
      </c>
      <c r="CT78" s="72">
        <v>0</v>
      </c>
      <c r="CU78" s="72">
        <v>0</v>
      </c>
      <c r="CV78" s="72">
        <v>0</v>
      </c>
      <c r="CW78" s="72">
        <v>0</v>
      </c>
      <c r="CX78" s="72">
        <v>0</v>
      </c>
      <c r="CY78" s="72">
        <v>0</v>
      </c>
      <c r="CZ78" s="72">
        <v>0</v>
      </c>
      <c r="DA78" s="72">
        <v>0</v>
      </c>
      <c r="DB78" s="72">
        <v>0</v>
      </c>
      <c r="DC78" s="72">
        <v>0</v>
      </c>
      <c r="DD78" s="72">
        <v>0</v>
      </c>
      <c r="DE78" s="72">
        <v>0</v>
      </c>
      <c r="DF78" s="72">
        <v>0</v>
      </c>
      <c r="DG78" s="72">
        <v>0</v>
      </c>
      <c r="DH78" s="72">
        <v>0</v>
      </c>
      <c r="DI78" s="72">
        <v>0</v>
      </c>
      <c r="DJ78" s="72">
        <v>0</v>
      </c>
      <c r="DK78" s="72">
        <v>0</v>
      </c>
      <c r="DL78" s="72">
        <v>0</v>
      </c>
      <c r="DM78" s="72">
        <v>0</v>
      </c>
      <c r="DN78" s="72">
        <v>0</v>
      </c>
      <c r="DO78" s="72">
        <v>0</v>
      </c>
      <c r="DP78" s="72">
        <v>0</v>
      </c>
      <c r="DQ78" s="72">
        <v>0</v>
      </c>
      <c r="DR78" s="72">
        <v>0</v>
      </c>
      <c r="DS78" s="72">
        <v>0</v>
      </c>
      <c r="DT78" s="72">
        <v>0</v>
      </c>
      <c r="DU78" s="72">
        <v>0</v>
      </c>
      <c r="DV78" s="72">
        <v>0</v>
      </c>
      <c r="DW78" s="72">
        <v>0</v>
      </c>
      <c r="DX78" s="72">
        <v>0</v>
      </c>
      <c r="DY78" s="72">
        <v>0</v>
      </c>
      <c r="DZ78" s="72">
        <v>0</v>
      </c>
      <c r="EA78" s="72">
        <v>0</v>
      </c>
      <c r="EB78" s="72">
        <v>0</v>
      </c>
      <c r="EC78" s="72">
        <v>0</v>
      </c>
      <c r="ED78" s="72">
        <v>0</v>
      </c>
      <c r="EE78" s="72">
        <v>0</v>
      </c>
      <c r="EF78" s="72">
        <v>0</v>
      </c>
      <c r="EG78" s="72">
        <v>0</v>
      </c>
      <c r="EH78" s="72">
        <v>0</v>
      </c>
      <c r="EI78" s="72">
        <v>0</v>
      </c>
      <c r="EJ78" s="72">
        <v>0</v>
      </c>
      <c r="EK78" s="72">
        <v>0</v>
      </c>
      <c r="EL78" s="72">
        <v>0</v>
      </c>
    </row>
    <row r="79" spans="1:142" s="6" customFormat="1" x14ac:dyDescent="0.35">
      <c r="A79" s="59">
        <f>Данные!A79</f>
        <v>4848</v>
      </c>
      <c r="B79" s="59">
        <f>Данные!B79</f>
        <v>2018</v>
      </c>
      <c r="C79" s="59" t="str">
        <f>Данные!C79</f>
        <v>компьютерных технологий и электронного обучения</v>
      </c>
      <c r="D79" s="59" t="str">
        <f>Данные!D79</f>
        <v>Абрамян Геннадий Владимирович</v>
      </c>
      <c r="E79" s="59" t="str">
        <f>Данные!E79</f>
        <v>доктор педагогических наук</v>
      </c>
      <c r="F79" s="59" t="str">
        <f>Данные!F79</f>
        <v>профессор</v>
      </c>
      <c r="G79" s="59">
        <f>Данные!G79</f>
        <v>1</v>
      </c>
      <c r="H79" s="59">
        <f>Данные!H79</f>
        <v>17231</v>
      </c>
      <c r="I79" s="59" t="str">
        <f>Данные!I79</f>
        <v>Модуль "Информационные системы". Теория информационных процессов и систем</v>
      </c>
      <c r="J79" s="59">
        <f>Данные!J79</f>
        <v>8</v>
      </c>
      <c r="K79" s="59">
        <f>Данные!K79</f>
        <v>14</v>
      </c>
      <c r="L79" s="59">
        <f>Данные!L79</f>
        <v>4</v>
      </c>
      <c r="M79" s="60">
        <f t="shared" si="9"/>
        <v>2.6</v>
      </c>
      <c r="N79" s="60">
        <f t="shared" ca="1" si="10"/>
        <v>6.29</v>
      </c>
      <c r="O79" s="60">
        <f t="shared" ca="1" si="11"/>
        <v>3.25</v>
      </c>
      <c r="P79" s="60">
        <f t="shared" ca="1" si="12"/>
        <v>3.25</v>
      </c>
      <c r="Q79" s="54">
        <f>Данные!Q79</f>
        <v>0</v>
      </c>
      <c r="R79" s="54">
        <f>Данные!R79</f>
        <v>0</v>
      </c>
      <c r="S79" s="54">
        <f>Данные!S79</f>
        <v>0</v>
      </c>
      <c r="T79" s="54">
        <f>Данные!T79</f>
        <v>0</v>
      </c>
      <c r="U79" s="54">
        <f>Данные!U79</f>
        <v>0</v>
      </c>
      <c r="V79" s="54">
        <f>Данные!V79</f>
        <v>0</v>
      </c>
      <c r="W79" s="54">
        <f ca="1">Данные!W79</f>
        <v>13</v>
      </c>
      <c r="X79" s="54" t="str">
        <f ca="1">Данные!X79</f>
        <v>1</v>
      </c>
      <c r="Y79" s="54" t="str">
        <f ca="1">Данные!Y79</f>
        <v>1</v>
      </c>
      <c r="Z79" s="54">
        <f>Данные!Z79</f>
        <v>0</v>
      </c>
      <c r="AA79" s="54" t="str">
        <f>Данные!AA79</f>
        <v>осн</v>
      </c>
      <c r="AB79" s="101">
        <f t="shared" si="13"/>
        <v>750</v>
      </c>
      <c r="AC79" s="101" t="str">
        <f t="shared" si="14"/>
        <v>ИВТ (бак)</v>
      </c>
      <c r="AD79" s="101" t="str">
        <f t="shared" si="15"/>
        <v/>
      </c>
      <c r="AE79" s="102">
        <f t="shared" ca="1" si="16"/>
        <v>41.39</v>
      </c>
      <c r="AF79" s="103">
        <f t="shared" ca="1" si="17"/>
        <v>5.5186666666666669E-2</v>
      </c>
      <c r="AG79" s="101"/>
      <c r="AH79" s="101"/>
      <c r="AI79"/>
      <c r="BM79"/>
      <c r="BN79"/>
      <c r="BO79"/>
      <c r="BQ79" s="72">
        <v>0</v>
      </c>
      <c r="BR79" s="72">
        <v>0</v>
      </c>
      <c r="BS79" s="72">
        <v>0</v>
      </c>
      <c r="BT79" s="72">
        <v>0</v>
      </c>
      <c r="BU79" s="72">
        <v>0</v>
      </c>
      <c r="BV79" s="72">
        <v>0</v>
      </c>
      <c r="BW79" s="72">
        <v>0</v>
      </c>
      <c r="BX79" s="72">
        <v>0</v>
      </c>
      <c r="BY79" s="72">
        <v>0</v>
      </c>
      <c r="BZ79" s="72">
        <v>0</v>
      </c>
      <c r="CA79" s="72">
        <v>0</v>
      </c>
      <c r="CB79" s="72">
        <v>0</v>
      </c>
      <c r="CC79" s="72">
        <v>0</v>
      </c>
      <c r="CD79" s="72">
        <v>0</v>
      </c>
      <c r="CE79" s="72">
        <v>0</v>
      </c>
      <c r="CF79" s="72">
        <v>0</v>
      </c>
      <c r="CG79" s="72">
        <v>0</v>
      </c>
      <c r="CH79" s="72">
        <v>0</v>
      </c>
      <c r="CI79" s="72">
        <v>0</v>
      </c>
      <c r="CJ79" s="72">
        <v>0</v>
      </c>
      <c r="CK79" s="72">
        <v>0</v>
      </c>
      <c r="CL79" s="72">
        <v>0</v>
      </c>
      <c r="CM79" s="72">
        <v>0</v>
      </c>
      <c r="CN79" s="72">
        <v>0</v>
      </c>
      <c r="CO79" s="72">
        <v>0</v>
      </c>
      <c r="CP79" s="72">
        <v>0</v>
      </c>
      <c r="CQ79" s="72">
        <v>0</v>
      </c>
      <c r="CR79" s="72">
        <v>0</v>
      </c>
      <c r="CS79" s="72">
        <v>0</v>
      </c>
      <c r="CT79" s="72">
        <v>0</v>
      </c>
      <c r="CU79" s="72">
        <v>0</v>
      </c>
      <c r="CV79" s="72">
        <v>0</v>
      </c>
      <c r="CW79" s="72">
        <v>0</v>
      </c>
      <c r="CX79" s="72">
        <v>0</v>
      </c>
      <c r="CY79" s="72">
        <v>0</v>
      </c>
      <c r="CZ79" s="72">
        <v>0</v>
      </c>
      <c r="DA79" s="72">
        <v>0</v>
      </c>
      <c r="DB79" s="72">
        <v>0</v>
      </c>
      <c r="DC79" s="72">
        <v>0</v>
      </c>
      <c r="DD79" s="72">
        <v>0</v>
      </c>
      <c r="DE79" s="72">
        <v>0</v>
      </c>
      <c r="DF79" s="72">
        <v>0</v>
      </c>
      <c r="DG79" s="72">
        <v>0</v>
      </c>
      <c r="DH79" s="72">
        <v>0</v>
      </c>
      <c r="DI79" s="72">
        <v>0</v>
      </c>
      <c r="DJ79" s="72">
        <v>0</v>
      </c>
      <c r="DK79" s="72">
        <v>0</v>
      </c>
      <c r="DL79" s="72">
        <v>0</v>
      </c>
      <c r="DM79" s="72">
        <v>0</v>
      </c>
      <c r="DN79" s="72">
        <v>0</v>
      </c>
      <c r="DO79" s="72">
        <v>0</v>
      </c>
      <c r="DP79" s="72">
        <v>0</v>
      </c>
      <c r="DQ79" s="72">
        <v>0</v>
      </c>
      <c r="DR79" s="72">
        <v>0</v>
      </c>
      <c r="DS79" s="72">
        <v>0</v>
      </c>
      <c r="DT79" s="72">
        <v>0</v>
      </c>
      <c r="DU79" s="72">
        <v>0</v>
      </c>
      <c r="DV79" s="72">
        <v>0</v>
      </c>
      <c r="DW79" s="72">
        <v>0</v>
      </c>
      <c r="DX79" s="72">
        <v>0</v>
      </c>
      <c r="DY79" s="72">
        <v>0</v>
      </c>
      <c r="DZ79" s="72">
        <v>0</v>
      </c>
      <c r="EA79" s="72">
        <v>0</v>
      </c>
      <c r="EB79" s="72">
        <v>0</v>
      </c>
      <c r="EC79" s="72">
        <v>0</v>
      </c>
      <c r="ED79" s="72">
        <v>0</v>
      </c>
      <c r="EE79" s="72">
        <v>0</v>
      </c>
      <c r="EF79" s="72">
        <v>0</v>
      </c>
      <c r="EG79" s="72">
        <v>0</v>
      </c>
      <c r="EH79" s="72">
        <v>0</v>
      </c>
      <c r="EI79" s="72">
        <v>0</v>
      </c>
      <c r="EJ79" s="72">
        <v>0</v>
      </c>
      <c r="EK79" s="72">
        <v>0</v>
      </c>
      <c r="EL79" s="72">
        <v>0</v>
      </c>
    </row>
    <row r="80" spans="1:142" s="6" customFormat="1" x14ac:dyDescent="0.35">
      <c r="A80" s="59">
        <f>Данные!A80</f>
        <v>4848</v>
      </c>
      <c r="B80" s="59">
        <f>Данные!B80</f>
        <v>2018</v>
      </c>
      <c r="C80" s="59" t="str">
        <f>Данные!C80</f>
        <v>компьютерных технологий и электронного обучения</v>
      </c>
      <c r="D80" s="59" t="str">
        <f>Данные!D80</f>
        <v>Авксентьева Елена Юрьевна</v>
      </c>
      <c r="E80" s="59" t="str">
        <f>Данные!E80</f>
        <v>кандидат педагогических наук</v>
      </c>
      <c r="F80" s="59" t="str">
        <f>Данные!F80</f>
        <v>доцент</v>
      </c>
      <c r="G80" s="59">
        <f>Данные!G80</f>
        <v>1</v>
      </c>
      <c r="H80" s="59">
        <f>Данные!H80</f>
        <v>17231</v>
      </c>
      <c r="I80" s="59" t="str">
        <f>Данные!I80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80" s="59">
        <f>Данные!J80</f>
        <v>12</v>
      </c>
      <c r="K80" s="59">
        <f>Данные!K80</f>
        <v>0</v>
      </c>
      <c r="L80" s="59">
        <f>Данные!L80</f>
        <v>0</v>
      </c>
      <c r="M80" s="60">
        <f t="shared" si="9"/>
        <v>1.2</v>
      </c>
      <c r="N80" s="60">
        <f t="shared" ca="1" si="10"/>
        <v>6.29</v>
      </c>
      <c r="O80" s="60">
        <f t="shared" ca="1" si="11"/>
        <v>3.25</v>
      </c>
      <c r="P80" s="60">
        <f t="shared" ca="1" si="12"/>
        <v>3.25</v>
      </c>
      <c r="Q80" s="54">
        <f>Данные!Q80</f>
        <v>0</v>
      </c>
      <c r="R80" s="54">
        <f>Данные!R80</f>
        <v>0</v>
      </c>
      <c r="S80" s="54">
        <f>Данные!S80</f>
        <v>0</v>
      </c>
      <c r="T80" s="54">
        <f>Данные!T80</f>
        <v>0</v>
      </c>
      <c r="U80" s="54">
        <f>Данные!U80</f>
        <v>0</v>
      </c>
      <c r="V80" s="54">
        <f>Данные!V80</f>
        <v>0</v>
      </c>
      <c r="W80" s="54">
        <f ca="1">Данные!W80</f>
        <v>13</v>
      </c>
      <c r="X80" s="54" t="str">
        <f ca="1">Данные!X80</f>
        <v>1</v>
      </c>
      <c r="Y80" s="54" t="str">
        <f ca="1">Данные!Y80</f>
        <v>1</v>
      </c>
      <c r="Z80" s="54">
        <f>Данные!Z80</f>
        <v>0</v>
      </c>
      <c r="AA80" s="54" t="str">
        <f>Данные!AA80</f>
        <v>осн</v>
      </c>
      <c r="AB80" s="101">
        <f t="shared" si="13"/>
        <v>800</v>
      </c>
      <c r="AC80" s="101" t="str">
        <f t="shared" si="14"/>
        <v>ИВТ (бак)</v>
      </c>
      <c r="AD80" s="101" t="str">
        <f t="shared" si="15"/>
        <v/>
      </c>
      <c r="AE80" s="102">
        <f t="shared" ca="1" si="16"/>
        <v>25.99</v>
      </c>
      <c r="AF80" s="103">
        <f t="shared" ca="1" si="17"/>
        <v>3.2487499999999996E-2</v>
      </c>
      <c r="AG80" s="101"/>
      <c r="AH80" s="101"/>
      <c r="AI80"/>
      <c r="BM80"/>
      <c r="BN80"/>
      <c r="BO80"/>
      <c r="BQ80" s="72">
        <v>0</v>
      </c>
      <c r="BR80" s="72">
        <v>0</v>
      </c>
      <c r="BS80" s="72">
        <v>0</v>
      </c>
      <c r="BT80" s="72">
        <v>0</v>
      </c>
      <c r="BU80" s="72">
        <v>0</v>
      </c>
      <c r="BV80" s="72">
        <v>0</v>
      </c>
      <c r="BW80" s="72">
        <v>0</v>
      </c>
      <c r="BX80" s="72">
        <v>0</v>
      </c>
      <c r="BY80" s="72">
        <v>0</v>
      </c>
      <c r="BZ80" s="72">
        <v>0</v>
      </c>
      <c r="CA80" s="72">
        <v>0</v>
      </c>
      <c r="CB80" s="72">
        <v>0</v>
      </c>
      <c r="CC80" s="72">
        <v>0</v>
      </c>
      <c r="CD80" s="72">
        <v>0</v>
      </c>
      <c r="CE80" s="72">
        <v>0</v>
      </c>
      <c r="CF80" s="72">
        <v>0</v>
      </c>
      <c r="CG80" s="72">
        <v>0</v>
      </c>
      <c r="CH80" s="72">
        <v>0</v>
      </c>
      <c r="CI80" s="72">
        <v>0</v>
      </c>
      <c r="CJ80" s="72">
        <v>0</v>
      </c>
      <c r="CK80" s="72">
        <v>0</v>
      </c>
      <c r="CL80" s="72">
        <v>0</v>
      </c>
      <c r="CM80" s="72">
        <v>0</v>
      </c>
      <c r="CN80" s="72">
        <v>0</v>
      </c>
      <c r="CO80" s="72">
        <v>0</v>
      </c>
      <c r="CP80" s="72">
        <v>0</v>
      </c>
      <c r="CQ80" s="72">
        <v>0</v>
      </c>
      <c r="CR80" s="72">
        <v>0</v>
      </c>
      <c r="CS80" s="72">
        <v>0</v>
      </c>
      <c r="CT80" s="72">
        <v>0</v>
      </c>
      <c r="CU80" s="72">
        <v>0</v>
      </c>
      <c r="CV80" s="72">
        <v>0</v>
      </c>
      <c r="CW80" s="72">
        <v>0</v>
      </c>
      <c r="CX80" s="72">
        <v>0</v>
      </c>
      <c r="CY80" s="72">
        <v>0</v>
      </c>
      <c r="CZ80" s="72">
        <v>0</v>
      </c>
      <c r="DA80" s="72">
        <v>0</v>
      </c>
      <c r="DB80" s="72">
        <v>0</v>
      </c>
      <c r="DC80" s="72">
        <v>0</v>
      </c>
      <c r="DD80" s="72">
        <v>0</v>
      </c>
      <c r="DE80" s="72">
        <v>0</v>
      </c>
      <c r="DF80" s="72">
        <v>0</v>
      </c>
      <c r="DG80" s="72">
        <v>0</v>
      </c>
      <c r="DH80" s="72">
        <v>0</v>
      </c>
      <c r="DI80" s="72">
        <v>0</v>
      </c>
      <c r="DJ80" s="72">
        <v>0</v>
      </c>
      <c r="DK80" s="72">
        <v>0</v>
      </c>
      <c r="DL80" s="72">
        <v>0</v>
      </c>
      <c r="DM80" s="72">
        <v>0</v>
      </c>
      <c r="DN80" s="72">
        <v>0</v>
      </c>
      <c r="DO80" s="72">
        <v>0</v>
      </c>
      <c r="DP80" s="72">
        <v>0</v>
      </c>
      <c r="DQ80" s="72">
        <v>0</v>
      </c>
      <c r="DR80" s="72">
        <v>0</v>
      </c>
      <c r="DS80" s="72">
        <v>0</v>
      </c>
      <c r="DT80" s="72">
        <v>0</v>
      </c>
      <c r="DU80" s="72">
        <v>0</v>
      </c>
      <c r="DV80" s="72">
        <v>0</v>
      </c>
      <c r="DW80" s="72">
        <v>0</v>
      </c>
      <c r="DX80" s="72">
        <v>0</v>
      </c>
      <c r="DY80" s="72">
        <v>0</v>
      </c>
      <c r="DZ80" s="72">
        <v>0</v>
      </c>
      <c r="EA80" s="72">
        <v>0</v>
      </c>
      <c r="EB80" s="72">
        <v>0</v>
      </c>
      <c r="EC80" s="72">
        <v>0</v>
      </c>
      <c r="ED80" s="72">
        <v>0</v>
      </c>
      <c r="EE80" s="72">
        <v>0</v>
      </c>
      <c r="EF80" s="72">
        <v>0</v>
      </c>
      <c r="EG80" s="72">
        <v>0</v>
      </c>
      <c r="EH80" s="72">
        <v>0</v>
      </c>
      <c r="EI80" s="72">
        <v>0</v>
      </c>
      <c r="EJ80" s="72">
        <v>0</v>
      </c>
      <c r="EK80" s="72">
        <v>0</v>
      </c>
      <c r="EL80" s="72">
        <v>0</v>
      </c>
    </row>
    <row r="81" spans="1:142" s="6" customFormat="1" x14ac:dyDescent="0.35">
      <c r="A81" s="59">
        <f>Данные!A81</f>
        <v>4848</v>
      </c>
      <c r="B81" s="59">
        <f>Данные!B81</f>
        <v>2018</v>
      </c>
      <c r="C81" s="59" t="str">
        <f>Данные!C81</f>
        <v>компьютерных технологий и электронного обучения</v>
      </c>
      <c r="D81" s="59" t="str">
        <f>Данные!D81</f>
        <v>Авксентьева Елена Юрьевна</v>
      </c>
      <c r="E81" s="59" t="str">
        <f>Данные!E81</f>
        <v>кандидат педагогических наук</v>
      </c>
      <c r="F81" s="59" t="str">
        <f>Данные!F81</f>
        <v>доцент</v>
      </c>
      <c r="G81" s="59">
        <f>Данные!G81</f>
        <v>1</v>
      </c>
      <c r="H81" s="59">
        <f>Данные!H81</f>
        <v>17231</v>
      </c>
      <c r="I81" s="59" t="str">
        <f>Данные!I81</f>
        <v>Модуль "Информационные ресурсы и средства профессиональной деятельности инженера". Информационные средства и технологии инженерных и научных расчетов</v>
      </c>
      <c r="J81" s="59">
        <f>Данные!J81</f>
        <v>12</v>
      </c>
      <c r="K81" s="59">
        <f>Данные!K81</f>
        <v>0</v>
      </c>
      <c r="L81" s="59">
        <f>Данные!L81</f>
        <v>22</v>
      </c>
      <c r="M81" s="60">
        <f t="shared" si="9"/>
        <v>3.4</v>
      </c>
      <c r="N81" s="60">
        <f t="shared" ca="1" si="10"/>
        <v>6.29</v>
      </c>
      <c r="O81" s="60">
        <f t="shared" ca="1" si="11"/>
        <v>3.25</v>
      </c>
      <c r="P81" s="60">
        <f t="shared" ca="1" si="12"/>
        <v>3.25</v>
      </c>
      <c r="Q81" s="54">
        <f>Данные!Q81</f>
        <v>0</v>
      </c>
      <c r="R81" s="54">
        <f>Данные!R81</f>
        <v>0</v>
      </c>
      <c r="S81" s="54">
        <f>Данные!S81</f>
        <v>0</v>
      </c>
      <c r="T81" s="54">
        <f>Данные!T81</f>
        <v>0</v>
      </c>
      <c r="U81" s="54">
        <f>Данные!U81</f>
        <v>0</v>
      </c>
      <c r="V81" s="54">
        <f>Данные!V81</f>
        <v>0</v>
      </c>
      <c r="W81" s="54">
        <f ca="1">Данные!W81</f>
        <v>13</v>
      </c>
      <c r="X81" s="54" t="str">
        <f ca="1">Данные!X81</f>
        <v>1</v>
      </c>
      <c r="Y81" s="54" t="str">
        <f ca="1">Данные!Y81</f>
        <v>1</v>
      </c>
      <c r="Z81" s="54">
        <f>Данные!Z81</f>
        <v>0</v>
      </c>
      <c r="AA81" s="54" t="str">
        <f>Данные!AA81</f>
        <v>доп</v>
      </c>
      <c r="AB81" s="101">
        <f t="shared" si="13"/>
        <v>800</v>
      </c>
      <c r="AC81" s="101" t="str">
        <f t="shared" si="14"/>
        <v>ИВТ (бак)</v>
      </c>
      <c r="AD81" s="101" t="str">
        <f t="shared" si="15"/>
        <v/>
      </c>
      <c r="AE81" s="102">
        <f t="shared" ca="1" si="16"/>
        <v>50.19</v>
      </c>
      <c r="AF81" s="103">
        <f t="shared" ca="1" si="17"/>
        <v>6.2737500000000002E-2</v>
      </c>
      <c r="AG81" s="101"/>
      <c r="AH81" s="101"/>
      <c r="AI81"/>
      <c r="BM81"/>
      <c r="BN81"/>
      <c r="BO81"/>
      <c r="BQ81" s="72">
        <v>0</v>
      </c>
      <c r="BR81" s="72">
        <v>0</v>
      </c>
      <c r="BS81" s="72">
        <v>0</v>
      </c>
      <c r="BT81" s="72">
        <v>0</v>
      </c>
      <c r="BU81" s="72">
        <v>0</v>
      </c>
      <c r="BV81" s="72">
        <v>0</v>
      </c>
      <c r="BW81" s="72">
        <v>0</v>
      </c>
      <c r="BX81" s="72">
        <v>0</v>
      </c>
      <c r="BY81" s="72">
        <v>0</v>
      </c>
      <c r="BZ81" s="72">
        <v>0</v>
      </c>
      <c r="CA81" s="72">
        <v>0</v>
      </c>
      <c r="CB81" s="72">
        <v>0</v>
      </c>
      <c r="CC81" s="72">
        <v>0</v>
      </c>
      <c r="CD81" s="72">
        <v>0</v>
      </c>
      <c r="CE81" s="72">
        <v>0</v>
      </c>
      <c r="CF81" s="72">
        <v>0</v>
      </c>
      <c r="CG81" s="72">
        <v>0</v>
      </c>
      <c r="CH81" s="72">
        <v>0</v>
      </c>
      <c r="CI81" s="72">
        <v>0</v>
      </c>
      <c r="CJ81" s="72">
        <v>0</v>
      </c>
      <c r="CK81" s="72">
        <v>0</v>
      </c>
      <c r="CL81" s="72">
        <v>0</v>
      </c>
      <c r="CM81" s="72">
        <v>0</v>
      </c>
      <c r="CN81" s="72">
        <v>0</v>
      </c>
      <c r="CO81" s="72">
        <v>0</v>
      </c>
      <c r="CP81" s="72">
        <v>0</v>
      </c>
      <c r="CQ81" s="72">
        <v>0</v>
      </c>
      <c r="CR81" s="72">
        <v>0</v>
      </c>
      <c r="CS81" s="72">
        <v>0</v>
      </c>
      <c r="CT81" s="72">
        <v>0</v>
      </c>
      <c r="CU81" s="72">
        <v>0</v>
      </c>
      <c r="CV81" s="72">
        <v>0</v>
      </c>
      <c r="CW81" s="72">
        <v>0</v>
      </c>
      <c r="CX81" s="72">
        <v>0</v>
      </c>
      <c r="CY81" s="72">
        <v>0</v>
      </c>
      <c r="CZ81" s="72">
        <v>0</v>
      </c>
      <c r="DA81" s="72">
        <v>0</v>
      </c>
      <c r="DB81" s="72">
        <v>0</v>
      </c>
      <c r="DC81" s="72">
        <v>0</v>
      </c>
      <c r="DD81" s="72">
        <v>0</v>
      </c>
      <c r="DE81" s="72">
        <v>0</v>
      </c>
      <c r="DF81" s="72">
        <v>0</v>
      </c>
      <c r="DG81" s="72">
        <v>0</v>
      </c>
      <c r="DH81" s="72">
        <v>0</v>
      </c>
      <c r="DI81" s="72">
        <v>0</v>
      </c>
      <c r="DJ81" s="72">
        <v>0</v>
      </c>
      <c r="DK81" s="72">
        <v>0</v>
      </c>
      <c r="DL81" s="72">
        <v>0</v>
      </c>
      <c r="DM81" s="72">
        <v>0</v>
      </c>
      <c r="DN81" s="72">
        <v>0</v>
      </c>
      <c r="DO81" s="72">
        <v>0</v>
      </c>
      <c r="DP81" s="72">
        <v>0</v>
      </c>
      <c r="DQ81" s="72">
        <v>0</v>
      </c>
      <c r="DR81" s="72">
        <v>0</v>
      </c>
      <c r="DS81" s="72">
        <v>0</v>
      </c>
      <c r="DT81" s="72">
        <v>0</v>
      </c>
      <c r="DU81" s="72">
        <v>0</v>
      </c>
      <c r="DV81" s="72">
        <v>0</v>
      </c>
      <c r="DW81" s="72">
        <v>0</v>
      </c>
      <c r="DX81" s="72">
        <v>0</v>
      </c>
      <c r="DY81" s="72">
        <v>0</v>
      </c>
      <c r="DZ81" s="72">
        <v>0</v>
      </c>
      <c r="EA81" s="72">
        <v>0</v>
      </c>
      <c r="EB81" s="72">
        <v>0</v>
      </c>
      <c r="EC81" s="72">
        <v>0</v>
      </c>
      <c r="ED81" s="72">
        <v>0</v>
      </c>
      <c r="EE81" s="72">
        <v>0</v>
      </c>
      <c r="EF81" s="72">
        <v>0</v>
      </c>
      <c r="EG81" s="72">
        <v>0</v>
      </c>
      <c r="EH81" s="72">
        <v>0</v>
      </c>
      <c r="EI81" s="72">
        <v>0</v>
      </c>
      <c r="EJ81" s="72">
        <v>0</v>
      </c>
      <c r="EK81" s="72">
        <v>0</v>
      </c>
      <c r="EL81" s="72">
        <v>0</v>
      </c>
    </row>
    <row r="82" spans="1:142" s="6" customFormat="1" x14ac:dyDescent="0.35">
      <c r="A82" s="59">
        <f>Данные!A82</f>
        <v>4848</v>
      </c>
      <c r="B82" s="59">
        <f>Данные!B82</f>
        <v>2018</v>
      </c>
      <c r="C82" s="59" t="str">
        <f>Данные!C82</f>
        <v>компьютерных технологий и электронного обучения</v>
      </c>
      <c r="D82" s="59" t="str">
        <f>Данные!D82</f>
        <v>Авксентьева Елена Юрьевна</v>
      </c>
      <c r="E82" s="59" t="str">
        <f>Данные!E82</f>
        <v>кандидат педагогических наук</v>
      </c>
      <c r="F82" s="59" t="str">
        <f>Данные!F82</f>
        <v>доцент</v>
      </c>
      <c r="G82" s="59">
        <f>Данные!G82</f>
        <v>1</v>
      </c>
      <c r="H82" s="59">
        <f>Данные!H82</f>
        <v>17231</v>
      </c>
      <c r="I82" s="59" t="str">
        <f>Данные!I82</f>
        <v>Модуль "Информационные системы"</v>
      </c>
      <c r="J82" s="59">
        <f>Данные!J82</f>
        <v>0</v>
      </c>
      <c r="K82" s="59">
        <f>Данные!K82</f>
        <v>0</v>
      </c>
      <c r="L82" s="59">
        <f>Данные!L82</f>
        <v>0</v>
      </c>
      <c r="M82" s="60">
        <f t="shared" si="9"/>
        <v>0</v>
      </c>
      <c r="N82" s="60">
        <f t="shared" ca="1" si="10"/>
        <v>6.29</v>
      </c>
      <c r="O82" s="60">
        <f t="shared" ca="1" si="11"/>
        <v>3.25</v>
      </c>
      <c r="P82" s="60">
        <f t="shared" ca="1" si="12"/>
        <v>3.25</v>
      </c>
      <c r="Q82" s="54">
        <f>Данные!Q82</f>
        <v>0</v>
      </c>
      <c r="R82" s="54">
        <f>Данные!R82</f>
        <v>0</v>
      </c>
      <c r="S82" s="54">
        <f>Данные!S82</f>
        <v>0</v>
      </c>
      <c r="T82" s="54">
        <f>Данные!T82</f>
        <v>0</v>
      </c>
      <c r="U82" s="54">
        <f>Данные!U82</f>
        <v>0</v>
      </c>
      <c r="V82" s="54">
        <f>Данные!V82</f>
        <v>0</v>
      </c>
      <c r="W82" s="54">
        <f ca="1">Данные!W82</f>
        <v>13</v>
      </c>
      <c r="X82" s="54" t="str">
        <f ca="1">Данные!X82</f>
        <v>1</v>
      </c>
      <c r="Y82" s="54" t="str">
        <f ca="1">Данные!Y82</f>
        <v>1</v>
      </c>
      <c r="Z82" s="54">
        <f>Данные!Z82</f>
        <v>0</v>
      </c>
      <c r="AA82" s="54" t="str">
        <f>Данные!AA82</f>
        <v>осн</v>
      </c>
      <c r="AB82" s="101">
        <f t="shared" si="13"/>
        <v>800</v>
      </c>
      <c r="AC82" s="101" t="str">
        <f t="shared" si="14"/>
        <v>ИВТ (бак)</v>
      </c>
      <c r="AD82" s="101" t="str">
        <f t="shared" si="15"/>
        <v/>
      </c>
      <c r="AE82" s="102">
        <f t="shared" ca="1" si="16"/>
        <v>12.79</v>
      </c>
      <c r="AF82" s="103">
        <f t="shared" ca="1" si="17"/>
        <v>1.5987499999999998E-2</v>
      </c>
      <c r="AG82" s="101"/>
      <c r="AH82" s="101"/>
      <c r="AI82"/>
      <c r="BM82"/>
      <c r="BN82"/>
      <c r="BO82"/>
      <c r="BQ82" s="72">
        <v>0</v>
      </c>
      <c r="BR82" s="72">
        <v>0</v>
      </c>
      <c r="BS82" s="72">
        <v>0</v>
      </c>
      <c r="BT82" s="72">
        <v>0</v>
      </c>
      <c r="BU82" s="72">
        <v>0</v>
      </c>
      <c r="BV82" s="72">
        <v>0</v>
      </c>
      <c r="BW82" s="72">
        <v>0</v>
      </c>
      <c r="BX82" s="72">
        <v>0</v>
      </c>
      <c r="BY82" s="72">
        <v>0</v>
      </c>
      <c r="BZ82" s="72">
        <v>0</v>
      </c>
      <c r="CA82" s="72">
        <v>0</v>
      </c>
      <c r="CB82" s="72">
        <v>0</v>
      </c>
      <c r="CC82" s="72">
        <v>0</v>
      </c>
      <c r="CD82" s="72">
        <v>0</v>
      </c>
      <c r="CE82" s="72">
        <v>0</v>
      </c>
      <c r="CF82" s="72">
        <v>0</v>
      </c>
      <c r="CG82" s="72">
        <v>0</v>
      </c>
      <c r="CH82" s="72">
        <v>0</v>
      </c>
      <c r="CI82" s="72">
        <v>0</v>
      </c>
      <c r="CJ82" s="72">
        <v>0</v>
      </c>
      <c r="CK82" s="72">
        <v>0</v>
      </c>
      <c r="CL82" s="72">
        <v>0</v>
      </c>
      <c r="CM82" s="72">
        <v>0</v>
      </c>
      <c r="CN82" s="72">
        <v>0</v>
      </c>
      <c r="CO82" s="72">
        <v>0</v>
      </c>
      <c r="CP82" s="72">
        <v>0</v>
      </c>
      <c r="CQ82" s="72">
        <v>0</v>
      </c>
      <c r="CR82" s="72">
        <v>0</v>
      </c>
      <c r="CS82" s="72">
        <v>0</v>
      </c>
      <c r="CT82" s="72">
        <v>0</v>
      </c>
      <c r="CU82" s="72">
        <v>0</v>
      </c>
      <c r="CV82" s="72">
        <v>0</v>
      </c>
      <c r="CW82" s="72">
        <v>0</v>
      </c>
      <c r="CX82" s="72">
        <v>0</v>
      </c>
      <c r="CY82" s="72">
        <v>0</v>
      </c>
      <c r="CZ82" s="72">
        <v>0</v>
      </c>
      <c r="DA82" s="72">
        <v>0</v>
      </c>
      <c r="DB82" s="72">
        <v>0</v>
      </c>
      <c r="DC82" s="72">
        <v>0</v>
      </c>
      <c r="DD82" s="72">
        <v>0</v>
      </c>
      <c r="DE82" s="72">
        <v>0</v>
      </c>
      <c r="DF82" s="72">
        <v>0</v>
      </c>
      <c r="DG82" s="72">
        <v>0</v>
      </c>
      <c r="DH82" s="72">
        <v>0</v>
      </c>
      <c r="DI82" s="72">
        <v>0</v>
      </c>
      <c r="DJ82" s="72">
        <v>0</v>
      </c>
      <c r="DK82" s="72">
        <v>0</v>
      </c>
      <c r="DL82" s="72">
        <v>0</v>
      </c>
      <c r="DM82" s="72">
        <v>0</v>
      </c>
      <c r="DN82" s="72">
        <v>0</v>
      </c>
      <c r="DO82" s="72">
        <v>0</v>
      </c>
      <c r="DP82" s="72">
        <v>0</v>
      </c>
      <c r="DQ82" s="72">
        <v>0</v>
      </c>
      <c r="DR82" s="72">
        <v>0</v>
      </c>
      <c r="DS82" s="72">
        <v>0</v>
      </c>
      <c r="DT82" s="72">
        <v>0</v>
      </c>
      <c r="DU82" s="72">
        <v>0</v>
      </c>
      <c r="DV82" s="72">
        <v>0</v>
      </c>
      <c r="DW82" s="72">
        <v>0</v>
      </c>
      <c r="DX82" s="72">
        <v>0</v>
      </c>
      <c r="DY82" s="72">
        <v>0</v>
      </c>
      <c r="DZ82" s="72">
        <v>0</v>
      </c>
      <c r="EA82" s="72">
        <v>0</v>
      </c>
      <c r="EB82" s="72">
        <v>0</v>
      </c>
      <c r="EC82" s="72">
        <v>0</v>
      </c>
      <c r="ED82" s="72">
        <v>0</v>
      </c>
      <c r="EE82" s="72">
        <v>0</v>
      </c>
      <c r="EF82" s="72">
        <v>0</v>
      </c>
      <c r="EG82" s="72">
        <v>0</v>
      </c>
      <c r="EH82" s="72">
        <v>0</v>
      </c>
      <c r="EI82" s="72">
        <v>0</v>
      </c>
      <c r="EJ82" s="72">
        <v>0</v>
      </c>
      <c r="EK82" s="72">
        <v>0</v>
      </c>
      <c r="EL82" s="72">
        <v>0</v>
      </c>
    </row>
    <row r="83" spans="1:142" s="6" customFormat="1" x14ac:dyDescent="0.35">
      <c r="A83" s="59">
        <f>Данные!A83</f>
        <v>4848</v>
      </c>
      <c r="B83" s="59">
        <f>Данные!B83</f>
        <v>2018</v>
      </c>
      <c r="C83" s="59" t="str">
        <f>Данные!C83</f>
        <v>компьютерных технологий и электронного обучения</v>
      </c>
      <c r="D83" s="59" t="str">
        <f>Данные!D83</f>
        <v>Авксентьева Елена Юрьевна</v>
      </c>
      <c r="E83" s="59" t="str">
        <f>Данные!E83</f>
        <v>кандидат педагогических наук</v>
      </c>
      <c r="F83" s="59" t="str">
        <f>Данные!F83</f>
        <v>доцент</v>
      </c>
      <c r="G83" s="59">
        <f>Данные!G83</f>
        <v>1</v>
      </c>
      <c r="H83" s="59">
        <f>Данные!H83</f>
        <v>17231</v>
      </c>
      <c r="I83" s="59" t="str">
        <f>Данные!I83</f>
        <v>Модуль "Информационные системы". Интеллектуальные системы</v>
      </c>
      <c r="J83" s="59">
        <f>Данные!J83</f>
        <v>9</v>
      </c>
      <c r="K83" s="59">
        <f>Данные!K83</f>
        <v>0</v>
      </c>
      <c r="L83" s="59">
        <f>Данные!L83</f>
        <v>21</v>
      </c>
      <c r="M83" s="60">
        <f t="shared" si="9"/>
        <v>3</v>
      </c>
      <c r="N83" s="60">
        <f t="shared" ca="1" si="10"/>
        <v>6.29</v>
      </c>
      <c r="O83" s="60">
        <f t="shared" ca="1" si="11"/>
        <v>3.25</v>
      </c>
      <c r="P83" s="60">
        <f t="shared" ca="1" si="12"/>
        <v>3.25</v>
      </c>
      <c r="Q83" s="54">
        <f>Данные!Q83</f>
        <v>0</v>
      </c>
      <c r="R83" s="54">
        <f>Данные!R83</f>
        <v>0</v>
      </c>
      <c r="S83" s="54">
        <f>Данные!S83</f>
        <v>0</v>
      </c>
      <c r="T83" s="54">
        <f>Данные!T83</f>
        <v>0</v>
      </c>
      <c r="U83" s="54">
        <f>Данные!U83</f>
        <v>0</v>
      </c>
      <c r="V83" s="54">
        <f>Данные!V83</f>
        <v>0</v>
      </c>
      <c r="W83" s="54">
        <f ca="1">Данные!W83</f>
        <v>13</v>
      </c>
      <c r="X83" s="54" t="str">
        <f ca="1">Данные!X83</f>
        <v>1</v>
      </c>
      <c r="Y83" s="54" t="str">
        <f ca="1">Данные!Y83</f>
        <v>1</v>
      </c>
      <c r="Z83" s="54">
        <f>Данные!Z83</f>
        <v>0</v>
      </c>
      <c r="AA83" s="54" t="str">
        <f>Данные!AA83</f>
        <v>осн</v>
      </c>
      <c r="AB83" s="101">
        <f t="shared" si="13"/>
        <v>800</v>
      </c>
      <c r="AC83" s="101" t="str">
        <f t="shared" si="14"/>
        <v>ИВТ (бак)</v>
      </c>
      <c r="AD83" s="101" t="str">
        <f t="shared" si="15"/>
        <v/>
      </c>
      <c r="AE83" s="102">
        <f t="shared" ca="1" si="16"/>
        <v>45.79</v>
      </c>
      <c r="AF83" s="103">
        <f t="shared" ca="1" si="17"/>
        <v>5.7237499999999997E-2</v>
      </c>
      <c r="AG83" s="101"/>
      <c r="AH83" s="101"/>
      <c r="AI83"/>
      <c r="BM83"/>
      <c r="BN83"/>
      <c r="BO83"/>
      <c r="BQ83" s="72">
        <v>0</v>
      </c>
      <c r="BR83" s="72">
        <v>0</v>
      </c>
      <c r="BS83" s="72">
        <v>0</v>
      </c>
      <c r="BT83" s="72">
        <v>0</v>
      </c>
      <c r="BU83" s="72">
        <v>0</v>
      </c>
      <c r="BV83" s="72">
        <v>0</v>
      </c>
      <c r="BW83" s="72">
        <v>0</v>
      </c>
      <c r="BX83" s="72">
        <v>0</v>
      </c>
      <c r="BY83" s="72">
        <v>0</v>
      </c>
      <c r="BZ83" s="72">
        <v>0</v>
      </c>
      <c r="CA83" s="72">
        <v>0</v>
      </c>
      <c r="CB83" s="72">
        <v>0</v>
      </c>
      <c r="CC83" s="72">
        <v>0</v>
      </c>
      <c r="CD83" s="72">
        <v>0</v>
      </c>
      <c r="CE83" s="72">
        <v>0</v>
      </c>
      <c r="CF83" s="72">
        <v>0</v>
      </c>
      <c r="CG83" s="72">
        <v>0</v>
      </c>
      <c r="CH83" s="72">
        <v>0</v>
      </c>
      <c r="CI83" s="72">
        <v>0</v>
      </c>
      <c r="CJ83" s="72">
        <v>0</v>
      </c>
      <c r="CK83" s="72">
        <v>0</v>
      </c>
      <c r="CL83" s="72">
        <v>0</v>
      </c>
      <c r="CM83" s="72">
        <v>0</v>
      </c>
      <c r="CN83" s="72">
        <v>0</v>
      </c>
      <c r="CO83" s="72">
        <v>0</v>
      </c>
      <c r="CP83" s="72">
        <v>0</v>
      </c>
      <c r="CQ83" s="72">
        <v>0</v>
      </c>
      <c r="CR83" s="72">
        <v>0</v>
      </c>
      <c r="CS83" s="72">
        <v>0</v>
      </c>
      <c r="CT83" s="72">
        <v>0</v>
      </c>
      <c r="CU83" s="72">
        <v>0</v>
      </c>
      <c r="CV83" s="72">
        <v>0</v>
      </c>
      <c r="CW83" s="72">
        <v>0</v>
      </c>
      <c r="CX83" s="72">
        <v>0</v>
      </c>
      <c r="CY83" s="72">
        <v>0</v>
      </c>
      <c r="CZ83" s="72">
        <v>0</v>
      </c>
      <c r="DA83" s="72">
        <v>0</v>
      </c>
      <c r="DB83" s="72">
        <v>0</v>
      </c>
      <c r="DC83" s="72">
        <v>0</v>
      </c>
      <c r="DD83" s="72">
        <v>0</v>
      </c>
      <c r="DE83" s="72">
        <v>0</v>
      </c>
      <c r="DF83" s="72">
        <v>0</v>
      </c>
      <c r="DG83" s="72">
        <v>0</v>
      </c>
      <c r="DH83" s="72">
        <v>0</v>
      </c>
      <c r="DI83" s="72">
        <v>0</v>
      </c>
      <c r="DJ83" s="72">
        <v>0</v>
      </c>
      <c r="DK83" s="72">
        <v>0</v>
      </c>
      <c r="DL83" s="72">
        <v>0</v>
      </c>
      <c r="DM83" s="72">
        <v>0</v>
      </c>
      <c r="DN83" s="72">
        <v>0</v>
      </c>
      <c r="DO83" s="72">
        <v>0</v>
      </c>
      <c r="DP83" s="72">
        <v>0</v>
      </c>
      <c r="DQ83" s="72">
        <v>0</v>
      </c>
      <c r="DR83" s="72">
        <v>0</v>
      </c>
      <c r="DS83" s="72">
        <v>0</v>
      </c>
      <c r="DT83" s="72">
        <v>0</v>
      </c>
      <c r="DU83" s="72">
        <v>0</v>
      </c>
      <c r="DV83" s="72">
        <v>0</v>
      </c>
      <c r="DW83" s="72">
        <v>0</v>
      </c>
      <c r="DX83" s="72">
        <v>0</v>
      </c>
      <c r="DY83" s="72">
        <v>0</v>
      </c>
      <c r="DZ83" s="72">
        <v>0</v>
      </c>
      <c r="EA83" s="72">
        <v>0</v>
      </c>
      <c r="EB83" s="72">
        <v>0</v>
      </c>
      <c r="EC83" s="72">
        <v>0</v>
      </c>
      <c r="ED83" s="72">
        <v>0</v>
      </c>
      <c r="EE83" s="72">
        <v>0</v>
      </c>
      <c r="EF83" s="72">
        <v>0</v>
      </c>
      <c r="EG83" s="72">
        <v>0</v>
      </c>
      <c r="EH83" s="72">
        <v>0</v>
      </c>
      <c r="EI83" s="72">
        <v>0</v>
      </c>
      <c r="EJ83" s="72">
        <v>0</v>
      </c>
      <c r="EK83" s="72">
        <v>0</v>
      </c>
      <c r="EL83" s="72">
        <v>0</v>
      </c>
    </row>
    <row r="84" spans="1:142" s="6" customFormat="1" x14ac:dyDescent="0.35">
      <c r="A84" s="59">
        <f>Данные!A84</f>
        <v>4848</v>
      </c>
      <c r="B84" s="59">
        <f>Данные!B84</f>
        <v>2018</v>
      </c>
      <c r="C84" s="59" t="str">
        <f>Данные!C84</f>
        <v>компьютерных технологий и электронного обучения</v>
      </c>
      <c r="D84" s="59" t="str">
        <f>Данные!D84</f>
        <v>Авксентьева Елена Юрьевна</v>
      </c>
      <c r="E84" s="59" t="str">
        <f>Данные!E84</f>
        <v>кандидат педагогических наук</v>
      </c>
      <c r="F84" s="59" t="str">
        <f>Данные!F84</f>
        <v>доцент</v>
      </c>
      <c r="G84" s="59">
        <f>Данные!G84</f>
        <v>1</v>
      </c>
      <c r="H84" s="59">
        <f>Данные!H84</f>
        <v>17231</v>
      </c>
      <c r="I84" s="59" t="str">
        <f>Данные!I84</f>
        <v>Руководство ВКР</v>
      </c>
      <c r="J84" s="59">
        <f>Данные!J84</f>
        <v>0</v>
      </c>
      <c r="K84" s="59">
        <f>Данные!K84</f>
        <v>0</v>
      </c>
      <c r="L84" s="59">
        <f>Данные!L84</f>
        <v>0</v>
      </c>
      <c r="M84" s="60">
        <f t="shared" si="9"/>
        <v>0</v>
      </c>
      <c r="N84" s="60">
        <f t="shared" ca="1" si="10"/>
        <v>6.29</v>
      </c>
      <c r="O84" s="60">
        <f t="shared" ca="1" si="11"/>
        <v>3.25</v>
      </c>
      <c r="P84" s="60">
        <f t="shared" ca="1" si="12"/>
        <v>3.25</v>
      </c>
      <c r="Q84" s="54">
        <f>Данные!Q84</f>
        <v>0</v>
      </c>
      <c r="R84" s="54">
        <f>Данные!R84</f>
        <v>0</v>
      </c>
      <c r="S84" s="54">
        <f>Данные!S84</f>
        <v>0</v>
      </c>
      <c r="T84" s="54">
        <f>Данные!T84</f>
        <v>0</v>
      </c>
      <c r="U84" s="54">
        <f>Данные!U84</f>
        <v>0</v>
      </c>
      <c r="V84" s="54">
        <f>Данные!V84</f>
        <v>0</v>
      </c>
      <c r="W84" s="54">
        <f ca="1">Данные!W84</f>
        <v>13</v>
      </c>
      <c r="X84" s="54" t="str">
        <f ca="1">Данные!X84</f>
        <v>1</v>
      </c>
      <c r="Y84" s="54" t="str">
        <f ca="1">Данные!Y84</f>
        <v>1</v>
      </c>
      <c r="Z84" s="54">
        <f>Данные!Z84</f>
        <v>0</v>
      </c>
      <c r="AA84" s="54" t="str">
        <f>Данные!AA84</f>
        <v>осн</v>
      </c>
      <c r="AB84" s="101">
        <f t="shared" si="13"/>
        <v>800</v>
      </c>
      <c r="AC84" s="101" t="str">
        <f t="shared" si="14"/>
        <v>ИВТ (бак)</v>
      </c>
      <c r="AD84" s="101" t="str">
        <f t="shared" si="15"/>
        <v/>
      </c>
      <c r="AE84" s="102">
        <f t="shared" ca="1" si="16"/>
        <v>12.79</v>
      </c>
      <c r="AF84" s="103">
        <f t="shared" ca="1" si="17"/>
        <v>1.5987499999999998E-2</v>
      </c>
      <c r="AG84" s="101"/>
      <c r="AH84" s="101"/>
      <c r="AI84"/>
      <c r="BM84"/>
      <c r="BN84"/>
      <c r="BO84"/>
      <c r="BQ84" s="72">
        <v>0</v>
      </c>
      <c r="BR84" s="72">
        <v>0</v>
      </c>
      <c r="BS84" s="72">
        <v>0</v>
      </c>
      <c r="BT84" s="72">
        <v>0</v>
      </c>
      <c r="BU84" s="72">
        <v>0</v>
      </c>
      <c r="BV84" s="72">
        <v>0</v>
      </c>
      <c r="BW84" s="72">
        <v>0</v>
      </c>
      <c r="BX84" s="72">
        <v>0</v>
      </c>
      <c r="BY84" s="72">
        <v>0</v>
      </c>
      <c r="BZ84" s="72">
        <v>0</v>
      </c>
      <c r="CA84" s="72">
        <v>0</v>
      </c>
      <c r="CB84" s="72">
        <v>0</v>
      </c>
      <c r="CC84" s="72">
        <v>0</v>
      </c>
      <c r="CD84" s="72">
        <v>0</v>
      </c>
      <c r="CE84" s="72">
        <v>0</v>
      </c>
      <c r="CF84" s="72">
        <v>0</v>
      </c>
      <c r="CG84" s="72">
        <v>0</v>
      </c>
      <c r="CH84" s="72">
        <v>0</v>
      </c>
      <c r="CI84" s="72">
        <v>0</v>
      </c>
      <c r="CJ84" s="72">
        <v>0</v>
      </c>
      <c r="CK84" s="72">
        <v>0</v>
      </c>
      <c r="CL84" s="72">
        <v>0</v>
      </c>
      <c r="CM84" s="72">
        <v>0</v>
      </c>
      <c r="CN84" s="72">
        <v>0</v>
      </c>
      <c r="CO84" s="72">
        <v>0</v>
      </c>
      <c r="CP84" s="72">
        <v>0</v>
      </c>
      <c r="CQ84" s="72">
        <v>0</v>
      </c>
      <c r="CR84" s="72">
        <v>0</v>
      </c>
      <c r="CS84" s="72">
        <v>0</v>
      </c>
      <c r="CT84" s="72">
        <v>0</v>
      </c>
      <c r="CU84" s="72">
        <v>0</v>
      </c>
      <c r="CV84" s="72">
        <v>0</v>
      </c>
      <c r="CW84" s="72">
        <v>0</v>
      </c>
      <c r="CX84" s="72">
        <v>0</v>
      </c>
      <c r="CY84" s="72">
        <v>0</v>
      </c>
      <c r="CZ84" s="72">
        <v>0</v>
      </c>
      <c r="DA84" s="72">
        <v>0</v>
      </c>
      <c r="DB84" s="72">
        <v>0</v>
      </c>
      <c r="DC84" s="72">
        <v>0</v>
      </c>
      <c r="DD84" s="72">
        <v>0</v>
      </c>
      <c r="DE84" s="72">
        <v>0</v>
      </c>
      <c r="DF84" s="72">
        <v>0</v>
      </c>
      <c r="DG84" s="72">
        <v>0</v>
      </c>
      <c r="DH84" s="72">
        <v>0</v>
      </c>
      <c r="DI84" s="72">
        <v>0</v>
      </c>
      <c r="DJ84" s="72">
        <v>0</v>
      </c>
      <c r="DK84" s="72">
        <v>0</v>
      </c>
      <c r="DL84" s="72">
        <v>0</v>
      </c>
      <c r="DM84" s="72">
        <v>0</v>
      </c>
      <c r="DN84" s="72">
        <v>0</v>
      </c>
      <c r="DO84" s="72">
        <v>0</v>
      </c>
      <c r="DP84" s="72">
        <v>0</v>
      </c>
      <c r="DQ84" s="72">
        <v>0</v>
      </c>
      <c r="DR84" s="72">
        <v>0</v>
      </c>
      <c r="DS84" s="72">
        <v>0</v>
      </c>
      <c r="DT84" s="72">
        <v>0</v>
      </c>
      <c r="DU84" s="72">
        <v>0</v>
      </c>
      <c r="DV84" s="72">
        <v>0</v>
      </c>
      <c r="DW84" s="72">
        <v>0</v>
      </c>
      <c r="DX84" s="72">
        <v>0</v>
      </c>
      <c r="DY84" s="72">
        <v>0</v>
      </c>
      <c r="DZ84" s="72">
        <v>0</v>
      </c>
      <c r="EA84" s="72">
        <v>0</v>
      </c>
      <c r="EB84" s="72">
        <v>0</v>
      </c>
      <c r="EC84" s="72">
        <v>0</v>
      </c>
      <c r="ED84" s="72">
        <v>0</v>
      </c>
      <c r="EE84" s="72">
        <v>0</v>
      </c>
      <c r="EF84" s="72">
        <v>0</v>
      </c>
      <c r="EG84" s="72">
        <v>0</v>
      </c>
      <c r="EH84" s="72">
        <v>0</v>
      </c>
      <c r="EI84" s="72">
        <v>0</v>
      </c>
      <c r="EJ84" s="72">
        <v>0</v>
      </c>
      <c r="EK84" s="72">
        <v>0</v>
      </c>
      <c r="EL84" s="72">
        <v>0</v>
      </c>
    </row>
    <row r="85" spans="1:142" s="6" customFormat="1" x14ac:dyDescent="0.35">
      <c r="A85" s="59">
        <f>Данные!A85</f>
        <v>4848</v>
      </c>
      <c r="B85" s="59">
        <f>Данные!B85</f>
        <v>2018</v>
      </c>
      <c r="C85" s="59" t="str">
        <f>Данные!C85</f>
        <v>компьютерных технологий и электронного обучения</v>
      </c>
      <c r="D85" s="59" t="str">
        <f>Данные!D85</f>
        <v>Авксентьева Елена Юрьевна</v>
      </c>
      <c r="E85" s="59" t="str">
        <f>Данные!E85</f>
        <v>кандидат педагогических наук</v>
      </c>
      <c r="F85" s="59" t="str">
        <f>Данные!F85</f>
        <v>доцент</v>
      </c>
      <c r="G85" s="59">
        <f>Данные!G85</f>
        <v>1</v>
      </c>
      <c r="H85" s="59">
        <f>Данные!H85</f>
        <v>17231</v>
      </c>
      <c r="I85" s="59" t="str">
        <f>Данные!I85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85" s="59">
        <f>Данные!J85</f>
        <v>0</v>
      </c>
      <c r="K85" s="59">
        <f>Данные!K85</f>
        <v>0</v>
      </c>
      <c r="L85" s="59">
        <f>Данные!L85</f>
        <v>0</v>
      </c>
      <c r="M85" s="60">
        <f t="shared" si="9"/>
        <v>0</v>
      </c>
      <c r="N85" s="60">
        <f t="shared" ca="1" si="10"/>
        <v>6.29</v>
      </c>
      <c r="O85" s="60">
        <f t="shared" ca="1" si="11"/>
        <v>3.25</v>
      </c>
      <c r="P85" s="60">
        <f t="shared" ca="1" si="12"/>
        <v>3.25</v>
      </c>
      <c r="Q85" s="54">
        <f>Данные!Q85</f>
        <v>0</v>
      </c>
      <c r="R85" s="54">
        <f>Данные!R85</f>
        <v>0</v>
      </c>
      <c r="S85" s="54">
        <f>Данные!S85</f>
        <v>0</v>
      </c>
      <c r="T85" s="54">
        <f>Данные!T85</f>
        <v>0</v>
      </c>
      <c r="U85" s="54">
        <f>Данные!U85</f>
        <v>0</v>
      </c>
      <c r="V85" s="54">
        <f>Данные!V85</f>
        <v>0</v>
      </c>
      <c r="W85" s="54">
        <f ca="1">Данные!W85</f>
        <v>13</v>
      </c>
      <c r="X85" s="54" t="str">
        <f ca="1">Данные!X85</f>
        <v>1</v>
      </c>
      <c r="Y85" s="54" t="str">
        <f ca="1">Данные!Y85</f>
        <v>1</v>
      </c>
      <c r="Z85" s="54">
        <f>Данные!Z85</f>
        <v>0</v>
      </c>
      <c r="AA85" s="54" t="str">
        <f>Данные!AA85</f>
        <v>осн</v>
      </c>
      <c r="AB85" s="101">
        <f t="shared" si="13"/>
        <v>800</v>
      </c>
      <c r="AC85" s="101" t="str">
        <f t="shared" si="14"/>
        <v>ИВТ (бак)</v>
      </c>
      <c r="AD85" s="101" t="str">
        <f t="shared" si="15"/>
        <v/>
      </c>
      <c r="AE85" s="102">
        <f t="shared" ca="1" si="16"/>
        <v>12.79</v>
      </c>
      <c r="AF85" s="103">
        <f t="shared" ca="1" si="17"/>
        <v>1.5987499999999998E-2</v>
      </c>
      <c r="AG85" s="101"/>
      <c r="AH85" s="101"/>
      <c r="AI85"/>
      <c r="BQ85" s="72">
        <v>0</v>
      </c>
      <c r="BR85" s="72">
        <v>0</v>
      </c>
      <c r="BS85" s="72">
        <v>0</v>
      </c>
      <c r="BT85" s="72">
        <v>0</v>
      </c>
      <c r="BU85" s="72">
        <v>0</v>
      </c>
      <c r="BV85" s="72">
        <v>0</v>
      </c>
      <c r="BW85" s="72">
        <v>0</v>
      </c>
      <c r="BX85" s="72">
        <v>0</v>
      </c>
      <c r="BY85" s="72">
        <v>0</v>
      </c>
      <c r="BZ85" s="72">
        <v>0</v>
      </c>
      <c r="CA85" s="72">
        <v>0</v>
      </c>
      <c r="CB85" s="72">
        <v>0</v>
      </c>
      <c r="CC85" s="72">
        <v>0</v>
      </c>
      <c r="CD85" s="72">
        <v>0</v>
      </c>
      <c r="CE85" s="72">
        <v>0</v>
      </c>
      <c r="CF85" s="72">
        <v>0</v>
      </c>
      <c r="CG85" s="72">
        <v>0</v>
      </c>
      <c r="CH85" s="72">
        <v>0</v>
      </c>
      <c r="CI85" s="72">
        <v>0</v>
      </c>
      <c r="CJ85" s="72">
        <v>0</v>
      </c>
      <c r="CK85" s="72">
        <v>0</v>
      </c>
      <c r="CL85" s="72">
        <v>0</v>
      </c>
      <c r="CM85" s="72">
        <v>0</v>
      </c>
      <c r="CN85" s="72">
        <v>0</v>
      </c>
      <c r="CO85" s="72">
        <v>0</v>
      </c>
      <c r="CP85" s="72">
        <v>0</v>
      </c>
      <c r="CQ85" s="72">
        <v>0</v>
      </c>
      <c r="CR85" s="72">
        <v>0</v>
      </c>
      <c r="CS85" s="72">
        <v>0</v>
      </c>
      <c r="CT85" s="72">
        <v>0</v>
      </c>
      <c r="CU85" s="72">
        <v>0</v>
      </c>
      <c r="CV85" s="72">
        <v>0</v>
      </c>
      <c r="CW85" s="72">
        <v>0</v>
      </c>
      <c r="CX85" s="72">
        <v>0</v>
      </c>
      <c r="CY85" s="72">
        <v>0</v>
      </c>
      <c r="CZ85" s="72">
        <v>0</v>
      </c>
      <c r="DA85" s="72">
        <v>0</v>
      </c>
      <c r="DB85" s="72">
        <v>0</v>
      </c>
      <c r="DC85" s="72">
        <v>0</v>
      </c>
      <c r="DD85" s="72">
        <v>0</v>
      </c>
      <c r="DE85" s="72">
        <v>0</v>
      </c>
      <c r="DF85" s="72">
        <v>0</v>
      </c>
      <c r="DG85" s="72">
        <v>0</v>
      </c>
      <c r="DH85" s="72">
        <v>0</v>
      </c>
      <c r="DI85" s="72">
        <v>0</v>
      </c>
      <c r="DJ85" s="72">
        <v>0</v>
      </c>
      <c r="DK85" s="72">
        <v>0</v>
      </c>
      <c r="DL85" s="72">
        <v>0</v>
      </c>
      <c r="DM85" s="72">
        <v>0</v>
      </c>
      <c r="DN85" s="72">
        <v>0</v>
      </c>
      <c r="DO85" s="72">
        <v>0</v>
      </c>
      <c r="DP85" s="72">
        <v>0</v>
      </c>
      <c r="DQ85" s="72">
        <v>0</v>
      </c>
      <c r="DR85" s="72">
        <v>0</v>
      </c>
      <c r="DS85" s="72">
        <v>0</v>
      </c>
      <c r="DT85" s="72">
        <v>0</v>
      </c>
      <c r="DU85" s="72">
        <v>0</v>
      </c>
      <c r="DV85" s="72">
        <v>0</v>
      </c>
      <c r="DW85" s="72">
        <v>0</v>
      </c>
      <c r="DX85" s="72">
        <v>0</v>
      </c>
      <c r="DY85" s="72">
        <v>0</v>
      </c>
      <c r="DZ85" s="72">
        <v>0</v>
      </c>
      <c r="EA85" s="72">
        <v>0</v>
      </c>
      <c r="EB85" s="72">
        <v>0</v>
      </c>
      <c r="EC85" s="72">
        <v>0</v>
      </c>
      <c r="ED85" s="72">
        <v>0</v>
      </c>
      <c r="EE85" s="72">
        <v>0</v>
      </c>
      <c r="EF85" s="72">
        <v>0</v>
      </c>
      <c r="EG85" s="72">
        <v>0</v>
      </c>
      <c r="EH85" s="72">
        <v>0</v>
      </c>
      <c r="EI85" s="72">
        <v>0</v>
      </c>
      <c r="EJ85" s="72">
        <v>0</v>
      </c>
      <c r="EK85" s="72">
        <v>0</v>
      </c>
      <c r="EL85" s="72">
        <v>0</v>
      </c>
    </row>
    <row r="86" spans="1:142" s="6" customFormat="1" x14ac:dyDescent="0.35">
      <c r="A86" s="59">
        <f>Данные!A86</f>
        <v>4848</v>
      </c>
      <c r="B86" s="59">
        <f>Данные!B86</f>
        <v>2018</v>
      </c>
      <c r="C86" s="59" t="str">
        <f>Данные!C86</f>
        <v>компьютерных технологий и электронного обучения</v>
      </c>
      <c r="D86" s="59" t="str">
        <f>Данные!D86</f>
        <v>Авксентьева Елена Юрьевна</v>
      </c>
      <c r="E86" s="59" t="str">
        <f>Данные!E86</f>
        <v>кандидат педагогических наук</v>
      </c>
      <c r="F86" s="59" t="str">
        <f>Данные!F86</f>
        <v>доцент</v>
      </c>
      <c r="G86" s="59">
        <f>Данные!G86</f>
        <v>1</v>
      </c>
      <c r="H86" s="59">
        <f>Данные!H86</f>
        <v>17231</v>
      </c>
      <c r="I86" s="59" t="str">
        <f>Данные!I86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86" s="59">
        <f>Данные!J86</f>
        <v>0</v>
      </c>
      <c r="K86" s="59">
        <f>Данные!K86</f>
        <v>0</v>
      </c>
      <c r="L86" s="59">
        <f>Данные!L86</f>
        <v>0</v>
      </c>
      <c r="M86" s="60">
        <f t="shared" si="9"/>
        <v>0</v>
      </c>
      <c r="N86" s="60">
        <f t="shared" ca="1" si="10"/>
        <v>6.29</v>
      </c>
      <c r="O86" s="60">
        <f t="shared" ca="1" si="11"/>
        <v>3.25</v>
      </c>
      <c r="P86" s="60">
        <f t="shared" ca="1" si="12"/>
        <v>3.25</v>
      </c>
      <c r="Q86" s="54">
        <f>Данные!Q86</f>
        <v>0</v>
      </c>
      <c r="R86" s="54">
        <f>Данные!R86</f>
        <v>0</v>
      </c>
      <c r="S86" s="54">
        <f>Данные!S86</f>
        <v>0</v>
      </c>
      <c r="T86" s="54">
        <f>Данные!T86</f>
        <v>0</v>
      </c>
      <c r="U86" s="54">
        <f>Данные!U86</f>
        <v>0</v>
      </c>
      <c r="V86" s="54">
        <f>Данные!V86</f>
        <v>0</v>
      </c>
      <c r="W86" s="54">
        <f ca="1">Данные!W86</f>
        <v>13</v>
      </c>
      <c r="X86" s="54" t="str">
        <f ca="1">Данные!X86</f>
        <v>1</v>
      </c>
      <c r="Y86" s="54" t="str">
        <f ca="1">Данные!Y86</f>
        <v>1</v>
      </c>
      <c r="Z86" s="54">
        <f>Данные!Z86</f>
        <v>0</v>
      </c>
      <c r="AA86" s="54" t="str">
        <f>Данные!AA86</f>
        <v>осн</v>
      </c>
      <c r="AB86" s="101">
        <f t="shared" si="13"/>
        <v>800</v>
      </c>
      <c r="AC86" s="101" t="str">
        <f t="shared" si="14"/>
        <v>ИВТ (бак)</v>
      </c>
      <c r="AD86" s="101" t="str">
        <f t="shared" si="15"/>
        <v/>
      </c>
      <c r="AE86" s="102">
        <f t="shared" ca="1" si="16"/>
        <v>12.79</v>
      </c>
      <c r="AF86" s="103">
        <f t="shared" ca="1" si="17"/>
        <v>1.5987499999999998E-2</v>
      </c>
      <c r="AG86" s="101"/>
      <c r="AH86" s="101"/>
      <c r="AI86"/>
      <c r="BQ86" s="72">
        <v>0</v>
      </c>
      <c r="BR86" s="72">
        <v>0</v>
      </c>
      <c r="BS86" s="72">
        <v>0</v>
      </c>
      <c r="BT86" s="72">
        <v>0</v>
      </c>
      <c r="BU86" s="72">
        <v>0</v>
      </c>
      <c r="BV86" s="72">
        <v>0</v>
      </c>
      <c r="BW86" s="72">
        <v>0</v>
      </c>
      <c r="BX86" s="72">
        <v>0</v>
      </c>
      <c r="BY86" s="72">
        <v>0</v>
      </c>
      <c r="BZ86" s="72">
        <v>0</v>
      </c>
      <c r="CA86" s="72">
        <v>0</v>
      </c>
      <c r="CB86" s="72">
        <v>0</v>
      </c>
      <c r="CC86" s="72">
        <v>0</v>
      </c>
      <c r="CD86" s="72">
        <v>0</v>
      </c>
      <c r="CE86" s="72">
        <v>0</v>
      </c>
      <c r="CF86" s="72">
        <v>0</v>
      </c>
      <c r="CG86" s="72">
        <v>0</v>
      </c>
      <c r="CH86" s="72">
        <v>0</v>
      </c>
      <c r="CI86" s="72">
        <v>0</v>
      </c>
      <c r="CJ86" s="72">
        <v>0</v>
      </c>
      <c r="CK86" s="72">
        <v>0</v>
      </c>
      <c r="CL86" s="72">
        <v>0</v>
      </c>
      <c r="CM86" s="72">
        <v>0</v>
      </c>
      <c r="CN86" s="72">
        <v>0</v>
      </c>
      <c r="CO86" s="72">
        <v>0</v>
      </c>
      <c r="CP86" s="72">
        <v>0</v>
      </c>
      <c r="CQ86" s="72">
        <v>0</v>
      </c>
      <c r="CR86" s="72">
        <v>0</v>
      </c>
      <c r="CS86" s="72">
        <v>0</v>
      </c>
      <c r="CT86" s="72">
        <v>0</v>
      </c>
      <c r="CU86" s="72">
        <v>0</v>
      </c>
      <c r="CV86" s="72">
        <v>0</v>
      </c>
      <c r="CW86" s="72">
        <v>0</v>
      </c>
      <c r="CX86" s="72">
        <v>0</v>
      </c>
      <c r="CY86" s="72">
        <v>0</v>
      </c>
      <c r="CZ86" s="72">
        <v>0</v>
      </c>
      <c r="DA86" s="72">
        <v>0</v>
      </c>
      <c r="DB86" s="72">
        <v>0</v>
      </c>
      <c r="DC86" s="72">
        <v>0</v>
      </c>
      <c r="DD86" s="72">
        <v>0</v>
      </c>
      <c r="DE86" s="72">
        <v>0</v>
      </c>
      <c r="DF86" s="72">
        <v>0</v>
      </c>
      <c r="DG86" s="72">
        <v>0</v>
      </c>
      <c r="DH86" s="72">
        <v>0</v>
      </c>
      <c r="DI86" s="72">
        <v>0</v>
      </c>
      <c r="DJ86" s="72">
        <v>0</v>
      </c>
      <c r="DK86" s="72">
        <v>0</v>
      </c>
      <c r="DL86" s="72">
        <v>0</v>
      </c>
      <c r="DM86" s="72">
        <v>0</v>
      </c>
      <c r="DN86" s="72">
        <v>0</v>
      </c>
      <c r="DO86" s="72">
        <v>0</v>
      </c>
      <c r="DP86" s="72">
        <v>0</v>
      </c>
      <c r="DQ86" s="72">
        <v>0</v>
      </c>
      <c r="DR86" s="72">
        <v>0</v>
      </c>
      <c r="DS86" s="72">
        <v>0</v>
      </c>
      <c r="DT86" s="72">
        <v>0</v>
      </c>
      <c r="DU86" s="72">
        <v>0</v>
      </c>
      <c r="DV86" s="72">
        <v>0</v>
      </c>
      <c r="DW86" s="72">
        <v>0</v>
      </c>
      <c r="DX86" s="72">
        <v>0</v>
      </c>
      <c r="DY86" s="72">
        <v>0</v>
      </c>
      <c r="DZ86" s="72">
        <v>0</v>
      </c>
      <c r="EA86" s="72">
        <v>0</v>
      </c>
      <c r="EB86" s="72">
        <v>0</v>
      </c>
      <c r="EC86" s="72">
        <v>0</v>
      </c>
      <c r="ED86" s="72">
        <v>0</v>
      </c>
      <c r="EE86" s="72">
        <v>0</v>
      </c>
      <c r="EF86" s="72">
        <v>0</v>
      </c>
      <c r="EG86" s="72">
        <v>0</v>
      </c>
      <c r="EH86" s="72">
        <v>0</v>
      </c>
      <c r="EI86" s="72">
        <v>0</v>
      </c>
      <c r="EJ86" s="72">
        <v>0</v>
      </c>
      <c r="EK86" s="72">
        <v>0</v>
      </c>
      <c r="EL86" s="72">
        <v>0</v>
      </c>
    </row>
    <row r="87" spans="1:142" s="6" customFormat="1" x14ac:dyDescent="0.35">
      <c r="A87" s="59">
        <f>Данные!A87</f>
        <v>4848</v>
      </c>
      <c r="B87" s="59">
        <f>Данные!B87</f>
        <v>2018</v>
      </c>
      <c r="C87" s="59" t="str">
        <f>Данные!C87</f>
        <v>компьютерных технологий и электронного обучения</v>
      </c>
      <c r="D87" s="59" t="str">
        <f>Данные!D87</f>
        <v>Атаян Ануш Михайловна</v>
      </c>
      <c r="E87" s="59" t="str">
        <f>Данные!E87</f>
        <v>кандидат педагогических наук</v>
      </c>
      <c r="F87" s="59" t="str">
        <f>Данные!F87</f>
        <v>доцент</v>
      </c>
      <c r="G87" s="59">
        <f>Данные!G87</f>
        <v>1</v>
      </c>
      <c r="H87" s="59">
        <f>Данные!H87</f>
        <v>17231</v>
      </c>
      <c r="I87" s="59" t="str">
        <f>Данные!I87</f>
        <v>Дисциплины (модули) по выбору. IT-менеджмент</v>
      </c>
      <c r="J87" s="59">
        <f>Данные!J87</f>
        <v>4</v>
      </c>
      <c r="K87" s="59">
        <f>Данные!K87</f>
        <v>0</v>
      </c>
      <c r="L87" s="59">
        <f>Данные!L87</f>
        <v>0</v>
      </c>
      <c r="M87" s="60">
        <f t="shared" si="9"/>
        <v>0.4</v>
      </c>
      <c r="N87" s="60">
        <f t="shared" ca="1" si="10"/>
        <v>6.29</v>
      </c>
      <c r="O87" s="60">
        <f t="shared" ca="1" si="11"/>
        <v>3.25</v>
      </c>
      <c r="P87" s="60">
        <f t="shared" ca="1" si="12"/>
        <v>3.25</v>
      </c>
      <c r="Q87" s="54">
        <f>Данные!Q87</f>
        <v>0</v>
      </c>
      <c r="R87" s="54">
        <f>Данные!R87</f>
        <v>0</v>
      </c>
      <c r="S87" s="54">
        <f>Данные!S87</f>
        <v>0</v>
      </c>
      <c r="T87" s="54">
        <f>Данные!T87</f>
        <v>0</v>
      </c>
      <c r="U87" s="54">
        <f>Данные!U87</f>
        <v>0</v>
      </c>
      <c r="V87" s="54">
        <f>Данные!V87</f>
        <v>0</v>
      </c>
      <c r="W87" s="54">
        <f ca="1">Данные!W87</f>
        <v>13</v>
      </c>
      <c r="X87" s="54" t="str">
        <f ca="1">Данные!X87</f>
        <v>1</v>
      </c>
      <c r="Y87" s="54" t="str">
        <f ca="1">Данные!Y87</f>
        <v>1</v>
      </c>
      <c r="Z87" s="54">
        <f>Данные!Z87</f>
        <v>0</v>
      </c>
      <c r="AA87" s="54" t="str">
        <f>Данные!AA87</f>
        <v>осн</v>
      </c>
      <c r="AB87" s="101">
        <f t="shared" si="13"/>
        <v>800</v>
      </c>
      <c r="AC87" s="101" t="str">
        <f t="shared" si="14"/>
        <v>ИВТ (бак)</v>
      </c>
      <c r="AD87" s="101" t="str">
        <f t="shared" si="15"/>
        <v/>
      </c>
      <c r="AE87" s="102">
        <f t="shared" ca="1" si="16"/>
        <v>17.190000000000001</v>
      </c>
      <c r="AF87" s="103">
        <f t="shared" ca="1" si="17"/>
        <v>2.1487500000000003E-2</v>
      </c>
      <c r="AG87" s="101"/>
      <c r="AH87" s="101"/>
      <c r="AI87"/>
      <c r="BQ87" s="72">
        <v>0</v>
      </c>
      <c r="BR87" s="72">
        <v>0</v>
      </c>
      <c r="BS87" s="72">
        <v>0</v>
      </c>
      <c r="BT87" s="72">
        <v>0</v>
      </c>
      <c r="BU87" s="72">
        <v>0</v>
      </c>
      <c r="BV87" s="72">
        <v>0</v>
      </c>
      <c r="BW87" s="72">
        <v>0</v>
      </c>
      <c r="BX87" s="72">
        <v>0</v>
      </c>
      <c r="BY87" s="72">
        <v>0</v>
      </c>
      <c r="BZ87" s="72">
        <v>0</v>
      </c>
      <c r="CA87" s="72">
        <v>0</v>
      </c>
      <c r="CB87" s="72">
        <v>0</v>
      </c>
      <c r="CC87" s="72">
        <v>0</v>
      </c>
      <c r="CD87" s="72">
        <v>0</v>
      </c>
      <c r="CE87" s="72">
        <v>0</v>
      </c>
      <c r="CF87" s="72">
        <v>0</v>
      </c>
      <c r="CG87" s="72">
        <v>0</v>
      </c>
      <c r="CH87" s="72">
        <v>0</v>
      </c>
      <c r="CI87" s="72">
        <v>0</v>
      </c>
      <c r="CJ87" s="72">
        <v>0</v>
      </c>
      <c r="CK87" s="72">
        <v>0</v>
      </c>
      <c r="CL87" s="72">
        <v>0</v>
      </c>
      <c r="CM87" s="72">
        <v>0</v>
      </c>
      <c r="CN87" s="72">
        <v>0</v>
      </c>
      <c r="CO87" s="72">
        <v>0</v>
      </c>
      <c r="CP87" s="72">
        <v>0</v>
      </c>
      <c r="CQ87" s="72">
        <v>0</v>
      </c>
      <c r="CR87" s="72">
        <v>0</v>
      </c>
      <c r="CS87" s="72">
        <v>0</v>
      </c>
      <c r="CT87" s="72">
        <v>0</v>
      </c>
      <c r="CU87" s="72">
        <v>0</v>
      </c>
      <c r="CV87" s="72">
        <v>0</v>
      </c>
      <c r="CW87" s="72">
        <v>0</v>
      </c>
      <c r="CX87" s="72">
        <v>0</v>
      </c>
      <c r="CY87" s="72">
        <v>0</v>
      </c>
      <c r="CZ87" s="72">
        <v>0</v>
      </c>
      <c r="DA87" s="72">
        <v>0</v>
      </c>
      <c r="DB87" s="72">
        <v>0</v>
      </c>
      <c r="DC87" s="72">
        <v>0</v>
      </c>
      <c r="DD87" s="72">
        <v>0</v>
      </c>
      <c r="DE87" s="72">
        <v>0</v>
      </c>
      <c r="DF87" s="72">
        <v>0</v>
      </c>
      <c r="DG87" s="72">
        <v>0</v>
      </c>
      <c r="DH87" s="72">
        <v>0</v>
      </c>
      <c r="DI87" s="72">
        <v>0</v>
      </c>
      <c r="DJ87" s="72">
        <v>0</v>
      </c>
      <c r="DK87" s="72">
        <v>0</v>
      </c>
      <c r="DL87" s="72">
        <v>0</v>
      </c>
      <c r="DM87" s="72">
        <v>0</v>
      </c>
      <c r="DN87" s="72">
        <v>0</v>
      </c>
      <c r="DO87" s="72">
        <v>0</v>
      </c>
      <c r="DP87" s="72">
        <v>0</v>
      </c>
      <c r="DQ87" s="72">
        <v>0</v>
      </c>
      <c r="DR87" s="72">
        <v>0</v>
      </c>
      <c r="DS87" s="72">
        <v>0</v>
      </c>
      <c r="DT87" s="72">
        <v>0</v>
      </c>
      <c r="DU87" s="72">
        <v>0</v>
      </c>
      <c r="DV87" s="72">
        <v>0</v>
      </c>
      <c r="DW87" s="72">
        <v>0</v>
      </c>
      <c r="DX87" s="72">
        <v>0</v>
      </c>
      <c r="DY87" s="72">
        <v>0</v>
      </c>
      <c r="DZ87" s="72">
        <v>0</v>
      </c>
      <c r="EA87" s="72">
        <v>0</v>
      </c>
      <c r="EB87" s="72">
        <v>0</v>
      </c>
      <c r="EC87" s="72">
        <v>0</v>
      </c>
      <c r="ED87" s="72">
        <v>0</v>
      </c>
      <c r="EE87" s="72">
        <v>0</v>
      </c>
      <c r="EF87" s="72">
        <v>0</v>
      </c>
      <c r="EG87" s="72">
        <v>0</v>
      </c>
      <c r="EH87" s="72">
        <v>0</v>
      </c>
      <c r="EI87" s="72">
        <v>0</v>
      </c>
      <c r="EJ87" s="72">
        <v>0</v>
      </c>
      <c r="EK87" s="72">
        <v>0</v>
      </c>
      <c r="EL87" s="72">
        <v>0</v>
      </c>
    </row>
    <row r="88" spans="1:142" s="6" customFormat="1" x14ac:dyDescent="0.35">
      <c r="A88" s="59">
        <f>Данные!A88</f>
        <v>4848</v>
      </c>
      <c r="B88" s="59">
        <f>Данные!B88</f>
        <v>2018</v>
      </c>
      <c r="C88" s="59" t="str">
        <f>Данные!C88</f>
        <v>компьютерных технологий и электронного обучения</v>
      </c>
      <c r="D88" s="59" t="str">
        <f>Данные!D88</f>
        <v>Серегин Александр Николаевич</v>
      </c>
      <c r="E88" s="59" t="str">
        <f>Данные!E88</f>
        <v>кандидат технических наук</v>
      </c>
      <c r="F88" s="59" t="str">
        <f>Данные!F88</f>
        <v>внешний</v>
      </c>
      <c r="G88" s="59">
        <f>Данные!G88</f>
        <v>1</v>
      </c>
      <c r="H88" s="59">
        <f>Данные!H88</f>
        <v>17231</v>
      </c>
      <c r="I88" s="59" t="str">
        <f>Данные!I88</f>
        <v>Дисциплины (модули) по выбору. IT-менеджмент</v>
      </c>
      <c r="J88" s="59">
        <f>Данные!J88</f>
        <v>14</v>
      </c>
      <c r="K88" s="59">
        <f>Данные!K88</f>
        <v>0</v>
      </c>
      <c r="L88" s="59">
        <f>Данные!L88</f>
        <v>0</v>
      </c>
      <c r="M88" s="60">
        <f t="shared" si="9"/>
        <v>1.4</v>
      </c>
      <c r="N88" s="60">
        <f t="shared" ca="1" si="10"/>
        <v>6.29</v>
      </c>
      <c r="O88" s="60">
        <f t="shared" ca="1" si="11"/>
        <v>3.25</v>
      </c>
      <c r="P88" s="60">
        <f t="shared" ca="1" si="12"/>
        <v>3.25</v>
      </c>
      <c r="Q88" s="54">
        <f>Данные!Q88</f>
        <v>0</v>
      </c>
      <c r="R88" s="54">
        <f>Данные!R88</f>
        <v>0</v>
      </c>
      <c r="S88" s="54">
        <f>Данные!S88</f>
        <v>0</v>
      </c>
      <c r="T88" s="54">
        <f>Данные!T88</f>
        <v>0</v>
      </c>
      <c r="U88" s="54">
        <f>Данные!U88</f>
        <v>0</v>
      </c>
      <c r="V88" s="54">
        <f>Данные!V88</f>
        <v>0</v>
      </c>
      <c r="W88" s="54">
        <f ca="1">Данные!W88</f>
        <v>13</v>
      </c>
      <c r="X88" s="54" t="str">
        <f ca="1">Данные!X88</f>
        <v>1</v>
      </c>
      <c r="Y88" s="54" t="str">
        <f ca="1">Данные!Y88</f>
        <v>1</v>
      </c>
      <c r="Z88" s="54">
        <f>Данные!Z88</f>
        <v>0</v>
      </c>
      <c r="AA88" s="54">
        <f>Данные!AA88</f>
        <v>0</v>
      </c>
      <c r="AB88" s="101">
        <f t="shared" si="13"/>
        <v>900</v>
      </c>
      <c r="AC88" s="101" t="str">
        <f t="shared" si="14"/>
        <v>ИВТ (бак)</v>
      </c>
      <c r="AD88" s="101" t="str">
        <f t="shared" si="15"/>
        <v/>
      </c>
      <c r="AE88" s="102">
        <f t="shared" ca="1" si="16"/>
        <v>28.19</v>
      </c>
      <c r="AF88" s="103">
        <f t="shared" ca="1" si="17"/>
        <v>3.1322222222222224E-2</v>
      </c>
      <c r="AG88" s="101"/>
      <c r="AH88" s="101"/>
      <c r="AI88"/>
      <c r="BQ88" s="72">
        <v>0</v>
      </c>
      <c r="BR88" s="72">
        <v>0</v>
      </c>
      <c r="BS88" s="72">
        <v>0</v>
      </c>
      <c r="BT88" s="72">
        <v>0</v>
      </c>
      <c r="BU88" s="72">
        <v>0</v>
      </c>
      <c r="BV88" s="72">
        <v>0</v>
      </c>
      <c r="BW88" s="72">
        <v>0</v>
      </c>
      <c r="BX88" s="72">
        <v>0</v>
      </c>
      <c r="BY88" s="72">
        <v>0</v>
      </c>
      <c r="BZ88" s="72">
        <v>0</v>
      </c>
      <c r="CA88" s="72">
        <v>0</v>
      </c>
      <c r="CB88" s="72">
        <v>0</v>
      </c>
      <c r="CC88" s="72">
        <v>0</v>
      </c>
      <c r="CD88" s="72">
        <v>0</v>
      </c>
      <c r="CE88" s="72">
        <v>0</v>
      </c>
      <c r="CF88" s="72">
        <v>0</v>
      </c>
      <c r="CG88" s="72">
        <v>0</v>
      </c>
      <c r="CH88" s="72">
        <v>0</v>
      </c>
      <c r="CI88" s="72">
        <v>0</v>
      </c>
      <c r="CJ88" s="72">
        <v>0</v>
      </c>
      <c r="CK88" s="72">
        <v>0</v>
      </c>
      <c r="CL88" s="72">
        <v>0</v>
      </c>
      <c r="CM88" s="72">
        <v>0</v>
      </c>
      <c r="CN88" s="72">
        <v>0</v>
      </c>
      <c r="CO88" s="72">
        <v>0</v>
      </c>
      <c r="CP88" s="72">
        <v>0</v>
      </c>
      <c r="CQ88" s="72">
        <v>0</v>
      </c>
      <c r="CR88" s="72">
        <v>0</v>
      </c>
      <c r="CS88" s="72">
        <v>0</v>
      </c>
      <c r="CT88" s="72">
        <v>0</v>
      </c>
      <c r="CU88" s="72">
        <v>0</v>
      </c>
      <c r="CV88" s="72">
        <v>0</v>
      </c>
      <c r="CW88" s="72">
        <v>0</v>
      </c>
      <c r="CX88" s="72">
        <v>0</v>
      </c>
      <c r="CY88" s="72">
        <v>0</v>
      </c>
      <c r="CZ88" s="72">
        <v>0</v>
      </c>
      <c r="DA88" s="72">
        <v>0</v>
      </c>
      <c r="DB88" s="72">
        <v>0</v>
      </c>
      <c r="DC88" s="72">
        <v>0</v>
      </c>
      <c r="DD88" s="72">
        <v>0</v>
      </c>
      <c r="DE88" s="72">
        <v>0</v>
      </c>
      <c r="DF88" s="72">
        <v>0</v>
      </c>
      <c r="DG88" s="72">
        <v>0</v>
      </c>
      <c r="DH88" s="72">
        <v>0</v>
      </c>
      <c r="DI88" s="72">
        <v>0</v>
      </c>
      <c r="DJ88" s="72">
        <v>0</v>
      </c>
      <c r="DK88" s="72">
        <v>0</v>
      </c>
      <c r="DL88" s="72">
        <v>0</v>
      </c>
      <c r="DM88" s="72">
        <v>0</v>
      </c>
      <c r="DN88" s="72">
        <v>0</v>
      </c>
      <c r="DO88" s="72">
        <v>0</v>
      </c>
      <c r="DP88" s="72">
        <v>0</v>
      </c>
      <c r="DQ88" s="72">
        <v>0</v>
      </c>
      <c r="DR88" s="72">
        <v>0</v>
      </c>
      <c r="DS88" s="72">
        <v>0</v>
      </c>
      <c r="DT88" s="72">
        <v>0</v>
      </c>
      <c r="DU88" s="72">
        <v>0</v>
      </c>
      <c r="DV88" s="72">
        <v>0</v>
      </c>
      <c r="DW88" s="72">
        <v>0</v>
      </c>
      <c r="DX88" s="72">
        <v>0</v>
      </c>
      <c r="DY88" s="72">
        <v>0</v>
      </c>
      <c r="DZ88" s="72">
        <v>0</v>
      </c>
      <c r="EA88" s="72">
        <v>0</v>
      </c>
      <c r="EB88" s="72">
        <v>0</v>
      </c>
      <c r="EC88" s="72">
        <v>0</v>
      </c>
      <c r="ED88" s="72">
        <v>0</v>
      </c>
      <c r="EE88" s="72">
        <v>0</v>
      </c>
      <c r="EF88" s="72">
        <v>0</v>
      </c>
      <c r="EG88" s="72">
        <v>0</v>
      </c>
      <c r="EH88" s="72">
        <v>0</v>
      </c>
      <c r="EI88" s="72">
        <v>0</v>
      </c>
      <c r="EJ88" s="72">
        <v>0</v>
      </c>
      <c r="EK88" s="72">
        <v>0</v>
      </c>
      <c r="EL88" s="72">
        <v>0</v>
      </c>
    </row>
    <row r="89" spans="1:142" s="6" customFormat="1" x14ac:dyDescent="0.35">
      <c r="A89" s="59">
        <f>Данные!A89</f>
        <v>4848</v>
      </c>
      <c r="B89" s="59">
        <f>Данные!B89</f>
        <v>2018</v>
      </c>
      <c r="C89" s="59" t="str">
        <f>Данные!C89</f>
        <v>компьютерных технологий и электронного обучения</v>
      </c>
      <c r="D89" s="59" t="str">
        <f>Данные!D89</f>
        <v>Серегин Александр Николаевич</v>
      </c>
      <c r="E89" s="59" t="str">
        <f>Данные!E89</f>
        <v>кандидат технических наук</v>
      </c>
      <c r="F89" s="59" t="str">
        <f>Данные!F89</f>
        <v>внешний</v>
      </c>
      <c r="G89" s="59">
        <f>Данные!G89</f>
        <v>1</v>
      </c>
      <c r="H89" s="59">
        <f>Данные!H89</f>
        <v>17231</v>
      </c>
      <c r="I89" s="59" t="str">
        <f>Данные!I89</f>
        <v>Модуль "Информационные системы". Теория информационных процессов и систем</v>
      </c>
      <c r="J89" s="59">
        <f>Данные!J89</f>
        <v>0</v>
      </c>
      <c r="K89" s="59">
        <f>Данные!K89</f>
        <v>0</v>
      </c>
      <c r="L89" s="59">
        <f>Данные!L89</f>
        <v>10</v>
      </c>
      <c r="M89" s="60">
        <f t="shared" si="9"/>
        <v>1</v>
      </c>
      <c r="N89" s="60">
        <f t="shared" ca="1" si="10"/>
        <v>6.29</v>
      </c>
      <c r="O89" s="60">
        <f t="shared" ca="1" si="11"/>
        <v>3.25</v>
      </c>
      <c r="P89" s="60">
        <f t="shared" ca="1" si="12"/>
        <v>3.25</v>
      </c>
      <c r="Q89" s="54">
        <f>Данные!Q89</f>
        <v>0</v>
      </c>
      <c r="R89" s="54">
        <f>Данные!R89</f>
        <v>0</v>
      </c>
      <c r="S89" s="54">
        <f>Данные!S89</f>
        <v>0</v>
      </c>
      <c r="T89" s="54">
        <f>Данные!T89</f>
        <v>0</v>
      </c>
      <c r="U89" s="54">
        <f>Данные!U89</f>
        <v>0</v>
      </c>
      <c r="V89" s="54">
        <f>Данные!V89</f>
        <v>0</v>
      </c>
      <c r="W89" s="54">
        <f ca="1">Данные!W89</f>
        <v>13</v>
      </c>
      <c r="X89" s="54" t="str">
        <f ca="1">Данные!X89</f>
        <v>1</v>
      </c>
      <c r="Y89" s="54" t="str">
        <f ca="1">Данные!Y89</f>
        <v>1</v>
      </c>
      <c r="Z89" s="54">
        <f>Данные!Z89</f>
        <v>0</v>
      </c>
      <c r="AA89" s="54">
        <f>Данные!AA89</f>
        <v>0</v>
      </c>
      <c r="AB89" s="101">
        <f t="shared" si="13"/>
        <v>900</v>
      </c>
      <c r="AC89" s="101" t="str">
        <f t="shared" si="14"/>
        <v>ИВТ (бак)</v>
      </c>
      <c r="AD89" s="101" t="str">
        <f t="shared" si="15"/>
        <v/>
      </c>
      <c r="AE89" s="102">
        <f t="shared" ca="1" si="16"/>
        <v>23.79</v>
      </c>
      <c r="AF89" s="103">
        <f t="shared" ca="1" si="17"/>
        <v>2.6433333333333333E-2</v>
      </c>
      <c r="AG89" s="101"/>
      <c r="AH89" s="101"/>
      <c r="AI89"/>
      <c r="BQ89" s="72">
        <v>0</v>
      </c>
      <c r="BR89" s="72">
        <v>0</v>
      </c>
      <c r="BS89" s="72">
        <v>0</v>
      </c>
      <c r="BT89" s="72">
        <v>0</v>
      </c>
      <c r="BU89" s="72">
        <v>0</v>
      </c>
      <c r="BV89" s="72">
        <v>0</v>
      </c>
      <c r="BW89" s="72">
        <v>0</v>
      </c>
      <c r="BX89" s="72">
        <v>0</v>
      </c>
      <c r="BY89" s="72">
        <v>0</v>
      </c>
      <c r="BZ89" s="72">
        <v>0</v>
      </c>
      <c r="CA89" s="72">
        <v>0</v>
      </c>
      <c r="CB89" s="72">
        <v>0</v>
      </c>
      <c r="CC89" s="72">
        <v>0</v>
      </c>
      <c r="CD89" s="72">
        <v>0</v>
      </c>
      <c r="CE89" s="72">
        <v>0</v>
      </c>
      <c r="CF89" s="72">
        <v>0</v>
      </c>
      <c r="CG89" s="72">
        <v>0</v>
      </c>
      <c r="CH89" s="72">
        <v>0</v>
      </c>
      <c r="CI89" s="72">
        <v>0</v>
      </c>
      <c r="CJ89" s="72">
        <v>0</v>
      </c>
      <c r="CK89" s="72">
        <v>0</v>
      </c>
      <c r="CL89" s="72">
        <v>0</v>
      </c>
      <c r="CM89" s="72">
        <v>0</v>
      </c>
      <c r="CN89" s="72">
        <v>0</v>
      </c>
      <c r="CO89" s="72">
        <v>0</v>
      </c>
      <c r="CP89" s="72">
        <v>0</v>
      </c>
      <c r="CQ89" s="72">
        <v>0</v>
      </c>
      <c r="CR89" s="72">
        <v>0</v>
      </c>
      <c r="CS89" s="72">
        <v>0</v>
      </c>
      <c r="CT89" s="72">
        <v>0</v>
      </c>
      <c r="CU89" s="72">
        <v>0</v>
      </c>
      <c r="CV89" s="72">
        <v>0</v>
      </c>
      <c r="CW89" s="72">
        <v>0</v>
      </c>
      <c r="CX89" s="72">
        <v>0</v>
      </c>
      <c r="CY89" s="72">
        <v>0</v>
      </c>
      <c r="CZ89" s="72">
        <v>0</v>
      </c>
      <c r="DA89" s="72">
        <v>0</v>
      </c>
      <c r="DB89" s="72">
        <v>0</v>
      </c>
      <c r="DC89" s="72">
        <v>0</v>
      </c>
      <c r="DD89" s="72">
        <v>0</v>
      </c>
      <c r="DE89" s="72">
        <v>0</v>
      </c>
      <c r="DF89" s="72">
        <v>0</v>
      </c>
      <c r="DG89" s="72">
        <v>0</v>
      </c>
      <c r="DH89" s="72">
        <v>0</v>
      </c>
      <c r="DI89" s="72">
        <v>0</v>
      </c>
      <c r="DJ89" s="72">
        <v>0</v>
      </c>
      <c r="DK89" s="72">
        <v>0</v>
      </c>
      <c r="DL89" s="72">
        <v>0</v>
      </c>
      <c r="DM89" s="72">
        <v>0</v>
      </c>
      <c r="DN89" s="72">
        <v>0</v>
      </c>
      <c r="DO89" s="72">
        <v>0</v>
      </c>
      <c r="DP89" s="72">
        <v>0</v>
      </c>
      <c r="DQ89" s="72">
        <v>0</v>
      </c>
      <c r="DR89" s="72">
        <v>0</v>
      </c>
      <c r="DS89" s="72">
        <v>0</v>
      </c>
      <c r="DT89" s="72">
        <v>0</v>
      </c>
      <c r="DU89" s="72">
        <v>0</v>
      </c>
      <c r="DV89" s="72">
        <v>0</v>
      </c>
      <c r="DW89" s="72">
        <v>0</v>
      </c>
      <c r="DX89" s="72">
        <v>0</v>
      </c>
      <c r="DY89" s="72">
        <v>0</v>
      </c>
      <c r="DZ89" s="72">
        <v>0</v>
      </c>
      <c r="EA89" s="72">
        <v>0</v>
      </c>
      <c r="EB89" s="72">
        <v>0</v>
      </c>
      <c r="EC89" s="72">
        <v>0</v>
      </c>
      <c r="ED89" s="72">
        <v>0</v>
      </c>
      <c r="EE89" s="72">
        <v>0</v>
      </c>
      <c r="EF89" s="72">
        <v>0</v>
      </c>
      <c r="EG89" s="72">
        <v>0</v>
      </c>
      <c r="EH89" s="72">
        <v>0</v>
      </c>
      <c r="EI89" s="72">
        <v>0</v>
      </c>
      <c r="EJ89" s="72">
        <v>0</v>
      </c>
      <c r="EK89" s="72">
        <v>0</v>
      </c>
      <c r="EL89" s="72">
        <v>0</v>
      </c>
    </row>
    <row r="90" spans="1:142" s="6" customFormat="1" x14ac:dyDescent="0.35">
      <c r="A90" s="59">
        <f>Данные!A90</f>
        <v>4848</v>
      </c>
      <c r="B90" s="59">
        <f>Данные!B90</f>
        <v>2019</v>
      </c>
      <c r="C90" s="59" t="str">
        <f>Данные!C90</f>
        <v>компьютерных технологий и электронного обучения</v>
      </c>
      <c r="D90" s="59" t="str">
        <f>Данные!D90</f>
        <v>Копыльцов Александр Васильевич</v>
      </c>
      <c r="E90" s="59" t="str">
        <f>Данные!E90</f>
        <v>доктор технических наук</v>
      </c>
      <c r="F90" s="59" t="str">
        <f>Данные!F90</f>
        <v>внешний</v>
      </c>
      <c r="G90" s="59">
        <f>Данные!G90</f>
        <v>1</v>
      </c>
      <c r="H90" s="59" t="str">
        <f>Данные!H90</f>
        <v>4 курс 2016 год/пост</v>
      </c>
      <c r="I90" s="59" t="str">
        <f>Данные!I90</f>
        <v>Модуль "Информационные системы"</v>
      </c>
      <c r="J90" s="59">
        <f>Данные!J90</f>
        <v>0</v>
      </c>
      <c r="K90" s="59">
        <f>Данные!K90</f>
        <v>0</v>
      </c>
      <c r="L90" s="59">
        <f>Данные!L90</f>
        <v>0</v>
      </c>
      <c r="M90" s="60">
        <f t="shared" si="9"/>
        <v>0</v>
      </c>
      <c r="N90" s="60">
        <f t="shared" ca="1" si="10"/>
        <v>10.91</v>
      </c>
      <c r="O90" s="60">
        <f t="shared" ca="1" si="11"/>
        <v>6.75</v>
      </c>
      <c r="P90" s="60">
        <f t="shared" ca="1" si="12"/>
        <v>6.75</v>
      </c>
      <c r="Q90" s="54">
        <f>Данные!Q90</f>
        <v>0</v>
      </c>
      <c r="R90" s="54">
        <f>Данные!R90</f>
        <v>0</v>
      </c>
      <c r="S90" s="54">
        <f>Данные!S90</f>
        <v>0</v>
      </c>
      <c r="T90" s="54">
        <f>Данные!T90</f>
        <v>0</v>
      </c>
      <c r="U90" s="54">
        <f>Данные!U90</f>
        <v>0</v>
      </c>
      <c r="V90" s="54">
        <f>Данные!V90</f>
        <v>0</v>
      </c>
      <c r="W90" s="54">
        <f ca="1">Данные!W90</f>
        <v>27</v>
      </c>
      <c r="X90" s="54" t="str">
        <f ca="1">Данные!X90</f>
        <v>1</v>
      </c>
      <c r="Y90" s="54" t="str">
        <f ca="1">Данные!Y90</f>
        <v>2</v>
      </c>
      <c r="Z90" s="54">
        <f>Данные!Z90</f>
        <v>0</v>
      </c>
      <c r="AA90" s="54">
        <f>Данные!AA90</f>
        <v>0</v>
      </c>
      <c r="AB90" s="101">
        <f t="shared" si="13"/>
        <v>900</v>
      </c>
      <c r="AC90" s="101" t="str">
        <f t="shared" si="14"/>
        <v>ИВТ (бак)</v>
      </c>
      <c r="AD90" s="101" t="str">
        <f t="shared" si="15"/>
        <v/>
      </c>
      <c r="AE90" s="102">
        <f t="shared" ca="1" si="16"/>
        <v>24.41</v>
      </c>
      <c r="AF90" s="103">
        <f t="shared" ca="1" si="17"/>
        <v>2.7122222222222221E-2</v>
      </c>
      <c r="AG90" s="101"/>
      <c r="AH90" s="101"/>
      <c r="AI90"/>
      <c r="BQ90" s="72">
        <v>0</v>
      </c>
      <c r="BR90" s="72">
        <v>0</v>
      </c>
      <c r="BS90" s="72">
        <v>0</v>
      </c>
      <c r="BT90" s="72">
        <v>0</v>
      </c>
      <c r="BU90" s="72">
        <v>0</v>
      </c>
      <c r="BV90" s="72">
        <v>0</v>
      </c>
      <c r="BW90" s="72">
        <v>0</v>
      </c>
      <c r="BX90" s="72">
        <v>0</v>
      </c>
      <c r="BY90" s="72">
        <v>0</v>
      </c>
      <c r="BZ90" s="72">
        <v>0</v>
      </c>
      <c r="CA90" s="72">
        <v>0</v>
      </c>
      <c r="CB90" s="72">
        <v>0</v>
      </c>
      <c r="CC90" s="72">
        <v>0</v>
      </c>
      <c r="CD90" s="72">
        <v>0</v>
      </c>
      <c r="CE90" s="72">
        <v>0</v>
      </c>
      <c r="CF90" s="72">
        <v>0</v>
      </c>
      <c r="CG90" s="72">
        <v>0</v>
      </c>
      <c r="CH90" s="72">
        <v>0</v>
      </c>
      <c r="CI90" s="72">
        <v>0</v>
      </c>
      <c r="CJ90" s="72">
        <v>0</v>
      </c>
      <c r="CK90" s="72">
        <v>0</v>
      </c>
      <c r="CL90" s="72">
        <v>0</v>
      </c>
      <c r="CM90" s="72">
        <v>0</v>
      </c>
      <c r="CN90" s="72">
        <v>0</v>
      </c>
      <c r="CO90" s="72">
        <v>0</v>
      </c>
      <c r="CP90" s="72">
        <v>0</v>
      </c>
      <c r="CQ90" s="72">
        <v>0</v>
      </c>
      <c r="CR90" s="72">
        <v>0</v>
      </c>
      <c r="CS90" s="72">
        <v>0</v>
      </c>
      <c r="CT90" s="72">
        <v>0</v>
      </c>
      <c r="CU90" s="72">
        <v>0</v>
      </c>
      <c r="CV90" s="72">
        <v>0</v>
      </c>
      <c r="CW90" s="72">
        <v>0</v>
      </c>
      <c r="CX90" s="72">
        <v>0</v>
      </c>
      <c r="CY90" s="72">
        <v>0</v>
      </c>
      <c r="CZ90" s="72">
        <v>0</v>
      </c>
      <c r="DA90" s="72">
        <v>0</v>
      </c>
      <c r="DB90" s="72">
        <v>0</v>
      </c>
      <c r="DC90" s="72">
        <v>0</v>
      </c>
      <c r="DD90" s="72">
        <v>0</v>
      </c>
      <c r="DE90" s="72">
        <v>0</v>
      </c>
      <c r="DF90" s="72">
        <v>0</v>
      </c>
      <c r="DG90" s="72">
        <v>0</v>
      </c>
      <c r="DH90" s="72">
        <v>0</v>
      </c>
      <c r="DI90" s="72">
        <v>0</v>
      </c>
      <c r="DJ90" s="72">
        <v>0</v>
      </c>
      <c r="DK90" s="72">
        <v>0</v>
      </c>
      <c r="DL90" s="72">
        <v>0</v>
      </c>
      <c r="DM90" s="72">
        <v>0</v>
      </c>
      <c r="DN90" s="72">
        <v>0</v>
      </c>
      <c r="DO90" s="72">
        <v>0</v>
      </c>
      <c r="DP90" s="72">
        <v>0</v>
      </c>
      <c r="DQ90" s="72">
        <v>0</v>
      </c>
      <c r="DR90" s="72">
        <v>0</v>
      </c>
      <c r="DS90" s="72">
        <v>0</v>
      </c>
      <c r="DT90" s="72">
        <v>0</v>
      </c>
      <c r="DU90" s="72">
        <v>0</v>
      </c>
      <c r="DV90" s="72">
        <v>0</v>
      </c>
      <c r="DW90" s="72">
        <v>0</v>
      </c>
      <c r="DX90" s="72">
        <v>0</v>
      </c>
      <c r="DY90" s="72">
        <v>0</v>
      </c>
      <c r="DZ90" s="72">
        <v>0</v>
      </c>
      <c r="EA90" s="72">
        <v>0</v>
      </c>
      <c r="EB90" s="72">
        <v>0</v>
      </c>
      <c r="EC90" s="72">
        <v>0</v>
      </c>
      <c r="ED90" s="72">
        <v>0</v>
      </c>
      <c r="EE90" s="72">
        <v>0</v>
      </c>
      <c r="EF90" s="72">
        <v>0</v>
      </c>
      <c r="EG90" s="72">
        <v>0</v>
      </c>
      <c r="EH90" s="72">
        <v>0</v>
      </c>
      <c r="EI90" s="72">
        <v>0</v>
      </c>
      <c r="EJ90" s="72">
        <v>0</v>
      </c>
      <c r="EK90" s="72">
        <v>0</v>
      </c>
      <c r="EL90" s="72">
        <v>0</v>
      </c>
    </row>
    <row r="91" spans="1:142" s="6" customFormat="1" x14ac:dyDescent="0.35">
      <c r="A91" s="59">
        <f>Данные!A91</f>
        <v>4848</v>
      </c>
      <c r="B91" s="59">
        <f>Данные!B91</f>
        <v>2018</v>
      </c>
      <c r="C91" s="59" t="str">
        <f>Данные!C91</f>
        <v>компьютерных технологий и электронного обучения</v>
      </c>
      <c r="D91" s="59" t="str">
        <f>Данные!D91</f>
        <v>Серегин Александр Николаевич</v>
      </c>
      <c r="E91" s="59" t="str">
        <f>Данные!E91</f>
        <v>кандидат технических наук</v>
      </c>
      <c r="F91" s="59" t="str">
        <f>Данные!F91</f>
        <v>внешний</v>
      </c>
      <c r="G91" s="59">
        <f>Данные!G91</f>
        <v>1</v>
      </c>
      <c r="H91" s="59">
        <f>Данные!H91</f>
        <v>17231</v>
      </c>
      <c r="I91" s="59" t="str">
        <f>Данные!I91</f>
        <v>Модуль "Информационные системы". Интеллектуальные системы</v>
      </c>
      <c r="J91" s="59">
        <f>Данные!J91</f>
        <v>0</v>
      </c>
      <c r="K91" s="59">
        <f>Данные!K91</f>
        <v>0</v>
      </c>
      <c r="L91" s="59">
        <f>Данные!L91</f>
        <v>4</v>
      </c>
      <c r="M91" s="60">
        <f t="shared" si="9"/>
        <v>0.4</v>
      </c>
      <c r="N91" s="60">
        <f t="shared" ca="1" si="10"/>
        <v>6.29</v>
      </c>
      <c r="O91" s="60">
        <f t="shared" ca="1" si="11"/>
        <v>3.25</v>
      </c>
      <c r="P91" s="60">
        <f t="shared" ca="1" si="12"/>
        <v>3.25</v>
      </c>
      <c r="Q91" s="54">
        <f>Данные!Q91</f>
        <v>0</v>
      </c>
      <c r="R91" s="54">
        <f>Данные!R91</f>
        <v>0</v>
      </c>
      <c r="S91" s="54">
        <f>Данные!S91</f>
        <v>0</v>
      </c>
      <c r="T91" s="54">
        <f>Данные!T91</f>
        <v>0</v>
      </c>
      <c r="U91" s="54">
        <f>Данные!U91</f>
        <v>0</v>
      </c>
      <c r="V91" s="54">
        <f>Данные!V91</f>
        <v>0</v>
      </c>
      <c r="W91" s="54">
        <f ca="1">Данные!W91</f>
        <v>13</v>
      </c>
      <c r="X91" s="54" t="str">
        <f ca="1">Данные!X91</f>
        <v>1</v>
      </c>
      <c r="Y91" s="54" t="str">
        <f ca="1">Данные!Y91</f>
        <v>1</v>
      </c>
      <c r="Z91" s="54">
        <f>Данные!Z91</f>
        <v>0</v>
      </c>
      <c r="AA91" s="54">
        <f>Данные!AA91</f>
        <v>0</v>
      </c>
      <c r="AB91" s="101">
        <f t="shared" si="13"/>
        <v>900</v>
      </c>
      <c r="AC91" s="101" t="str">
        <f t="shared" si="14"/>
        <v>ИВТ (бак)</v>
      </c>
      <c r="AD91" s="101" t="str">
        <f t="shared" si="15"/>
        <v/>
      </c>
      <c r="AE91" s="102">
        <f t="shared" ca="1" si="16"/>
        <v>17.190000000000001</v>
      </c>
      <c r="AF91" s="103">
        <f t="shared" ca="1" si="17"/>
        <v>1.9100000000000002E-2</v>
      </c>
      <c r="AG91" s="101"/>
      <c r="AH91" s="101"/>
      <c r="AI91"/>
      <c r="BQ91" s="72">
        <v>0</v>
      </c>
      <c r="BR91" s="72">
        <v>0</v>
      </c>
      <c r="BS91" s="72">
        <v>0</v>
      </c>
      <c r="BT91" s="72">
        <v>0</v>
      </c>
      <c r="BU91" s="72">
        <v>0</v>
      </c>
      <c r="BV91" s="72">
        <v>0</v>
      </c>
      <c r="BW91" s="72">
        <v>0</v>
      </c>
      <c r="BX91" s="72">
        <v>0</v>
      </c>
      <c r="BY91" s="72">
        <v>0</v>
      </c>
      <c r="BZ91" s="72">
        <v>0</v>
      </c>
      <c r="CA91" s="72">
        <v>0</v>
      </c>
      <c r="CB91" s="72">
        <v>0</v>
      </c>
      <c r="CC91" s="72">
        <v>0</v>
      </c>
      <c r="CD91" s="72">
        <v>0</v>
      </c>
      <c r="CE91" s="72">
        <v>0</v>
      </c>
      <c r="CF91" s="72">
        <v>0</v>
      </c>
      <c r="CG91" s="72">
        <v>0</v>
      </c>
      <c r="CH91" s="72">
        <v>0</v>
      </c>
      <c r="CI91" s="72">
        <v>0</v>
      </c>
      <c r="CJ91" s="72">
        <v>0</v>
      </c>
      <c r="CK91" s="72">
        <v>0</v>
      </c>
      <c r="CL91" s="72">
        <v>0</v>
      </c>
      <c r="CM91" s="72">
        <v>0</v>
      </c>
      <c r="CN91" s="72">
        <v>0</v>
      </c>
      <c r="CO91" s="72">
        <v>0</v>
      </c>
      <c r="CP91" s="72">
        <v>0</v>
      </c>
      <c r="CQ91" s="72">
        <v>0</v>
      </c>
      <c r="CR91" s="72">
        <v>0</v>
      </c>
      <c r="CS91" s="72">
        <v>0</v>
      </c>
      <c r="CT91" s="72">
        <v>0</v>
      </c>
      <c r="CU91" s="72">
        <v>0</v>
      </c>
      <c r="CV91" s="72">
        <v>0</v>
      </c>
      <c r="CW91" s="72">
        <v>0</v>
      </c>
      <c r="CX91" s="72">
        <v>0</v>
      </c>
      <c r="CY91" s="72">
        <v>0</v>
      </c>
      <c r="CZ91" s="72">
        <v>0</v>
      </c>
      <c r="DA91" s="72">
        <v>0</v>
      </c>
      <c r="DB91" s="72">
        <v>0</v>
      </c>
      <c r="DC91" s="72">
        <v>0</v>
      </c>
      <c r="DD91" s="72">
        <v>0</v>
      </c>
      <c r="DE91" s="72">
        <v>0</v>
      </c>
      <c r="DF91" s="72">
        <v>0</v>
      </c>
      <c r="DG91" s="72">
        <v>0</v>
      </c>
      <c r="DH91" s="72">
        <v>0</v>
      </c>
      <c r="DI91" s="72">
        <v>0</v>
      </c>
      <c r="DJ91" s="72">
        <v>0</v>
      </c>
      <c r="DK91" s="72">
        <v>0</v>
      </c>
      <c r="DL91" s="72">
        <v>0</v>
      </c>
      <c r="DM91" s="72">
        <v>0</v>
      </c>
      <c r="DN91" s="72">
        <v>0</v>
      </c>
      <c r="DO91" s="72">
        <v>0</v>
      </c>
      <c r="DP91" s="72">
        <v>0</v>
      </c>
      <c r="DQ91" s="72">
        <v>0</v>
      </c>
      <c r="DR91" s="72">
        <v>0</v>
      </c>
      <c r="DS91" s="72">
        <v>0</v>
      </c>
      <c r="DT91" s="72">
        <v>0</v>
      </c>
      <c r="DU91" s="72">
        <v>0</v>
      </c>
      <c r="DV91" s="72">
        <v>0</v>
      </c>
      <c r="DW91" s="72">
        <v>0</v>
      </c>
      <c r="DX91" s="72">
        <v>0</v>
      </c>
      <c r="DY91" s="72">
        <v>0</v>
      </c>
      <c r="DZ91" s="72">
        <v>0</v>
      </c>
      <c r="EA91" s="72">
        <v>0</v>
      </c>
      <c r="EB91" s="72">
        <v>0</v>
      </c>
      <c r="EC91" s="72">
        <v>0</v>
      </c>
      <c r="ED91" s="72">
        <v>0</v>
      </c>
      <c r="EE91" s="72">
        <v>0</v>
      </c>
      <c r="EF91" s="72">
        <v>0</v>
      </c>
      <c r="EG91" s="72">
        <v>0</v>
      </c>
      <c r="EH91" s="72">
        <v>0</v>
      </c>
      <c r="EI91" s="72">
        <v>0</v>
      </c>
      <c r="EJ91" s="72">
        <v>0</v>
      </c>
      <c r="EK91" s="72">
        <v>0</v>
      </c>
      <c r="EL91" s="72">
        <v>0</v>
      </c>
    </row>
    <row r="92" spans="1:142" s="6" customFormat="1" x14ac:dyDescent="0.35">
      <c r="A92" s="59">
        <f>Данные!A92</f>
        <v>4848</v>
      </c>
      <c r="B92" s="59">
        <f>Данные!B92</f>
        <v>2018</v>
      </c>
      <c r="C92" s="59" t="str">
        <f>Данные!C92</f>
        <v>компьютерных технологий и электронного обучения</v>
      </c>
      <c r="D92" s="59" t="str">
        <f>Данные!D92</f>
        <v>Воробьев Владимир Иванович</v>
      </c>
      <c r="E92" s="59" t="str">
        <f>Данные!E92</f>
        <v>доктор технических наук</v>
      </c>
      <c r="F92" s="59" t="str">
        <f>Данные!F92</f>
        <v>внешний</v>
      </c>
      <c r="G92" s="59">
        <f>Данные!G92</f>
        <v>1</v>
      </c>
      <c r="H92" s="59">
        <f>Данные!H92</f>
        <v>17231</v>
      </c>
      <c r="I92" s="59" t="str">
        <f>Данные!I92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92" s="59">
        <f>Данные!J92</f>
        <v>0</v>
      </c>
      <c r="K92" s="59">
        <f>Данные!K92</f>
        <v>0</v>
      </c>
      <c r="L92" s="59">
        <f>Данные!L92</f>
        <v>0</v>
      </c>
      <c r="M92" s="60">
        <f t="shared" si="9"/>
        <v>0</v>
      </c>
      <c r="N92" s="60">
        <f t="shared" ca="1" si="10"/>
        <v>6.29</v>
      </c>
      <c r="O92" s="60">
        <f t="shared" ca="1" si="11"/>
        <v>3.25</v>
      </c>
      <c r="P92" s="60">
        <f t="shared" ca="1" si="12"/>
        <v>3.25</v>
      </c>
      <c r="Q92" s="54">
        <f>Данные!Q92</f>
        <v>0</v>
      </c>
      <c r="R92" s="54">
        <f>Данные!R92</f>
        <v>0</v>
      </c>
      <c r="S92" s="54">
        <f>Данные!S92</f>
        <v>0</v>
      </c>
      <c r="T92" s="54">
        <f>Данные!T92</f>
        <v>0</v>
      </c>
      <c r="U92" s="54">
        <f>Данные!U92</f>
        <v>14</v>
      </c>
      <c r="V92" s="54">
        <f>Данные!V92</f>
        <v>0</v>
      </c>
      <c r="W92" s="54">
        <f ca="1">Данные!W92</f>
        <v>13</v>
      </c>
      <c r="X92" s="54" t="str">
        <f ca="1">Данные!X92</f>
        <v>1</v>
      </c>
      <c r="Y92" s="54" t="str">
        <f ca="1">Данные!Y92</f>
        <v>1</v>
      </c>
      <c r="Z92" s="54">
        <f>Данные!Z92</f>
        <v>0</v>
      </c>
      <c r="AA92" s="54">
        <f>Данные!AA92</f>
        <v>0</v>
      </c>
      <c r="AB92" s="101">
        <f t="shared" si="13"/>
        <v>900</v>
      </c>
      <c r="AC92" s="101" t="str">
        <f t="shared" si="14"/>
        <v>ИВТ (бак)</v>
      </c>
      <c r="AD92" s="101" t="str">
        <f t="shared" si="15"/>
        <v/>
      </c>
      <c r="AE92" s="102">
        <f t="shared" ca="1" si="16"/>
        <v>26.79</v>
      </c>
      <c r="AF92" s="103">
        <f t="shared" ca="1" si="17"/>
        <v>2.9766666666666667E-2</v>
      </c>
      <c r="AG92" s="101"/>
      <c r="AH92" s="101"/>
      <c r="AI92"/>
      <c r="BQ92" s="72">
        <v>0</v>
      </c>
      <c r="BR92" s="72">
        <v>0</v>
      </c>
      <c r="BS92" s="72">
        <v>0</v>
      </c>
      <c r="BT92" s="72">
        <v>0</v>
      </c>
      <c r="BU92" s="72">
        <v>0</v>
      </c>
      <c r="BV92" s="72">
        <v>0</v>
      </c>
      <c r="BW92" s="72">
        <v>0</v>
      </c>
      <c r="BX92" s="72">
        <v>0</v>
      </c>
      <c r="BY92" s="72">
        <v>0</v>
      </c>
      <c r="BZ92" s="72">
        <v>0</v>
      </c>
      <c r="CA92" s="72">
        <v>0</v>
      </c>
      <c r="CB92" s="72">
        <v>0</v>
      </c>
      <c r="CC92" s="72">
        <v>0</v>
      </c>
      <c r="CD92" s="72">
        <v>0</v>
      </c>
      <c r="CE92" s="72">
        <v>0</v>
      </c>
      <c r="CF92" s="72">
        <v>0</v>
      </c>
      <c r="CG92" s="72">
        <v>0</v>
      </c>
      <c r="CH92" s="72">
        <v>0</v>
      </c>
      <c r="CI92" s="72">
        <v>0</v>
      </c>
      <c r="CJ92" s="72">
        <v>0</v>
      </c>
      <c r="CK92" s="72">
        <v>0</v>
      </c>
      <c r="CL92" s="72">
        <v>0</v>
      </c>
      <c r="CM92" s="72">
        <v>0</v>
      </c>
      <c r="CN92" s="72">
        <v>0</v>
      </c>
      <c r="CO92" s="72">
        <v>0</v>
      </c>
      <c r="CP92" s="72">
        <v>0</v>
      </c>
      <c r="CQ92" s="72">
        <v>0</v>
      </c>
      <c r="CR92" s="72">
        <v>0</v>
      </c>
      <c r="CS92" s="72">
        <v>0</v>
      </c>
      <c r="CT92" s="72">
        <v>0</v>
      </c>
      <c r="CU92" s="72">
        <v>0</v>
      </c>
      <c r="CV92" s="72">
        <v>0</v>
      </c>
      <c r="CW92" s="72">
        <v>0</v>
      </c>
      <c r="CX92" s="72">
        <v>0</v>
      </c>
      <c r="CY92" s="72">
        <v>0</v>
      </c>
      <c r="CZ92" s="72">
        <v>0</v>
      </c>
      <c r="DA92" s="72">
        <v>0</v>
      </c>
      <c r="DB92" s="72">
        <v>0</v>
      </c>
      <c r="DC92" s="72">
        <v>0</v>
      </c>
      <c r="DD92" s="72">
        <v>0</v>
      </c>
      <c r="DE92" s="72">
        <v>0</v>
      </c>
      <c r="DF92" s="72">
        <v>0</v>
      </c>
      <c r="DG92" s="72">
        <v>0</v>
      </c>
      <c r="DH92" s="72">
        <v>0</v>
      </c>
      <c r="DI92" s="72">
        <v>0</v>
      </c>
      <c r="DJ92" s="72">
        <v>0</v>
      </c>
      <c r="DK92" s="72">
        <v>0</v>
      </c>
      <c r="DL92" s="72">
        <v>0</v>
      </c>
      <c r="DM92" s="72">
        <v>0</v>
      </c>
      <c r="DN92" s="72">
        <v>0</v>
      </c>
      <c r="DO92" s="72">
        <v>0</v>
      </c>
      <c r="DP92" s="72">
        <v>0</v>
      </c>
      <c r="DQ92" s="72">
        <v>0</v>
      </c>
      <c r="DR92" s="72">
        <v>0</v>
      </c>
      <c r="DS92" s="72">
        <v>0</v>
      </c>
      <c r="DT92" s="72">
        <v>0</v>
      </c>
      <c r="DU92" s="72">
        <v>0</v>
      </c>
      <c r="DV92" s="72">
        <v>0</v>
      </c>
      <c r="DW92" s="72">
        <v>0</v>
      </c>
      <c r="DX92" s="72">
        <v>0</v>
      </c>
      <c r="DY92" s="72">
        <v>0</v>
      </c>
      <c r="DZ92" s="72">
        <v>0</v>
      </c>
      <c r="EA92" s="72">
        <v>0</v>
      </c>
      <c r="EB92" s="72">
        <v>0</v>
      </c>
      <c r="EC92" s="72">
        <v>0</v>
      </c>
      <c r="ED92" s="72">
        <v>0</v>
      </c>
      <c r="EE92" s="72">
        <v>0</v>
      </c>
      <c r="EF92" s="72">
        <v>0</v>
      </c>
      <c r="EG92" s="72">
        <v>0</v>
      </c>
      <c r="EH92" s="72">
        <v>0</v>
      </c>
      <c r="EI92" s="72">
        <v>0</v>
      </c>
      <c r="EJ92" s="72">
        <v>0</v>
      </c>
      <c r="EK92" s="72">
        <v>0</v>
      </c>
      <c r="EL92" s="72">
        <v>0</v>
      </c>
    </row>
    <row r="93" spans="1:142" s="6" customFormat="1" x14ac:dyDescent="0.35">
      <c r="A93" s="59">
        <f>Данные!A93</f>
        <v>4848</v>
      </c>
      <c r="B93" s="59">
        <f>Данные!B93</f>
        <v>2018</v>
      </c>
      <c r="C93" s="59" t="str">
        <f>Данные!C93</f>
        <v>компьютерных технологий и электронного обучения</v>
      </c>
      <c r="D93" s="59" t="str">
        <f>Данные!D93</f>
        <v>Воробьев Владимир Иванович</v>
      </c>
      <c r="E93" s="59" t="str">
        <f>Данные!E93</f>
        <v>доктор технических наук</v>
      </c>
      <c r="F93" s="59" t="str">
        <f>Данные!F93</f>
        <v>внешний</v>
      </c>
      <c r="G93" s="59">
        <f>Данные!G93</f>
        <v>1</v>
      </c>
      <c r="H93" s="59">
        <f>Данные!H93</f>
        <v>17231</v>
      </c>
      <c r="I93" s="59" t="str">
        <f>Данные!I93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93" s="59">
        <f>Данные!J93</f>
        <v>0</v>
      </c>
      <c r="K93" s="59">
        <f>Данные!K93</f>
        <v>0</v>
      </c>
      <c r="L93" s="59">
        <f>Данные!L93</f>
        <v>0</v>
      </c>
      <c r="M93" s="60">
        <f t="shared" si="9"/>
        <v>0</v>
      </c>
      <c r="N93" s="60">
        <f t="shared" ca="1" si="10"/>
        <v>6.29</v>
      </c>
      <c r="O93" s="60">
        <f t="shared" ca="1" si="11"/>
        <v>3.25</v>
      </c>
      <c r="P93" s="60">
        <f t="shared" ca="1" si="12"/>
        <v>3.25</v>
      </c>
      <c r="Q93" s="54">
        <f>Данные!Q93</f>
        <v>0</v>
      </c>
      <c r="R93" s="54">
        <f>Данные!R93</f>
        <v>0</v>
      </c>
      <c r="S93" s="54">
        <f>Данные!S93</f>
        <v>0</v>
      </c>
      <c r="T93" s="54">
        <f>Данные!T93</f>
        <v>0</v>
      </c>
      <c r="U93" s="54">
        <f>Данные!U93</f>
        <v>10</v>
      </c>
      <c r="V93" s="54">
        <f>Данные!V93</f>
        <v>0</v>
      </c>
      <c r="W93" s="54">
        <f ca="1">Данные!W93</f>
        <v>13</v>
      </c>
      <c r="X93" s="54" t="str">
        <f ca="1">Данные!X93</f>
        <v>1</v>
      </c>
      <c r="Y93" s="54" t="str">
        <f ca="1">Данные!Y93</f>
        <v>1</v>
      </c>
      <c r="Z93" s="54">
        <f>Данные!Z93</f>
        <v>0</v>
      </c>
      <c r="AA93" s="54">
        <f>Данные!AA93</f>
        <v>0</v>
      </c>
      <c r="AB93" s="101">
        <f t="shared" si="13"/>
        <v>900</v>
      </c>
      <c r="AC93" s="101" t="str">
        <f t="shared" si="14"/>
        <v>ИВТ (бак)</v>
      </c>
      <c r="AD93" s="101" t="str">
        <f t="shared" si="15"/>
        <v/>
      </c>
      <c r="AE93" s="102">
        <f t="shared" ca="1" si="16"/>
        <v>22.79</v>
      </c>
      <c r="AF93" s="103">
        <f t="shared" ca="1" si="17"/>
        <v>2.5322222222222222E-2</v>
      </c>
      <c r="AG93" s="101"/>
      <c r="AH93" s="101"/>
      <c r="AI93"/>
      <c r="BQ93" s="72">
        <v>0</v>
      </c>
      <c r="BR93" s="72">
        <v>0</v>
      </c>
      <c r="BS93" s="72">
        <v>0</v>
      </c>
      <c r="BT93" s="72">
        <v>0</v>
      </c>
      <c r="BU93" s="72">
        <v>0</v>
      </c>
      <c r="BV93" s="72">
        <v>0</v>
      </c>
      <c r="BW93" s="72">
        <v>0</v>
      </c>
      <c r="BX93" s="72">
        <v>0</v>
      </c>
      <c r="BY93" s="72">
        <v>0</v>
      </c>
      <c r="BZ93" s="72">
        <v>0</v>
      </c>
      <c r="CA93" s="72">
        <v>0</v>
      </c>
      <c r="CB93" s="72">
        <v>0</v>
      </c>
      <c r="CC93" s="72">
        <v>0</v>
      </c>
      <c r="CD93" s="72">
        <v>0</v>
      </c>
      <c r="CE93" s="72">
        <v>0</v>
      </c>
      <c r="CF93" s="72">
        <v>0</v>
      </c>
      <c r="CG93" s="72">
        <v>0</v>
      </c>
      <c r="CH93" s="72">
        <v>0</v>
      </c>
      <c r="CI93" s="72">
        <v>0</v>
      </c>
      <c r="CJ93" s="72">
        <v>0</v>
      </c>
      <c r="CK93" s="72">
        <v>0</v>
      </c>
      <c r="CL93" s="72">
        <v>0</v>
      </c>
      <c r="CM93" s="72">
        <v>0</v>
      </c>
      <c r="CN93" s="72">
        <v>0</v>
      </c>
      <c r="CO93" s="72">
        <v>0</v>
      </c>
      <c r="CP93" s="72">
        <v>0</v>
      </c>
      <c r="CQ93" s="72">
        <v>0</v>
      </c>
      <c r="CR93" s="72">
        <v>0</v>
      </c>
      <c r="CS93" s="72">
        <v>0</v>
      </c>
      <c r="CT93" s="72">
        <v>0</v>
      </c>
      <c r="CU93" s="72">
        <v>0</v>
      </c>
      <c r="CV93" s="72">
        <v>0</v>
      </c>
      <c r="CW93" s="72">
        <v>0</v>
      </c>
      <c r="CX93" s="72">
        <v>0</v>
      </c>
      <c r="CY93" s="72">
        <v>0</v>
      </c>
      <c r="CZ93" s="72">
        <v>0</v>
      </c>
      <c r="DA93" s="72">
        <v>0</v>
      </c>
      <c r="DB93" s="72">
        <v>0</v>
      </c>
      <c r="DC93" s="72">
        <v>0</v>
      </c>
      <c r="DD93" s="72">
        <v>0</v>
      </c>
      <c r="DE93" s="72">
        <v>0</v>
      </c>
      <c r="DF93" s="72">
        <v>0</v>
      </c>
      <c r="DG93" s="72">
        <v>0</v>
      </c>
      <c r="DH93" s="72">
        <v>0</v>
      </c>
      <c r="DI93" s="72">
        <v>0</v>
      </c>
      <c r="DJ93" s="72">
        <v>0</v>
      </c>
      <c r="DK93" s="72">
        <v>0</v>
      </c>
      <c r="DL93" s="72">
        <v>0</v>
      </c>
      <c r="DM93" s="72">
        <v>0</v>
      </c>
      <c r="DN93" s="72">
        <v>0</v>
      </c>
      <c r="DO93" s="72">
        <v>0</v>
      </c>
      <c r="DP93" s="72">
        <v>0</v>
      </c>
      <c r="DQ93" s="72">
        <v>0</v>
      </c>
      <c r="DR93" s="72">
        <v>0</v>
      </c>
      <c r="DS93" s="72">
        <v>0</v>
      </c>
      <c r="DT93" s="72">
        <v>0</v>
      </c>
      <c r="DU93" s="72">
        <v>0</v>
      </c>
      <c r="DV93" s="72">
        <v>0</v>
      </c>
      <c r="DW93" s="72">
        <v>0</v>
      </c>
      <c r="DX93" s="72">
        <v>0</v>
      </c>
      <c r="DY93" s="72">
        <v>0</v>
      </c>
      <c r="DZ93" s="72">
        <v>0</v>
      </c>
      <c r="EA93" s="72">
        <v>0</v>
      </c>
      <c r="EB93" s="72">
        <v>0</v>
      </c>
      <c r="EC93" s="72">
        <v>0</v>
      </c>
      <c r="ED93" s="72">
        <v>0</v>
      </c>
      <c r="EE93" s="72">
        <v>0</v>
      </c>
      <c r="EF93" s="72">
        <v>0</v>
      </c>
      <c r="EG93" s="72">
        <v>0</v>
      </c>
      <c r="EH93" s="72">
        <v>0</v>
      </c>
      <c r="EI93" s="72">
        <v>0</v>
      </c>
      <c r="EJ93" s="72">
        <v>0</v>
      </c>
      <c r="EK93" s="72">
        <v>0</v>
      </c>
      <c r="EL93" s="72">
        <v>0</v>
      </c>
    </row>
    <row r="94" spans="1:142" s="6" customFormat="1" x14ac:dyDescent="0.35">
      <c r="A94" s="59">
        <f>Данные!A94</f>
        <v>4848</v>
      </c>
      <c r="B94" s="59">
        <f>Данные!B94</f>
        <v>2018</v>
      </c>
      <c r="C94" s="59" t="str">
        <f>Данные!C94</f>
        <v>компьютерных технологий и электронного обучения</v>
      </c>
      <c r="D94" s="59" t="str">
        <f>Данные!D94</f>
        <v>Воробьев Владимир Иванович</v>
      </c>
      <c r="E94" s="59" t="str">
        <f>Данные!E94</f>
        <v>доктор технических наук</v>
      </c>
      <c r="F94" s="59" t="str">
        <f>Данные!F94</f>
        <v>внешний</v>
      </c>
      <c r="G94" s="59">
        <f>Данные!G94</f>
        <v>1</v>
      </c>
      <c r="H94" s="59">
        <f>Данные!H94</f>
        <v>17231</v>
      </c>
      <c r="I94" s="59" t="str">
        <f>Данные!I94</f>
        <v>Руководство ВКР</v>
      </c>
      <c r="J94" s="59">
        <f>Данные!J94</f>
        <v>0</v>
      </c>
      <c r="K94" s="59">
        <f>Данные!K94</f>
        <v>0</v>
      </c>
      <c r="L94" s="59">
        <f>Данные!L94</f>
        <v>0</v>
      </c>
      <c r="M94" s="60">
        <f t="shared" si="9"/>
        <v>0</v>
      </c>
      <c r="N94" s="60">
        <f t="shared" ca="1" si="10"/>
        <v>6.29</v>
      </c>
      <c r="O94" s="60">
        <f t="shared" ca="1" si="11"/>
        <v>3.25</v>
      </c>
      <c r="P94" s="60">
        <f t="shared" ca="1" si="12"/>
        <v>3.25</v>
      </c>
      <c r="Q94" s="54">
        <f>Данные!Q94</f>
        <v>0</v>
      </c>
      <c r="R94" s="54">
        <f>Данные!R94</f>
        <v>0</v>
      </c>
      <c r="S94" s="54">
        <f>Данные!S94</f>
        <v>0</v>
      </c>
      <c r="T94" s="54">
        <f>Данные!T94</f>
        <v>0</v>
      </c>
      <c r="U94" s="54">
        <f>Данные!U94</f>
        <v>0</v>
      </c>
      <c r="V94" s="54">
        <f>Данные!V94</f>
        <v>140</v>
      </c>
      <c r="W94" s="54">
        <f ca="1">Данные!W94</f>
        <v>13</v>
      </c>
      <c r="X94" s="54" t="str">
        <f ca="1">Данные!X94</f>
        <v>1</v>
      </c>
      <c r="Y94" s="54" t="str">
        <f ca="1">Данные!Y94</f>
        <v>1</v>
      </c>
      <c r="Z94" s="54">
        <f>Данные!Z94</f>
        <v>0</v>
      </c>
      <c r="AA94" s="54" t="str">
        <f>Данные!AA94</f>
        <v>осн</v>
      </c>
      <c r="AB94" s="101">
        <f t="shared" si="13"/>
        <v>900</v>
      </c>
      <c r="AC94" s="101" t="str">
        <f t="shared" si="14"/>
        <v>ИВТ (бак)</v>
      </c>
      <c r="AD94" s="101" t="str">
        <f t="shared" si="15"/>
        <v/>
      </c>
      <c r="AE94" s="102">
        <f t="shared" ca="1" si="16"/>
        <v>152.79</v>
      </c>
      <c r="AF94" s="103">
        <f t="shared" ca="1" si="17"/>
        <v>0.16976666666666665</v>
      </c>
      <c r="AG94" s="101"/>
      <c r="AH94" s="101"/>
      <c r="AI94"/>
      <c r="BQ94" s="72">
        <v>0</v>
      </c>
      <c r="BR94" s="72">
        <v>0</v>
      </c>
      <c r="BS94" s="72">
        <v>0</v>
      </c>
      <c r="BT94" s="72">
        <v>0</v>
      </c>
      <c r="BU94" s="72">
        <v>0</v>
      </c>
      <c r="BV94" s="72">
        <v>0</v>
      </c>
      <c r="BW94" s="72">
        <v>0</v>
      </c>
      <c r="BX94" s="72">
        <v>0</v>
      </c>
      <c r="BY94" s="72">
        <v>0</v>
      </c>
      <c r="BZ94" s="72">
        <v>0</v>
      </c>
      <c r="CA94" s="72">
        <v>0</v>
      </c>
      <c r="CB94" s="72">
        <v>0</v>
      </c>
      <c r="CC94" s="72">
        <v>0</v>
      </c>
      <c r="CD94" s="72">
        <v>0</v>
      </c>
      <c r="CE94" s="72">
        <v>0</v>
      </c>
      <c r="CF94" s="72">
        <v>0</v>
      </c>
      <c r="CG94" s="72">
        <v>0</v>
      </c>
      <c r="CH94" s="72">
        <v>0</v>
      </c>
      <c r="CI94" s="72">
        <v>0</v>
      </c>
      <c r="CJ94" s="72">
        <v>0</v>
      </c>
      <c r="CK94" s="72">
        <v>0</v>
      </c>
      <c r="CL94" s="72">
        <v>0</v>
      </c>
      <c r="CM94" s="72">
        <v>0</v>
      </c>
      <c r="CN94" s="72">
        <v>0</v>
      </c>
      <c r="CO94" s="72">
        <v>0</v>
      </c>
      <c r="CP94" s="72">
        <v>0</v>
      </c>
      <c r="CQ94" s="72">
        <v>0</v>
      </c>
      <c r="CR94" s="72">
        <v>0</v>
      </c>
      <c r="CS94" s="72">
        <v>0</v>
      </c>
      <c r="CT94" s="72">
        <v>0</v>
      </c>
      <c r="CU94" s="72">
        <v>0</v>
      </c>
      <c r="CV94" s="72">
        <v>0</v>
      </c>
      <c r="CW94" s="72">
        <v>0</v>
      </c>
      <c r="CX94" s="72">
        <v>0</v>
      </c>
      <c r="CY94" s="72">
        <v>0</v>
      </c>
      <c r="CZ94" s="72">
        <v>0</v>
      </c>
      <c r="DA94" s="72">
        <v>0</v>
      </c>
      <c r="DB94" s="72">
        <v>0</v>
      </c>
      <c r="DC94" s="72">
        <v>0</v>
      </c>
      <c r="DD94" s="72">
        <v>0</v>
      </c>
      <c r="DE94" s="72">
        <v>0</v>
      </c>
      <c r="DF94" s="72">
        <v>0</v>
      </c>
      <c r="DG94" s="72">
        <v>0</v>
      </c>
      <c r="DH94" s="72">
        <v>0</v>
      </c>
      <c r="DI94" s="72">
        <v>0</v>
      </c>
      <c r="DJ94" s="72">
        <v>0</v>
      </c>
      <c r="DK94" s="72">
        <v>0</v>
      </c>
      <c r="DL94" s="72">
        <v>0</v>
      </c>
      <c r="DM94" s="72">
        <v>0</v>
      </c>
      <c r="DN94" s="72">
        <v>0</v>
      </c>
      <c r="DO94" s="72">
        <v>0</v>
      </c>
      <c r="DP94" s="72">
        <v>0</v>
      </c>
      <c r="DQ94" s="72">
        <v>0</v>
      </c>
      <c r="DR94" s="72">
        <v>0</v>
      </c>
      <c r="DS94" s="72">
        <v>0</v>
      </c>
      <c r="DT94" s="72">
        <v>0</v>
      </c>
      <c r="DU94" s="72">
        <v>0</v>
      </c>
      <c r="DV94" s="72">
        <v>0</v>
      </c>
      <c r="DW94" s="72">
        <v>0</v>
      </c>
      <c r="DX94" s="72">
        <v>0</v>
      </c>
      <c r="DY94" s="72">
        <v>0</v>
      </c>
      <c r="DZ94" s="72">
        <v>0</v>
      </c>
      <c r="EA94" s="72">
        <v>0</v>
      </c>
      <c r="EB94" s="72">
        <v>0</v>
      </c>
      <c r="EC94" s="72">
        <v>0</v>
      </c>
      <c r="ED94" s="72">
        <v>0</v>
      </c>
      <c r="EE94" s="72">
        <v>0</v>
      </c>
      <c r="EF94" s="72">
        <v>0</v>
      </c>
      <c r="EG94" s="72">
        <v>0</v>
      </c>
      <c r="EH94" s="72">
        <v>0</v>
      </c>
      <c r="EI94" s="72">
        <v>0</v>
      </c>
      <c r="EJ94" s="72">
        <v>0</v>
      </c>
      <c r="EK94" s="72">
        <v>0</v>
      </c>
      <c r="EL94" s="72">
        <v>0</v>
      </c>
    </row>
    <row r="95" spans="1:142" s="6" customFormat="1" x14ac:dyDescent="0.35">
      <c r="A95" s="59">
        <f>Данные!A95</f>
        <v>4848</v>
      </c>
      <c r="B95" s="59">
        <f>Данные!B95</f>
        <v>2018</v>
      </c>
      <c r="C95" s="59" t="str">
        <f>Данные!C95</f>
        <v>компьютерных технологий и электронного обучения</v>
      </c>
      <c r="D95" s="59" t="str">
        <f>Данные!D95</f>
        <v>Власова Елена Зотиковна</v>
      </c>
      <c r="E95" s="59" t="str">
        <f>Данные!E95</f>
        <v>доктор педагогических наук</v>
      </c>
      <c r="F95" s="59" t="str">
        <f>Данные!F95</f>
        <v>заведующий кафедрой</v>
      </c>
      <c r="G95" s="59">
        <f>Данные!G95</f>
        <v>1</v>
      </c>
      <c r="H95" s="59">
        <f>Данные!H95</f>
        <v>17231</v>
      </c>
      <c r="I95" s="59" t="str">
        <f>Данные!I95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95" s="59">
        <f>Данные!J95</f>
        <v>0</v>
      </c>
      <c r="K95" s="59">
        <f>Данные!K95</f>
        <v>0</v>
      </c>
      <c r="L95" s="59">
        <f>Данные!L95</f>
        <v>0</v>
      </c>
      <c r="M95" s="60">
        <f t="shared" si="9"/>
        <v>0</v>
      </c>
      <c r="N95" s="60">
        <f t="shared" ca="1" si="10"/>
        <v>6.29</v>
      </c>
      <c r="O95" s="60">
        <f t="shared" ca="1" si="11"/>
        <v>3.25</v>
      </c>
      <c r="P95" s="60">
        <f t="shared" ca="1" si="12"/>
        <v>3.25</v>
      </c>
      <c r="Q95" s="54">
        <f>Данные!Q95</f>
        <v>0</v>
      </c>
      <c r="R95" s="54">
        <f>Данные!R95</f>
        <v>0</v>
      </c>
      <c r="S95" s="54">
        <f>Данные!S95</f>
        <v>0</v>
      </c>
      <c r="T95" s="54">
        <f>Данные!T95</f>
        <v>0</v>
      </c>
      <c r="U95" s="54">
        <f>Данные!U95</f>
        <v>2</v>
      </c>
      <c r="V95" s="54">
        <f>Данные!V95</f>
        <v>0</v>
      </c>
      <c r="W95" s="54">
        <f ca="1">Данные!W95</f>
        <v>13</v>
      </c>
      <c r="X95" s="54" t="str">
        <f ca="1">Данные!X95</f>
        <v>1</v>
      </c>
      <c r="Y95" s="54" t="str">
        <f ca="1">Данные!Y95</f>
        <v>1</v>
      </c>
      <c r="Z95" s="54">
        <f>Данные!Z95</f>
        <v>0</v>
      </c>
      <c r="AA95" s="54">
        <f>Данные!AA95</f>
        <v>0</v>
      </c>
      <c r="AB95" s="101">
        <f t="shared" si="13"/>
        <v>700</v>
      </c>
      <c r="AC95" s="101" t="str">
        <f t="shared" si="14"/>
        <v>ИВТ (бак)</v>
      </c>
      <c r="AD95" s="101" t="str">
        <f t="shared" si="15"/>
        <v/>
      </c>
      <c r="AE95" s="102">
        <f t="shared" ca="1" si="16"/>
        <v>14.79</v>
      </c>
      <c r="AF95" s="103">
        <f t="shared" ca="1" si="17"/>
        <v>2.1128571428571427E-2</v>
      </c>
      <c r="AG95" s="101"/>
      <c r="AH95" s="101"/>
      <c r="AI95"/>
      <c r="BQ95" s="72">
        <v>0</v>
      </c>
      <c r="BR95" s="72">
        <v>0</v>
      </c>
      <c r="BS95" s="72">
        <v>0</v>
      </c>
      <c r="BT95" s="72">
        <v>0</v>
      </c>
      <c r="BU95" s="72">
        <v>0</v>
      </c>
      <c r="BV95" s="72">
        <v>0</v>
      </c>
      <c r="BW95" s="72">
        <v>0</v>
      </c>
      <c r="BX95" s="72">
        <v>0</v>
      </c>
      <c r="BY95" s="72">
        <v>0</v>
      </c>
      <c r="BZ95" s="72">
        <v>0</v>
      </c>
      <c r="CA95" s="72">
        <v>0</v>
      </c>
      <c r="CB95" s="72">
        <v>0</v>
      </c>
      <c r="CC95" s="72">
        <v>0</v>
      </c>
      <c r="CD95" s="72">
        <v>0</v>
      </c>
      <c r="CE95" s="72">
        <v>0</v>
      </c>
      <c r="CF95" s="72">
        <v>0</v>
      </c>
      <c r="CG95" s="72">
        <v>0</v>
      </c>
      <c r="CH95" s="72">
        <v>0</v>
      </c>
      <c r="CI95" s="72">
        <v>0</v>
      </c>
      <c r="CJ95" s="72">
        <v>0</v>
      </c>
      <c r="CK95" s="72">
        <v>0</v>
      </c>
      <c r="CL95" s="72">
        <v>0</v>
      </c>
      <c r="CM95" s="72">
        <v>0</v>
      </c>
      <c r="CN95" s="72">
        <v>0</v>
      </c>
      <c r="CO95" s="72">
        <v>0</v>
      </c>
      <c r="CP95" s="72">
        <v>0</v>
      </c>
      <c r="CQ95" s="72">
        <v>0</v>
      </c>
      <c r="CR95" s="72">
        <v>0</v>
      </c>
      <c r="CS95" s="72">
        <v>0</v>
      </c>
      <c r="CT95" s="72">
        <v>0</v>
      </c>
      <c r="CU95" s="72">
        <v>0</v>
      </c>
      <c r="CV95" s="72">
        <v>0</v>
      </c>
      <c r="CW95" s="72">
        <v>0</v>
      </c>
      <c r="CX95" s="72">
        <v>0</v>
      </c>
      <c r="CY95" s="72">
        <v>0</v>
      </c>
      <c r="CZ95" s="72">
        <v>0</v>
      </c>
      <c r="DA95" s="72">
        <v>0</v>
      </c>
      <c r="DB95" s="72">
        <v>0</v>
      </c>
      <c r="DC95" s="72">
        <v>0</v>
      </c>
      <c r="DD95" s="72">
        <v>0</v>
      </c>
      <c r="DE95" s="72">
        <v>0</v>
      </c>
      <c r="DF95" s="72">
        <v>0</v>
      </c>
      <c r="DG95" s="72">
        <v>0</v>
      </c>
      <c r="DH95" s="72">
        <v>0</v>
      </c>
      <c r="DI95" s="72">
        <v>0</v>
      </c>
      <c r="DJ95" s="72">
        <v>0</v>
      </c>
      <c r="DK95" s="72">
        <v>0</v>
      </c>
      <c r="DL95" s="72">
        <v>0</v>
      </c>
      <c r="DM95" s="72">
        <v>0</v>
      </c>
      <c r="DN95" s="72">
        <v>0</v>
      </c>
      <c r="DO95" s="72">
        <v>0</v>
      </c>
      <c r="DP95" s="72">
        <v>0</v>
      </c>
      <c r="DQ95" s="72">
        <v>0</v>
      </c>
      <c r="DR95" s="72">
        <v>0</v>
      </c>
      <c r="DS95" s="72">
        <v>0</v>
      </c>
      <c r="DT95" s="72">
        <v>0</v>
      </c>
      <c r="DU95" s="72">
        <v>0</v>
      </c>
      <c r="DV95" s="72">
        <v>0</v>
      </c>
      <c r="DW95" s="72">
        <v>0</v>
      </c>
      <c r="DX95" s="72">
        <v>0</v>
      </c>
      <c r="DY95" s="72">
        <v>0</v>
      </c>
      <c r="DZ95" s="72">
        <v>0</v>
      </c>
      <c r="EA95" s="72">
        <v>0</v>
      </c>
      <c r="EB95" s="72">
        <v>0</v>
      </c>
      <c r="EC95" s="72">
        <v>0</v>
      </c>
      <c r="ED95" s="72">
        <v>0</v>
      </c>
      <c r="EE95" s="72">
        <v>0</v>
      </c>
      <c r="EF95" s="72">
        <v>0</v>
      </c>
      <c r="EG95" s="72">
        <v>0</v>
      </c>
      <c r="EH95" s="72">
        <v>0</v>
      </c>
      <c r="EI95" s="72">
        <v>0</v>
      </c>
      <c r="EJ95" s="72">
        <v>0</v>
      </c>
      <c r="EK95" s="72">
        <v>0</v>
      </c>
      <c r="EL95" s="72">
        <v>0</v>
      </c>
    </row>
    <row r="96" spans="1:142" s="6" customFormat="1" x14ac:dyDescent="0.35">
      <c r="A96" s="59">
        <f>Данные!A96</f>
        <v>4848</v>
      </c>
      <c r="B96" s="59">
        <f>Данные!B96</f>
        <v>2018</v>
      </c>
      <c r="C96" s="59" t="str">
        <f>Данные!C96</f>
        <v>компьютерных технологий и электронного обучения</v>
      </c>
      <c r="D96" s="59" t="str">
        <f>Данные!D96</f>
        <v>Власова Елена Зотиковна</v>
      </c>
      <c r="E96" s="59" t="str">
        <f>Данные!E96</f>
        <v>доктор педагогических наук</v>
      </c>
      <c r="F96" s="59" t="str">
        <f>Данные!F96</f>
        <v>заведующий кафедрой</v>
      </c>
      <c r="G96" s="59">
        <f>Данные!G96</f>
        <v>1</v>
      </c>
      <c r="H96" s="59">
        <f>Данные!H96</f>
        <v>17231</v>
      </c>
      <c r="I96" s="59" t="str">
        <f>Данные!I96</f>
        <v>Участие в ГЭК (защита, экзамен)</v>
      </c>
      <c r="J96" s="59">
        <f>Данные!J96</f>
        <v>0</v>
      </c>
      <c r="K96" s="59">
        <f>Данные!K96</f>
        <v>0</v>
      </c>
      <c r="L96" s="59">
        <f>Данные!L96</f>
        <v>0</v>
      </c>
      <c r="M96" s="60">
        <f t="shared" si="9"/>
        <v>0</v>
      </c>
      <c r="N96" s="60">
        <f t="shared" ca="1" si="10"/>
        <v>6.29</v>
      </c>
      <c r="O96" s="60">
        <f t="shared" ca="1" si="11"/>
        <v>3.25</v>
      </c>
      <c r="P96" s="60">
        <f t="shared" ca="1" si="12"/>
        <v>3.25</v>
      </c>
      <c r="Q96" s="54">
        <f>Данные!Q96</f>
        <v>0</v>
      </c>
      <c r="R96" s="54">
        <f>Данные!R96</f>
        <v>7</v>
      </c>
      <c r="S96" s="54">
        <f>Данные!S96</f>
        <v>10</v>
      </c>
      <c r="T96" s="54">
        <f>Данные!T96</f>
        <v>0</v>
      </c>
      <c r="U96" s="54">
        <f>Данные!U96</f>
        <v>0</v>
      </c>
      <c r="V96" s="54">
        <f>Данные!V96</f>
        <v>0</v>
      </c>
      <c r="W96" s="54">
        <f ca="1">Данные!W96</f>
        <v>13</v>
      </c>
      <c r="X96" s="54" t="str">
        <f ca="1">Данные!X96</f>
        <v>1</v>
      </c>
      <c r="Y96" s="54" t="str">
        <f ca="1">Данные!Y96</f>
        <v>1</v>
      </c>
      <c r="Z96" s="54">
        <f>Данные!Z96</f>
        <v>0</v>
      </c>
      <c r="AA96" s="54" t="str">
        <f>Данные!AA96</f>
        <v>доп</v>
      </c>
      <c r="AB96" s="101">
        <f t="shared" si="13"/>
        <v>700</v>
      </c>
      <c r="AC96" s="101" t="str">
        <f t="shared" si="14"/>
        <v>ИВТ (бак)</v>
      </c>
      <c r="AD96" s="101" t="str">
        <f t="shared" si="15"/>
        <v/>
      </c>
      <c r="AE96" s="102">
        <f t="shared" ca="1" si="16"/>
        <v>29.79</v>
      </c>
      <c r="AF96" s="103">
        <f t="shared" ca="1" si="17"/>
        <v>4.2557142857142856E-2</v>
      </c>
      <c r="AG96" s="101"/>
      <c r="AH96" s="101"/>
      <c r="AI96"/>
      <c r="BQ96" s="72">
        <v>0</v>
      </c>
      <c r="BR96" s="72">
        <v>0</v>
      </c>
      <c r="BS96" s="72">
        <v>0</v>
      </c>
      <c r="BT96" s="72">
        <v>0</v>
      </c>
      <c r="BU96" s="72">
        <v>0</v>
      </c>
      <c r="BV96" s="72">
        <v>0</v>
      </c>
      <c r="BW96" s="72">
        <v>0</v>
      </c>
      <c r="BX96" s="72">
        <v>0</v>
      </c>
      <c r="BY96" s="72">
        <v>0</v>
      </c>
      <c r="BZ96" s="72">
        <v>0</v>
      </c>
      <c r="CA96" s="72">
        <v>0</v>
      </c>
      <c r="CB96" s="72">
        <v>0</v>
      </c>
      <c r="CC96" s="72">
        <v>0</v>
      </c>
      <c r="CD96" s="72">
        <v>0</v>
      </c>
      <c r="CE96" s="72">
        <v>0</v>
      </c>
      <c r="CF96" s="72">
        <v>0</v>
      </c>
      <c r="CG96" s="72">
        <v>0</v>
      </c>
      <c r="CH96" s="72">
        <v>0</v>
      </c>
      <c r="CI96" s="72">
        <v>0</v>
      </c>
      <c r="CJ96" s="72">
        <v>0</v>
      </c>
      <c r="CK96" s="72">
        <v>0</v>
      </c>
      <c r="CL96" s="72">
        <v>0</v>
      </c>
      <c r="CM96" s="72">
        <v>0</v>
      </c>
      <c r="CN96" s="72">
        <v>0</v>
      </c>
      <c r="CO96" s="72">
        <v>0</v>
      </c>
      <c r="CP96" s="72">
        <v>0</v>
      </c>
      <c r="CQ96" s="72">
        <v>0</v>
      </c>
      <c r="CR96" s="72">
        <v>0</v>
      </c>
      <c r="CS96" s="72">
        <v>0</v>
      </c>
      <c r="CT96" s="72">
        <v>0</v>
      </c>
      <c r="CU96" s="72">
        <v>0</v>
      </c>
      <c r="CV96" s="72">
        <v>0</v>
      </c>
      <c r="CW96" s="72">
        <v>0</v>
      </c>
      <c r="CX96" s="72">
        <v>0</v>
      </c>
      <c r="CY96" s="72">
        <v>0</v>
      </c>
      <c r="CZ96" s="72">
        <v>0</v>
      </c>
      <c r="DA96" s="72">
        <v>0</v>
      </c>
      <c r="DB96" s="72">
        <v>0</v>
      </c>
      <c r="DC96" s="72">
        <v>0</v>
      </c>
      <c r="DD96" s="72">
        <v>0</v>
      </c>
      <c r="DE96" s="72">
        <v>0</v>
      </c>
      <c r="DF96" s="72">
        <v>0</v>
      </c>
      <c r="DG96" s="72">
        <v>0</v>
      </c>
      <c r="DH96" s="72">
        <v>0</v>
      </c>
      <c r="DI96" s="72">
        <v>0</v>
      </c>
      <c r="DJ96" s="72">
        <v>0</v>
      </c>
      <c r="DK96" s="72">
        <v>0</v>
      </c>
      <c r="DL96" s="72">
        <v>0</v>
      </c>
      <c r="DM96" s="72">
        <v>0</v>
      </c>
      <c r="DN96" s="72">
        <v>0</v>
      </c>
      <c r="DO96" s="72">
        <v>0</v>
      </c>
      <c r="DP96" s="72">
        <v>0</v>
      </c>
      <c r="DQ96" s="72">
        <v>0</v>
      </c>
      <c r="DR96" s="72">
        <v>0</v>
      </c>
      <c r="DS96" s="72">
        <v>0</v>
      </c>
      <c r="DT96" s="72">
        <v>0</v>
      </c>
      <c r="DU96" s="72">
        <v>0</v>
      </c>
      <c r="DV96" s="72">
        <v>0</v>
      </c>
      <c r="DW96" s="72">
        <v>0</v>
      </c>
      <c r="DX96" s="72">
        <v>0</v>
      </c>
      <c r="DY96" s="72">
        <v>0</v>
      </c>
      <c r="DZ96" s="72">
        <v>0</v>
      </c>
      <c r="EA96" s="72">
        <v>0</v>
      </c>
      <c r="EB96" s="72">
        <v>0</v>
      </c>
      <c r="EC96" s="72">
        <v>0</v>
      </c>
      <c r="ED96" s="72">
        <v>0</v>
      </c>
      <c r="EE96" s="72">
        <v>0</v>
      </c>
      <c r="EF96" s="72">
        <v>0</v>
      </c>
      <c r="EG96" s="72">
        <v>0</v>
      </c>
      <c r="EH96" s="72">
        <v>0</v>
      </c>
      <c r="EI96" s="72">
        <v>0</v>
      </c>
      <c r="EJ96" s="72">
        <v>0</v>
      </c>
      <c r="EK96" s="72">
        <v>0</v>
      </c>
      <c r="EL96" s="72">
        <v>0</v>
      </c>
    </row>
    <row r="97" spans="1:142" s="6" customFormat="1" x14ac:dyDescent="0.35">
      <c r="A97" s="59">
        <f>Данные!A97</f>
        <v>4848</v>
      </c>
      <c r="B97" s="59">
        <f>Данные!B97</f>
        <v>2018</v>
      </c>
      <c r="C97" s="59" t="str">
        <f>Данные!C97</f>
        <v>компьютерных технологий и электронного обучения</v>
      </c>
      <c r="D97" s="59" t="str">
        <f>Данные!D97</f>
        <v>Власова Елена Зотиковна</v>
      </c>
      <c r="E97" s="59" t="str">
        <f>Данные!E97</f>
        <v>доктор педагогических наук</v>
      </c>
      <c r="F97" s="59" t="str">
        <f>Данные!F97</f>
        <v>заведующий кафедрой</v>
      </c>
      <c r="G97" s="59">
        <f>Данные!G97</f>
        <v>1</v>
      </c>
      <c r="H97" s="59">
        <f>Данные!H97</f>
        <v>17231</v>
      </c>
      <c r="I97" s="59" t="str">
        <f>Данные!I97</f>
        <v>Руководство ВКР</v>
      </c>
      <c r="J97" s="59">
        <f>Данные!J97</f>
        <v>0</v>
      </c>
      <c r="K97" s="59">
        <f>Данные!K97</f>
        <v>0</v>
      </c>
      <c r="L97" s="59">
        <f>Данные!L97</f>
        <v>0</v>
      </c>
      <c r="M97" s="60">
        <f t="shared" si="9"/>
        <v>0</v>
      </c>
      <c r="N97" s="60">
        <f t="shared" ca="1" si="10"/>
        <v>6.29</v>
      </c>
      <c r="O97" s="60">
        <f t="shared" ca="1" si="11"/>
        <v>3.25</v>
      </c>
      <c r="P97" s="60">
        <f t="shared" ca="1" si="12"/>
        <v>3.25</v>
      </c>
      <c r="Q97" s="54">
        <f>Данные!Q97</f>
        <v>0</v>
      </c>
      <c r="R97" s="54">
        <f>Данные!R97</f>
        <v>0</v>
      </c>
      <c r="S97" s="54">
        <f>Данные!S97</f>
        <v>0</v>
      </c>
      <c r="T97" s="54">
        <f>Данные!T97</f>
        <v>0</v>
      </c>
      <c r="U97" s="54">
        <f>Данные!U97</f>
        <v>0</v>
      </c>
      <c r="V97" s="54">
        <f>Данные!V97</f>
        <v>10</v>
      </c>
      <c r="W97" s="54">
        <f ca="1">Данные!W97</f>
        <v>13</v>
      </c>
      <c r="X97" s="54" t="str">
        <f ca="1">Данные!X97</f>
        <v>1</v>
      </c>
      <c r="Y97" s="54" t="str">
        <f ca="1">Данные!Y97</f>
        <v>1</v>
      </c>
      <c r="Z97" s="54">
        <f>Данные!Z97</f>
        <v>0</v>
      </c>
      <c r="AA97" s="54">
        <f>Данные!AA97</f>
        <v>0</v>
      </c>
      <c r="AB97" s="101">
        <f t="shared" si="13"/>
        <v>700</v>
      </c>
      <c r="AC97" s="101" t="str">
        <f t="shared" si="14"/>
        <v>ИВТ (бак)</v>
      </c>
      <c r="AD97" s="101" t="str">
        <f t="shared" si="15"/>
        <v/>
      </c>
      <c r="AE97" s="102">
        <f t="shared" ca="1" si="16"/>
        <v>22.79</v>
      </c>
      <c r="AF97" s="103">
        <f t="shared" ca="1" si="17"/>
        <v>3.2557142857142854E-2</v>
      </c>
      <c r="AG97" s="101"/>
      <c r="AH97" s="101"/>
      <c r="AI97"/>
      <c r="BQ97" s="72">
        <v>0</v>
      </c>
      <c r="BR97" s="72">
        <v>0</v>
      </c>
      <c r="BS97" s="72">
        <v>0</v>
      </c>
      <c r="BT97" s="72">
        <v>0</v>
      </c>
      <c r="BU97" s="72">
        <v>0</v>
      </c>
      <c r="BV97" s="72">
        <v>0</v>
      </c>
      <c r="BW97" s="72">
        <v>0</v>
      </c>
      <c r="BX97" s="72">
        <v>0</v>
      </c>
      <c r="BY97" s="72">
        <v>0</v>
      </c>
      <c r="BZ97" s="72">
        <v>0</v>
      </c>
      <c r="CA97" s="72">
        <v>0</v>
      </c>
      <c r="CB97" s="72">
        <v>0</v>
      </c>
      <c r="CC97" s="72">
        <v>0</v>
      </c>
      <c r="CD97" s="72">
        <v>0</v>
      </c>
      <c r="CE97" s="72">
        <v>0</v>
      </c>
      <c r="CF97" s="72">
        <v>0</v>
      </c>
      <c r="CG97" s="72">
        <v>0</v>
      </c>
      <c r="CH97" s="72">
        <v>0</v>
      </c>
      <c r="CI97" s="72">
        <v>0</v>
      </c>
      <c r="CJ97" s="72">
        <v>0</v>
      </c>
      <c r="CK97" s="72">
        <v>0</v>
      </c>
      <c r="CL97" s="72">
        <v>0</v>
      </c>
      <c r="CM97" s="72">
        <v>0</v>
      </c>
      <c r="CN97" s="72">
        <v>0</v>
      </c>
      <c r="CO97" s="72">
        <v>0</v>
      </c>
      <c r="CP97" s="72">
        <v>0</v>
      </c>
      <c r="CQ97" s="72">
        <v>0</v>
      </c>
      <c r="CR97" s="72">
        <v>0</v>
      </c>
      <c r="CS97" s="72">
        <v>0</v>
      </c>
      <c r="CT97" s="72">
        <v>0</v>
      </c>
      <c r="CU97" s="72">
        <v>0</v>
      </c>
      <c r="CV97" s="72">
        <v>0</v>
      </c>
      <c r="CW97" s="72">
        <v>0</v>
      </c>
      <c r="CX97" s="72">
        <v>0</v>
      </c>
      <c r="CY97" s="72">
        <v>0</v>
      </c>
      <c r="CZ97" s="72">
        <v>0</v>
      </c>
      <c r="DA97" s="72">
        <v>0</v>
      </c>
      <c r="DB97" s="72">
        <v>0</v>
      </c>
      <c r="DC97" s="72">
        <v>0</v>
      </c>
      <c r="DD97" s="72">
        <v>0</v>
      </c>
      <c r="DE97" s="72">
        <v>0</v>
      </c>
      <c r="DF97" s="72">
        <v>0</v>
      </c>
      <c r="DG97" s="72">
        <v>0</v>
      </c>
      <c r="DH97" s="72">
        <v>0</v>
      </c>
      <c r="DI97" s="72">
        <v>0</v>
      </c>
      <c r="DJ97" s="72">
        <v>0</v>
      </c>
      <c r="DK97" s="72">
        <v>0</v>
      </c>
      <c r="DL97" s="72">
        <v>0</v>
      </c>
      <c r="DM97" s="72">
        <v>0</v>
      </c>
      <c r="DN97" s="72">
        <v>0</v>
      </c>
      <c r="DO97" s="72">
        <v>0</v>
      </c>
      <c r="DP97" s="72">
        <v>0</v>
      </c>
      <c r="DQ97" s="72">
        <v>0</v>
      </c>
      <c r="DR97" s="72">
        <v>0</v>
      </c>
      <c r="DS97" s="72">
        <v>0</v>
      </c>
      <c r="DT97" s="72">
        <v>0</v>
      </c>
      <c r="DU97" s="72">
        <v>0</v>
      </c>
      <c r="DV97" s="72">
        <v>0</v>
      </c>
      <c r="DW97" s="72">
        <v>0</v>
      </c>
      <c r="DX97" s="72">
        <v>0</v>
      </c>
      <c r="DY97" s="72">
        <v>0</v>
      </c>
      <c r="DZ97" s="72">
        <v>0</v>
      </c>
      <c r="EA97" s="72">
        <v>0</v>
      </c>
      <c r="EB97" s="72">
        <v>0</v>
      </c>
      <c r="EC97" s="72">
        <v>0</v>
      </c>
      <c r="ED97" s="72">
        <v>0</v>
      </c>
      <c r="EE97" s="72">
        <v>0</v>
      </c>
      <c r="EF97" s="72">
        <v>0</v>
      </c>
      <c r="EG97" s="72">
        <v>0</v>
      </c>
      <c r="EH97" s="72">
        <v>0</v>
      </c>
      <c r="EI97" s="72">
        <v>0</v>
      </c>
      <c r="EJ97" s="72">
        <v>0</v>
      </c>
      <c r="EK97" s="72">
        <v>0</v>
      </c>
      <c r="EL97" s="72">
        <v>0</v>
      </c>
    </row>
    <row r="98" spans="1:142" s="6" customFormat="1" x14ac:dyDescent="0.35">
      <c r="A98" s="59">
        <f>Данные!A98</f>
        <v>4848</v>
      </c>
      <c r="B98" s="59">
        <f>Данные!B98</f>
        <v>2018</v>
      </c>
      <c r="C98" s="59" t="str">
        <f>Данные!C98</f>
        <v>компьютерных технологий и электронного обучения</v>
      </c>
      <c r="D98" s="59" t="str">
        <f>Данные!D98</f>
        <v>Гончарова Светлана Викторовна</v>
      </c>
      <c r="E98" s="59" t="str">
        <f>Данные!E98</f>
        <v>кандидат педагогических наук</v>
      </c>
      <c r="F98" s="59" t="str">
        <f>Данные!F98</f>
        <v>доцент</v>
      </c>
      <c r="G98" s="59">
        <f>Данные!G98</f>
        <v>1</v>
      </c>
      <c r="H98" s="59">
        <f>Данные!H98</f>
        <v>17231</v>
      </c>
      <c r="I98" s="59" t="str">
        <f>Данные!I98</f>
        <v>Участие в ГЭК (защита, экзамен)</v>
      </c>
      <c r="J98" s="59">
        <f>Данные!J98</f>
        <v>0</v>
      </c>
      <c r="K98" s="59">
        <f>Данные!K98</f>
        <v>0</v>
      </c>
      <c r="L98" s="59">
        <f>Данные!L98</f>
        <v>0</v>
      </c>
      <c r="M98" s="60">
        <f t="shared" si="9"/>
        <v>0</v>
      </c>
      <c r="N98" s="60">
        <f t="shared" ca="1" si="10"/>
        <v>6.29</v>
      </c>
      <c r="O98" s="60">
        <f t="shared" ca="1" si="11"/>
        <v>3.25</v>
      </c>
      <c r="P98" s="60">
        <f t="shared" ca="1" si="12"/>
        <v>3.25</v>
      </c>
      <c r="Q98" s="54">
        <f>Данные!Q98</f>
        <v>0</v>
      </c>
      <c r="R98" s="54">
        <f>Данные!R98</f>
        <v>5</v>
      </c>
      <c r="S98" s="54">
        <f>Данные!S98</f>
        <v>8</v>
      </c>
      <c r="T98" s="54">
        <f>Данные!T98</f>
        <v>0</v>
      </c>
      <c r="U98" s="54">
        <f>Данные!U98</f>
        <v>0</v>
      </c>
      <c r="V98" s="54">
        <f>Данные!V98</f>
        <v>0</v>
      </c>
      <c r="W98" s="54">
        <f ca="1">Данные!W98</f>
        <v>13</v>
      </c>
      <c r="X98" s="54" t="str">
        <f ca="1">Данные!X98</f>
        <v>1</v>
      </c>
      <c r="Y98" s="54" t="str">
        <f ca="1">Данные!Y98</f>
        <v>1</v>
      </c>
      <c r="Z98" s="54">
        <f>Данные!Z98</f>
        <v>0</v>
      </c>
      <c r="AA98" s="54" t="str">
        <f>Данные!AA98</f>
        <v>осн</v>
      </c>
      <c r="AB98" s="101">
        <f t="shared" si="13"/>
        <v>800</v>
      </c>
      <c r="AC98" s="101" t="str">
        <f t="shared" si="14"/>
        <v>ИВТ (бак)</v>
      </c>
      <c r="AD98" s="101" t="str">
        <f t="shared" si="15"/>
        <v/>
      </c>
      <c r="AE98" s="102">
        <f t="shared" ca="1" si="16"/>
        <v>25.79</v>
      </c>
      <c r="AF98" s="103">
        <f t="shared" ca="1" si="17"/>
        <v>3.2237500000000002E-2</v>
      </c>
      <c r="AG98" s="101"/>
      <c r="AH98" s="101"/>
      <c r="AI98"/>
      <c r="BQ98" s="72">
        <v>0</v>
      </c>
      <c r="BR98" s="72">
        <v>0</v>
      </c>
      <c r="BS98" s="72">
        <v>0</v>
      </c>
      <c r="BT98" s="72">
        <v>0</v>
      </c>
      <c r="BU98" s="72">
        <v>0</v>
      </c>
      <c r="BV98" s="72">
        <v>0</v>
      </c>
      <c r="BW98" s="72">
        <v>0</v>
      </c>
      <c r="BX98" s="72">
        <v>0</v>
      </c>
      <c r="BY98" s="72">
        <v>0</v>
      </c>
      <c r="BZ98" s="72">
        <v>0</v>
      </c>
      <c r="CA98" s="72">
        <v>0</v>
      </c>
      <c r="CB98" s="72">
        <v>0</v>
      </c>
      <c r="CC98" s="72">
        <v>0</v>
      </c>
      <c r="CD98" s="72">
        <v>0</v>
      </c>
      <c r="CE98" s="72">
        <v>0</v>
      </c>
      <c r="CF98" s="72">
        <v>0</v>
      </c>
      <c r="CG98" s="72">
        <v>0</v>
      </c>
      <c r="CH98" s="72">
        <v>0</v>
      </c>
      <c r="CI98" s="72">
        <v>0</v>
      </c>
      <c r="CJ98" s="72">
        <v>0</v>
      </c>
      <c r="CK98" s="72">
        <v>0</v>
      </c>
      <c r="CL98" s="72">
        <v>0</v>
      </c>
      <c r="CM98" s="72">
        <v>0</v>
      </c>
      <c r="CN98" s="72">
        <v>0</v>
      </c>
      <c r="CO98" s="72">
        <v>0</v>
      </c>
      <c r="CP98" s="72">
        <v>0</v>
      </c>
      <c r="CQ98" s="72">
        <v>0</v>
      </c>
      <c r="CR98" s="72">
        <v>0</v>
      </c>
      <c r="CS98" s="72">
        <v>0</v>
      </c>
      <c r="CT98" s="72">
        <v>0</v>
      </c>
      <c r="CU98" s="72">
        <v>0</v>
      </c>
      <c r="CV98" s="72">
        <v>0</v>
      </c>
      <c r="CW98" s="72">
        <v>0</v>
      </c>
      <c r="CX98" s="72">
        <v>0</v>
      </c>
      <c r="CY98" s="72">
        <v>0</v>
      </c>
      <c r="CZ98" s="72">
        <v>0</v>
      </c>
      <c r="DA98" s="72">
        <v>0</v>
      </c>
      <c r="DB98" s="72">
        <v>0</v>
      </c>
      <c r="DC98" s="72">
        <v>0</v>
      </c>
      <c r="DD98" s="72">
        <v>0</v>
      </c>
      <c r="DE98" s="72">
        <v>0</v>
      </c>
      <c r="DF98" s="72">
        <v>0</v>
      </c>
      <c r="DG98" s="72">
        <v>0</v>
      </c>
      <c r="DH98" s="72">
        <v>0</v>
      </c>
      <c r="DI98" s="72">
        <v>0</v>
      </c>
      <c r="DJ98" s="72">
        <v>0</v>
      </c>
      <c r="DK98" s="72">
        <v>0</v>
      </c>
      <c r="DL98" s="72">
        <v>0</v>
      </c>
      <c r="DM98" s="72">
        <v>0</v>
      </c>
      <c r="DN98" s="72">
        <v>0</v>
      </c>
      <c r="DO98" s="72">
        <v>0</v>
      </c>
      <c r="DP98" s="72">
        <v>0</v>
      </c>
      <c r="DQ98" s="72">
        <v>0</v>
      </c>
      <c r="DR98" s="72">
        <v>0</v>
      </c>
      <c r="DS98" s="72">
        <v>0</v>
      </c>
      <c r="DT98" s="72">
        <v>0</v>
      </c>
      <c r="DU98" s="72">
        <v>0</v>
      </c>
      <c r="DV98" s="72">
        <v>0</v>
      </c>
      <c r="DW98" s="72">
        <v>0</v>
      </c>
      <c r="DX98" s="72">
        <v>0</v>
      </c>
      <c r="DY98" s="72">
        <v>0</v>
      </c>
      <c r="DZ98" s="72">
        <v>0</v>
      </c>
      <c r="EA98" s="72">
        <v>0</v>
      </c>
      <c r="EB98" s="72">
        <v>0</v>
      </c>
      <c r="EC98" s="72">
        <v>0</v>
      </c>
      <c r="ED98" s="72">
        <v>0</v>
      </c>
      <c r="EE98" s="72">
        <v>0</v>
      </c>
      <c r="EF98" s="72">
        <v>0</v>
      </c>
      <c r="EG98" s="72">
        <v>0</v>
      </c>
      <c r="EH98" s="72">
        <v>0</v>
      </c>
      <c r="EI98" s="72">
        <v>0</v>
      </c>
      <c r="EJ98" s="72">
        <v>0</v>
      </c>
      <c r="EK98" s="72">
        <v>0</v>
      </c>
      <c r="EL98" s="72">
        <v>0</v>
      </c>
    </row>
    <row r="99" spans="1:142" s="6" customFormat="1" x14ac:dyDescent="0.35">
      <c r="A99" s="59">
        <f>Данные!A99</f>
        <v>4848</v>
      </c>
      <c r="B99" s="59">
        <f>Данные!B99</f>
        <v>2018</v>
      </c>
      <c r="C99" s="59" t="str">
        <f>Данные!C99</f>
        <v>компьютерных технологий и электронного обучения</v>
      </c>
      <c r="D99" s="59" t="str">
        <f>Данные!D99</f>
        <v>Государев Илья Борисович</v>
      </c>
      <c r="E99" s="59" t="str">
        <f>Данные!E99</f>
        <v>кандидат педагогических наук</v>
      </c>
      <c r="F99" s="59" t="str">
        <f>Данные!F99</f>
        <v>доцент</v>
      </c>
      <c r="G99" s="59">
        <f>Данные!G99</f>
        <v>1</v>
      </c>
      <c r="H99" s="59">
        <f>Данные!H99</f>
        <v>17231</v>
      </c>
      <c r="I99" s="59" t="str">
        <f>Данные!I99</f>
        <v>Модуль "Информационные ресурсы и средства профессиональной деятельности инженера"</v>
      </c>
      <c r="J99" s="59">
        <f>Данные!J99</f>
        <v>0</v>
      </c>
      <c r="K99" s="59">
        <f>Данные!K99</f>
        <v>0</v>
      </c>
      <c r="L99" s="59">
        <f>Данные!L99</f>
        <v>0</v>
      </c>
      <c r="M99" s="60">
        <f t="shared" si="9"/>
        <v>0</v>
      </c>
      <c r="N99" s="60">
        <f t="shared" ca="1" si="10"/>
        <v>6.29</v>
      </c>
      <c r="O99" s="60">
        <f t="shared" ca="1" si="11"/>
        <v>3.25</v>
      </c>
      <c r="P99" s="60">
        <f t="shared" ca="1" si="12"/>
        <v>3.25</v>
      </c>
      <c r="Q99" s="54">
        <f>Данные!Q99</f>
        <v>0</v>
      </c>
      <c r="R99" s="54">
        <f>Данные!R99</f>
        <v>0</v>
      </c>
      <c r="S99" s="54">
        <f>Данные!S99</f>
        <v>0</v>
      </c>
      <c r="T99" s="54">
        <f>Данные!T99</f>
        <v>0</v>
      </c>
      <c r="U99" s="54">
        <f>Данные!U99</f>
        <v>0</v>
      </c>
      <c r="V99" s="54">
        <f>Данные!V99</f>
        <v>0</v>
      </c>
      <c r="W99" s="54">
        <f ca="1">Данные!W99</f>
        <v>13</v>
      </c>
      <c r="X99" s="54" t="str">
        <f ca="1">Данные!X99</f>
        <v>1</v>
      </c>
      <c r="Y99" s="54" t="str">
        <f ca="1">Данные!Y99</f>
        <v>1</v>
      </c>
      <c r="Z99" s="54">
        <f>Данные!Z99</f>
        <v>0</v>
      </c>
      <c r="AA99" s="54" t="str">
        <f>Данные!AA99</f>
        <v>осн</v>
      </c>
      <c r="AB99" s="101">
        <f t="shared" si="13"/>
        <v>800</v>
      </c>
      <c r="AC99" s="101" t="str">
        <f t="shared" si="14"/>
        <v>ИВТ (бак)</v>
      </c>
      <c r="AD99" s="101" t="str">
        <f t="shared" si="15"/>
        <v/>
      </c>
      <c r="AE99" s="102">
        <f t="shared" ca="1" si="16"/>
        <v>12.79</v>
      </c>
      <c r="AF99" s="103">
        <f t="shared" ca="1" si="17"/>
        <v>1.5987499999999998E-2</v>
      </c>
      <c r="AG99" s="101"/>
      <c r="AH99" s="101"/>
      <c r="AI99"/>
      <c r="BQ99" s="72">
        <v>0</v>
      </c>
      <c r="BR99" s="72">
        <v>0</v>
      </c>
      <c r="BS99" s="72">
        <v>0</v>
      </c>
      <c r="BT99" s="72">
        <v>0</v>
      </c>
      <c r="BU99" s="72">
        <v>0</v>
      </c>
      <c r="BV99" s="72">
        <v>0</v>
      </c>
      <c r="BW99" s="72">
        <v>0</v>
      </c>
      <c r="BX99" s="72">
        <v>0</v>
      </c>
      <c r="BY99" s="72">
        <v>0</v>
      </c>
      <c r="BZ99" s="72">
        <v>0</v>
      </c>
      <c r="CA99" s="72">
        <v>0</v>
      </c>
      <c r="CB99" s="72">
        <v>0</v>
      </c>
      <c r="CC99" s="72">
        <v>0</v>
      </c>
      <c r="CD99" s="72">
        <v>0</v>
      </c>
      <c r="CE99" s="72">
        <v>0</v>
      </c>
      <c r="CF99" s="72">
        <v>0</v>
      </c>
      <c r="CG99" s="72">
        <v>0</v>
      </c>
      <c r="CH99" s="72">
        <v>0</v>
      </c>
      <c r="CI99" s="72">
        <v>0</v>
      </c>
      <c r="CJ99" s="72">
        <v>0</v>
      </c>
      <c r="CK99" s="72">
        <v>0</v>
      </c>
      <c r="CL99" s="72">
        <v>0</v>
      </c>
      <c r="CM99" s="72">
        <v>0</v>
      </c>
      <c r="CN99" s="72">
        <v>0</v>
      </c>
      <c r="CO99" s="72">
        <v>0</v>
      </c>
      <c r="CP99" s="72">
        <v>0</v>
      </c>
      <c r="CQ99" s="72">
        <v>0</v>
      </c>
      <c r="CR99" s="72">
        <v>0</v>
      </c>
      <c r="CS99" s="72">
        <v>0</v>
      </c>
      <c r="CT99" s="72">
        <v>0</v>
      </c>
      <c r="CU99" s="72">
        <v>0</v>
      </c>
      <c r="CV99" s="72">
        <v>0</v>
      </c>
      <c r="CW99" s="72">
        <v>0</v>
      </c>
      <c r="CX99" s="72">
        <v>0</v>
      </c>
      <c r="CY99" s="72">
        <v>0</v>
      </c>
      <c r="CZ99" s="72">
        <v>0</v>
      </c>
      <c r="DA99" s="72">
        <v>0</v>
      </c>
      <c r="DB99" s="72">
        <v>0</v>
      </c>
      <c r="DC99" s="72">
        <v>0</v>
      </c>
      <c r="DD99" s="72">
        <v>0</v>
      </c>
      <c r="DE99" s="72">
        <v>0</v>
      </c>
      <c r="DF99" s="72">
        <v>0</v>
      </c>
      <c r="DG99" s="72">
        <v>0</v>
      </c>
      <c r="DH99" s="72">
        <v>0</v>
      </c>
      <c r="DI99" s="72">
        <v>0</v>
      </c>
      <c r="DJ99" s="72">
        <v>0</v>
      </c>
      <c r="DK99" s="72">
        <v>0</v>
      </c>
      <c r="DL99" s="72">
        <v>0</v>
      </c>
      <c r="DM99" s="72">
        <v>0</v>
      </c>
      <c r="DN99" s="72">
        <v>0</v>
      </c>
      <c r="DO99" s="72">
        <v>0</v>
      </c>
      <c r="DP99" s="72">
        <v>0</v>
      </c>
      <c r="DQ99" s="72">
        <v>0</v>
      </c>
      <c r="DR99" s="72">
        <v>0</v>
      </c>
      <c r="DS99" s="72">
        <v>0</v>
      </c>
      <c r="DT99" s="72">
        <v>0</v>
      </c>
      <c r="DU99" s="72">
        <v>0</v>
      </c>
      <c r="DV99" s="72">
        <v>0</v>
      </c>
      <c r="DW99" s="72">
        <v>0</v>
      </c>
      <c r="DX99" s="72">
        <v>0</v>
      </c>
      <c r="DY99" s="72">
        <v>0</v>
      </c>
      <c r="DZ99" s="72">
        <v>0</v>
      </c>
      <c r="EA99" s="72">
        <v>0</v>
      </c>
      <c r="EB99" s="72">
        <v>0</v>
      </c>
      <c r="EC99" s="72">
        <v>0</v>
      </c>
      <c r="ED99" s="72">
        <v>0</v>
      </c>
      <c r="EE99" s="72">
        <v>0</v>
      </c>
      <c r="EF99" s="72">
        <v>0</v>
      </c>
      <c r="EG99" s="72">
        <v>0</v>
      </c>
      <c r="EH99" s="72">
        <v>0</v>
      </c>
      <c r="EI99" s="72">
        <v>0</v>
      </c>
      <c r="EJ99" s="72">
        <v>0</v>
      </c>
      <c r="EK99" s="72">
        <v>0</v>
      </c>
      <c r="EL99" s="72">
        <v>0</v>
      </c>
    </row>
    <row r="100" spans="1:142" s="6" customFormat="1" x14ac:dyDescent="0.35">
      <c r="A100" s="59">
        <f>Данные!A100</f>
        <v>4848</v>
      </c>
      <c r="B100" s="59">
        <f>Данные!B100</f>
        <v>2018</v>
      </c>
      <c r="C100" s="59" t="str">
        <f>Данные!C100</f>
        <v>компьютерных технологий и электронного обучения</v>
      </c>
      <c r="D100" s="59" t="str">
        <f>Данные!D100</f>
        <v>Государев Илья Борисович</v>
      </c>
      <c r="E100" s="59" t="str">
        <f>Данные!E100</f>
        <v>кандидат педагогических наук</v>
      </c>
      <c r="F100" s="59" t="str">
        <f>Данные!F100</f>
        <v>доцент</v>
      </c>
      <c r="G100" s="59">
        <f>Данные!G100</f>
        <v>1</v>
      </c>
      <c r="H100" s="59">
        <f>Данные!H100</f>
        <v>17231</v>
      </c>
      <c r="I100" s="59" t="str">
        <f>Данные!I100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100" s="59">
        <f>Данные!J100</f>
        <v>6</v>
      </c>
      <c r="K100" s="59">
        <f>Данные!K100</f>
        <v>6</v>
      </c>
      <c r="L100" s="59">
        <f>Данные!L100</f>
        <v>22</v>
      </c>
      <c r="M100" s="60">
        <f t="shared" si="9"/>
        <v>3.4</v>
      </c>
      <c r="N100" s="60">
        <f t="shared" ca="1" si="10"/>
        <v>6.29</v>
      </c>
      <c r="O100" s="60">
        <f t="shared" ca="1" si="11"/>
        <v>3.25</v>
      </c>
      <c r="P100" s="60">
        <f t="shared" ca="1" si="12"/>
        <v>3.25</v>
      </c>
      <c r="Q100" s="54">
        <f>Данные!Q100</f>
        <v>0</v>
      </c>
      <c r="R100" s="54">
        <f>Данные!R100</f>
        <v>0</v>
      </c>
      <c r="S100" s="54">
        <f>Данные!S100</f>
        <v>0</v>
      </c>
      <c r="T100" s="54">
        <f>Данные!T100</f>
        <v>0</v>
      </c>
      <c r="U100" s="54">
        <f>Данные!U100</f>
        <v>0</v>
      </c>
      <c r="V100" s="54">
        <f>Данные!V100</f>
        <v>0</v>
      </c>
      <c r="W100" s="54">
        <f ca="1">Данные!W100</f>
        <v>13</v>
      </c>
      <c r="X100" s="54" t="str">
        <f ca="1">Данные!X100</f>
        <v>1</v>
      </c>
      <c r="Y100" s="54" t="str">
        <f ca="1">Данные!Y100</f>
        <v>1</v>
      </c>
      <c r="Z100" s="54">
        <f>Данные!Z100</f>
        <v>0</v>
      </c>
      <c r="AA100" s="54" t="str">
        <f>Данные!AA100</f>
        <v>осн</v>
      </c>
      <c r="AB100" s="101">
        <f t="shared" si="13"/>
        <v>800</v>
      </c>
      <c r="AC100" s="101" t="str">
        <f t="shared" si="14"/>
        <v>ИВТ (бак)</v>
      </c>
      <c r="AD100" s="101" t="str">
        <f t="shared" si="15"/>
        <v/>
      </c>
      <c r="AE100" s="102">
        <f t="shared" ca="1" si="16"/>
        <v>50.19</v>
      </c>
      <c r="AF100" s="103">
        <f t="shared" ca="1" si="17"/>
        <v>6.2737500000000002E-2</v>
      </c>
      <c r="AG100" s="101"/>
      <c r="AH100" s="101"/>
      <c r="AI100"/>
      <c r="BQ100" s="72">
        <v>0</v>
      </c>
      <c r="BR100" s="72">
        <v>0</v>
      </c>
      <c r="BS100" s="72">
        <v>0</v>
      </c>
      <c r="BT100" s="72">
        <v>0</v>
      </c>
      <c r="BU100" s="72">
        <v>0</v>
      </c>
      <c r="BV100" s="72">
        <v>0</v>
      </c>
      <c r="BW100" s="72">
        <v>0</v>
      </c>
      <c r="BX100" s="72">
        <v>0</v>
      </c>
      <c r="BY100" s="72">
        <v>0</v>
      </c>
      <c r="BZ100" s="72">
        <v>0</v>
      </c>
      <c r="CA100" s="72">
        <v>0</v>
      </c>
      <c r="CB100" s="72">
        <v>0</v>
      </c>
      <c r="CC100" s="72">
        <v>0</v>
      </c>
      <c r="CD100" s="72">
        <v>0</v>
      </c>
      <c r="CE100" s="72">
        <v>0</v>
      </c>
      <c r="CF100" s="72">
        <v>0</v>
      </c>
      <c r="CG100" s="72">
        <v>0</v>
      </c>
      <c r="CH100" s="72">
        <v>0</v>
      </c>
      <c r="CI100" s="72">
        <v>0</v>
      </c>
      <c r="CJ100" s="72">
        <v>0</v>
      </c>
      <c r="CK100" s="72">
        <v>0</v>
      </c>
      <c r="CL100" s="72">
        <v>0</v>
      </c>
      <c r="CM100" s="72">
        <v>0</v>
      </c>
      <c r="CN100" s="72">
        <v>0</v>
      </c>
      <c r="CO100" s="72">
        <v>0</v>
      </c>
      <c r="CP100" s="72">
        <v>0</v>
      </c>
      <c r="CQ100" s="72">
        <v>0</v>
      </c>
      <c r="CR100" s="72">
        <v>0</v>
      </c>
      <c r="CS100" s="72">
        <v>0</v>
      </c>
      <c r="CT100" s="72">
        <v>0</v>
      </c>
      <c r="CU100" s="72">
        <v>0</v>
      </c>
      <c r="CV100" s="72">
        <v>0</v>
      </c>
      <c r="CW100" s="72">
        <v>0</v>
      </c>
      <c r="CX100" s="72">
        <v>0</v>
      </c>
      <c r="CY100" s="72">
        <v>0</v>
      </c>
      <c r="CZ100" s="72">
        <v>0</v>
      </c>
      <c r="DA100" s="72">
        <v>0</v>
      </c>
      <c r="DB100" s="72">
        <v>0</v>
      </c>
      <c r="DC100" s="72">
        <v>0</v>
      </c>
      <c r="DD100" s="72">
        <v>0</v>
      </c>
      <c r="DE100" s="72">
        <v>0</v>
      </c>
      <c r="DF100" s="72">
        <v>0</v>
      </c>
      <c r="DG100" s="72">
        <v>0</v>
      </c>
      <c r="DH100" s="72">
        <v>0</v>
      </c>
      <c r="DI100" s="72">
        <v>0</v>
      </c>
      <c r="DJ100" s="72">
        <v>0</v>
      </c>
      <c r="DK100" s="72">
        <v>0</v>
      </c>
      <c r="DL100" s="72">
        <v>0</v>
      </c>
      <c r="DM100" s="72">
        <v>0</v>
      </c>
      <c r="DN100" s="72">
        <v>0</v>
      </c>
      <c r="DO100" s="72">
        <v>0</v>
      </c>
      <c r="DP100" s="72">
        <v>0</v>
      </c>
      <c r="DQ100" s="72">
        <v>0</v>
      </c>
      <c r="DR100" s="72">
        <v>0</v>
      </c>
      <c r="DS100" s="72">
        <v>0</v>
      </c>
      <c r="DT100" s="72">
        <v>0</v>
      </c>
      <c r="DU100" s="72">
        <v>0</v>
      </c>
      <c r="DV100" s="72">
        <v>0</v>
      </c>
      <c r="DW100" s="72">
        <v>0</v>
      </c>
      <c r="DX100" s="72">
        <v>0</v>
      </c>
      <c r="DY100" s="72">
        <v>0</v>
      </c>
      <c r="DZ100" s="72">
        <v>0</v>
      </c>
      <c r="EA100" s="72">
        <v>0</v>
      </c>
      <c r="EB100" s="72">
        <v>0</v>
      </c>
      <c r="EC100" s="72">
        <v>0</v>
      </c>
      <c r="ED100" s="72">
        <v>0</v>
      </c>
      <c r="EE100" s="72">
        <v>0</v>
      </c>
      <c r="EF100" s="72">
        <v>0</v>
      </c>
      <c r="EG100" s="72">
        <v>0</v>
      </c>
      <c r="EH100" s="72">
        <v>0</v>
      </c>
      <c r="EI100" s="72">
        <v>0</v>
      </c>
      <c r="EJ100" s="72">
        <v>0</v>
      </c>
      <c r="EK100" s="72">
        <v>0</v>
      </c>
      <c r="EL100" s="72">
        <v>0</v>
      </c>
    </row>
    <row r="101" spans="1:142" s="6" customFormat="1" x14ac:dyDescent="0.35">
      <c r="A101" s="59">
        <f>Данные!A101</f>
        <v>4848</v>
      </c>
      <c r="B101" s="59">
        <f>Данные!B101</f>
        <v>2018</v>
      </c>
      <c r="C101" s="59" t="str">
        <f>Данные!C101</f>
        <v>компьютерных технологий и электронного обучения</v>
      </c>
      <c r="D101" s="59" t="str">
        <f>Данные!D101</f>
        <v>Государев Илья Борисович</v>
      </c>
      <c r="E101" s="59" t="str">
        <f>Данные!E101</f>
        <v>кандидат педагогических наук</v>
      </c>
      <c r="F101" s="59" t="str">
        <f>Данные!F101</f>
        <v>доцент</v>
      </c>
      <c r="G101" s="59">
        <f>Данные!G101</f>
        <v>1</v>
      </c>
      <c r="H101" s="59">
        <f>Данные!H101</f>
        <v>17231</v>
      </c>
      <c r="I101" s="59" t="str">
        <f>Данные!I101</f>
        <v>Модуль "Информационные ресурсы и средства профессиональной деятельности инженера". Учебно-технологический практикум</v>
      </c>
      <c r="J101" s="59">
        <f>Данные!J101</f>
        <v>0</v>
      </c>
      <c r="K101" s="59">
        <f>Данные!K101</f>
        <v>0</v>
      </c>
      <c r="L101" s="59">
        <f>Данные!L101</f>
        <v>20</v>
      </c>
      <c r="M101" s="60">
        <f t="shared" si="9"/>
        <v>2</v>
      </c>
      <c r="N101" s="60">
        <f t="shared" ca="1" si="10"/>
        <v>6.29</v>
      </c>
      <c r="O101" s="60">
        <f t="shared" ca="1" si="11"/>
        <v>3.25</v>
      </c>
      <c r="P101" s="60">
        <f t="shared" ca="1" si="12"/>
        <v>3.25</v>
      </c>
      <c r="Q101" s="54">
        <f>Данные!Q101</f>
        <v>0</v>
      </c>
      <c r="R101" s="54">
        <f>Данные!R101</f>
        <v>0</v>
      </c>
      <c r="S101" s="54">
        <f>Данные!S101</f>
        <v>0</v>
      </c>
      <c r="T101" s="54">
        <f>Данные!T101</f>
        <v>0</v>
      </c>
      <c r="U101" s="54">
        <f>Данные!U101</f>
        <v>0</v>
      </c>
      <c r="V101" s="54">
        <f>Данные!V101</f>
        <v>0</v>
      </c>
      <c r="W101" s="54">
        <f ca="1">Данные!W101</f>
        <v>13</v>
      </c>
      <c r="X101" s="54" t="str">
        <f ca="1">Данные!X101</f>
        <v>1</v>
      </c>
      <c r="Y101" s="54" t="str">
        <f ca="1">Данные!Y101</f>
        <v>1</v>
      </c>
      <c r="Z101" s="54">
        <f>Данные!Z101</f>
        <v>0</v>
      </c>
      <c r="AA101" s="54" t="str">
        <f>Данные!AA101</f>
        <v>осн</v>
      </c>
      <c r="AB101" s="101">
        <f t="shared" si="13"/>
        <v>800</v>
      </c>
      <c r="AC101" s="101" t="str">
        <f t="shared" si="14"/>
        <v>ИВТ (бак)</v>
      </c>
      <c r="AD101" s="101" t="str">
        <f t="shared" si="15"/>
        <v/>
      </c>
      <c r="AE101" s="102">
        <f t="shared" ca="1" si="16"/>
        <v>34.79</v>
      </c>
      <c r="AF101" s="103">
        <f t="shared" ca="1" si="17"/>
        <v>4.3487499999999998E-2</v>
      </c>
      <c r="AG101" s="101"/>
      <c r="AH101" s="101"/>
      <c r="AI101"/>
      <c r="BQ101" s="72">
        <v>0</v>
      </c>
      <c r="BR101" s="72">
        <v>0</v>
      </c>
      <c r="BS101" s="72">
        <v>0</v>
      </c>
      <c r="BT101" s="72">
        <v>0</v>
      </c>
      <c r="BU101" s="72">
        <v>0</v>
      </c>
      <c r="BV101" s="72">
        <v>0</v>
      </c>
      <c r="BW101" s="72">
        <v>0</v>
      </c>
      <c r="BX101" s="72">
        <v>0</v>
      </c>
      <c r="BY101" s="72">
        <v>0</v>
      </c>
      <c r="BZ101" s="72">
        <v>0</v>
      </c>
      <c r="CA101" s="72">
        <v>0</v>
      </c>
      <c r="CB101" s="72">
        <v>0</v>
      </c>
      <c r="CC101" s="72">
        <v>0</v>
      </c>
      <c r="CD101" s="72">
        <v>0</v>
      </c>
      <c r="CE101" s="72">
        <v>0</v>
      </c>
      <c r="CF101" s="72">
        <v>0</v>
      </c>
      <c r="CG101" s="72">
        <v>0</v>
      </c>
      <c r="CH101" s="72">
        <v>0</v>
      </c>
      <c r="CI101" s="72">
        <v>0</v>
      </c>
      <c r="CJ101" s="72">
        <v>0</v>
      </c>
      <c r="CK101" s="72">
        <v>0</v>
      </c>
      <c r="CL101" s="72">
        <v>0</v>
      </c>
      <c r="CM101" s="72">
        <v>0</v>
      </c>
      <c r="CN101" s="72">
        <v>0</v>
      </c>
      <c r="CO101" s="72">
        <v>0</v>
      </c>
      <c r="CP101" s="72">
        <v>0</v>
      </c>
      <c r="CQ101" s="72">
        <v>0</v>
      </c>
      <c r="CR101" s="72">
        <v>0</v>
      </c>
      <c r="CS101" s="72">
        <v>0</v>
      </c>
      <c r="CT101" s="72">
        <v>0</v>
      </c>
      <c r="CU101" s="72">
        <v>0</v>
      </c>
      <c r="CV101" s="72">
        <v>0</v>
      </c>
      <c r="CW101" s="72">
        <v>0</v>
      </c>
      <c r="CX101" s="72">
        <v>0</v>
      </c>
      <c r="CY101" s="72">
        <v>0</v>
      </c>
      <c r="CZ101" s="72">
        <v>0</v>
      </c>
      <c r="DA101" s="72">
        <v>0</v>
      </c>
      <c r="DB101" s="72">
        <v>0</v>
      </c>
      <c r="DC101" s="72">
        <v>0</v>
      </c>
      <c r="DD101" s="72">
        <v>0</v>
      </c>
      <c r="DE101" s="72">
        <v>0</v>
      </c>
      <c r="DF101" s="72">
        <v>0</v>
      </c>
      <c r="DG101" s="72">
        <v>0</v>
      </c>
      <c r="DH101" s="72">
        <v>0</v>
      </c>
      <c r="DI101" s="72">
        <v>0</v>
      </c>
      <c r="DJ101" s="72">
        <v>0</v>
      </c>
      <c r="DK101" s="72">
        <v>0</v>
      </c>
      <c r="DL101" s="72">
        <v>0</v>
      </c>
      <c r="DM101" s="72">
        <v>0</v>
      </c>
      <c r="DN101" s="72">
        <v>0</v>
      </c>
      <c r="DO101" s="72">
        <v>0</v>
      </c>
      <c r="DP101" s="72">
        <v>0</v>
      </c>
      <c r="DQ101" s="72">
        <v>0</v>
      </c>
      <c r="DR101" s="72">
        <v>0</v>
      </c>
      <c r="DS101" s="72">
        <v>0</v>
      </c>
      <c r="DT101" s="72">
        <v>0</v>
      </c>
      <c r="DU101" s="72">
        <v>0</v>
      </c>
      <c r="DV101" s="72">
        <v>0</v>
      </c>
      <c r="DW101" s="72">
        <v>0</v>
      </c>
      <c r="DX101" s="72">
        <v>0</v>
      </c>
      <c r="DY101" s="72">
        <v>0</v>
      </c>
      <c r="DZ101" s="72">
        <v>0</v>
      </c>
      <c r="EA101" s="72">
        <v>0</v>
      </c>
      <c r="EB101" s="72">
        <v>0</v>
      </c>
      <c r="EC101" s="72">
        <v>0</v>
      </c>
      <c r="ED101" s="72">
        <v>0</v>
      </c>
      <c r="EE101" s="72">
        <v>0</v>
      </c>
      <c r="EF101" s="72">
        <v>0</v>
      </c>
      <c r="EG101" s="72">
        <v>0</v>
      </c>
      <c r="EH101" s="72">
        <v>0</v>
      </c>
      <c r="EI101" s="72">
        <v>0</v>
      </c>
      <c r="EJ101" s="72">
        <v>0</v>
      </c>
      <c r="EK101" s="72">
        <v>0</v>
      </c>
      <c r="EL101" s="72">
        <v>0</v>
      </c>
    </row>
    <row r="102" spans="1:142" s="6" customFormat="1" x14ac:dyDescent="0.35">
      <c r="A102" s="59">
        <f>Данные!A102</f>
        <v>4848</v>
      </c>
      <c r="B102" s="59">
        <f>Данные!B102</f>
        <v>2018</v>
      </c>
      <c r="C102" s="59" t="str">
        <f>Данные!C102</f>
        <v>компьютерных технологий и электронного обучения</v>
      </c>
      <c r="D102" s="59" t="str">
        <f>Данные!D102</f>
        <v>Государев Илья Борисович</v>
      </c>
      <c r="E102" s="59" t="str">
        <f>Данные!E102</f>
        <v>кандидат педагогических наук</v>
      </c>
      <c r="F102" s="59" t="str">
        <f>Данные!F102</f>
        <v>доцент</v>
      </c>
      <c r="G102" s="59">
        <f>Данные!G102</f>
        <v>1</v>
      </c>
      <c r="H102" s="59">
        <f>Данные!H102</f>
        <v>17231</v>
      </c>
      <c r="I102" s="59" t="str">
        <f>Данные!I102</f>
        <v>Руководство ВКР</v>
      </c>
      <c r="J102" s="59">
        <f>Данные!J102</f>
        <v>0</v>
      </c>
      <c r="K102" s="59">
        <f>Данные!K102</f>
        <v>0</v>
      </c>
      <c r="L102" s="59">
        <f>Данные!L102</f>
        <v>0</v>
      </c>
      <c r="M102" s="60">
        <f t="shared" si="9"/>
        <v>0</v>
      </c>
      <c r="N102" s="60">
        <f t="shared" ca="1" si="10"/>
        <v>6.29</v>
      </c>
      <c r="O102" s="60">
        <f t="shared" ca="1" si="11"/>
        <v>3.25</v>
      </c>
      <c r="P102" s="60">
        <f t="shared" ca="1" si="12"/>
        <v>3.25</v>
      </c>
      <c r="Q102" s="54">
        <f>Данные!Q102</f>
        <v>0</v>
      </c>
      <c r="R102" s="54">
        <f>Данные!R102</f>
        <v>0</v>
      </c>
      <c r="S102" s="54">
        <f>Данные!S102</f>
        <v>0</v>
      </c>
      <c r="T102" s="54">
        <f>Данные!T102</f>
        <v>0</v>
      </c>
      <c r="U102" s="54">
        <f>Данные!U102</f>
        <v>0</v>
      </c>
      <c r="V102" s="54">
        <f>Данные!V102</f>
        <v>60</v>
      </c>
      <c r="W102" s="54">
        <f ca="1">Данные!W102</f>
        <v>13</v>
      </c>
      <c r="X102" s="54" t="str">
        <f ca="1">Данные!X102</f>
        <v>1</v>
      </c>
      <c r="Y102" s="54" t="str">
        <f ca="1">Данные!Y102</f>
        <v>1</v>
      </c>
      <c r="Z102" s="54">
        <f>Данные!Z102</f>
        <v>0</v>
      </c>
      <c r="AA102" s="54" t="str">
        <f>Данные!AA102</f>
        <v>осн</v>
      </c>
      <c r="AB102" s="101">
        <f t="shared" si="13"/>
        <v>800</v>
      </c>
      <c r="AC102" s="101" t="str">
        <f t="shared" si="14"/>
        <v>ИВТ (бак)</v>
      </c>
      <c r="AD102" s="101" t="str">
        <f t="shared" si="15"/>
        <v/>
      </c>
      <c r="AE102" s="102">
        <f t="shared" ca="1" si="16"/>
        <v>72.789999999999992</v>
      </c>
      <c r="AF102" s="103">
        <f t="shared" ca="1" si="17"/>
        <v>9.0987499999999985E-2</v>
      </c>
      <c r="AG102" s="101"/>
      <c r="AH102" s="101"/>
      <c r="AI102"/>
      <c r="BQ102" s="72">
        <v>0</v>
      </c>
      <c r="BR102" s="72">
        <v>0</v>
      </c>
      <c r="BS102" s="72">
        <v>0</v>
      </c>
      <c r="BT102" s="72">
        <v>0</v>
      </c>
      <c r="BU102" s="72">
        <v>0</v>
      </c>
      <c r="BV102" s="72">
        <v>0</v>
      </c>
      <c r="BW102" s="72">
        <v>0</v>
      </c>
      <c r="BX102" s="72">
        <v>0</v>
      </c>
      <c r="BY102" s="72">
        <v>0</v>
      </c>
      <c r="BZ102" s="72">
        <v>0</v>
      </c>
      <c r="CA102" s="72">
        <v>0</v>
      </c>
      <c r="CB102" s="72">
        <v>0</v>
      </c>
      <c r="CC102" s="72">
        <v>0</v>
      </c>
      <c r="CD102" s="72">
        <v>0</v>
      </c>
      <c r="CE102" s="72">
        <v>0</v>
      </c>
      <c r="CF102" s="72">
        <v>0</v>
      </c>
      <c r="CG102" s="72">
        <v>0</v>
      </c>
      <c r="CH102" s="72">
        <v>0</v>
      </c>
      <c r="CI102" s="72">
        <v>0</v>
      </c>
      <c r="CJ102" s="72">
        <v>0</v>
      </c>
      <c r="CK102" s="72">
        <v>0</v>
      </c>
      <c r="CL102" s="72">
        <v>0</v>
      </c>
      <c r="CM102" s="72">
        <v>0</v>
      </c>
      <c r="CN102" s="72">
        <v>0</v>
      </c>
      <c r="CO102" s="72">
        <v>0</v>
      </c>
      <c r="CP102" s="72">
        <v>0</v>
      </c>
      <c r="CQ102" s="72">
        <v>0</v>
      </c>
      <c r="CR102" s="72">
        <v>0</v>
      </c>
      <c r="CS102" s="72">
        <v>0</v>
      </c>
      <c r="CT102" s="72">
        <v>0</v>
      </c>
      <c r="CU102" s="72">
        <v>0</v>
      </c>
      <c r="CV102" s="72">
        <v>0</v>
      </c>
      <c r="CW102" s="72">
        <v>0</v>
      </c>
      <c r="CX102" s="72">
        <v>0</v>
      </c>
      <c r="CY102" s="72">
        <v>0</v>
      </c>
      <c r="CZ102" s="72">
        <v>0</v>
      </c>
      <c r="DA102" s="72">
        <v>0</v>
      </c>
      <c r="DB102" s="72">
        <v>0</v>
      </c>
      <c r="DC102" s="72">
        <v>0</v>
      </c>
      <c r="DD102" s="72">
        <v>0</v>
      </c>
      <c r="DE102" s="72">
        <v>0</v>
      </c>
      <c r="DF102" s="72">
        <v>0</v>
      </c>
      <c r="DG102" s="72">
        <v>0</v>
      </c>
      <c r="DH102" s="72">
        <v>0</v>
      </c>
      <c r="DI102" s="72">
        <v>0</v>
      </c>
      <c r="DJ102" s="72">
        <v>0</v>
      </c>
      <c r="DK102" s="72">
        <v>0</v>
      </c>
      <c r="DL102" s="72">
        <v>0</v>
      </c>
      <c r="DM102" s="72">
        <v>0</v>
      </c>
      <c r="DN102" s="72">
        <v>0</v>
      </c>
      <c r="DO102" s="72">
        <v>0</v>
      </c>
      <c r="DP102" s="72">
        <v>0</v>
      </c>
      <c r="DQ102" s="72">
        <v>0</v>
      </c>
      <c r="DR102" s="72">
        <v>0</v>
      </c>
      <c r="DS102" s="72">
        <v>0</v>
      </c>
      <c r="DT102" s="72">
        <v>0</v>
      </c>
      <c r="DU102" s="72">
        <v>0</v>
      </c>
      <c r="DV102" s="72">
        <v>0</v>
      </c>
      <c r="DW102" s="72">
        <v>0</v>
      </c>
      <c r="DX102" s="72">
        <v>0</v>
      </c>
      <c r="DY102" s="72">
        <v>0</v>
      </c>
      <c r="DZ102" s="72">
        <v>0</v>
      </c>
      <c r="EA102" s="72">
        <v>0</v>
      </c>
      <c r="EB102" s="72">
        <v>0</v>
      </c>
      <c r="EC102" s="72">
        <v>0</v>
      </c>
      <c r="ED102" s="72">
        <v>0</v>
      </c>
      <c r="EE102" s="72">
        <v>0</v>
      </c>
      <c r="EF102" s="72">
        <v>0</v>
      </c>
      <c r="EG102" s="72">
        <v>0</v>
      </c>
      <c r="EH102" s="72">
        <v>0</v>
      </c>
      <c r="EI102" s="72">
        <v>0</v>
      </c>
      <c r="EJ102" s="72">
        <v>0</v>
      </c>
      <c r="EK102" s="72">
        <v>0</v>
      </c>
      <c r="EL102" s="72">
        <v>0</v>
      </c>
    </row>
    <row r="103" spans="1:142" s="6" customFormat="1" x14ac:dyDescent="0.35">
      <c r="A103" s="59">
        <f>Данные!A103</f>
        <v>4848</v>
      </c>
      <c r="B103" s="59">
        <f>Данные!B103</f>
        <v>2018</v>
      </c>
      <c r="C103" s="59" t="str">
        <f>Данные!C103</f>
        <v>компьютерных технологий и электронного обучения</v>
      </c>
      <c r="D103" s="59" t="str">
        <f>Данные!D103</f>
        <v>Государев Илья Борисович</v>
      </c>
      <c r="E103" s="59" t="str">
        <f>Данные!E103</f>
        <v>кандидат педагогических наук</v>
      </c>
      <c r="F103" s="59" t="str">
        <f>Данные!F103</f>
        <v>доцент</v>
      </c>
      <c r="G103" s="59">
        <f>Данные!G103</f>
        <v>1</v>
      </c>
      <c r="H103" s="59">
        <f>Данные!H103</f>
        <v>17231</v>
      </c>
      <c r="I103" s="59" t="str">
        <f>Данные!I103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103" s="59">
        <f>Данные!J103</f>
        <v>0</v>
      </c>
      <c r="K103" s="59">
        <f>Данные!K103</f>
        <v>0</v>
      </c>
      <c r="L103" s="59">
        <f>Данные!L103</f>
        <v>0</v>
      </c>
      <c r="M103" s="60">
        <f t="shared" si="9"/>
        <v>0</v>
      </c>
      <c r="N103" s="60">
        <f t="shared" ca="1" si="10"/>
        <v>6.29</v>
      </c>
      <c r="O103" s="60">
        <f t="shared" ca="1" si="11"/>
        <v>3.25</v>
      </c>
      <c r="P103" s="60">
        <f t="shared" ca="1" si="12"/>
        <v>3.25</v>
      </c>
      <c r="Q103" s="54">
        <f>Данные!Q103</f>
        <v>0</v>
      </c>
      <c r="R103" s="54">
        <f>Данные!R103</f>
        <v>0</v>
      </c>
      <c r="S103" s="54">
        <f>Данные!S103</f>
        <v>0</v>
      </c>
      <c r="T103" s="54">
        <f>Данные!T103</f>
        <v>0</v>
      </c>
      <c r="U103" s="54">
        <f>Данные!U103</f>
        <v>4</v>
      </c>
      <c r="V103" s="54">
        <f>Данные!V103</f>
        <v>0</v>
      </c>
      <c r="W103" s="54">
        <f ca="1">Данные!W103</f>
        <v>13</v>
      </c>
      <c r="X103" s="54" t="str">
        <f ca="1">Данные!X103</f>
        <v>1</v>
      </c>
      <c r="Y103" s="54" t="str">
        <f ca="1">Данные!Y103</f>
        <v>1</v>
      </c>
      <c r="Z103" s="54">
        <f>Данные!Z103</f>
        <v>0</v>
      </c>
      <c r="AA103" s="54" t="str">
        <f>Данные!AA103</f>
        <v>осн</v>
      </c>
      <c r="AB103" s="101">
        <f t="shared" si="13"/>
        <v>800</v>
      </c>
      <c r="AC103" s="101" t="str">
        <f t="shared" si="14"/>
        <v>ИВТ (бак)</v>
      </c>
      <c r="AD103" s="101" t="str">
        <f t="shared" si="15"/>
        <v/>
      </c>
      <c r="AE103" s="102">
        <f t="shared" ca="1" si="16"/>
        <v>16.79</v>
      </c>
      <c r="AF103" s="103">
        <f t="shared" ca="1" si="17"/>
        <v>2.0987499999999999E-2</v>
      </c>
      <c r="AG103" s="101"/>
      <c r="AH103" s="101"/>
      <c r="AI103"/>
      <c r="BQ103" s="72">
        <v>0</v>
      </c>
      <c r="BR103" s="72">
        <v>0</v>
      </c>
      <c r="BS103" s="72">
        <v>0</v>
      </c>
      <c r="BT103" s="72">
        <v>0</v>
      </c>
      <c r="BU103" s="72">
        <v>0</v>
      </c>
      <c r="BV103" s="72">
        <v>0</v>
      </c>
      <c r="BW103" s="72">
        <v>0</v>
      </c>
      <c r="BX103" s="72">
        <v>0</v>
      </c>
      <c r="BY103" s="72">
        <v>0</v>
      </c>
      <c r="BZ103" s="72">
        <v>0</v>
      </c>
      <c r="CA103" s="72">
        <v>0</v>
      </c>
      <c r="CB103" s="72">
        <v>0</v>
      </c>
      <c r="CC103" s="72">
        <v>0</v>
      </c>
      <c r="CD103" s="72">
        <v>0</v>
      </c>
      <c r="CE103" s="72">
        <v>0</v>
      </c>
      <c r="CF103" s="72">
        <v>0</v>
      </c>
      <c r="CG103" s="72">
        <v>0</v>
      </c>
      <c r="CH103" s="72">
        <v>0</v>
      </c>
      <c r="CI103" s="72">
        <v>0</v>
      </c>
      <c r="CJ103" s="72">
        <v>0</v>
      </c>
      <c r="CK103" s="72">
        <v>0</v>
      </c>
      <c r="CL103" s="72">
        <v>0</v>
      </c>
      <c r="CM103" s="72">
        <v>0</v>
      </c>
      <c r="CN103" s="72">
        <v>0</v>
      </c>
      <c r="CO103" s="72">
        <v>0</v>
      </c>
      <c r="CP103" s="72">
        <v>0</v>
      </c>
      <c r="CQ103" s="72">
        <v>0</v>
      </c>
      <c r="CR103" s="72">
        <v>0</v>
      </c>
      <c r="CS103" s="72">
        <v>0</v>
      </c>
      <c r="CT103" s="72">
        <v>0</v>
      </c>
      <c r="CU103" s="72">
        <v>0</v>
      </c>
      <c r="CV103" s="72">
        <v>0</v>
      </c>
      <c r="CW103" s="72">
        <v>0</v>
      </c>
      <c r="CX103" s="72">
        <v>0</v>
      </c>
      <c r="CY103" s="72">
        <v>0</v>
      </c>
      <c r="CZ103" s="72">
        <v>0</v>
      </c>
      <c r="DA103" s="72">
        <v>0</v>
      </c>
      <c r="DB103" s="72">
        <v>0</v>
      </c>
      <c r="DC103" s="72">
        <v>0</v>
      </c>
      <c r="DD103" s="72">
        <v>0</v>
      </c>
      <c r="DE103" s="72">
        <v>0</v>
      </c>
      <c r="DF103" s="72">
        <v>0</v>
      </c>
      <c r="DG103" s="72">
        <v>0</v>
      </c>
      <c r="DH103" s="72">
        <v>0</v>
      </c>
      <c r="DI103" s="72">
        <v>0</v>
      </c>
      <c r="DJ103" s="72">
        <v>0</v>
      </c>
      <c r="DK103" s="72">
        <v>0</v>
      </c>
      <c r="DL103" s="72">
        <v>0</v>
      </c>
      <c r="DM103" s="72">
        <v>0</v>
      </c>
      <c r="DN103" s="72">
        <v>0</v>
      </c>
      <c r="DO103" s="72">
        <v>0</v>
      </c>
      <c r="DP103" s="72">
        <v>0</v>
      </c>
      <c r="DQ103" s="72">
        <v>0</v>
      </c>
      <c r="DR103" s="72">
        <v>0</v>
      </c>
      <c r="DS103" s="72">
        <v>0</v>
      </c>
      <c r="DT103" s="72">
        <v>0</v>
      </c>
      <c r="DU103" s="72">
        <v>0</v>
      </c>
      <c r="DV103" s="72">
        <v>0</v>
      </c>
      <c r="DW103" s="72">
        <v>0</v>
      </c>
      <c r="DX103" s="72">
        <v>0</v>
      </c>
      <c r="DY103" s="72">
        <v>0</v>
      </c>
      <c r="DZ103" s="72">
        <v>0</v>
      </c>
      <c r="EA103" s="72">
        <v>0</v>
      </c>
      <c r="EB103" s="72">
        <v>0</v>
      </c>
      <c r="EC103" s="72">
        <v>0</v>
      </c>
      <c r="ED103" s="72">
        <v>0</v>
      </c>
      <c r="EE103" s="72">
        <v>0</v>
      </c>
      <c r="EF103" s="72">
        <v>0</v>
      </c>
      <c r="EG103" s="72">
        <v>0</v>
      </c>
      <c r="EH103" s="72">
        <v>0</v>
      </c>
      <c r="EI103" s="72">
        <v>0</v>
      </c>
      <c r="EJ103" s="72">
        <v>0</v>
      </c>
      <c r="EK103" s="72">
        <v>0</v>
      </c>
      <c r="EL103" s="72">
        <v>0</v>
      </c>
    </row>
    <row r="104" spans="1:142" s="6" customFormat="1" x14ac:dyDescent="0.35">
      <c r="A104" s="59">
        <f>Данные!A104</f>
        <v>4848</v>
      </c>
      <c r="B104" s="59">
        <f>Данные!B104</f>
        <v>2018</v>
      </c>
      <c r="C104" s="59" t="str">
        <f>Данные!C104</f>
        <v>компьютерных технологий и электронного обучения</v>
      </c>
      <c r="D104" s="59" t="str">
        <f>Данные!D104</f>
        <v>Государев Илья Борисович</v>
      </c>
      <c r="E104" s="59" t="str">
        <f>Данные!E104</f>
        <v>кандидат педагогических наук</v>
      </c>
      <c r="F104" s="59" t="str">
        <f>Данные!F104</f>
        <v>доцент</v>
      </c>
      <c r="G104" s="59">
        <f>Данные!G104</f>
        <v>1</v>
      </c>
      <c r="H104" s="59">
        <f>Данные!H104</f>
        <v>17231</v>
      </c>
      <c r="I104" s="59" t="str">
        <f>Данные!I104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104" s="59">
        <f>Данные!J104</f>
        <v>0</v>
      </c>
      <c r="K104" s="59">
        <f>Данные!K104</f>
        <v>0</v>
      </c>
      <c r="L104" s="59">
        <f>Данные!L104</f>
        <v>0</v>
      </c>
      <c r="M104" s="60">
        <f t="shared" si="9"/>
        <v>0</v>
      </c>
      <c r="N104" s="60">
        <f t="shared" ca="1" si="10"/>
        <v>6.29</v>
      </c>
      <c r="O104" s="60">
        <f t="shared" ca="1" si="11"/>
        <v>3.25</v>
      </c>
      <c r="P104" s="60">
        <f t="shared" ca="1" si="12"/>
        <v>3.25</v>
      </c>
      <c r="Q104" s="54">
        <f>Данные!Q104</f>
        <v>0</v>
      </c>
      <c r="R104" s="54">
        <f>Данные!R104</f>
        <v>0</v>
      </c>
      <c r="S104" s="54">
        <f>Данные!S104</f>
        <v>0</v>
      </c>
      <c r="T104" s="54">
        <f>Данные!T104</f>
        <v>0</v>
      </c>
      <c r="U104" s="54">
        <f>Данные!U104</f>
        <v>6</v>
      </c>
      <c r="V104" s="54">
        <f>Данные!V104</f>
        <v>0</v>
      </c>
      <c r="W104" s="54">
        <f ca="1">Данные!W104</f>
        <v>13</v>
      </c>
      <c r="X104" s="54" t="str">
        <f ca="1">Данные!X104</f>
        <v>1</v>
      </c>
      <c r="Y104" s="54" t="str">
        <f ca="1">Данные!Y104</f>
        <v>1</v>
      </c>
      <c r="Z104" s="54">
        <f>Данные!Z104</f>
        <v>0</v>
      </c>
      <c r="AA104" s="54" t="str">
        <f>Данные!AA104</f>
        <v>осн</v>
      </c>
      <c r="AB104" s="101">
        <f t="shared" si="13"/>
        <v>800</v>
      </c>
      <c r="AC104" s="101" t="str">
        <f t="shared" si="14"/>
        <v>ИВТ (бак)</v>
      </c>
      <c r="AD104" s="101" t="str">
        <f t="shared" si="15"/>
        <v/>
      </c>
      <c r="AE104" s="102">
        <f t="shared" ca="1" si="16"/>
        <v>18.79</v>
      </c>
      <c r="AF104" s="103">
        <f t="shared" ca="1" si="17"/>
        <v>2.3487499999999998E-2</v>
      </c>
      <c r="AG104" s="101"/>
      <c r="AH104" s="101"/>
      <c r="AI104"/>
      <c r="BQ104" s="72">
        <v>0</v>
      </c>
      <c r="BR104" s="72">
        <v>0</v>
      </c>
      <c r="BS104" s="72">
        <v>0</v>
      </c>
      <c r="BT104" s="72">
        <v>0</v>
      </c>
      <c r="BU104" s="72">
        <v>0</v>
      </c>
      <c r="BV104" s="72">
        <v>0</v>
      </c>
      <c r="BW104" s="72">
        <v>0</v>
      </c>
      <c r="BX104" s="72">
        <v>0</v>
      </c>
      <c r="BY104" s="72">
        <v>0</v>
      </c>
      <c r="BZ104" s="72">
        <v>0</v>
      </c>
      <c r="CA104" s="72">
        <v>0</v>
      </c>
      <c r="CB104" s="72">
        <v>0</v>
      </c>
      <c r="CC104" s="72">
        <v>0</v>
      </c>
      <c r="CD104" s="72">
        <v>0</v>
      </c>
      <c r="CE104" s="72">
        <v>0</v>
      </c>
      <c r="CF104" s="72">
        <v>0</v>
      </c>
      <c r="CG104" s="72">
        <v>0</v>
      </c>
      <c r="CH104" s="72">
        <v>0</v>
      </c>
      <c r="CI104" s="72">
        <v>0</v>
      </c>
      <c r="CJ104" s="72">
        <v>0</v>
      </c>
      <c r="CK104" s="72">
        <v>0</v>
      </c>
      <c r="CL104" s="72">
        <v>0</v>
      </c>
      <c r="CM104" s="72">
        <v>0</v>
      </c>
      <c r="CN104" s="72">
        <v>0</v>
      </c>
      <c r="CO104" s="72">
        <v>0</v>
      </c>
      <c r="CP104" s="72">
        <v>0</v>
      </c>
      <c r="CQ104" s="72">
        <v>0</v>
      </c>
      <c r="CR104" s="72">
        <v>0</v>
      </c>
      <c r="CS104" s="72">
        <v>0</v>
      </c>
      <c r="CT104" s="72">
        <v>0</v>
      </c>
      <c r="CU104" s="72">
        <v>0</v>
      </c>
      <c r="CV104" s="72">
        <v>0</v>
      </c>
      <c r="CW104" s="72">
        <v>0</v>
      </c>
      <c r="CX104" s="72">
        <v>0</v>
      </c>
      <c r="CY104" s="72">
        <v>0</v>
      </c>
      <c r="CZ104" s="72">
        <v>0</v>
      </c>
      <c r="DA104" s="72">
        <v>0</v>
      </c>
      <c r="DB104" s="72">
        <v>0</v>
      </c>
      <c r="DC104" s="72">
        <v>0</v>
      </c>
      <c r="DD104" s="72">
        <v>0</v>
      </c>
      <c r="DE104" s="72">
        <v>0</v>
      </c>
      <c r="DF104" s="72">
        <v>0</v>
      </c>
      <c r="DG104" s="72">
        <v>0</v>
      </c>
      <c r="DH104" s="72">
        <v>0</v>
      </c>
      <c r="DI104" s="72">
        <v>0</v>
      </c>
      <c r="DJ104" s="72">
        <v>0</v>
      </c>
      <c r="DK104" s="72">
        <v>0</v>
      </c>
      <c r="DL104" s="72">
        <v>0</v>
      </c>
      <c r="DM104" s="72">
        <v>0</v>
      </c>
      <c r="DN104" s="72">
        <v>0</v>
      </c>
      <c r="DO104" s="72">
        <v>0</v>
      </c>
      <c r="DP104" s="72">
        <v>0</v>
      </c>
      <c r="DQ104" s="72">
        <v>0</v>
      </c>
      <c r="DR104" s="72">
        <v>0</v>
      </c>
      <c r="DS104" s="72">
        <v>0</v>
      </c>
      <c r="DT104" s="72">
        <v>0</v>
      </c>
      <c r="DU104" s="72">
        <v>0</v>
      </c>
      <c r="DV104" s="72">
        <v>0</v>
      </c>
      <c r="DW104" s="72">
        <v>0</v>
      </c>
      <c r="DX104" s="72">
        <v>0</v>
      </c>
      <c r="DY104" s="72">
        <v>0</v>
      </c>
      <c r="DZ104" s="72">
        <v>0</v>
      </c>
      <c r="EA104" s="72">
        <v>0</v>
      </c>
      <c r="EB104" s="72">
        <v>0</v>
      </c>
      <c r="EC104" s="72">
        <v>0</v>
      </c>
      <c r="ED104" s="72">
        <v>0</v>
      </c>
      <c r="EE104" s="72">
        <v>0</v>
      </c>
      <c r="EF104" s="72">
        <v>0</v>
      </c>
      <c r="EG104" s="72">
        <v>0</v>
      </c>
      <c r="EH104" s="72">
        <v>0</v>
      </c>
      <c r="EI104" s="72">
        <v>0</v>
      </c>
      <c r="EJ104" s="72">
        <v>0</v>
      </c>
      <c r="EK104" s="72">
        <v>0</v>
      </c>
      <c r="EL104" s="72">
        <v>0</v>
      </c>
    </row>
    <row r="105" spans="1:142" s="6" customFormat="1" x14ac:dyDescent="0.35">
      <c r="A105" s="59">
        <f>Данные!A105</f>
        <v>4848</v>
      </c>
      <c r="B105" s="59">
        <f>Данные!B105</f>
        <v>2018</v>
      </c>
      <c r="C105" s="59" t="str">
        <f>Данные!C105</f>
        <v>компьютерных технологий и электронного обучения</v>
      </c>
      <c r="D105" s="59" t="str">
        <f>Данные!D105</f>
        <v>Жуков Николай Николаевич</v>
      </c>
      <c r="E105" s="59" t="str">
        <f>Данные!E105</f>
        <v>нет</v>
      </c>
      <c r="F105" s="59" t="str">
        <f>Данные!F105</f>
        <v>ассистент</v>
      </c>
      <c r="G105" s="59">
        <f>Данные!G105</f>
        <v>1</v>
      </c>
      <c r="H105" s="59">
        <f>Данные!H105</f>
        <v>17231</v>
      </c>
      <c r="I105" s="59" t="str">
        <f>Данные!I105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105" s="59">
        <f>Данные!J105</f>
        <v>0</v>
      </c>
      <c r="K105" s="59">
        <f>Данные!K105</f>
        <v>4</v>
      </c>
      <c r="L105" s="59">
        <f>Данные!L105</f>
        <v>0</v>
      </c>
      <c r="M105" s="60">
        <f t="shared" si="9"/>
        <v>0.4</v>
      </c>
      <c r="N105" s="60">
        <f t="shared" ca="1" si="10"/>
        <v>6.29</v>
      </c>
      <c r="O105" s="60">
        <f t="shared" ca="1" si="11"/>
        <v>3.25</v>
      </c>
      <c r="P105" s="60">
        <f t="shared" ca="1" si="12"/>
        <v>3.25</v>
      </c>
      <c r="Q105" s="54">
        <f>Данные!Q105</f>
        <v>0</v>
      </c>
      <c r="R105" s="54">
        <f>Данные!R105</f>
        <v>0</v>
      </c>
      <c r="S105" s="54">
        <f>Данные!S105</f>
        <v>0</v>
      </c>
      <c r="T105" s="54">
        <f>Данные!T105</f>
        <v>0</v>
      </c>
      <c r="U105" s="54">
        <f>Данные!U105</f>
        <v>0</v>
      </c>
      <c r="V105" s="54">
        <f>Данные!V105</f>
        <v>0</v>
      </c>
      <c r="W105" s="54">
        <f ca="1">Данные!W105</f>
        <v>13</v>
      </c>
      <c r="X105" s="54" t="str">
        <f ca="1">Данные!X105</f>
        <v>1</v>
      </c>
      <c r="Y105" s="54" t="str">
        <f ca="1">Данные!Y105</f>
        <v>1</v>
      </c>
      <c r="Z105" s="54">
        <f>Данные!Z105</f>
        <v>0</v>
      </c>
      <c r="AA105" s="54" t="str">
        <f>Данные!AA105</f>
        <v>доп</v>
      </c>
      <c r="AB105" s="101">
        <f t="shared" si="13"/>
        <v>900</v>
      </c>
      <c r="AC105" s="101" t="str">
        <f t="shared" si="14"/>
        <v>ИВТ (бак)</v>
      </c>
      <c r="AD105" s="101" t="str">
        <f t="shared" si="15"/>
        <v/>
      </c>
      <c r="AE105" s="102">
        <f t="shared" ca="1" si="16"/>
        <v>17.190000000000001</v>
      </c>
      <c r="AF105" s="103">
        <f t="shared" ca="1" si="17"/>
        <v>1.9100000000000002E-2</v>
      </c>
      <c r="AG105" s="101"/>
      <c r="AH105" s="101"/>
      <c r="AI105"/>
      <c r="BQ105" s="72">
        <v>0</v>
      </c>
      <c r="BR105" s="72">
        <v>0</v>
      </c>
      <c r="BS105" s="72">
        <v>0</v>
      </c>
      <c r="BT105" s="72">
        <v>0</v>
      </c>
      <c r="BU105" s="72">
        <v>0</v>
      </c>
      <c r="BV105" s="72">
        <v>0</v>
      </c>
      <c r="BW105" s="72">
        <v>0</v>
      </c>
      <c r="BX105" s="72">
        <v>0</v>
      </c>
      <c r="BY105" s="72">
        <v>0</v>
      </c>
      <c r="BZ105" s="72">
        <v>0</v>
      </c>
      <c r="CA105" s="72">
        <v>0</v>
      </c>
      <c r="CB105" s="72">
        <v>0</v>
      </c>
      <c r="CC105" s="72">
        <v>0</v>
      </c>
      <c r="CD105" s="72">
        <v>0</v>
      </c>
      <c r="CE105" s="72">
        <v>0</v>
      </c>
      <c r="CF105" s="72">
        <v>0</v>
      </c>
      <c r="CG105" s="72">
        <v>0</v>
      </c>
      <c r="CH105" s="72">
        <v>0</v>
      </c>
      <c r="CI105" s="72">
        <v>0</v>
      </c>
      <c r="CJ105" s="72">
        <v>0</v>
      </c>
      <c r="CK105" s="72">
        <v>0</v>
      </c>
      <c r="CL105" s="72">
        <v>0</v>
      </c>
      <c r="CM105" s="72">
        <v>0</v>
      </c>
      <c r="CN105" s="72">
        <v>0</v>
      </c>
      <c r="CO105" s="72">
        <v>0</v>
      </c>
      <c r="CP105" s="72">
        <v>0</v>
      </c>
      <c r="CQ105" s="72">
        <v>0</v>
      </c>
      <c r="CR105" s="72">
        <v>0</v>
      </c>
      <c r="CS105" s="72">
        <v>0</v>
      </c>
      <c r="CT105" s="72">
        <v>0</v>
      </c>
      <c r="CU105" s="72">
        <v>0</v>
      </c>
      <c r="CV105" s="72">
        <v>0</v>
      </c>
      <c r="CW105" s="72">
        <v>0</v>
      </c>
      <c r="CX105" s="72">
        <v>0</v>
      </c>
      <c r="CY105" s="72">
        <v>0</v>
      </c>
      <c r="CZ105" s="72">
        <v>0</v>
      </c>
      <c r="DA105" s="72">
        <v>0</v>
      </c>
      <c r="DB105" s="72">
        <v>0</v>
      </c>
      <c r="DC105" s="72">
        <v>0</v>
      </c>
      <c r="DD105" s="72">
        <v>0</v>
      </c>
      <c r="DE105" s="72">
        <v>0</v>
      </c>
      <c r="DF105" s="72">
        <v>0</v>
      </c>
      <c r="DG105" s="72">
        <v>0</v>
      </c>
      <c r="DH105" s="72">
        <v>0</v>
      </c>
      <c r="DI105" s="72">
        <v>0</v>
      </c>
      <c r="DJ105" s="72">
        <v>0</v>
      </c>
      <c r="DK105" s="72">
        <v>0</v>
      </c>
      <c r="DL105" s="72">
        <v>0</v>
      </c>
      <c r="DM105" s="72">
        <v>0</v>
      </c>
      <c r="DN105" s="72">
        <v>0</v>
      </c>
      <c r="DO105" s="72">
        <v>0</v>
      </c>
      <c r="DP105" s="72">
        <v>0</v>
      </c>
      <c r="DQ105" s="72">
        <v>0</v>
      </c>
      <c r="DR105" s="72">
        <v>0</v>
      </c>
      <c r="DS105" s="72">
        <v>0</v>
      </c>
      <c r="DT105" s="72">
        <v>0</v>
      </c>
      <c r="DU105" s="72">
        <v>0</v>
      </c>
      <c r="DV105" s="72">
        <v>0</v>
      </c>
      <c r="DW105" s="72">
        <v>0</v>
      </c>
      <c r="DX105" s="72">
        <v>0</v>
      </c>
      <c r="DY105" s="72">
        <v>0</v>
      </c>
      <c r="DZ105" s="72">
        <v>0</v>
      </c>
      <c r="EA105" s="72">
        <v>0</v>
      </c>
      <c r="EB105" s="72">
        <v>0</v>
      </c>
      <c r="EC105" s="72">
        <v>0</v>
      </c>
      <c r="ED105" s="72">
        <v>0</v>
      </c>
      <c r="EE105" s="72">
        <v>0</v>
      </c>
      <c r="EF105" s="72">
        <v>0</v>
      </c>
      <c r="EG105" s="72">
        <v>0</v>
      </c>
      <c r="EH105" s="72">
        <v>0</v>
      </c>
      <c r="EI105" s="72">
        <v>0</v>
      </c>
      <c r="EJ105" s="72">
        <v>0</v>
      </c>
      <c r="EK105" s="72">
        <v>0</v>
      </c>
      <c r="EL105" s="72">
        <v>0</v>
      </c>
    </row>
    <row r="106" spans="1:142" s="6" customFormat="1" x14ac:dyDescent="0.35">
      <c r="A106" s="59">
        <f>Данные!A106</f>
        <v>4848</v>
      </c>
      <c r="B106" s="59">
        <f>Данные!B106</f>
        <v>2018</v>
      </c>
      <c r="C106" s="59" t="str">
        <f>Данные!C106</f>
        <v>компьютерных технологий и электронного обучения</v>
      </c>
      <c r="D106" s="59" t="str">
        <f>Данные!D106</f>
        <v>Жуков Николай Николаевич</v>
      </c>
      <c r="E106" s="59" t="str">
        <f>Данные!E106</f>
        <v>нет</v>
      </c>
      <c r="F106" s="59" t="str">
        <f>Данные!F106</f>
        <v>ассистент</v>
      </c>
      <c r="G106" s="59">
        <f>Данные!G106</f>
        <v>1</v>
      </c>
      <c r="H106" s="59">
        <f>Данные!H106</f>
        <v>17231</v>
      </c>
      <c r="I106" s="59" t="str">
        <f>Данные!I106</f>
        <v>Руководство ВКР</v>
      </c>
      <c r="J106" s="59">
        <f>Данные!J106</f>
        <v>0</v>
      </c>
      <c r="K106" s="59">
        <f>Данные!K106</f>
        <v>0</v>
      </c>
      <c r="L106" s="59">
        <f>Данные!L106</f>
        <v>0</v>
      </c>
      <c r="M106" s="60">
        <f t="shared" si="9"/>
        <v>0</v>
      </c>
      <c r="N106" s="60">
        <f t="shared" ca="1" si="10"/>
        <v>6.29</v>
      </c>
      <c r="O106" s="60">
        <f t="shared" ca="1" si="11"/>
        <v>3.25</v>
      </c>
      <c r="P106" s="60">
        <f t="shared" ca="1" si="12"/>
        <v>3.25</v>
      </c>
      <c r="Q106" s="54">
        <f>Данные!Q106</f>
        <v>0</v>
      </c>
      <c r="R106" s="54">
        <f>Данные!R106</f>
        <v>0</v>
      </c>
      <c r="S106" s="54">
        <f>Данные!S106</f>
        <v>0</v>
      </c>
      <c r="T106" s="54">
        <f>Данные!T106</f>
        <v>0</v>
      </c>
      <c r="U106" s="54">
        <f>Данные!U106</f>
        <v>0</v>
      </c>
      <c r="V106" s="54">
        <f>Данные!V106</f>
        <v>30</v>
      </c>
      <c r="W106" s="54">
        <f ca="1">Данные!W106</f>
        <v>13</v>
      </c>
      <c r="X106" s="54" t="str">
        <f ca="1">Данные!X106</f>
        <v>1</v>
      </c>
      <c r="Y106" s="54" t="str">
        <f ca="1">Данные!Y106</f>
        <v>1</v>
      </c>
      <c r="Z106" s="54">
        <f>Данные!Z106</f>
        <v>0</v>
      </c>
      <c r="AA106" s="54" t="str">
        <f>Данные!AA106</f>
        <v>осн</v>
      </c>
      <c r="AB106" s="101">
        <f t="shared" si="13"/>
        <v>900</v>
      </c>
      <c r="AC106" s="101" t="str">
        <f t="shared" si="14"/>
        <v>ИВТ (бак)</v>
      </c>
      <c r="AD106" s="101" t="str">
        <f t="shared" si="15"/>
        <v/>
      </c>
      <c r="AE106" s="102">
        <f t="shared" ca="1" si="16"/>
        <v>42.79</v>
      </c>
      <c r="AF106" s="103">
        <f t="shared" ca="1" si="17"/>
        <v>4.7544444444444445E-2</v>
      </c>
      <c r="AG106" s="101"/>
      <c r="AH106" s="101"/>
      <c r="AI106"/>
      <c r="BQ106" s="72">
        <v>0</v>
      </c>
      <c r="BR106" s="72">
        <v>0</v>
      </c>
      <c r="BS106" s="72">
        <v>0</v>
      </c>
      <c r="BT106" s="72">
        <v>0</v>
      </c>
      <c r="BU106" s="72">
        <v>0</v>
      </c>
      <c r="BV106" s="72">
        <v>0</v>
      </c>
      <c r="BW106" s="72">
        <v>0</v>
      </c>
      <c r="BX106" s="72">
        <v>0</v>
      </c>
      <c r="BY106" s="72">
        <v>0</v>
      </c>
      <c r="BZ106" s="72">
        <v>0</v>
      </c>
      <c r="CA106" s="72">
        <v>0</v>
      </c>
      <c r="CB106" s="72">
        <v>0</v>
      </c>
      <c r="CC106" s="72">
        <v>0</v>
      </c>
      <c r="CD106" s="72">
        <v>0</v>
      </c>
      <c r="CE106" s="72">
        <v>0</v>
      </c>
      <c r="CF106" s="72">
        <v>0</v>
      </c>
      <c r="CG106" s="72">
        <v>0</v>
      </c>
      <c r="CH106" s="72">
        <v>0</v>
      </c>
      <c r="CI106" s="72">
        <v>0</v>
      </c>
      <c r="CJ106" s="72">
        <v>0</v>
      </c>
      <c r="CK106" s="72">
        <v>0</v>
      </c>
      <c r="CL106" s="72">
        <v>0</v>
      </c>
      <c r="CM106" s="72">
        <v>0</v>
      </c>
      <c r="CN106" s="72">
        <v>0</v>
      </c>
      <c r="CO106" s="72">
        <v>0</v>
      </c>
      <c r="CP106" s="72">
        <v>0</v>
      </c>
      <c r="CQ106" s="72">
        <v>0</v>
      </c>
      <c r="CR106" s="72">
        <v>0</v>
      </c>
      <c r="CS106" s="72">
        <v>0</v>
      </c>
      <c r="CT106" s="72">
        <v>0</v>
      </c>
      <c r="CU106" s="72">
        <v>0</v>
      </c>
      <c r="CV106" s="72">
        <v>0</v>
      </c>
      <c r="CW106" s="72">
        <v>0</v>
      </c>
      <c r="CX106" s="72">
        <v>0</v>
      </c>
      <c r="CY106" s="72">
        <v>0</v>
      </c>
      <c r="CZ106" s="72">
        <v>0</v>
      </c>
      <c r="DA106" s="72">
        <v>0</v>
      </c>
      <c r="DB106" s="72">
        <v>0</v>
      </c>
      <c r="DC106" s="72">
        <v>0</v>
      </c>
      <c r="DD106" s="72">
        <v>0</v>
      </c>
      <c r="DE106" s="72">
        <v>0</v>
      </c>
      <c r="DF106" s="72">
        <v>0</v>
      </c>
      <c r="DG106" s="72">
        <v>0</v>
      </c>
      <c r="DH106" s="72">
        <v>0</v>
      </c>
      <c r="DI106" s="72">
        <v>0</v>
      </c>
      <c r="DJ106" s="72">
        <v>0</v>
      </c>
      <c r="DK106" s="72">
        <v>0</v>
      </c>
      <c r="DL106" s="72">
        <v>0</v>
      </c>
      <c r="DM106" s="72">
        <v>0</v>
      </c>
      <c r="DN106" s="72">
        <v>0</v>
      </c>
      <c r="DO106" s="72">
        <v>0</v>
      </c>
      <c r="DP106" s="72">
        <v>0</v>
      </c>
      <c r="DQ106" s="72">
        <v>0</v>
      </c>
      <c r="DR106" s="72">
        <v>0</v>
      </c>
      <c r="DS106" s="72">
        <v>0</v>
      </c>
      <c r="DT106" s="72">
        <v>0</v>
      </c>
      <c r="DU106" s="72">
        <v>0</v>
      </c>
      <c r="DV106" s="72">
        <v>0</v>
      </c>
      <c r="DW106" s="72">
        <v>0</v>
      </c>
      <c r="DX106" s="72">
        <v>0</v>
      </c>
      <c r="DY106" s="72">
        <v>0</v>
      </c>
      <c r="DZ106" s="72">
        <v>0</v>
      </c>
      <c r="EA106" s="72">
        <v>0</v>
      </c>
      <c r="EB106" s="72">
        <v>0</v>
      </c>
      <c r="EC106" s="72">
        <v>0</v>
      </c>
      <c r="ED106" s="72">
        <v>0</v>
      </c>
      <c r="EE106" s="72">
        <v>0</v>
      </c>
      <c r="EF106" s="72">
        <v>0</v>
      </c>
      <c r="EG106" s="72">
        <v>0</v>
      </c>
      <c r="EH106" s="72">
        <v>0</v>
      </c>
      <c r="EI106" s="72">
        <v>0</v>
      </c>
      <c r="EJ106" s="72">
        <v>0</v>
      </c>
      <c r="EK106" s="72">
        <v>0</v>
      </c>
      <c r="EL106" s="72">
        <v>0</v>
      </c>
    </row>
    <row r="107" spans="1:142" s="6" customFormat="1" x14ac:dyDescent="0.35">
      <c r="A107" s="59">
        <f>Данные!A107</f>
        <v>4848</v>
      </c>
      <c r="B107" s="59">
        <f>Данные!B107</f>
        <v>2018</v>
      </c>
      <c r="C107" s="59" t="str">
        <f>Данные!C107</f>
        <v>компьютерных технологий и электронного обучения</v>
      </c>
      <c r="D107" s="59" t="str">
        <f>Данные!D107</f>
        <v>Жуков Николай Николаевич</v>
      </c>
      <c r="E107" s="59" t="str">
        <f>Данные!E107</f>
        <v>нет</v>
      </c>
      <c r="F107" s="59" t="str">
        <f>Данные!F107</f>
        <v>ассистент</v>
      </c>
      <c r="G107" s="59">
        <f>Данные!G107</f>
        <v>1</v>
      </c>
      <c r="H107" s="59">
        <f>Данные!H107</f>
        <v>17231</v>
      </c>
      <c r="I107" s="59" t="str">
        <f>Данные!I107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107" s="59">
        <f>Данные!J107</f>
        <v>0</v>
      </c>
      <c r="K107" s="59">
        <f>Данные!K107</f>
        <v>0</v>
      </c>
      <c r="L107" s="59">
        <f>Данные!L107</f>
        <v>0</v>
      </c>
      <c r="M107" s="60">
        <f t="shared" si="9"/>
        <v>0</v>
      </c>
      <c r="N107" s="60">
        <f t="shared" ca="1" si="10"/>
        <v>6.29</v>
      </c>
      <c r="O107" s="60">
        <f t="shared" ca="1" si="11"/>
        <v>3.25</v>
      </c>
      <c r="P107" s="60">
        <f t="shared" ca="1" si="12"/>
        <v>3.25</v>
      </c>
      <c r="Q107" s="54">
        <f>Данные!Q107</f>
        <v>0</v>
      </c>
      <c r="R107" s="54">
        <f>Данные!R107</f>
        <v>0</v>
      </c>
      <c r="S107" s="54">
        <f>Данные!S107</f>
        <v>0</v>
      </c>
      <c r="T107" s="54">
        <f>Данные!T107</f>
        <v>0</v>
      </c>
      <c r="U107" s="54">
        <f>Данные!U107</f>
        <v>4</v>
      </c>
      <c r="V107" s="54">
        <f>Данные!V107</f>
        <v>0</v>
      </c>
      <c r="W107" s="54">
        <f ca="1">Данные!W107</f>
        <v>13</v>
      </c>
      <c r="X107" s="54" t="str">
        <f ca="1">Данные!X107</f>
        <v>1</v>
      </c>
      <c r="Y107" s="54" t="str">
        <f ca="1">Данные!Y107</f>
        <v>1</v>
      </c>
      <c r="Z107" s="54">
        <f>Данные!Z107</f>
        <v>0</v>
      </c>
      <c r="AA107" s="54" t="str">
        <f>Данные!AA107</f>
        <v>осн</v>
      </c>
      <c r="AB107" s="101">
        <f t="shared" si="13"/>
        <v>900</v>
      </c>
      <c r="AC107" s="101" t="str">
        <f t="shared" si="14"/>
        <v>ИВТ (бак)</v>
      </c>
      <c r="AD107" s="101" t="str">
        <f t="shared" si="15"/>
        <v/>
      </c>
      <c r="AE107" s="102">
        <f t="shared" ca="1" si="16"/>
        <v>16.79</v>
      </c>
      <c r="AF107" s="103">
        <f t="shared" ca="1" si="17"/>
        <v>1.8655555555555554E-2</v>
      </c>
      <c r="AG107" s="101"/>
      <c r="AH107" s="101"/>
      <c r="AI107"/>
      <c r="BQ107" s="72">
        <v>0</v>
      </c>
      <c r="BR107" s="72">
        <v>0</v>
      </c>
      <c r="BS107" s="72">
        <v>0</v>
      </c>
      <c r="BT107" s="72">
        <v>0</v>
      </c>
      <c r="BU107" s="72">
        <v>0</v>
      </c>
      <c r="BV107" s="72">
        <v>0</v>
      </c>
      <c r="BW107" s="72">
        <v>0</v>
      </c>
      <c r="BX107" s="72">
        <v>0</v>
      </c>
      <c r="BY107" s="72">
        <v>0</v>
      </c>
      <c r="BZ107" s="72">
        <v>0</v>
      </c>
      <c r="CA107" s="72">
        <v>0</v>
      </c>
      <c r="CB107" s="72">
        <v>0</v>
      </c>
      <c r="CC107" s="72">
        <v>0</v>
      </c>
      <c r="CD107" s="72">
        <v>0</v>
      </c>
      <c r="CE107" s="72">
        <v>0</v>
      </c>
      <c r="CF107" s="72">
        <v>0</v>
      </c>
      <c r="CG107" s="72">
        <v>0</v>
      </c>
      <c r="CH107" s="72">
        <v>0</v>
      </c>
      <c r="CI107" s="72">
        <v>0</v>
      </c>
      <c r="CJ107" s="72">
        <v>0</v>
      </c>
      <c r="CK107" s="72">
        <v>0</v>
      </c>
      <c r="CL107" s="72">
        <v>0</v>
      </c>
      <c r="CM107" s="72">
        <v>0</v>
      </c>
      <c r="CN107" s="72">
        <v>0</v>
      </c>
      <c r="CO107" s="72">
        <v>0</v>
      </c>
      <c r="CP107" s="72">
        <v>0</v>
      </c>
      <c r="CQ107" s="72">
        <v>0</v>
      </c>
      <c r="CR107" s="72">
        <v>0</v>
      </c>
      <c r="CS107" s="72">
        <v>0</v>
      </c>
      <c r="CT107" s="72">
        <v>0</v>
      </c>
      <c r="CU107" s="72">
        <v>0</v>
      </c>
      <c r="CV107" s="72">
        <v>0</v>
      </c>
      <c r="CW107" s="72">
        <v>0</v>
      </c>
      <c r="CX107" s="72">
        <v>0</v>
      </c>
      <c r="CY107" s="72">
        <v>0</v>
      </c>
      <c r="CZ107" s="72">
        <v>0</v>
      </c>
      <c r="DA107" s="72">
        <v>0</v>
      </c>
      <c r="DB107" s="72">
        <v>0</v>
      </c>
      <c r="DC107" s="72">
        <v>0</v>
      </c>
      <c r="DD107" s="72">
        <v>0</v>
      </c>
      <c r="DE107" s="72">
        <v>0</v>
      </c>
      <c r="DF107" s="72">
        <v>0</v>
      </c>
      <c r="DG107" s="72">
        <v>0</v>
      </c>
      <c r="DH107" s="72">
        <v>0</v>
      </c>
      <c r="DI107" s="72">
        <v>0</v>
      </c>
      <c r="DJ107" s="72">
        <v>0</v>
      </c>
      <c r="DK107" s="72">
        <v>0</v>
      </c>
      <c r="DL107" s="72">
        <v>0</v>
      </c>
      <c r="DM107" s="72">
        <v>0</v>
      </c>
      <c r="DN107" s="72">
        <v>0</v>
      </c>
      <c r="DO107" s="72">
        <v>0</v>
      </c>
      <c r="DP107" s="72">
        <v>0</v>
      </c>
      <c r="DQ107" s="72">
        <v>0</v>
      </c>
      <c r="DR107" s="72">
        <v>0</v>
      </c>
      <c r="DS107" s="72">
        <v>0</v>
      </c>
      <c r="DT107" s="72">
        <v>0</v>
      </c>
      <c r="DU107" s="72">
        <v>0</v>
      </c>
      <c r="DV107" s="72">
        <v>0</v>
      </c>
      <c r="DW107" s="72">
        <v>0</v>
      </c>
      <c r="DX107" s="72">
        <v>0</v>
      </c>
      <c r="DY107" s="72">
        <v>0</v>
      </c>
      <c r="DZ107" s="72">
        <v>0</v>
      </c>
      <c r="EA107" s="72">
        <v>0</v>
      </c>
      <c r="EB107" s="72">
        <v>0</v>
      </c>
      <c r="EC107" s="72">
        <v>0</v>
      </c>
      <c r="ED107" s="72">
        <v>0</v>
      </c>
      <c r="EE107" s="72">
        <v>0</v>
      </c>
      <c r="EF107" s="72">
        <v>0</v>
      </c>
      <c r="EG107" s="72">
        <v>0</v>
      </c>
      <c r="EH107" s="72">
        <v>0</v>
      </c>
      <c r="EI107" s="72">
        <v>0</v>
      </c>
      <c r="EJ107" s="72">
        <v>0</v>
      </c>
      <c r="EK107" s="72">
        <v>0</v>
      </c>
      <c r="EL107" s="72">
        <v>0</v>
      </c>
    </row>
    <row r="108" spans="1:142" s="6" customFormat="1" x14ac:dyDescent="0.35">
      <c r="A108" s="59">
        <f>Данные!A108</f>
        <v>4848</v>
      </c>
      <c r="B108" s="59">
        <f>Данные!B108</f>
        <v>2018</v>
      </c>
      <c r="C108" s="59" t="str">
        <f>Данные!C108</f>
        <v>компьютерных технологий и электронного обучения</v>
      </c>
      <c r="D108" s="59" t="str">
        <f>Данные!D108</f>
        <v>Жуков Николай Николаевич</v>
      </c>
      <c r="E108" s="59" t="str">
        <f>Данные!E108</f>
        <v>нет</v>
      </c>
      <c r="F108" s="59" t="str">
        <f>Данные!F108</f>
        <v>ассистент</v>
      </c>
      <c r="G108" s="59">
        <f>Данные!G108</f>
        <v>1</v>
      </c>
      <c r="H108" s="59">
        <f>Данные!H108</f>
        <v>17231</v>
      </c>
      <c r="I108" s="59" t="str">
        <f>Данные!I108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108" s="59">
        <f>Данные!J108</f>
        <v>0</v>
      </c>
      <c r="K108" s="59">
        <f>Данные!K108</f>
        <v>0</v>
      </c>
      <c r="L108" s="59">
        <f>Данные!L108</f>
        <v>0</v>
      </c>
      <c r="M108" s="60">
        <f t="shared" si="9"/>
        <v>0</v>
      </c>
      <c r="N108" s="60">
        <f t="shared" ca="1" si="10"/>
        <v>6.29</v>
      </c>
      <c r="O108" s="60">
        <f t="shared" ca="1" si="11"/>
        <v>3.25</v>
      </c>
      <c r="P108" s="60">
        <f t="shared" ca="1" si="12"/>
        <v>3.25</v>
      </c>
      <c r="Q108" s="54">
        <f>Данные!Q108</f>
        <v>0</v>
      </c>
      <c r="R108" s="54">
        <f>Данные!R108</f>
        <v>0</v>
      </c>
      <c r="S108" s="54">
        <f>Данные!S108</f>
        <v>0</v>
      </c>
      <c r="T108" s="54">
        <f>Данные!T108</f>
        <v>0</v>
      </c>
      <c r="U108" s="54">
        <f>Данные!U108</f>
        <v>2</v>
      </c>
      <c r="V108" s="54">
        <f>Данные!V108</f>
        <v>0</v>
      </c>
      <c r="W108" s="54">
        <f ca="1">Данные!W108</f>
        <v>13</v>
      </c>
      <c r="X108" s="54" t="str">
        <f ca="1">Данные!X108</f>
        <v>1</v>
      </c>
      <c r="Y108" s="54" t="str">
        <f ca="1">Данные!Y108</f>
        <v>1</v>
      </c>
      <c r="Z108" s="54">
        <f>Данные!Z108</f>
        <v>0</v>
      </c>
      <c r="AA108" s="54" t="str">
        <f>Данные!AA108</f>
        <v>доп</v>
      </c>
      <c r="AB108" s="101">
        <f t="shared" si="13"/>
        <v>900</v>
      </c>
      <c r="AC108" s="101" t="str">
        <f t="shared" si="14"/>
        <v>ИВТ (бак)</v>
      </c>
      <c r="AD108" s="101" t="str">
        <f t="shared" si="15"/>
        <v/>
      </c>
      <c r="AE108" s="102">
        <f t="shared" ca="1" si="16"/>
        <v>14.79</v>
      </c>
      <c r="AF108" s="103">
        <f t="shared" ca="1" si="17"/>
        <v>1.6433333333333331E-2</v>
      </c>
      <c r="AG108" s="101"/>
      <c r="AH108" s="101"/>
      <c r="AI108"/>
      <c r="BQ108" s="72">
        <v>0</v>
      </c>
      <c r="BR108" s="72">
        <v>0</v>
      </c>
      <c r="BS108" s="72">
        <v>0</v>
      </c>
      <c r="BT108" s="72">
        <v>0</v>
      </c>
      <c r="BU108" s="72">
        <v>0</v>
      </c>
      <c r="BV108" s="72">
        <v>0</v>
      </c>
      <c r="BW108" s="72">
        <v>0</v>
      </c>
      <c r="BX108" s="72">
        <v>0</v>
      </c>
      <c r="BY108" s="72">
        <v>0</v>
      </c>
      <c r="BZ108" s="72">
        <v>0</v>
      </c>
      <c r="CA108" s="72">
        <v>0</v>
      </c>
      <c r="CB108" s="72">
        <v>0</v>
      </c>
      <c r="CC108" s="72">
        <v>0</v>
      </c>
      <c r="CD108" s="72">
        <v>0</v>
      </c>
      <c r="CE108" s="72">
        <v>0</v>
      </c>
      <c r="CF108" s="72">
        <v>0</v>
      </c>
      <c r="CG108" s="72">
        <v>0</v>
      </c>
      <c r="CH108" s="72">
        <v>0</v>
      </c>
      <c r="CI108" s="72">
        <v>0</v>
      </c>
      <c r="CJ108" s="72">
        <v>0</v>
      </c>
      <c r="CK108" s="72">
        <v>0</v>
      </c>
      <c r="CL108" s="72">
        <v>0</v>
      </c>
      <c r="CM108" s="72">
        <v>0</v>
      </c>
      <c r="CN108" s="72">
        <v>0</v>
      </c>
      <c r="CO108" s="72">
        <v>0</v>
      </c>
      <c r="CP108" s="72">
        <v>0</v>
      </c>
      <c r="CQ108" s="72">
        <v>0</v>
      </c>
      <c r="CR108" s="72">
        <v>0</v>
      </c>
      <c r="CS108" s="72">
        <v>0</v>
      </c>
      <c r="CT108" s="72">
        <v>0</v>
      </c>
      <c r="CU108" s="72">
        <v>0</v>
      </c>
      <c r="CV108" s="72">
        <v>0</v>
      </c>
      <c r="CW108" s="72">
        <v>0</v>
      </c>
      <c r="CX108" s="72">
        <v>0</v>
      </c>
      <c r="CY108" s="72">
        <v>0</v>
      </c>
      <c r="CZ108" s="72">
        <v>0</v>
      </c>
      <c r="DA108" s="72">
        <v>0</v>
      </c>
      <c r="DB108" s="72">
        <v>0</v>
      </c>
      <c r="DC108" s="72">
        <v>0</v>
      </c>
      <c r="DD108" s="72">
        <v>0</v>
      </c>
      <c r="DE108" s="72">
        <v>0</v>
      </c>
      <c r="DF108" s="72">
        <v>0</v>
      </c>
      <c r="DG108" s="72">
        <v>0</v>
      </c>
      <c r="DH108" s="72">
        <v>0</v>
      </c>
      <c r="DI108" s="72">
        <v>0</v>
      </c>
      <c r="DJ108" s="72">
        <v>0</v>
      </c>
      <c r="DK108" s="72">
        <v>0</v>
      </c>
      <c r="DL108" s="72">
        <v>0</v>
      </c>
      <c r="DM108" s="72">
        <v>0</v>
      </c>
      <c r="DN108" s="72">
        <v>0</v>
      </c>
      <c r="DO108" s="72">
        <v>0</v>
      </c>
      <c r="DP108" s="72">
        <v>0</v>
      </c>
      <c r="DQ108" s="72">
        <v>0</v>
      </c>
      <c r="DR108" s="72">
        <v>0</v>
      </c>
      <c r="DS108" s="72">
        <v>0</v>
      </c>
      <c r="DT108" s="72">
        <v>0</v>
      </c>
      <c r="DU108" s="72">
        <v>0</v>
      </c>
      <c r="DV108" s="72">
        <v>0</v>
      </c>
      <c r="DW108" s="72">
        <v>0</v>
      </c>
      <c r="DX108" s="72">
        <v>0</v>
      </c>
      <c r="DY108" s="72">
        <v>0</v>
      </c>
      <c r="DZ108" s="72">
        <v>0</v>
      </c>
      <c r="EA108" s="72">
        <v>0</v>
      </c>
      <c r="EB108" s="72">
        <v>0</v>
      </c>
      <c r="EC108" s="72">
        <v>0</v>
      </c>
      <c r="ED108" s="72">
        <v>0</v>
      </c>
      <c r="EE108" s="72">
        <v>0</v>
      </c>
      <c r="EF108" s="72">
        <v>0</v>
      </c>
      <c r="EG108" s="72">
        <v>0</v>
      </c>
      <c r="EH108" s="72">
        <v>0</v>
      </c>
      <c r="EI108" s="72">
        <v>0</v>
      </c>
      <c r="EJ108" s="72">
        <v>0</v>
      </c>
      <c r="EK108" s="72">
        <v>0</v>
      </c>
      <c r="EL108" s="72">
        <v>0</v>
      </c>
    </row>
    <row r="109" spans="1:142" s="6" customFormat="1" x14ac:dyDescent="0.35">
      <c r="A109" s="59">
        <f>Данные!A109</f>
        <v>4848</v>
      </c>
      <c r="B109" s="59">
        <f>Данные!B109</f>
        <v>2018</v>
      </c>
      <c r="C109" s="59" t="str">
        <f>Данные!C109</f>
        <v>компьютерных технологий и электронного обучения</v>
      </c>
      <c r="D109" s="59" t="str">
        <f>Данные!D109</f>
        <v>Иванова Екатерина Алексеевна</v>
      </c>
      <c r="E109" s="59" t="str">
        <f>Данные!E109</f>
        <v>нет</v>
      </c>
      <c r="F109" s="59" t="str">
        <f>Данные!F109</f>
        <v>ассистент</v>
      </c>
      <c r="G109" s="59">
        <f>Данные!G109</f>
        <v>0.25</v>
      </c>
      <c r="H109" s="59">
        <f>Данные!H109</f>
        <v>17231</v>
      </c>
      <c r="I109" s="59" t="str">
        <f>Данные!I109</f>
        <v>Модуль "Информационные ресурсы и средства профессиональной деятельности инженера". Инфографика</v>
      </c>
      <c r="J109" s="59">
        <f>Данные!J109</f>
        <v>0</v>
      </c>
      <c r="K109" s="59">
        <f>Данные!K109</f>
        <v>0</v>
      </c>
      <c r="L109" s="59">
        <f>Данные!L109</f>
        <v>18</v>
      </c>
      <c r="M109" s="60">
        <f t="shared" si="9"/>
        <v>1.8</v>
      </c>
      <c r="N109" s="60">
        <f t="shared" ca="1" si="10"/>
        <v>6.29</v>
      </c>
      <c r="O109" s="60">
        <f t="shared" ca="1" si="11"/>
        <v>3.25</v>
      </c>
      <c r="P109" s="60">
        <f t="shared" ca="1" si="12"/>
        <v>3.25</v>
      </c>
      <c r="Q109" s="54">
        <f>Данные!Q109</f>
        <v>0</v>
      </c>
      <c r="R109" s="54">
        <f>Данные!R109</f>
        <v>0</v>
      </c>
      <c r="S109" s="54">
        <f>Данные!S109</f>
        <v>0</v>
      </c>
      <c r="T109" s="54">
        <f>Данные!T109</f>
        <v>0</v>
      </c>
      <c r="U109" s="54">
        <f>Данные!U109</f>
        <v>0</v>
      </c>
      <c r="V109" s="54">
        <f>Данные!V109</f>
        <v>0</v>
      </c>
      <c r="W109" s="54">
        <f ca="1">Данные!W109</f>
        <v>13</v>
      </c>
      <c r="X109" s="54" t="str">
        <f ca="1">Данные!X109</f>
        <v>1</v>
      </c>
      <c r="Y109" s="54" t="str">
        <f ca="1">Данные!Y109</f>
        <v>1</v>
      </c>
      <c r="Z109" s="54">
        <f>Данные!Z109</f>
        <v>0</v>
      </c>
      <c r="AA109" s="54">
        <f>Данные!AA109</f>
        <v>0</v>
      </c>
      <c r="AB109" s="101">
        <f t="shared" si="13"/>
        <v>900</v>
      </c>
      <c r="AC109" s="101" t="str">
        <f t="shared" si="14"/>
        <v>ИВТ (бак)</v>
      </c>
      <c r="AD109" s="101" t="str">
        <f t="shared" si="15"/>
        <v/>
      </c>
      <c r="AE109" s="102">
        <f t="shared" ca="1" si="16"/>
        <v>32.590000000000003</v>
      </c>
      <c r="AF109" s="103">
        <f t="shared" ca="1" si="17"/>
        <v>3.6211111111111118E-2</v>
      </c>
      <c r="AG109" s="101"/>
      <c r="AH109" s="101"/>
      <c r="AI109"/>
      <c r="BQ109" s="72">
        <v>0</v>
      </c>
      <c r="BR109" s="72">
        <v>0</v>
      </c>
      <c r="BS109" s="72">
        <v>0</v>
      </c>
      <c r="BT109" s="72">
        <v>0</v>
      </c>
      <c r="BU109" s="72">
        <v>0</v>
      </c>
      <c r="BV109" s="72">
        <v>0</v>
      </c>
      <c r="BW109" s="72">
        <v>0</v>
      </c>
      <c r="BX109" s="72">
        <v>0</v>
      </c>
      <c r="BY109" s="72">
        <v>0</v>
      </c>
      <c r="BZ109" s="72">
        <v>0</v>
      </c>
      <c r="CA109" s="72">
        <v>0</v>
      </c>
      <c r="CB109" s="72">
        <v>0</v>
      </c>
      <c r="CC109" s="72">
        <v>0</v>
      </c>
      <c r="CD109" s="72">
        <v>0</v>
      </c>
      <c r="CE109" s="72">
        <v>0</v>
      </c>
      <c r="CF109" s="72">
        <v>0</v>
      </c>
      <c r="CG109" s="72">
        <v>0</v>
      </c>
      <c r="CH109" s="72">
        <v>0</v>
      </c>
      <c r="CI109" s="72">
        <v>0</v>
      </c>
      <c r="CJ109" s="72">
        <v>0</v>
      </c>
      <c r="CK109" s="72">
        <v>0</v>
      </c>
      <c r="CL109" s="72">
        <v>0</v>
      </c>
      <c r="CM109" s="72">
        <v>0</v>
      </c>
      <c r="CN109" s="72">
        <v>0</v>
      </c>
      <c r="CO109" s="72">
        <v>0</v>
      </c>
      <c r="CP109" s="72">
        <v>0</v>
      </c>
      <c r="CQ109" s="72">
        <v>0</v>
      </c>
      <c r="CR109" s="72">
        <v>0</v>
      </c>
      <c r="CS109" s="72">
        <v>0</v>
      </c>
      <c r="CT109" s="72">
        <v>0</v>
      </c>
      <c r="CU109" s="72">
        <v>0</v>
      </c>
      <c r="CV109" s="72">
        <v>0</v>
      </c>
      <c r="CW109" s="72">
        <v>0</v>
      </c>
      <c r="CX109" s="72">
        <v>0</v>
      </c>
      <c r="CY109" s="72">
        <v>0</v>
      </c>
      <c r="CZ109" s="72">
        <v>0</v>
      </c>
      <c r="DA109" s="72">
        <v>0</v>
      </c>
      <c r="DB109" s="72">
        <v>0</v>
      </c>
      <c r="DC109" s="72">
        <v>0</v>
      </c>
      <c r="DD109" s="72">
        <v>0</v>
      </c>
      <c r="DE109" s="72">
        <v>0</v>
      </c>
      <c r="DF109" s="72">
        <v>0</v>
      </c>
      <c r="DG109" s="72">
        <v>0</v>
      </c>
      <c r="DH109" s="72">
        <v>0</v>
      </c>
      <c r="DI109" s="72">
        <v>0</v>
      </c>
      <c r="DJ109" s="72">
        <v>0</v>
      </c>
      <c r="DK109" s="72">
        <v>0</v>
      </c>
      <c r="DL109" s="72">
        <v>0</v>
      </c>
      <c r="DM109" s="72">
        <v>0</v>
      </c>
      <c r="DN109" s="72">
        <v>0</v>
      </c>
      <c r="DO109" s="72">
        <v>0</v>
      </c>
      <c r="DP109" s="72">
        <v>0</v>
      </c>
      <c r="DQ109" s="72">
        <v>0</v>
      </c>
      <c r="DR109" s="72">
        <v>0</v>
      </c>
      <c r="DS109" s="72">
        <v>0</v>
      </c>
      <c r="DT109" s="72">
        <v>0</v>
      </c>
      <c r="DU109" s="72">
        <v>0</v>
      </c>
      <c r="DV109" s="72">
        <v>0</v>
      </c>
      <c r="DW109" s="72">
        <v>0</v>
      </c>
      <c r="DX109" s="72">
        <v>0</v>
      </c>
      <c r="DY109" s="72">
        <v>0</v>
      </c>
      <c r="DZ109" s="72">
        <v>0</v>
      </c>
      <c r="EA109" s="72">
        <v>0</v>
      </c>
      <c r="EB109" s="72">
        <v>0</v>
      </c>
      <c r="EC109" s="72">
        <v>0</v>
      </c>
      <c r="ED109" s="72">
        <v>0</v>
      </c>
      <c r="EE109" s="72">
        <v>0</v>
      </c>
      <c r="EF109" s="72">
        <v>0</v>
      </c>
      <c r="EG109" s="72">
        <v>0</v>
      </c>
      <c r="EH109" s="72">
        <v>0</v>
      </c>
      <c r="EI109" s="72">
        <v>0</v>
      </c>
      <c r="EJ109" s="72">
        <v>0</v>
      </c>
      <c r="EK109" s="72">
        <v>0</v>
      </c>
      <c r="EL109" s="72">
        <v>0</v>
      </c>
    </row>
    <row r="110" spans="1:142" s="6" customFormat="1" x14ac:dyDescent="0.35">
      <c r="A110" s="59">
        <f>Данные!A110</f>
        <v>4848</v>
      </c>
      <c r="B110" s="59">
        <f>Данные!B110</f>
        <v>2018</v>
      </c>
      <c r="C110" s="59" t="str">
        <f>Данные!C110</f>
        <v>компьютерных технологий и электронного обучения</v>
      </c>
      <c r="D110" s="59" t="str">
        <f>Данные!D110</f>
        <v>Серегин Александр Николаевич</v>
      </c>
      <c r="E110" s="59" t="str">
        <f>Данные!E110</f>
        <v>кандидат технических наук</v>
      </c>
      <c r="F110" s="59" t="str">
        <f>Данные!F110</f>
        <v>внешний</v>
      </c>
      <c r="G110" s="59">
        <f>Данные!G110</f>
        <v>1</v>
      </c>
      <c r="H110" s="59">
        <f>Данные!H110</f>
        <v>17231</v>
      </c>
      <c r="I110" s="59" t="str">
        <f>Данные!I110</f>
        <v>Модуль "Информационные ресурсы и средства профессиональной деятельности инженера". Учебно-технологический практикум</v>
      </c>
      <c r="J110" s="59">
        <f>Данные!J110</f>
        <v>0</v>
      </c>
      <c r="K110" s="59">
        <f>Данные!K110</f>
        <v>0</v>
      </c>
      <c r="L110" s="59">
        <f>Данные!L110</f>
        <v>14</v>
      </c>
      <c r="M110" s="60">
        <f t="shared" si="9"/>
        <v>1.4</v>
      </c>
      <c r="N110" s="60">
        <f t="shared" ca="1" si="10"/>
        <v>6.29</v>
      </c>
      <c r="O110" s="60">
        <f t="shared" ca="1" si="11"/>
        <v>3.25</v>
      </c>
      <c r="P110" s="60">
        <f t="shared" ca="1" si="12"/>
        <v>3.25</v>
      </c>
      <c r="Q110" s="54">
        <f>Данные!Q110</f>
        <v>0</v>
      </c>
      <c r="R110" s="54">
        <f>Данные!R110</f>
        <v>0</v>
      </c>
      <c r="S110" s="54">
        <f>Данные!S110</f>
        <v>0</v>
      </c>
      <c r="T110" s="54">
        <f>Данные!T110</f>
        <v>0</v>
      </c>
      <c r="U110" s="54">
        <f>Данные!U110</f>
        <v>0</v>
      </c>
      <c r="V110" s="54">
        <f>Данные!V110</f>
        <v>0</v>
      </c>
      <c r="W110" s="54">
        <f ca="1">Данные!W110</f>
        <v>13</v>
      </c>
      <c r="X110" s="54" t="str">
        <f ca="1">Данные!X110</f>
        <v>1</v>
      </c>
      <c r="Y110" s="54" t="str">
        <f ca="1">Данные!Y110</f>
        <v>1</v>
      </c>
      <c r="Z110" s="54">
        <f>Данные!Z110</f>
        <v>0</v>
      </c>
      <c r="AA110" s="54">
        <f>Данные!AA110</f>
        <v>0</v>
      </c>
      <c r="AB110" s="101">
        <f t="shared" si="13"/>
        <v>900</v>
      </c>
      <c r="AC110" s="101" t="str">
        <f t="shared" si="14"/>
        <v>ИВТ (бак)</v>
      </c>
      <c r="AD110" s="101" t="str">
        <f t="shared" si="15"/>
        <v/>
      </c>
      <c r="AE110" s="102">
        <f t="shared" ca="1" si="16"/>
        <v>28.19</v>
      </c>
      <c r="AF110" s="103">
        <f t="shared" ca="1" si="17"/>
        <v>3.1322222222222224E-2</v>
      </c>
      <c r="AG110" s="101"/>
      <c r="AH110" s="101"/>
      <c r="AI110"/>
      <c r="BQ110" s="72">
        <v>0</v>
      </c>
      <c r="BR110" s="72">
        <v>0</v>
      </c>
      <c r="BS110" s="72">
        <v>0</v>
      </c>
      <c r="BT110" s="72">
        <v>0</v>
      </c>
      <c r="BU110" s="72">
        <v>0</v>
      </c>
      <c r="BV110" s="72">
        <v>0</v>
      </c>
      <c r="BW110" s="72">
        <v>0</v>
      </c>
      <c r="BX110" s="72">
        <v>0</v>
      </c>
      <c r="BY110" s="72">
        <v>0</v>
      </c>
      <c r="BZ110" s="72">
        <v>0</v>
      </c>
      <c r="CA110" s="72">
        <v>0</v>
      </c>
      <c r="CB110" s="72">
        <v>0</v>
      </c>
      <c r="CC110" s="72">
        <v>0</v>
      </c>
      <c r="CD110" s="72">
        <v>0</v>
      </c>
      <c r="CE110" s="72">
        <v>0</v>
      </c>
      <c r="CF110" s="72">
        <v>0</v>
      </c>
      <c r="CG110" s="72">
        <v>0</v>
      </c>
      <c r="CH110" s="72">
        <v>0</v>
      </c>
      <c r="CI110" s="72">
        <v>0</v>
      </c>
      <c r="CJ110" s="72">
        <v>0</v>
      </c>
      <c r="CK110" s="72">
        <v>0</v>
      </c>
      <c r="CL110" s="72">
        <v>0</v>
      </c>
      <c r="CM110" s="72">
        <v>0</v>
      </c>
      <c r="CN110" s="72">
        <v>0</v>
      </c>
      <c r="CO110" s="72">
        <v>0</v>
      </c>
      <c r="CP110" s="72">
        <v>0</v>
      </c>
      <c r="CQ110" s="72">
        <v>0</v>
      </c>
      <c r="CR110" s="72">
        <v>0</v>
      </c>
      <c r="CS110" s="72">
        <v>0</v>
      </c>
      <c r="CT110" s="72">
        <v>0</v>
      </c>
      <c r="CU110" s="72">
        <v>0</v>
      </c>
      <c r="CV110" s="72">
        <v>0</v>
      </c>
      <c r="CW110" s="72">
        <v>0</v>
      </c>
      <c r="CX110" s="72">
        <v>0</v>
      </c>
      <c r="CY110" s="72">
        <v>0</v>
      </c>
      <c r="CZ110" s="72">
        <v>0</v>
      </c>
      <c r="DA110" s="72">
        <v>0</v>
      </c>
      <c r="DB110" s="72">
        <v>0</v>
      </c>
      <c r="DC110" s="72">
        <v>0</v>
      </c>
      <c r="DD110" s="72">
        <v>0</v>
      </c>
      <c r="DE110" s="72">
        <v>0</v>
      </c>
      <c r="DF110" s="72">
        <v>0</v>
      </c>
      <c r="DG110" s="72">
        <v>0</v>
      </c>
      <c r="DH110" s="72">
        <v>0</v>
      </c>
      <c r="DI110" s="72">
        <v>0</v>
      </c>
      <c r="DJ110" s="72">
        <v>0</v>
      </c>
      <c r="DK110" s="72">
        <v>0</v>
      </c>
      <c r="DL110" s="72">
        <v>0</v>
      </c>
      <c r="DM110" s="72">
        <v>0</v>
      </c>
      <c r="DN110" s="72">
        <v>0</v>
      </c>
      <c r="DO110" s="72">
        <v>0</v>
      </c>
      <c r="DP110" s="72">
        <v>0</v>
      </c>
      <c r="DQ110" s="72">
        <v>0</v>
      </c>
      <c r="DR110" s="72">
        <v>0</v>
      </c>
      <c r="DS110" s="72">
        <v>0</v>
      </c>
      <c r="DT110" s="72">
        <v>0</v>
      </c>
      <c r="DU110" s="72">
        <v>0</v>
      </c>
      <c r="DV110" s="72">
        <v>0</v>
      </c>
      <c r="DW110" s="72">
        <v>0</v>
      </c>
      <c r="DX110" s="72">
        <v>0</v>
      </c>
      <c r="DY110" s="72">
        <v>0</v>
      </c>
      <c r="DZ110" s="72">
        <v>0</v>
      </c>
      <c r="EA110" s="72">
        <v>0</v>
      </c>
      <c r="EB110" s="72">
        <v>0</v>
      </c>
      <c r="EC110" s="72">
        <v>0</v>
      </c>
      <c r="ED110" s="72">
        <v>0</v>
      </c>
      <c r="EE110" s="72">
        <v>0</v>
      </c>
      <c r="EF110" s="72">
        <v>0</v>
      </c>
      <c r="EG110" s="72">
        <v>0</v>
      </c>
      <c r="EH110" s="72">
        <v>0</v>
      </c>
      <c r="EI110" s="72">
        <v>0</v>
      </c>
      <c r="EJ110" s="72">
        <v>0</v>
      </c>
      <c r="EK110" s="72">
        <v>0</v>
      </c>
      <c r="EL110" s="72">
        <v>0</v>
      </c>
    </row>
    <row r="111" spans="1:142" s="6" customFormat="1" x14ac:dyDescent="0.35">
      <c r="A111" s="59">
        <f>Данные!A111</f>
        <v>4848</v>
      </c>
      <c r="B111" s="59">
        <f>Данные!B111</f>
        <v>2018</v>
      </c>
      <c r="C111" s="59" t="str">
        <f>Данные!C111</f>
        <v>компьютерных технологий и электронного обучения</v>
      </c>
      <c r="D111" s="59" t="str">
        <f>Данные!D111</f>
        <v>Серегин Александр Николаевич</v>
      </c>
      <c r="E111" s="59" t="str">
        <f>Данные!E111</f>
        <v>кандидат технических наук</v>
      </c>
      <c r="F111" s="59" t="str">
        <f>Данные!F111</f>
        <v>внешний</v>
      </c>
      <c r="G111" s="59">
        <f>Данные!G111</f>
        <v>1</v>
      </c>
      <c r="H111" s="59">
        <f>Данные!H111</f>
        <v>17231</v>
      </c>
      <c r="I111" s="59" t="str">
        <f>Данные!I111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111" s="59">
        <f>Данные!J111</f>
        <v>0</v>
      </c>
      <c r="K111" s="59">
        <f>Данные!K111</f>
        <v>20</v>
      </c>
      <c r="L111" s="59">
        <f>Данные!L111</f>
        <v>0</v>
      </c>
      <c r="M111" s="60">
        <f t="shared" si="9"/>
        <v>2</v>
      </c>
      <c r="N111" s="60">
        <f t="shared" ca="1" si="10"/>
        <v>6.29</v>
      </c>
      <c r="O111" s="60">
        <f t="shared" ca="1" si="11"/>
        <v>3.25</v>
      </c>
      <c r="P111" s="60">
        <f t="shared" ca="1" si="12"/>
        <v>3.25</v>
      </c>
      <c r="Q111" s="54">
        <f>Данные!Q111</f>
        <v>0</v>
      </c>
      <c r="R111" s="54">
        <f>Данные!R111</f>
        <v>0</v>
      </c>
      <c r="S111" s="54">
        <f>Данные!S111</f>
        <v>0</v>
      </c>
      <c r="T111" s="54">
        <f>Данные!T111</f>
        <v>0</v>
      </c>
      <c r="U111" s="54">
        <f>Данные!U111</f>
        <v>0</v>
      </c>
      <c r="V111" s="54">
        <f>Данные!V111</f>
        <v>0</v>
      </c>
      <c r="W111" s="54">
        <f ca="1">Данные!W111</f>
        <v>13</v>
      </c>
      <c r="X111" s="54" t="str">
        <f ca="1">Данные!X111</f>
        <v>1</v>
      </c>
      <c r="Y111" s="54" t="str">
        <f ca="1">Данные!Y111</f>
        <v>1</v>
      </c>
      <c r="Z111" s="54">
        <f>Данные!Z111</f>
        <v>0</v>
      </c>
      <c r="AA111" s="54">
        <f>Данные!AA111</f>
        <v>0</v>
      </c>
      <c r="AB111" s="101">
        <f t="shared" si="13"/>
        <v>900</v>
      </c>
      <c r="AC111" s="101" t="str">
        <f t="shared" si="14"/>
        <v>ИВТ (бак)</v>
      </c>
      <c r="AD111" s="101" t="str">
        <f t="shared" si="15"/>
        <v/>
      </c>
      <c r="AE111" s="102">
        <f t="shared" ca="1" si="16"/>
        <v>34.79</v>
      </c>
      <c r="AF111" s="103">
        <f t="shared" ca="1" si="17"/>
        <v>3.8655555555555554E-2</v>
      </c>
      <c r="AG111" s="101"/>
      <c r="AH111" s="101"/>
      <c r="AI111"/>
      <c r="BQ111" s="72">
        <v>0</v>
      </c>
      <c r="BR111" s="72">
        <v>0</v>
      </c>
      <c r="BS111" s="72">
        <v>0</v>
      </c>
      <c r="BT111" s="72">
        <v>0</v>
      </c>
      <c r="BU111" s="72">
        <v>0</v>
      </c>
      <c r="BV111" s="72">
        <v>0</v>
      </c>
      <c r="BW111" s="72">
        <v>0</v>
      </c>
      <c r="BX111" s="72">
        <v>0</v>
      </c>
      <c r="BY111" s="72">
        <v>0</v>
      </c>
      <c r="BZ111" s="72">
        <v>0</v>
      </c>
      <c r="CA111" s="72">
        <v>0</v>
      </c>
      <c r="CB111" s="72">
        <v>0</v>
      </c>
      <c r="CC111" s="72">
        <v>0</v>
      </c>
      <c r="CD111" s="72">
        <v>0</v>
      </c>
      <c r="CE111" s="72">
        <v>0</v>
      </c>
      <c r="CF111" s="72">
        <v>0</v>
      </c>
      <c r="CG111" s="72">
        <v>0</v>
      </c>
      <c r="CH111" s="72">
        <v>0</v>
      </c>
      <c r="CI111" s="72">
        <v>0</v>
      </c>
      <c r="CJ111" s="72">
        <v>0</v>
      </c>
      <c r="CK111" s="72">
        <v>0</v>
      </c>
      <c r="CL111" s="72">
        <v>0</v>
      </c>
      <c r="CM111" s="72">
        <v>0</v>
      </c>
      <c r="CN111" s="72">
        <v>0</v>
      </c>
      <c r="CO111" s="72">
        <v>0</v>
      </c>
      <c r="CP111" s="72">
        <v>0</v>
      </c>
      <c r="CQ111" s="72">
        <v>0</v>
      </c>
      <c r="CR111" s="72">
        <v>0</v>
      </c>
      <c r="CS111" s="72">
        <v>0</v>
      </c>
      <c r="CT111" s="72">
        <v>0</v>
      </c>
      <c r="CU111" s="72">
        <v>0</v>
      </c>
      <c r="CV111" s="72">
        <v>0</v>
      </c>
      <c r="CW111" s="72">
        <v>0</v>
      </c>
      <c r="CX111" s="72">
        <v>0</v>
      </c>
      <c r="CY111" s="72">
        <v>0</v>
      </c>
      <c r="CZ111" s="72">
        <v>0</v>
      </c>
      <c r="DA111" s="72">
        <v>0</v>
      </c>
      <c r="DB111" s="72">
        <v>0</v>
      </c>
      <c r="DC111" s="72">
        <v>0</v>
      </c>
      <c r="DD111" s="72">
        <v>0</v>
      </c>
      <c r="DE111" s="72">
        <v>0</v>
      </c>
      <c r="DF111" s="72">
        <v>0</v>
      </c>
      <c r="DG111" s="72">
        <v>0</v>
      </c>
      <c r="DH111" s="72">
        <v>0</v>
      </c>
      <c r="DI111" s="72">
        <v>0</v>
      </c>
      <c r="DJ111" s="72">
        <v>0</v>
      </c>
      <c r="DK111" s="72">
        <v>0</v>
      </c>
      <c r="DL111" s="72">
        <v>0</v>
      </c>
      <c r="DM111" s="72">
        <v>0</v>
      </c>
      <c r="DN111" s="72">
        <v>0</v>
      </c>
      <c r="DO111" s="72">
        <v>0</v>
      </c>
      <c r="DP111" s="72">
        <v>0</v>
      </c>
      <c r="DQ111" s="72">
        <v>0</v>
      </c>
      <c r="DR111" s="72">
        <v>0</v>
      </c>
      <c r="DS111" s="72">
        <v>0</v>
      </c>
      <c r="DT111" s="72">
        <v>0</v>
      </c>
      <c r="DU111" s="72">
        <v>0</v>
      </c>
      <c r="DV111" s="72">
        <v>0</v>
      </c>
      <c r="DW111" s="72">
        <v>0</v>
      </c>
      <c r="DX111" s="72">
        <v>0</v>
      </c>
      <c r="DY111" s="72">
        <v>0</v>
      </c>
      <c r="DZ111" s="72">
        <v>0</v>
      </c>
      <c r="EA111" s="72">
        <v>0</v>
      </c>
      <c r="EB111" s="72">
        <v>0</v>
      </c>
      <c r="EC111" s="72">
        <v>0</v>
      </c>
      <c r="ED111" s="72">
        <v>0</v>
      </c>
      <c r="EE111" s="72">
        <v>0</v>
      </c>
      <c r="EF111" s="72">
        <v>0</v>
      </c>
      <c r="EG111" s="72">
        <v>0</v>
      </c>
      <c r="EH111" s="72">
        <v>0</v>
      </c>
      <c r="EI111" s="72">
        <v>0</v>
      </c>
      <c r="EJ111" s="72">
        <v>0</v>
      </c>
      <c r="EK111" s="72">
        <v>0</v>
      </c>
      <c r="EL111" s="72">
        <v>0</v>
      </c>
    </row>
    <row r="112" spans="1:142" s="6" customFormat="1" x14ac:dyDescent="0.35">
      <c r="A112" s="59">
        <f>Данные!A112</f>
        <v>4848</v>
      </c>
      <c r="B112" s="59">
        <f>Данные!B112</f>
        <v>2018</v>
      </c>
      <c r="C112" s="59" t="str">
        <f>Данные!C112</f>
        <v>компьютерных технологий и электронного обучения</v>
      </c>
      <c r="D112" s="59" t="str">
        <f>Данные!D112</f>
        <v>Серегин Александр Николаевич</v>
      </c>
      <c r="E112" s="59" t="str">
        <f>Данные!E112</f>
        <v>кандидат технических наук</v>
      </c>
      <c r="F112" s="59" t="str">
        <f>Данные!F112</f>
        <v>внешний</v>
      </c>
      <c r="G112" s="59">
        <f>Данные!G112</f>
        <v>1</v>
      </c>
      <c r="H112" s="59">
        <f>Данные!H112</f>
        <v>17231</v>
      </c>
      <c r="I112" s="59" t="str">
        <f>Данные!I112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112" s="59">
        <f>Данные!J112</f>
        <v>8</v>
      </c>
      <c r="K112" s="59">
        <f>Данные!K112</f>
        <v>12</v>
      </c>
      <c r="L112" s="59">
        <f>Данные!L112</f>
        <v>0</v>
      </c>
      <c r="M112" s="60">
        <f t="shared" si="9"/>
        <v>2</v>
      </c>
      <c r="N112" s="60">
        <f t="shared" ca="1" si="10"/>
        <v>6.29</v>
      </c>
      <c r="O112" s="60">
        <f t="shared" ca="1" si="11"/>
        <v>3.25</v>
      </c>
      <c r="P112" s="60">
        <f t="shared" ca="1" si="12"/>
        <v>3.25</v>
      </c>
      <c r="Q112" s="54">
        <f>Данные!Q112</f>
        <v>0</v>
      </c>
      <c r="R112" s="54">
        <f>Данные!R112</f>
        <v>0</v>
      </c>
      <c r="S112" s="54">
        <f>Данные!S112</f>
        <v>0</v>
      </c>
      <c r="T112" s="54">
        <f>Данные!T112</f>
        <v>0</v>
      </c>
      <c r="U112" s="54">
        <f>Данные!U112</f>
        <v>0</v>
      </c>
      <c r="V112" s="54">
        <f>Данные!V112</f>
        <v>0</v>
      </c>
      <c r="W112" s="54">
        <f ca="1">Данные!W112</f>
        <v>13</v>
      </c>
      <c r="X112" s="54" t="str">
        <f ca="1">Данные!X112</f>
        <v>1</v>
      </c>
      <c r="Y112" s="54" t="str">
        <f ca="1">Данные!Y112</f>
        <v>1</v>
      </c>
      <c r="Z112" s="54">
        <f>Данные!Z112</f>
        <v>0</v>
      </c>
      <c r="AA112" s="54">
        <f>Данные!AA112</f>
        <v>0</v>
      </c>
      <c r="AB112" s="101">
        <f t="shared" si="13"/>
        <v>900</v>
      </c>
      <c r="AC112" s="101" t="str">
        <f t="shared" si="14"/>
        <v>ИВТ (бак)</v>
      </c>
      <c r="AD112" s="101" t="str">
        <f t="shared" si="15"/>
        <v/>
      </c>
      <c r="AE112" s="102">
        <f t="shared" ca="1" si="16"/>
        <v>34.79</v>
      </c>
      <c r="AF112" s="103">
        <f t="shared" ca="1" si="17"/>
        <v>3.8655555555555554E-2</v>
      </c>
      <c r="AG112" s="101"/>
      <c r="AH112" s="101"/>
      <c r="AI112"/>
      <c r="BQ112" s="72">
        <v>0</v>
      </c>
      <c r="BR112" s="72">
        <v>0</v>
      </c>
      <c r="BS112" s="72">
        <v>0</v>
      </c>
      <c r="BT112" s="72">
        <v>0</v>
      </c>
      <c r="BU112" s="72">
        <v>0</v>
      </c>
      <c r="BV112" s="72">
        <v>0</v>
      </c>
      <c r="BW112" s="72">
        <v>0</v>
      </c>
      <c r="BX112" s="72">
        <v>0</v>
      </c>
      <c r="BY112" s="72">
        <v>0</v>
      </c>
      <c r="BZ112" s="72">
        <v>0</v>
      </c>
      <c r="CA112" s="72">
        <v>0</v>
      </c>
      <c r="CB112" s="72">
        <v>0</v>
      </c>
      <c r="CC112" s="72">
        <v>0</v>
      </c>
      <c r="CD112" s="72">
        <v>0</v>
      </c>
      <c r="CE112" s="72">
        <v>0</v>
      </c>
      <c r="CF112" s="72">
        <v>0</v>
      </c>
      <c r="CG112" s="72">
        <v>0</v>
      </c>
      <c r="CH112" s="72">
        <v>0</v>
      </c>
      <c r="CI112" s="72">
        <v>0</v>
      </c>
      <c r="CJ112" s="72">
        <v>0</v>
      </c>
      <c r="CK112" s="72">
        <v>0</v>
      </c>
      <c r="CL112" s="72">
        <v>0</v>
      </c>
      <c r="CM112" s="72">
        <v>0</v>
      </c>
      <c r="CN112" s="72">
        <v>0</v>
      </c>
      <c r="CO112" s="72">
        <v>0</v>
      </c>
      <c r="CP112" s="72">
        <v>0</v>
      </c>
      <c r="CQ112" s="72">
        <v>0</v>
      </c>
      <c r="CR112" s="72">
        <v>0</v>
      </c>
      <c r="CS112" s="72">
        <v>0</v>
      </c>
      <c r="CT112" s="72">
        <v>0</v>
      </c>
      <c r="CU112" s="72">
        <v>0</v>
      </c>
      <c r="CV112" s="72">
        <v>0</v>
      </c>
      <c r="CW112" s="72">
        <v>0</v>
      </c>
      <c r="CX112" s="72">
        <v>0</v>
      </c>
      <c r="CY112" s="72">
        <v>0</v>
      </c>
      <c r="CZ112" s="72">
        <v>0</v>
      </c>
      <c r="DA112" s="72">
        <v>0</v>
      </c>
      <c r="DB112" s="72">
        <v>0</v>
      </c>
      <c r="DC112" s="72">
        <v>0</v>
      </c>
      <c r="DD112" s="72">
        <v>0</v>
      </c>
      <c r="DE112" s="72">
        <v>0</v>
      </c>
      <c r="DF112" s="72">
        <v>0</v>
      </c>
      <c r="DG112" s="72">
        <v>0</v>
      </c>
      <c r="DH112" s="72">
        <v>0</v>
      </c>
      <c r="DI112" s="72">
        <v>0</v>
      </c>
      <c r="DJ112" s="72">
        <v>0</v>
      </c>
      <c r="DK112" s="72">
        <v>0</v>
      </c>
      <c r="DL112" s="72">
        <v>0</v>
      </c>
      <c r="DM112" s="72">
        <v>0</v>
      </c>
      <c r="DN112" s="72">
        <v>0</v>
      </c>
      <c r="DO112" s="72">
        <v>0</v>
      </c>
      <c r="DP112" s="72">
        <v>0</v>
      </c>
      <c r="DQ112" s="72">
        <v>0</v>
      </c>
      <c r="DR112" s="72">
        <v>0</v>
      </c>
      <c r="DS112" s="72">
        <v>0</v>
      </c>
      <c r="DT112" s="72">
        <v>0</v>
      </c>
      <c r="DU112" s="72">
        <v>0</v>
      </c>
      <c r="DV112" s="72">
        <v>0</v>
      </c>
      <c r="DW112" s="72">
        <v>0</v>
      </c>
      <c r="DX112" s="72">
        <v>0</v>
      </c>
      <c r="DY112" s="72">
        <v>0</v>
      </c>
      <c r="DZ112" s="72">
        <v>0</v>
      </c>
      <c r="EA112" s="72">
        <v>0</v>
      </c>
      <c r="EB112" s="72">
        <v>0</v>
      </c>
      <c r="EC112" s="72">
        <v>0</v>
      </c>
      <c r="ED112" s="72">
        <v>0</v>
      </c>
      <c r="EE112" s="72">
        <v>0</v>
      </c>
      <c r="EF112" s="72">
        <v>0</v>
      </c>
      <c r="EG112" s="72">
        <v>0</v>
      </c>
      <c r="EH112" s="72">
        <v>0</v>
      </c>
      <c r="EI112" s="72">
        <v>0</v>
      </c>
      <c r="EJ112" s="72">
        <v>0</v>
      </c>
      <c r="EK112" s="72">
        <v>0</v>
      </c>
      <c r="EL112" s="72">
        <v>0</v>
      </c>
    </row>
    <row r="113" spans="1:142" s="6" customFormat="1" x14ac:dyDescent="0.35">
      <c r="A113" s="59">
        <f>Данные!A113</f>
        <v>4848</v>
      </c>
      <c r="B113" s="59">
        <f>Данные!B113</f>
        <v>2018</v>
      </c>
      <c r="C113" s="59" t="str">
        <f>Данные!C113</f>
        <v>компьютерных технологий и электронного обучения</v>
      </c>
      <c r="D113" s="59" t="str">
        <f>Данные!D113</f>
        <v>Копыльцов Александр Васильевич</v>
      </c>
      <c r="E113" s="59" t="str">
        <f>Данные!E113</f>
        <v>доктор технических наук</v>
      </c>
      <c r="F113" s="59" t="str">
        <f>Данные!F113</f>
        <v>внешний</v>
      </c>
      <c r="G113" s="59">
        <f>Данные!G113</f>
        <v>1</v>
      </c>
      <c r="H113" s="59">
        <f>Данные!H113</f>
        <v>17231</v>
      </c>
      <c r="I113" s="59" t="str">
        <f>Данные!I113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113" s="59">
        <f>Данные!J113</f>
        <v>0</v>
      </c>
      <c r="K113" s="59">
        <f>Данные!K113</f>
        <v>0</v>
      </c>
      <c r="L113" s="59">
        <f>Данные!L113</f>
        <v>0</v>
      </c>
      <c r="M113" s="60">
        <f t="shared" si="9"/>
        <v>0</v>
      </c>
      <c r="N113" s="60">
        <f t="shared" ca="1" si="10"/>
        <v>6.29</v>
      </c>
      <c r="O113" s="60">
        <f t="shared" ca="1" si="11"/>
        <v>3.25</v>
      </c>
      <c r="P113" s="60">
        <f t="shared" ca="1" si="12"/>
        <v>3.25</v>
      </c>
      <c r="Q113" s="54">
        <f>Данные!Q113</f>
        <v>0</v>
      </c>
      <c r="R113" s="54">
        <f>Данные!R113</f>
        <v>0</v>
      </c>
      <c r="S113" s="54">
        <f>Данные!S113</f>
        <v>0</v>
      </c>
      <c r="T113" s="54">
        <f>Данные!T113</f>
        <v>0</v>
      </c>
      <c r="U113" s="54">
        <f>Данные!U113</f>
        <v>2</v>
      </c>
      <c r="V113" s="54">
        <f>Данные!V113</f>
        <v>0</v>
      </c>
      <c r="W113" s="54">
        <f ca="1">Данные!W113</f>
        <v>13</v>
      </c>
      <c r="X113" s="54" t="str">
        <f ca="1">Данные!X113</f>
        <v>1</v>
      </c>
      <c r="Y113" s="54" t="str">
        <f ca="1">Данные!Y113</f>
        <v>1</v>
      </c>
      <c r="Z113" s="54">
        <f>Данные!Z113</f>
        <v>0</v>
      </c>
      <c r="AA113" s="54">
        <f>Данные!AA113</f>
        <v>0</v>
      </c>
      <c r="AB113" s="101">
        <f t="shared" si="13"/>
        <v>900</v>
      </c>
      <c r="AC113" s="101" t="str">
        <f t="shared" si="14"/>
        <v>ИВТ (бак)</v>
      </c>
      <c r="AD113" s="101" t="str">
        <f t="shared" si="15"/>
        <v/>
      </c>
      <c r="AE113" s="102">
        <f t="shared" ca="1" si="16"/>
        <v>14.79</v>
      </c>
      <c r="AF113" s="103">
        <f t="shared" ca="1" si="17"/>
        <v>1.6433333333333331E-2</v>
      </c>
      <c r="AG113" s="101"/>
      <c r="AH113" s="101"/>
      <c r="AI113"/>
      <c r="BQ113" s="72">
        <v>0</v>
      </c>
      <c r="BR113" s="72">
        <v>0</v>
      </c>
      <c r="BS113" s="72">
        <v>0</v>
      </c>
      <c r="BT113" s="72">
        <v>0</v>
      </c>
      <c r="BU113" s="72">
        <v>0</v>
      </c>
      <c r="BV113" s="72">
        <v>0</v>
      </c>
      <c r="BW113" s="72">
        <v>0</v>
      </c>
      <c r="BX113" s="72">
        <v>0</v>
      </c>
      <c r="BY113" s="72">
        <v>0</v>
      </c>
      <c r="BZ113" s="72">
        <v>0</v>
      </c>
      <c r="CA113" s="72">
        <v>0</v>
      </c>
      <c r="CB113" s="72">
        <v>0</v>
      </c>
      <c r="CC113" s="72">
        <v>0</v>
      </c>
      <c r="CD113" s="72">
        <v>0</v>
      </c>
      <c r="CE113" s="72">
        <v>0</v>
      </c>
      <c r="CF113" s="72">
        <v>0</v>
      </c>
      <c r="CG113" s="72">
        <v>0</v>
      </c>
      <c r="CH113" s="72">
        <v>0</v>
      </c>
      <c r="CI113" s="72">
        <v>0</v>
      </c>
      <c r="CJ113" s="72">
        <v>0</v>
      </c>
      <c r="CK113" s="72">
        <v>0</v>
      </c>
      <c r="CL113" s="72">
        <v>0</v>
      </c>
      <c r="CM113" s="72">
        <v>0</v>
      </c>
      <c r="CN113" s="72">
        <v>0</v>
      </c>
      <c r="CO113" s="72">
        <v>0</v>
      </c>
      <c r="CP113" s="72">
        <v>0</v>
      </c>
      <c r="CQ113" s="72">
        <v>0</v>
      </c>
      <c r="CR113" s="72">
        <v>0</v>
      </c>
      <c r="CS113" s="72">
        <v>0</v>
      </c>
      <c r="CT113" s="72">
        <v>0</v>
      </c>
      <c r="CU113" s="72">
        <v>0</v>
      </c>
      <c r="CV113" s="72">
        <v>0</v>
      </c>
      <c r="CW113" s="72">
        <v>0</v>
      </c>
      <c r="CX113" s="72">
        <v>0</v>
      </c>
      <c r="CY113" s="72">
        <v>0</v>
      </c>
      <c r="CZ113" s="72">
        <v>0</v>
      </c>
      <c r="DA113" s="72">
        <v>0</v>
      </c>
      <c r="DB113" s="72">
        <v>0</v>
      </c>
      <c r="DC113" s="72">
        <v>0</v>
      </c>
      <c r="DD113" s="72">
        <v>0</v>
      </c>
      <c r="DE113" s="72">
        <v>0</v>
      </c>
      <c r="DF113" s="72">
        <v>0</v>
      </c>
      <c r="DG113" s="72">
        <v>0</v>
      </c>
      <c r="DH113" s="72">
        <v>0</v>
      </c>
      <c r="DI113" s="72">
        <v>0</v>
      </c>
      <c r="DJ113" s="72">
        <v>0</v>
      </c>
      <c r="DK113" s="72">
        <v>0</v>
      </c>
      <c r="DL113" s="72">
        <v>0</v>
      </c>
      <c r="DM113" s="72">
        <v>0</v>
      </c>
      <c r="DN113" s="72">
        <v>0</v>
      </c>
      <c r="DO113" s="72">
        <v>0</v>
      </c>
      <c r="DP113" s="72">
        <v>0</v>
      </c>
      <c r="DQ113" s="72">
        <v>0</v>
      </c>
      <c r="DR113" s="72">
        <v>0</v>
      </c>
      <c r="DS113" s="72">
        <v>0</v>
      </c>
      <c r="DT113" s="72">
        <v>0</v>
      </c>
      <c r="DU113" s="72">
        <v>0</v>
      </c>
      <c r="DV113" s="72">
        <v>0</v>
      </c>
      <c r="DW113" s="72">
        <v>0</v>
      </c>
      <c r="DX113" s="72">
        <v>0</v>
      </c>
      <c r="DY113" s="72">
        <v>0</v>
      </c>
      <c r="DZ113" s="72">
        <v>0</v>
      </c>
      <c r="EA113" s="72">
        <v>0</v>
      </c>
      <c r="EB113" s="72">
        <v>0</v>
      </c>
      <c r="EC113" s="72">
        <v>0</v>
      </c>
      <c r="ED113" s="72">
        <v>0</v>
      </c>
      <c r="EE113" s="72">
        <v>0</v>
      </c>
      <c r="EF113" s="72">
        <v>0</v>
      </c>
      <c r="EG113" s="72">
        <v>0</v>
      </c>
      <c r="EH113" s="72">
        <v>0</v>
      </c>
      <c r="EI113" s="72">
        <v>0</v>
      </c>
      <c r="EJ113" s="72">
        <v>0</v>
      </c>
      <c r="EK113" s="72">
        <v>0</v>
      </c>
      <c r="EL113" s="72">
        <v>0</v>
      </c>
    </row>
    <row r="114" spans="1:142" s="6" customFormat="1" x14ac:dyDescent="0.35">
      <c r="A114" s="59">
        <f>Данные!A114</f>
        <v>4848</v>
      </c>
      <c r="B114" s="59">
        <f>Данные!B114</f>
        <v>2018</v>
      </c>
      <c r="C114" s="59" t="str">
        <f>Данные!C114</f>
        <v>компьютерных технологий и электронного обучения</v>
      </c>
      <c r="D114" s="59" t="str">
        <f>Данные!D114</f>
        <v>Копыльцов Александр Васильевич</v>
      </c>
      <c r="E114" s="59" t="str">
        <f>Данные!E114</f>
        <v>доктор технических наук</v>
      </c>
      <c r="F114" s="59" t="str">
        <f>Данные!F114</f>
        <v>внешний</v>
      </c>
      <c r="G114" s="59">
        <f>Данные!G114</f>
        <v>1</v>
      </c>
      <c r="H114" s="59">
        <f>Данные!H114</f>
        <v>17231</v>
      </c>
      <c r="I114" s="59" t="str">
        <f>Данные!I114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114" s="59">
        <f>Данные!J114</f>
        <v>0</v>
      </c>
      <c r="K114" s="59">
        <f>Данные!K114</f>
        <v>0</v>
      </c>
      <c r="L114" s="59">
        <f>Данные!L114</f>
        <v>0</v>
      </c>
      <c r="M114" s="60">
        <f t="shared" si="9"/>
        <v>0</v>
      </c>
      <c r="N114" s="60">
        <f t="shared" ca="1" si="10"/>
        <v>6.29</v>
      </c>
      <c r="O114" s="60">
        <f t="shared" ca="1" si="11"/>
        <v>3.25</v>
      </c>
      <c r="P114" s="60">
        <f t="shared" ca="1" si="12"/>
        <v>3.25</v>
      </c>
      <c r="Q114" s="54">
        <f>Данные!Q114</f>
        <v>0</v>
      </c>
      <c r="R114" s="54">
        <f>Данные!R114</f>
        <v>0</v>
      </c>
      <c r="S114" s="54">
        <f>Данные!S114</f>
        <v>0</v>
      </c>
      <c r="T114" s="54">
        <f>Данные!T114</f>
        <v>0</v>
      </c>
      <c r="U114" s="54">
        <f>Данные!U114</f>
        <v>2</v>
      </c>
      <c r="V114" s="54">
        <f>Данные!V114</f>
        <v>0</v>
      </c>
      <c r="W114" s="54">
        <f ca="1">Данные!W114</f>
        <v>13</v>
      </c>
      <c r="X114" s="54" t="str">
        <f ca="1">Данные!X114</f>
        <v>1</v>
      </c>
      <c r="Y114" s="54" t="str">
        <f ca="1">Данные!Y114</f>
        <v>1</v>
      </c>
      <c r="Z114" s="54">
        <f>Данные!Z114</f>
        <v>0</v>
      </c>
      <c r="AA114" s="54">
        <f>Данные!AA114</f>
        <v>0</v>
      </c>
      <c r="AB114" s="101">
        <f t="shared" si="13"/>
        <v>900</v>
      </c>
      <c r="AC114" s="101" t="str">
        <f t="shared" si="14"/>
        <v>ИВТ (бак)</v>
      </c>
      <c r="AD114" s="101" t="str">
        <f t="shared" si="15"/>
        <v/>
      </c>
      <c r="AE114" s="102">
        <f t="shared" ca="1" si="16"/>
        <v>14.79</v>
      </c>
      <c r="AF114" s="103">
        <f t="shared" ca="1" si="17"/>
        <v>1.6433333333333331E-2</v>
      </c>
      <c r="AG114" s="101"/>
      <c r="AH114" s="101"/>
      <c r="AI114"/>
      <c r="BQ114" s="72">
        <v>0</v>
      </c>
      <c r="BR114" s="72">
        <v>0</v>
      </c>
      <c r="BS114" s="72">
        <v>0</v>
      </c>
      <c r="BT114" s="72">
        <v>0</v>
      </c>
      <c r="BU114" s="72">
        <v>0</v>
      </c>
      <c r="BV114" s="72">
        <v>0</v>
      </c>
      <c r="BW114" s="72">
        <v>0</v>
      </c>
      <c r="BX114" s="72">
        <v>0</v>
      </c>
      <c r="BY114" s="72">
        <v>0</v>
      </c>
      <c r="BZ114" s="72">
        <v>0</v>
      </c>
      <c r="CA114" s="72">
        <v>0</v>
      </c>
      <c r="CB114" s="72">
        <v>0</v>
      </c>
      <c r="CC114" s="72">
        <v>0</v>
      </c>
      <c r="CD114" s="72">
        <v>0</v>
      </c>
      <c r="CE114" s="72">
        <v>0</v>
      </c>
      <c r="CF114" s="72">
        <v>0</v>
      </c>
      <c r="CG114" s="72">
        <v>0</v>
      </c>
      <c r="CH114" s="72">
        <v>0</v>
      </c>
      <c r="CI114" s="72">
        <v>0</v>
      </c>
      <c r="CJ114" s="72">
        <v>0</v>
      </c>
      <c r="CK114" s="72">
        <v>0</v>
      </c>
      <c r="CL114" s="72">
        <v>0</v>
      </c>
      <c r="CM114" s="72">
        <v>0</v>
      </c>
      <c r="CN114" s="72">
        <v>0</v>
      </c>
      <c r="CO114" s="72">
        <v>0</v>
      </c>
      <c r="CP114" s="72">
        <v>0</v>
      </c>
      <c r="CQ114" s="72">
        <v>0</v>
      </c>
      <c r="CR114" s="72">
        <v>0</v>
      </c>
      <c r="CS114" s="72">
        <v>0</v>
      </c>
      <c r="CT114" s="72">
        <v>0</v>
      </c>
      <c r="CU114" s="72">
        <v>0</v>
      </c>
      <c r="CV114" s="72">
        <v>0</v>
      </c>
      <c r="CW114" s="72">
        <v>0</v>
      </c>
      <c r="CX114" s="72">
        <v>0</v>
      </c>
      <c r="CY114" s="72">
        <v>0</v>
      </c>
      <c r="CZ114" s="72">
        <v>0</v>
      </c>
      <c r="DA114" s="72">
        <v>0</v>
      </c>
      <c r="DB114" s="72">
        <v>0</v>
      </c>
      <c r="DC114" s="72">
        <v>0</v>
      </c>
      <c r="DD114" s="72">
        <v>0</v>
      </c>
      <c r="DE114" s="72">
        <v>0</v>
      </c>
      <c r="DF114" s="72">
        <v>0</v>
      </c>
      <c r="DG114" s="72">
        <v>0</v>
      </c>
      <c r="DH114" s="72">
        <v>0</v>
      </c>
      <c r="DI114" s="72">
        <v>0</v>
      </c>
      <c r="DJ114" s="72">
        <v>0</v>
      </c>
      <c r="DK114" s="72">
        <v>0</v>
      </c>
      <c r="DL114" s="72">
        <v>0</v>
      </c>
      <c r="DM114" s="72">
        <v>0</v>
      </c>
      <c r="DN114" s="72">
        <v>0</v>
      </c>
      <c r="DO114" s="72">
        <v>0</v>
      </c>
      <c r="DP114" s="72">
        <v>0</v>
      </c>
      <c r="DQ114" s="72">
        <v>0</v>
      </c>
      <c r="DR114" s="72">
        <v>0</v>
      </c>
      <c r="DS114" s="72">
        <v>0</v>
      </c>
      <c r="DT114" s="72">
        <v>0</v>
      </c>
      <c r="DU114" s="72">
        <v>0</v>
      </c>
      <c r="DV114" s="72">
        <v>0</v>
      </c>
      <c r="DW114" s="72">
        <v>0</v>
      </c>
      <c r="DX114" s="72">
        <v>0</v>
      </c>
      <c r="DY114" s="72">
        <v>0</v>
      </c>
      <c r="DZ114" s="72">
        <v>0</v>
      </c>
      <c r="EA114" s="72">
        <v>0</v>
      </c>
      <c r="EB114" s="72">
        <v>0</v>
      </c>
      <c r="EC114" s="72">
        <v>0</v>
      </c>
      <c r="ED114" s="72">
        <v>0</v>
      </c>
      <c r="EE114" s="72">
        <v>0</v>
      </c>
      <c r="EF114" s="72">
        <v>0</v>
      </c>
      <c r="EG114" s="72">
        <v>0</v>
      </c>
      <c r="EH114" s="72">
        <v>0</v>
      </c>
      <c r="EI114" s="72">
        <v>0</v>
      </c>
      <c r="EJ114" s="72">
        <v>0</v>
      </c>
      <c r="EK114" s="72">
        <v>0</v>
      </c>
      <c r="EL114" s="72">
        <v>0</v>
      </c>
    </row>
    <row r="115" spans="1:142" s="6" customFormat="1" x14ac:dyDescent="0.35">
      <c r="A115" s="59">
        <f>Данные!A115</f>
        <v>4848</v>
      </c>
      <c r="B115" s="59">
        <f>Данные!B115</f>
        <v>2018</v>
      </c>
      <c r="C115" s="59" t="str">
        <f>Данные!C115</f>
        <v>компьютерных технологий и электронного обучения</v>
      </c>
      <c r="D115" s="59" t="str">
        <f>Данные!D115</f>
        <v>Копыльцов Александр Васильевич</v>
      </c>
      <c r="E115" s="59" t="str">
        <f>Данные!E115</f>
        <v>доктор технических наук</v>
      </c>
      <c r="F115" s="59" t="str">
        <f>Данные!F115</f>
        <v>внешний</v>
      </c>
      <c r="G115" s="59">
        <f>Данные!G115</f>
        <v>1</v>
      </c>
      <c r="H115" s="59">
        <f>Данные!H115</f>
        <v>17231</v>
      </c>
      <c r="I115" s="59" t="str">
        <f>Данные!I115</f>
        <v>Руководство ВКР</v>
      </c>
      <c r="J115" s="59">
        <f>Данные!J115</f>
        <v>0</v>
      </c>
      <c r="K115" s="59">
        <f>Данные!K115</f>
        <v>0</v>
      </c>
      <c r="L115" s="59">
        <f>Данные!L115</f>
        <v>0</v>
      </c>
      <c r="M115" s="60">
        <f t="shared" si="9"/>
        <v>0</v>
      </c>
      <c r="N115" s="60">
        <f t="shared" ca="1" si="10"/>
        <v>6.29</v>
      </c>
      <c r="O115" s="60">
        <f t="shared" ca="1" si="11"/>
        <v>3.25</v>
      </c>
      <c r="P115" s="60">
        <f t="shared" ca="1" si="12"/>
        <v>3.25</v>
      </c>
      <c r="Q115" s="54">
        <f>Данные!Q115</f>
        <v>0</v>
      </c>
      <c r="R115" s="54">
        <f>Данные!R115</f>
        <v>0</v>
      </c>
      <c r="S115" s="54">
        <f>Данные!S115</f>
        <v>0</v>
      </c>
      <c r="T115" s="54">
        <f>Данные!T115</f>
        <v>0</v>
      </c>
      <c r="U115" s="54">
        <f>Данные!U115</f>
        <v>0</v>
      </c>
      <c r="V115" s="54">
        <f>Данные!V115</f>
        <v>20</v>
      </c>
      <c r="W115" s="54">
        <f ca="1">Данные!W115</f>
        <v>13</v>
      </c>
      <c r="X115" s="54" t="str">
        <f ca="1">Данные!X115</f>
        <v>1</v>
      </c>
      <c r="Y115" s="54" t="str">
        <f ca="1">Данные!Y115</f>
        <v>1</v>
      </c>
      <c r="Z115" s="54">
        <f>Данные!Z115</f>
        <v>0</v>
      </c>
      <c r="AA115" s="54">
        <f>Данные!AA115</f>
        <v>0</v>
      </c>
      <c r="AB115" s="101">
        <f t="shared" si="13"/>
        <v>900</v>
      </c>
      <c r="AC115" s="101" t="str">
        <f t="shared" si="14"/>
        <v>ИВТ (бак)</v>
      </c>
      <c r="AD115" s="101" t="str">
        <f t="shared" si="15"/>
        <v/>
      </c>
      <c r="AE115" s="102">
        <f t="shared" ca="1" si="16"/>
        <v>32.79</v>
      </c>
      <c r="AF115" s="103">
        <f t="shared" ca="1" si="17"/>
        <v>3.6433333333333331E-2</v>
      </c>
      <c r="AG115" s="101"/>
      <c r="AH115" s="101"/>
      <c r="AI115"/>
      <c r="BQ115" s="72">
        <v>0</v>
      </c>
      <c r="BR115" s="72">
        <v>0</v>
      </c>
      <c r="BS115" s="72">
        <v>0</v>
      </c>
      <c r="BT115" s="72">
        <v>0</v>
      </c>
      <c r="BU115" s="72">
        <v>0</v>
      </c>
      <c r="BV115" s="72">
        <v>0</v>
      </c>
      <c r="BW115" s="72">
        <v>0</v>
      </c>
      <c r="BX115" s="72">
        <v>0</v>
      </c>
      <c r="BY115" s="72">
        <v>0</v>
      </c>
      <c r="BZ115" s="72">
        <v>0</v>
      </c>
      <c r="CA115" s="72">
        <v>0</v>
      </c>
      <c r="CB115" s="72">
        <v>0</v>
      </c>
      <c r="CC115" s="72">
        <v>0</v>
      </c>
      <c r="CD115" s="72">
        <v>0</v>
      </c>
      <c r="CE115" s="72">
        <v>0</v>
      </c>
      <c r="CF115" s="72">
        <v>0</v>
      </c>
      <c r="CG115" s="72">
        <v>0</v>
      </c>
      <c r="CH115" s="72">
        <v>0</v>
      </c>
      <c r="CI115" s="72">
        <v>0</v>
      </c>
      <c r="CJ115" s="72">
        <v>0</v>
      </c>
      <c r="CK115" s="72">
        <v>0</v>
      </c>
      <c r="CL115" s="72">
        <v>0</v>
      </c>
      <c r="CM115" s="72">
        <v>0</v>
      </c>
      <c r="CN115" s="72">
        <v>0</v>
      </c>
      <c r="CO115" s="72">
        <v>0</v>
      </c>
      <c r="CP115" s="72">
        <v>0</v>
      </c>
      <c r="CQ115" s="72">
        <v>0</v>
      </c>
      <c r="CR115" s="72">
        <v>0</v>
      </c>
      <c r="CS115" s="72">
        <v>0</v>
      </c>
      <c r="CT115" s="72">
        <v>0</v>
      </c>
      <c r="CU115" s="72">
        <v>0</v>
      </c>
      <c r="CV115" s="72">
        <v>0</v>
      </c>
      <c r="CW115" s="72">
        <v>0</v>
      </c>
      <c r="CX115" s="72">
        <v>0</v>
      </c>
      <c r="CY115" s="72">
        <v>0</v>
      </c>
      <c r="CZ115" s="72">
        <v>0</v>
      </c>
      <c r="DA115" s="72">
        <v>0</v>
      </c>
      <c r="DB115" s="72">
        <v>0</v>
      </c>
      <c r="DC115" s="72">
        <v>0</v>
      </c>
      <c r="DD115" s="72">
        <v>0</v>
      </c>
      <c r="DE115" s="72">
        <v>0</v>
      </c>
      <c r="DF115" s="72">
        <v>0</v>
      </c>
      <c r="DG115" s="72">
        <v>0</v>
      </c>
      <c r="DH115" s="72">
        <v>0</v>
      </c>
      <c r="DI115" s="72">
        <v>0</v>
      </c>
      <c r="DJ115" s="72">
        <v>0</v>
      </c>
      <c r="DK115" s="72">
        <v>0</v>
      </c>
      <c r="DL115" s="72">
        <v>0</v>
      </c>
      <c r="DM115" s="72">
        <v>0</v>
      </c>
      <c r="DN115" s="72">
        <v>0</v>
      </c>
      <c r="DO115" s="72">
        <v>0</v>
      </c>
      <c r="DP115" s="72">
        <v>0</v>
      </c>
      <c r="DQ115" s="72">
        <v>0</v>
      </c>
      <c r="DR115" s="72">
        <v>0</v>
      </c>
      <c r="DS115" s="72">
        <v>0</v>
      </c>
      <c r="DT115" s="72">
        <v>0</v>
      </c>
      <c r="DU115" s="72">
        <v>0</v>
      </c>
      <c r="DV115" s="72">
        <v>0</v>
      </c>
      <c r="DW115" s="72">
        <v>0</v>
      </c>
      <c r="DX115" s="72">
        <v>0</v>
      </c>
      <c r="DY115" s="72">
        <v>0</v>
      </c>
      <c r="DZ115" s="72">
        <v>0</v>
      </c>
      <c r="EA115" s="72">
        <v>0</v>
      </c>
      <c r="EB115" s="72">
        <v>0</v>
      </c>
      <c r="EC115" s="72">
        <v>0</v>
      </c>
      <c r="ED115" s="72">
        <v>0</v>
      </c>
      <c r="EE115" s="72">
        <v>0</v>
      </c>
      <c r="EF115" s="72">
        <v>0</v>
      </c>
      <c r="EG115" s="72">
        <v>0</v>
      </c>
      <c r="EH115" s="72">
        <v>0</v>
      </c>
      <c r="EI115" s="72">
        <v>0</v>
      </c>
      <c r="EJ115" s="72">
        <v>0</v>
      </c>
      <c r="EK115" s="72">
        <v>0</v>
      </c>
      <c r="EL115" s="72">
        <v>0</v>
      </c>
    </row>
    <row r="116" spans="1:142" s="6" customFormat="1" x14ac:dyDescent="0.35">
      <c r="A116" s="59">
        <f>Данные!A116</f>
        <v>4848</v>
      </c>
      <c r="B116" s="59">
        <f>Данные!B116</f>
        <v>2018</v>
      </c>
      <c r="C116" s="59" t="str">
        <f>Данные!C116</f>
        <v>компьютерных технологий и электронного обучения</v>
      </c>
      <c r="D116" s="59" t="str">
        <f>Данные!D116</f>
        <v>Карпова Наталья Александровна</v>
      </c>
      <c r="E116" s="59" t="str">
        <f>Данные!E116</f>
        <v>кандидат технических наук</v>
      </c>
      <c r="F116" s="59" t="str">
        <f>Данные!F116</f>
        <v>доцент</v>
      </c>
      <c r="G116" s="59">
        <f>Данные!G116</f>
        <v>0.75</v>
      </c>
      <c r="H116" s="59">
        <f>Данные!H116</f>
        <v>17231</v>
      </c>
      <c r="I116" s="59" t="str">
        <f>Данные!I116</f>
        <v>Участие в ГЭК (защита, экзамен)</v>
      </c>
      <c r="J116" s="59">
        <f>Данные!J116</f>
        <v>0</v>
      </c>
      <c r="K116" s="59">
        <f>Данные!K116</f>
        <v>0</v>
      </c>
      <c r="L116" s="59">
        <f>Данные!L116</f>
        <v>0</v>
      </c>
      <c r="M116" s="60">
        <f t="shared" si="9"/>
        <v>0</v>
      </c>
      <c r="N116" s="60">
        <f t="shared" ca="1" si="10"/>
        <v>6.29</v>
      </c>
      <c r="O116" s="60">
        <f t="shared" ca="1" si="11"/>
        <v>3.25</v>
      </c>
      <c r="P116" s="60">
        <f t="shared" ca="1" si="12"/>
        <v>3.25</v>
      </c>
      <c r="Q116" s="54">
        <f>Данные!Q116</f>
        <v>0</v>
      </c>
      <c r="R116" s="54">
        <f>Данные!R116</f>
        <v>5</v>
      </c>
      <c r="S116" s="54">
        <f>Данные!S116</f>
        <v>8</v>
      </c>
      <c r="T116" s="54">
        <f>Данные!T116</f>
        <v>0</v>
      </c>
      <c r="U116" s="54">
        <f>Данные!U116</f>
        <v>0</v>
      </c>
      <c r="V116" s="54">
        <f>Данные!V116</f>
        <v>0</v>
      </c>
      <c r="W116" s="54">
        <f ca="1">Данные!W116</f>
        <v>13</v>
      </c>
      <c r="X116" s="54" t="str">
        <f ca="1">Данные!X116</f>
        <v>1</v>
      </c>
      <c r="Y116" s="54" t="str">
        <f ca="1">Данные!Y116</f>
        <v>1</v>
      </c>
      <c r="Z116" s="54">
        <f>Данные!Z116</f>
        <v>0</v>
      </c>
      <c r="AA116" s="54" t="str">
        <f>Данные!AA116</f>
        <v>осн</v>
      </c>
      <c r="AB116" s="101">
        <f t="shared" si="13"/>
        <v>800</v>
      </c>
      <c r="AC116" s="101" t="str">
        <f t="shared" si="14"/>
        <v>ИВТ (бак)</v>
      </c>
      <c r="AD116" s="101" t="str">
        <f t="shared" si="15"/>
        <v/>
      </c>
      <c r="AE116" s="102">
        <f t="shared" ca="1" si="16"/>
        <v>25.79</v>
      </c>
      <c r="AF116" s="103">
        <f t="shared" ca="1" si="17"/>
        <v>3.2237500000000002E-2</v>
      </c>
      <c r="AG116" s="101"/>
      <c r="AH116" s="101"/>
      <c r="AI116"/>
      <c r="BQ116" s="72">
        <v>0</v>
      </c>
      <c r="BR116" s="72">
        <v>0</v>
      </c>
      <c r="BS116" s="72">
        <v>0</v>
      </c>
      <c r="BT116" s="72">
        <v>0</v>
      </c>
      <c r="BU116" s="72">
        <v>0</v>
      </c>
      <c r="BV116" s="72">
        <v>0</v>
      </c>
      <c r="BW116" s="72">
        <v>0</v>
      </c>
      <c r="BX116" s="72">
        <v>0</v>
      </c>
      <c r="BY116" s="72">
        <v>0</v>
      </c>
      <c r="BZ116" s="72">
        <v>0</v>
      </c>
      <c r="CA116" s="72">
        <v>0</v>
      </c>
      <c r="CB116" s="72">
        <v>0</v>
      </c>
      <c r="CC116" s="72">
        <v>0</v>
      </c>
      <c r="CD116" s="72">
        <v>0</v>
      </c>
      <c r="CE116" s="72">
        <v>0</v>
      </c>
      <c r="CF116" s="72">
        <v>0</v>
      </c>
      <c r="CG116" s="72">
        <v>0</v>
      </c>
      <c r="CH116" s="72">
        <v>0</v>
      </c>
      <c r="CI116" s="72">
        <v>0</v>
      </c>
      <c r="CJ116" s="72">
        <v>0</v>
      </c>
      <c r="CK116" s="72">
        <v>0</v>
      </c>
      <c r="CL116" s="72">
        <v>0</v>
      </c>
      <c r="CM116" s="72">
        <v>0</v>
      </c>
      <c r="CN116" s="72">
        <v>0</v>
      </c>
      <c r="CO116" s="72">
        <v>0</v>
      </c>
      <c r="CP116" s="72">
        <v>0</v>
      </c>
      <c r="CQ116" s="72">
        <v>0</v>
      </c>
      <c r="CR116" s="72">
        <v>0</v>
      </c>
      <c r="CS116" s="72">
        <v>0</v>
      </c>
      <c r="CT116" s="72">
        <v>0</v>
      </c>
      <c r="CU116" s="72">
        <v>0</v>
      </c>
      <c r="CV116" s="72">
        <v>0</v>
      </c>
      <c r="CW116" s="72">
        <v>0</v>
      </c>
      <c r="CX116" s="72">
        <v>0</v>
      </c>
      <c r="CY116" s="72">
        <v>0</v>
      </c>
      <c r="CZ116" s="72">
        <v>0</v>
      </c>
      <c r="DA116" s="72">
        <v>0</v>
      </c>
      <c r="DB116" s="72">
        <v>0</v>
      </c>
      <c r="DC116" s="72">
        <v>0</v>
      </c>
      <c r="DD116" s="72">
        <v>0</v>
      </c>
      <c r="DE116" s="72">
        <v>0</v>
      </c>
      <c r="DF116" s="72">
        <v>0</v>
      </c>
      <c r="DG116" s="72">
        <v>0</v>
      </c>
      <c r="DH116" s="72">
        <v>0</v>
      </c>
      <c r="DI116" s="72">
        <v>0</v>
      </c>
      <c r="DJ116" s="72">
        <v>0</v>
      </c>
      <c r="DK116" s="72">
        <v>0</v>
      </c>
      <c r="DL116" s="72">
        <v>0</v>
      </c>
      <c r="DM116" s="72">
        <v>0</v>
      </c>
      <c r="DN116" s="72">
        <v>0</v>
      </c>
      <c r="DO116" s="72">
        <v>0</v>
      </c>
      <c r="DP116" s="72">
        <v>0</v>
      </c>
      <c r="DQ116" s="72">
        <v>0</v>
      </c>
      <c r="DR116" s="72">
        <v>0</v>
      </c>
      <c r="DS116" s="72">
        <v>0</v>
      </c>
      <c r="DT116" s="72">
        <v>0</v>
      </c>
      <c r="DU116" s="72">
        <v>0</v>
      </c>
      <c r="DV116" s="72">
        <v>0</v>
      </c>
      <c r="DW116" s="72">
        <v>0</v>
      </c>
      <c r="DX116" s="72">
        <v>0</v>
      </c>
      <c r="DY116" s="72">
        <v>0</v>
      </c>
      <c r="DZ116" s="72">
        <v>0</v>
      </c>
      <c r="EA116" s="72">
        <v>0</v>
      </c>
      <c r="EB116" s="72">
        <v>0</v>
      </c>
      <c r="EC116" s="72">
        <v>0</v>
      </c>
      <c r="ED116" s="72">
        <v>0</v>
      </c>
      <c r="EE116" s="72">
        <v>0</v>
      </c>
      <c r="EF116" s="72">
        <v>0</v>
      </c>
      <c r="EG116" s="72">
        <v>0</v>
      </c>
      <c r="EH116" s="72">
        <v>0</v>
      </c>
      <c r="EI116" s="72">
        <v>0</v>
      </c>
      <c r="EJ116" s="72">
        <v>0</v>
      </c>
      <c r="EK116" s="72">
        <v>0</v>
      </c>
      <c r="EL116" s="72">
        <v>0</v>
      </c>
    </row>
    <row r="117" spans="1:142" s="6" customFormat="1" x14ac:dyDescent="0.35">
      <c r="A117" s="59">
        <f>Данные!A117</f>
        <v>4848</v>
      </c>
      <c r="B117" s="59">
        <f>Данные!B117</f>
        <v>2018</v>
      </c>
      <c r="C117" s="59" t="str">
        <f>Данные!C117</f>
        <v>компьютерных технологий и электронного обучения</v>
      </c>
      <c r="D117" s="59" t="str">
        <f>Данные!D117</f>
        <v>Карпова Наталья Александровна</v>
      </c>
      <c r="E117" s="59" t="str">
        <f>Данные!E117</f>
        <v>кандидат технических наук</v>
      </c>
      <c r="F117" s="59" t="str">
        <f>Данные!F117</f>
        <v>доцент</v>
      </c>
      <c r="G117" s="59">
        <f>Данные!G117</f>
        <v>0.75</v>
      </c>
      <c r="H117" s="59">
        <f>Данные!H117</f>
        <v>17231</v>
      </c>
      <c r="I117" s="59" t="str">
        <f>Данные!I117</f>
        <v>Модуль "Информационные ресурсы и средства профессиональной деятельности инженера"</v>
      </c>
      <c r="J117" s="59">
        <f>Данные!J117</f>
        <v>0</v>
      </c>
      <c r="K117" s="59">
        <f>Данные!K117</f>
        <v>0</v>
      </c>
      <c r="L117" s="59">
        <f>Данные!L117</f>
        <v>0</v>
      </c>
      <c r="M117" s="60">
        <f t="shared" si="9"/>
        <v>0</v>
      </c>
      <c r="N117" s="60">
        <f t="shared" ca="1" si="10"/>
        <v>6.29</v>
      </c>
      <c r="O117" s="60">
        <f t="shared" ca="1" si="11"/>
        <v>3.25</v>
      </c>
      <c r="P117" s="60">
        <f t="shared" ca="1" si="12"/>
        <v>3.25</v>
      </c>
      <c r="Q117" s="54">
        <f>Данные!Q117</f>
        <v>0</v>
      </c>
      <c r="R117" s="54">
        <f>Данные!R117</f>
        <v>0</v>
      </c>
      <c r="S117" s="54">
        <f>Данные!S117</f>
        <v>0</v>
      </c>
      <c r="T117" s="54">
        <f>Данные!T117</f>
        <v>0</v>
      </c>
      <c r="U117" s="54">
        <f>Данные!U117</f>
        <v>0</v>
      </c>
      <c r="V117" s="54">
        <f>Данные!V117</f>
        <v>0</v>
      </c>
      <c r="W117" s="54">
        <f ca="1">Данные!W117</f>
        <v>13</v>
      </c>
      <c r="X117" s="54" t="str">
        <f ca="1">Данные!X117</f>
        <v>1</v>
      </c>
      <c r="Y117" s="54" t="str">
        <f ca="1">Данные!Y117</f>
        <v>1</v>
      </c>
      <c r="Z117" s="54">
        <f>Данные!Z117</f>
        <v>0</v>
      </c>
      <c r="AA117" s="54" t="str">
        <f>Данные!AA117</f>
        <v>осн</v>
      </c>
      <c r="AB117" s="101">
        <f t="shared" si="13"/>
        <v>800</v>
      </c>
      <c r="AC117" s="101" t="str">
        <f t="shared" si="14"/>
        <v>ИВТ (бак)</v>
      </c>
      <c r="AD117" s="101" t="str">
        <f t="shared" si="15"/>
        <v/>
      </c>
      <c r="AE117" s="102">
        <f t="shared" ca="1" si="16"/>
        <v>12.79</v>
      </c>
      <c r="AF117" s="103">
        <f t="shared" ca="1" si="17"/>
        <v>1.5987499999999998E-2</v>
      </c>
      <c r="AG117" s="101"/>
      <c r="AH117" s="101"/>
      <c r="AI117"/>
      <c r="BQ117" s="72">
        <v>0</v>
      </c>
      <c r="BR117" s="72">
        <v>0</v>
      </c>
      <c r="BS117" s="72">
        <v>0</v>
      </c>
      <c r="BT117" s="72">
        <v>0</v>
      </c>
      <c r="BU117" s="72">
        <v>0</v>
      </c>
      <c r="BV117" s="72">
        <v>0</v>
      </c>
      <c r="BW117" s="72">
        <v>0</v>
      </c>
      <c r="BX117" s="72">
        <v>0</v>
      </c>
      <c r="BY117" s="72">
        <v>0</v>
      </c>
      <c r="BZ117" s="72">
        <v>0</v>
      </c>
      <c r="CA117" s="72">
        <v>0</v>
      </c>
      <c r="CB117" s="72">
        <v>0</v>
      </c>
      <c r="CC117" s="72">
        <v>0</v>
      </c>
      <c r="CD117" s="72">
        <v>0</v>
      </c>
      <c r="CE117" s="72">
        <v>0</v>
      </c>
      <c r="CF117" s="72">
        <v>0</v>
      </c>
      <c r="CG117" s="72">
        <v>0</v>
      </c>
      <c r="CH117" s="72">
        <v>0</v>
      </c>
      <c r="CI117" s="72">
        <v>0</v>
      </c>
      <c r="CJ117" s="72">
        <v>0</v>
      </c>
      <c r="CK117" s="72">
        <v>0</v>
      </c>
      <c r="CL117" s="72">
        <v>0</v>
      </c>
      <c r="CM117" s="72">
        <v>0</v>
      </c>
      <c r="CN117" s="72">
        <v>0</v>
      </c>
      <c r="CO117" s="72">
        <v>0</v>
      </c>
      <c r="CP117" s="72">
        <v>0</v>
      </c>
      <c r="CQ117" s="72">
        <v>0</v>
      </c>
      <c r="CR117" s="72">
        <v>0</v>
      </c>
      <c r="CS117" s="72">
        <v>0</v>
      </c>
      <c r="CT117" s="72">
        <v>0</v>
      </c>
      <c r="CU117" s="72">
        <v>0</v>
      </c>
      <c r="CV117" s="72">
        <v>0</v>
      </c>
      <c r="CW117" s="72">
        <v>0</v>
      </c>
      <c r="CX117" s="72">
        <v>0</v>
      </c>
      <c r="CY117" s="72">
        <v>0</v>
      </c>
      <c r="CZ117" s="72">
        <v>0</v>
      </c>
      <c r="DA117" s="72">
        <v>0</v>
      </c>
      <c r="DB117" s="72">
        <v>0</v>
      </c>
      <c r="DC117" s="72">
        <v>0</v>
      </c>
      <c r="DD117" s="72">
        <v>0</v>
      </c>
      <c r="DE117" s="72">
        <v>0</v>
      </c>
      <c r="DF117" s="72">
        <v>0</v>
      </c>
      <c r="DG117" s="72">
        <v>0</v>
      </c>
      <c r="DH117" s="72">
        <v>0</v>
      </c>
      <c r="DI117" s="72">
        <v>0</v>
      </c>
      <c r="DJ117" s="72">
        <v>0</v>
      </c>
      <c r="DK117" s="72">
        <v>0</v>
      </c>
      <c r="DL117" s="72">
        <v>0</v>
      </c>
      <c r="DM117" s="72">
        <v>0</v>
      </c>
      <c r="DN117" s="72">
        <v>0</v>
      </c>
      <c r="DO117" s="72">
        <v>0</v>
      </c>
      <c r="DP117" s="72">
        <v>0</v>
      </c>
      <c r="DQ117" s="72">
        <v>0</v>
      </c>
      <c r="DR117" s="72">
        <v>0</v>
      </c>
      <c r="DS117" s="72">
        <v>0</v>
      </c>
      <c r="DT117" s="72">
        <v>0</v>
      </c>
      <c r="DU117" s="72">
        <v>0</v>
      </c>
      <c r="DV117" s="72">
        <v>0</v>
      </c>
      <c r="DW117" s="72">
        <v>0</v>
      </c>
      <c r="DX117" s="72">
        <v>0</v>
      </c>
      <c r="DY117" s="72">
        <v>0</v>
      </c>
      <c r="DZ117" s="72">
        <v>0</v>
      </c>
      <c r="EA117" s="72">
        <v>0</v>
      </c>
      <c r="EB117" s="72">
        <v>0</v>
      </c>
      <c r="EC117" s="72">
        <v>0</v>
      </c>
      <c r="ED117" s="72">
        <v>0</v>
      </c>
      <c r="EE117" s="72">
        <v>0</v>
      </c>
      <c r="EF117" s="72">
        <v>0</v>
      </c>
      <c r="EG117" s="72">
        <v>0</v>
      </c>
      <c r="EH117" s="72">
        <v>0</v>
      </c>
      <c r="EI117" s="72">
        <v>0</v>
      </c>
      <c r="EJ117" s="72">
        <v>0</v>
      </c>
      <c r="EK117" s="72">
        <v>0</v>
      </c>
      <c r="EL117" s="72">
        <v>0</v>
      </c>
    </row>
    <row r="118" spans="1:142" s="6" customFormat="1" x14ac:dyDescent="0.35">
      <c r="A118" s="59">
        <f>Данные!A118</f>
        <v>4848</v>
      </c>
      <c r="B118" s="59">
        <f>Данные!B118</f>
        <v>2018</v>
      </c>
      <c r="C118" s="59" t="str">
        <f>Данные!C118</f>
        <v>компьютерных технологий и электронного обучения</v>
      </c>
      <c r="D118" s="59" t="str">
        <f>Данные!D118</f>
        <v>Карпова Наталья Александровна</v>
      </c>
      <c r="E118" s="59" t="str">
        <f>Данные!E118</f>
        <v>кандидат технических наук</v>
      </c>
      <c r="F118" s="59" t="str">
        <f>Данные!F118</f>
        <v>доцент</v>
      </c>
      <c r="G118" s="59">
        <f>Данные!G118</f>
        <v>0.75</v>
      </c>
      <c r="H118" s="59">
        <f>Данные!H118</f>
        <v>17231</v>
      </c>
      <c r="I118" s="59" t="str">
        <f>Данные!I118</f>
        <v>Модуль "Информационные ресурсы и средства профессиональной деятельности инженера". Мировые информационные ресурсы и цифровые библиотеки</v>
      </c>
      <c r="J118" s="59">
        <f>Данные!J118</f>
        <v>14</v>
      </c>
      <c r="K118" s="59">
        <f>Данные!K118</f>
        <v>22</v>
      </c>
      <c r="L118" s="59">
        <f>Данные!L118</f>
        <v>0</v>
      </c>
      <c r="M118" s="60">
        <f t="shared" si="9"/>
        <v>3.6</v>
      </c>
      <c r="N118" s="60">
        <f t="shared" ca="1" si="10"/>
        <v>6.29</v>
      </c>
      <c r="O118" s="60">
        <f t="shared" ca="1" si="11"/>
        <v>3.25</v>
      </c>
      <c r="P118" s="60">
        <f t="shared" ca="1" si="12"/>
        <v>3.25</v>
      </c>
      <c r="Q118" s="54">
        <f>Данные!Q118</f>
        <v>0</v>
      </c>
      <c r="R118" s="54">
        <f>Данные!R118</f>
        <v>0</v>
      </c>
      <c r="S118" s="54">
        <f>Данные!S118</f>
        <v>0</v>
      </c>
      <c r="T118" s="54">
        <f>Данные!T118</f>
        <v>0</v>
      </c>
      <c r="U118" s="54">
        <f>Данные!U118</f>
        <v>0</v>
      </c>
      <c r="V118" s="54">
        <f>Данные!V118</f>
        <v>0</v>
      </c>
      <c r="W118" s="54">
        <f ca="1">Данные!W118</f>
        <v>13</v>
      </c>
      <c r="X118" s="54" t="str">
        <f ca="1">Данные!X118</f>
        <v>1</v>
      </c>
      <c r="Y118" s="54" t="str">
        <f ca="1">Данные!Y118</f>
        <v>1</v>
      </c>
      <c r="Z118" s="54">
        <f>Данные!Z118</f>
        <v>0</v>
      </c>
      <c r="AA118" s="54" t="str">
        <f>Данные!AA118</f>
        <v>осн</v>
      </c>
      <c r="AB118" s="101">
        <f t="shared" si="13"/>
        <v>800</v>
      </c>
      <c r="AC118" s="101" t="str">
        <f t="shared" si="14"/>
        <v>ИВТ (бак)</v>
      </c>
      <c r="AD118" s="101" t="str">
        <f t="shared" si="15"/>
        <v/>
      </c>
      <c r="AE118" s="102">
        <f t="shared" ca="1" si="16"/>
        <v>52.39</v>
      </c>
      <c r="AF118" s="103">
        <f t="shared" ca="1" si="17"/>
        <v>6.5487500000000004E-2</v>
      </c>
      <c r="AG118" s="101"/>
      <c r="AH118" s="101"/>
      <c r="AI118"/>
      <c r="BQ118" s="72">
        <v>0</v>
      </c>
      <c r="BR118" s="72">
        <v>0</v>
      </c>
      <c r="BS118" s="72">
        <v>0</v>
      </c>
      <c r="BT118" s="72">
        <v>0</v>
      </c>
      <c r="BU118" s="72">
        <v>0</v>
      </c>
      <c r="BV118" s="72">
        <v>0</v>
      </c>
      <c r="BW118" s="72">
        <v>0</v>
      </c>
      <c r="BX118" s="72">
        <v>0</v>
      </c>
      <c r="BY118" s="72">
        <v>0</v>
      </c>
      <c r="BZ118" s="72">
        <v>0</v>
      </c>
      <c r="CA118" s="72">
        <v>0</v>
      </c>
      <c r="CB118" s="72">
        <v>0</v>
      </c>
      <c r="CC118" s="72">
        <v>0</v>
      </c>
      <c r="CD118" s="72">
        <v>0</v>
      </c>
      <c r="CE118" s="72">
        <v>0</v>
      </c>
      <c r="CF118" s="72">
        <v>0</v>
      </c>
      <c r="CG118" s="72">
        <v>0</v>
      </c>
      <c r="CH118" s="72">
        <v>0</v>
      </c>
      <c r="CI118" s="72">
        <v>0</v>
      </c>
      <c r="CJ118" s="72">
        <v>0</v>
      </c>
      <c r="CK118" s="72">
        <v>0</v>
      </c>
      <c r="CL118" s="72">
        <v>0</v>
      </c>
      <c r="CM118" s="72">
        <v>0</v>
      </c>
      <c r="CN118" s="72">
        <v>0</v>
      </c>
      <c r="CO118" s="72">
        <v>0</v>
      </c>
      <c r="CP118" s="72">
        <v>0</v>
      </c>
      <c r="CQ118" s="72">
        <v>0</v>
      </c>
      <c r="CR118" s="72">
        <v>0</v>
      </c>
      <c r="CS118" s="72">
        <v>0</v>
      </c>
      <c r="CT118" s="72">
        <v>0</v>
      </c>
      <c r="CU118" s="72">
        <v>0</v>
      </c>
      <c r="CV118" s="72">
        <v>0</v>
      </c>
      <c r="CW118" s="72">
        <v>0</v>
      </c>
      <c r="CX118" s="72">
        <v>0</v>
      </c>
      <c r="CY118" s="72">
        <v>0</v>
      </c>
      <c r="CZ118" s="72">
        <v>0</v>
      </c>
      <c r="DA118" s="72">
        <v>0</v>
      </c>
      <c r="DB118" s="72">
        <v>0</v>
      </c>
      <c r="DC118" s="72">
        <v>0</v>
      </c>
      <c r="DD118" s="72">
        <v>0</v>
      </c>
      <c r="DE118" s="72">
        <v>0</v>
      </c>
      <c r="DF118" s="72">
        <v>0</v>
      </c>
      <c r="DG118" s="72">
        <v>0</v>
      </c>
      <c r="DH118" s="72">
        <v>0</v>
      </c>
      <c r="DI118" s="72">
        <v>0</v>
      </c>
      <c r="DJ118" s="72">
        <v>0</v>
      </c>
      <c r="DK118" s="72">
        <v>0</v>
      </c>
      <c r="DL118" s="72">
        <v>0</v>
      </c>
      <c r="DM118" s="72">
        <v>0</v>
      </c>
      <c r="DN118" s="72">
        <v>0</v>
      </c>
      <c r="DO118" s="72">
        <v>0</v>
      </c>
      <c r="DP118" s="72">
        <v>0</v>
      </c>
      <c r="DQ118" s="72">
        <v>0</v>
      </c>
      <c r="DR118" s="72">
        <v>0</v>
      </c>
      <c r="DS118" s="72">
        <v>0</v>
      </c>
      <c r="DT118" s="72">
        <v>0</v>
      </c>
      <c r="DU118" s="72">
        <v>0</v>
      </c>
      <c r="DV118" s="72">
        <v>0</v>
      </c>
      <c r="DW118" s="72">
        <v>0</v>
      </c>
      <c r="DX118" s="72">
        <v>0</v>
      </c>
      <c r="DY118" s="72">
        <v>0</v>
      </c>
      <c r="DZ118" s="72">
        <v>0</v>
      </c>
      <c r="EA118" s="72">
        <v>0</v>
      </c>
      <c r="EB118" s="72">
        <v>0</v>
      </c>
      <c r="EC118" s="72">
        <v>0</v>
      </c>
      <c r="ED118" s="72">
        <v>0</v>
      </c>
      <c r="EE118" s="72">
        <v>0</v>
      </c>
      <c r="EF118" s="72">
        <v>0</v>
      </c>
      <c r="EG118" s="72">
        <v>0</v>
      </c>
      <c r="EH118" s="72">
        <v>0</v>
      </c>
      <c r="EI118" s="72">
        <v>0</v>
      </c>
      <c r="EJ118" s="72">
        <v>0</v>
      </c>
      <c r="EK118" s="72">
        <v>0</v>
      </c>
      <c r="EL118" s="72">
        <v>0</v>
      </c>
    </row>
    <row r="119" spans="1:142" s="6" customFormat="1" x14ac:dyDescent="0.35">
      <c r="A119" s="59">
        <f>Данные!A119</f>
        <v>4848</v>
      </c>
      <c r="B119" s="59">
        <f>Данные!B119</f>
        <v>2018</v>
      </c>
      <c r="C119" s="59" t="str">
        <f>Данные!C119</f>
        <v>компьютерных технологий и электронного обучения</v>
      </c>
      <c r="D119" s="59" t="str">
        <f>Данные!D119</f>
        <v>Карпова Наталья Александровна</v>
      </c>
      <c r="E119" s="59" t="str">
        <f>Данные!E119</f>
        <v>кандидат технических наук</v>
      </c>
      <c r="F119" s="59" t="str">
        <f>Данные!F119</f>
        <v>доцент</v>
      </c>
      <c r="G119" s="59">
        <f>Данные!G119</f>
        <v>0.75</v>
      </c>
      <c r="H119" s="59">
        <f>Данные!H119</f>
        <v>17231</v>
      </c>
      <c r="I119" s="59" t="str">
        <f>Данные!I119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119" s="59">
        <f>Данные!J119</f>
        <v>4</v>
      </c>
      <c r="K119" s="59">
        <f>Данные!K119</f>
        <v>12</v>
      </c>
      <c r="L119" s="59">
        <f>Данные!L119</f>
        <v>0</v>
      </c>
      <c r="M119" s="60">
        <f t="shared" si="9"/>
        <v>1.6</v>
      </c>
      <c r="N119" s="60">
        <f t="shared" ca="1" si="10"/>
        <v>6.29</v>
      </c>
      <c r="O119" s="60">
        <f t="shared" ca="1" si="11"/>
        <v>3.25</v>
      </c>
      <c r="P119" s="60">
        <f t="shared" ca="1" si="12"/>
        <v>3.25</v>
      </c>
      <c r="Q119" s="54">
        <f>Данные!Q119</f>
        <v>0</v>
      </c>
      <c r="R119" s="54">
        <f>Данные!R119</f>
        <v>0</v>
      </c>
      <c r="S119" s="54">
        <f>Данные!S119</f>
        <v>0</v>
      </c>
      <c r="T119" s="54">
        <f>Данные!T119</f>
        <v>0</v>
      </c>
      <c r="U119" s="54">
        <f>Данные!U119</f>
        <v>0</v>
      </c>
      <c r="V119" s="54">
        <f>Данные!V119</f>
        <v>0</v>
      </c>
      <c r="W119" s="54">
        <f ca="1">Данные!W119</f>
        <v>13</v>
      </c>
      <c r="X119" s="54" t="str">
        <f ca="1">Данные!X119</f>
        <v>1</v>
      </c>
      <c r="Y119" s="54" t="str">
        <f ca="1">Данные!Y119</f>
        <v>1</v>
      </c>
      <c r="Z119" s="54">
        <f>Данные!Z119</f>
        <v>0</v>
      </c>
      <c r="AA119" s="54" t="str">
        <f>Данные!AA119</f>
        <v>осн</v>
      </c>
      <c r="AB119" s="101">
        <f t="shared" si="13"/>
        <v>800</v>
      </c>
      <c r="AC119" s="101" t="str">
        <f t="shared" si="14"/>
        <v>ИВТ (бак)</v>
      </c>
      <c r="AD119" s="101" t="str">
        <f t="shared" si="15"/>
        <v/>
      </c>
      <c r="AE119" s="102">
        <f t="shared" ca="1" si="16"/>
        <v>30.39</v>
      </c>
      <c r="AF119" s="103">
        <f t="shared" ca="1" si="17"/>
        <v>3.79875E-2</v>
      </c>
      <c r="AG119" s="101"/>
      <c r="AH119" s="101"/>
      <c r="AI119"/>
      <c r="BQ119" s="72">
        <v>0</v>
      </c>
      <c r="BR119" s="72">
        <v>0</v>
      </c>
      <c r="BS119" s="72">
        <v>0</v>
      </c>
      <c r="BT119" s="72">
        <v>0</v>
      </c>
      <c r="BU119" s="72">
        <v>0</v>
      </c>
      <c r="BV119" s="72">
        <v>0</v>
      </c>
      <c r="BW119" s="72">
        <v>0</v>
      </c>
      <c r="BX119" s="72">
        <v>0</v>
      </c>
      <c r="BY119" s="72">
        <v>0</v>
      </c>
      <c r="BZ119" s="72">
        <v>0</v>
      </c>
      <c r="CA119" s="72">
        <v>0</v>
      </c>
      <c r="CB119" s="72">
        <v>0</v>
      </c>
      <c r="CC119" s="72">
        <v>0</v>
      </c>
      <c r="CD119" s="72">
        <v>0</v>
      </c>
      <c r="CE119" s="72">
        <v>0</v>
      </c>
      <c r="CF119" s="72">
        <v>0</v>
      </c>
      <c r="CG119" s="72">
        <v>0</v>
      </c>
      <c r="CH119" s="72">
        <v>0</v>
      </c>
      <c r="CI119" s="72">
        <v>0</v>
      </c>
      <c r="CJ119" s="72">
        <v>0</v>
      </c>
      <c r="CK119" s="72">
        <v>0</v>
      </c>
      <c r="CL119" s="72">
        <v>0</v>
      </c>
      <c r="CM119" s="72">
        <v>0</v>
      </c>
      <c r="CN119" s="72">
        <v>0</v>
      </c>
      <c r="CO119" s="72">
        <v>0</v>
      </c>
      <c r="CP119" s="72">
        <v>0</v>
      </c>
      <c r="CQ119" s="72">
        <v>0</v>
      </c>
      <c r="CR119" s="72">
        <v>0</v>
      </c>
      <c r="CS119" s="72">
        <v>0</v>
      </c>
      <c r="CT119" s="72">
        <v>0</v>
      </c>
      <c r="CU119" s="72">
        <v>0</v>
      </c>
      <c r="CV119" s="72">
        <v>0</v>
      </c>
      <c r="CW119" s="72">
        <v>0</v>
      </c>
      <c r="CX119" s="72">
        <v>0</v>
      </c>
      <c r="CY119" s="72">
        <v>0</v>
      </c>
      <c r="CZ119" s="72">
        <v>0</v>
      </c>
      <c r="DA119" s="72">
        <v>0</v>
      </c>
      <c r="DB119" s="72">
        <v>0</v>
      </c>
      <c r="DC119" s="72">
        <v>0</v>
      </c>
      <c r="DD119" s="72">
        <v>0</v>
      </c>
      <c r="DE119" s="72">
        <v>0</v>
      </c>
      <c r="DF119" s="72">
        <v>0</v>
      </c>
      <c r="DG119" s="72">
        <v>0</v>
      </c>
      <c r="DH119" s="72">
        <v>0</v>
      </c>
      <c r="DI119" s="72">
        <v>0</v>
      </c>
      <c r="DJ119" s="72">
        <v>0</v>
      </c>
      <c r="DK119" s="72">
        <v>0</v>
      </c>
      <c r="DL119" s="72">
        <v>0</v>
      </c>
      <c r="DM119" s="72">
        <v>0</v>
      </c>
      <c r="DN119" s="72">
        <v>0</v>
      </c>
      <c r="DO119" s="72">
        <v>0</v>
      </c>
      <c r="DP119" s="72">
        <v>0</v>
      </c>
      <c r="DQ119" s="72">
        <v>0</v>
      </c>
      <c r="DR119" s="72">
        <v>0</v>
      </c>
      <c r="DS119" s="72">
        <v>0</v>
      </c>
      <c r="DT119" s="72">
        <v>0</v>
      </c>
      <c r="DU119" s="72">
        <v>0</v>
      </c>
      <c r="DV119" s="72">
        <v>0</v>
      </c>
      <c r="DW119" s="72">
        <v>0</v>
      </c>
      <c r="DX119" s="72">
        <v>0</v>
      </c>
      <c r="DY119" s="72">
        <v>0</v>
      </c>
      <c r="DZ119" s="72">
        <v>0</v>
      </c>
      <c r="EA119" s="72">
        <v>0</v>
      </c>
      <c r="EB119" s="72">
        <v>0</v>
      </c>
      <c r="EC119" s="72">
        <v>0</v>
      </c>
      <c r="ED119" s="72">
        <v>0</v>
      </c>
      <c r="EE119" s="72">
        <v>0</v>
      </c>
      <c r="EF119" s="72">
        <v>0</v>
      </c>
      <c r="EG119" s="72">
        <v>0</v>
      </c>
      <c r="EH119" s="72">
        <v>0</v>
      </c>
      <c r="EI119" s="72">
        <v>0</v>
      </c>
      <c r="EJ119" s="72">
        <v>0</v>
      </c>
      <c r="EK119" s="72">
        <v>0</v>
      </c>
      <c r="EL119" s="72">
        <v>0</v>
      </c>
    </row>
    <row r="120" spans="1:142" s="6" customFormat="1" x14ac:dyDescent="0.35">
      <c r="A120" s="59">
        <f>Данные!A120</f>
        <v>4858</v>
      </c>
      <c r="B120" s="59">
        <f>Данные!B120</f>
        <v>2016</v>
      </c>
      <c r="C120" s="59" t="str">
        <f>Данные!C120</f>
        <v>компьютерных технологий и электронного обучения</v>
      </c>
      <c r="D120" s="59" t="str">
        <f>Данные!D120</f>
        <v>Абрамян Геннадий Владимирович</v>
      </c>
      <c r="E120" s="59" t="str">
        <f>Данные!E120</f>
        <v>доктор педагогических наук</v>
      </c>
      <c r="F120" s="59" t="str">
        <f>Данные!F120</f>
        <v>профессор</v>
      </c>
      <c r="G120" s="59">
        <f>Данные!G120</f>
        <v>1</v>
      </c>
      <c r="H120" s="59">
        <f>Данные!H120</f>
        <v>15177</v>
      </c>
      <c r="I120" s="59" t="str">
        <f>Данные!I120</f>
        <v>ЭВМ и периферийные устройства</v>
      </c>
      <c r="J120" s="59">
        <f>Данные!J120</f>
        <v>42</v>
      </c>
      <c r="K120" s="59">
        <f>Данные!K120</f>
        <v>0</v>
      </c>
      <c r="L120" s="59">
        <f>Данные!L120</f>
        <v>84</v>
      </c>
      <c r="M120" s="60">
        <f t="shared" si="9"/>
        <v>12.6</v>
      </c>
      <c r="N120" s="60">
        <f t="shared" ca="1" si="10"/>
        <v>10.91</v>
      </c>
      <c r="O120" s="60">
        <f t="shared" ca="1" si="11"/>
        <v>6.75</v>
      </c>
      <c r="P120" s="60">
        <f t="shared" ca="1" si="12"/>
        <v>6.75</v>
      </c>
      <c r="Q120" s="54">
        <f>Данные!Q120</f>
        <v>0</v>
      </c>
      <c r="R120" s="54">
        <f>Данные!R120</f>
        <v>0</v>
      </c>
      <c r="S120" s="54">
        <f>Данные!S120</f>
        <v>0</v>
      </c>
      <c r="T120" s="54">
        <f>Данные!T120</f>
        <v>0</v>
      </c>
      <c r="U120" s="54">
        <f>Данные!U120</f>
        <v>0</v>
      </c>
      <c r="V120" s="54">
        <f>Данные!V120</f>
        <v>0</v>
      </c>
      <c r="W120" s="54">
        <f ca="1">Данные!W120</f>
        <v>27</v>
      </c>
      <c r="X120" s="54" t="str">
        <f ca="1">Данные!X120</f>
        <v>1</v>
      </c>
      <c r="Y120" s="54" t="str">
        <f ca="1">Данные!Y120</f>
        <v>2</v>
      </c>
      <c r="Z120" s="54">
        <f>Данные!Z120</f>
        <v>0</v>
      </c>
      <c r="AA120" s="54" t="str">
        <f>Данные!AA120</f>
        <v>осн</v>
      </c>
      <c r="AB120" s="101">
        <f t="shared" si="13"/>
        <v>750</v>
      </c>
      <c r="AC120" s="101" t="str">
        <f t="shared" si="14"/>
        <v>ИВТ (бак)</v>
      </c>
      <c r="AD120" s="101" t="str">
        <f t="shared" si="15"/>
        <v>2016–2017</v>
      </c>
      <c r="AE120" s="102">
        <f t="shared" ca="1" si="16"/>
        <v>163.01</v>
      </c>
      <c r="AF120" s="103">
        <f t="shared" ca="1" si="17"/>
        <v>0.21734666666666666</v>
      </c>
      <c r="AG120" s="101"/>
      <c r="AH120" s="101"/>
      <c r="AI120"/>
      <c r="BQ120" s="72">
        <v>0</v>
      </c>
      <c r="BR120" s="72">
        <v>0</v>
      </c>
      <c r="BS120" s="72">
        <v>0</v>
      </c>
      <c r="BT120" s="72">
        <v>0</v>
      </c>
      <c r="BU120" s="72">
        <v>0</v>
      </c>
      <c r="BV120" s="72">
        <v>0</v>
      </c>
      <c r="BW120" s="72">
        <v>0</v>
      </c>
      <c r="BX120" s="72">
        <v>0</v>
      </c>
      <c r="BY120" s="72">
        <v>0</v>
      </c>
      <c r="BZ120" s="72">
        <v>0</v>
      </c>
      <c r="CA120" s="72">
        <v>0</v>
      </c>
      <c r="CB120" s="72">
        <v>0</v>
      </c>
      <c r="CC120" s="72">
        <v>0</v>
      </c>
      <c r="CD120" s="72">
        <v>0</v>
      </c>
      <c r="CE120" s="72">
        <v>0</v>
      </c>
      <c r="CF120" s="72">
        <v>0</v>
      </c>
      <c r="CG120" s="72">
        <v>0</v>
      </c>
      <c r="CH120" s="72">
        <v>0</v>
      </c>
      <c r="CI120" s="72">
        <v>0</v>
      </c>
      <c r="CJ120" s="72">
        <v>0</v>
      </c>
      <c r="CK120" s="72">
        <v>0</v>
      </c>
      <c r="CL120" s="72">
        <v>0</v>
      </c>
      <c r="CM120" s="72">
        <v>0</v>
      </c>
      <c r="CN120" s="72">
        <v>0</v>
      </c>
      <c r="CO120" s="72">
        <v>0</v>
      </c>
      <c r="CP120" s="72">
        <v>0</v>
      </c>
      <c r="CQ120" s="72">
        <v>0</v>
      </c>
      <c r="CR120" s="72">
        <v>0</v>
      </c>
      <c r="CS120" s="72">
        <v>0</v>
      </c>
      <c r="CT120" s="72">
        <v>0</v>
      </c>
      <c r="CU120" s="72">
        <v>0</v>
      </c>
      <c r="CV120" s="72">
        <v>0</v>
      </c>
      <c r="CW120" s="72">
        <v>0</v>
      </c>
      <c r="CX120" s="72">
        <v>0</v>
      </c>
      <c r="CY120" s="72">
        <v>0</v>
      </c>
      <c r="CZ120" s="72">
        <v>0</v>
      </c>
      <c r="DA120" s="72">
        <v>0</v>
      </c>
      <c r="DB120" s="72">
        <v>0</v>
      </c>
      <c r="DC120" s="72">
        <v>0</v>
      </c>
      <c r="DD120" s="72">
        <v>0</v>
      </c>
      <c r="DE120" s="72">
        <v>0</v>
      </c>
      <c r="DF120" s="72">
        <v>0</v>
      </c>
      <c r="DG120" s="72">
        <v>0</v>
      </c>
      <c r="DH120" s="72">
        <v>0</v>
      </c>
      <c r="DI120" s="72">
        <v>0</v>
      </c>
      <c r="DJ120" s="72">
        <v>0</v>
      </c>
      <c r="DK120" s="72">
        <v>0</v>
      </c>
      <c r="DL120" s="72">
        <v>0</v>
      </c>
      <c r="DM120" s="72">
        <v>0</v>
      </c>
      <c r="DN120" s="72">
        <v>0</v>
      </c>
      <c r="DO120" s="72">
        <v>0</v>
      </c>
      <c r="DP120" s="72">
        <v>0</v>
      </c>
      <c r="DQ120" s="72">
        <v>0</v>
      </c>
      <c r="DR120" s="72">
        <v>0</v>
      </c>
      <c r="DS120" s="72">
        <v>0</v>
      </c>
      <c r="DT120" s="72">
        <v>0</v>
      </c>
      <c r="DU120" s="72">
        <v>0</v>
      </c>
      <c r="DV120" s="72">
        <v>0</v>
      </c>
      <c r="DW120" s="72">
        <v>0</v>
      </c>
      <c r="DX120" s="72">
        <v>0</v>
      </c>
      <c r="DY120" s="72">
        <v>0</v>
      </c>
      <c r="DZ120" s="72">
        <v>0</v>
      </c>
      <c r="EA120" s="72">
        <v>0</v>
      </c>
      <c r="EB120" s="72">
        <v>0</v>
      </c>
      <c r="EC120" s="72">
        <v>0</v>
      </c>
      <c r="ED120" s="72">
        <v>0</v>
      </c>
      <c r="EE120" s="72">
        <v>0</v>
      </c>
      <c r="EF120" s="72">
        <v>0</v>
      </c>
      <c r="EG120" s="72">
        <v>0</v>
      </c>
      <c r="EH120" s="72">
        <v>0</v>
      </c>
      <c r="EI120" s="72">
        <v>0</v>
      </c>
      <c r="EJ120" s="72">
        <v>0</v>
      </c>
      <c r="EK120" s="72">
        <v>0</v>
      </c>
      <c r="EL120" s="72">
        <v>0</v>
      </c>
    </row>
    <row r="121" spans="1:142" s="6" customFormat="1" x14ac:dyDescent="0.35">
      <c r="A121" s="59">
        <f>Данные!A121</f>
        <v>4858</v>
      </c>
      <c r="B121" s="59">
        <f>Данные!B121</f>
        <v>2016</v>
      </c>
      <c r="C121" s="59" t="str">
        <f>Данные!C121</f>
        <v>компьютерных технологий и электронного обучения</v>
      </c>
      <c r="D121" s="59" t="str">
        <f>Данные!D121</f>
        <v>Власова Елена Зотиковна</v>
      </c>
      <c r="E121" s="59" t="str">
        <f>Данные!E121</f>
        <v>доктор педагогических наук</v>
      </c>
      <c r="F121" s="59" t="str">
        <f>Данные!F121</f>
        <v>заведующий кафедрой</v>
      </c>
      <c r="G121" s="59">
        <f>Данные!G121</f>
        <v>1</v>
      </c>
      <c r="H121" s="59">
        <f>Данные!H121</f>
        <v>15177</v>
      </c>
      <c r="I121" s="59" t="str">
        <f>Данные!I121</f>
        <v>Информатика</v>
      </c>
      <c r="J121" s="59">
        <f>Данные!J121</f>
        <v>18</v>
      </c>
      <c r="K121" s="59">
        <f>Данные!K121</f>
        <v>18</v>
      </c>
      <c r="L121" s="59">
        <f>Данные!L121</f>
        <v>0</v>
      </c>
      <c r="M121" s="60">
        <f t="shared" si="9"/>
        <v>3.6</v>
      </c>
      <c r="N121" s="60">
        <f t="shared" ca="1" si="10"/>
        <v>10.91</v>
      </c>
      <c r="O121" s="60">
        <f t="shared" ca="1" si="11"/>
        <v>6.75</v>
      </c>
      <c r="P121" s="60">
        <f t="shared" ca="1" si="12"/>
        <v>6.75</v>
      </c>
      <c r="Q121" s="54">
        <f>Данные!Q121</f>
        <v>0</v>
      </c>
      <c r="R121" s="54">
        <f>Данные!R121</f>
        <v>0</v>
      </c>
      <c r="S121" s="54">
        <f>Данные!S121</f>
        <v>0</v>
      </c>
      <c r="T121" s="54">
        <f>Данные!T121</f>
        <v>0</v>
      </c>
      <c r="U121" s="54">
        <f>Данные!U121</f>
        <v>0</v>
      </c>
      <c r="V121" s="54">
        <f>Данные!V121</f>
        <v>0</v>
      </c>
      <c r="W121" s="54">
        <f ca="1">Данные!W121</f>
        <v>27</v>
      </c>
      <c r="X121" s="54" t="str">
        <f ca="1">Данные!X121</f>
        <v>1</v>
      </c>
      <c r="Y121" s="54" t="str">
        <f ca="1">Данные!Y121</f>
        <v>2</v>
      </c>
      <c r="Z121" s="54">
        <f>Данные!Z121</f>
        <v>0</v>
      </c>
      <c r="AA121" s="54" t="str">
        <f>Данные!AA121</f>
        <v>осн</v>
      </c>
      <c r="AB121" s="101">
        <f t="shared" si="13"/>
        <v>700</v>
      </c>
      <c r="AC121" s="101" t="str">
        <f t="shared" si="14"/>
        <v>ИВТ (бак)</v>
      </c>
      <c r="AD121" s="101" t="str">
        <f t="shared" si="15"/>
        <v>2016–2017</v>
      </c>
      <c r="AE121" s="102">
        <f t="shared" ca="1" si="16"/>
        <v>64.010000000000005</v>
      </c>
      <c r="AF121" s="103">
        <f t="shared" ca="1" si="17"/>
        <v>9.1442857142857145E-2</v>
      </c>
      <c r="AG121" s="101"/>
      <c r="AH121" s="101"/>
      <c r="AI121"/>
      <c r="BQ121" s="72">
        <v>0</v>
      </c>
      <c r="BR121" s="72">
        <v>0</v>
      </c>
      <c r="BS121" s="72">
        <v>0</v>
      </c>
      <c r="BT121" s="72">
        <v>0</v>
      </c>
      <c r="BU121" s="72">
        <v>0</v>
      </c>
      <c r="BV121" s="72">
        <v>0</v>
      </c>
      <c r="BW121" s="72">
        <v>0</v>
      </c>
      <c r="BX121" s="72">
        <v>0</v>
      </c>
      <c r="BY121" s="72">
        <v>0</v>
      </c>
      <c r="BZ121" s="72">
        <v>0</v>
      </c>
      <c r="CA121" s="72">
        <v>0</v>
      </c>
      <c r="CB121" s="72">
        <v>0</v>
      </c>
      <c r="CC121" s="72">
        <v>0</v>
      </c>
      <c r="CD121" s="72">
        <v>0</v>
      </c>
      <c r="CE121" s="72">
        <v>0</v>
      </c>
      <c r="CF121" s="72">
        <v>0</v>
      </c>
      <c r="CG121" s="72">
        <v>0</v>
      </c>
      <c r="CH121" s="72">
        <v>0</v>
      </c>
      <c r="CI121" s="72">
        <v>0</v>
      </c>
      <c r="CJ121" s="72">
        <v>0</v>
      </c>
      <c r="CK121" s="72">
        <v>0</v>
      </c>
      <c r="CL121" s="72">
        <v>0</v>
      </c>
      <c r="CM121" s="72">
        <v>0</v>
      </c>
      <c r="CN121" s="72">
        <v>0</v>
      </c>
      <c r="CO121" s="72">
        <v>0</v>
      </c>
      <c r="CP121" s="72">
        <v>0</v>
      </c>
      <c r="CQ121" s="72">
        <v>0</v>
      </c>
      <c r="CR121" s="72">
        <v>0</v>
      </c>
      <c r="CS121" s="72">
        <v>0</v>
      </c>
      <c r="CT121" s="72">
        <v>0</v>
      </c>
      <c r="CU121" s="72">
        <v>0</v>
      </c>
      <c r="CV121" s="72">
        <v>0</v>
      </c>
      <c r="CW121" s="72">
        <v>0</v>
      </c>
      <c r="CX121" s="72">
        <v>0</v>
      </c>
      <c r="CY121" s="72">
        <v>0</v>
      </c>
      <c r="CZ121" s="72">
        <v>0</v>
      </c>
      <c r="DA121" s="72">
        <v>0</v>
      </c>
      <c r="DB121" s="72">
        <v>0</v>
      </c>
      <c r="DC121" s="72">
        <v>0</v>
      </c>
      <c r="DD121" s="72">
        <v>0</v>
      </c>
      <c r="DE121" s="72">
        <v>0</v>
      </c>
      <c r="DF121" s="72">
        <v>0</v>
      </c>
      <c r="DG121" s="72">
        <v>0</v>
      </c>
      <c r="DH121" s="72">
        <v>0</v>
      </c>
      <c r="DI121" s="72">
        <v>0</v>
      </c>
      <c r="DJ121" s="72">
        <v>0</v>
      </c>
      <c r="DK121" s="72">
        <v>0</v>
      </c>
      <c r="DL121" s="72">
        <v>0</v>
      </c>
      <c r="DM121" s="72">
        <v>0</v>
      </c>
      <c r="DN121" s="72">
        <v>0</v>
      </c>
      <c r="DO121" s="72">
        <v>0</v>
      </c>
      <c r="DP121" s="72">
        <v>0</v>
      </c>
      <c r="DQ121" s="72">
        <v>0</v>
      </c>
      <c r="DR121" s="72">
        <v>0</v>
      </c>
      <c r="DS121" s="72">
        <v>0</v>
      </c>
      <c r="DT121" s="72">
        <v>0</v>
      </c>
      <c r="DU121" s="72">
        <v>0</v>
      </c>
      <c r="DV121" s="72">
        <v>0</v>
      </c>
      <c r="DW121" s="72">
        <v>0</v>
      </c>
      <c r="DX121" s="72">
        <v>0</v>
      </c>
      <c r="DY121" s="72">
        <v>0</v>
      </c>
      <c r="DZ121" s="72">
        <v>0</v>
      </c>
      <c r="EA121" s="72">
        <v>0</v>
      </c>
      <c r="EB121" s="72">
        <v>0</v>
      </c>
      <c r="EC121" s="72">
        <v>0</v>
      </c>
      <c r="ED121" s="72">
        <v>0</v>
      </c>
      <c r="EE121" s="72">
        <v>0</v>
      </c>
      <c r="EF121" s="72">
        <v>0</v>
      </c>
      <c r="EG121" s="72">
        <v>0</v>
      </c>
      <c r="EH121" s="72">
        <v>0</v>
      </c>
      <c r="EI121" s="72">
        <v>0</v>
      </c>
      <c r="EJ121" s="72">
        <v>0</v>
      </c>
      <c r="EK121" s="72">
        <v>0</v>
      </c>
      <c r="EL121" s="72">
        <v>0</v>
      </c>
    </row>
    <row r="122" spans="1:142" s="6" customFormat="1" x14ac:dyDescent="0.35">
      <c r="A122" s="59">
        <f>Данные!A122</f>
        <v>4858</v>
      </c>
      <c r="B122" s="59">
        <f>Данные!B122</f>
        <v>2016</v>
      </c>
      <c r="C122" s="59" t="str">
        <f>Данные!C122</f>
        <v>компьютерных технологий и электронного обучения</v>
      </c>
      <c r="D122" s="59" t="str">
        <f>Данные!D122</f>
        <v>Власова Елена Зотиковна</v>
      </c>
      <c r="E122" s="59" t="str">
        <f>Данные!E122</f>
        <v>доктор педагогических наук</v>
      </c>
      <c r="F122" s="59" t="str">
        <f>Данные!F122</f>
        <v>заведующий кафедрой</v>
      </c>
      <c r="G122" s="59">
        <f>Данные!G122</f>
        <v>1</v>
      </c>
      <c r="H122" s="59">
        <f>Данные!H122</f>
        <v>15177</v>
      </c>
      <c r="I122" s="59" t="str">
        <f>Данные!I122</f>
        <v>Модуль "Информационные технологии в математике и физике"</v>
      </c>
      <c r="J122" s="59">
        <f>Данные!J122</f>
        <v>0</v>
      </c>
      <c r="K122" s="59">
        <f>Данные!K122</f>
        <v>0</v>
      </c>
      <c r="L122" s="59">
        <f>Данные!L122</f>
        <v>0</v>
      </c>
      <c r="M122" s="60">
        <f t="shared" si="9"/>
        <v>0</v>
      </c>
      <c r="N122" s="60">
        <f t="shared" ca="1" si="10"/>
        <v>10.91</v>
      </c>
      <c r="O122" s="60">
        <f t="shared" ca="1" si="11"/>
        <v>6.75</v>
      </c>
      <c r="P122" s="60">
        <f t="shared" ca="1" si="12"/>
        <v>6.75</v>
      </c>
      <c r="Q122" s="54">
        <f>Данные!Q122</f>
        <v>0</v>
      </c>
      <c r="R122" s="54">
        <f>Данные!R122</f>
        <v>0</v>
      </c>
      <c r="S122" s="54">
        <f>Данные!S122</f>
        <v>0</v>
      </c>
      <c r="T122" s="54">
        <f>Данные!T122</f>
        <v>0</v>
      </c>
      <c r="U122" s="54">
        <f>Данные!U122</f>
        <v>0</v>
      </c>
      <c r="V122" s="54">
        <f>Данные!V122</f>
        <v>0</v>
      </c>
      <c r="W122" s="54">
        <f ca="1">Данные!W122</f>
        <v>27</v>
      </c>
      <c r="X122" s="54" t="str">
        <f ca="1">Данные!X122</f>
        <v>1</v>
      </c>
      <c r="Y122" s="54" t="str">
        <f ca="1">Данные!Y122</f>
        <v>2</v>
      </c>
      <c r="Z122" s="54">
        <f>Данные!Z122</f>
        <v>0</v>
      </c>
      <c r="AA122" s="54" t="str">
        <f>Данные!AA122</f>
        <v>осн</v>
      </c>
      <c r="AB122" s="101">
        <f t="shared" si="13"/>
        <v>700</v>
      </c>
      <c r="AC122" s="101" t="str">
        <f t="shared" si="14"/>
        <v>ИВТ (бак)</v>
      </c>
      <c r="AD122" s="101" t="str">
        <f t="shared" si="15"/>
        <v>2016–2017</v>
      </c>
      <c r="AE122" s="102">
        <f t="shared" ca="1" si="16"/>
        <v>24.41</v>
      </c>
      <c r="AF122" s="103">
        <f t="shared" ca="1" si="17"/>
        <v>3.4871428571428574E-2</v>
      </c>
      <c r="AG122" s="101"/>
      <c r="AH122" s="101"/>
      <c r="AI122"/>
      <c r="BQ122" s="72">
        <v>0</v>
      </c>
      <c r="BR122" s="72">
        <v>0</v>
      </c>
      <c r="BS122" s="72">
        <v>0</v>
      </c>
      <c r="BT122" s="72">
        <v>0</v>
      </c>
      <c r="BU122" s="72">
        <v>0</v>
      </c>
      <c r="BV122" s="72">
        <v>0</v>
      </c>
      <c r="BW122" s="72">
        <v>0</v>
      </c>
      <c r="BX122" s="72">
        <v>0</v>
      </c>
      <c r="BY122" s="72">
        <v>0</v>
      </c>
      <c r="BZ122" s="72">
        <v>0</v>
      </c>
      <c r="CA122" s="72">
        <v>0</v>
      </c>
      <c r="CB122" s="72">
        <v>0</v>
      </c>
      <c r="CC122" s="72">
        <v>0</v>
      </c>
      <c r="CD122" s="72">
        <v>0</v>
      </c>
      <c r="CE122" s="72">
        <v>0</v>
      </c>
      <c r="CF122" s="72">
        <v>0</v>
      </c>
      <c r="CG122" s="72">
        <v>0</v>
      </c>
      <c r="CH122" s="72">
        <v>0</v>
      </c>
      <c r="CI122" s="72">
        <v>0</v>
      </c>
      <c r="CJ122" s="72">
        <v>0</v>
      </c>
      <c r="CK122" s="72">
        <v>0</v>
      </c>
      <c r="CL122" s="72">
        <v>0</v>
      </c>
      <c r="CM122" s="72">
        <v>0</v>
      </c>
      <c r="CN122" s="72">
        <v>0</v>
      </c>
      <c r="CO122" s="72">
        <v>0</v>
      </c>
      <c r="CP122" s="72">
        <v>0</v>
      </c>
      <c r="CQ122" s="72">
        <v>0</v>
      </c>
      <c r="CR122" s="72">
        <v>0</v>
      </c>
      <c r="CS122" s="72">
        <v>0</v>
      </c>
      <c r="CT122" s="72">
        <v>0</v>
      </c>
      <c r="CU122" s="72">
        <v>0</v>
      </c>
      <c r="CV122" s="72">
        <v>0</v>
      </c>
      <c r="CW122" s="72">
        <v>0</v>
      </c>
      <c r="CX122" s="72">
        <v>0</v>
      </c>
      <c r="CY122" s="72">
        <v>0</v>
      </c>
      <c r="CZ122" s="72">
        <v>0</v>
      </c>
      <c r="DA122" s="72">
        <v>0</v>
      </c>
      <c r="DB122" s="72">
        <v>0</v>
      </c>
      <c r="DC122" s="72">
        <v>0</v>
      </c>
      <c r="DD122" s="72">
        <v>0</v>
      </c>
      <c r="DE122" s="72">
        <v>0</v>
      </c>
      <c r="DF122" s="72">
        <v>0</v>
      </c>
      <c r="DG122" s="72">
        <v>0</v>
      </c>
      <c r="DH122" s="72">
        <v>0</v>
      </c>
      <c r="DI122" s="72">
        <v>0</v>
      </c>
      <c r="DJ122" s="72">
        <v>0</v>
      </c>
      <c r="DK122" s="72">
        <v>0</v>
      </c>
      <c r="DL122" s="72">
        <v>0</v>
      </c>
      <c r="DM122" s="72">
        <v>0</v>
      </c>
      <c r="DN122" s="72">
        <v>0</v>
      </c>
      <c r="DO122" s="72">
        <v>0</v>
      </c>
      <c r="DP122" s="72">
        <v>0</v>
      </c>
      <c r="DQ122" s="72">
        <v>0</v>
      </c>
      <c r="DR122" s="72">
        <v>0</v>
      </c>
      <c r="DS122" s="72">
        <v>0</v>
      </c>
      <c r="DT122" s="72">
        <v>0</v>
      </c>
      <c r="DU122" s="72">
        <v>0</v>
      </c>
      <c r="DV122" s="72">
        <v>0</v>
      </c>
      <c r="DW122" s="72">
        <v>0</v>
      </c>
      <c r="DX122" s="72">
        <v>0</v>
      </c>
      <c r="DY122" s="72">
        <v>0</v>
      </c>
      <c r="DZ122" s="72">
        <v>0</v>
      </c>
      <c r="EA122" s="72">
        <v>0</v>
      </c>
      <c r="EB122" s="72">
        <v>0</v>
      </c>
      <c r="EC122" s="72">
        <v>0</v>
      </c>
      <c r="ED122" s="72">
        <v>0</v>
      </c>
      <c r="EE122" s="72">
        <v>0</v>
      </c>
      <c r="EF122" s="72">
        <v>0</v>
      </c>
      <c r="EG122" s="72">
        <v>0</v>
      </c>
      <c r="EH122" s="72">
        <v>0</v>
      </c>
      <c r="EI122" s="72">
        <v>0</v>
      </c>
      <c r="EJ122" s="72">
        <v>0</v>
      </c>
      <c r="EK122" s="72">
        <v>0</v>
      </c>
      <c r="EL122" s="72">
        <v>0</v>
      </c>
    </row>
    <row r="123" spans="1:142" s="6" customFormat="1" x14ac:dyDescent="0.35">
      <c r="A123" s="59">
        <f>Данные!A123</f>
        <v>4858</v>
      </c>
      <c r="B123" s="59">
        <f>Данные!B123</f>
        <v>2016</v>
      </c>
      <c r="C123" s="59" t="str">
        <f>Данные!C123</f>
        <v>компьютерных технологий и электронного обучения</v>
      </c>
      <c r="D123" s="59" t="str">
        <f>Данные!D123</f>
        <v>Власова Елена Зотиковна</v>
      </c>
      <c r="E123" s="59" t="str">
        <f>Данные!E123</f>
        <v>доктор педагогических наук</v>
      </c>
      <c r="F123" s="59" t="str">
        <f>Данные!F123</f>
        <v>заведующий кафедрой</v>
      </c>
      <c r="G123" s="59">
        <f>Данные!G123</f>
        <v>1</v>
      </c>
      <c r="H123" s="59">
        <f>Данные!H123</f>
        <v>15177</v>
      </c>
      <c r="I123" s="59" t="str">
        <f>Данные!I123</f>
        <v>Модуль "Информационные технологии в математике и физике". Информационные технологии в физике</v>
      </c>
      <c r="J123" s="59">
        <f>Данные!J123</f>
        <v>12</v>
      </c>
      <c r="K123" s="59">
        <f>Данные!K123</f>
        <v>0</v>
      </c>
      <c r="L123" s="59">
        <f>Данные!L123</f>
        <v>0</v>
      </c>
      <c r="M123" s="60">
        <f t="shared" si="9"/>
        <v>1.2</v>
      </c>
      <c r="N123" s="60">
        <f t="shared" ca="1" si="10"/>
        <v>10.91</v>
      </c>
      <c r="O123" s="60">
        <f t="shared" ca="1" si="11"/>
        <v>6.75</v>
      </c>
      <c r="P123" s="60">
        <f t="shared" ca="1" si="12"/>
        <v>6.75</v>
      </c>
      <c r="Q123" s="54">
        <f>Данные!Q123</f>
        <v>0</v>
      </c>
      <c r="R123" s="54">
        <f>Данные!R123</f>
        <v>0</v>
      </c>
      <c r="S123" s="54">
        <f>Данные!S123</f>
        <v>0</v>
      </c>
      <c r="T123" s="54">
        <f>Данные!T123</f>
        <v>0</v>
      </c>
      <c r="U123" s="54">
        <f>Данные!U123</f>
        <v>0</v>
      </c>
      <c r="V123" s="54">
        <f>Данные!V123</f>
        <v>0</v>
      </c>
      <c r="W123" s="54">
        <f ca="1">Данные!W123</f>
        <v>27</v>
      </c>
      <c r="X123" s="54" t="str">
        <f ca="1">Данные!X123</f>
        <v>1</v>
      </c>
      <c r="Y123" s="54" t="str">
        <f ca="1">Данные!Y123</f>
        <v>2</v>
      </c>
      <c r="Z123" s="54">
        <f>Данные!Z123</f>
        <v>0</v>
      </c>
      <c r="AA123" s="54" t="str">
        <f>Данные!AA123</f>
        <v>осн</v>
      </c>
      <c r="AB123" s="101">
        <f t="shared" si="13"/>
        <v>700</v>
      </c>
      <c r="AC123" s="101" t="str">
        <f t="shared" si="14"/>
        <v>ИВТ (бак)</v>
      </c>
      <c r="AD123" s="101" t="str">
        <f t="shared" si="15"/>
        <v>2016–2017</v>
      </c>
      <c r="AE123" s="102">
        <f t="shared" ca="1" si="16"/>
        <v>37.61</v>
      </c>
      <c r="AF123" s="103">
        <f t="shared" ca="1" si="17"/>
        <v>5.3728571428571431E-2</v>
      </c>
      <c r="AG123" s="101"/>
      <c r="AH123" s="101"/>
      <c r="AI123"/>
      <c r="BQ123" s="72">
        <v>0</v>
      </c>
      <c r="BR123" s="72">
        <v>0</v>
      </c>
      <c r="BS123" s="72">
        <v>0</v>
      </c>
      <c r="BT123" s="72">
        <v>0</v>
      </c>
      <c r="BU123" s="72">
        <v>0</v>
      </c>
      <c r="BV123" s="72">
        <v>0</v>
      </c>
      <c r="BW123" s="72">
        <v>0</v>
      </c>
      <c r="BX123" s="72">
        <v>0</v>
      </c>
      <c r="BY123" s="72">
        <v>0</v>
      </c>
      <c r="BZ123" s="72">
        <v>0</v>
      </c>
      <c r="CA123" s="72">
        <v>0</v>
      </c>
      <c r="CB123" s="72">
        <v>0</v>
      </c>
      <c r="CC123" s="72">
        <v>0</v>
      </c>
      <c r="CD123" s="72">
        <v>0</v>
      </c>
      <c r="CE123" s="72">
        <v>0</v>
      </c>
      <c r="CF123" s="72">
        <v>0</v>
      </c>
      <c r="CG123" s="72">
        <v>0</v>
      </c>
      <c r="CH123" s="72">
        <v>0</v>
      </c>
      <c r="CI123" s="72">
        <v>0</v>
      </c>
      <c r="CJ123" s="72">
        <v>0</v>
      </c>
      <c r="CK123" s="72">
        <v>0</v>
      </c>
      <c r="CL123" s="72">
        <v>0</v>
      </c>
      <c r="CM123" s="72">
        <v>0</v>
      </c>
      <c r="CN123" s="72">
        <v>0</v>
      </c>
      <c r="CO123" s="72">
        <v>0</v>
      </c>
      <c r="CP123" s="72">
        <v>0</v>
      </c>
      <c r="CQ123" s="72">
        <v>0</v>
      </c>
      <c r="CR123" s="72">
        <v>0</v>
      </c>
      <c r="CS123" s="72">
        <v>0</v>
      </c>
      <c r="CT123" s="72">
        <v>0</v>
      </c>
      <c r="CU123" s="72">
        <v>0</v>
      </c>
      <c r="CV123" s="72">
        <v>0</v>
      </c>
      <c r="CW123" s="72">
        <v>0</v>
      </c>
      <c r="CX123" s="72">
        <v>0</v>
      </c>
      <c r="CY123" s="72">
        <v>0</v>
      </c>
      <c r="CZ123" s="72">
        <v>0</v>
      </c>
      <c r="DA123" s="72">
        <v>0</v>
      </c>
      <c r="DB123" s="72">
        <v>0</v>
      </c>
      <c r="DC123" s="72">
        <v>0</v>
      </c>
      <c r="DD123" s="72">
        <v>0</v>
      </c>
      <c r="DE123" s="72">
        <v>0</v>
      </c>
      <c r="DF123" s="72">
        <v>0</v>
      </c>
      <c r="DG123" s="72">
        <v>0</v>
      </c>
      <c r="DH123" s="72">
        <v>0</v>
      </c>
      <c r="DI123" s="72">
        <v>0</v>
      </c>
      <c r="DJ123" s="72">
        <v>0</v>
      </c>
      <c r="DK123" s="72">
        <v>0</v>
      </c>
      <c r="DL123" s="72">
        <v>0</v>
      </c>
      <c r="DM123" s="72">
        <v>0</v>
      </c>
      <c r="DN123" s="72">
        <v>0</v>
      </c>
      <c r="DO123" s="72">
        <v>0</v>
      </c>
      <c r="DP123" s="72">
        <v>0</v>
      </c>
      <c r="DQ123" s="72">
        <v>0</v>
      </c>
      <c r="DR123" s="72">
        <v>0</v>
      </c>
      <c r="DS123" s="72">
        <v>0</v>
      </c>
      <c r="DT123" s="72">
        <v>0</v>
      </c>
      <c r="DU123" s="72">
        <v>0</v>
      </c>
      <c r="DV123" s="72">
        <v>0</v>
      </c>
      <c r="DW123" s="72">
        <v>0</v>
      </c>
      <c r="DX123" s="72">
        <v>0</v>
      </c>
      <c r="DY123" s="72">
        <v>0</v>
      </c>
      <c r="DZ123" s="72">
        <v>0</v>
      </c>
      <c r="EA123" s="72">
        <v>0</v>
      </c>
      <c r="EB123" s="72">
        <v>0</v>
      </c>
      <c r="EC123" s="72">
        <v>0</v>
      </c>
      <c r="ED123" s="72">
        <v>0</v>
      </c>
      <c r="EE123" s="72">
        <v>0</v>
      </c>
      <c r="EF123" s="72">
        <v>0</v>
      </c>
      <c r="EG123" s="72">
        <v>0</v>
      </c>
      <c r="EH123" s="72">
        <v>0</v>
      </c>
      <c r="EI123" s="72">
        <v>0</v>
      </c>
      <c r="EJ123" s="72">
        <v>0</v>
      </c>
      <c r="EK123" s="72">
        <v>0</v>
      </c>
      <c r="EL123" s="72">
        <v>0</v>
      </c>
    </row>
    <row r="124" spans="1:142" s="6" customFormat="1" x14ac:dyDescent="0.35">
      <c r="A124" s="59">
        <f>Данные!A124</f>
        <v>4858</v>
      </c>
      <c r="B124" s="59">
        <f>Данные!B124</f>
        <v>2016</v>
      </c>
      <c r="C124" s="59" t="str">
        <f>Данные!C124</f>
        <v>компьютерных технологий и электронного обучения</v>
      </c>
      <c r="D124" s="59" t="str">
        <f>Данные!D124</f>
        <v>Власова Елена Зотиковна</v>
      </c>
      <c r="E124" s="59" t="str">
        <f>Данные!E124</f>
        <v>доктор педагогических наук</v>
      </c>
      <c r="F124" s="59" t="str">
        <f>Данные!F124</f>
        <v>заведующий кафедрой</v>
      </c>
      <c r="G124" s="59">
        <f>Данные!G124</f>
        <v>1</v>
      </c>
      <c r="H124" s="59">
        <f>Данные!H124</f>
        <v>15177</v>
      </c>
      <c r="I124" s="59" t="str">
        <f>Данные!I124</f>
        <v>Программирование</v>
      </c>
      <c r="J124" s="59">
        <f>Данные!J124</f>
        <v>27</v>
      </c>
      <c r="K124" s="59">
        <f>Данные!K124</f>
        <v>0</v>
      </c>
      <c r="L124" s="59">
        <f>Данные!L124</f>
        <v>0</v>
      </c>
      <c r="M124" s="60">
        <f t="shared" si="9"/>
        <v>2.7</v>
      </c>
      <c r="N124" s="60">
        <f t="shared" ca="1" si="10"/>
        <v>10.91</v>
      </c>
      <c r="O124" s="60">
        <f t="shared" ca="1" si="11"/>
        <v>6.75</v>
      </c>
      <c r="P124" s="60">
        <f t="shared" ca="1" si="12"/>
        <v>6.75</v>
      </c>
      <c r="Q124" s="54">
        <f>Данные!Q124</f>
        <v>0</v>
      </c>
      <c r="R124" s="54">
        <f>Данные!R124</f>
        <v>0</v>
      </c>
      <c r="S124" s="54">
        <f>Данные!S124</f>
        <v>0</v>
      </c>
      <c r="T124" s="54">
        <f>Данные!T124</f>
        <v>0</v>
      </c>
      <c r="U124" s="54">
        <f>Данные!U124</f>
        <v>0</v>
      </c>
      <c r="V124" s="54">
        <f>Данные!V124</f>
        <v>0</v>
      </c>
      <c r="W124" s="54">
        <f ca="1">Данные!W124</f>
        <v>27</v>
      </c>
      <c r="X124" s="54" t="str">
        <f ca="1">Данные!X124</f>
        <v>1</v>
      </c>
      <c r="Y124" s="54" t="str">
        <f ca="1">Данные!Y124</f>
        <v>2</v>
      </c>
      <c r="Z124" s="54">
        <f>Данные!Z124</f>
        <v>0</v>
      </c>
      <c r="AA124" s="54" t="str">
        <f>Данные!AA124</f>
        <v>осн</v>
      </c>
      <c r="AB124" s="101">
        <f t="shared" si="13"/>
        <v>700</v>
      </c>
      <c r="AC124" s="101" t="str">
        <f t="shared" si="14"/>
        <v>ИВТ (бак)</v>
      </c>
      <c r="AD124" s="101" t="str">
        <f t="shared" si="15"/>
        <v>2016–2017</v>
      </c>
      <c r="AE124" s="102">
        <f t="shared" ca="1" si="16"/>
        <v>54.11</v>
      </c>
      <c r="AF124" s="103">
        <f t="shared" ca="1" si="17"/>
        <v>7.7299999999999994E-2</v>
      </c>
      <c r="AG124" s="101"/>
      <c r="AH124" s="101"/>
      <c r="AI124"/>
      <c r="BQ124" s="72">
        <v>0</v>
      </c>
      <c r="BR124" s="72">
        <v>0</v>
      </c>
      <c r="BS124" s="72">
        <v>0</v>
      </c>
      <c r="BT124" s="72">
        <v>0</v>
      </c>
      <c r="BU124" s="72">
        <v>0</v>
      </c>
      <c r="BV124" s="72">
        <v>0</v>
      </c>
      <c r="BW124" s="72">
        <v>0</v>
      </c>
      <c r="BX124" s="72">
        <v>0</v>
      </c>
      <c r="BY124" s="72">
        <v>0</v>
      </c>
      <c r="BZ124" s="72">
        <v>0</v>
      </c>
      <c r="CA124" s="72">
        <v>0</v>
      </c>
      <c r="CB124" s="72">
        <v>0</v>
      </c>
      <c r="CC124" s="72">
        <v>0</v>
      </c>
      <c r="CD124" s="72">
        <v>0</v>
      </c>
      <c r="CE124" s="72">
        <v>0</v>
      </c>
      <c r="CF124" s="72">
        <v>0</v>
      </c>
      <c r="CG124" s="72">
        <v>0</v>
      </c>
      <c r="CH124" s="72">
        <v>0</v>
      </c>
      <c r="CI124" s="72">
        <v>0</v>
      </c>
      <c r="CJ124" s="72">
        <v>0</v>
      </c>
      <c r="CK124" s="72">
        <v>0</v>
      </c>
      <c r="CL124" s="72">
        <v>0</v>
      </c>
      <c r="CM124" s="72">
        <v>0</v>
      </c>
      <c r="CN124" s="72">
        <v>0</v>
      </c>
      <c r="CO124" s="72">
        <v>0</v>
      </c>
      <c r="CP124" s="72">
        <v>0</v>
      </c>
      <c r="CQ124" s="72">
        <v>0</v>
      </c>
      <c r="CR124" s="72">
        <v>0</v>
      </c>
      <c r="CS124" s="72">
        <v>0</v>
      </c>
      <c r="CT124" s="72">
        <v>0</v>
      </c>
      <c r="CU124" s="72">
        <v>0</v>
      </c>
      <c r="CV124" s="72">
        <v>0</v>
      </c>
      <c r="CW124" s="72">
        <v>0</v>
      </c>
      <c r="CX124" s="72">
        <v>0</v>
      </c>
      <c r="CY124" s="72">
        <v>0</v>
      </c>
      <c r="CZ124" s="72">
        <v>0</v>
      </c>
      <c r="DA124" s="72">
        <v>0</v>
      </c>
      <c r="DB124" s="72">
        <v>0</v>
      </c>
      <c r="DC124" s="72">
        <v>0</v>
      </c>
      <c r="DD124" s="72">
        <v>0</v>
      </c>
      <c r="DE124" s="72">
        <v>0</v>
      </c>
      <c r="DF124" s="72">
        <v>0</v>
      </c>
      <c r="DG124" s="72">
        <v>0</v>
      </c>
      <c r="DH124" s="72">
        <v>0</v>
      </c>
      <c r="DI124" s="72">
        <v>0</v>
      </c>
      <c r="DJ124" s="72">
        <v>0</v>
      </c>
      <c r="DK124" s="72">
        <v>0</v>
      </c>
      <c r="DL124" s="72">
        <v>0</v>
      </c>
      <c r="DM124" s="72">
        <v>0</v>
      </c>
      <c r="DN124" s="72">
        <v>0</v>
      </c>
      <c r="DO124" s="72">
        <v>0</v>
      </c>
      <c r="DP124" s="72">
        <v>0</v>
      </c>
      <c r="DQ124" s="72">
        <v>0</v>
      </c>
      <c r="DR124" s="72">
        <v>0</v>
      </c>
      <c r="DS124" s="72">
        <v>0</v>
      </c>
      <c r="DT124" s="72">
        <v>0</v>
      </c>
      <c r="DU124" s="72">
        <v>0</v>
      </c>
      <c r="DV124" s="72">
        <v>0</v>
      </c>
      <c r="DW124" s="72">
        <v>0</v>
      </c>
      <c r="DX124" s="72">
        <v>0</v>
      </c>
      <c r="DY124" s="72">
        <v>0</v>
      </c>
      <c r="DZ124" s="72">
        <v>0</v>
      </c>
      <c r="EA124" s="72">
        <v>0</v>
      </c>
      <c r="EB124" s="72">
        <v>0</v>
      </c>
      <c r="EC124" s="72">
        <v>0</v>
      </c>
      <c r="ED124" s="72">
        <v>0</v>
      </c>
      <c r="EE124" s="72">
        <v>0</v>
      </c>
      <c r="EF124" s="72">
        <v>0</v>
      </c>
      <c r="EG124" s="72">
        <v>0</v>
      </c>
      <c r="EH124" s="72">
        <v>0</v>
      </c>
      <c r="EI124" s="72">
        <v>0</v>
      </c>
      <c r="EJ124" s="72">
        <v>0</v>
      </c>
      <c r="EK124" s="72">
        <v>0</v>
      </c>
      <c r="EL124" s="72">
        <v>0</v>
      </c>
    </row>
    <row r="125" spans="1:142" s="6" customFormat="1" x14ac:dyDescent="0.35">
      <c r="A125" s="59">
        <f>Данные!A125</f>
        <v>4858</v>
      </c>
      <c r="B125" s="59">
        <f>Данные!B125</f>
        <v>2016</v>
      </c>
      <c r="C125" s="59" t="str">
        <f>Данные!C125</f>
        <v>компьютерных технологий и электронного обучения</v>
      </c>
      <c r="D125" s="59" t="str">
        <f>Данные!D125</f>
        <v>Гончарова Светлана Викторовна</v>
      </c>
      <c r="E125" s="59" t="str">
        <f>Данные!E125</f>
        <v>кандидат педагогических наук</v>
      </c>
      <c r="F125" s="59" t="str">
        <f>Данные!F125</f>
        <v>доцент</v>
      </c>
      <c r="G125" s="59">
        <f>Данные!G125</f>
        <v>1</v>
      </c>
      <c r="H125" s="59">
        <f>Данные!H125</f>
        <v>15177</v>
      </c>
      <c r="I125" s="59" t="str">
        <f>Данные!I125</f>
        <v>Информатика</v>
      </c>
      <c r="J125" s="59">
        <f>Данные!J125</f>
        <v>0</v>
      </c>
      <c r="K125" s="59">
        <f>Данные!K125</f>
        <v>0</v>
      </c>
      <c r="L125" s="59">
        <f>Данные!L125</f>
        <v>36</v>
      </c>
      <c r="M125" s="60">
        <f t="shared" si="9"/>
        <v>3.6</v>
      </c>
      <c r="N125" s="60">
        <f t="shared" ca="1" si="10"/>
        <v>10.91</v>
      </c>
      <c r="O125" s="60">
        <f t="shared" ca="1" si="11"/>
        <v>6.75</v>
      </c>
      <c r="P125" s="60">
        <f t="shared" ca="1" si="12"/>
        <v>6.75</v>
      </c>
      <c r="Q125" s="54">
        <f>Данные!Q125</f>
        <v>0</v>
      </c>
      <c r="R125" s="54">
        <f>Данные!R125</f>
        <v>0</v>
      </c>
      <c r="S125" s="54">
        <f>Данные!S125</f>
        <v>0</v>
      </c>
      <c r="T125" s="54">
        <f>Данные!T125</f>
        <v>0</v>
      </c>
      <c r="U125" s="54">
        <f>Данные!U125</f>
        <v>0</v>
      </c>
      <c r="V125" s="54">
        <f>Данные!V125</f>
        <v>0</v>
      </c>
      <c r="W125" s="54">
        <f ca="1">Данные!W125</f>
        <v>27</v>
      </c>
      <c r="X125" s="54" t="str">
        <f ca="1">Данные!X125</f>
        <v>1</v>
      </c>
      <c r="Y125" s="54" t="str">
        <f ca="1">Данные!Y125</f>
        <v>2</v>
      </c>
      <c r="Z125" s="54">
        <f>Данные!Z125</f>
        <v>0</v>
      </c>
      <c r="AA125" s="54" t="str">
        <f>Данные!AA125</f>
        <v>осн</v>
      </c>
      <c r="AB125" s="101">
        <f t="shared" si="13"/>
        <v>800</v>
      </c>
      <c r="AC125" s="101" t="str">
        <f t="shared" si="14"/>
        <v>ИВТ (бак)</v>
      </c>
      <c r="AD125" s="101" t="str">
        <f t="shared" si="15"/>
        <v>2016–2017</v>
      </c>
      <c r="AE125" s="102">
        <f t="shared" ca="1" si="16"/>
        <v>64.010000000000005</v>
      </c>
      <c r="AF125" s="103">
        <f t="shared" ca="1" si="17"/>
        <v>8.00125E-2</v>
      </c>
      <c r="AG125" s="101"/>
      <c r="AH125" s="101"/>
      <c r="AI125"/>
      <c r="BQ125" s="72">
        <v>0</v>
      </c>
      <c r="BR125" s="72">
        <v>0</v>
      </c>
      <c r="BS125" s="72">
        <v>0</v>
      </c>
      <c r="BT125" s="72">
        <v>0</v>
      </c>
      <c r="BU125" s="72">
        <v>0</v>
      </c>
      <c r="BV125" s="72">
        <v>0</v>
      </c>
      <c r="BW125" s="72">
        <v>0</v>
      </c>
      <c r="BX125" s="72">
        <v>0</v>
      </c>
      <c r="BY125" s="72">
        <v>0</v>
      </c>
      <c r="BZ125" s="72">
        <v>0</v>
      </c>
      <c r="CA125" s="72">
        <v>0</v>
      </c>
      <c r="CB125" s="72">
        <v>0</v>
      </c>
      <c r="CC125" s="72">
        <v>0</v>
      </c>
      <c r="CD125" s="72">
        <v>0</v>
      </c>
      <c r="CE125" s="72">
        <v>0</v>
      </c>
      <c r="CF125" s="72">
        <v>0</v>
      </c>
      <c r="CG125" s="72">
        <v>0</v>
      </c>
      <c r="CH125" s="72">
        <v>0</v>
      </c>
      <c r="CI125" s="72">
        <v>0</v>
      </c>
      <c r="CJ125" s="72">
        <v>0</v>
      </c>
      <c r="CK125" s="72">
        <v>0</v>
      </c>
      <c r="CL125" s="72">
        <v>0</v>
      </c>
      <c r="CM125" s="72">
        <v>0</v>
      </c>
      <c r="CN125" s="72">
        <v>0</v>
      </c>
      <c r="CO125" s="72">
        <v>0</v>
      </c>
      <c r="CP125" s="72">
        <v>0</v>
      </c>
      <c r="CQ125" s="72">
        <v>0</v>
      </c>
      <c r="CR125" s="72">
        <v>0</v>
      </c>
      <c r="CS125" s="72">
        <v>0</v>
      </c>
      <c r="CT125" s="72">
        <v>0</v>
      </c>
      <c r="CU125" s="72">
        <v>0</v>
      </c>
      <c r="CV125" s="72">
        <v>0</v>
      </c>
      <c r="CW125" s="72">
        <v>0</v>
      </c>
      <c r="CX125" s="72">
        <v>0</v>
      </c>
      <c r="CY125" s="72">
        <v>0</v>
      </c>
      <c r="CZ125" s="72">
        <v>0</v>
      </c>
      <c r="DA125" s="72">
        <v>0</v>
      </c>
      <c r="DB125" s="72">
        <v>0</v>
      </c>
      <c r="DC125" s="72">
        <v>0</v>
      </c>
      <c r="DD125" s="72">
        <v>0</v>
      </c>
      <c r="DE125" s="72">
        <v>0</v>
      </c>
      <c r="DF125" s="72">
        <v>0</v>
      </c>
      <c r="DG125" s="72">
        <v>0</v>
      </c>
      <c r="DH125" s="72">
        <v>0</v>
      </c>
      <c r="DI125" s="72">
        <v>0</v>
      </c>
      <c r="DJ125" s="72">
        <v>0</v>
      </c>
      <c r="DK125" s="72">
        <v>0</v>
      </c>
      <c r="DL125" s="72">
        <v>0</v>
      </c>
      <c r="DM125" s="72">
        <v>0</v>
      </c>
      <c r="DN125" s="72">
        <v>0</v>
      </c>
      <c r="DO125" s="72">
        <v>0</v>
      </c>
      <c r="DP125" s="72">
        <v>0</v>
      </c>
      <c r="DQ125" s="72">
        <v>0</v>
      </c>
      <c r="DR125" s="72">
        <v>0</v>
      </c>
      <c r="DS125" s="72">
        <v>0</v>
      </c>
      <c r="DT125" s="72">
        <v>0</v>
      </c>
      <c r="DU125" s="72">
        <v>0</v>
      </c>
      <c r="DV125" s="72">
        <v>0</v>
      </c>
      <c r="DW125" s="72">
        <v>0</v>
      </c>
      <c r="DX125" s="72">
        <v>0</v>
      </c>
      <c r="DY125" s="72">
        <v>0</v>
      </c>
      <c r="DZ125" s="72">
        <v>0</v>
      </c>
      <c r="EA125" s="72">
        <v>0</v>
      </c>
      <c r="EB125" s="72">
        <v>0</v>
      </c>
      <c r="EC125" s="72">
        <v>0</v>
      </c>
      <c r="ED125" s="72">
        <v>0</v>
      </c>
      <c r="EE125" s="72">
        <v>0</v>
      </c>
      <c r="EF125" s="72">
        <v>0</v>
      </c>
      <c r="EG125" s="72">
        <v>0</v>
      </c>
      <c r="EH125" s="72">
        <v>0</v>
      </c>
      <c r="EI125" s="72">
        <v>0</v>
      </c>
      <c r="EJ125" s="72">
        <v>0</v>
      </c>
      <c r="EK125" s="72">
        <v>0</v>
      </c>
      <c r="EL125" s="72">
        <v>0</v>
      </c>
    </row>
    <row r="126" spans="1:142" s="6" customFormat="1" x14ac:dyDescent="0.35">
      <c r="A126" s="59">
        <f>Данные!A126</f>
        <v>4858</v>
      </c>
      <c r="B126" s="59">
        <f>Данные!B126</f>
        <v>2016</v>
      </c>
      <c r="C126" s="59" t="str">
        <f>Данные!C126</f>
        <v>компьютерных технологий и электронного обучения</v>
      </c>
      <c r="D126" s="59" t="str">
        <f>Данные!D126</f>
        <v>Гончарова Светлана Викторовна</v>
      </c>
      <c r="E126" s="59" t="str">
        <f>Данные!E126</f>
        <v>кандидат педагогических наук</v>
      </c>
      <c r="F126" s="59" t="str">
        <f>Данные!F126</f>
        <v>доцент</v>
      </c>
      <c r="G126" s="59">
        <f>Данные!G126</f>
        <v>1</v>
      </c>
      <c r="H126" s="59">
        <f>Данные!H126</f>
        <v>15177</v>
      </c>
      <c r="I126" s="59" t="str">
        <f>Данные!I126</f>
        <v>Модуль "Информационные технологии в математике и физике"</v>
      </c>
      <c r="J126" s="59">
        <f>Данные!J126</f>
        <v>0</v>
      </c>
      <c r="K126" s="59">
        <f>Данные!K126</f>
        <v>0</v>
      </c>
      <c r="L126" s="59">
        <f>Данные!L126</f>
        <v>0</v>
      </c>
      <c r="M126" s="60">
        <f t="shared" si="9"/>
        <v>0</v>
      </c>
      <c r="N126" s="60">
        <f t="shared" ca="1" si="10"/>
        <v>10.91</v>
      </c>
      <c r="O126" s="60">
        <f t="shared" ca="1" si="11"/>
        <v>6.75</v>
      </c>
      <c r="P126" s="60">
        <f t="shared" ca="1" si="12"/>
        <v>6.75</v>
      </c>
      <c r="Q126" s="54">
        <f>Данные!Q126</f>
        <v>0</v>
      </c>
      <c r="R126" s="54">
        <f>Данные!R126</f>
        <v>0</v>
      </c>
      <c r="S126" s="54">
        <f>Данные!S126</f>
        <v>0</v>
      </c>
      <c r="T126" s="54">
        <f>Данные!T126</f>
        <v>0</v>
      </c>
      <c r="U126" s="54">
        <f>Данные!U126</f>
        <v>0</v>
      </c>
      <c r="V126" s="54">
        <f>Данные!V126</f>
        <v>0</v>
      </c>
      <c r="W126" s="54">
        <f ca="1">Данные!W126</f>
        <v>27</v>
      </c>
      <c r="X126" s="54" t="str">
        <f ca="1">Данные!X126</f>
        <v>1</v>
      </c>
      <c r="Y126" s="54" t="str">
        <f ca="1">Данные!Y126</f>
        <v>2</v>
      </c>
      <c r="Z126" s="54">
        <f>Данные!Z126</f>
        <v>0</v>
      </c>
      <c r="AA126" s="54" t="str">
        <f>Данные!AA126</f>
        <v>осн</v>
      </c>
      <c r="AB126" s="101">
        <f t="shared" si="13"/>
        <v>800</v>
      </c>
      <c r="AC126" s="101" t="str">
        <f t="shared" si="14"/>
        <v>ИВТ (бак)</v>
      </c>
      <c r="AD126" s="101" t="str">
        <f t="shared" si="15"/>
        <v>2016–2017</v>
      </c>
      <c r="AE126" s="102">
        <f t="shared" ca="1" si="16"/>
        <v>24.41</v>
      </c>
      <c r="AF126" s="103">
        <f t="shared" ca="1" si="17"/>
        <v>3.0512500000000001E-2</v>
      </c>
      <c r="AG126" s="101"/>
      <c r="AH126" s="101"/>
      <c r="AI126"/>
      <c r="BQ126" s="72">
        <v>0</v>
      </c>
      <c r="BR126" s="72">
        <v>0</v>
      </c>
      <c r="BS126" s="72">
        <v>0</v>
      </c>
      <c r="BT126" s="72">
        <v>0</v>
      </c>
      <c r="BU126" s="72">
        <v>0</v>
      </c>
      <c r="BV126" s="72">
        <v>0</v>
      </c>
      <c r="BW126" s="72">
        <v>0</v>
      </c>
      <c r="BX126" s="72">
        <v>0</v>
      </c>
      <c r="BY126" s="72">
        <v>0</v>
      </c>
      <c r="BZ126" s="72">
        <v>0</v>
      </c>
      <c r="CA126" s="72">
        <v>0</v>
      </c>
      <c r="CB126" s="72">
        <v>0</v>
      </c>
      <c r="CC126" s="72">
        <v>0</v>
      </c>
      <c r="CD126" s="72">
        <v>0</v>
      </c>
      <c r="CE126" s="72">
        <v>0</v>
      </c>
      <c r="CF126" s="72">
        <v>0</v>
      </c>
      <c r="CG126" s="72">
        <v>0</v>
      </c>
      <c r="CH126" s="72">
        <v>0</v>
      </c>
      <c r="CI126" s="72">
        <v>0</v>
      </c>
      <c r="CJ126" s="72">
        <v>0</v>
      </c>
      <c r="CK126" s="72">
        <v>0</v>
      </c>
      <c r="CL126" s="72">
        <v>0</v>
      </c>
      <c r="CM126" s="72">
        <v>0</v>
      </c>
      <c r="CN126" s="72">
        <v>0</v>
      </c>
      <c r="CO126" s="72">
        <v>0</v>
      </c>
      <c r="CP126" s="72">
        <v>0</v>
      </c>
      <c r="CQ126" s="72">
        <v>0</v>
      </c>
      <c r="CR126" s="72">
        <v>0</v>
      </c>
      <c r="CS126" s="72">
        <v>0</v>
      </c>
      <c r="CT126" s="72">
        <v>0</v>
      </c>
      <c r="CU126" s="72">
        <v>0</v>
      </c>
      <c r="CV126" s="72">
        <v>0</v>
      </c>
      <c r="CW126" s="72">
        <v>0</v>
      </c>
      <c r="CX126" s="72">
        <v>0</v>
      </c>
      <c r="CY126" s="72">
        <v>0</v>
      </c>
      <c r="CZ126" s="72">
        <v>0</v>
      </c>
      <c r="DA126" s="72">
        <v>0</v>
      </c>
      <c r="DB126" s="72">
        <v>0</v>
      </c>
      <c r="DC126" s="72">
        <v>0</v>
      </c>
      <c r="DD126" s="72">
        <v>0</v>
      </c>
      <c r="DE126" s="72">
        <v>0</v>
      </c>
      <c r="DF126" s="72">
        <v>0</v>
      </c>
      <c r="DG126" s="72">
        <v>0</v>
      </c>
      <c r="DH126" s="72">
        <v>0</v>
      </c>
      <c r="DI126" s="72">
        <v>0</v>
      </c>
      <c r="DJ126" s="72">
        <v>0</v>
      </c>
      <c r="DK126" s="72">
        <v>0</v>
      </c>
      <c r="DL126" s="72">
        <v>0</v>
      </c>
      <c r="DM126" s="72">
        <v>0</v>
      </c>
      <c r="DN126" s="72">
        <v>0</v>
      </c>
      <c r="DO126" s="72">
        <v>0</v>
      </c>
      <c r="DP126" s="72">
        <v>0</v>
      </c>
      <c r="DQ126" s="72">
        <v>0</v>
      </c>
      <c r="DR126" s="72">
        <v>0</v>
      </c>
      <c r="DS126" s="72">
        <v>0</v>
      </c>
      <c r="DT126" s="72">
        <v>0</v>
      </c>
      <c r="DU126" s="72">
        <v>0</v>
      </c>
      <c r="DV126" s="72">
        <v>0</v>
      </c>
      <c r="DW126" s="72">
        <v>0</v>
      </c>
      <c r="DX126" s="72">
        <v>0</v>
      </c>
      <c r="DY126" s="72">
        <v>0</v>
      </c>
      <c r="DZ126" s="72">
        <v>0</v>
      </c>
      <c r="EA126" s="72">
        <v>0</v>
      </c>
      <c r="EB126" s="72">
        <v>0</v>
      </c>
      <c r="EC126" s="72">
        <v>0</v>
      </c>
      <c r="ED126" s="72">
        <v>0</v>
      </c>
      <c r="EE126" s="72">
        <v>0</v>
      </c>
      <c r="EF126" s="72">
        <v>0</v>
      </c>
      <c r="EG126" s="72">
        <v>0</v>
      </c>
      <c r="EH126" s="72">
        <v>0</v>
      </c>
      <c r="EI126" s="72">
        <v>0</v>
      </c>
      <c r="EJ126" s="72">
        <v>0</v>
      </c>
      <c r="EK126" s="72">
        <v>0</v>
      </c>
      <c r="EL126" s="72">
        <v>0</v>
      </c>
    </row>
    <row r="127" spans="1:142" s="6" customFormat="1" x14ac:dyDescent="0.35">
      <c r="A127" s="59">
        <f>Данные!A127</f>
        <v>4858</v>
      </c>
      <c r="B127" s="59">
        <f>Данные!B127</f>
        <v>2016</v>
      </c>
      <c r="C127" s="59" t="str">
        <f>Данные!C127</f>
        <v>компьютерных технологий и электронного обучения</v>
      </c>
      <c r="D127" s="59" t="str">
        <f>Данные!D127</f>
        <v>Гончарова Светлана Викторовна</v>
      </c>
      <c r="E127" s="59" t="str">
        <f>Данные!E127</f>
        <v>кандидат педагогических наук</v>
      </c>
      <c r="F127" s="59" t="str">
        <f>Данные!F127</f>
        <v>доцент</v>
      </c>
      <c r="G127" s="59">
        <f>Данные!G127</f>
        <v>1</v>
      </c>
      <c r="H127" s="59">
        <f>Данные!H127</f>
        <v>15177</v>
      </c>
      <c r="I127" s="59" t="str">
        <f>Данные!I127</f>
        <v>Модуль "Информационные технологии в математике и физике". Информационные технологии в физике</v>
      </c>
      <c r="J127" s="59">
        <f>Данные!J127</f>
        <v>0</v>
      </c>
      <c r="K127" s="59">
        <f>Данные!K127</f>
        <v>0</v>
      </c>
      <c r="L127" s="59">
        <f>Данные!L127</f>
        <v>48</v>
      </c>
      <c r="M127" s="60">
        <f t="shared" si="9"/>
        <v>4.8</v>
      </c>
      <c r="N127" s="60">
        <f t="shared" ca="1" si="10"/>
        <v>10.91</v>
      </c>
      <c r="O127" s="60">
        <f t="shared" ca="1" si="11"/>
        <v>6.75</v>
      </c>
      <c r="P127" s="60">
        <f t="shared" ca="1" si="12"/>
        <v>6.75</v>
      </c>
      <c r="Q127" s="54">
        <f>Данные!Q127</f>
        <v>0</v>
      </c>
      <c r="R127" s="54">
        <f>Данные!R127</f>
        <v>0</v>
      </c>
      <c r="S127" s="54">
        <f>Данные!S127</f>
        <v>0</v>
      </c>
      <c r="T127" s="54">
        <f>Данные!T127</f>
        <v>0</v>
      </c>
      <c r="U127" s="54">
        <f>Данные!U127</f>
        <v>0</v>
      </c>
      <c r="V127" s="54">
        <f>Данные!V127</f>
        <v>0</v>
      </c>
      <c r="W127" s="54">
        <f ca="1">Данные!W127</f>
        <v>27</v>
      </c>
      <c r="X127" s="54" t="str">
        <f ca="1">Данные!X127</f>
        <v>1</v>
      </c>
      <c r="Y127" s="54" t="str">
        <f ca="1">Данные!Y127</f>
        <v>2</v>
      </c>
      <c r="Z127" s="54">
        <f>Данные!Z127</f>
        <v>0</v>
      </c>
      <c r="AA127" s="54" t="str">
        <f>Данные!AA127</f>
        <v>осн</v>
      </c>
      <c r="AB127" s="101">
        <f t="shared" si="13"/>
        <v>800</v>
      </c>
      <c r="AC127" s="101" t="str">
        <f t="shared" si="14"/>
        <v>ИВТ (бак)</v>
      </c>
      <c r="AD127" s="101" t="str">
        <f t="shared" si="15"/>
        <v>2016–2017</v>
      </c>
      <c r="AE127" s="102">
        <f t="shared" ca="1" si="16"/>
        <v>77.209999999999994</v>
      </c>
      <c r="AF127" s="103">
        <f t="shared" ca="1" si="17"/>
        <v>9.6512499999999987E-2</v>
      </c>
      <c r="AG127" s="101"/>
      <c r="AH127" s="101"/>
      <c r="AI127"/>
      <c r="BQ127" s="72">
        <v>0</v>
      </c>
      <c r="BR127" s="72">
        <v>0</v>
      </c>
      <c r="BS127" s="72">
        <v>0</v>
      </c>
      <c r="BT127" s="72">
        <v>0</v>
      </c>
      <c r="BU127" s="72">
        <v>0</v>
      </c>
      <c r="BV127" s="72">
        <v>0</v>
      </c>
      <c r="BW127" s="72">
        <v>0</v>
      </c>
      <c r="BX127" s="72">
        <v>0</v>
      </c>
      <c r="BY127" s="72">
        <v>0</v>
      </c>
      <c r="BZ127" s="72">
        <v>0</v>
      </c>
      <c r="CA127" s="72">
        <v>0</v>
      </c>
      <c r="CB127" s="72">
        <v>0</v>
      </c>
      <c r="CC127" s="72">
        <v>0</v>
      </c>
      <c r="CD127" s="72">
        <v>0</v>
      </c>
      <c r="CE127" s="72">
        <v>0</v>
      </c>
      <c r="CF127" s="72">
        <v>0</v>
      </c>
      <c r="CG127" s="72">
        <v>0</v>
      </c>
      <c r="CH127" s="72">
        <v>0</v>
      </c>
      <c r="CI127" s="72">
        <v>0</v>
      </c>
      <c r="CJ127" s="72">
        <v>0</v>
      </c>
      <c r="CK127" s="72">
        <v>0</v>
      </c>
      <c r="CL127" s="72">
        <v>0</v>
      </c>
      <c r="CM127" s="72">
        <v>0</v>
      </c>
      <c r="CN127" s="72">
        <v>0</v>
      </c>
      <c r="CO127" s="72">
        <v>0</v>
      </c>
      <c r="CP127" s="72">
        <v>0</v>
      </c>
      <c r="CQ127" s="72">
        <v>0</v>
      </c>
      <c r="CR127" s="72">
        <v>0</v>
      </c>
      <c r="CS127" s="72">
        <v>0</v>
      </c>
      <c r="CT127" s="72">
        <v>0</v>
      </c>
      <c r="CU127" s="72">
        <v>0</v>
      </c>
      <c r="CV127" s="72">
        <v>0</v>
      </c>
      <c r="CW127" s="72">
        <v>0</v>
      </c>
      <c r="CX127" s="72">
        <v>0</v>
      </c>
      <c r="CY127" s="72">
        <v>0</v>
      </c>
      <c r="CZ127" s="72">
        <v>0</v>
      </c>
      <c r="DA127" s="72">
        <v>0</v>
      </c>
      <c r="DB127" s="72">
        <v>0</v>
      </c>
      <c r="DC127" s="72">
        <v>0</v>
      </c>
      <c r="DD127" s="72">
        <v>0</v>
      </c>
      <c r="DE127" s="72">
        <v>0</v>
      </c>
      <c r="DF127" s="72">
        <v>0</v>
      </c>
      <c r="DG127" s="72">
        <v>0</v>
      </c>
      <c r="DH127" s="72">
        <v>0</v>
      </c>
      <c r="DI127" s="72">
        <v>0</v>
      </c>
      <c r="DJ127" s="72">
        <v>0</v>
      </c>
      <c r="DK127" s="72">
        <v>0</v>
      </c>
      <c r="DL127" s="72">
        <v>0</v>
      </c>
      <c r="DM127" s="72">
        <v>0</v>
      </c>
      <c r="DN127" s="72">
        <v>0</v>
      </c>
      <c r="DO127" s="72">
        <v>0</v>
      </c>
      <c r="DP127" s="72">
        <v>0</v>
      </c>
      <c r="DQ127" s="72">
        <v>0</v>
      </c>
      <c r="DR127" s="72">
        <v>0</v>
      </c>
      <c r="DS127" s="72">
        <v>0</v>
      </c>
      <c r="DT127" s="72">
        <v>0</v>
      </c>
      <c r="DU127" s="72">
        <v>0</v>
      </c>
      <c r="DV127" s="72">
        <v>0</v>
      </c>
      <c r="DW127" s="72">
        <v>0</v>
      </c>
      <c r="DX127" s="72">
        <v>0</v>
      </c>
      <c r="DY127" s="72">
        <v>0</v>
      </c>
      <c r="DZ127" s="72">
        <v>0</v>
      </c>
      <c r="EA127" s="72">
        <v>0</v>
      </c>
      <c r="EB127" s="72">
        <v>0</v>
      </c>
      <c r="EC127" s="72">
        <v>0</v>
      </c>
      <c r="ED127" s="72">
        <v>0</v>
      </c>
      <c r="EE127" s="72">
        <v>0</v>
      </c>
      <c r="EF127" s="72">
        <v>0</v>
      </c>
      <c r="EG127" s="72">
        <v>0</v>
      </c>
      <c r="EH127" s="72">
        <v>0</v>
      </c>
      <c r="EI127" s="72">
        <v>0</v>
      </c>
      <c r="EJ127" s="72">
        <v>0</v>
      </c>
      <c r="EK127" s="72">
        <v>0</v>
      </c>
      <c r="EL127" s="72">
        <v>0</v>
      </c>
    </row>
    <row r="128" spans="1:142" s="6" customFormat="1" x14ac:dyDescent="0.35">
      <c r="A128" s="59">
        <f>Данные!A128</f>
        <v>4858</v>
      </c>
      <c r="B128" s="59">
        <f>Данные!B128</f>
        <v>2016</v>
      </c>
      <c r="C128" s="59" t="str">
        <f>Данные!C128</f>
        <v>компьютерных технологий и электронного обучения</v>
      </c>
      <c r="D128" s="59" t="str">
        <f>Данные!D128</f>
        <v>Гончарова Светлана Викторовна</v>
      </c>
      <c r="E128" s="59" t="str">
        <f>Данные!E128</f>
        <v>кандидат педагогических наук</v>
      </c>
      <c r="F128" s="59" t="str">
        <f>Данные!F128</f>
        <v>доцент</v>
      </c>
      <c r="G128" s="59">
        <f>Данные!G128</f>
        <v>1</v>
      </c>
      <c r="H128" s="59">
        <f>Данные!H128</f>
        <v>15177</v>
      </c>
      <c r="I128" s="59" t="str">
        <f>Данные!I128</f>
        <v>Программирование</v>
      </c>
      <c r="J128" s="59">
        <f>Данные!J128</f>
        <v>0</v>
      </c>
      <c r="K128" s="59">
        <f>Данные!K128</f>
        <v>0</v>
      </c>
      <c r="L128" s="59">
        <f>Данные!L128</f>
        <v>45</v>
      </c>
      <c r="M128" s="60">
        <f t="shared" si="9"/>
        <v>4.5</v>
      </c>
      <c r="N128" s="60">
        <f t="shared" ca="1" si="10"/>
        <v>10.91</v>
      </c>
      <c r="O128" s="60">
        <f t="shared" ca="1" si="11"/>
        <v>6.75</v>
      </c>
      <c r="P128" s="60">
        <f t="shared" ca="1" si="12"/>
        <v>6.75</v>
      </c>
      <c r="Q128" s="54">
        <f>Данные!Q128</f>
        <v>0</v>
      </c>
      <c r="R128" s="54">
        <f>Данные!R128</f>
        <v>0</v>
      </c>
      <c r="S128" s="54">
        <f>Данные!S128</f>
        <v>0</v>
      </c>
      <c r="T128" s="54">
        <f>Данные!T128</f>
        <v>0</v>
      </c>
      <c r="U128" s="54">
        <f>Данные!U128</f>
        <v>0</v>
      </c>
      <c r="V128" s="54">
        <f>Данные!V128</f>
        <v>0</v>
      </c>
      <c r="W128" s="54">
        <f ca="1">Данные!W128</f>
        <v>27</v>
      </c>
      <c r="X128" s="54" t="str">
        <f ca="1">Данные!X128</f>
        <v>1</v>
      </c>
      <c r="Y128" s="54" t="str">
        <f ca="1">Данные!Y128</f>
        <v>2</v>
      </c>
      <c r="Z128" s="54">
        <f>Данные!Z128</f>
        <v>0</v>
      </c>
      <c r="AA128" s="54" t="str">
        <f>Данные!AA128</f>
        <v>осн</v>
      </c>
      <c r="AB128" s="101">
        <f t="shared" si="13"/>
        <v>800</v>
      </c>
      <c r="AC128" s="101" t="str">
        <f t="shared" si="14"/>
        <v>ИВТ (бак)</v>
      </c>
      <c r="AD128" s="101" t="str">
        <f t="shared" si="15"/>
        <v>2016–2017</v>
      </c>
      <c r="AE128" s="102">
        <f t="shared" ca="1" si="16"/>
        <v>73.91</v>
      </c>
      <c r="AF128" s="103">
        <f t="shared" ca="1" si="17"/>
        <v>9.2387499999999997E-2</v>
      </c>
      <c r="AG128" s="101"/>
      <c r="AH128" s="101"/>
      <c r="AI128"/>
      <c r="BQ128" s="72">
        <v>0</v>
      </c>
      <c r="BR128" s="72">
        <v>0</v>
      </c>
      <c r="BS128" s="72">
        <v>0</v>
      </c>
      <c r="BT128" s="72">
        <v>0</v>
      </c>
      <c r="BU128" s="72">
        <v>0</v>
      </c>
      <c r="BV128" s="72">
        <v>0</v>
      </c>
      <c r="BW128" s="72">
        <v>0</v>
      </c>
      <c r="BX128" s="72">
        <v>0</v>
      </c>
      <c r="BY128" s="72">
        <v>0</v>
      </c>
      <c r="BZ128" s="72">
        <v>0</v>
      </c>
      <c r="CA128" s="72">
        <v>0</v>
      </c>
      <c r="CB128" s="72">
        <v>0</v>
      </c>
      <c r="CC128" s="72">
        <v>0</v>
      </c>
      <c r="CD128" s="72">
        <v>0</v>
      </c>
      <c r="CE128" s="72">
        <v>0</v>
      </c>
      <c r="CF128" s="72">
        <v>0</v>
      </c>
      <c r="CG128" s="72">
        <v>0</v>
      </c>
      <c r="CH128" s="72">
        <v>0</v>
      </c>
      <c r="CI128" s="72">
        <v>0</v>
      </c>
      <c r="CJ128" s="72">
        <v>0</v>
      </c>
      <c r="CK128" s="72">
        <v>0</v>
      </c>
      <c r="CL128" s="72">
        <v>0</v>
      </c>
      <c r="CM128" s="72">
        <v>0</v>
      </c>
      <c r="CN128" s="72">
        <v>0</v>
      </c>
      <c r="CO128" s="72">
        <v>0</v>
      </c>
      <c r="CP128" s="72">
        <v>0</v>
      </c>
      <c r="CQ128" s="72">
        <v>0</v>
      </c>
      <c r="CR128" s="72">
        <v>0</v>
      </c>
      <c r="CS128" s="72">
        <v>0</v>
      </c>
      <c r="CT128" s="72">
        <v>0</v>
      </c>
      <c r="CU128" s="72">
        <v>0</v>
      </c>
      <c r="CV128" s="72">
        <v>0</v>
      </c>
      <c r="CW128" s="72">
        <v>0</v>
      </c>
      <c r="CX128" s="72">
        <v>0</v>
      </c>
      <c r="CY128" s="72">
        <v>0</v>
      </c>
      <c r="CZ128" s="72">
        <v>0</v>
      </c>
      <c r="DA128" s="72">
        <v>0</v>
      </c>
      <c r="DB128" s="72">
        <v>0</v>
      </c>
      <c r="DC128" s="72">
        <v>0</v>
      </c>
      <c r="DD128" s="72">
        <v>0</v>
      </c>
      <c r="DE128" s="72">
        <v>0</v>
      </c>
      <c r="DF128" s="72">
        <v>0</v>
      </c>
      <c r="DG128" s="72">
        <v>0</v>
      </c>
      <c r="DH128" s="72">
        <v>0</v>
      </c>
      <c r="DI128" s="72">
        <v>0</v>
      </c>
      <c r="DJ128" s="72">
        <v>0</v>
      </c>
      <c r="DK128" s="72">
        <v>0</v>
      </c>
      <c r="DL128" s="72">
        <v>0</v>
      </c>
      <c r="DM128" s="72">
        <v>0</v>
      </c>
      <c r="DN128" s="72">
        <v>0</v>
      </c>
      <c r="DO128" s="72">
        <v>0</v>
      </c>
      <c r="DP128" s="72">
        <v>0</v>
      </c>
      <c r="DQ128" s="72">
        <v>0</v>
      </c>
      <c r="DR128" s="72">
        <v>0</v>
      </c>
      <c r="DS128" s="72">
        <v>0</v>
      </c>
      <c r="DT128" s="72">
        <v>0</v>
      </c>
      <c r="DU128" s="72">
        <v>0</v>
      </c>
      <c r="DV128" s="72">
        <v>0</v>
      </c>
      <c r="DW128" s="72">
        <v>0</v>
      </c>
      <c r="DX128" s="72">
        <v>0</v>
      </c>
      <c r="DY128" s="72">
        <v>0</v>
      </c>
      <c r="DZ128" s="72">
        <v>0</v>
      </c>
      <c r="EA128" s="72">
        <v>0</v>
      </c>
      <c r="EB128" s="72">
        <v>0</v>
      </c>
      <c r="EC128" s="72">
        <v>0</v>
      </c>
      <c r="ED128" s="72">
        <v>0</v>
      </c>
      <c r="EE128" s="72">
        <v>0</v>
      </c>
      <c r="EF128" s="72">
        <v>0</v>
      </c>
      <c r="EG128" s="72">
        <v>0</v>
      </c>
      <c r="EH128" s="72">
        <v>0</v>
      </c>
      <c r="EI128" s="72">
        <v>0</v>
      </c>
      <c r="EJ128" s="72">
        <v>0</v>
      </c>
      <c r="EK128" s="72">
        <v>0</v>
      </c>
      <c r="EL128" s="72">
        <v>0</v>
      </c>
    </row>
    <row r="129" spans="1:142" s="6" customFormat="1" x14ac:dyDescent="0.35">
      <c r="A129" s="59">
        <f>Данные!A129</f>
        <v>4858</v>
      </c>
      <c r="B129" s="59">
        <f>Данные!B129</f>
        <v>2016</v>
      </c>
      <c r="C129" s="59" t="str">
        <f>Данные!C129</f>
        <v>компьютерных технологий и электронного обучения</v>
      </c>
      <c r="D129" s="59" t="str">
        <f>Данные!D129</f>
        <v>Государев Илья Борисович</v>
      </c>
      <c r="E129" s="59" t="str">
        <f>Данные!E129</f>
        <v>кандидат педагогических наук</v>
      </c>
      <c r="F129" s="59" t="str">
        <f>Данные!F129</f>
        <v>доцент</v>
      </c>
      <c r="G129" s="59">
        <f>Данные!G129</f>
        <v>1</v>
      </c>
      <c r="H129" s="59">
        <f>Данные!H129</f>
        <v>15177</v>
      </c>
      <c r="I129" s="59" t="str">
        <f>Данные!I129</f>
        <v>Дисциплины (модули) по выбору. Информационные технологии в изучении иностранных языков</v>
      </c>
      <c r="J129" s="59">
        <f>Данные!J129</f>
        <v>6</v>
      </c>
      <c r="K129" s="59">
        <f>Данные!K129</f>
        <v>0</v>
      </c>
      <c r="L129" s="59">
        <f>Данные!L129</f>
        <v>24</v>
      </c>
      <c r="M129" s="60">
        <f t="shared" si="9"/>
        <v>3</v>
      </c>
      <c r="N129" s="60">
        <f t="shared" ca="1" si="10"/>
        <v>10.91</v>
      </c>
      <c r="O129" s="60">
        <f t="shared" ca="1" si="11"/>
        <v>6.75</v>
      </c>
      <c r="P129" s="60">
        <f t="shared" ca="1" si="12"/>
        <v>6.75</v>
      </c>
      <c r="Q129" s="54">
        <f>Данные!Q129</f>
        <v>0</v>
      </c>
      <c r="R129" s="54">
        <f>Данные!R129</f>
        <v>0</v>
      </c>
      <c r="S129" s="54">
        <f>Данные!S129</f>
        <v>0</v>
      </c>
      <c r="T129" s="54">
        <f>Данные!T129</f>
        <v>0</v>
      </c>
      <c r="U129" s="54">
        <f>Данные!U129</f>
        <v>0</v>
      </c>
      <c r="V129" s="54">
        <f>Данные!V129</f>
        <v>0</v>
      </c>
      <c r="W129" s="54">
        <f ca="1">Данные!W129</f>
        <v>27</v>
      </c>
      <c r="X129" s="54" t="str">
        <f ca="1">Данные!X129</f>
        <v>1</v>
      </c>
      <c r="Y129" s="54" t="str">
        <f ca="1">Данные!Y129</f>
        <v>2</v>
      </c>
      <c r="Z129" s="54">
        <f>Данные!Z129</f>
        <v>0</v>
      </c>
      <c r="AA129" s="54" t="str">
        <f>Данные!AA129</f>
        <v>осн</v>
      </c>
      <c r="AB129" s="101">
        <f t="shared" si="13"/>
        <v>800</v>
      </c>
      <c r="AC129" s="101" t="str">
        <f t="shared" si="14"/>
        <v>ИВТ (бак)</v>
      </c>
      <c r="AD129" s="101" t="str">
        <f t="shared" si="15"/>
        <v>2016–2017</v>
      </c>
      <c r="AE129" s="102">
        <f t="shared" ca="1" si="16"/>
        <v>57.41</v>
      </c>
      <c r="AF129" s="103">
        <f t="shared" ca="1" si="17"/>
        <v>7.1762499999999993E-2</v>
      </c>
      <c r="AG129" s="101"/>
      <c r="AH129" s="101"/>
      <c r="AI129"/>
      <c r="BQ129" s="72">
        <v>0</v>
      </c>
      <c r="BR129" s="72">
        <v>0</v>
      </c>
      <c r="BS129" s="72">
        <v>0</v>
      </c>
      <c r="BT129" s="72">
        <v>0</v>
      </c>
      <c r="BU129" s="72">
        <v>0</v>
      </c>
      <c r="BV129" s="72">
        <v>0</v>
      </c>
      <c r="BW129" s="72">
        <v>0</v>
      </c>
      <c r="BX129" s="72">
        <v>0</v>
      </c>
      <c r="BY129" s="72">
        <v>0</v>
      </c>
      <c r="BZ129" s="72">
        <v>0</v>
      </c>
      <c r="CA129" s="72">
        <v>0</v>
      </c>
      <c r="CB129" s="72">
        <v>0</v>
      </c>
      <c r="CC129" s="72">
        <v>0</v>
      </c>
      <c r="CD129" s="72">
        <v>0</v>
      </c>
      <c r="CE129" s="72">
        <v>0</v>
      </c>
      <c r="CF129" s="72">
        <v>0</v>
      </c>
      <c r="CG129" s="72">
        <v>0</v>
      </c>
      <c r="CH129" s="72">
        <v>0</v>
      </c>
      <c r="CI129" s="72">
        <v>0</v>
      </c>
      <c r="CJ129" s="72">
        <v>0</v>
      </c>
      <c r="CK129" s="72">
        <v>0</v>
      </c>
      <c r="CL129" s="72">
        <v>0</v>
      </c>
      <c r="CM129" s="72">
        <v>0</v>
      </c>
      <c r="CN129" s="72">
        <v>0</v>
      </c>
      <c r="CO129" s="72">
        <v>0</v>
      </c>
      <c r="CP129" s="72">
        <v>0</v>
      </c>
      <c r="CQ129" s="72">
        <v>0</v>
      </c>
      <c r="CR129" s="72">
        <v>0</v>
      </c>
      <c r="CS129" s="72">
        <v>0</v>
      </c>
      <c r="CT129" s="72">
        <v>0</v>
      </c>
      <c r="CU129" s="72">
        <v>0</v>
      </c>
      <c r="CV129" s="72">
        <v>0</v>
      </c>
      <c r="CW129" s="72">
        <v>0</v>
      </c>
      <c r="CX129" s="72">
        <v>0</v>
      </c>
      <c r="CY129" s="72">
        <v>0</v>
      </c>
      <c r="CZ129" s="72">
        <v>0</v>
      </c>
      <c r="DA129" s="72">
        <v>0</v>
      </c>
      <c r="DB129" s="72">
        <v>0</v>
      </c>
      <c r="DC129" s="72">
        <v>0</v>
      </c>
      <c r="DD129" s="72">
        <v>0</v>
      </c>
      <c r="DE129" s="72">
        <v>0</v>
      </c>
      <c r="DF129" s="72">
        <v>0</v>
      </c>
      <c r="DG129" s="72">
        <v>0</v>
      </c>
      <c r="DH129" s="72">
        <v>0</v>
      </c>
      <c r="DI129" s="72">
        <v>0</v>
      </c>
      <c r="DJ129" s="72">
        <v>0</v>
      </c>
      <c r="DK129" s="72">
        <v>0</v>
      </c>
      <c r="DL129" s="72">
        <v>0</v>
      </c>
      <c r="DM129" s="72">
        <v>0</v>
      </c>
      <c r="DN129" s="72">
        <v>0</v>
      </c>
      <c r="DO129" s="72">
        <v>0</v>
      </c>
      <c r="DP129" s="72">
        <v>0</v>
      </c>
      <c r="DQ129" s="72">
        <v>0</v>
      </c>
      <c r="DR129" s="72">
        <v>0</v>
      </c>
      <c r="DS129" s="72">
        <v>0</v>
      </c>
      <c r="DT129" s="72">
        <v>0</v>
      </c>
      <c r="DU129" s="72">
        <v>0</v>
      </c>
      <c r="DV129" s="72">
        <v>0</v>
      </c>
      <c r="DW129" s="72">
        <v>0</v>
      </c>
      <c r="DX129" s="72">
        <v>0</v>
      </c>
      <c r="DY129" s="72">
        <v>0</v>
      </c>
      <c r="DZ129" s="72">
        <v>0</v>
      </c>
      <c r="EA129" s="72">
        <v>0</v>
      </c>
      <c r="EB129" s="72">
        <v>0</v>
      </c>
      <c r="EC129" s="72">
        <v>0</v>
      </c>
      <c r="ED129" s="72">
        <v>0</v>
      </c>
      <c r="EE129" s="72">
        <v>0</v>
      </c>
      <c r="EF129" s="72">
        <v>0</v>
      </c>
      <c r="EG129" s="72">
        <v>0</v>
      </c>
      <c r="EH129" s="72">
        <v>0</v>
      </c>
      <c r="EI129" s="72">
        <v>0</v>
      </c>
      <c r="EJ129" s="72">
        <v>0</v>
      </c>
      <c r="EK129" s="72">
        <v>0</v>
      </c>
      <c r="EL129" s="72">
        <v>0</v>
      </c>
    </row>
    <row r="130" spans="1:142" s="6" customFormat="1" x14ac:dyDescent="0.35">
      <c r="A130" s="59">
        <f>Данные!A130</f>
        <v>4858</v>
      </c>
      <c r="B130" s="59">
        <f>Данные!B130</f>
        <v>2016</v>
      </c>
      <c r="C130" s="59" t="str">
        <f>Данные!C130</f>
        <v>компьютерных технологий и электронного обучения</v>
      </c>
      <c r="D130" s="59" t="str">
        <f>Данные!D130</f>
        <v>Государев Илья Борисович</v>
      </c>
      <c r="E130" s="59" t="str">
        <f>Данные!E130</f>
        <v>кандидат педагогических наук</v>
      </c>
      <c r="F130" s="59" t="str">
        <f>Данные!F130</f>
        <v>доцент</v>
      </c>
      <c r="G130" s="59">
        <f>Данные!G130</f>
        <v>1</v>
      </c>
      <c r="H130" s="59">
        <f>Данные!H130</f>
        <v>15177</v>
      </c>
      <c r="I130" s="59" t="str">
        <f>Данные!I130</f>
        <v>Модуль "Дискретные структуры". Дискретная математика для программистов</v>
      </c>
      <c r="J130" s="59">
        <f>Данные!J130</f>
        <v>18</v>
      </c>
      <c r="K130" s="59">
        <f>Данные!K130</f>
        <v>18</v>
      </c>
      <c r="L130" s="59">
        <f>Данные!L130</f>
        <v>0</v>
      </c>
      <c r="M130" s="60">
        <f t="shared" si="9"/>
        <v>3.6</v>
      </c>
      <c r="N130" s="60">
        <f t="shared" ca="1" si="10"/>
        <v>10.91</v>
      </c>
      <c r="O130" s="60">
        <f t="shared" ca="1" si="11"/>
        <v>6.75</v>
      </c>
      <c r="P130" s="60">
        <f t="shared" ca="1" si="12"/>
        <v>6.75</v>
      </c>
      <c r="Q130" s="54">
        <f>Данные!Q130</f>
        <v>0</v>
      </c>
      <c r="R130" s="54">
        <f>Данные!R130</f>
        <v>0</v>
      </c>
      <c r="S130" s="54">
        <f>Данные!S130</f>
        <v>0</v>
      </c>
      <c r="T130" s="54">
        <f>Данные!T130</f>
        <v>0</v>
      </c>
      <c r="U130" s="54">
        <f>Данные!U130</f>
        <v>0</v>
      </c>
      <c r="V130" s="54">
        <f>Данные!V130</f>
        <v>0</v>
      </c>
      <c r="W130" s="54">
        <f ca="1">Данные!W130</f>
        <v>27</v>
      </c>
      <c r="X130" s="54" t="str">
        <f ca="1">Данные!X130</f>
        <v>1</v>
      </c>
      <c r="Y130" s="54" t="str">
        <f ca="1">Данные!Y130</f>
        <v>2</v>
      </c>
      <c r="Z130" s="54">
        <f>Данные!Z130</f>
        <v>0</v>
      </c>
      <c r="AA130" s="54" t="str">
        <f>Данные!AA130</f>
        <v>доп</v>
      </c>
      <c r="AB130" s="101">
        <f t="shared" si="13"/>
        <v>800</v>
      </c>
      <c r="AC130" s="101" t="str">
        <f t="shared" si="14"/>
        <v>ИВТ (бак)</v>
      </c>
      <c r="AD130" s="101" t="str">
        <f t="shared" si="15"/>
        <v>2016–2017</v>
      </c>
      <c r="AE130" s="102">
        <f t="shared" ca="1" si="16"/>
        <v>64.010000000000005</v>
      </c>
      <c r="AF130" s="103">
        <f t="shared" ca="1" si="17"/>
        <v>8.00125E-2</v>
      </c>
      <c r="AG130" s="101"/>
      <c r="AH130" s="101"/>
      <c r="AI130"/>
      <c r="BQ130" s="72">
        <v>0</v>
      </c>
      <c r="BR130" s="72">
        <v>0</v>
      </c>
      <c r="BS130" s="72">
        <v>0</v>
      </c>
      <c r="BT130" s="72">
        <v>0</v>
      </c>
      <c r="BU130" s="72">
        <v>0</v>
      </c>
      <c r="BV130" s="72">
        <v>0</v>
      </c>
      <c r="BW130" s="72">
        <v>0</v>
      </c>
      <c r="BX130" s="72">
        <v>0</v>
      </c>
      <c r="BY130" s="72">
        <v>0</v>
      </c>
      <c r="BZ130" s="72">
        <v>0</v>
      </c>
      <c r="CA130" s="72">
        <v>0</v>
      </c>
      <c r="CB130" s="72">
        <v>0</v>
      </c>
      <c r="CC130" s="72">
        <v>0</v>
      </c>
      <c r="CD130" s="72">
        <v>0</v>
      </c>
      <c r="CE130" s="72">
        <v>0</v>
      </c>
      <c r="CF130" s="72">
        <v>0</v>
      </c>
      <c r="CG130" s="72">
        <v>0</v>
      </c>
      <c r="CH130" s="72">
        <v>0</v>
      </c>
      <c r="CI130" s="72">
        <v>0</v>
      </c>
      <c r="CJ130" s="72">
        <v>0</v>
      </c>
      <c r="CK130" s="72">
        <v>0</v>
      </c>
      <c r="CL130" s="72">
        <v>0</v>
      </c>
      <c r="CM130" s="72">
        <v>0</v>
      </c>
      <c r="CN130" s="72">
        <v>0</v>
      </c>
      <c r="CO130" s="72">
        <v>0</v>
      </c>
      <c r="CP130" s="72">
        <v>0</v>
      </c>
      <c r="CQ130" s="72">
        <v>0</v>
      </c>
      <c r="CR130" s="72">
        <v>0</v>
      </c>
      <c r="CS130" s="72">
        <v>0</v>
      </c>
      <c r="CT130" s="72">
        <v>0</v>
      </c>
      <c r="CU130" s="72">
        <v>0</v>
      </c>
      <c r="CV130" s="72">
        <v>0</v>
      </c>
      <c r="CW130" s="72">
        <v>0</v>
      </c>
      <c r="CX130" s="72">
        <v>0</v>
      </c>
      <c r="CY130" s="72">
        <v>0</v>
      </c>
      <c r="CZ130" s="72">
        <v>0</v>
      </c>
      <c r="DA130" s="72">
        <v>0</v>
      </c>
      <c r="DB130" s="72">
        <v>0</v>
      </c>
      <c r="DC130" s="72">
        <v>0</v>
      </c>
      <c r="DD130" s="72">
        <v>0</v>
      </c>
      <c r="DE130" s="72">
        <v>0</v>
      </c>
      <c r="DF130" s="72">
        <v>0</v>
      </c>
      <c r="DG130" s="72">
        <v>0</v>
      </c>
      <c r="DH130" s="72">
        <v>0</v>
      </c>
      <c r="DI130" s="72">
        <v>0</v>
      </c>
      <c r="DJ130" s="72">
        <v>0</v>
      </c>
      <c r="DK130" s="72">
        <v>0</v>
      </c>
      <c r="DL130" s="72">
        <v>0</v>
      </c>
      <c r="DM130" s="72">
        <v>0</v>
      </c>
      <c r="DN130" s="72">
        <v>0</v>
      </c>
      <c r="DO130" s="72">
        <v>0</v>
      </c>
      <c r="DP130" s="72">
        <v>0</v>
      </c>
      <c r="DQ130" s="72">
        <v>0</v>
      </c>
      <c r="DR130" s="72">
        <v>0</v>
      </c>
      <c r="DS130" s="72">
        <v>0</v>
      </c>
      <c r="DT130" s="72">
        <v>0</v>
      </c>
      <c r="DU130" s="72">
        <v>0</v>
      </c>
      <c r="DV130" s="72">
        <v>0</v>
      </c>
      <c r="DW130" s="72">
        <v>0</v>
      </c>
      <c r="DX130" s="72">
        <v>0</v>
      </c>
      <c r="DY130" s="72">
        <v>0</v>
      </c>
      <c r="DZ130" s="72">
        <v>0</v>
      </c>
      <c r="EA130" s="72">
        <v>0</v>
      </c>
      <c r="EB130" s="72">
        <v>0</v>
      </c>
      <c r="EC130" s="72">
        <v>0</v>
      </c>
      <c r="ED130" s="72">
        <v>0</v>
      </c>
      <c r="EE130" s="72">
        <v>0</v>
      </c>
      <c r="EF130" s="72">
        <v>0</v>
      </c>
      <c r="EG130" s="72">
        <v>0</v>
      </c>
      <c r="EH130" s="72">
        <v>0</v>
      </c>
      <c r="EI130" s="72">
        <v>0</v>
      </c>
      <c r="EJ130" s="72">
        <v>0</v>
      </c>
      <c r="EK130" s="72">
        <v>0</v>
      </c>
      <c r="EL130" s="72">
        <v>0</v>
      </c>
    </row>
    <row r="131" spans="1:142" s="6" customFormat="1" x14ac:dyDescent="0.35">
      <c r="A131" s="59">
        <f>Данные!A131</f>
        <v>4858</v>
      </c>
      <c r="B131" s="59">
        <f>Данные!B131</f>
        <v>2016</v>
      </c>
      <c r="C131" s="59" t="str">
        <f>Данные!C131</f>
        <v>компьютерных технологий и электронного обучения</v>
      </c>
      <c r="D131" s="59" t="str">
        <f>Данные!D131</f>
        <v>Государев Илья Борисович</v>
      </c>
      <c r="E131" s="59" t="str">
        <f>Данные!E131</f>
        <v>кандидат педагогических наук</v>
      </c>
      <c r="F131" s="59" t="str">
        <f>Данные!F131</f>
        <v>доцент</v>
      </c>
      <c r="G131" s="59">
        <f>Данные!G131</f>
        <v>1</v>
      </c>
      <c r="H131" s="59">
        <f>Данные!H131</f>
        <v>15177</v>
      </c>
      <c r="I131" s="59" t="str">
        <f>Данные!I131</f>
        <v>Модуль "Дискретные структуры". Дисциплины и курсы по выбору. Алгоритмы и анализ сложности</v>
      </c>
      <c r="J131" s="59">
        <f>Данные!J131</f>
        <v>9</v>
      </c>
      <c r="K131" s="59">
        <f>Данные!K131</f>
        <v>9</v>
      </c>
      <c r="L131" s="59">
        <f>Данные!L131</f>
        <v>0</v>
      </c>
      <c r="M131" s="60">
        <f t="shared" si="9"/>
        <v>1.8</v>
      </c>
      <c r="N131" s="60">
        <f t="shared" ca="1" si="10"/>
        <v>10.91</v>
      </c>
      <c r="O131" s="60">
        <f t="shared" ca="1" si="11"/>
        <v>6.75</v>
      </c>
      <c r="P131" s="60">
        <f t="shared" ca="1" si="12"/>
        <v>6.75</v>
      </c>
      <c r="Q131" s="54">
        <f>Данные!Q131</f>
        <v>0</v>
      </c>
      <c r="R131" s="54">
        <f>Данные!R131</f>
        <v>0</v>
      </c>
      <c r="S131" s="54">
        <f>Данные!S131</f>
        <v>0</v>
      </c>
      <c r="T131" s="54">
        <f>Данные!T131</f>
        <v>0</v>
      </c>
      <c r="U131" s="54">
        <f>Данные!U131</f>
        <v>0</v>
      </c>
      <c r="V131" s="54">
        <f>Данные!V131</f>
        <v>0</v>
      </c>
      <c r="W131" s="54">
        <f ca="1">Данные!W131</f>
        <v>27</v>
      </c>
      <c r="X131" s="54" t="str">
        <f ca="1">Данные!X131</f>
        <v>1</v>
      </c>
      <c r="Y131" s="54" t="str">
        <f ca="1">Данные!Y131</f>
        <v>2</v>
      </c>
      <c r="Z131" s="54">
        <f>Данные!Z131</f>
        <v>0</v>
      </c>
      <c r="AA131" s="54" t="str">
        <f>Данные!AA131</f>
        <v>доп</v>
      </c>
      <c r="AB131" s="101">
        <f t="shared" si="13"/>
        <v>800</v>
      </c>
      <c r="AC131" s="101" t="str">
        <f t="shared" si="14"/>
        <v>ИВТ (бак)</v>
      </c>
      <c r="AD131" s="101" t="str">
        <f t="shared" si="15"/>
        <v>2016–2017</v>
      </c>
      <c r="AE131" s="102">
        <f t="shared" ca="1" si="16"/>
        <v>44.21</v>
      </c>
      <c r="AF131" s="103">
        <f t="shared" ca="1" si="17"/>
        <v>5.5262499999999999E-2</v>
      </c>
      <c r="AG131" s="101"/>
      <c r="AH131" s="101"/>
      <c r="AI131"/>
      <c r="BQ131" s="72">
        <v>0</v>
      </c>
      <c r="BR131" s="72">
        <v>0</v>
      </c>
      <c r="BS131" s="72">
        <v>0</v>
      </c>
      <c r="BT131" s="72">
        <v>0</v>
      </c>
      <c r="BU131" s="72">
        <v>0</v>
      </c>
      <c r="BV131" s="72">
        <v>0</v>
      </c>
      <c r="BW131" s="72">
        <v>0</v>
      </c>
      <c r="BX131" s="72">
        <v>0</v>
      </c>
      <c r="BY131" s="72">
        <v>0</v>
      </c>
      <c r="BZ131" s="72">
        <v>0</v>
      </c>
      <c r="CA131" s="72">
        <v>0</v>
      </c>
      <c r="CB131" s="72">
        <v>0</v>
      </c>
      <c r="CC131" s="72">
        <v>0</v>
      </c>
      <c r="CD131" s="72">
        <v>0</v>
      </c>
      <c r="CE131" s="72">
        <v>0</v>
      </c>
      <c r="CF131" s="72">
        <v>0</v>
      </c>
      <c r="CG131" s="72">
        <v>0</v>
      </c>
      <c r="CH131" s="72">
        <v>0</v>
      </c>
      <c r="CI131" s="72">
        <v>0</v>
      </c>
      <c r="CJ131" s="72">
        <v>0</v>
      </c>
      <c r="CK131" s="72">
        <v>0</v>
      </c>
      <c r="CL131" s="72">
        <v>0</v>
      </c>
      <c r="CM131" s="72">
        <v>0</v>
      </c>
      <c r="CN131" s="72">
        <v>0</v>
      </c>
      <c r="CO131" s="72">
        <v>0</v>
      </c>
      <c r="CP131" s="72">
        <v>0</v>
      </c>
      <c r="CQ131" s="72">
        <v>0</v>
      </c>
      <c r="CR131" s="72">
        <v>0</v>
      </c>
      <c r="CS131" s="72">
        <v>0</v>
      </c>
      <c r="CT131" s="72">
        <v>0</v>
      </c>
      <c r="CU131" s="72">
        <v>0</v>
      </c>
      <c r="CV131" s="72">
        <v>0</v>
      </c>
      <c r="CW131" s="72">
        <v>0</v>
      </c>
      <c r="CX131" s="72">
        <v>0</v>
      </c>
      <c r="CY131" s="72">
        <v>0</v>
      </c>
      <c r="CZ131" s="72">
        <v>0</v>
      </c>
      <c r="DA131" s="72">
        <v>0</v>
      </c>
      <c r="DB131" s="72">
        <v>0</v>
      </c>
      <c r="DC131" s="72">
        <v>0</v>
      </c>
      <c r="DD131" s="72">
        <v>0</v>
      </c>
      <c r="DE131" s="72">
        <v>0</v>
      </c>
      <c r="DF131" s="72">
        <v>0</v>
      </c>
      <c r="DG131" s="72">
        <v>0</v>
      </c>
      <c r="DH131" s="72">
        <v>0</v>
      </c>
      <c r="DI131" s="72">
        <v>0</v>
      </c>
      <c r="DJ131" s="72">
        <v>0</v>
      </c>
      <c r="DK131" s="72">
        <v>0</v>
      </c>
      <c r="DL131" s="72">
        <v>0</v>
      </c>
      <c r="DM131" s="72">
        <v>0</v>
      </c>
      <c r="DN131" s="72">
        <v>0</v>
      </c>
      <c r="DO131" s="72">
        <v>0</v>
      </c>
      <c r="DP131" s="72">
        <v>0</v>
      </c>
      <c r="DQ131" s="72">
        <v>0</v>
      </c>
      <c r="DR131" s="72">
        <v>0</v>
      </c>
      <c r="DS131" s="72">
        <v>0</v>
      </c>
      <c r="DT131" s="72">
        <v>0</v>
      </c>
      <c r="DU131" s="72">
        <v>0</v>
      </c>
      <c r="DV131" s="72">
        <v>0</v>
      </c>
      <c r="DW131" s="72">
        <v>0</v>
      </c>
      <c r="DX131" s="72">
        <v>0</v>
      </c>
      <c r="DY131" s="72">
        <v>0</v>
      </c>
      <c r="DZ131" s="72">
        <v>0</v>
      </c>
      <c r="EA131" s="72">
        <v>0</v>
      </c>
      <c r="EB131" s="72">
        <v>0</v>
      </c>
      <c r="EC131" s="72">
        <v>0</v>
      </c>
      <c r="ED131" s="72">
        <v>0</v>
      </c>
      <c r="EE131" s="72">
        <v>0</v>
      </c>
      <c r="EF131" s="72">
        <v>0</v>
      </c>
      <c r="EG131" s="72">
        <v>0</v>
      </c>
      <c r="EH131" s="72">
        <v>0</v>
      </c>
      <c r="EI131" s="72">
        <v>0</v>
      </c>
      <c r="EJ131" s="72">
        <v>0</v>
      </c>
      <c r="EK131" s="72">
        <v>0</v>
      </c>
      <c r="EL131" s="72">
        <v>0</v>
      </c>
    </row>
    <row r="132" spans="1:142" s="6" customFormat="1" x14ac:dyDescent="0.35">
      <c r="A132" s="59">
        <f>Данные!A132</f>
        <v>4858</v>
      </c>
      <c r="B132" s="59">
        <f>Данные!B132</f>
        <v>2016</v>
      </c>
      <c r="C132" s="59" t="str">
        <f>Данные!C132</f>
        <v>компьютерных технологий и электронного обучения</v>
      </c>
      <c r="D132" s="59" t="str">
        <f>Данные!D132</f>
        <v>Государев Илья Борисович</v>
      </c>
      <c r="E132" s="59" t="str">
        <f>Данные!E132</f>
        <v>кандидат педагогических наук</v>
      </c>
      <c r="F132" s="59" t="str">
        <f>Данные!F132</f>
        <v>доцент</v>
      </c>
      <c r="G132" s="59">
        <f>Данные!G132</f>
        <v>1</v>
      </c>
      <c r="H132" s="59">
        <f>Данные!H132</f>
        <v>15177</v>
      </c>
      <c r="I132" s="59" t="str">
        <f>Данные!I132</f>
        <v>Модуль "Дискретные структуры". Модуль"Дискретные структуры"</v>
      </c>
      <c r="J132" s="59">
        <f>Данные!J132</f>
        <v>0</v>
      </c>
      <c r="K132" s="59">
        <f>Данные!K132</f>
        <v>0</v>
      </c>
      <c r="L132" s="59">
        <f>Данные!L132</f>
        <v>0</v>
      </c>
      <c r="M132" s="60">
        <f t="shared" ref="M132:M195" si="18">SUM(J132:L132)/10</f>
        <v>0</v>
      </c>
      <c r="N132" s="60">
        <f t="shared" ref="N132:N195" ca="1" si="19">2+(0.33*W132)</f>
        <v>10.91</v>
      </c>
      <c r="O132" s="60">
        <f t="shared" ref="O132:O195" ca="1" si="20">0.25*W132</f>
        <v>6.75</v>
      </c>
      <c r="P132" s="60">
        <f t="shared" ref="P132:P195" ca="1" si="21">0.25*W132</f>
        <v>6.75</v>
      </c>
      <c r="Q132" s="54">
        <f>Данные!Q132</f>
        <v>0</v>
      </c>
      <c r="R132" s="54">
        <f>Данные!R132</f>
        <v>0</v>
      </c>
      <c r="S132" s="54">
        <f>Данные!S132</f>
        <v>0</v>
      </c>
      <c r="T132" s="54">
        <f>Данные!T132</f>
        <v>0</v>
      </c>
      <c r="U132" s="54">
        <f>Данные!U132</f>
        <v>0</v>
      </c>
      <c r="V132" s="54">
        <f>Данные!V132</f>
        <v>0</v>
      </c>
      <c r="W132" s="54">
        <f ca="1">Данные!W132</f>
        <v>27</v>
      </c>
      <c r="X132" s="54" t="str">
        <f ca="1">Данные!X132</f>
        <v>1</v>
      </c>
      <c r="Y132" s="54" t="str">
        <f ca="1">Данные!Y132</f>
        <v>2</v>
      </c>
      <c r="Z132" s="54">
        <f>Данные!Z132</f>
        <v>0</v>
      </c>
      <c r="AA132" s="54" t="str">
        <f>Данные!AA132</f>
        <v>осн</v>
      </c>
      <c r="AB132" s="101">
        <f t="shared" ref="AB132:AB195" si="22">VLOOKUP(F132, $BN$3:$BO$15, 2, 0)</f>
        <v>800</v>
      </c>
      <c r="AC132" s="101" t="str">
        <f t="shared" ref="AC132:AC195" si="23">IF(IFERROR(MATCH(H132, $AK$4:$BL$4, 0), 0)&gt;=1, "ИВТ (бак)", IF(IFERROR(MATCH(H132, $AK$5:$BL$5, 0), 0)&gt;=1, "КЭО (маг)", ""))</f>
        <v>ИВТ (бак)</v>
      </c>
      <c r="AD132" s="101" t="str">
        <f t="shared" ref="AD132:AD195" si="24">IF(IFERROR(MATCH(H132, $AK$4:$AN$4, 0), 0)=1, "2015–2016", IF(IFERROR(MATCH(H132, $AO$4:$AR$4, 0), 0)=1, "2016–2017", IF(IFERROR(MATCH(H132, $AS$4:$AV$4, 0), 0)=1, "2017–2018", IF(IFERROR(MATCH(H132, $AW$4:$AZ$4, 0), 0)=1, "2018–2019", IF(IFERROR(MATCH(H132, $BA$4:$BD$4, 0), 0)=1, "2019–2020", IF(IFERROR(MATCH(H132, $BE$4:$BH$4, 0), 0)=1, "2020–2021", IF(IFERROR(MATCH(H132, $BI$4:$BL$4, 0), 0)=1, "2021–2022", "")))))))</f>
        <v>2016–2017</v>
      </c>
      <c r="AE132" s="102">
        <f t="shared" ref="AE132:AE195" ca="1" si="25">SUM(J132:V132)</f>
        <v>24.41</v>
      </c>
      <c r="AF132" s="103">
        <f t="shared" ca="1" si="17"/>
        <v>3.0512500000000001E-2</v>
      </c>
      <c r="AG132" s="101"/>
      <c r="AH132" s="101"/>
      <c r="AI132"/>
      <c r="BQ132" s="72">
        <v>0</v>
      </c>
      <c r="BR132" s="72">
        <v>0</v>
      </c>
      <c r="BS132" s="72">
        <v>0</v>
      </c>
      <c r="BT132" s="72">
        <v>0</v>
      </c>
      <c r="BU132" s="72">
        <v>0</v>
      </c>
      <c r="BV132" s="72">
        <v>0</v>
      </c>
      <c r="BW132" s="72">
        <v>0</v>
      </c>
      <c r="BX132" s="72">
        <v>0</v>
      </c>
      <c r="BY132" s="72">
        <v>0</v>
      </c>
      <c r="BZ132" s="72">
        <v>0</v>
      </c>
      <c r="CA132" s="72">
        <v>0</v>
      </c>
      <c r="CB132" s="72">
        <v>0</v>
      </c>
      <c r="CC132" s="72">
        <v>0</v>
      </c>
      <c r="CD132" s="72">
        <v>0</v>
      </c>
      <c r="CE132" s="72">
        <v>0</v>
      </c>
      <c r="CF132" s="72">
        <v>0</v>
      </c>
      <c r="CG132" s="72">
        <v>0</v>
      </c>
      <c r="CH132" s="72">
        <v>0</v>
      </c>
      <c r="CI132" s="72">
        <v>0</v>
      </c>
      <c r="CJ132" s="72">
        <v>0</v>
      </c>
      <c r="CK132" s="72">
        <v>0</v>
      </c>
      <c r="CL132" s="72">
        <v>0</v>
      </c>
      <c r="CM132" s="72">
        <v>0</v>
      </c>
      <c r="CN132" s="72">
        <v>0</v>
      </c>
      <c r="CO132" s="72">
        <v>0</v>
      </c>
      <c r="CP132" s="72">
        <v>0</v>
      </c>
      <c r="CQ132" s="72">
        <v>0</v>
      </c>
      <c r="CR132" s="72">
        <v>0</v>
      </c>
      <c r="CS132" s="72">
        <v>0</v>
      </c>
      <c r="CT132" s="72">
        <v>0</v>
      </c>
      <c r="CU132" s="72">
        <v>0</v>
      </c>
      <c r="CV132" s="72">
        <v>0</v>
      </c>
      <c r="CW132" s="72">
        <v>0</v>
      </c>
      <c r="CX132" s="72">
        <v>0</v>
      </c>
      <c r="CY132" s="72">
        <v>0</v>
      </c>
      <c r="CZ132" s="72">
        <v>0</v>
      </c>
      <c r="DA132" s="72">
        <v>0</v>
      </c>
      <c r="DB132" s="72">
        <v>0</v>
      </c>
      <c r="DC132" s="72">
        <v>0</v>
      </c>
      <c r="DD132" s="72">
        <v>0</v>
      </c>
      <c r="DE132" s="72">
        <v>0</v>
      </c>
      <c r="DF132" s="72">
        <v>0</v>
      </c>
      <c r="DG132" s="72">
        <v>0</v>
      </c>
      <c r="DH132" s="72">
        <v>0</v>
      </c>
      <c r="DI132" s="72">
        <v>0</v>
      </c>
      <c r="DJ132" s="72">
        <v>0</v>
      </c>
      <c r="DK132" s="72">
        <v>0</v>
      </c>
      <c r="DL132" s="72">
        <v>0</v>
      </c>
      <c r="DM132" s="72">
        <v>0</v>
      </c>
      <c r="DN132" s="72">
        <v>0</v>
      </c>
      <c r="DO132" s="72">
        <v>0</v>
      </c>
      <c r="DP132" s="72">
        <v>0</v>
      </c>
      <c r="DQ132" s="72">
        <v>0</v>
      </c>
      <c r="DR132" s="72">
        <v>0</v>
      </c>
      <c r="DS132" s="72">
        <v>0</v>
      </c>
      <c r="DT132" s="72">
        <v>0</v>
      </c>
      <c r="DU132" s="72">
        <v>0</v>
      </c>
      <c r="DV132" s="72">
        <v>0</v>
      </c>
      <c r="DW132" s="72">
        <v>0</v>
      </c>
      <c r="DX132" s="72">
        <v>0</v>
      </c>
      <c r="DY132" s="72">
        <v>0</v>
      </c>
      <c r="DZ132" s="72">
        <v>0</v>
      </c>
      <c r="EA132" s="72">
        <v>0</v>
      </c>
      <c r="EB132" s="72">
        <v>0</v>
      </c>
      <c r="EC132" s="72">
        <v>0</v>
      </c>
      <c r="ED132" s="72">
        <v>0</v>
      </c>
      <c r="EE132" s="72">
        <v>0</v>
      </c>
      <c r="EF132" s="72">
        <v>0</v>
      </c>
      <c r="EG132" s="72">
        <v>0</v>
      </c>
      <c r="EH132" s="72">
        <v>0</v>
      </c>
      <c r="EI132" s="72">
        <v>0</v>
      </c>
      <c r="EJ132" s="72">
        <v>0</v>
      </c>
      <c r="EK132" s="72">
        <v>0</v>
      </c>
      <c r="EL132" s="72">
        <v>0</v>
      </c>
    </row>
    <row r="133" spans="1:142" s="6" customFormat="1" x14ac:dyDescent="0.35">
      <c r="A133" s="59">
        <f>Данные!A133</f>
        <v>4858</v>
      </c>
      <c r="B133" s="59">
        <f>Данные!B133</f>
        <v>2016</v>
      </c>
      <c r="C133" s="59" t="str">
        <f>Данные!C133</f>
        <v>компьютерных технологий и электронного обучения</v>
      </c>
      <c r="D133" s="59" t="str">
        <f>Данные!D133</f>
        <v>Ильина Татьяна Сергеевна</v>
      </c>
      <c r="E133" s="59" t="str">
        <f>Данные!E133</f>
        <v>нет</v>
      </c>
      <c r="F133" s="59" t="str">
        <f>Данные!F133</f>
        <v>старший преподаватель</v>
      </c>
      <c r="G133" s="59">
        <f>Данные!G133</f>
        <v>1</v>
      </c>
      <c r="H133" s="59">
        <f>Данные!H133</f>
        <v>15177</v>
      </c>
      <c r="I133" s="59" t="str">
        <f>Данные!I133</f>
        <v>Информатика</v>
      </c>
      <c r="J133" s="59">
        <f>Данные!J133</f>
        <v>0</v>
      </c>
      <c r="K133" s="59">
        <f>Данные!K133</f>
        <v>0</v>
      </c>
      <c r="L133" s="59">
        <f>Данные!L133</f>
        <v>72</v>
      </c>
      <c r="M133" s="60">
        <f t="shared" si="18"/>
        <v>7.2</v>
      </c>
      <c r="N133" s="60">
        <f t="shared" ca="1" si="19"/>
        <v>10.91</v>
      </c>
      <c r="O133" s="60">
        <f t="shared" ca="1" si="20"/>
        <v>6.75</v>
      </c>
      <c r="P133" s="60">
        <f t="shared" ca="1" si="21"/>
        <v>6.75</v>
      </c>
      <c r="Q133" s="54">
        <f>Данные!Q133</f>
        <v>0</v>
      </c>
      <c r="R133" s="54">
        <f>Данные!R133</f>
        <v>0</v>
      </c>
      <c r="S133" s="54">
        <f>Данные!S133</f>
        <v>0</v>
      </c>
      <c r="T133" s="54">
        <f>Данные!T133</f>
        <v>0</v>
      </c>
      <c r="U133" s="54">
        <f>Данные!U133</f>
        <v>0</v>
      </c>
      <c r="V133" s="54">
        <f>Данные!V133</f>
        <v>0</v>
      </c>
      <c r="W133" s="54">
        <f ca="1">Данные!W133</f>
        <v>27</v>
      </c>
      <c r="X133" s="54" t="str">
        <f ca="1">Данные!X133</f>
        <v>1</v>
      </c>
      <c r="Y133" s="54" t="str">
        <f ca="1">Данные!Y133</f>
        <v>2</v>
      </c>
      <c r="Z133" s="54">
        <f>Данные!Z133</f>
        <v>0</v>
      </c>
      <c r="AA133" s="54" t="str">
        <f>Данные!AA133</f>
        <v>осн</v>
      </c>
      <c r="AB133" s="101">
        <f t="shared" si="22"/>
        <v>850</v>
      </c>
      <c r="AC133" s="101" t="str">
        <f t="shared" si="23"/>
        <v>ИВТ (бак)</v>
      </c>
      <c r="AD133" s="101" t="str">
        <f t="shared" si="24"/>
        <v>2016–2017</v>
      </c>
      <c r="AE133" s="102">
        <f t="shared" ca="1" si="25"/>
        <v>103.61</v>
      </c>
      <c r="AF133" s="103">
        <f t="shared" ref="AF133:AF196" ca="1" si="26">AE133/AB133</f>
        <v>0.12189411764705882</v>
      </c>
      <c r="AG133" s="101"/>
      <c r="AH133" s="101"/>
      <c r="AI133"/>
      <c r="BQ133" s="72">
        <v>0</v>
      </c>
      <c r="BR133" s="72">
        <v>0</v>
      </c>
      <c r="BS133" s="72">
        <v>0</v>
      </c>
      <c r="BT133" s="72">
        <v>0</v>
      </c>
      <c r="BU133" s="72">
        <v>0</v>
      </c>
      <c r="BV133" s="72">
        <v>0</v>
      </c>
      <c r="BW133" s="72">
        <v>0</v>
      </c>
      <c r="BX133" s="72">
        <v>0</v>
      </c>
      <c r="BY133" s="72">
        <v>0</v>
      </c>
      <c r="BZ133" s="72">
        <v>0</v>
      </c>
      <c r="CA133" s="72">
        <v>0</v>
      </c>
      <c r="CB133" s="72">
        <v>0</v>
      </c>
      <c r="CC133" s="72">
        <v>0</v>
      </c>
      <c r="CD133" s="72">
        <v>0</v>
      </c>
      <c r="CE133" s="72">
        <v>0</v>
      </c>
      <c r="CF133" s="72">
        <v>0</v>
      </c>
      <c r="CG133" s="72">
        <v>0</v>
      </c>
      <c r="CH133" s="72">
        <v>0</v>
      </c>
      <c r="CI133" s="72">
        <v>0</v>
      </c>
      <c r="CJ133" s="72">
        <v>0</v>
      </c>
      <c r="CK133" s="72">
        <v>0</v>
      </c>
      <c r="CL133" s="72">
        <v>0</v>
      </c>
      <c r="CM133" s="72">
        <v>0</v>
      </c>
      <c r="CN133" s="72">
        <v>0</v>
      </c>
      <c r="CO133" s="72">
        <v>0</v>
      </c>
      <c r="CP133" s="72">
        <v>0</v>
      </c>
      <c r="CQ133" s="72">
        <v>0</v>
      </c>
      <c r="CR133" s="72">
        <v>0</v>
      </c>
      <c r="CS133" s="72">
        <v>0</v>
      </c>
      <c r="CT133" s="72">
        <v>0</v>
      </c>
      <c r="CU133" s="72">
        <v>0</v>
      </c>
      <c r="CV133" s="72">
        <v>0</v>
      </c>
      <c r="CW133" s="72">
        <v>0</v>
      </c>
      <c r="CX133" s="72">
        <v>0</v>
      </c>
      <c r="CY133" s="72">
        <v>0</v>
      </c>
      <c r="CZ133" s="72">
        <v>0</v>
      </c>
      <c r="DA133" s="72">
        <v>0</v>
      </c>
      <c r="DB133" s="72">
        <v>0</v>
      </c>
      <c r="DC133" s="72">
        <v>0</v>
      </c>
      <c r="DD133" s="72">
        <v>0</v>
      </c>
      <c r="DE133" s="72">
        <v>0</v>
      </c>
      <c r="DF133" s="72">
        <v>0</v>
      </c>
      <c r="DG133" s="72">
        <v>0</v>
      </c>
      <c r="DH133" s="72">
        <v>0</v>
      </c>
      <c r="DI133" s="72">
        <v>0</v>
      </c>
      <c r="DJ133" s="72">
        <v>0</v>
      </c>
      <c r="DK133" s="72">
        <v>0</v>
      </c>
      <c r="DL133" s="72">
        <v>0</v>
      </c>
      <c r="DM133" s="72">
        <v>0</v>
      </c>
      <c r="DN133" s="72">
        <v>0</v>
      </c>
      <c r="DO133" s="72">
        <v>0</v>
      </c>
      <c r="DP133" s="72">
        <v>0</v>
      </c>
      <c r="DQ133" s="72">
        <v>0</v>
      </c>
      <c r="DR133" s="72">
        <v>0</v>
      </c>
      <c r="DS133" s="72">
        <v>0</v>
      </c>
      <c r="DT133" s="72">
        <v>0</v>
      </c>
      <c r="DU133" s="72">
        <v>0</v>
      </c>
      <c r="DV133" s="72">
        <v>0</v>
      </c>
      <c r="DW133" s="72">
        <v>0</v>
      </c>
      <c r="DX133" s="72">
        <v>0</v>
      </c>
      <c r="DY133" s="72">
        <v>0</v>
      </c>
      <c r="DZ133" s="72">
        <v>0</v>
      </c>
      <c r="EA133" s="72">
        <v>0</v>
      </c>
      <c r="EB133" s="72">
        <v>0</v>
      </c>
      <c r="EC133" s="72">
        <v>0</v>
      </c>
      <c r="ED133" s="72">
        <v>0</v>
      </c>
      <c r="EE133" s="72">
        <v>0</v>
      </c>
      <c r="EF133" s="72">
        <v>0</v>
      </c>
      <c r="EG133" s="72">
        <v>0</v>
      </c>
      <c r="EH133" s="72">
        <v>0</v>
      </c>
      <c r="EI133" s="72">
        <v>0</v>
      </c>
      <c r="EJ133" s="72">
        <v>0</v>
      </c>
      <c r="EK133" s="72">
        <v>0</v>
      </c>
      <c r="EL133" s="72">
        <v>0</v>
      </c>
    </row>
    <row r="134" spans="1:142" s="6" customFormat="1" x14ac:dyDescent="0.35">
      <c r="A134" s="59">
        <f>Данные!A134</f>
        <v>4858</v>
      </c>
      <c r="B134" s="59">
        <f>Данные!B134</f>
        <v>2016</v>
      </c>
      <c r="C134" s="59" t="str">
        <f>Данные!C134</f>
        <v>компьютерных технологий и электронного обучения</v>
      </c>
      <c r="D134" s="59" t="str">
        <f>Данные!D134</f>
        <v>Ильина Татьяна Сергеевна</v>
      </c>
      <c r="E134" s="59" t="str">
        <f>Данные!E134</f>
        <v>нет</v>
      </c>
      <c r="F134" s="59" t="str">
        <f>Данные!F134</f>
        <v>старший преподаватель</v>
      </c>
      <c r="G134" s="59">
        <f>Данные!G134</f>
        <v>1</v>
      </c>
      <c r="H134" s="59">
        <f>Данные!H134</f>
        <v>15177</v>
      </c>
      <c r="I134" s="59" t="str">
        <f>Данные!I134</f>
        <v>Математика</v>
      </c>
      <c r="J134" s="59">
        <f>Данные!J134</f>
        <v>54</v>
      </c>
      <c r="K134" s="59">
        <f>Данные!K134</f>
        <v>54</v>
      </c>
      <c r="L134" s="59">
        <f>Данные!L134</f>
        <v>0</v>
      </c>
      <c r="M134" s="60">
        <f t="shared" si="18"/>
        <v>10.8</v>
      </c>
      <c r="N134" s="60">
        <f t="shared" ca="1" si="19"/>
        <v>10.91</v>
      </c>
      <c r="O134" s="60">
        <f t="shared" ca="1" si="20"/>
        <v>6.75</v>
      </c>
      <c r="P134" s="60">
        <f t="shared" ca="1" si="21"/>
        <v>6.75</v>
      </c>
      <c r="Q134" s="54">
        <f>Данные!Q134</f>
        <v>0</v>
      </c>
      <c r="R134" s="54">
        <f>Данные!R134</f>
        <v>0</v>
      </c>
      <c r="S134" s="54">
        <f>Данные!S134</f>
        <v>0</v>
      </c>
      <c r="T134" s="54">
        <f>Данные!T134</f>
        <v>0</v>
      </c>
      <c r="U134" s="54">
        <f>Данные!U134</f>
        <v>0</v>
      </c>
      <c r="V134" s="54">
        <f>Данные!V134</f>
        <v>0</v>
      </c>
      <c r="W134" s="54">
        <f ca="1">Данные!W134</f>
        <v>27</v>
      </c>
      <c r="X134" s="54" t="str">
        <f ca="1">Данные!X134</f>
        <v>1</v>
      </c>
      <c r="Y134" s="54" t="str">
        <f ca="1">Данные!Y134</f>
        <v>2</v>
      </c>
      <c r="Z134" s="54">
        <f>Данные!Z134</f>
        <v>0</v>
      </c>
      <c r="AA134" s="54" t="str">
        <f>Данные!AA134</f>
        <v>осн</v>
      </c>
      <c r="AB134" s="101">
        <f t="shared" si="22"/>
        <v>850</v>
      </c>
      <c r="AC134" s="101" t="str">
        <f t="shared" si="23"/>
        <v>ИВТ (бак)</v>
      </c>
      <c r="AD134" s="101" t="str">
        <f t="shared" si="24"/>
        <v>2016–2017</v>
      </c>
      <c r="AE134" s="102">
        <f t="shared" ca="1" si="25"/>
        <v>143.21</v>
      </c>
      <c r="AF134" s="103">
        <f t="shared" ca="1" si="26"/>
        <v>0.16848235294117647</v>
      </c>
      <c r="AG134" s="101"/>
      <c r="AH134" s="101"/>
      <c r="AI134"/>
      <c r="BQ134" s="72">
        <v>0</v>
      </c>
      <c r="BR134" s="72">
        <v>0</v>
      </c>
      <c r="BS134" s="72">
        <v>0</v>
      </c>
      <c r="BT134" s="72">
        <v>0</v>
      </c>
      <c r="BU134" s="72">
        <v>0</v>
      </c>
      <c r="BV134" s="72">
        <v>0</v>
      </c>
      <c r="BW134" s="72">
        <v>0</v>
      </c>
      <c r="BX134" s="72">
        <v>0</v>
      </c>
      <c r="BY134" s="72">
        <v>0</v>
      </c>
      <c r="BZ134" s="72">
        <v>0</v>
      </c>
      <c r="CA134" s="72">
        <v>0</v>
      </c>
      <c r="CB134" s="72">
        <v>0</v>
      </c>
      <c r="CC134" s="72">
        <v>0</v>
      </c>
      <c r="CD134" s="72">
        <v>0</v>
      </c>
      <c r="CE134" s="72">
        <v>0</v>
      </c>
      <c r="CF134" s="72">
        <v>0</v>
      </c>
      <c r="CG134" s="72">
        <v>0</v>
      </c>
      <c r="CH134" s="72">
        <v>0</v>
      </c>
      <c r="CI134" s="72">
        <v>0</v>
      </c>
      <c r="CJ134" s="72">
        <v>0</v>
      </c>
      <c r="CK134" s="72">
        <v>0</v>
      </c>
      <c r="CL134" s="72">
        <v>0</v>
      </c>
      <c r="CM134" s="72">
        <v>0</v>
      </c>
      <c r="CN134" s="72">
        <v>0</v>
      </c>
      <c r="CO134" s="72">
        <v>0</v>
      </c>
      <c r="CP134" s="72">
        <v>0</v>
      </c>
      <c r="CQ134" s="72">
        <v>0</v>
      </c>
      <c r="CR134" s="72">
        <v>0</v>
      </c>
      <c r="CS134" s="72">
        <v>0</v>
      </c>
      <c r="CT134" s="72">
        <v>0</v>
      </c>
      <c r="CU134" s="72">
        <v>0</v>
      </c>
      <c r="CV134" s="72">
        <v>0</v>
      </c>
      <c r="CW134" s="72">
        <v>0</v>
      </c>
      <c r="CX134" s="72">
        <v>0</v>
      </c>
      <c r="CY134" s="72">
        <v>0</v>
      </c>
      <c r="CZ134" s="72">
        <v>0</v>
      </c>
      <c r="DA134" s="72">
        <v>0</v>
      </c>
      <c r="DB134" s="72">
        <v>0</v>
      </c>
      <c r="DC134" s="72">
        <v>0</v>
      </c>
      <c r="DD134" s="72">
        <v>0</v>
      </c>
      <c r="DE134" s="72">
        <v>0</v>
      </c>
      <c r="DF134" s="72">
        <v>0</v>
      </c>
      <c r="DG134" s="72">
        <v>0</v>
      </c>
      <c r="DH134" s="72">
        <v>0</v>
      </c>
      <c r="DI134" s="72">
        <v>0</v>
      </c>
      <c r="DJ134" s="72">
        <v>0</v>
      </c>
      <c r="DK134" s="72">
        <v>0</v>
      </c>
      <c r="DL134" s="72">
        <v>0</v>
      </c>
      <c r="DM134" s="72">
        <v>0</v>
      </c>
      <c r="DN134" s="72">
        <v>0</v>
      </c>
      <c r="DO134" s="72">
        <v>0</v>
      </c>
      <c r="DP134" s="72">
        <v>0</v>
      </c>
      <c r="DQ134" s="72">
        <v>0</v>
      </c>
      <c r="DR134" s="72">
        <v>0</v>
      </c>
      <c r="DS134" s="72">
        <v>0</v>
      </c>
      <c r="DT134" s="72">
        <v>0</v>
      </c>
      <c r="DU134" s="72">
        <v>0</v>
      </c>
      <c r="DV134" s="72">
        <v>0</v>
      </c>
      <c r="DW134" s="72">
        <v>0</v>
      </c>
      <c r="DX134" s="72">
        <v>0</v>
      </c>
      <c r="DY134" s="72">
        <v>0</v>
      </c>
      <c r="DZ134" s="72">
        <v>0</v>
      </c>
      <c r="EA134" s="72">
        <v>0</v>
      </c>
      <c r="EB134" s="72">
        <v>0</v>
      </c>
      <c r="EC134" s="72">
        <v>0</v>
      </c>
      <c r="ED134" s="72">
        <v>0</v>
      </c>
      <c r="EE134" s="72">
        <v>0</v>
      </c>
      <c r="EF134" s="72">
        <v>0</v>
      </c>
      <c r="EG134" s="72">
        <v>0</v>
      </c>
      <c r="EH134" s="72">
        <v>0</v>
      </c>
      <c r="EI134" s="72">
        <v>0</v>
      </c>
      <c r="EJ134" s="72">
        <v>0</v>
      </c>
      <c r="EK134" s="72">
        <v>0</v>
      </c>
      <c r="EL134" s="72">
        <v>0</v>
      </c>
    </row>
    <row r="135" spans="1:142" s="6" customFormat="1" x14ac:dyDescent="0.35">
      <c r="A135" s="59">
        <f>Данные!A135</f>
        <v>4858</v>
      </c>
      <c r="B135" s="59">
        <f>Данные!B135</f>
        <v>2016</v>
      </c>
      <c r="C135" s="59" t="str">
        <f>Данные!C135</f>
        <v>компьютерных технологий и электронного обучения</v>
      </c>
      <c r="D135" s="59" t="str">
        <f>Данные!D135</f>
        <v>Ильина Татьяна Сергеевна</v>
      </c>
      <c r="E135" s="59" t="str">
        <f>Данные!E135</f>
        <v>нет</v>
      </c>
      <c r="F135" s="59" t="str">
        <f>Данные!F135</f>
        <v>старший преподаватель</v>
      </c>
      <c r="G135" s="59">
        <f>Данные!G135</f>
        <v>1</v>
      </c>
      <c r="H135" s="59">
        <f>Данные!H135</f>
        <v>15177</v>
      </c>
      <c r="I135" s="59" t="str">
        <f>Данные!I135</f>
        <v>Модуль "Информационные технологии в математике и физике". Информационные технологии в математике</v>
      </c>
      <c r="J135" s="59">
        <f>Данные!J135</f>
        <v>0</v>
      </c>
      <c r="K135" s="59">
        <f>Данные!K135</f>
        <v>0</v>
      </c>
      <c r="L135" s="59">
        <f>Данные!L135</f>
        <v>36</v>
      </c>
      <c r="M135" s="60">
        <f t="shared" si="18"/>
        <v>3.6</v>
      </c>
      <c r="N135" s="60">
        <f t="shared" ca="1" si="19"/>
        <v>10.91</v>
      </c>
      <c r="O135" s="60">
        <f t="shared" ca="1" si="20"/>
        <v>6.75</v>
      </c>
      <c r="P135" s="60">
        <f t="shared" ca="1" si="21"/>
        <v>6.75</v>
      </c>
      <c r="Q135" s="54">
        <f>Данные!Q135</f>
        <v>0</v>
      </c>
      <c r="R135" s="54">
        <f>Данные!R135</f>
        <v>0</v>
      </c>
      <c r="S135" s="54">
        <f>Данные!S135</f>
        <v>0</v>
      </c>
      <c r="T135" s="54">
        <f>Данные!T135</f>
        <v>0</v>
      </c>
      <c r="U135" s="54">
        <f>Данные!U135</f>
        <v>0</v>
      </c>
      <c r="V135" s="54">
        <f>Данные!V135</f>
        <v>0</v>
      </c>
      <c r="W135" s="54">
        <f ca="1">Данные!W135</f>
        <v>27</v>
      </c>
      <c r="X135" s="54" t="str">
        <f ca="1">Данные!X135</f>
        <v>1</v>
      </c>
      <c r="Y135" s="54" t="str">
        <f ca="1">Данные!Y135</f>
        <v>2</v>
      </c>
      <c r="Z135" s="54">
        <f>Данные!Z135</f>
        <v>0</v>
      </c>
      <c r="AA135" s="54" t="str">
        <f>Данные!AA135</f>
        <v>осн</v>
      </c>
      <c r="AB135" s="101">
        <f t="shared" si="22"/>
        <v>850</v>
      </c>
      <c r="AC135" s="101" t="str">
        <f t="shared" si="23"/>
        <v>ИВТ (бак)</v>
      </c>
      <c r="AD135" s="101" t="str">
        <f t="shared" si="24"/>
        <v>2016–2017</v>
      </c>
      <c r="AE135" s="102">
        <f t="shared" ca="1" si="25"/>
        <v>64.010000000000005</v>
      </c>
      <c r="AF135" s="103">
        <f t="shared" ca="1" si="26"/>
        <v>7.5305882352941181E-2</v>
      </c>
      <c r="AG135" s="101"/>
      <c r="AH135" s="101"/>
      <c r="AI135"/>
      <c r="BQ135" s="72">
        <v>0</v>
      </c>
      <c r="BR135" s="72">
        <v>0</v>
      </c>
      <c r="BS135" s="72">
        <v>0</v>
      </c>
      <c r="BT135" s="72">
        <v>0</v>
      </c>
      <c r="BU135" s="72">
        <v>0</v>
      </c>
      <c r="BV135" s="72">
        <v>0</v>
      </c>
      <c r="BW135" s="72">
        <v>0</v>
      </c>
      <c r="BX135" s="72">
        <v>0</v>
      </c>
      <c r="BY135" s="72">
        <v>0</v>
      </c>
      <c r="BZ135" s="72">
        <v>0</v>
      </c>
      <c r="CA135" s="72">
        <v>0</v>
      </c>
      <c r="CB135" s="72">
        <v>0</v>
      </c>
      <c r="CC135" s="72">
        <v>0</v>
      </c>
      <c r="CD135" s="72">
        <v>0</v>
      </c>
      <c r="CE135" s="72">
        <v>0</v>
      </c>
      <c r="CF135" s="72">
        <v>0</v>
      </c>
      <c r="CG135" s="72">
        <v>0</v>
      </c>
      <c r="CH135" s="72">
        <v>0</v>
      </c>
      <c r="CI135" s="72">
        <v>0</v>
      </c>
      <c r="CJ135" s="72">
        <v>0</v>
      </c>
      <c r="CK135" s="72">
        <v>0</v>
      </c>
      <c r="CL135" s="72">
        <v>0</v>
      </c>
      <c r="CM135" s="72">
        <v>0</v>
      </c>
      <c r="CN135" s="72">
        <v>0</v>
      </c>
      <c r="CO135" s="72">
        <v>0</v>
      </c>
      <c r="CP135" s="72">
        <v>0</v>
      </c>
      <c r="CQ135" s="72">
        <v>0</v>
      </c>
      <c r="CR135" s="72">
        <v>0</v>
      </c>
      <c r="CS135" s="72">
        <v>0</v>
      </c>
      <c r="CT135" s="72">
        <v>0</v>
      </c>
      <c r="CU135" s="72">
        <v>0</v>
      </c>
      <c r="CV135" s="72">
        <v>0</v>
      </c>
      <c r="CW135" s="72">
        <v>0</v>
      </c>
      <c r="CX135" s="72">
        <v>0</v>
      </c>
      <c r="CY135" s="72">
        <v>0</v>
      </c>
      <c r="CZ135" s="72">
        <v>0</v>
      </c>
      <c r="DA135" s="72">
        <v>0</v>
      </c>
      <c r="DB135" s="72">
        <v>0</v>
      </c>
      <c r="DC135" s="72">
        <v>0</v>
      </c>
      <c r="DD135" s="72">
        <v>0</v>
      </c>
      <c r="DE135" s="72">
        <v>0</v>
      </c>
      <c r="DF135" s="72">
        <v>0</v>
      </c>
      <c r="DG135" s="72">
        <v>0</v>
      </c>
      <c r="DH135" s="72">
        <v>0</v>
      </c>
      <c r="DI135" s="72">
        <v>0</v>
      </c>
      <c r="DJ135" s="72">
        <v>0</v>
      </c>
      <c r="DK135" s="72">
        <v>0</v>
      </c>
      <c r="DL135" s="72">
        <v>0</v>
      </c>
      <c r="DM135" s="72">
        <v>0</v>
      </c>
      <c r="DN135" s="72">
        <v>0</v>
      </c>
      <c r="DO135" s="72">
        <v>0</v>
      </c>
      <c r="DP135" s="72">
        <v>0</v>
      </c>
      <c r="DQ135" s="72">
        <v>0</v>
      </c>
      <c r="DR135" s="72">
        <v>0</v>
      </c>
      <c r="DS135" s="72">
        <v>0</v>
      </c>
      <c r="DT135" s="72">
        <v>0</v>
      </c>
      <c r="DU135" s="72">
        <v>0</v>
      </c>
      <c r="DV135" s="72">
        <v>0</v>
      </c>
      <c r="DW135" s="72">
        <v>0</v>
      </c>
      <c r="DX135" s="72">
        <v>0</v>
      </c>
      <c r="DY135" s="72">
        <v>0</v>
      </c>
      <c r="DZ135" s="72">
        <v>0</v>
      </c>
      <c r="EA135" s="72">
        <v>0</v>
      </c>
      <c r="EB135" s="72">
        <v>0</v>
      </c>
      <c r="EC135" s="72">
        <v>0</v>
      </c>
      <c r="ED135" s="72">
        <v>0</v>
      </c>
      <c r="EE135" s="72">
        <v>0</v>
      </c>
      <c r="EF135" s="72">
        <v>0</v>
      </c>
      <c r="EG135" s="72">
        <v>0</v>
      </c>
      <c r="EH135" s="72">
        <v>0</v>
      </c>
      <c r="EI135" s="72">
        <v>0</v>
      </c>
      <c r="EJ135" s="72">
        <v>0</v>
      </c>
      <c r="EK135" s="72">
        <v>0</v>
      </c>
      <c r="EL135" s="72">
        <v>0</v>
      </c>
    </row>
    <row r="136" spans="1:142" s="6" customFormat="1" x14ac:dyDescent="0.35">
      <c r="A136" s="59">
        <f>Данные!A136</f>
        <v>4858</v>
      </c>
      <c r="B136" s="59">
        <f>Данные!B136</f>
        <v>2016</v>
      </c>
      <c r="C136" s="59" t="str">
        <f>Данные!C136</f>
        <v>компьютерных технологий и электронного обучения</v>
      </c>
      <c r="D136" s="59" t="str">
        <f>Данные!D136</f>
        <v>Кужельная Оксана Владимировна</v>
      </c>
      <c r="E136" s="59" t="str">
        <f>Данные!E136</f>
        <v>кандидат физ.-мат. наук</v>
      </c>
      <c r="F136" s="59" t="str">
        <f>Данные!F136</f>
        <v>доцент</v>
      </c>
      <c r="G136" s="59">
        <f>Данные!G136</f>
        <v>0.25</v>
      </c>
      <c r="H136" s="59">
        <f>Данные!H136</f>
        <v>15177</v>
      </c>
      <c r="I136" s="59" t="str">
        <f>Данные!I136</f>
        <v>Программирование</v>
      </c>
      <c r="J136" s="59">
        <f>Данные!J136</f>
        <v>0</v>
      </c>
      <c r="K136" s="59">
        <f>Данные!K136</f>
        <v>0</v>
      </c>
      <c r="L136" s="59">
        <f>Данные!L136</f>
        <v>45</v>
      </c>
      <c r="M136" s="60">
        <f t="shared" si="18"/>
        <v>4.5</v>
      </c>
      <c r="N136" s="60">
        <f t="shared" ca="1" si="19"/>
        <v>10.91</v>
      </c>
      <c r="O136" s="60">
        <f t="shared" ca="1" si="20"/>
        <v>6.75</v>
      </c>
      <c r="P136" s="60">
        <f t="shared" ca="1" si="21"/>
        <v>6.75</v>
      </c>
      <c r="Q136" s="54">
        <f>Данные!Q136</f>
        <v>0</v>
      </c>
      <c r="R136" s="54">
        <f>Данные!R136</f>
        <v>0</v>
      </c>
      <c r="S136" s="54">
        <f>Данные!S136</f>
        <v>0</v>
      </c>
      <c r="T136" s="54">
        <f>Данные!T136</f>
        <v>0</v>
      </c>
      <c r="U136" s="54">
        <f>Данные!U136</f>
        <v>0</v>
      </c>
      <c r="V136" s="54">
        <f>Данные!V136</f>
        <v>0</v>
      </c>
      <c r="W136" s="54">
        <f ca="1">Данные!W136</f>
        <v>27</v>
      </c>
      <c r="X136" s="54" t="str">
        <f ca="1">Данные!X136</f>
        <v>1</v>
      </c>
      <c r="Y136" s="54" t="str">
        <f ca="1">Данные!Y136</f>
        <v>2</v>
      </c>
      <c r="Z136" s="54">
        <f>Данные!Z136</f>
        <v>0</v>
      </c>
      <c r="AA136" s="54" t="str">
        <f>Данные!AA136</f>
        <v>осн</v>
      </c>
      <c r="AB136" s="101">
        <f t="shared" si="22"/>
        <v>800</v>
      </c>
      <c r="AC136" s="101" t="str">
        <f t="shared" si="23"/>
        <v>ИВТ (бак)</v>
      </c>
      <c r="AD136" s="101" t="str">
        <f t="shared" si="24"/>
        <v>2016–2017</v>
      </c>
      <c r="AE136" s="102">
        <f t="shared" ca="1" si="25"/>
        <v>73.91</v>
      </c>
      <c r="AF136" s="103">
        <f t="shared" ca="1" si="26"/>
        <v>9.2387499999999997E-2</v>
      </c>
      <c r="AG136" s="101"/>
      <c r="AH136" s="101"/>
      <c r="AI136"/>
      <c r="BQ136" s="72">
        <v>0</v>
      </c>
      <c r="BR136" s="72">
        <v>0</v>
      </c>
      <c r="BS136" s="72">
        <v>0</v>
      </c>
      <c r="BT136" s="72">
        <v>0</v>
      </c>
      <c r="BU136" s="72">
        <v>0</v>
      </c>
      <c r="BV136" s="72">
        <v>0</v>
      </c>
      <c r="BW136" s="72">
        <v>0</v>
      </c>
      <c r="BX136" s="72">
        <v>0</v>
      </c>
      <c r="BY136" s="72">
        <v>0</v>
      </c>
      <c r="BZ136" s="72">
        <v>0</v>
      </c>
      <c r="CA136" s="72">
        <v>0</v>
      </c>
      <c r="CB136" s="72">
        <v>0</v>
      </c>
      <c r="CC136" s="72">
        <v>0</v>
      </c>
      <c r="CD136" s="72">
        <v>0</v>
      </c>
      <c r="CE136" s="72">
        <v>0</v>
      </c>
      <c r="CF136" s="72">
        <v>0</v>
      </c>
      <c r="CG136" s="72">
        <v>0</v>
      </c>
      <c r="CH136" s="72">
        <v>0</v>
      </c>
      <c r="CI136" s="72">
        <v>0</v>
      </c>
      <c r="CJ136" s="72">
        <v>0</v>
      </c>
      <c r="CK136" s="72">
        <v>0</v>
      </c>
      <c r="CL136" s="72">
        <v>0</v>
      </c>
      <c r="CM136" s="72">
        <v>0</v>
      </c>
      <c r="CN136" s="72">
        <v>0</v>
      </c>
      <c r="CO136" s="72">
        <v>0</v>
      </c>
      <c r="CP136" s="72">
        <v>0</v>
      </c>
      <c r="CQ136" s="72">
        <v>0</v>
      </c>
      <c r="CR136" s="72">
        <v>0</v>
      </c>
      <c r="CS136" s="72">
        <v>0</v>
      </c>
      <c r="CT136" s="72">
        <v>0</v>
      </c>
      <c r="CU136" s="72">
        <v>0</v>
      </c>
      <c r="CV136" s="72">
        <v>0</v>
      </c>
      <c r="CW136" s="72">
        <v>0</v>
      </c>
      <c r="CX136" s="72">
        <v>0</v>
      </c>
      <c r="CY136" s="72">
        <v>0</v>
      </c>
      <c r="CZ136" s="72">
        <v>0</v>
      </c>
      <c r="DA136" s="72">
        <v>0</v>
      </c>
      <c r="DB136" s="72">
        <v>0</v>
      </c>
      <c r="DC136" s="72">
        <v>0</v>
      </c>
      <c r="DD136" s="72">
        <v>0</v>
      </c>
      <c r="DE136" s="72">
        <v>0</v>
      </c>
      <c r="DF136" s="72">
        <v>0</v>
      </c>
      <c r="DG136" s="72">
        <v>0</v>
      </c>
      <c r="DH136" s="72">
        <v>0</v>
      </c>
      <c r="DI136" s="72">
        <v>0</v>
      </c>
      <c r="DJ136" s="72">
        <v>0</v>
      </c>
      <c r="DK136" s="72">
        <v>0</v>
      </c>
      <c r="DL136" s="72">
        <v>0</v>
      </c>
      <c r="DM136" s="72">
        <v>0</v>
      </c>
      <c r="DN136" s="72">
        <v>0</v>
      </c>
      <c r="DO136" s="72">
        <v>0</v>
      </c>
      <c r="DP136" s="72">
        <v>0</v>
      </c>
      <c r="DQ136" s="72">
        <v>0</v>
      </c>
      <c r="DR136" s="72">
        <v>0</v>
      </c>
      <c r="DS136" s="72">
        <v>0</v>
      </c>
      <c r="DT136" s="72">
        <v>0</v>
      </c>
      <c r="DU136" s="72">
        <v>0</v>
      </c>
      <c r="DV136" s="72">
        <v>0</v>
      </c>
      <c r="DW136" s="72">
        <v>0</v>
      </c>
      <c r="DX136" s="72">
        <v>0</v>
      </c>
      <c r="DY136" s="72">
        <v>0</v>
      </c>
      <c r="DZ136" s="72">
        <v>0</v>
      </c>
      <c r="EA136" s="72">
        <v>0</v>
      </c>
      <c r="EB136" s="72">
        <v>0</v>
      </c>
      <c r="EC136" s="72">
        <v>0</v>
      </c>
      <c r="ED136" s="72">
        <v>0</v>
      </c>
      <c r="EE136" s="72">
        <v>0</v>
      </c>
      <c r="EF136" s="72">
        <v>0</v>
      </c>
      <c r="EG136" s="72">
        <v>0</v>
      </c>
      <c r="EH136" s="72">
        <v>0</v>
      </c>
      <c r="EI136" s="72">
        <v>0</v>
      </c>
      <c r="EJ136" s="72">
        <v>0</v>
      </c>
      <c r="EK136" s="72">
        <v>0</v>
      </c>
      <c r="EL136" s="72">
        <v>0</v>
      </c>
    </row>
    <row r="137" spans="1:142" s="6" customFormat="1" x14ac:dyDescent="0.35">
      <c r="A137" s="59">
        <f>Данные!A137</f>
        <v>4858</v>
      </c>
      <c r="B137" s="59">
        <f>Данные!B137</f>
        <v>2017</v>
      </c>
      <c r="C137" s="59" t="str">
        <f>Данные!C137</f>
        <v>компьютерных технологий и электронного обучения</v>
      </c>
      <c r="D137" s="59" t="str">
        <f>Данные!D137</f>
        <v>Шалденкова Анна Владимировна</v>
      </c>
      <c r="E137" s="59" t="str">
        <f>Данные!E137</f>
        <v>нет</v>
      </c>
      <c r="F137" s="59" t="str">
        <f>Данные!F137</f>
        <v>ассистент</v>
      </c>
      <c r="G137" s="59">
        <f>Данные!G137</f>
        <v>1</v>
      </c>
      <c r="H137" s="59">
        <f>Данные!H137</f>
        <v>16002</v>
      </c>
      <c r="I137" s="59" t="str">
        <f>Данные!I137</f>
        <v>Операционные системы</v>
      </c>
      <c r="J137" s="59">
        <f>Данные!J137</f>
        <v>0</v>
      </c>
      <c r="K137" s="59">
        <f>Данные!K137</f>
        <v>0</v>
      </c>
      <c r="L137" s="59">
        <f>Данные!L137</f>
        <v>36</v>
      </c>
      <c r="M137" s="60">
        <f t="shared" si="18"/>
        <v>3.6</v>
      </c>
      <c r="N137" s="60">
        <f t="shared" ca="1" si="19"/>
        <v>10.91</v>
      </c>
      <c r="O137" s="60">
        <f t="shared" ca="1" si="20"/>
        <v>6.75</v>
      </c>
      <c r="P137" s="60">
        <f t="shared" ca="1" si="21"/>
        <v>6.75</v>
      </c>
      <c r="Q137" s="54">
        <f>Данные!Q137</f>
        <v>0</v>
      </c>
      <c r="R137" s="54">
        <f>Данные!R137</f>
        <v>0</v>
      </c>
      <c r="S137" s="54">
        <f>Данные!S137</f>
        <v>0</v>
      </c>
      <c r="T137" s="54">
        <f>Данные!T137</f>
        <v>0</v>
      </c>
      <c r="U137" s="54">
        <f>Данные!U137</f>
        <v>0</v>
      </c>
      <c r="V137" s="54">
        <f>Данные!V137</f>
        <v>0</v>
      </c>
      <c r="W137" s="54">
        <f ca="1">Данные!W137</f>
        <v>27</v>
      </c>
      <c r="X137" s="54" t="str">
        <f ca="1">Данные!X137</f>
        <v>1</v>
      </c>
      <c r="Y137" s="54" t="str">
        <f ca="1">Данные!Y137</f>
        <v>2</v>
      </c>
      <c r="Z137" s="54">
        <f>Данные!Z137</f>
        <v>0</v>
      </c>
      <c r="AA137" s="54" t="str">
        <f>Данные!AA137</f>
        <v>осн</v>
      </c>
      <c r="AB137" s="101">
        <f t="shared" si="22"/>
        <v>900</v>
      </c>
      <c r="AC137" s="101" t="str">
        <f t="shared" si="23"/>
        <v>ИВТ (бак)</v>
      </c>
      <c r="AD137" s="101" t="str">
        <f t="shared" si="24"/>
        <v/>
      </c>
      <c r="AE137" s="102">
        <f t="shared" ca="1" si="25"/>
        <v>64.010000000000005</v>
      </c>
      <c r="AF137" s="103">
        <f t="shared" ca="1" si="26"/>
        <v>7.1122222222222226E-2</v>
      </c>
      <c r="AG137" s="101"/>
      <c r="AH137" s="101"/>
      <c r="AI137"/>
      <c r="BQ137" s="72">
        <v>0</v>
      </c>
      <c r="BR137" s="72">
        <v>0</v>
      </c>
      <c r="BS137" s="72">
        <v>0</v>
      </c>
      <c r="BT137" s="72">
        <v>0</v>
      </c>
      <c r="BU137" s="72">
        <v>0</v>
      </c>
      <c r="BV137" s="72">
        <v>0</v>
      </c>
      <c r="BW137" s="72">
        <v>0</v>
      </c>
      <c r="BX137" s="72">
        <v>0</v>
      </c>
      <c r="BY137" s="72">
        <v>0</v>
      </c>
      <c r="BZ137" s="72">
        <v>0</v>
      </c>
      <c r="CA137" s="72">
        <v>0</v>
      </c>
      <c r="CB137" s="72">
        <v>0</v>
      </c>
      <c r="CC137" s="72">
        <v>0</v>
      </c>
      <c r="CD137" s="72">
        <v>0</v>
      </c>
      <c r="CE137" s="72">
        <v>0</v>
      </c>
      <c r="CF137" s="72">
        <v>0</v>
      </c>
      <c r="CG137" s="72">
        <v>0</v>
      </c>
      <c r="CH137" s="72">
        <v>0</v>
      </c>
      <c r="CI137" s="72">
        <v>0</v>
      </c>
      <c r="CJ137" s="72">
        <v>0</v>
      </c>
      <c r="CK137" s="72">
        <v>0</v>
      </c>
      <c r="CL137" s="72">
        <v>0</v>
      </c>
      <c r="CM137" s="72">
        <v>0</v>
      </c>
      <c r="CN137" s="72">
        <v>0</v>
      </c>
      <c r="CO137" s="72">
        <v>0</v>
      </c>
      <c r="CP137" s="72">
        <v>0</v>
      </c>
      <c r="CQ137" s="72">
        <v>0</v>
      </c>
      <c r="CR137" s="72">
        <v>0</v>
      </c>
      <c r="CS137" s="72">
        <v>0</v>
      </c>
      <c r="CT137" s="72">
        <v>0</v>
      </c>
      <c r="CU137" s="72">
        <v>0</v>
      </c>
      <c r="CV137" s="72">
        <v>0</v>
      </c>
      <c r="CW137" s="72">
        <v>0</v>
      </c>
      <c r="CX137" s="72">
        <v>0</v>
      </c>
      <c r="CY137" s="72">
        <v>0</v>
      </c>
      <c r="CZ137" s="72">
        <v>0</v>
      </c>
      <c r="DA137" s="72">
        <v>0</v>
      </c>
      <c r="DB137" s="72">
        <v>0</v>
      </c>
      <c r="DC137" s="72">
        <v>0</v>
      </c>
      <c r="DD137" s="72">
        <v>0</v>
      </c>
      <c r="DE137" s="72">
        <v>0</v>
      </c>
      <c r="DF137" s="72">
        <v>0</v>
      </c>
      <c r="DG137" s="72">
        <v>0</v>
      </c>
      <c r="DH137" s="72">
        <v>0</v>
      </c>
      <c r="DI137" s="72">
        <v>0</v>
      </c>
      <c r="DJ137" s="72">
        <v>0</v>
      </c>
      <c r="DK137" s="72">
        <v>0</v>
      </c>
      <c r="DL137" s="72">
        <v>0</v>
      </c>
      <c r="DM137" s="72">
        <v>0</v>
      </c>
      <c r="DN137" s="72">
        <v>0</v>
      </c>
      <c r="DO137" s="72">
        <v>0</v>
      </c>
      <c r="DP137" s="72">
        <v>0</v>
      </c>
      <c r="DQ137" s="72">
        <v>0</v>
      </c>
      <c r="DR137" s="72">
        <v>0</v>
      </c>
      <c r="DS137" s="72">
        <v>0</v>
      </c>
      <c r="DT137" s="72">
        <v>0</v>
      </c>
      <c r="DU137" s="72">
        <v>0</v>
      </c>
      <c r="DV137" s="72">
        <v>0</v>
      </c>
      <c r="DW137" s="72">
        <v>0</v>
      </c>
      <c r="DX137" s="72">
        <v>0</v>
      </c>
      <c r="DY137" s="72">
        <v>0</v>
      </c>
      <c r="DZ137" s="72">
        <v>0</v>
      </c>
      <c r="EA137" s="72">
        <v>0</v>
      </c>
      <c r="EB137" s="72">
        <v>0</v>
      </c>
      <c r="EC137" s="72">
        <v>0</v>
      </c>
      <c r="ED137" s="72">
        <v>0</v>
      </c>
      <c r="EE137" s="72">
        <v>0</v>
      </c>
      <c r="EF137" s="72">
        <v>0</v>
      </c>
      <c r="EG137" s="72">
        <v>0</v>
      </c>
      <c r="EH137" s="72">
        <v>0</v>
      </c>
      <c r="EI137" s="72">
        <v>0</v>
      </c>
      <c r="EJ137" s="72">
        <v>0</v>
      </c>
      <c r="EK137" s="72">
        <v>0</v>
      </c>
      <c r="EL137" s="72">
        <v>0</v>
      </c>
    </row>
    <row r="138" spans="1:142" s="6" customFormat="1" x14ac:dyDescent="0.35">
      <c r="A138" s="59">
        <f>Данные!A138</f>
        <v>4858</v>
      </c>
      <c r="B138" s="59">
        <f>Данные!B138</f>
        <v>2017</v>
      </c>
      <c r="C138" s="59" t="str">
        <f>Данные!C138</f>
        <v>компьютерных технологий и электронного обучения</v>
      </c>
      <c r="D138" s="59" t="str">
        <f>Данные!D138</f>
        <v>Абрамян Геннадий Владимирович</v>
      </c>
      <c r="E138" s="59" t="str">
        <f>Данные!E138</f>
        <v>доктор педагогических наук</v>
      </c>
      <c r="F138" s="59" t="str">
        <f>Данные!F138</f>
        <v>профессор</v>
      </c>
      <c r="G138" s="59">
        <f>Данные!G138</f>
        <v>1</v>
      </c>
      <c r="H138" s="59">
        <f>Данные!H138</f>
        <v>16002</v>
      </c>
      <c r="I138" s="59" t="str">
        <f>Данные!I138</f>
        <v>Операционные системы</v>
      </c>
      <c r="J138" s="59">
        <f>Данные!J138</f>
        <v>4</v>
      </c>
      <c r="K138" s="59">
        <f>Данные!K138</f>
        <v>14</v>
      </c>
      <c r="L138" s="59">
        <f>Данные!L138</f>
        <v>36</v>
      </c>
      <c r="M138" s="60">
        <f t="shared" si="18"/>
        <v>5.4</v>
      </c>
      <c r="N138" s="60">
        <f t="shared" ca="1" si="19"/>
        <v>10.91</v>
      </c>
      <c r="O138" s="60">
        <f t="shared" ca="1" si="20"/>
        <v>6.75</v>
      </c>
      <c r="P138" s="60">
        <f t="shared" ca="1" si="21"/>
        <v>6.75</v>
      </c>
      <c r="Q138" s="54">
        <f>Данные!Q138</f>
        <v>0</v>
      </c>
      <c r="R138" s="54">
        <f>Данные!R138</f>
        <v>0</v>
      </c>
      <c r="S138" s="54">
        <f>Данные!S138</f>
        <v>0</v>
      </c>
      <c r="T138" s="54">
        <f>Данные!T138</f>
        <v>0</v>
      </c>
      <c r="U138" s="54">
        <f>Данные!U138</f>
        <v>0</v>
      </c>
      <c r="V138" s="54">
        <f>Данные!V138</f>
        <v>0</v>
      </c>
      <c r="W138" s="54">
        <f ca="1">Данные!W138</f>
        <v>27</v>
      </c>
      <c r="X138" s="54" t="str">
        <f ca="1">Данные!X138</f>
        <v>1</v>
      </c>
      <c r="Y138" s="54" t="str">
        <f ca="1">Данные!Y138</f>
        <v>2</v>
      </c>
      <c r="Z138" s="54">
        <f>Данные!Z138</f>
        <v>0</v>
      </c>
      <c r="AA138" s="54" t="str">
        <f>Данные!AA138</f>
        <v>осн</v>
      </c>
      <c r="AB138" s="101">
        <f t="shared" si="22"/>
        <v>750</v>
      </c>
      <c r="AC138" s="101" t="str">
        <f t="shared" si="23"/>
        <v>ИВТ (бак)</v>
      </c>
      <c r="AD138" s="101" t="str">
        <f t="shared" si="24"/>
        <v/>
      </c>
      <c r="AE138" s="102">
        <f t="shared" ca="1" si="25"/>
        <v>83.81</v>
      </c>
      <c r="AF138" s="103">
        <f t="shared" ca="1" si="26"/>
        <v>0.11174666666666667</v>
      </c>
      <c r="AG138" s="101"/>
      <c r="AH138" s="101"/>
      <c r="AI138"/>
      <c r="BQ138" s="72">
        <v>0</v>
      </c>
      <c r="BR138" s="72">
        <v>0</v>
      </c>
      <c r="BS138" s="72">
        <v>0</v>
      </c>
      <c r="BT138" s="72">
        <v>0</v>
      </c>
      <c r="BU138" s="72">
        <v>0</v>
      </c>
      <c r="BV138" s="72">
        <v>0</v>
      </c>
      <c r="BW138" s="72">
        <v>0</v>
      </c>
      <c r="BX138" s="72">
        <v>0</v>
      </c>
      <c r="BY138" s="72">
        <v>0</v>
      </c>
      <c r="BZ138" s="72">
        <v>0</v>
      </c>
      <c r="CA138" s="72">
        <v>0</v>
      </c>
      <c r="CB138" s="72">
        <v>0</v>
      </c>
      <c r="CC138" s="72">
        <v>0</v>
      </c>
      <c r="CD138" s="72">
        <v>0</v>
      </c>
      <c r="CE138" s="72">
        <v>0</v>
      </c>
      <c r="CF138" s="72">
        <v>0</v>
      </c>
      <c r="CG138" s="72">
        <v>0</v>
      </c>
      <c r="CH138" s="72">
        <v>0</v>
      </c>
      <c r="CI138" s="72">
        <v>0</v>
      </c>
      <c r="CJ138" s="72">
        <v>0</v>
      </c>
      <c r="CK138" s="72">
        <v>0</v>
      </c>
      <c r="CL138" s="72">
        <v>0</v>
      </c>
      <c r="CM138" s="72">
        <v>0</v>
      </c>
      <c r="CN138" s="72">
        <v>0</v>
      </c>
      <c r="CO138" s="72">
        <v>0</v>
      </c>
      <c r="CP138" s="72">
        <v>0</v>
      </c>
      <c r="CQ138" s="72">
        <v>0</v>
      </c>
      <c r="CR138" s="72">
        <v>0</v>
      </c>
      <c r="CS138" s="72">
        <v>0</v>
      </c>
      <c r="CT138" s="72">
        <v>0</v>
      </c>
      <c r="CU138" s="72">
        <v>0</v>
      </c>
      <c r="CV138" s="72">
        <v>0</v>
      </c>
      <c r="CW138" s="72">
        <v>0</v>
      </c>
      <c r="CX138" s="72">
        <v>0</v>
      </c>
      <c r="CY138" s="72">
        <v>0</v>
      </c>
      <c r="CZ138" s="72">
        <v>0</v>
      </c>
      <c r="DA138" s="72">
        <v>0</v>
      </c>
      <c r="DB138" s="72">
        <v>0</v>
      </c>
      <c r="DC138" s="72">
        <v>0</v>
      </c>
      <c r="DD138" s="72">
        <v>0</v>
      </c>
      <c r="DE138" s="72">
        <v>0</v>
      </c>
      <c r="DF138" s="72">
        <v>0</v>
      </c>
      <c r="DG138" s="72">
        <v>0</v>
      </c>
      <c r="DH138" s="72">
        <v>0</v>
      </c>
      <c r="DI138" s="72">
        <v>0</v>
      </c>
      <c r="DJ138" s="72">
        <v>0</v>
      </c>
      <c r="DK138" s="72">
        <v>0</v>
      </c>
      <c r="DL138" s="72">
        <v>0</v>
      </c>
      <c r="DM138" s="72">
        <v>0</v>
      </c>
      <c r="DN138" s="72">
        <v>0</v>
      </c>
      <c r="DO138" s="72">
        <v>0</v>
      </c>
      <c r="DP138" s="72">
        <v>0</v>
      </c>
      <c r="DQ138" s="72">
        <v>0</v>
      </c>
      <c r="DR138" s="72">
        <v>0</v>
      </c>
      <c r="DS138" s="72">
        <v>0</v>
      </c>
      <c r="DT138" s="72">
        <v>0</v>
      </c>
      <c r="DU138" s="72">
        <v>0</v>
      </c>
      <c r="DV138" s="72">
        <v>0</v>
      </c>
      <c r="DW138" s="72">
        <v>0</v>
      </c>
      <c r="DX138" s="72">
        <v>0</v>
      </c>
      <c r="DY138" s="72">
        <v>0</v>
      </c>
      <c r="DZ138" s="72">
        <v>0</v>
      </c>
      <c r="EA138" s="72">
        <v>0</v>
      </c>
      <c r="EB138" s="72">
        <v>0</v>
      </c>
      <c r="EC138" s="72">
        <v>0</v>
      </c>
      <c r="ED138" s="72">
        <v>0</v>
      </c>
      <c r="EE138" s="72">
        <v>0</v>
      </c>
      <c r="EF138" s="72">
        <v>0</v>
      </c>
      <c r="EG138" s="72">
        <v>0</v>
      </c>
      <c r="EH138" s="72">
        <v>0</v>
      </c>
      <c r="EI138" s="72">
        <v>0</v>
      </c>
      <c r="EJ138" s="72">
        <v>0</v>
      </c>
      <c r="EK138" s="72">
        <v>0</v>
      </c>
      <c r="EL138" s="72">
        <v>0</v>
      </c>
    </row>
    <row r="139" spans="1:142" s="6" customFormat="1" x14ac:dyDescent="0.35">
      <c r="A139" s="59">
        <f>Данные!A139</f>
        <v>4858</v>
      </c>
      <c r="B139" s="59">
        <f>Данные!B139</f>
        <v>2017</v>
      </c>
      <c r="C139" s="59" t="str">
        <f>Данные!C139</f>
        <v>компьютерных технологий и электронного обучения</v>
      </c>
      <c r="D139" s="59" t="str">
        <f>Данные!D139</f>
        <v>Авксентьева Елена Юрьевна</v>
      </c>
      <c r="E139" s="59" t="str">
        <f>Данные!E139</f>
        <v>кандидат педагогических наук</v>
      </c>
      <c r="F139" s="59" t="str">
        <f>Данные!F139</f>
        <v>доцент</v>
      </c>
      <c r="G139" s="59">
        <f>Данные!G139</f>
        <v>1</v>
      </c>
      <c r="H139" s="59">
        <f>Данные!H139</f>
        <v>16002</v>
      </c>
      <c r="I139" s="59" t="str">
        <f>Данные!I139</f>
        <v>Модуль "Технологии и методы вычислений". Информационные технологии в решении задач оптимизации</v>
      </c>
      <c r="J139" s="59">
        <f>Данные!J139</f>
        <v>18</v>
      </c>
      <c r="K139" s="59">
        <f>Данные!K139</f>
        <v>0</v>
      </c>
      <c r="L139" s="59">
        <f>Данные!L139</f>
        <v>12</v>
      </c>
      <c r="M139" s="60">
        <f t="shared" si="18"/>
        <v>3</v>
      </c>
      <c r="N139" s="60">
        <f t="shared" ca="1" si="19"/>
        <v>10.91</v>
      </c>
      <c r="O139" s="60">
        <f t="shared" ca="1" si="20"/>
        <v>6.75</v>
      </c>
      <c r="P139" s="60">
        <f t="shared" ca="1" si="21"/>
        <v>6.75</v>
      </c>
      <c r="Q139" s="54">
        <f>Данные!Q139</f>
        <v>0</v>
      </c>
      <c r="R139" s="54">
        <f>Данные!R139</f>
        <v>0</v>
      </c>
      <c r="S139" s="54">
        <f>Данные!S139</f>
        <v>0</v>
      </c>
      <c r="T139" s="54">
        <f>Данные!T139</f>
        <v>0</v>
      </c>
      <c r="U139" s="54">
        <f>Данные!U139</f>
        <v>0</v>
      </c>
      <c r="V139" s="54">
        <f>Данные!V139</f>
        <v>0</v>
      </c>
      <c r="W139" s="54">
        <f ca="1">Данные!W139</f>
        <v>27</v>
      </c>
      <c r="X139" s="54" t="str">
        <f ca="1">Данные!X139</f>
        <v>1</v>
      </c>
      <c r="Y139" s="54" t="str">
        <f ca="1">Данные!Y139</f>
        <v>2</v>
      </c>
      <c r="Z139" s="54">
        <f>Данные!Z139</f>
        <v>0</v>
      </c>
      <c r="AA139" s="54" t="str">
        <f>Данные!AA139</f>
        <v>осн</v>
      </c>
      <c r="AB139" s="101">
        <f t="shared" si="22"/>
        <v>800</v>
      </c>
      <c r="AC139" s="101" t="str">
        <f t="shared" si="23"/>
        <v>ИВТ (бак)</v>
      </c>
      <c r="AD139" s="101" t="str">
        <f t="shared" si="24"/>
        <v/>
      </c>
      <c r="AE139" s="102">
        <f t="shared" ca="1" si="25"/>
        <v>57.41</v>
      </c>
      <c r="AF139" s="103">
        <f t="shared" ca="1" si="26"/>
        <v>7.1762499999999993E-2</v>
      </c>
      <c r="AG139" s="101"/>
      <c r="AH139" s="101"/>
      <c r="AI139"/>
      <c r="BQ139" s="72">
        <v>0</v>
      </c>
      <c r="BR139" s="72">
        <v>0</v>
      </c>
      <c r="BS139" s="72">
        <v>0</v>
      </c>
      <c r="BT139" s="72">
        <v>0</v>
      </c>
      <c r="BU139" s="72">
        <v>0</v>
      </c>
      <c r="BV139" s="72">
        <v>0</v>
      </c>
      <c r="BW139" s="72">
        <v>0</v>
      </c>
      <c r="BX139" s="72">
        <v>0</v>
      </c>
      <c r="BY139" s="72">
        <v>0</v>
      </c>
      <c r="BZ139" s="72">
        <v>0</v>
      </c>
      <c r="CA139" s="72">
        <v>0</v>
      </c>
      <c r="CB139" s="72">
        <v>0</v>
      </c>
      <c r="CC139" s="72">
        <v>0</v>
      </c>
      <c r="CD139" s="72">
        <v>0</v>
      </c>
      <c r="CE139" s="72">
        <v>0</v>
      </c>
      <c r="CF139" s="72">
        <v>0</v>
      </c>
      <c r="CG139" s="72">
        <v>0</v>
      </c>
      <c r="CH139" s="72">
        <v>0</v>
      </c>
      <c r="CI139" s="72">
        <v>0</v>
      </c>
      <c r="CJ139" s="72">
        <v>0</v>
      </c>
      <c r="CK139" s="72">
        <v>0</v>
      </c>
      <c r="CL139" s="72">
        <v>0</v>
      </c>
      <c r="CM139" s="72">
        <v>0</v>
      </c>
      <c r="CN139" s="72">
        <v>0</v>
      </c>
      <c r="CO139" s="72">
        <v>0</v>
      </c>
      <c r="CP139" s="72">
        <v>0</v>
      </c>
      <c r="CQ139" s="72">
        <v>0</v>
      </c>
      <c r="CR139" s="72">
        <v>0</v>
      </c>
      <c r="CS139" s="72">
        <v>0</v>
      </c>
      <c r="CT139" s="72">
        <v>0</v>
      </c>
      <c r="CU139" s="72">
        <v>0</v>
      </c>
      <c r="CV139" s="72">
        <v>0</v>
      </c>
      <c r="CW139" s="72">
        <v>0</v>
      </c>
      <c r="CX139" s="72">
        <v>0</v>
      </c>
      <c r="CY139" s="72">
        <v>0</v>
      </c>
      <c r="CZ139" s="72">
        <v>0</v>
      </c>
      <c r="DA139" s="72">
        <v>0</v>
      </c>
      <c r="DB139" s="72">
        <v>0</v>
      </c>
      <c r="DC139" s="72">
        <v>0</v>
      </c>
      <c r="DD139" s="72">
        <v>0</v>
      </c>
      <c r="DE139" s="72">
        <v>0</v>
      </c>
      <c r="DF139" s="72">
        <v>0</v>
      </c>
      <c r="DG139" s="72">
        <v>0</v>
      </c>
      <c r="DH139" s="72">
        <v>0</v>
      </c>
      <c r="DI139" s="72">
        <v>0</v>
      </c>
      <c r="DJ139" s="72">
        <v>0</v>
      </c>
      <c r="DK139" s="72">
        <v>0</v>
      </c>
      <c r="DL139" s="72">
        <v>0</v>
      </c>
      <c r="DM139" s="72">
        <v>0</v>
      </c>
      <c r="DN139" s="72">
        <v>0</v>
      </c>
      <c r="DO139" s="72">
        <v>0</v>
      </c>
      <c r="DP139" s="72">
        <v>0</v>
      </c>
      <c r="DQ139" s="72">
        <v>0</v>
      </c>
      <c r="DR139" s="72">
        <v>0</v>
      </c>
      <c r="DS139" s="72">
        <v>0</v>
      </c>
      <c r="DT139" s="72">
        <v>0</v>
      </c>
      <c r="DU139" s="72">
        <v>0</v>
      </c>
      <c r="DV139" s="72">
        <v>0</v>
      </c>
      <c r="DW139" s="72">
        <v>0</v>
      </c>
      <c r="DX139" s="72">
        <v>0</v>
      </c>
      <c r="DY139" s="72">
        <v>0</v>
      </c>
      <c r="DZ139" s="72">
        <v>0</v>
      </c>
      <c r="EA139" s="72">
        <v>0</v>
      </c>
      <c r="EB139" s="72">
        <v>0</v>
      </c>
      <c r="EC139" s="72">
        <v>0</v>
      </c>
      <c r="ED139" s="72">
        <v>0</v>
      </c>
      <c r="EE139" s="72">
        <v>0</v>
      </c>
      <c r="EF139" s="72">
        <v>0</v>
      </c>
      <c r="EG139" s="72">
        <v>0</v>
      </c>
      <c r="EH139" s="72">
        <v>0</v>
      </c>
      <c r="EI139" s="72">
        <v>0</v>
      </c>
      <c r="EJ139" s="72">
        <v>0</v>
      </c>
      <c r="EK139" s="72">
        <v>0</v>
      </c>
      <c r="EL139" s="72">
        <v>0</v>
      </c>
    </row>
    <row r="140" spans="1:142" s="6" customFormat="1" x14ac:dyDescent="0.35">
      <c r="A140" s="59">
        <f>Данные!A140</f>
        <v>4858</v>
      </c>
      <c r="B140" s="59">
        <f>Данные!B140</f>
        <v>2017</v>
      </c>
      <c r="C140" s="59" t="str">
        <f>Данные!C140</f>
        <v>компьютерных технологий и электронного обучения</v>
      </c>
      <c r="D140" s="59" t="str">
        <f>Данные!D140</f>
        <v>Власова Елена Зотиковна</v>
      </c>
      <c r="E140" s="59" t="str">
        <f>Данные!E140</f>
        <v>доктор педагогических наук</v>
      </c>
      <c r="F140" s="59" t="str">
        <f>Данные!F140</f>
        <v>заведующий кафедрой</v>
      </c>
      <c r="G140" s="59">
        <f>Данные!G140</f>
        <v>1</v>
      </c>
      <c r="H140" s="59">
        <f>Данные!H140</f>
        <v>16002</v>
      </c>
      <c r="I140" s="59" t="str">
        <f>Данные!I140</f>
        <v>Модуль "Технологии и методы вычислений"</v>
      </c>
      <c r="J140" s="59">
        <f>Данные!J140</f>
        <v>0</v>
      </c>
      <c r="K140" s="59">
        <f>Данные!K140</f>
        <v>0</v>
      </c>
      <c r="L140" s="59">
        <f>Данные!L140</f>
        <v>0</v>
      </c>
      <c r="M140" s="60">
        <f t="shared" si="18"/>
        <v>0</v>
      </c>
      <c r="N140" s="60">
        <f t="shared" ca="1" si="19"/>
        <v>10.91</v>
      </c>
      <c r="O140" s="60">
        <f t="shared" ca="1" si="20"/>
        <v>6.75</v>
      </c>
      <c r="P140" s="60">
        <f t="shared" ca="1" si="21"/>
        <v>6.75</v>
      </c>
      <c r="Q140" s="54">
        <f>Данные!Q140</f>
        <v>0</v>
      </c>
      <c r="R140" s="54">
        <f>Данные!R140</f>
        <v>0</v>
      </c>
      <c r="S140" s="54">
        <f>Данные!S140</f>
        <v>0</v>
      </c>
      <c r="T140" s="54">
        <f>Данные!T140</f>
        <v>0</v>
      </c>
      <c r="U140" s="54">
        <f>Данные!U140</f>
        <v>0</v>
      </c>
      <c r="V140" s="54">
        <f>Данные!V140</f>
        <v>0</v>
      </c>
      <c r="W140" s="54">
        <f ca="1">Данные!W140</f>
        <v>27</v>
      </c>
      <c r="X140" s="54" t="str">
        <f ca="1">Данные!X140</f>
        <v>1</v>
      </c>
      <c r="Y140" s="54" t="str">
        <f ca="1">Данные!Y140</f>
        <v>2</v>
      </c>
      <c r="Z140" s="54">
        <f>Данные!Z140</f>
        <v>0</v>
      </c>
      <c r="AA140" s="54" t="str">
        <f>Данные!AA140</f>
        <v>осн</v>
      </c>
      <c r="AB140" s="101">
        <f t="shared" si="22"/>
        <v>700</v>
      </c>
      <c r="AC140" s="101" t="str">
        <f t="shared" si="23"/>
        <v>ИВТ (бак)</v>
      </c>
      <c r="AD140" s="101" t="str">
        <f t="shared" si="24"/>
        <v/>
      </c>
      <c r="AE140" s="102">
        <f t="shared" ca="1" si="25"/>
        <v>24.41</v>
      </c>
      <c r="AF140" s="103">
        <f t="shared" ca="1" si="26"/>
        <v>3.4871428571428574E-2</v>
      </c>
      <c r="AG140" s="101"/>
      <c r="AH140" s="101"/>
      <c r="AI140"/>
      <c r="BQ140" s="72">
        <v>0</v>
      </c>
      <c r="BR140" s="72">
        <v>0</v>
      </c>
      <c r="BS140" s="72">
        <v>0</v>
      </c>
      <c r="BT140" s="72">
        <v>0</v>
      </c>
      <c r="BU140" s="72">
        <v>0</v>
      </c>
      <c r="BV140" s="72">
        <v>0</v>
      </c>
      <c r="BW140" s="72">
        <v>0</v>
      </c>
      <c r="BX140" s="72">
        <v>0</v>
      </c>
      <c r="BY140" s="72">
        <v>0</v>
      </c>
      <c r="BZ140" s="72">
        <v>0</v>
      </c>
      <c r="CA140" s="72">
        <v>0</v>
      </c>
      <c r="CB140" s="72">
        <v>0</v>
      </c>
      <c r="CC140" s="72">
        <v>0</v>
      </c>
      <c r="CD140" s="72">
        <v>0</v>
      </c>
      <c r="CE140" s="72">
        <v>0</v>
      </c>
      <c r="CF140" s="72">
        <v>0</v>
      </c>
      <c r="CG140" s="72">
        <v>0</v>
      </c>
      <c r="CH140" s="72">
        <v>0</v>
      </c>
      <c r="CI140" s="72">
        <v>0</v>
      </c>
      <c r="CJ140" s="72">
        <v>0</v>
      </c>
      <c r="CK140" s="72">
        <v>0</v>
      </c>
      <c r="CL140" s="72">
        <v>0</v>
      </c>
      <c r="CM140" s="72">
        <v>0</v>
      </c>
      <c r="CN140" s="72">
        <v>0</v>
      </c>
      <c r="CO140" s="72">
        <v>0</v>
      </c>
      <c r="CP140" s="72">
        <v>0</v>
      </c>
      <c r="CQ140" s="72">
        <v>0</v>
      </c>
      <c r="CR140" s="72">
        <v>0</v>
      </c>
      <c r="CS140" s="72">
        <v>0</v>
      </c>
      <c r="CT140" s="72">
        <v>0</v>
      </c>
      <c r="CU140" s="72">
        <v>0</v>
      </c>
      <c r="CV140" s="72">
        <v>0</v>
      </c>
      <c r="CW140" s="72">
        <v>0</v>
      </c>
      <c r="CX140" s="72">
        <v>0</v>
      </c>
      <c r="CY140" s="72">
        <v>0</v>
      </c>
      <c r="CZ140" s="72">
        <v>0</v>
      </c>
      <c r="DA140" s="72">
        <v>0</v>
      </c>
      <c r="DB140" s="72">
        <v>0</v>
      </c>
      <c r="DC140" s="72">
        <v>0</v>
      </c>
      <c r="DD140" s="72">
        <v>0</v>
      </c>
      <c r="DE140" s="72">
        <v>0</v>
      </c>
      <c r="DF140" s="72">
        <v>0</v>
      </c>
      <c r="DG140" s="72">
        <v>0</v>
      </c>
      <c r="DH140" s="72">
        <v>0</v>
      </c>
      <c r="DI140" s="72">
        <v>0</v>
      </c>
      <c r="DJ140" s="72">
        <v>0</v>
      </c>
      <c r="DK140" s="72">
        <v>0</v>
      </c>
      <c r="DL140" s="72">
        <v>0</v>
      </c>
      <c r="DM140" s="72">
        <v>0</v>
      </c>
      <c r="DN140" s="72">
        <v>0</v>
      </c>
      <c r="DO140" s="72">
        <v>0</v>
      </c>
      <c r="DP140" s="72">
        <v>0</v>
      </c>
      <c r="DQ140" s="72">
        <v>0</v>
      </c>
      <c r="DR140" s="72">
        <v>0</v>
      </c>
      <c r="DS140" s="72">
        <v>0</v>
      </c>
      <c r="DT140" s="72">
        <v>0</v>
      </c>
      <c r="DU140" s="72">
        <v>0</v>
      </c>
      <c r="DV140" s="72">
        <v>0</v>
      </c>
      <c r="DW140" s="72">
        <v>0</v>
      </c>
      <c r="DX140" s="72">
        <v>0</v>
      </c>
      <c r="DY140" s="72">
        <v>0</v>
      </c>
      <c r="DZ140" s="72">
        <v>0</v>
      </c>
      <c r="EA140" s="72">
        <v>0</v>
      </c>
      <c r="EB140" s="72">
        <v>0</v>
      </c>
      <c r="EC140" s="72">
        <v>0</v>
      </c>
      <c r="ED140" s="72">
        <v>0</v>
      </c>
      <c r="EE140" s="72">
        <v>0</v>
      </c>
      <c r="EF140" s="72">
        <v>0</v>
      </c>
      <c r="EG140" s="72">
        <v>0</v>
      </c>
      <c r="EH140" s="72">
        <v>0</v>
      </c>
      <c r="EI140" s="72">
        <v>0</v>
      </c>
      <c r="EJ140" s="72">
        <v>0</v>
      </c>
      <c r="EK140" s="72">
        <v>0</v>
      </c>
      <c r="EL140" s="72">
        <v>0</v>
      </c>
    </row>
    <row r="141" spans="1:142" s="6" customFormat="1" x14ac:dyDescent="0.35">
      <c r="A141" s="59">
        <f>Данные!A141</f>
        <v>4858</v>
      </c>
      <c r="B141" s="59">
        <f>Данные!B141</f>
        <v>2017</v>
      </c>
      <c r="C141" s="59" t="str">
        <f>Данные!C141</f>
        <v>компьютерных технологий и электронного обучения</v>
      </c>
      <c r="D141" s="59" t="str">
        <f>Данные!D141</f>
        <v>Власова Елена Зотиковна</v>
      </c>
      <c r="E141" s="59" t="str">
        <f>Данные!E141</f>
        <v>доктор педагогических наук</v>
      </c>
      <c r="F141" s="59" t="str">
        <f>Данные!F141</f>
        <v>заведующий кафедрой</v>
      </c>
      <c r="G141" s="59">
        <f>Данные!G141</f>
        <v>1</v>
      </c>
      <c r="H141" s="59">
        <f>Данные!H141</f>
        <v>16002</v>
      </c>
      <c r="I141" s="59" t="str">
        <f>Данные!I141</f>
        <v>Модуль "Технологии и методы вычислений". Анализ данных</v>
      </c>
      <c r="J141" s="59">
        <f>Данные!J141</f>
        <v>18</v>
      </c>
      <c r="K141" s="59">
        <f>Данные!K141</f>
        <v>0</v>
      </c>
      <c r="L141" s="59">
        <f>Данные!L141</f>
        <v>0</v>
      </c>
      <c r="M141" s="60">
        <f t="shared" si="18"/>
        <v>1.8</v>
      </c>
      <c r="N141" s="60">
        <f t="shared" ca="1" si="19"/>
        <v>10.91</v>
      </c>
      <c r="O141" s="60">
        <f t="shared" ca="1" si="20"/>
        <v>6.75</v>
      </c>
      <c r="P141" s="60">
        <f t="shared" ca="1" si="21"/>
        <v>6.75</v>
      </c>
      <c r="Q141" s="54">
        <f>Данные!Q141</f>
        <v>0</v>
      </c>
      <c r="R141" s="54">
        <f>Данные!R141</f>
        <v>0</v>
      </c>
      <c r="S141" s="54">
        <f>Данные!S141</f>
        <v>0</v>
      </c>
      <c r="T141" s="54">
        <f>Данные!T141</f>
        <v>0</v>
      </c>
      <c r="U141" s="54">
        <f>Данные!U141</f>
        <v>0</v>
      </c>
      <c r="V141" s="54">
        <f>Данные!V141</f>
        <v>0</v>
      </c>
      <c r="W141" s="54">
        <f ca="1">Данные!W141</f>
        <v>27</v>
      </c>
      <c r="X141" s="54" t="str">
        <f ca="1">Данные!X141</f>
        <v>1</v>
      </c>
      <c r="Y141" s="54" t="str">
        <f ca="1">Данные!Y141</f>
        <v>2</v>
      </c>
      <c r="Z141" s="54">
        <f>Данные!Z141</f>
        <v>0</v>
      </c>
      <c r="AA141" s="54" t="str">
        <f>Данные!AA141</f>
        <v>осн</v>
      </c>
      <c r="AB141" s="101">
        <f t="shared" si="22"/>
        <v>700</v>
      </c>
      <c r="AC141" s="101" t="str">
        <f t="shared" si="23"/>
        <v>ИВТ (бак)</v>
      </c>
      <c r="AD141" s="101" t="str">
        <f t="shared" si="24"/>
        <v/>
      </c>
      <c r="AE141" s="102">
        <f t="shared" ca="1" si="25"/>
        <v>44.21</v>
      </c>
      <c r="AF141" s="103">
        <f t="shared" ca="1" si="26"/>
        <v>6.3157142857142856E-2</v>
      </c>
      <c r="AG141" s="101"/>
      <c r="AH141" s="101"/>
      <c r="AI141"/>
      <c r="BQ141" s="72">
        <v>0</v>
      </c>
      <c r="BR141" s="72">
        <v>0</v>
      </c>
      <c r="BS141" s="72">
        <v>0</v>
      </c>
      <c r="BT141" s="72">
        <v>0</v>
      </c>
      <c r="BU141" s="72">
        <v>0</v>
      </c>
      <c r="BV141" s="72">
        <v>0</v>
      </c>
      <c r="BW141" s="72">
        <v>0</v>
      </c>
      <c r="BX141" s="72">
        <v>0</v>
      </c>
      <c r="BY141" s="72">
        <v>0</v>
      </c>
      <c r="BZ141" s="72">
        <v>0</v>
      </c>
      <c r="CA141" s="72">
        <v>0</v>
      </c>
      <c r="CB141" s="72">
        <v>0</v>
      </c>
      <c r="CC141" s="72">
        <v>0</v>
      </c>
      <c r="CD141" s="72">
        <v>0</v>
      </c>
      <c r="CE141" s="72">
        <v>0</v>
      </c>
      <c r="CF141" s="72">
        <v>0</v>
      </c>
      <c r="CG141" s="72">
        <v>0</v>
      </c>
      <c r="CH141" s="72">
        <v>0</v>
      </c>
      <c r="CI141" s="72">
        <v>0</v>
      </c>
      <c r="CJ141" s="72">
        <v>0</v>
      </c>
      <c r="CK141" s="72">
        <v>0</v>
      </c>
      <c r="CL141" s="72">
        <v>0</v>
      </c>
      <c r="CM141" s="72">
        <v>0</v>
      </c>
      <c r="CN141" s="72">
        <v>0</v>
      </c>
      <c r="CO141" s="72">
        <v>0</v>
      </c>
      <c r="CP141" s="72">
        <v>0</v>
      </c>
      <c r="CQ141" s="72">
        <v>0</v>
      </c>
      <c r="CR141" s="72">
        <v>0</v>
      </c>
      <c r="CS141" s="72">
        <v>0</v>
      </c>
      <c r="CT141" s="72">
        <v>0</v>
      </c>
      <c r="CU141" s="72">
        <v>0</v>
      </c>
      <c r="CV141" s="72">
        <v>0</v>
      </c>
      <c r="CW141" s="72">
        <v>0</v>
      </c>
      <c r="CX141" s="72">
        <v>0</v>
      </c>
      <c r="CY141" s="72">
        <v>0</v>
      </c>
      <c r="CZ141" s="72">
        <v>0</v>
      </c>
      <c r="DA141" s="72">
        <v>0</v>
      </c>
      <c r="DB141" s="72">
        <v>0</v>
      </c>
      <c r="DC141" s="72">
        <v>0</v>
      </c>
      <c r="DD141" s="72">
        <v>0</v>
      </c>
      <c r="DE141" s="72">
        <v>0</v>
      </c>
      <c r="DF141" s="72">
        <v>0</v>
      </c>
      <c r="DG141" s="72">
        <v>0</v>
      </c>
      <c r="DH141" s="72">
        <v>0</v>
      </c>
      <c r="DI141" s="72">
        <v>0</v>
      </c>
      <c r="DJ141" s="72">
        <v>0</v>
      </c>
      <c r="DK141" s="72">
        <v>0</v>
      </c>
      <c r="DL141" s="72">
        <v>0</v>
      </c>
      <c r="DM141" s="72">
        <v>0</v>
      </c>
      <c r="DN141" s="72">
        <v>0</v>
      </c>
      <c r="DO141" s="72">
        <v>0</v>
      </c>
      <c r="DP141" s="72">
        <v>0</v>
      </c>
      <c r="DQ141" s="72">
        <v>0</v>
      </c>
      <c r="DR141" s="72">
        <v>0</v>
      </c>
      <c r="DS141" s="72">
        <v>0</v>
      </c>
      <c r="DT141" s="72">
        <v>0</v>
      </c>
      <c r="DU141" s="72">
        <v>0</v>
      </c>
      <c r="DV141" s="72">
        <v>0</v>
      </c>
      <c r="DW141" s="72">
        <v>0</v>
      </c>
      <c r="DX141" s="72">
        <v>0</v>
      </c>
      <c r="DY141" s="72">
        <v>0</v>
      </c>
      <c r="DZ141" s="72">
        <v>0</v>
      </c>
      <c r="EA141" s="72">
        <v>0</v>
      </c>
      <c r="EB141" s="72">
        <v>0</v>
      </c>
      <c r="EC141" s="72">
        <v>0</v>
      </c>
      <c r="ED141" s="72">
        <v>0</v>
      </c>
      <c r="EE141" s="72">
        <v>0</v>
      </c>
      <c r="EF141" s="72">
        <v>0</v>
      </c>
      <c r="EG141" s="72">
        <v>0</v>
      </c>
      <c r="EH141" s="72">
        <v>0</v>
      </c>
      <c r="EI141" s="72">
        <v>0</v>
      </c>
      <c r="EJ141" s="72">
        <v>0</v>
      </c>
      <c r="EK141" s="72">
        <v>0</v>
      </c>
      <c r="EL141" s="72">
        <v>0</v>
      </c>
    </row>
    <row r="142" spans="1:142" s="6" customFormat="1" x14ac:dyDescent="0.35">
      <c r="A142" s="59">
        <f>Данные!A142</f>
        <v>4858</v>
      </c>
      <c r="B142" s="59">
        <f>Данные!B142</f>
        <v>2017</v>
      </c>
      <c r="C142" s="59" t="str">
        <f>Данные!C142</f>
        <v>компьютерных технологий и электронного обучения</v>
      </c>
      <c r="D142" s="59" t="str">
        <f>Данные!D142</f>
        <v>Власова Елена Зотиковна</v>
      </c>
      <c r="E142" s="59" t="str">
        <f>Данные!E142</f>
        <v>доктор педагогических наук</v>
      </c>
      <c r="F142" s="59" t="str">
        <f>Данные!F142</f>
        <v>заведующий кафедрой</v>
      </c>
      <c r="G142" s="59">
        <f>Данные!G142</f>
        <v>1</v>
      </c>
      <c r="H142" s="59">
        <f>Данные!H142</f>
        <v>16002</v>
      </c>
      <c r="I142" s="59" t="str">
        <f>Данные!I142</f>
        <v>Модуль "Технологии и методы вычислений". Вычислительная математика</v>
      </c>
      <c r="J142" s="59">
        <f>Данные!J142</f>
        <v>18</v>
      </c>
      <c r="K142" s="59">
        <f>Данные!K142</f>
        <v>0</v>
      </c>
      <c r="L142" s="59">
        <f>Данные!L142</f>
        <v>36</v>
      </c>
      <c r="M142" s="60">
        <f t="shared" si="18"/>
        <v>5.4</v>
      </c>
      <c r="N142" s="60">
        <f t="shared" ca="1" si="19"/>
        <v>10.91</v>
      </c>
      <c r="O142" s="60">
        <f t="shared" ca="1" si="20"/>
        <v>6.75</v>
      </c>
      <c r="P142" s="60">
        <f t="shared" ca="1" si="21"/>
        <v>6.75</v>
      </c>
      <c r="Q142" s="54">
        <f>Данные!Q142</f>
        <v>0</v>
      </c>
      <c r="R142" s="54">
        <f>Данные!R142</f>
        <v>0</v>
      </c>
      <c r="S142" s="54">
        <f>Данные!S142</f>
        <v>0</v>
      </c>
      <c r="T142" s="54">
        <f>Данные!T142</f>
        <v>0</v>
      </c>
      <c r="U142" s="54">
        <f>Данные!U142</f>
        <v>0</v>
      </c>
      <c r="V142" s="54">
        <f>Данные!V142</f>
        <v>0</v>
      </c>
      <c r="W142" s="54">
        <f ca="1">Данные!W142</f>
        <v>27</v>
      </c>
      <c r="X142" s="54" t="str">
        <f ca="1">Данные!X142</f>
        <v>1</v>
      </c>
      <c r="Y142" s="54" t="str">
        <f ca="1">Данные!Y142</f>
        <v>2</v>
      </c>
      <c r="Z142" s="54">
        <f>Данные!Z142</f>
        <v>0</v>
      </c>
      <c r="AA142" s="54" t="str">
        <f>Данные!AA142</f>
        <v>осн</v>
      </c>
      <c r="AB142" s="101">
        <f t="shared" si="22"/>
        <v>700</v>
      </c>
      <c r="AC142" s="101" t="str">
        <f t="shared" si="23"/>
        <v>ИВТ (бак)</v>
      </c>
      <c r="AD142" s="101" t="str">
        <f t="shared" si="24"/>
        <v/>
      </c>
      <c r="AE142" s="102">
        <f t="shared" ca="1" si="25"/>
        <v>83.81</v>
      </c>
      <c r="AF142" s="103">
        <f t="shared" ca="1" si="26"/>
        <v>0.11972857142857143</v>
      </c>
      <c r="AG142" s="101"/>
      <c r="AH142" s="101"/>
      <c r="AI142"/>
      <c r="BQ142" s="72">
        <v>0</v>
      </c>
      <c r="BR142" s="72">
        <v>0</v>
      </c>
      <c r="BS142" s="72">
        <v>0</v>
      </c>
      <c r="BT142" s="72">
        <v>0</v>
      </c>
      <c r="BU142" s="72">
        <v>0</v>
      </c>
      <c r="BV142" s="72">
        <v>0</v>
      </c>
      <c r="BW142" s="72">
        <v>0</v>
      </c>
      <c r="BX142" s="72">
        <v>0</v>
      </c>
      <c r="BY142" s="72">
        <v>0</v>
      </c>
      <c r="BZ142" s="72">
        <v>0</v>
      </c>
      <c r="CA142" s="72">
        <v>0</v>
      </c>
      <c r="CB142" s="72">
        <v>0</v>
      </c>
      <c r="CC142" s="72">
        <v>0</v>
      </c>
      <c r="CD142" s="72">
        <v>0</v>
      </c>
      <c r="CE142" s="72">
        <v>0</v>
      </c>
      <c r="CF142" s="72">
        <v>0</v>
      </c>
      <c r="CG142" s="72">
        <v>0</v>
      </c>
      <c r="CH142" s="72">
        <v>0</v>
      </c>
      <c r="CI142" s="72">
        <v>0</v>
      </c>
      <c r="CJ142" s="72">
        <v>0</v>
      </c>
      <c r="CK142" s="72">
        <v>0</v>
      </c>
      <c r="CL142" s="72">
        <v>0</v>
      </c>
      <c r="CM142" s="72">
        <v>0</v>
      </c>
      <c r="CN142" s="72">
        <v>0</v>
      </c>
      <c r="CO142" s="72">
        <v>0</v>
      </c>
      <c r="CP142" s="72">
        <v>0</v>
      </c>
      <c r="CQ142" s="72">
        <v>0</v>
      </c>
      <c r="CR142" s="72">
        <v>0</v>
      </c>
      <c r="CS142" s="72">
        <v>0</v>
      </c>
      <c r="CT142" s="72">
        <v>0</v>
      </c>
      <c r="CU142" s="72">
        <v>0</v>
      </c>
      <c r="CV142" s="72">
        <v>0</v>
      </c>
      <c r="CW142" s="72">
        <v>0</v>
      </c>
      <c r="CX142" s="72">
        <v>0</v>
      </c>
      <c r="CY142" s="72">
        <v>0</v>
      </c>
      <c r="CZ142" s="72">
        <v>0</v>
      </c>
      <c r="DA142" s="72">
        <v>0</v>
      </c>
      <c r="DB142" s="72">
        <v>0</v>
      </c>
      <c r="DC142" s="72">
        <v>0</v>
      </c>
      <c r="DD142" s="72">
        <v>0</v>
      </c>
      <c r="DE142" s="72">
        <v>0</v>
      </c>
      <c r="DF142" s="72">
        <v>0</v>
      </c>
      <c r="DG142" s="72">
        <v>0</v>
      </c>
      <c r="DH142" s="72">
        <v>0</v>
      </c>
      <c r="DI142" s="72">
        <v>0</v>
      </c>
      <c r="DJ142" s="72">
        <v>0</v>
      </c>
      <c r="DK142" s="72">
        <v>0</v>
      </c>
      <c r="DL142" s="72">
        <v>0</v>
      </c>
      <c r="DM142" s="72">
        <v>0</v>
      </c>
      <c r="DN142" s="72">
        <v>0</v>
      </c>
      <c r="DO142" s="72">
        <v>0</v>
      </c>
      <c r="DP142" s="72">
        <v>0</v>
      </c>
      <c r="DQ142" s="72">
        <v>0</v>
      </c>
      <c r="DR142" s="72">
        <v>0</v>
      </c>
      <c r="DS142" s="72">
        <v>0</v>
      </c>
      <c r="DT142" s="72">
        <v>0</v>
      </c>
      <c r="DU142" s="72">
        <v>0</v>
      </c>
      <c r="DV142" s="72">
        <v>0</v>
      </c>
      <c r="DW142" s="72">
        <v>0</v>
      </c>
      <c r="DX142" s="72">
        <v>0</v>
      </c>
      <c r="DY142" s="72">
        <v>0</v>
      </c>
      <c r="DZ142" s="72">
        <v>0</v>
      </c>
      <c r="EA142" s="72">
        <v>0</v>
      </c>
      <c r="EB142" s="72">
        <v>0</v>
      </c>
      <c r="EC142" s="72">
        <v>0</v>
      </c>
      <c r="ED142" s="72">
        <v>0</v>
      </c>
      <c r="EE142" s="72">
        <v>0</v>
      </c>
      <c r="EF142" s="72">
        <v>0</v>
      </c>
      <c r="EG142" s="72">
        <v>0</v>
      </c>
      <c r="EH142" s="72">
        <v>0</v>
      </c>
      <c r="EI142" s="72">
        <v>0</v>
      </c>
      <c r="EJ142" s="72">
        <v>0</v>
      </c>
      <c r="EK142" s="72">
        <v>0</v>
      </c>
      <c r="EL142" s="72">
        <v>0</v>
      </c>
    </row>
    <row r="143" spans="1:142" s="6" customFormat="1" x14ac:dyDescent="0.35">
      <c r="A143" s="59">
        <f>Данные!A143</f>
        <v>4858</v>
      </c>
      <c r="B143" s="59">
        <f>Данные!B143</f>
        <v>2017</v>
      </c>
      <c r="C143" s="59" t="str">
        <f>Данные!C143</f>
        <v>компьютерных технологий и электронного обучения</v>
      </c>
      <c r="D143" s="59" t="str">
        <f>Данные!D143</f>
        <v>Власова Елена Зотиковна</v>
      </c>
      <c r="E143" s="59" t="str">
        <f>Данные!E143</f>
        <v>доктор педагогических наук</v>
      </c>
      <c r="F143" s="59" t="str">
        <f>Данные!F143</f>
        <v>заведующий кафедрой</v>
      </c>
      <c r="G143" s="59">
        <f>Данные!G143</f>
        <v>1</v>
      </c>
      <c r="H143" s="59">
        <f>Данные!H143</f>
        <v>16002</v>
      </c>
      <c r="I143" s="59" t="str">
        <f>Данные!I143</f>
        <v>Модуль "Технологии и методы вычислений". Технологии компьютерного моделирования</v>
      </c>
      <c r="J143" s="59">
        <f>Данные!J143</f>
        <v>18</v>
      </c>
      <c r="K143" s="59">
        <f>Данные!K143</f>
        <v>0</v>
      </c>
      <c r="L143" s="59">
        <f>Данные!L143</f>
        <v>54</v>
      </c>
      <c r="M143" s="60">
        <f t="shared" si="18"/>
        <v>7.2</v>
      </c>
      <c r="N143" s="60">
        <f t="shared" ca="1" si="19"/>
        <v>10.91</v>
      </c>
      <c r="O143" s="60">
        <f t="shared" ca="1" si="20"/>
        <v>6.75</v>
      </c>
      <c r="P143" s="60">
        <f t="shared" ca="1" si="21"/>
        <v>6.75</v>
      </c>
      <c r="Q143" s="54">
        <f>Данные!Q143</f>
        <v>0</v>
      </c>
      <c r="R143" s="54">
        <f>Данные!R143</f>
        <v>0</v>
      </c>
      <c r="S143" s="54">
        <f>Данные!S143</f>
        <v>0</v>
      </c>
      <c r="T143" s="54">
        <f>Данные!T143</f>
        <v>0</v>
      </c>
      <c r="U143" s="54">
        <f>Данные!U143</f>
        <v>0</v>
      </c>
      <c r="V143" s="54">
        <f>Данные!V143</f>
        <v>0</v>
      </c>
      <c r="W143" s="54">
        <f ca="1">Данные!W143</f>
        <v>27</v>
      </c>
      <c r="X143" s="54" t="str">
        <f ca="1">Данные!X143</f>
        <v>1</v>
      </c>
      <c r="Y143" s="54" t="str">
        <f ca="1">Данные!Y143</f>
        <v>2</v>
      </c>
      <c r="Z143" s="54">
        <f>Данные!Z143</f>
        <v>0</v>
      </c>
      <c r="AA143" s="54" t="str">
        <f>Данные!AA143</f>
        <v>осн</v>
      </c>
      <c r="AB143" s="101">
        <f t="shared" si="22"/>
        <v>700</v>
      </c>
      <c r="AC143" s="101" t="str">
        <f t="shared" si="23"/>
        <v>ИВТ (бак)</v>
      </c>
      <c r="AD143" s="101" t="str">
        <f t="shared" si="24"/>
        <v/>
      </c>
      <c r="AE143" s="102">
        <f t="shared" ca="1" si="25"/>
        <v>103.61</v>
      </c>
      <c r="AF143" s="103">
        <f t="shared" ca="1" si="26"/>
        <v>0.14801428571428571</v>
      </c>
      <c r="AG143" s="101"/>
      <c r="AH143" s="101"/>
      <c r="AI143"/>
      <c r="BQ143" s="72">
        <v>0</v>
      </c>
      <c r="BR143" s="72">
        <v>0</v>
      </c>
      <c r="BS143" s="72">
        <v>0</v>
      </c>
      <c r="BT143" s="72">
        <v>0</v>
      </c>
      <c r="BU143" s="72">
        <v>0</v>
      </c>
      <c r="BV143" s="72">
        <v>0</v>
      </c>
      <c r="BW143" s="72">
        <v>0</v>
      </c>
      <c r="BX143" s="72">
        <v>0</v>
      </c>
      <c r="BY143" s="72">
        <v>0</v>
      </c>
      <c r="BZ143" s="72">
        <v>0</v>
      </c>
      <c r="CA143" s="72">
        <v>0</v>
      </c>
      <c r="CB143" s="72">
        <v>0</v>
      </c>
      <c r="CC143" s="72">
        <v>0</v>
      </c>
      <c r="CD143" s="72">
        <v>0</v>
      </c>
      <c r="CE143" s="72">
        <v>0</v>
      </c>
      <c r="CF143" s="72">
        <v>0</v>
      </c>
      <c r="CG143" s="72">
        <v>0</v>
      </c>
      <c r="CH143" s="72">
        <v>0</v>
      </c>
      <c r="CI143" s="72">
        <v>0</v>
      </c>
      <c r="CJ143" s="72">
        <v>0</v>
      </c>
      <c r="CK143" s="72">
        <v>0</v>
      </c>
      <c r="CL143" s="72">
        <v>0</v>
      </c>
      <c r="CM143" s="72">
        <v>0</v>
      </c>
      <c r="CN143" s="72">
        <v>0</v>
      </c>
      <c r="CO143" s="72">
        <v>0</v>
      </c>
      <c r="CP143" s="72">
        <v>0</v>
      </c>
      <c r="CQ143" s="72">
        <v>0</v>
      </c>
      <c r="CR143" s="72">
        <v>0</v>
      </c>
      <c r="CS143" s="72">
        <v>0</v>
      </c>
      <c r="CT143" s="72">
        <v>0</v>
      </c>
      <c r="CU143" s="72">
        <v>0</v>
      </c>
      <c r="CV143" s="72">
        <v>0</v>
      </c>
      <c r="CW143" s="72">
        <v>0</v>
      </c>
      <c r="CX143" s="72">
        <v>0</v>
      </c>
      <c r="CY143" s="72">
        <v>0</v>
      </c>
      <c r="CZ143" s="72">
        <v>0</v>
      </c>
      <c r="DA143" s="72">
        <v>0</v>
      </c>
      <c r="DB143" s="72">
        <v>0</v>
      </c>
      <c r="DC143" s="72">
        <v>0</v>
      </c>
      <c r="DD143" s="72">
        <v>0</v>
      </c>
      <c r="DE143" s="72">
        <v>0</v>
      </c>
      <c r="DF143" s="72">
        <v>0</v>
      </c>
      <c r="DG143" s="72">
        <v>0</v>
      </c>
      <c r="DH143" s="72">
        <v>0</v>
      </c>
      <c r="DI143" s="72">
        <v>0</v>
      </c>
      <c r="DJ143" s="72">
        <v>0</v>
      </c>
      <c r="DK143" s="72">
        <v>0</v>
      </c>
      <c r="DL143" s="72">
        <v>0</v>
      </c>
      <c r="DM143" s="72">
        <v>0</v>
      </c>
      <c r="DN143" s="72">
        <v>0</v>
      </c>
      <c r="DO143" s="72">
        <v>0</v>
      </c>
      <c r="DP143" s="72">
        <v>0</v>
      </c>
      <c r="DQ143" s="72">
        <v>0</v>
      </c>
      <c r="DR143" s="72">
        <v>0</v>
      </c>
      <c r="DS143" s="72">
        <v>0</v>
      </c>
      <c r="DT143" s="72">
        <v>0</v>
      </c>
      <c r="DU143" s="72">
        <v>0</v>
      </c>
      <c r="DV143" s="72">
        <v>0</v>
      </c>
      <c r="DW143" s="72">
        <v>0</v>
      </c>
      <c r="DX143" s="72">
        <v>0</v>
      </c>
      <c r="DY143" s="72">
        <v>0</v>
      </c>
      <c r="DZ143" s="72">
        <v>0</v>
      </c>
      <c r="EA143" s="72">
        <v>0</v>
      </c>
      <c r="EB143" s="72">
        <v>0</v>
      </c>
      <c r="EC143" s="72">
        <v>0</v>
      </c>
      <c r="ED143" s="72">
        <v>0</v>
      </c>
      <c r="EE143" s="72">
        <v>0</v>
      </c>
      <c r="EF143" s="72">
        <v>0</v>
      </c>
      <c r="EG143" s="72">
        <v>0</v>
      </c>
      <c r="EH143" s="72">
        <v>0</v>
      </c>
      <c r="EI143" s="72">
        <v>0</v>
      </c>
      <c r="EJ143" s="72">
        <v>0</v>
      </c>
      <c r="EK143" s="72">
        <v>0</v>
      </c>
      <c r="EL143" s="72">
        <v>0</v>
      </c>
    </row>
    <row r="144" spans="1:142" s="6" customFormat="1" x14ac:dyDescent="0.35">
      <c r="A144" s="59">
        <f>Данные!A144</f>
        <v>4858</v>
      </c>
      <c r="B144" s="59">
        <f>Данные!B144</f>
        <v>2017</v>
      </c>
      <c r="C144" s="59" t="str">
        <f>Данные!C144</f>
        <v>компьютерных технологий и электронного обучения</v>
      </c>
      <c r="D144" s="59" t="str">
        <f>Данные!D144</f>
        <v>Гончарова Светлана Викторовна</v>
      </c>
      <c r="E144" s="59" t="str">
        <f>Данные!E144</f>
        <v>кандидат педагогических наук</v>
      </c>
      <c r="F144" s="59" t="str">
        <f>Данные!F144</f>
        <v>доцент</v>
      </c>
      <c r="G144" s="59">
        <f>Данные!G144</f>
        <v>1</v>
      </c>
      <c r="H144" s="59">
        <f>Данные!H144</f>
        <v>16002</v>
      </c>
      <c r="I144" s="59" t="str">
        <f>Данные!I144</f>
        <v>Модуль "Технологии и методы вычислений"</v>
      </c>
      <c r="J144" s="59">
        <f>Данные!J144</f>
        <v>0</v>
      </c>
      <c r="K144" s="59">
        <f>Данные!K144</f>
        <v>0</v>
      </c>
      <c r="L144" s="59">
        <f>Данные!L144</f>
        <v>0</v>
      </c>
      <c r="M144" s="60">
        <f t="shared" si="18"/>
        <v>0</v>
      </c>
      <c r="N144" s="60">
        <f t="shared" ca="1" si="19"/>
        <v>10.91</v>
      </c>
      <c r="O144" s="60">
        <f t="shared" ca="1" si="20"/>
        <v>6.75</v>
      </c>
      <c r="P144" s="60">
        <f t="shared" ca="1" si="21"/>
        <v>6.75</v>
      </c>
      <c r="Q144" s="54">
        <f>Данные!Q144</f>
        <v>0</v>
      </c>
      <c r="R144" s="54">
        <f>Данные!R144</f>
        <v>0</v>
      </c>
      <c r="S144" s="54">
        <f>Данные!S144</f>
        <v>0</v>
      </c>
      <c r="T144" s="54">
        <f>Данные!T144</f>
        <v>0</v>
      </c>
      <c r="U144" s="54">
        <f>Данные!U144</f>
        <v>0</v>
      </c>
      <c r="V144" s="54">
        <f>Данные!V144</f>
        <v>0</v>
      </c>
      <c r="W144" s="54">
        <f ca="1">Данные!W144</f>
        <v>27</v>
      </c>
      <c r="X144" s="54" t="str">
        <f ca="1">Данные!X144</f>
        <v>1</v>
      </c>
      <c r="Y144" s="54" t="str">
        <f ca="1">Данные!Y144</f>
        <v>2</v>
      </c>
      <c r="Z144" s="54">
        <f>Данные!Z144</f>
        <v>0</v>
      </c>
      <c r="AA144" s="54" t="str">
        <f>Данные!AA144</f>
        <v>осн</v>
      </c>
      <c r="AB144" s="101">
        <f t="shared" si="22"/>
        <v>800</v>
      </c>
      <c r="AC144" s="101" t="str">
        <f t="shared" si="23"/>
        <v>ИВТ (бак)</v>
      </c>
      <c r="AD144" s="101" t="str">
        <f t="shared" si="24"/>
        <v/>
      </c>
      <c r="AE144" s="102">
        <f t="shared" ca="1" si="25"/>
        <v>24.41</v>
      </c>
      <c r="AF144" s="103">
        <f t="shared" ca="1" si="26"/>
        <v>3.0512500000000001E-2</v>
      </c>
      <c r="AG144" s="101"/>
      <c r="AH144" s="101"/>
      <c r="AI144"/>
      <c r="BQ144" s="72">
        <v>0</v>
      </c>
      <c r="BR144" s="72">
        <v>0</v>
      </c>
      <c r="BS144" s="72">
        <v>0</v>
      </c>
      <c r="BT144" s="72">
        <v>0</v>
      </c>
      <c r="BU144" s="72">
        <v>0</v>
      </c>
      <c r="BV144" s="72">
        <v>0</v>
      </c>
      <c r="BW144" s="72">
        <v>0</v>
      </c>
      <c r="BX144" s="72">
        <v>0</v>
      </c>
      <c r="BY144" s="72">
        <v>0</v>
      </c>
      <c r="BZ144" s="72">
        <v>0</v>
      </c>
      <c r="CA144" s="72">
        <v>0</v>
      </c>
      <c r="CB144" s="72">
        <v>0</v>
      </c>
      <c r="CC144" s="72">
        <v>0</v>
      </c>
      <c r="CD144" s="72">
        <v>0</v>
      </c>
      <c r="CE144" s="72">
        <v>0</v>
      </c>
      <c r="CF144" s="72">
        <v>0</v>
      </c>
      <c r="CG144" s="72">
        <v>0</v>
      </c>
      <c r="CH144" s="72">
        <v>0</v>
      </c>
      <c r="CI144" s="72">
        <v>0</v>
      </c>
      <c r="CJ144" s="72">
        <v>0</v>
      </c>
      <c r="CK144" s="72">
        <v>0</v>
      </c>
      <c r="CL144" s="72">
        <v>0</v>
      </c>
      <c r="CM144" s="72">
        <v>0</v>
      </c>
      <c r="CN144" s="72">
        <v>0</v>
      </c>
      <c r="CO144" s="72">
        <v>0</v>
      </c>
      <c r="CP144" s="72">
        <v>0</v>
      </c>
      <c r="CQ144" s="72">
        <v>0</v>
      </c>
      <c r="CR144" s="72">
        <v>0</v>
      </c>
      <c r="CS144" s="72">
        <v>0</v>
      </c>
      <c r="CT144" s="72">
        <v>0</v>
      </c>
      <c r="CU144" s="72">
        <v>0</v>
      </c>
      <c r="CV144" s="72">
        <v>0</v>
      </c>
      <c r="CW144" s="72">
        <v>0</v>
      </c>
      <c r="CX144" s="72">
        <v>0</v>
      </c>
      <c r="CY144" s="72">
        <v>0</v>
      </c>
      <c r="CZ144" s="72">
        <v>0</v>
      </c>
      <c r="DA144" s="72">
        <v>0</v>
      </c>
      <c r="DB144" s="72">
        <v>0</v>
      </c>
      <c r="DC144" s="72">
        <v>0</v>
      </c>
      <c r="DD144" s="72">
        <v>0</v>
      </c>
      <c r="DE144" s="72">
        <v>0</v>
      </c>
      <c r="DF144" s="72">
        <v>0</v>
      </c>
      <c r="DG144" s="72">
        <v>0</v>
      </c>
      <c r="DH144" s="72">
        <v>0</v>
      </c>
      <c r="DI144" s="72">
        <v>0</v>
      </c>
      <c r="DJ144" s="72">
        <v>0</v>
      </c>
      <c r="DK144" s="72">
        <v>0</v>
      </c>
      <c r="DL144" s="72">
        <v>0</v>
      </c>
      <c r="DM144" s="72">
        <v>0</v>
      </c>
      <c r="DN144" s="72">
        <v>0</v>
      </c>
      <c r="DO144" s="72">
        <v>0</v>
      </c>
      <c r="DP144" s="72">
        <v>0</v>
      </c>
      <c r="DQ144" s="72">
        <v>0</v>
      </c>
      <c r="DR144" s="72">
        <v>0</v>
      </c>
      <c r="DS144" s="72">
        <v>0</v>
      </c>
      <c r="DT144" s="72">
        <v>0</v>
      </c>
      <c r="DU144" s="72">
        <v>0</v>
      </c>
      <c r="DV144" s="72">
        <v>0</v>
      </c>
      <c r="DW144" s="72">
        <v>0</v>
      </c>
      <c r="DX144" s="72">
        <v>0</v>
      </c>
      <c r="DY144" s="72">
        <v>0</v>
      </c>
      <c r="DZ144" s="72">
        <v>0</v>
      </c>
      <c r="EA144" s="72">
        <v>0</v>
      </c>
      <c r="EB144" s="72">
        <v>0</v>
      </c>
      <c r="EC144" s="72">
        <v>0</v>
      </c>
      <c r="ED144" s="72">
        <v>0</v>
      </c>
      <c r="EE144" s="72">
        <v>0</v>
      </c>
      <c r="EF144" s="72">
        <v>0</v>
      </c>
      <c r="EG144" s="72">
        <v>0</v>
      </c>
      <c r="EH144" s="72">
        <v>0</v>
      </c>
      <c r="EI144" s="72">
        <v>0</v>
      </c>
      <c r="EJ144" s="72">
        <v>0</v>
      </c>
      <c r="EK144" s="72">
        <v>0</v>
      </c>
      <c r="EL144" s="72">
        <v>0</v>
      </c>
    </row>
    <row r="145" spans="1:142" s="6" customFormat="1" x14ac:dyDescent="0.35">
      <c r="A145" s="59">
        <f>Данные!A145</f>
        <v>4858</v>
      </c>
      <c r="B145" s="59">
        <f>Данные!B145</f>
        <v>2017</v>
      </c>
      <c r="C145" s="59" t="str">
        <f>Данные!C145</f>
        <v>компьютерных технологий и электронного обучения</v>
      </c>
      <c r="D145" s="59" t="str">
        <f>Данные!D145</f>
        <v>Гончарова Светлана Викторовна</v>
      </c>
      <c r="E145" s="59" t="str">
        <f>Данные!E145</f>
        <v>кандидат педагогических наук</v>
      </c>
      <c r="F145" s="59" t="str">
        <f>Данные!F145</f>
        <v>доцент</v>
      </c>
      <c r="G145" s="59">
        <f>Данные!G145</f>
        <v>1</v>
      </c>
      <c r="H145" s="59">
        <f>Данные!H145</f>
        <v>16002</v>
      </c>
      <c r="I145" s="59" t="str">
        <f>Данные!I145</f>
        <v>Модуль "Технологии и методы вычислений". Анализ данных</v>
      </c>
      <c r="J145" s="59">
        <f>Данные!J145</f>
        <v>0</v>
      </c>
      <c r="K145" s="59">
        <f>Данные!K145</f>
        <v>0</v>
      </c>
      <c r="L145" s="59">
        <f>Данные!L145</f>
        <v>72</v>
      </c>
      <c r="M145" s="60">
        <f t="shared" si="18"/>
        <v>7.2</v>
      </c>
      <c r="N145" s="60">
        <f t="shared" ca="1" si="19"/>
        <v>10.91</v>
      </c>
      <c r="O145" s="60">
        <f t="shared" ca="1" si="20"/>
        <v>6.75</v>
      </c>
      <c r="P145" s="60">
        <f t="shared" ca="1" si="21"/>
        <v>6.75</v>
      </c>
      <c r="Q145" s="54">
        <f>Данные!Q145</f>
        <v>0</v>
      </c>
      <c r="R145" s="54">
        <f>Данные!R145</f>
        <v>0</v>
      </c>
      <c r="S145" s="54">
        <f>Данные!S145</f>
        <v>0</v>
      </c>
      <c r="T145" s="54">
        <f>Данные!T145</f>
        <v>0</v>
      </c>
      <c r="U145" s="54">
        <f>Данные!U145</f>
        <v>0</v>
      </c>
      <c r="V145" s="54">
        <f>Данные!V145</f>
        <v>0</v>
      </c>
      <c r="W145" s="54">
        <f ca="1">Данные!W145</f>
        <v>27</v>
      </c>
      <c r="X145" s="54" t="str">
        <f ca="1">Данные!X145</f>
        <v>1</v>
      </c>
      <c r="Y145" s="54" t="str">
        <f ca="1">Данные!Y145</f>
        <v>2</v>
      </c>
      <c r="Z145" s="54">
        <f>Данные!Z145</f>
        <v>0</v>
      </c>
      <c r="AA145" s="54" t="str">
        <f>Данные!AA145</f>
        <v>осн</v>
      </c>
      <c r="AB145" s="101">
        <f t="shared" si="22"/>
        <v>800</v>
      </c>
      <c r="AC145" s="101" t="str">
        <f t="shared" si="23"/>
        <v>ИВТ (бак)</v>
      </c>
      <c r="AD145" s="101" t="str">
        <f t="shared" si="24"/>
        <v/>
      </c>
      <c r="AE145" s="102">
        <f t="shared" ca="1" si="25"/>
        <v>103.61</v>
      </c>
      <c r="AF145" s="103">
        <f t="shared" ca="1" si="26"/>
        <v>0.1295125</v>
      </c>
      <c r="AG145" s="101"/>
      <c r="AH145" s="101"/>
      <c r="AI145"/>
      <c r="BQ145" s="72">
        <v>0</v>
      </c>
      <c r="BR145" s="72">
        <v>0</v>
      </c>
      <c r="BS145" s="72">
        <v>0</v>
      </c>
      <c r="BT145" s="72">
        <v>0</v>
      </c>
      <c r="BU145" s="72">
        <v>0</v>
      </c>
      <c r="BV145" s="72">
        <v>0</v>
      </c>
      <c r="BW145" s="72">
        <v>0</v>
      </c>
      <c r="BX145" s="72">
        <v>0</v>
      </c>
      <c r="BY145" s="72">
        <v>0</v>
      </c>
      <c r="BZ145" s="72">
        <v>0</v>
      </c>
      <c r="CA145" s="72">
        <v>0</v>
      </c>
      <c r="CB145" s="72">
        <v>0</v>
      </c>
      <c r="CC145" s="72">
        <v>0</v>
      </c>
      <c r="CD145" s="72">
        <v>0</v>
      </c>
      <c r="CE145" s="72">
        <v>0</v>
      </c>
      <c r="CF145" s="72">
        <v>0</v>
      </c>
      <c r="CG145" s="72">
        <v>0</v>
      </c>
      <c r="CH145" s="72">
        <v>0</v>
      </c>
      <c r="CI145" s="72">
        <v>0</v>
      </c>
      <c r="CJ145" s="72">
        <v>0</v>
      </c>
      <c r="CK145" s="72">
        <v>0</v>
      </c>
      <c r="CL145" s="72">
        <v>0</v>
      </c>
      <c r="CM145" s="72">
        <v>0</v>
      </c>
      <c r="CN145" s="72">
        <v>0</v>
      </c>
      <c r="CO145" s="72">
        <v>0</v>
      </c>
      <c r="CP145" s="72">
        <v>0</v>
      </c>
      <c r="CQ145" s="72">
        <v>0</v>
      </c>
      <c r="CR145" s="72">
        <v>0</v>
      </c>
      <c r="CS145" s="72">
        <v>0</v>
      </c>
      <c r="CT145" s="72">
        <v>0</v>
      </c>
      <c r="CU145" s="72">
        <v>0</v>
      </c>
      <c r="CV145" s="72">
        <v>0</v>
      </c>
      <c r="CW145" s="72">
        <v>0</v>
      </c>
      <c r="CX145" s="72">
        <v>0</v>
      </c>
      <c r="CY145" s="72">
        <v>0</v>
      </c>
      <c r="CZ145" s="72">
        <v>0</v>
      </c>
      <c r="DA145" s="72">
        <v>0</v>
      </c>
      <c r="DB145" s="72">
        <v>0</v>
      </c>
      <c r="DC145" s="72">
        <v>0</v>
      </c>
      <c r="DD145" s="72">
        <v>0</v>
      </c>
      <c r="DE145" s="72">
        <v>0</v>
      </c>
      <c r="DF145" s="72">
        <v>0</v>
      </c>
      <c r="DG145" s="72">
        <v>0</v>
      </c>
      <c r="DH145" s="72">
        <v>0</v>
      </c>
      <c r="DI145" s="72">
        <v>0</v>
      </c>
      <c r="DJ145" s="72">
        <v>0</v>
      </c>
      <c r="DK145" s="72">
        <v>0</v>
      </c>
      <c r="DL145" s="72">
        <v>0</v>
      </c>
      <c r="DM145" s="72">
        <v>0</v>
      </c>
      <c r="DN145" s="72">
        <v>0</v>
      </c>
      <c r="DO145" s="72">
        <v>0</v>
      </c>
      <c r="DP145" s="72">
        <v>0</v>
      </c>
      <c r="DQ145" s="72">
        <v>0</v>
      </c>
      <c r="DR145" s="72">
        <v>0</v>
      </c>
      <c r="DS145" s="72">
        <v>0</v>
      </c>
      <c r="DT145" s="72">
        <v>0</v>
      </c>
      <c r="DU145" s="72">
        <v>0</v>
      </c>
      <c r="DV145" s="72">
        <v>0</v>
      </c>
      <c r="DW145" s="72">
        <v>0</v>
      </c>
      <c r="DX145" s="72">
        <v>0</v>
      </c>
      <c r="DY145" s="72">
        <v>0</v>
      </c>
      <c r="DZ145" s="72">
        <v>0</v>
      </c>
      <c r="EA145" s="72">
        <v>0</v>
      </c>
      <c r="EB145" s="72">
        <v>0</v>
      </c>
      <c r="EC145" s="72">
        <v>0</v>
      </c>
      <c r="ED145" s="72">
        <v>0</v>
      </c>
      <c r="EE145" s="72">
        <v>0</v>
      </c>
      <c r="EF145" s="72">
        <v>0</v>
      </c>
      <c r="EG145" s="72">
        <v>0</v>
      </c>
      <c r="EH145" s="72">
        <v>0</v>
      </c>
      <c r="EI145" s="72">
        <v>0</v>
      </c>
      <c r="EJ145" s="72">
        <v>0</v>
      </c>
      <c r="EK145" s="72">
        <v>0</v>
      </c>
      <c r="EL145" s="72">
        <v>0</v>
      </c>
    </row>
    <row r="146" spans="1:142" s="6" customFormat="1" x14ac:dyDescent="0.35">
      <c r="A146" s="59">
        <f>Данные!A146</f>
        <v>4858</v>
      </c>
      <c r="B146" s="59">
        <f>Данные!B146</f>
        <v>2017</v>
      </c>
      <c r="C146" s="59" t="str">
        <f>Данные!C146</f>
        <v>компьютерных технологий и электронного обучения</v>
      </c>
      <c r="D146" s="59" t="str">
        <f>Данные!D146</f>
        <v>Гончарова Светлана Викторовна</v>
      </c>
      <c r="E146" s="59" t="str">
        <f>Данные!E146</f>
        <v>кандидат педагогических наук</v>
      </c>
      <c r="F146" s="59" t="str">
        <f>Данные!F146</f>
        <v>доцент</v>
      </c>
      <c r="G146" s="59">
        <f>Данные!G146</f>
        <v>1</v>
      </c>
      <c r="H146" s="59">
        <f>Данные!H146</f>
        <v>16002</v>
      </c>
      <c r="I146" s="59" t="str">
        <f>Данные!I146</f>
        <v>Модуль "Технологии и методы вычислений". Вычислительная математика</v>
      </c>
      <c r="J146" s="59">
        <f>Данные!J146</f>
        <v>0</v>
      </c>
      <c r="K146" s="59">
        <f>Данные!K146</f>
        <v>0</v>
      </c>
      <c r="L146" s="59">
        <f>Данные!L146</f>
        <v>36</v>
      </c>
      <c r="M146" s="60">
        <f t="shared" si="18"/>
        <v>3.6</v>
      </c>
      <c r="N146" s="60">
        <f t="shared" ca="1" si="19"/>
        <v>10.91</v>
      </c>
      <c r="O146" s="60">
        <f t="shared" ca="1" si="20"/>
        <v>6.75</v>
      </c>
      <c r="P146" s="60">
        <f t="shared" ca="1" si="21"/>
        <v>6.75</v>
      </c>
      <c r="Q146" s="54">
        <f>Данные!Q146</f>
        <v>0</v>
      </c>
      <c r="R146" s="54">
        <f>Данные!R146</f>
        <v>0</v>
      </c>
      <c r="S146" s="54">
        <f>Данные!S146</f>
        <v>0</v>
      </c>
      <c r="T146" s="54">
        <f>Данные!T146</f>
        <v>0</v>
      </c>
      <c r="U146" s="54">
        <f>Данные!U146</f>
        <v>0</v>
      </c>
      <c r="V146" s="54">
        <f>Данные!V146</f>
        <v>0</v>
      </c>
      <c r="W146" s="54">
        <f ca="1">Данные!W146</f>
        <v>27</v>
      </c>
      <c r="X146" s="54" t="str">
        <f ca="1">Данные!X146</f>
        <v>1</v>
      </c>
      <c r="Y146" s="54" t="str">
        <f ca="1">Данные!Y146</f>
        <v>2</v>
      </c>
      <c r="Z146" s="54">
        <f>Данные!Z146</f>
        <v>0</v>
      </c>
      <c r="AA146" s="54" t="str">
        <f>Данные!AA146</f>
        <v>осн</v>
      </c>
      <c r="AB146" s="101">
        <f t="shared" si="22"/>
        <v>800</v>
      </c>
      <c r="AC146" s="101" t="str">
        <f t="shared" si="23"/>
        <v>ИВТ (бак)</v>
      </c>
      <c r="AD146" s="101" t="str">
        <f t="shared" si="24"/>
        <v/>
      </c>
      <c r="AE146" s="102">
        <f t="shared" ca="1" si="25"/>
        <v>64.010000000000005</v>
      </c>
      <c r="AF146" s="103">
        <f t="shared" ca="1" si="26"/>
        <v>8.00125E-2</v>
      </c>
      <c r="AG146" s="101"/>
      <c r="AH146" s="101"/>
      <c r="AI146"/>
      <c r="BQ146" s="72">
        <v>0</v>
      </c>
      <c r="BR146" s="72">
        <v>0</v>
      </c>
      <c r="BS146" s="72">
        <v>0</v>
      </c>
      <c r="BT146" s="72">
        <v>0</v>
      </c>
      <c r="BU146" s="72">
        <v>0</v>
      </c>
      <c r="BV146" s="72">
        <v>0</v>
      </c>
      <c r="BW146" s="72">
        <v>0</v>
      </c>
      <c r="BX146" s="72">
        <v>0</v>
      </c>
      <c r="BY146" s="72">
        <v>0</v>
      </c>
      <c r="BZ146" s="72">
        <v>0</v>
      </c>
      <c r="CA146" s="72">
        <v>0</v>
      </c>
      <c r="CB146" s="72">
        <v>0</v>
      </c>
      <c r="CC146" s="72">
        <v>0</v>
      </c>
      <c r="CD146" s="72">
        <v>0</v>
      </c>
      <c r="CE146" s="72">
        <v>0</v>
      </c>
      <c r="CF146" s="72">
        <v>0</v>
      </c>
      <c r="CG146" s="72">
        <v>0</v>
      </c>
      <c r="CH146" s="72">
        <v>0</v>
      </c>
      <c r="CI146" s="72">
        <v>0</v>
      </c>
      <c r="CJ146" s="72">
        <v>0</v>
      </c>
      <c r="CK146" s="72">
        <v>0</v>
      </c>
      <c r="CL146" s="72">
        <v>0</v>
      </c>
      <c r="CM146" s="72">
        <v>0</v>
      </c>
      <c r="CN146" s="72">
        <v>0</v>
      </c>
      <c r="CO146" s="72">
        <v>0</v>
      </c>
      <c r="CP146" s="72">
        <v>0</v>
      </c>
      <c r="CQ146" s="72">
        <v>0</v>
      </c>
      <c r="CR146" s="72">
        <v>0</v>
      </c>
      <c r="CS146" s="72">
        <v>0</v>
      </c>
      <c r="CT146" s="72">
        <v>0</v>
      </c>
      <c r="CU146" s="72">
        <v>0</v>
      </c>
      <c r="CV146" s="72">
        <v>0</v>
      </c>
      <c r="CW146" s="72">
        <v>0</v>
      </c>
      <c r="CX146" s="72">
        <v>0</v>
      </c>
      <c r="CY146" s="72">
        <v>0</v>
      </c>
      <c r="CZ146" s="72">
        <v>0</v>
      </c>
      <c r="DA146" s="72">
        <v>0</v>
      </c>
      <c r="DB146" s="72">
        <v>0</v>
      </c>
      <c r="DC146" s="72">
        <v>0</v>
      </c>
      <c r="DD146" s="72">
        <v>0</v>
      </c>
      <c r="DE146" s="72">
        <v>0</v>
      </c>
      <c r="DF146" s="72">
        <v>0</v>
      </c>
      <c r="DG146" s="72">
        <v>0</v>
      </c>
      <c r="DH146" s="72">
        <v>0</v>
      </c>
      <c r="DI146" s="72">
        <v>0</v>
      </c>
      <c r="DJ146" s="72">
        <v>0</v>
      </c>
      <c r="DK146" s="72">
        <v>0</v>
      </c>
      <c r="DL146" s="72">
        <v>0</v>
      </c>
      <c r="DM146" s="72">
        <v>0</v>
      </c>
      <c r="DN146" s="72">
        <v>0</v>
      </c>
      <c r="DO146" s="72">
        <v>0</v>
      </c>
      <c r="DP146" s="72">
        <v>0</v>
      </c>
      <c r="DQ146" s="72">
        <v>0</v>
      </c>
      <c r="DR146" s="72">
        <v>0</v>
      </c>
      <c r="DS146" s="72">
        <v>0</v>
      </c>
      <c r="DT146" s="72">
        <v>0</v>
      </c>
      <c r="DU146" s="72">
        <v>0</v>
      </c>
      <c r="DV146" s="72">
        <v>0</v>
      </c>
      <c r="DW146" s="72">
        <v>0</v>
      </c>
      <c r="DX146" s="72">
        <v>0</v>
      </c>
      <c r="DY146" s="72">
        <v>0</v>
      </c>
      <c r="DZ146" s="72">
        <v>0</v>
      </c>
      <c r="EA146" s="72">
        <v>0</v>
      </c>
      <c r="EB146" s="72">
        <v>0</v>
      </c>
      <c r="EC146" s="72">
        <v>0</v>
      </c>
      <c r="ED146" s="72">
        <v>0</v>
      </c>
      <c r="EE146" s="72">
        <v>0</v>
      </c>
      <c r="EF146" s="72">
        <v>0</v>
      </c>
      <c r="EG146" s="72">
        <v>0</v>
      </c>
      <c r="EH146" s="72">
        <v>0</v>
      </c>
      <c r="EI146" s="72">
        <v>0</v>
      </c>
      <c r="EJ146" s="72">
        <v>0</v>
      </c>
      <c r="EK146" s="72">
        <v>0</v>
      </c>
      <c r="EL146" s="72">
        <v>0</v>
      </c>
    </row>
    <row r="147" spans="1:142" s="6" customFormat="1" x14ac:dyDescent="0.35">
      <c r="A147" s="59">
        <f>Данные!A147</f>
        <v>4858</v>
      </c>
      <c r="B147" s="59">
        <f>Данные!B147</f>
        <v>2017</v>
      </c>
      <c r="C147" s="59" t="str">
        <f>Данные!C147</f>
        <v>компьютерных технологий и электронного обучения</v>
      </c>
      <c r="D147" s="59" t="str">
        <f>Данные!D147</f>
        <v>Гончарова Светлана Викторовна</v>
      </c>
      <c r="E147" s="59" t="str">
        <f>Данные!E147</f>
        <v>кандидат педагогических наук</v>
      </c>
      <c r="F147" s="59" t="str">
        <f>Данные!F147</f>
        <v>доцент</v>
      </c>
      <c r="G147" s="59">
        <f>Данные!G147</f>
        <v>1</v>
      </c>
      <c r="H147" s="59">
        <f>Данные!H147</f>
        <v>16002</v>
      </c>
      <c r="I147" s="59" t="str">
        <f>Данные!I147</f>
        <v>Модуль "Технологии и методы вычислений". Технологии компьютерного моделирования</v>
      </c>
      <c r="J147" s="59">
        <f>Данные!J147</f>
        <v>0</v>
      </c>
      <c r="K147" s="59">
        <f>Данные!K147</f>
        <v>0</v>
      </c>
      <c r="L147" s="59">
        <f>Данные!L147</f>
        <v>54</v>
      </c>
      <c r="M147" s="60">
        <f t="shared" si="18"/>
        <v>5.4</v>
      </c>
      <c r="N147" s="60">
        <f t="shared" ca="1" si="19"/>
        <v>10.91</v>
      </c>
      <c r="O147" s="60">
        <f t="shared" ca="1" si="20"/>
        <v>6.75</v>
      </c>
      <c r="P147" s="60">
        <f t="shared" ca="1" si="21"/>
        <v>6.75</v>
      </c>
      <c r="Q147" s="54">
        <f>Данные!Q147</f>
        <v>0</v>
      </c>
      <c r="R147" s="54">
        <f>Данные!R147</f>
        <v>0</v>
      </c>
      <c r="S147" s="54">
        <f>Данные!S147</f>
        <v>0</v>
      </c>
      <c r="T147" s="54">
        <f>Данные!T147</f>
        <v>0</v>
      </c>
      <c r="U147" s="54">
        <f>Данные!U147</f>
        <v>0</v>
      </c>
      <c r="V147" s="54">
        <f>Данные!V147</f>
        <v>0</v>
      </c>
      <c r="W147" s="54">
        <f ca="1">Данные!W147</f>
        <v>27</v>
      </c>
      <c r="X147" s="54" t="str">
        <f ca="1">Данные!X147</f>
        <v>1</v>
      </c>
      <c r="Y147" s="54" t="str">
        <f ca="1">Данные!Y147</f>
        <v>2</v>
      </c>
      <c r="Z147" s="54">
        <f>Данные!Z147</f>
        <v>0</v>
      </c>
      <c r="AA147" s="54" t="str">
        <f>Данные!AA147</f>
        <v>осн</v>
      </c>
      <c r="AB147" s="101">
        <f t="shared" si="22"/>
        <v>800</v>
      </c>
      <c r="AC147" s="101" t="str">
        <f t="shared" si="23"/>
        <v>ИВТ (бак)</v>
      </c>
      <c r="AD147" s="101" t="str">
        <f t="shared" si="24"/>
        <v/>
      </c>
      <c r="AE147" s="102">
        <f t="shared" ca="1" si="25"/>
        <v>83.81</v>
      </c>
      <c r="AF147" s="103">
        <f t="shared" ca="1" si="26"/>
        <v>0.10476250000000001</v>
      </c>
      <c r="AG147" s="101"/>
      <c r="AH147" s="101"/>
      <c r="AI147"/>
      <c r="BQ147" s="72">
        <v>0</v>
      </c>
      <c r="BR147" s="72">
        <v>0</v>
      </c>
      <c r="BS147" s="72">
        <v>0</v>
      </c>
      <c r="BT147" s="72">
        <v>0</v>
      </c>
      <c r="BU147" s="72">
        <v>0</v>
      </c>
      <c r="BV147" s="72">
        <v>0</v>
      </c>
      <c r="BW147" s="72">
        <v>0</v>
      </c>
      <c r="BX147" s="72">
        <v>0</v>
      </c>
      <c r="BY147" s="72">
        <v>0</v>
      </c>
      <c r="BZ147" s="72">
        <v>0</v>
      </c>
      <c r="CA147" s="72">
        <v>0</v>
      </c>
      <c r="CB147" s="72">
        <v>0</v>
      </c>
      <c r="CC147" s="72">
        <v>0</v>
      </c>
      <c r="CD147" s="72">
        <v>0</v>
      </c>
      <c r="CE147" s="72">
        <v>0</v>
      </c>
      <c r="CF147" s="72">
        <v>0</v>
      </c>
      <c r="CG147" s="72">
        <v>0</v>
      </c>
      <c r="CH147" s="72">
        <v>0</v>
      </c>
      <c r="CI147" s="72">
        <v>0</v>
      </c>
      <c r="CJ147" s="72">
        <v>0</v>
      </c>
      <c r="CK147" s="72">
        <v>0</v>
      </c>
      <c r="CL147" s="72">
        <v>0</v>
      </c>
      <c r="CM147" s="72">
        <v>0</v>
      </c>
      <c r="CN147" s="72">
        <v>0</v>
      </c>
      <c r="CO147" s="72">
        <v>0</v>
      </c>
      <c r="CP147" s="72">
        <v>0</v>
      </c>
      <c r="CQ147" s="72">
        <v>0</v>
      </c>
      <c r="CR147" s="72">
        <v>0</v>
      </c>
      <c r="CS147" s="72">
        <v>0</v>
      </c>
      <c r="CT147" s="72">
        <v>0</v>
      </c>
      <c r="CU147" s="72">
        <v>0</v>
      </c>
      <c r="CV147" s="72">
        <v>0</v>
      </c>
      <c r="CW147" s="72">
        <v>0</v>
      </c>
      <c r="CX147" s="72">
        <v>0</v>
      </c>
      <c r="CY147" s="72">
        <v>0</v>
      </c>
      <c r="CZ147" s="72">
        <v>0</v>
      </c>
      <c r="DA147" s="72">
        <v>0</v>
      </c>
      <c r="DB147" s="72">
        <v>0</v>
      </c>
      <c r="DC147" s="72">
        <v>0</v>
      </c>
      <c r="DD147" s="72">
        <v>0</v>
      </c>
      <c r="DE147" s="72">
        <v>0</v>
      </c>
      <c r="DF147" s="72">
        <v>0</v>
      </c>
      <c r="DG147" s="72">
        <v>0</v>
      </c>
      <c r="DH147" s="72">
        <v>0</v>
      </c>
      <c r="DI147" s="72">
        <v>0</v>
      </c>
      <c r="DJ147" s="72">
        <v>0</v>
      </c>
      <c r="DK147" s="72">
        <v>0</v>
      </c>
      <c r="DL147" s="72">
        <v>0</v>
      </c>
      <c r="DM147" s="72">
        <v>0</v>
      </c>
      <c r="DN147" s="72">
        <v>0</v>
      </c>
      <c r="DO147" s="72">
        <v>0</v>
      </c>
      <c r="DP147" s="72">
        <v>0</v>
      </c>
      <c r="DQ147" s="72">
        <v>0</v>
      </c>
      <c r="DR147" s="72">
        <v>0</v>
      </c>
      <c r="DS147" s="72">
        <v>0</v>
      </c>
      <c r="DT147" s="72">
        <v>0</v>
      </c>
      <c r="DU147" s="72">
        <v>0</v>
      </c>
      <c r="DV147" s="72">
        <v>0</v>
      </c>
      <c r="DW147" s="72">
        <v>0</v>
      </c>
      <c r="DX147" s="72">
        <v>0</v>
      </c>
      <c r="DY147" s="72">
        <v>0</v>
      </c>
      <c r="DZ147" s="72">
        <v>0</v>
      </c>
      <c r="EA147" s="72">
        <v>0</v>
      </c>
      <c r="EB147" s="72">
        <v>0</v>
      </c>
      <c r="EC147" s="72">
        <v>0</v>
      </c>
      <c r="ED147" s="72">
        <v>0</v>
      </c>
      <c r="EE147" s="72">
        <v>0</v>
      </c>
      <c r="EF147" s="72">
        <v>0</v>
      </c>
      <c r="EG147" s="72">
        <v>0</v>
      </c>
      <c r="EH147" s="72">
        <v>0</v>
      </c>
      <c r="EI147" s="72">
        <v>0</v>
      </c>
      <c r="EJ147" s="72">
        <v>0</v>
      </c>
      <c r="EK147" s="72">
        <v>0</v>
      </c>
      <c r="EL147" s="72">
        <v>0</v>
      </c>
    </row>
    <row r="148" spans="1:142" s="6" customFormat="1" x14ac:dyDescent="0.35">
      <c r="A148" s="59">
        <f>Данные!A148</f>
        <v>4858</v>
      </c>
      <c r="B148" s="59">
        <f>Данные!B148</f>
        <v>2017</v>
      </c>
      <c r="C148" s="59" t="str">
        <f>Данные!C148</f>
        <v>компьютерных технологий и электронного обучения</v>
      </c>
      <c r="D148" s="59" t="str">
        <f>Данные!D148</f>
        <v>Государев Илья Борисович</v>
      </c>
      <c r="E148" s="59" t="str">
        <f>Данные!E148</f>
        <v>кандидат педагогических наук</v>
      </c>
      <c r="F148" s="59" t="str">
        <f>Данные!F148</f>
        <v>доцент</v>
      </c>
      <c r="G148" s="59">
        <f>Данные!G148</f>
        <v>1</v>
      </c>
      <c r="H148" s="59">
        <f>Данные!H148</f>
        <v>16002</v>
      </c>
      <c r="I148" s="59" t="str">
        <f>Данные!I148</f>
        <v>Модуль "Проектирование и разработка веб-решений "</v>
      </c>
      <c r="J148" s="59">
        <f>Данные!J148</f>
        <v>0</v>
      </c>
      <c r="K148" s="59">
        <f>Данные!K148</f>
        <v>0</v>
      </c>
      <c r="L148" s="59">
        <f>Данные!L148</f>
        <v>0</v>
      </c>
      <c r="M148" s="60">
        <f t="shared" si="18"/>
        <v>0</v>
      </c>
      <c r="N148" s="60">
        <f t="shared" ca="1" si="19"/>
        <v>10.91</v>
      </c>
      <c r="O148" s="60">
        <f t="shared" ca="1" si="20"/>
        <v>6.75</v>
      </c>
      <c r="P148" s="60">
        <f t="shared" ca="1" si="21"/>
        <v>6.75</v>
      </c>
      <c r="Q148" s="54">
        <f>Данные!Q148</f>
        <v>0</v>
      </c>
      <c r="R148" s="54">
        <f>Данные!R148</f>
        <v>0</v>
      </c>
      <c r="S148" s="54">
        <f>Данные!S148</f>
        <v>0</v>
      </c>
      <c r="T148" s="54">
        <f>Данные!T148</f>
        <v>0</v>
      </c>
      <c r="U148" s="54">
        <f>Данные!U148</f>
        <v>0</v>
      </c>
      <c r="V148" s="54">
        <f>Данные!V148</f>
        <v>0</v>
      </c>
      <c r="W148" s="54">
        <f ca="1">Данные!W148</f>
        <v>27</v>
      </c>
      <c r="X148" s="54" t="str">
        <f ca="1">Данные!X148</f>
        <v>1</v>
      </c>
      <c r="Y148" s="54" t="str">
        <f ca="1">Данные!Y148</f>
        <v>2</v>
      </c>
      <c r="Z148" s="54">
        <f>Данные!Z148</f>
        <v>0</v>
      </c>
      <c r="AA148" s="54" t="str">
        <f>Данные!AA148</f>
        <v>осн</v>
      </c>
      <c r="AB148" s="101">
        <f t="shared" si="22"/>
        <v>800</v>
      </c>
      <c r="AC148" s="101" t="str">
        <f t="shared" si="23"/>
        <v>ИВТ (бак)</v>
      </c>
      <c r="AD148" s="101" t="str">
        <f t="shared" si="24"/>
        <v/>
      </c>
      <c r="AE148" s="102">
        <f t="shared" ca="1" si="25"/>
        <v>24.41</v>
      </c>
      <c r="AF148" s="103">
        <f t="shared" ca="1" si="26"/>
        <v>3.0512500000000001E-2</v>
      </c>
      <c r="AG148" s="101"/>
      <c r="AH148" s="101"/>
      <c r="AI148"/>
      <c r="BQ148" s="72">
        <v>0</v>
      </c>
      <c r="BR148" s="72">
        <v>0</v>
      </c>
      <c r="BS148" s="72">
        <v>0</v>
      </c>
      <c r="BT148" s="72">
        <v>0</v>
      </c>
      <c r="BU148" s="72">
        <v>0</v>
      </c>
      <c r="BV148" s="72">
        <v>0</v>
      </c>
      <c r="BW148" s="72">
        <v>0</v>
      </c>
      <c r="BX148" s="72">
        <v>0</v>
      </c>
      <c r="BY148" s="72">
        <v>0</v>
      </c>
      <c r="BZ148" s="72">
        <v>0</v>
      </c>
      <c r="CA148" s="72">
        <v>0</v>
      </c>
      <c r="CB148" s="72">
        <v>0</v>
      </c>
      <c r="CC148" s="72">
        <v>0</v>
      </c>
      <c r="CD148" s="72">
        <v>0</v>
      </c>
      <c r="CE148" s="72">
        <v>0</v>
      </c>
      <c r="CF148" s="72">
        <v>0</v>
      </c>
      <c r="CG148" s="72">
        <v>0</v>
      </c>
      <c r="CH148" s="72">
        <v>0</v>
      </c>
      <c r="CI148" s="72">
        <v>0</v>
      </c>
      <c r="CJ148" s="72">
        <v>0</v>
      </c>
      <c r="CK148" s="72">
        <v>0</v>
      </c>
      <c r="CL148" s="72">
        <v>0</v>
      </c>
      <c r="CM148" s="72">
        <v>0</v>
      </c>
      <c r="CN148" s="72">
        <v>0</v>
      </c>
      <c r="CO148" s="72">
        <v>0</v>
      </c>
      <c r="CP148" s="72">
        <v>0</v>
      </c>
      <c r="CQ148" s="72">
        <v>0</v>
      </c>
      <c r="CR148" s="72">
        <v>0</v>
      </c>
      <c r="CS148" s="72">
        <v>0</v>
      </c>
      <c r="CT148" s="72">
        <v>0</v>
      </c>
      <c r="CU148" s="72">
        <v>0</v>
      </c>
      <c r="CV148" s="72">
        <v>0</v>
      </c>
      <c r="CW148" s="72">
        <v>0</v>
      </c>
      <c r="CX148" s="72">
        <v>0</v>
      </c>
      <c r="CY148" s="72">
        <v>0</v>
      </c>
      <c r="CZ148" s="72">
        <v>0</v>
      </c>
      <c r="DA148" s="72">
        <v>0</v>
      </c>
      <c r="DB148" s="72">
        <v>0</v>
      </c>
      <c r="DC148" s="72">
        <v>0</v>
      </c>
      <c r="DD148" s="72">
        <v>0</v>
      </c>
      <c r="DE148" s="72">
        <v>0</v>
      </c>
      <c r="DF148" s="72">
        <v>0</v>
      </c>
      <c r="DG148" s="72">
        <v>0</v>
      </c>
      <c r="DH148" s="72">
        <v>0</v>
      </c>
      <c r="DI148" s="72">
        <v>0</v>
      </c>
      <c r="DJ148" s="72">
        <v>0</v>
      </c>
      <c r="DK148" s="72">
        <v>0</v>
      </c>
      <c r="DL148" s="72">
        <v>0</v>
      </c>
      <c r="DM148" s="72">
        <v>0</v>
      </c>
      <c r="DN148" s="72">
        <v>0</v>
      </c>
      <c r="DO148" s="72">
        <v>0</v>
      </c>
      <c r="DP148" s="72">
        <v>0</v>
      </c>
      <c r="DQ148" s="72">
        <v>0</v>
      </c>
      <c r="DR148" s="72">
        <v>0</v>
      </c>
      <c r="DS148" s="72">
        <v>0</v>
      </c>
      <c r="DT148" s="72">
        <v>0</v>
      </c>
      <c r="DU148" s="72">
        <v>0</v>
      </c>
      <c r="DV148" s="72">
        <v>0</v>
      </c>
      <c r="DW148" s="72">
        <v>0</v>
      </c>
      <c r="DX148" s="72">
        <v>0</v>
      </c>
      <c r="DY148" s="72">
        <v>0</v>
      </c>
      <c r="DZ148" s="72">
        <v>0</v>
      </c>
      <c r="EA148" s="72">
        <v>0</v>
      </c>
      <c r="EB148" s="72">
        <v>0</v>
      </c>
      <c r="EC148" s="72">
        <v>0</v>
      </c>
      <c r="ED148" s="72">
        <v>0</v>
      </c>
      <c r="EE148" s="72">
        <v>0</v>
      </c>
      <c r="EF148" s="72">
        <v>0</v>
      </c>
      <c r="EG148" s="72">
        <v>0</v>
      </c>
      <c r="EH148" s="72">
        <v>0</v>
      </c>
      <c r="EI148" s="72">
        <v>0</v>
      </c>
      <c r="EJ148" s="72">
        <v>0</v>
      </c>
      <c r="EK148" s="72">
        <v>0</v>
      </c>
      <c r="EL148" s="72">
        <v>0</v>
      </c>
    </row>
    <row r="149" spans="1:142" s="6" customFormat="1" x14ac:dyDescent="0.35">
      <c r="A149" s="59">
        <f>Данные!A149</f>
        <v>4858</v>
      </c>
      <c r="B149" s="59">
        <f>Данные!B149</f>
        <v>2017</v>
      </c>
      <c r="C149" s="59" t="str">
        <f>Данные!C149</f>
        <v>компьютерных технологий и электронного обучения</v>
      </c>
      <c r="D149" s="59" t="str">
        <f>Данные!D149</f>
        <v>Государев Илья Борисович</v>
      </c>
      <c r="E149" s="59" t="str">
        <f>Данные!E149</f>
        <v>кандидат педагогических наук</v>
      </c>
      <c r="F149" s="59" t="str">
        <f>Данные!F149</f>
        <v>доцент</v>
      </c>
      <c r="G149" s="59">
        <f>Данные!G149</f>
        <v>1</v>
      </c>
      <c r="H149" s="59">
        <f>Данные!H149</f>
        <v>16002</v>
      </c>
      <c r="I149" s="59" t="str">
        <f>Данные!I149</f>
        <v>Модуль "Проектирование и разработка веб-решений ". Веб-проектирование и веб-дизайн</v>
      </c>
      <c r="J149" s="59">
        <f>Данные!J149</f>
        <v>18</v>
      </c>
      <c r="K149" s="59">
        <f>Данные!K149</f>
        <v>18</v>
      </c>
      <c r="L149" s="59">
        <f>Данные!L149</f>
        <v>72</v>
      </c>
      <c r="M149" s="60">
        <f t="shared" si="18"/>
        <v>10.8</v>
      </c>
      <c r="N149" s="60">
        <f t="shared" ca="1" si="19"/>
        <v>10.91</v>
      </c>
      <c r="O149" s="60">
        <f t="shared" ca="1" si="20"/>
        <v>6.75</v>
      </c>
      <c r="P149" s="60">
        <f t="shared" ca="1" si="21"/>
        <v>6.75</v>
      </c>
      <c r="Q149" s="54">
        <f>Данные!Q149</f>
        <v>0</v>
      </c>
      <c r="R149" s="54">
        <f>Данные!R149</f>
        <v>0</v>
      </c>
      <c r="S149" s="54">
        <f>Данные!S149</f>
        <v>0</v>
      </c>
      <c r="T149" s="54">
        <f>Данные!T149</f>
        <v>0</v>
      </c>
      <c r="U149" s="54">
        <f>Данные!U149</f>
        <v>0</v>
      </c>
      <c r="V149" s="54">
        <f>Данные!V149</f>
        <v>0</v>
      </c>
      <c r="W149" s="54">
        <f ca="1">Данные!W149</f>
        <v>27</v>
      </c>
      <c r="X149" s="54" t="str">
        <f ca="1">Данные!X149</f>
        <v>1</v>
      </c>
      <c r="Y149" s="54" t="str">
        <f ca="1">Данные!Y149</f>
        <v>2</v>
      </c>
      <c r="Z149" s="54">
        <f>Данные!Z149</f>
        <v>0</v>
      </c>
      <c r="AA149" s="54" t="str">
        <f>Данные!AA149</f>
        <v>осн</v>
      </c>
      <c r="AB149" s="101">
        <f t="shared" si="22"/>
        <v>800</v>
      </c>
      <c r="AC149" s="101" t="str">
        <f t="shared" si="23"/>
        <v>ИВТ (бак)</v>
      </c>
      <c r="AD149" s="101" t="str">
        <f t="shared" si="24"/>
        <v/>
      </c>
      <c r="AE149" s="102">
        <f t="shared" ca="1" si="25"/>
        <v>143.21</v>
      </c>
      <c r="AF149" s="103">
        <f t="shared" ca="1" si="26"/>
        <v>0.17901250000000002</v>
      </c>
      <c r="AG149" s="101"/>
      <c r="AH149" s="101"/>
      <c r="AI149"/>
      <c r="BQ149" s="72">
        <v>0</v>
      </c>
      <c r="BR149" s="72">
        <v>0</v>
      </c>
      <c r="BS149" s="72">
        <v>0</v>
      </c>
      <c r="BT149" s="72">
        <v>0</v>
      </c>
      <c r="BU149" s="72">
        <v>0</v>
      </c>
      <c r="BV149" s="72">
        <v>0</v>
      </c>
      <c r="BW149" s="72">
        <v>0</v>
      </c>
      <c r="BX149" s="72">
        <v>0</v>
      </c>
      <c r="BY149" s="72">
        <v>0</v>
      </c>
      <c r="BZ149" s="72">
        <v>0</v>
      </c>
      <c r="CA149" s="72">
        <v>0</v>
      </c>
      <c r="CB149" s="72">
        <v>0</v>
      </c>
      <c r="CC149" s="72">
        <v>0</v>
      </c>
      <c r="CD149" s="72">
        <v>0</v>
      </c>
      <c r="CE149" s="72">
        <v>0</v>
      </c>
      <c r="CF149" s="72">
        <v>0</v>
      </c>
      <c r="CG149" s="72">
        <v>0</v>
      </c>
      <c r="CH149" s="72">
        <v>0</v>
      </c>
      <c r="CI149" s="72">
        <v>0</v>
      </c>
      <c r="CJ149" s="72">
        <v>0</v>
      </c>
      <c r="CK149" s="72">
        <v>0</v>
      </c>
      <c r="CL149" s="72">
        <v>0</v>
      </c>
      <c r="CM149" s="72">
        <v>0</v>
      </c>
      <c r="CN149" s="72">
        <v>0</v>
      </c>
      <c r="CO149" s="72">
        <v>0</v>
      </c>
      <c r="CP149" s="72">
        <v>0</v>
      </c>
      <c r="CQ149" s="72">
        <v>0</v>
      </c>
      <c r="CR149" s="72">
        <v>0</v>
      </c>
      <c r="CS149" s="72">
        <v>0</v>
      </c>
      <c r="CT149" s="72">
        <v>0</v>
      </c>
      <c r="CU149" s="72">
        <v>0</v>
      </c>
      <c r="CV149" s="72">
        <v>0</v>
      </c>
      <c r="CW149" s="72">
        <v>0</v>
      </c>
      <c r="CX149" s="72">
        <v>0</v>
      </c>
      <c r="CY149" s="72">
        <v>0</v>
      </c>
      <c r="CZ149" s="72">
        <v>0</v>
      </c>
      <c r="DA149" s="72">
        <v>0</v>
      </c>
      <c r="DB149" s="72">
        <v>0</v>
      </c>
      <c r="DC149" s="72">
        <v>0</v>
      </c>
      <c r="DD149" s="72">
        <v>0</v>
      </c>
      <c r="DE149" s="72">
        <v>0</v>
      </c>
      <c r="DF149" s="72">
        <v>0</v>
      </c>
      <c r="DG149" s="72">
        <v>0</v>
      </c>
      <c r="DH149" s="72">
        <v>0</v>
      </c>
      <c r="DI149" s="72">
        <v>0</v>
      </c>
      <c r="DJ149" s="72">
        <v>0</v>
      </c>
      <c r="DK149" s="72">
        <v>0</v>
      </c>
      <c r="DL149" s="72">
        <v>0</v>
      </c>
      <c r="DM149" s="72">
        <v>0</v>
      </c>
      <c r="DN149" s="72">
        <v>0</v>
      </c>
      <c r="DO149" s="72">
        <v>0</v>
      </c>
      <c r="DP149" s="72">
        <v>0</v>
      </c>
      <c r="DQ149" s="72">
        <v>0</v>
      </c>
      <c r="DR149" s="72">
        <v>0</v>
      </c>
      <c r="DS149" s="72">
        <v>0</v>
      </c>
      <c r="DT149" s="72">
        <v>0</v>
      </c>
      <c r="DU149" s="72">
        <v>0</v>
      </c>
      <c r="DV149" s="72">
        <v>0</v>
      </c>
      <c r="DW149" s="72">
        <v>0</v>
      </c>
      <c r="DX149" s="72">
        <v>0</v>
      </c>
      <c r="DY149" s="72">
        <v>0</v>
      </c>
      <c r="DZ149" s="72">
        <v>0</v>
      </c>
      <c r="EA149" s="72">
        <v>0</v>
      </c>
      <c r="EB149" s="72">
        <v>0</v>
      </c>
      <c r="EC149" s="72">
        <v>0</v>
      </c>
      <c r="ED149" s="72">
        <v>0</v>
      </c>
      <c r="EE149" s="72">
        <v>0</v>
      </c>
      <c r="EF149" s="72">
        <v>0</v>
      </c>
      <c r="EG149" s="72">
        <v>0</v>
      </c>
      <c r="EH149" s="72">
        <v>0</v>
      </c>
      <c r="EI149" s="72">
        <v>0</v>
      </c>
      <c r="EJ149" s="72">
        <v>0</v>
      </c>
      <c r="EK149" s="72">
        <v>0</v>
      </c>
      <c r="EL149" s="72">
        <v>0</v>
      </c>
    </row>
    <row r="150" spans="1:142" s="6" customFormat="1" x14ac:dyDescent="0.35">
      <c r="A150" s="59">
        <f>Данные!A150</f>
        <v>4858</v>
      </c>
      <c r="B150" s="59">
        <f>Данные!B150</f>
        <v>2017</v>
      </c>
      <c r="C150" s="59" t="str">
        <f>Данные!C150</f>
        <v>компьютерных технологий и электронного обучения</v>
      </c>
      <c r="D150" s="59" t="str">
        <f>Данные!D150</f>
        <v>Жуков Николай Николаевич</v>
      </c>
      <c r="E150" s="59" t="str">
        <f>Данные!E150</f>
        <v>нет</v>
      </c>
      <c r="F150" s="59" t="str">
        <f>Данные!F150</f>
        <v>ассистент</v>
      </c>
      <c r="G150" s="59">
        <f>Данные!G150</f>
        <v>1</v>
      </c>
      <c r="H150" s="59">
        <f>Данные!H150</f>
        <v>16002</v>
      </c>
      <c r="I150" s="59" t="str">
        <f>Данные!I150</f>
        <v>Модуль "Проектирование и разработка веб-решений ". Компьютерный практикум</v>
      </c>
      <c r="J150" s="59">
        <f>Данные!J150</f>
        <v>0</v>
      </c>
      <c r="K150" s="59">
        <f>Данные!K150</f>
        <v>0</v>
      </c>
      <c r="L150" s="59">
        <f>Данные!L150</f>
        <v>27</v>
      </c>
      <c r="M150" s="60">
        <f t="shared" si="18"/>
        <v>2.7</v>
      </c>
      <c r="N150" s="60">
        <f t="shared" ca="1" si="19"/>
        <v>10.91</v>
      </c>
      <c r="O150" s="60">
        <f t="shared" ca="1" si="20"/>
        <v>6.75</v>
      </c>
      <c r="P150" s="60">
        <f t="shared" ca="1" si="21"/>
        <v>6.75</v>
      </c>
      <c r="Q150" s="54">
        <f>Данные!Q150</f>
        <v>0</v>
      </c>
      <c r="R150" s="54">
        <f>Данные!R150</f>
        <v>0</v>
      </c>
      <c r="S150" s="54">
        <f>Данные!S150</f>
        <v>0</v>
      </c>
      <c r="T150" s="54">
        <f>Данные!T150</f>
        <v>0</v>
      </c>
      <c r="U150" s="54">
        <f>Данные!U150</f>
        <v>0</v>
      </c>
      <c r="V150" s="54">
        <f>Данные!V150</f>
        <v>0</v>
      </c>
      <c r="W150" s="54">
        <f ca="1">Данные!W150</f>
        <v>27</v>
      </c>
      <c r="X150" s="54" t="str">
        <f ca="1">Данные!X150</f>
        <v>1</v>
      </c>
      <c r="Y150" s="54" t="str">
        <f ca="1">Данные!Y150</f>
        <v>2</v>
      </c>
      <c r="Z150" s="54">
        <f>Данные!Z150</f>
        <v>0</v>
      </c>
      <c r="AA150" s="54" t="str">
        <f>Данные!AA150</f>
        <v>осн</v>
      </c>
      <c r="AB150" s="101">
        <f t="shared" si="22"/>
        <v>900</v>
      </c>
      <c r="AC150" s="101" t="str">
        <f t="shared" si="23"/>
        <v>ИВТ (бак)</v>
      </c>
      <c r="AD150" s="101" t="str">
        <f t="shared" si="24"/>
        <v/>
      </c>
      <c r="AE150" s="102">
        <f t="shared" ca="1" si="25"/>
        <v>54.11</v>
      </c>
      <c r="AF150" s="103">
        <f t="shared" ca="1" si="26"/>
        <v>6.0122222222222223E-2</v>
      </c>
      <c r="AG150" s="101"/>
      <c r="AH150" s="101"/>
      <c r="AI150"/>
      <c r="BQ150" s="72">
        <v>0</v>
      </c>
      <c r="BR150" s="72">
        <v>0</v>
      </c>
      <c r="BS150" s="72">
        <v>0</v>
      </c>
      <c r="BT150" s="72">
        <v>0</v>
      </c>
      <c r="BU150" s="72">
        <v>0</v>
      </c>
      <c r="BV150" s="72">
        <v>0</v>
      </c>
      <c r="BW150" s="72">
        <v>0</v>
      </c>
      <c r="BX150" s="72">
        <v>0</v>
      </c>
      <c r="BY150" s="72">
        <v>0</v>
      </c>
      <c r="BZ150" s="72">
        <v>0</v>
      </c>
      <c r="CA150" s="72">
        <v>0</v>
      </c>
      <c r="CB150" s="72">
        <v>0</v>
      </c>
      <c r="CC150" s="72">
        <v>0</v>
      </c>
      <c r="CD150" s="72">
        <v>0</v>
      </c>
      <c r="CE150" s="72">
        <v>0</v>
      </c>
      <c r="CF150" s="72">
        <v>0</v>
      </c>
      <c r="CG150" s="72">
        <v>0</v>
      </c>
      <c r="CH150" s="72">
        <v>0</v>
      </c>
      <c r="CI150" s="72">
        <v>0</v>
      </c>
      <c r="CJ150" s="72">
        <v>0</v>
      </c>
      <c r="CK150" s="72">
        <v>0</v>
      </c>
      <c r="CL150" s="72">
        <v>0</v>
      </c>
      <c r="CM150" s="72">
        <v>0</v>
      </c>
      <c r="CN150" s="72">
        <v>0</v>
      </c>
      <c r="CO150" s="72">
        <v>0</v>
      </c>
      <c r="CP150" s="72">
        <v>0</v>
      </c>
      <c r="CQ150" s="72">
        <v>0</v>
      </c>
      <c r="CR150" s="72">
        <v>0</v>
      </c>
      <c r="CS150" s="72">
        <v>0</v>
      </c>
      <c r="CT150" s="72">
        <v>0</v>
      </c>
      <c r="CU150" s="72">
        <v>0</v>
      </c>
      <c r="CV150" s="72">
        <v>0</v>
      </c>
      <c r="CW150" s="72">
        <v>0</v>
      </c>
      <c r="CX150" s="72">
        <v>0</v>
      </c>
      <c r="CY150" s="72">
        <v>0</v>
      </c>
      <c r="CZ150" s="72">
        <v>0</v>
      </c>
      <c r="DA150" s="72">
        <v>0</v>
      </c>
      <c r="DB150" s="72">
        <v>0</v>
      </c>
      <c r="DC150" s="72">
        <v>0</v>
      </c>
      <c r="DD150" s="72">
        <v>0</v>
      </c>
      <c r="DE150" s="72">
        <v>0</v>
      </c>
      <c r="DF150" s="72">
        <v>0</v>
      </c>
      <c r="DG150" s="72">
        <v>0</v>
      </c>
      <c r="DH150" s="72">
        <v>0</v>
      </c>
      <c r="DI150" s="72">
        <v>0</v>
      </c>
      <c r="DJ150" s="72">
        <v>0</v>
      </c>
      <c r="DK150" s="72">
        <v>0</v>
      </c>
      <c r="DL150" s="72">
        <v>0</v>
      </c>
      <c r="DM150" s="72">
        <v>0</v>
      </c>
      <c r="DN150" s="72">
        <v>0</v>
      </c>
      <c r="DO150" s="72">
        <v>0</v>
      </c>
      <c r="DP150" s="72">
        <v>0</v>
      </c>
      <c r="DQ150" s="72">
        <v>0</v>
      </c>
      <c r="DR150" s="72">
        <v>0</v>
      </c>
      <c r="DS150" s="72">
        <v>0</v>
      </c>
      <c r="DT150" s="72">
        <v>0</v>
      </c>
      <c r="DU150" s="72">
        <v>0</v>
      </c>
      <c r="DV150" s="72">
        <v>0</v>
      </c>
      <c r="DW150" s="72">
        <v>0</v>
      </c>
      <c r="DX150" s="72">
        <v>0</v>
      </c>
      <c r="DY150" s="72">
        <v>0</v>
      </c>
      <c r="DZ150" s="72">
        <v>0</v>
      </c>
      <c r="EA150" s="72">
        <v>0</v>
      </c>
      <c r="EB150" s="72">
        <v>0</v>
      </c>
      <c r="EC150" s="72">
        <v>0</v>
      </c>
      <c r="ED150" s="72">
        <v>0</v>
      </c>
      <c r="EE150" s="72">
        <v>0</v>
      </c>
      <c r="EF150" s="72">
        <v>0</v>
      </c>
      <c r="EG150" s="72">
        <v>0</v>
      </c>
      <c r="EH150" s="72">
        <v>0</v>
      </c>
      <c r="EI150" s="72">
        <v>0</v>
      </c>
      <c r="EJ150" s="72">
        <v>0</v>
      </c>
      <c r="EK150" s="72">
        <v>0</v>
      </c>
      <c r="EL150" s="72">
        <v>0</v>
      </c>
    </row>
    <row r="151" spans="1:142" s="6" customFormat="1" x14ac:dyDescent="0.35">
      <c r="A151" s="59">
        <f>Данные!A151</f>
        <v>4858</v>
      </c>
      <c r="B151" s="59">
        <f>Данные!B151</f>
        <v>2017</v>
      </c>
      <c r="C151" s="59" t="str">
        <f>Данные!C151</f>
        <v>компьютерных технологий и электронного обучения</v>
      </c>
      <c r="D151" s="59" t="str">
        <f>Данные!D151</f>
        <v>Государев Илья Борисович</v>
      </c>
      <c r="E151" s="59" t="str">
        <f>Данные!E151</f>
        <v>кандидат педагогических наук</v>
      </c>
      <c r="F151" s="59" t="str">
        <f>Данные!F151</f>
        <v>доцент</v>
      </c>
      <c r="G151" s="59">
        <f>Данные!G151</f>
        <v>1</v>
      </c>
      <c r="H151" s="59">
        <f>Данные!H151</f>
        <v>16002</v>
      </c>
      <c r="I151" s="59" t="str">
        <f>Данные!I151</f>
        <v>Модуль "Проектирование и разработка веб-решений ". Компьютерный практикум</v>
      </c>
      <c r="J151" s="59">
        <f>Данные!J151</f>
        <v>0</v>
      </c>
      <c r="K151" s="59">
        <f>Данные!K151</f>
        <v>0</v>
      </c>
      <c r="L151" s="59">
        <f>Данные!L151</f>
        <v>45</v>
      </c>
      <c r="M151" s="60">
        <f t="shared" si="18"/>
        <v>4.5</v>
      </c>
      <c r="N151" s="60">
        <f t="shared" ca="1" si="19"/>
        <v>10.91</v>
      </c>
      <c r="O151" s="60">
        <f t="shared" ca="1" si="20"/>
        <v>6.75</v>
      </c>
      <c r="P151" s="60">
        <f t="shared" ca="1" si="21"/>
        <v>6.75</v>
      </c>
      <c r="Q151" s="54">
        <f>Данные!Q151</f>
        <v>0</v>
      </c>
      <c r="R151" s="54">
        <f>Данные!R151</f>
        <v>0</v>
      </c>
      <c r="S151" s="54">
        <f>Данные!S151</f>
        <v>0</v>
      </c>
      <c r="T151" s="54">
        <f>Данные!T151</f>
        <v>0</v>
      </c>
      <c r="U151" s="54">
        <f>Данные!U151</f>
        <v>0</v>
      </c>
      <c r="V151" s="54">
        <f>Данные!V151</f>
        <v>0</v>
      </c>
      <c r="W151" s="54">
        <f ca="1">Данные!W151</f>
        <v>27</v>
      </c>
      <c r="X151" s="54" t="str">
        <f ca="1">Данные!X151</f>
        <v>1</v>
      </c>
      <c r="Y151" s="54" t="str">
        <f ca="1">Данные!Y151</f>
        <v>2</v>
      </c>
      <c r="Z151" s="54">
        <f>Данные!Z151</f>
        <v>0</v>
      </c>
      <c r="AA151" s="54" t="str">
        <f>Данные!AA151</f>
        <v>осн</v>
      </c>
      <c r="AB151" s="101">
        <f t="shared" si="22"/>
        <v>800</v>
      </c>
      <c r="AC151" s="101" t="str">
        <f t="shared" si="23"/>
        <v>ИВТ (бак)</v>
      </c>
      <c r="AD151" s="101" t="str">
        <f t="shared" si="24"/>
        <v/>
      </c>
      <c r="AE151" s="102">
        <f t="shared" ca="1" si="25"/>
        <v>73.91</v>
      </c>
      <c r="AF151" s="103">
        <f t="shared" ca="1" si="26"/>
        <v>9.2387499999999997E-2</v>
      </c>
      <c r="AG151" s="101"/>
      <c r="AH151" s="101"/>
      <c r="AI151"/>
      <c r="BQ151" s="72">
        <v>0</v>
      </c>
      <c r="BR151" s="72">
        <v>0</v>
      </c>
      <c r="BS151" s="72">
        <v>0</v>
      </c>
      <c r="BT151" s="72">
        <v>0</v>
      </c>
      <c r="BU151" s="72">
        <v>0</v>
      </c>
      <c r="BV151" s="72">
        <v>0</v>
      </c>
      <c r="BW151" s="72">
        <v>0</v>
      </c>
      <c r="BX151" s="72">
        <v>0</v>
      </c>
      <c r="BY151" s="72">
        <v>0</v>
      </c>
      <c r="BZ151" s="72">
        <v>0</v>
      </c>
      <c r="CA151" s="72">
        <v>0</v>
      </c>
      <c r="CB151" s="72">
        <v>0</v>
      </c>
      <c r="CC151" s="72">
        <v>0</v>
      </c>
      <c r="CD151" s="72">
        <v>0</v>
      </c>
      <c r="CE151" s="72">
        <v>0</v>
      </c>
      <c r="CF151" s="72">
        <v>0</v>
      </c>
      <c r="CG151" s="72">
        <v>0</v>
      </c>
      <c r="CH151" s="72">
        <v>0</v>
      </c>
      <c r="CI151" s="72">
        <v>0</v>
      </c>
      <c r="CJ151" s="72">
        <v>0</v>
      </c>
      <c r="CK151" s="72">
        <v>0</v>
      </c>
      <c r="CL151" s="72">
        <v>0</v>
      </c>
      <c r="CM151" s="72">
        <v>0</v>
      </c>
      <c r="CN151" s="72">
        <v>0</v>
      </c>
      <c r="CO151" s="72">
        <v>0</v>
      </c>
      <c r="CP151" s="72">
        <v>0</v>
      </c>
      <c r="CQ151" s="72">
        <v>0</v>
      </c>
      <c r="CR151" s="72">
        <v>0</v>
      </c>
      <c r="CS151" s="72">
        <v>0</v>
      </c>
      <c r="CT151" s="72">
        <v>0</v>
      </c>
      <c r="CU151" s="72">
        <v>0</v>
      </c>
      <c r="CV151" s="72">
        <v>0</v>
      </c>
      <c r="CW151" s="72">
        <v>0</v>
      </c>
      <c r="CX151" s="72">
        <v>0</v>
      </c>
      <c r="CY151" s="72">
        <v>0</v>
      </c>
      <c r="CZ151" s="72">
        <v>0</v>
      </c>
      <c r="DA151" s="72">
        <v>0</v>
      </c>
      <c r="DB151" s="72">
        <v>0</v>
      </c>
      <c r="DC151" s="72">
        <v>0</v>
      </c>
      <c r="DD151" s="72">
        <v>0</v>
      </c>
      <c r="DE151" s="72">
        <v>0</v>
      </c>
      <c r="DF151" s="72">
        <v>0</v>
      </c>
      <c r="DG151" s="72">
        <v>0</v>
      </c>
      <c r="DH151" s="72">
        <v>0</v>
      </c>
      <c r="DI151" s="72">
        <v>0</v>
      </c>
      <c r="DJ151" s="72">
        <v>0</v>
      </c>
      <c r="DK151" s="72">
        <v>0</v>
      </c>
      <c r="DL151" s="72">
        <v>0</v>
      </c>
      <c r="DM151" s="72">
        <v>0</v>
      </c>
      <c r="DN151" s="72">
        <v>0</v>
      </c>
      <c r="DO151" s="72">
        <v>0</v>
      </c>
      <c r="DP151" s="72">
        <v>0</v>
      </c>
      <c r="DQ151" s="72">
        <v>0</v>
      </c>
      <c r="DR151" s="72">
        <v>0</v>
      </c>
      <c r="DS151" s="72">
        <v>0</v>
      </c>
      <c r="DT151" s="72">
        <v>0</v>
      </c>
      <c r="DU151" s="72">
        <v>0</v>
      </c>
      <c r="DV151" s="72">
        <v>0</v>
      </c>
      <c r="DW151" s="72">
        <v>0</v>
      </c>
      <c r="DX151" s="72">
        <v>0</v>
      </c>
      <c r="DY151" s="72">
        <v>0</v>
      </c>
      <c r="DZ151" s="72">
        <v>0</v>
      </c>
      <c r="EA151" s="72">
        <v>0</v>
      </c>
      <c r="EB151" s="72">
        <v>0</v>
      </c>
      <c r="EC151" s="72">
        <v>0</v>
      </c>
      <c r="ED151" s="72">
        <v>0</v>
      </c>
      <c r="EE151" s="72">
        <v>0</v>
      </c>
      <c r="EF151" s="72">
        <v>0</v>
      </c>
      <c r="EG151" s="72">
        <v>0</v>
      </c>
      <c r="EH151" s="72">
        <v>0</v>
      </c>
      <c r="EI151" s="72">
        <v>0</v>
      </c>
      <c r="EJ151" s="72">
        <v>0</v>
      </c>
      <c r="EK151" s="72">
        <v>0</v>
      </c>
      <c r="EL151" s="72">
        <v>0</v>
      </c>
    </row>
    <row r="152" spans="1:142" s="6" customFormat="1" x14ac:dyDescent="0.35">
      <c r="A152" s="59">
        <f>Данные!A152</f>
        <v>4858</v>
      </c>
      <c r="B152" s="59">
        <f>Данные!B152</f>
        <v>2017</v>
      </c>
      <c r="C152" s="59" t="str">
        <f>Данные!C152</f>
        <v>компьютерных технологий и электронного обучения</v>
      </c>
      <c r="D152" s="59" t="str">
        <f>Данные!D152</f>
        <v>Государев Илья Борисович</v>
      </c>
      <c r="E152" s="59" t="str">
        <f>Данные!E152</f>
        <v>кандидат педагогических наук</v>
      </c>
      <c r="F152" s="59" t="str">
        <f>Данные!F152</f>
        <v>доцент</v>
      </c>
      <c r="G152" s="59">
        <f>Данные!G152</f>
        <v>1</v>
      </c>
      <c r="H152" s="59">
        <f>Данные!H152</f>
        <v>16002</v>
      </c>
      <c r="I152" s="59" t="str">
        <f>Данные!I152</f>
        <v>Модуль "Проектирование и разработка веб-решений ". Разработка интерфейсов обогащенных веб-приложений</v>
      </c>
      <c r="J152" s="59">
        <f>Данные!J152</f>
        <v>0</v>
      </c>
      <c r="K152" s="59">
        <f>Данные!K152</f>
        <v>0</v>
      </c>
      <c r="L152" s="59">
        <f>Данные!L152</f>
        <v>72</v>
      </c>
      <c r="M152" s="60">
        <f t="shared" si="18"/>
        <v>7.2</v>
      </c>
      <c r="N152" s="60">
        <f t="shared" ca="1" si="19"/>
        <v>10.91</v>
      </c>
      <c r="O152" s="60">
        <f t="shared" ca="1" si="20"/>
        <v>6.75</v>
      </c>
      <c r="P152" s="60">
        <f t="shared" ca="1" si="21"/>
        <v>6.75</v>
      </c>
      <c r="Q152" s="54">
        <f>Данные!Q152</f>
        <v>0</v>
      </c>
      <c r="R152" s="54">
        <f>Данные!R152</f>
        <v>0</v>
      </c>
      <c r="S152" s="54">
        <f>Данные!S152</f>
        <v>0</v>
      </c>
      <c r="T152" s="54">
        <f>Данные!T152</f>
        <v>0</v>
      </c>
      <c r="U152" s="54">
        <f>Данные!U152</f>
        <v>0</v>
      </c>
      <c r="V152" s="54">
        <f>Данные!V152</f>
        <v>0</v>
      </c>
      <c r="W152" s="54">
        <f ca="1">Данные!W152</f>
        <v>27</v>
      </c>
      <c r="X152" s="54" t="str">
        <f ca="1">Данные!X152</f>
        <v>1</v>
      </c>
      <c r="Y152" s="54" t="str">
        <f ca="1">Данные!Y152</f>
        <v>2</v>
      </c>
      <c r="Z152" s="54">
        <f>Данные!Z152</f>
        <v>0</v>
      </c>
      <c r="AA152" s="54" t="str">
        <f>Данные!AA152</f>
        <v>осн</v>
      </c>
      <c r="AB152" s="101">
        <f t="shared" si="22"/>
        <v>800</v>
      </c>
      <c r="AC152" s="101" t="str">
        <f t="shared" si="23"/>
        <v>ИВТ (бак)</v>
      </c>
      <c r="AD152" s="101" t="str">
        <f t="shared" si="24"/>
        <v/>
      </c>
      <c r="AE152" s="102">
        <f t="shared" ca="1" si="25"/>
        <v>103.61</v>
      </c>
      <c r="AF152" s="103">
        <f t="shared" ca="1" si="26"/>
        <v>0.1295125</v>
      </c>
      <c r="AG152" s="101"/>
      <c r="AH152" s="101"/>
      <c r="AI152"/>
      <c r="BQ152" s="72">
        <v>0</v>
      </c>
      <c r="BR152" s="72">
        <v>0</v>
      </c>
      <c r="BS152" s="72">
        <v>0</v>
      </c>
      <c r="BT152" s="72">
        <v>0</v>
      </c>
      <c r="BU152" s="72">
        <v>0</v>
      </c>
      <c r="BV152" s="72">
        <v>0</v>
      </c>
      <c r="BW152" s="72">
        <v>0</v>
      </c>
      <c r="BX152" s="72">
        <v>0</v>
      </c>
      <c r="BY152" s="72">
        <v>0</v>
      </c>
      <c r="BZ152" s="72">
        <v>0</v>
      </c>
      <c r="CA152" s="72">
        <v>0</v>
      </c>
      <c r="CB152" s="72">
        <v>0</v>
      </c>
      <c r="CC152" s="72">
        <v>0</v>
      </c>
      <c r="CD152" s="72">
        <v>0</v>
      </c>
      <c r="CE152" s="72">
        <v>0</v>
      </c>
      <c r="CF152" s="72">
        <v>0</v>
      </c>
      <c r="CG152" s="72">
        <v>0</v>
      </c>
      <c r="CH152" s="72">
        <v>0</v>
      </c>
      <c r="CI152" s="72">
        <v>0</v>
      </c>
      <c r="CJ152" s="72">
        <v>0</v>
      </c>
      <c r="CK152" s="72">
        <v>0</v>
      </c>
      <c r="CL152" s="72">
        <v>0</v>
      </c>
      <c r="CM152" s="72">
        <v>0</v>
      </c>
      <c r="CN152" s="72">
        <v>0</v>
      </c>
      <c r="CO152" s="72">
        <v>0</v>
      </c>
      <c r="CP152" s="72">
        <v>0</v>
      </c>
      <c r="CQ152" s="72">
        <v>0</v>
      </c>
      <c r="CR152" s="72">
        <v>0</v>
      </c>
      <c r="CS152" s="72">
        <v>0</v>
      </c>
      <c r="CT152" s="72">
        <v>0</v>
      </c>
      <c r="CU152" s="72">
        <v>0</v>
      </c>
      <c r="CV152" s="72">
        <v>0</v>
      </c>
      <c r="CW152" s="72">
        <v>0</v>
      </c>
      <c r="CX152" s="72">
        <v>0</v>
      </c>
      <c r="CY152" s="72">
        <v>0</v>
      </c>
      <c r="CZ152" s="72">
        <v>0</v>
      </c>
      <c r="DA152" s="72">
        <v>0</v>
      </c>
      <c r="DB152" s="72">
        <v>0</v>
      </c>
      <c r="DC152" s="72">
        <v>0</v>
      </c>
      <c r="DD152" s="72">
        <v>0</v>
      </c>
      <c r="DE152" s="72">
        <v>0</v>
      </c>
      <c r="DF152" s="72">
        <v>0</v>
      </c>
      <c r="DG152" s="72">
        <v>0</v>
      </c>
      <c r="DH152" s="72">
        <v>0</v>
      </c>
      <c r="DI152" s="72">
        <v>0</v>
      </c>
      <c r="DJ152" s="72">
        <v>0</v>
      </c>
      <c r="DK152" s="72">
        <v>0</v>
      </c>
      <c r="DL152" s="72">
        <v>0</v>
      </c>
      <c r="DM152" s="72">
        <v>0</v>
      </c>
      <c r="DN152" s="72">
        <v>0</v>
      </c>
      <c r="DO152" s="72">
        <v>0</v>
      </c>
      <c r="DP152" s="72">
        <v>0</v>
      </c>
      <c r="DQ152" s="72">
        <v>0</v>
      </c>
      <c r="DR152" s="72">
        <v>0</v>
      </c>
      <c r="DS152" s="72">
        <v>0</v>
      </c>
      <c r="DT152" s="72">
        <v>0</v>
      </c>
      <c r="DU152" s="72">
        <v>0</v>
      </c>
      <c r="DV152" s="72">
        <v>0</v>
      </c>
      <c r="DW152" s="72">
        <v>0</v>
      </c>
      <c r="DX152" s="72">
        <v>0</v>
      </c>
      <c r="DY152" s="72">
        <v>0</v>
      </c>
      <c r="DZ152" s="72">
        <v>0</v>
      </c>
      <c r="EA152" s="72">
        <v>0</v>
      </c>
      <c r="EB152" s="72">
        <v>0</v>
      </c>
      <c r="EC152" s="72">
        <v>0</v>
      </c>
      <c r="ED152" s="72">
        <v>0</v>
      </c>
      <c r="EE152" s="72">
        <v>0</v>
      </c>
      <c r="EF152" s="72">
        <v>0</v>
      </c>
      <c r="EG152" s="72">
        <v>0</v>
      </c>
      <c r="EH152" s="72">
        <v>0</v>
      </c>
      <c r="EI152" s="72">
        <v>0</v>
      </c>
      <c r="EJ152" s="72">
        <v>0</v>
      </c>
      <c r="EK152" s="72">
        <v>0</v>
      </c>
      <c r="EL152" s="72">
        <v>0</v>
      </c>
    </row>
    <row r="153" spans="1:142" s="6" customFormat="1" x14ac:dyDescent="0.35">
      <c r="A153" s="59">
        <f>Данные!A153</f>
        <v>4858</v>
      </c>
      <c r="B153" s="59">
        <f>Данные!B153</f>
        <v>2017</v>
      </c>
      <c r="C153" s="59" t="str">
        <f>Данные!C153</f>
        <v>компьютерных технологий и электронного обучения</v>
      </c>
      <c r="D153" s="59" t="str">
        <f>Данные!D153</f>
        <v>Жуков Николай Николаевич</v>
      </c>
      <c r="E153" s="59" t="str">
        <f>Данные!E153</f>
        <v>нет</v>
      </c>
      <c r="F153" s="59" t="str">
        <f>Данные!F153</f>
        <v>ассистент</v>
      </c>
      <c r="G153" s="59">
        <f>Данные!G153</f>
        <v>1</v>
      </c>
      <c r="H153" s="59">
        <f>Данные!H153</f>
        <v>16002</v>
      </c>
      <c r="I153" s="59" t="str">
        <f>Данные!I153</f>
        <v>Модуль "Технологии и методы вычислений". Информационные технологии в решении задач оптимизации</v>
      </c>
      <c r="J153" s="59">
        <f>Данные!J153</f>
        <v>0</v>
      </c>
      <c r="K153" s="59">
        <f>Данные!K153</f>
        <v>0</v>
      </c>
      <c r="L153" s="59">
        <f>Данные!L153</f>
        <v>24</v>
      </c>
      <c r="M153" s="60">
        <f t="shared" si="18"/>
        <v>2.4</v>
      </c>
      <c r="N153" s="60">
        <f t="shared" ca="1" si="19"/>
        <v>10.91</v>
      </c>
      <c r="O153" s="60">
        <f t="shared" ca="1" si="20"/>
        <v>6.75</v>
      </c>
      <c r="P153" s="60">
        <f t="shared" ca="1" si="21"/>
        <v>6.75</v>
      </c>
      <c r="Q153" s="54">
        <f>Данные!Q153</f>
        <v>0</v>
      </c>
      <c r="R153" s="54">
        <f>Данные!R153</f>
        <v>0</v>
      </c>
      <c r="S153" s="54">
        <f>Данные!S153</f>
        <v>0</v>
      </c>
      <c r="T153" s="54">
        <f>Данные!T153</f>
        <v>0</v>
      </c>
      <c r="U153" s="54">
        <f>Данные!U153</f>
        <v>0</v>
      </c>
      <c r="V153" s="54">
        <f>Данные!V153</f>
        <v>0</v>
      </c>
      <c r="W153" s="54">
        <f ca="1">Данные!W153</f>
        <v>27</v>
      </c>
      <c r="X153" s="54" t="str">
        <f ca="1">Данные!X153</f>
        <v>1</v>
      </c>
      <c r="Y153" s="54" t="str">
        <f ca="1">Данные!Y153</f>
        <v>2</v>
      </c>
      <c r="Z153" s="54">
        <f>Данные!Z153</f>
        <v>0</v>
      </c>
      <c r="AA153" s="54" t="str">
        <f>Данные!AA153</f>
        <v>осн</v>
      </c>
      <c r="AB153" s="101">
        <f t="shared" si="22"/>
        <v>900</v>
      </c>
      <c r="AC153" s="101" t="str">
        <f t="shared" si="23"/>
        <v>ИВТ (бак)</v>
      </c>
      <c r="AD153" s="101" t="str">
        <f t="shared" si="24"/>
        <v/>
      </c>
      <c r="AE153" s="102">
        <f t="shared" ca="1" si="25"/>
        <v>50.81</v>
      </c>
      <c r="AF153" s="103">
        <f t="shared" ca="1" si="26"/>
        <v>5.6455555555555557E-2</v>
      </c>
      <c r="AG153" s="101"/>
      <c r="AH153" s="101"/>
      <c r="AI153"/>
      <c r="BQ153" s="72">
        <v>0</v>
      </c>
      <c r="BR153" s="72">
        <v>0</v>
      </c>
      <c r="BS153" s="72">
        <v>0</v>
      </c>
      <c r="BT153" s="72">
        <v>0</v>
      </c>
      <c r="BU153" s="72">
        <v>0</v>
      </c>
      <c r="BV153" s="72">
        <v>0</v>
      </c>
      <c r="BW153" s="72">
        <v>0</v>
      </c>
      <c r="BX153" s="72">
        <v>0</v>
      </c>
      <c r="BY153" s="72">
        <v>0</v>
      </c>
      <c r="BZ153" s="72">
        <v>0</v>
      </c>
      <c r="CA153" s="72">
        <v>0</v>
      </c>
      <c r="CB153" s="72">
        <v>0</v>
      </c>
      <c r="CC153" s="72">
        <v>0</v>
      </c>
      <c r="CD153" s="72">
        <v>0</v>
      </c>
      <c r="CE153" s="72">
        <v>0</v>
      </c>
      <c r="CF153" s="72">
        <v>0</v>
      </c>
      <c r="CG153" s="72">
        <v>0</v>
      </c>
      <c r="CH153" s="72">
        <v>0</v>
      </c>
      <c r="CI153" s="72">
        <v>0</v>
      </c>
      <c r="CJ153" s="72">
        <v>0</v>
      </c>
      <c r="CK153" s="72">
        <v>0</v>
      </c>
      <c r="CL153" s="72">
        <v>0</v>
      </c>
      <c r="CM153" s="72">
        <v>0</v>
      </c>
      <c r="CN153" s="72">
        <v>0</v>
      </c>
      <c r="CO153" s="72">
        <v>0</v>
      </c>
      <c r="CP153" s="72">
        <v>0</v>
      </c>
      <c r="CQ153" s="72">
        <v>0</v>
      </c>
      <c r="CR153" s="72">
        <v>0</v>
      </c>
      <c r="CS153" s="72">
        <v>0</v>
      </c>
      <c r="CT153" s="72">
        <v>0</v>
      </c>
      <c r="CU153" s="72">
        <v>0</v>
      </c>
      <c r="CV153" s="72">
        <v>0</v>
      </c>
      <c r="CW153" s="72">
        <v>0</v>
      </c>
      <c r="CX153" s="72">
        <v>0</v>
      </c>
      <c r="CY153" s="72">
        <v>0</v>
      </c>
      <c r="CZ153" s="72">
        <v>0</v>
      </c>
      <c r="DA153" s="72">
        <v>0</v>
      </c>
      <c r="DB153" s="72">
        <v>0</v>
      </c>
      <c r="DC153" s="72">
        <v>0</v>
      </c>
      <c r="DD153" s="72">
        <v>0</v>
      </c>
      <c r="DE153" s="72">
        <v>0</v>
      </c>
      <c r="DF153" s="72">
        <v>0</v>
      </c>
      <c r="DG153" s="72">
        <v>0</v>
      </c>
      <c r="DH153" s="72">
        <v>0</v>
      </c>
      <c r="DI153" s="72">
        <v>0</v>
      </c>
      <c r="DJ153" s="72">
        <v>0</v>
      </c>
      <c r="DK153" s="72">
        <v>0</v>
      </c>
      <c r="DL153" s="72">
        <v>0</v>
      </c>
      <c r="DM153" s="72">
        <v>0</v>
      </c>
      <c r="DN153" s="72">
        <v>0</v>
      </c>
      <c r="DO153" s="72">
        <v>0</v>
      </c>
      <c r="DP153" s="72">
        <v>0</v>
      </c>
      <c r="DQ153" s="72">
        <v>0</v>
      </c>
      <c r="DR153" s="72">
        <v>0</v>
      </c>
      <c r="DS153" s="72">
        <v>0</v>
      </c>
      <c r="DT153" s="72">
        <v>0</v>
      </c>
      <c r="DU153" s="72">
        <v>0</v>
      </c>
      <c r="DV153" s="72">
        <v>0</v>
      </c>
      <c r="DW153" s="72">
        <v>0</v>
      </c>
      <c r="DX153" s="72">
        <v>0</v>
      </c>
      <c r="DY153" s="72">
        <v>0</v>
      </c>
      <c r="DZ153" s="72">
        <v>0</v>
      </c>
      <c r="EA153" s="72">
        <v>0</v>
      </c>
      <c r="EB153" s="72">
        <v>0</v>
      </c>
      <c r="EC153" s="72">
        <v>0</v>
      </c>
      <c r="ED153" s="72">
        <v>0</v>
      </c>
      <c r="EE153" s="72">
        <v>0</v>
      </c>
      <c r="EF153" s="72">
        <v>0</v>
      </c>
      <c r="EG153" s="72">
        <v>0</v>
      </c>
      <c r="EH153" s="72">
        <v>0</v>
      </c>
      <c r="EI153" s="72">
        <v>0</v>
      </c>
      <c r="EJ153" s="72">
        <v>0</v>
      </c>
      <c r="EK153" s="72">
        <v>0</v>
      </c>
      <c r="EL153" s="72">
        <v>0</v>
      </c>
    </row>
    <row r="154" spans="1:142" s="6" customFormat="1" x14ac:dyDescent="0.35">
      <c r="A154" s="59">
        <f>Данные!A154</f>
        <v>4858</v>
      </c>
      <c r="B154" s="59">
        <f>Данные!B154</f>
        <v>2017</v>
      </c>
      <c r="C154" s="59" t="str">
        <f>Данные!C154</f>
        <v>компьютерных технологий и электронного обучения</v>
      </c>
      <c r="D154" s="59" t="str">
        <f>Данные!D154</f>
        <v>Жуков Николай Николаевич</v>
      </c>
      <c r="E154" s="59" t="str">
        <f>Данные!E154</f>
        <v>нет</v>
      </c>
      <c r="F154" s="59" t="str">
        <f>Данные!F154</f>
        <v>ассистент</v>
      </c>
      <c r="G154" s="59">
        <f>Данные!G154</f>
        <v>1</v>
      </c>
      <c r="H154" s="59">
        <f>Данные!H154</f>
        <v>16002</v>
      </c>
      <c r="I154" s="59" t="str">
        <f>Данные!I154</f>
        <v>Программирование</v>
      </c>
      <c r="J154" s="59">
        <f>Данные!J154</f>
        <v>0</v>
      </c>
      <c r="K154" s="59">
        <f>Данные!K154</f>
        <v>0</v>
      </c>
      <c r="L154" s="59">
        <f>Данные!L154</f>
        <v>96</v>
      </c>
      <c r="M154" s="60">
        <f t="shared" si="18"/>
        <v>9.6</v>
      </c>
      <c r="N154" s="60">
        <f t="shared" ca="1" si="19"/>
        <v>10.91</v>
      </c>
      <c r="O154" s="60">
        <f t="shared" ca="1" si="20"/>
        <v>6.75</v>
      </c>
      <c r="P154" s="60">
        <f t="shared" ca="1" si="21"/>
        <v>6.75</v>
      </c>
      <c r="Q154" s="54">
        <f>Данные!Q154</f>
        <v>0</v>
      </c>
      <c r="R154" s="54">
        <f>Данные!R154</f>
        <v>0</v>
      </c>
      <c r="S154" s="54">
        <f>Данные!S154</f>
        <v>0</v>
      </c>
      <c r="T154" s="54">
        <f>Данные!T154</f>
        <v>0</v>
      </c>
      <c r="U154" s="54">
        <f>Данные!U154</f>
        <v>0</v>
      </c>
      <c r="V154" s="54">
        <f>Данные!V154</f>
        <v>0</v>
      </c>
      <c r="W154" s="54">
        <f ca="1">Данные!W154</f>
        <v>27</v>
      </c>
      <c r="X154" s="54" t="str">
        <f ca="1">Данные!X154</f>
        <v>1</v>
      </c>
      <c r="Y154" s="54" t="str">
        <f ca="1">Данные!Y154</f>
        <v>2</v>
      </c>
      <c r="Z154" s="54">
        <f>Данные!Z154</f>
        <v>0</v>
      </c>
      <c r="AA154" s="54" t="str">
        <f>Данные!AA154</f>
        <v>осн</v>
      </c>
      <c r="AB154" s="101">
        <f t="shared" si="22"/>
        <v>900</v>
      </c>
      <c r="AC154" s="101" t="str">
        <f t="shared" si="23"/>
        <v>ИВТ (бак)</v>
      </c>
      <c r="AD154" s="101" t="str">
        <f t="shared" si="24"/>
        <v/>
      </c>
      <c r="AE154" s="102">
        <f t="shared" ca="1" si="25"/>
        <v>130.01</v>
      </c>
      <c r="AF154" s="103">
        <f t="shared" ca="1" si="26"/>
        <v>0.14445555555555556</v>
      </c>
      <c r="AG154" s="101"/>
      <c r="AH154" s="101"/>
      <c r="AI154"/>
      <c r="BQ154" s="72">
        <v>0</v>
      </c>
      <c r="BR154" s="72">
        <v>0</v>
      </c>
      <c r="BS154" s="72">
        <v>0</v>
      </c>
      <c r="BT154" s="72">
        <v>0</v>
      </c>
      <c r="BU154" s="72">
        <v>0</v>
      </c>
      <c r="BV154" s="72">
        <v>0</v>
      </c>
      <c r="BW154" s="72">
        <v>0</v>
      </c>
      <c r="BX154" s="72">
        <v>0</v>
      </c>
      <c r="BY154" s="72">
        <v>0</v>
      </c>
      <c r="BZ154" s="72">
        <v>0</v>
      </c>
      <c r="CA154" s="72">
        <v>0</v>
      </c>
      <c r="CB154" s="72">
        <v>0</v>
      </c>
      <c r="CC154" s="72">
        <v>0</v>
      </c>
      <c r="CD154" s="72">
        <v>0</v>
      </c>
      <c r="CE154" s="72">
        <v>0</v>
      </c>
      <c r="CF154" s="72">
        <v>0</v>
      </c>
      <c r="CG154" s="72">
        <v>0</v>
      </c>
      <c r="CH154" s="72">
        <v>0</v>
      </c>
      <c r="CI154" s="72">
        <v>0</v>
      </c>
      <c r="CJ154" s="72">
        <v>0</v>
      </c>
      <c r="CK154" s="72">
        <v>0</v>
      </c>
      <c r="CL154" s="72">
        <v>0</v>
      </c>
      <c r="CM154" s="72">
        <v>0</v>
      </c>
      <c r="CN154" s="72">
        <v>0</v>
      </c>
      <c r="CO154" s="72">
        <v>0</v>
      </c>
      <c r="CP154" s="72">
        <v>0</v>
      </c>
      <c r="CQ154" s="72">
        <v>0</v>
      </c>
      <c r="CR154" s="72">
        <v>0</v>
      </c>
      <c r="CS154" s="72">
        <v>0</v>
      </c>
      <c r="CT154" s="72">
        <v>0</v>
      </c>
      <c r="CU154" s="72">
        <v>0</v>
      </c>
      <c r="CV154" s="72">
        <v>0</v>
      </c>
      <c r="CW154" s="72">
        <v>0</v>
      </c>
      <c r="CX154" s="72">
        <v>0</v>
      </c>
      <c r="CY154" s="72">
        <v>0</v>
      </c>
      <c r="CZ154" s="72">
        <v>0</v>
      </c>
      <c r="DA154" s="72">
        <v>0</v>
      </c>
      <c r="DB154" s="72">
        <v>0</v>
      </c>
      <c r="DC154" s="72">
        <v>0</v>
      </c>
      <c r="DD154" s="72">
        <v>0</v>
      </c>
      <c r="DE154" s="72">
        <v>0</v>
      </c>
      <c r="DF154" s="72">
        <v>0</v>
      </c>
      <c r="DG154" s="72">
        <v>0</v>
      </c>
      <c r="DH154" s="72">
        <v>0</v>
      </c>
      <c r="DI154" s="72">
        <v>0</v>
      </c>
      <c r="DJ154" s="72">
        <v>0</v>
      </c>
      <c r="DK154" s="72">
        <v>0</v>
      </c>
      <c r="DL154" s="72">
        <v>0</v>
      </c>
      <c r="DM154" s="72">
        <v>0</v>
      </c>
      <c r="DN154" s="72">
        <v>0</v>
      </c>
      <c r="DO154" s="72">
        <v>0</v>
      </c>
      <c r="DP154" s="72">
        <v>0</v>
      </c>
      <c r="DQ154" s="72">
        <v>0</v>
      </c>
      <c r="DR154" s="72">
        <v>0</v>
      </c>
      <c r="DS154" s="72">
        <v>0</v>
      </c>
      <c r="DT154" s="72">
        <v>0</v>
      </c>
      <c r="DU154" s="72">
        <v>0</v>
      </c>
      <c r="DV154" s="72">
        <v>0</v>
      </c>
      <c r="DW154" s="72">
        <v>0</v>
      </c>
      <c r="DX154" s="72">
        <v>0</v>
      </c>
      <c r="DY154" s="72">
        <v>0</v>
      </c>
      <c r="DZ154" s="72">
        <v>0</v>
      </c>
      <c r="EA154" s="72">
        <v>0</v>
      </c>
      <c r="EB154" s="72">
        <v>0</v>
      </c>
      <c r="EC154" s="72">
        <v>0</v>
      </c>
      <c r="ED154" s="72">
        <v>0</v>
      </c>
      <c r="EE154" s="72">
        <v>0</v>
      </c>
      <c r="EF154" s="72">
        <v>0</v>
      </c>
      <c r="EG154" s="72">
        <v>0</v>
      </c>
      <c r="EH154" s="72">
        <v>0</v>
      </c>
      <c r="EI154" s="72">
        <v>0</v>
      </c>
      <c r="EJ154" s="72">
        <v>0</v>
      </c>
      <c r="EK154" s="72">
        <v>0</v>
      </c>
      <c r="EL154" s="72">
        <v>0</v>
      </c>
    </row>
    <row r="155" spans="1:142" s="6" customFormat="1" x14ac:dyDescent="0.35">
      <c r="A155" s="59">
        <f>Данные!A155</f>
        <v>4858</v>
      </c>
      <c r="B155" s="59">
        <f>Данные!B155</f>
        <v>2017</v>
      </c>
      <c r="C155" s="59" t="str">
        <f>Данные!C155</f>
        <v>компьютерных технологий и электронного обучения</v>
      </c>
      <c r="D155" s="59" t="str">
        <f>Данные!D155</f>
        <v>Государев Илья Борисович</v>
      </c>
      <c r="E155" s="59" t="str">
        <f>Данные!E155</f>
        <v>кандидат педагогических наук</v>
      </c>
      <c r="F155" s="59" t="str">
        <f>Данные!F155</f>
        <v>доцент</v>
      </c>
      <c r="G155" s="59">
        <f>Данные!G155</f>
        <v>1</v>
      </c>
      <c r="H155" s="59">
        <f>Данные!H155</f>
        <v>16002</v>
      </c>
      <c r="I155" s="59" t="str">
        <f>Данные!I155</f>
        <v>Управление программными проектами</v>
      </c>
      <c r="J155" s="59">
        <f>Данные!J155</f>
        <v>27</v>
      </c>
      <c r="K155" s="59">
        <f>Данные!K155</f>
        <v>0</v>
      </c>
      <c r="L155" s="59">
        <f>Данные!L155</f>
        <v>0</v>
      </c>
      <c r="M155" s="60">
        <f t="shared" si="18"/>
        <v>2.7</v>
      </c>
      <c r="N155" s="60">
        <f t="shared" ca="1" si="19"/>
        <v>10.91</v>
      </c>
      <c r="O155" s="60">
        <f t="shared" ca="1" si="20"/>
        <v>6.75</v>
      </c>
      <c r="P155" s="60">
        <f t="shared" ca="1" si="21"/>
        <v>6.75</v>
      </c>
      <c r="Q155" s="54">
        <f>Данные!Q155</f>
        <v>0</v>
      </c>
      <c r="R155" s="54">
        <f>Данные!R155</f>
        <v>0</v>
      </c>
      <c r="S155" s="54">
        <f>Данные!S155</f>
        <v>0</v>
      </c>
      <c r="T155" s="54">
        <f>Данные!T155</f>
        <v>0</v>
      </c>
      <c r="U155" s="54">
        <f>Данные!U155</f>
        <v>0</v>
      </c>
      <c r="V155" s="54">
        <f>Данные!V155</f>
        <v>0</v>
      </c>
      <c r="W155" s="54">
        <f ca="1">Данные!W155</f>
        <v>27</v>
      </c>
      <c r="X155" s="54" t="str">
        <f ca="1">Данные!X155</f>
        <v>1</v>
      </c>
      <c r="Y155" s="54" t="str">
        <f ca="1">Данные!Y155</f>
        <v>2</v>
      </c>
      <c r="Z155" s="54">
        <f>Данные!Z155</f>
        <v>0</v>
      </c>
      <c r="AA155" s="54" t="str">
        <f>Данные!AA155</f>
        <v>осн</v>
      </c>
      <c r="AB155" s="101">
        <f t="shared" si="22"/>
        <v>800</v>
      </c>
      <c r="AC155" s="101" t="str">
        <f t="shared" si="23"/>
        <v>ИВТ (бак)</v>
      </c>
      <c r="AD155" s="101" t="str">
        <f t="shared" si="24"/>
        <v/>
      </c>
      <c r="AE155" s="102">
        <f t="shared" ca="1" si="25"/>
        <v>54.11</v>
      </c>
      <c r="AF155" s="103">
        <f t="shared" ca="1" si="26"/>
        <v>6.7637500000000003E-2</v>
      </c>
      <c r="AG155" s="101"/>
      <c r="AH155" s="101"/>
      <c r="AI155"/>
      <c r="BQ155" s="72">
        <v>0</v>
      </c>
      <c r="BR155" s="72">
        <v>0</v>
      </c>
      <c r="BS155" s="72">
        <v>0</v>
      </c>
      <c r="BT155" s="72">
        <v>0</v>
      </c>
      <c r="BU155" s="72">
        <v>0</v>
      </c>
      <c r="BV155" s="72">
        <v>0</v>
      </c>
      <c r="BW155" s="72">
        <v>0</v>
      </c>
      <c r="BX155" s="72">
        <v>0</v>
      </c>
      <c r="BY155" s="72">
        <v>0</v>
      </c>
      <c r="BZ155" s="72">
        <v>0</v>
      </c>
      <c r="CA155" s="72">
        <v>0</v>
      </c>
      <c r="CB155" s="72">
        <v>0</v>
      </c>
      <c r="CC155" s="72">
        <v>0</v>
      </c>
      <c r="CD155" s="72">
        <v>0</v>
      </c>
      <c r="CE155" s="72">
        <v>0</v>
      </c>
      <c r="CF155" s="72">
        <v>0</v>
      </c>
      <c r="CG155" s="72">
        <v>0</v>
      </c>
      <c r="CH155" s="72">
        <v>0</v>
      </c>
      <c r="CI155" s="72">
        <v>0</v>
      </c>
      <c r="CJ155" s="72">
        <v>0</v>
      </c>
      <c r="CK155" s="72">
        <v>0</v>
      </c>
      <c r="CL155" s="72">
        <v>0</v>
      </c>
      <c r="CM155" s="72">
        <v>0</v>
      </c>
      <c r="CN155" s="72">
        <v>0</v>
      </c>
      <c r="CO155" s="72">
        <v>0</v>
      </c>
      <c r="CP155" s="72">
        <v>0</v>
      </c>
      <c r="CQ155" s="72">
        <v>0</v>
      </c>
      <c r="CR155" s="72">
        <v>0</v>
      </c>
      <c r="CS155" s="72">
        <v>0</v>
      </c>
      <c r="CT155" s="72">
        <v>0</v>
      </c>
      <c r="CU155" s="72">
        <v>0</v>
      </c>
      <c r="CV155" s="72">
        <v>0</v>
      </c>
      <c r="CW155" s="72">
        <v>0</v>
      </c>
      <c r="CX155" s="72">
        <v>0</v>
      </c>
      <c r="CY155" s="72">
        <v>0</v>
      </c>
      <c r="CZ155" s="72">
        <v>0</v>
      </c>
      <c r="DA155" s="72">
        <v>0</v>
      </c>
      <c r="DB155" s="72">
        <v>0</v>
      </c>
      <c r="DC155" s="72">
        <v>0</v>
      </c>
      <c r="DD155" s="72">
        <v>0</v>
      </c>
      <c r="DE155" s="72">
        <v>0</v>
      </c>
      <c r="DF155" s="72">
        <v>0</v>
      </c>
      <c r="DG155" s="72">
        <v>0</v>
      </c>
      <c r="DH155" s="72">
        <v>0</v>
      </c>
      <c r="DI155" s="72">
        <v>0</v>
      </c>
      <c r="DJ155" s="72">
        <v>0</v>
      </c>
      <c r="DK155" s="72">
        <v>0</v>
      </c>
      <c r="DL155" s="72">
        <v>0</v>
      </c>
      <c r="DM155" s="72">
        <v>0</v>
      </c>
      <c r="DN155" s="72">
        <v>0</v>
      </c>
      <c r="DO155" s="72">
        <v>0</v>
      </c>
      <c r="DP155" s="72">
        <v>0</v>
      </c>
      <c r="DQ155" s="72">
        <v>0</v>
      </c>
      <c r="DR155" s="72">
        <v>0</v>
      </c>
      <c r="DS155" s="72">
        <v>0</v>
      </c>
      <c r="DT155" s="72">
        <v>0</v>
      </c>
      <c r="DU155" s="72">
        <v>0</v>
      </c>
      <c r="DV155" s="72">
        <v>0</v>
      </c>
      <c r="DW155" s="72">
        <v>0</v>
      </c>
      <c r="DX155" s="72">
        <v>0</v>
      </c>
      <c r="DY155" s="72">
        <v>0</v>
      </c>
      <c r="DZ155" s="72">
        <v>0</v>
      </c>
      <c r="EA155" s="72">
        <v>0</v>
      </c>
      <c r="EB155" s="72">
        <v>0</v>
      </c>
      <c r="EC155" s="72">
        <v>0</v>
      </c>
      <c r="ED155" s="72">
        <v>0</v>
      </c>
      <c r="EE155" s="72">
        <v>0</v>
      </c>
      <c r="EF155" s="72">
        <v>0</v>
      </c>
      <c r="EG155" s="72">
        <v>0</v>
      </c>
      <c r="EH155" s="72">
        <v>0</v>
      </c>
      <c r="EI155" s="72">
        <v>0</v>
      </c>
      <c r="EJ155" s="72">
        <v>0</v>
      </c>
      <c r="EK155" s="72">
        <v>0</v>
      </c>
      <c r="EL155" s="72">
        <v>0</v>
      </c>
    </row>
    <row r="156" spans="1:142" s="6" customFormat="1" x14ac:dyDescent="0.35">
      <c r="A156" s="59">
        <f>Данные!A156</f>
        <v>4858</v>
      </c>
      <c r="B156" s="59">
        <f>Данные!B156</f>
        <v>2017</v>
      </c>
      <c r="C156" s="59" t="str">
        <f>Данные!C156</f>
        <v>компьютерных технологий и электронного обучения</v>
      </c>
      <c r="D156" s="59" t="str">
        <f>Данные!D156</f>
        <v>Жуков Николай Николаевич</v>
      </c>
      <c r="E156" s="59" t="str">
        <f>Данные!E156</f>
        <v>нет</v>
      </c>
      <c r="F156" s="59" t="str">
        <f>Данные!F156</f>
        <v>ассистент</v>
      </c>
      <c r="G156" s="59">
        <f>Данные!G156</f>
        <v>1</v>
      </c>
      <c r="H156" s="59">
        <f>Данные!H156</f>
        <v>16002</v>
      </c>
      <c r="I156" s="59" t="str">
        <f>Данные!I156</f>
        <v>Управление программными проектами</v>
      </c>
      <c r="J156" s="59">
        <f>Данные!J156</f>
        <v>0</v>
      </c>
      <c r="K156" s="59">
        <f>Данные!K156</f>
        <v>0</v>
      </c>
      <c r="L156" s="59">
        <f>Данные!L156</f>
        <v>54</v>
      </c>
      <c r="M156" s="60">
        <f t="shared" si="18"/>
        <v>5.4</v>
      </c>
      <c r="N156" s="60">
        <f t="shared" ca="1" si="19"/>
        <v>10.91</v>
      </c>
      <c r="O156" s="60">
        <f t="shared" ca="1" si="20"/>
        <v>6.75</v>
      </c>
      <c r="P156" s="60">
        <f t="shared" ca="1" si="21"/>
        <v>6.75</v>
      </c>
      <c r="Q156" s="54">
        <f>Данные!Q156</f>
        <v>0</v>
      </c>
      <c r="R156" s="54">
        <f>Данные!R156</f>
        <v>0</v>
      </c>
      <c r="S156" s="54">
        <f>Данные!S156</f>
        <v>0</v>
      </c>
      <c r="T156" s="54">
        <f>Данные!T156</f>
        <v>0</v>
      </c>
      <c r="U156" s="54">
        <f>Данные!U156</f>
        <v>0</v>
      </c>
      <c r="V156" s="54">
        <f>Данные!V156</f>
        <v>0</v>
      </c>
      <c r="W156" s="54">
        <f ca="1">Данные!W156</f>
        <v>27</v>
      </c>
      <c r="X156" s="54" t="str">
        <f ca="1">Данные!X156</f>
        <v>1</v>
      </c>
      <c r="Y156" s="54" t="str">
        <f ca="1">Данные!Y156</f>
        <v>2</v>
      </c>
      <c r="Z156" s="54">
        <f>Данные!Z156</f>
        <v>0</v>
      </c>
      <c r="AA156" s="54" t="str">
        <f>Данные!AA156</f>
        <v>осн</v>
      </c>
      <c r="AB156" s="101">
        <f t="shared" si="22"/>
        <v>900</v>
      </c>
      <c r="AC156" s="101" t="str">
        <f t="shared" si="23"/>
        <v>ИВТ (бак)</v>
      </c>
      <c r="AD156" s="101" t="str">
        <f t="shared" si="24"/>
        <v/>
      </c>
      <c r="AE156" s="102">
        <f t="shared" ca="1" si="25"/>
        <v>83.81</v>
      </c>
      <c r="AF156" s="103">
        <f t="shared" ca="1" si="26"/>
        <v>9.3122222222222231E-2</v>
      </c>
      <c r="AG156" s="101"/>
      <c r="AH156" s="101"/>
      <c r="AI156"/>
      <c r="BQ156" s="72">
        <v>0</v>
      </c>
      <c r="BR156" s="72">
        <v>0</v>
      </c>
      <c r="BS156" s="72">
        <v>0</v>
      </c>
      <c r="BT156" s="72">
        <v>0</v>
      </c>
      <c r="BU156" s="72">
        <v>0</v>
      </c>
      <c r="BV156" s="72">
        <v>0</v>
      </c>
      <c r="BW156" s="72">
        <v>0</v>
      </c>
      <c r="BX156" s="72">
        <v>0</v>
      </c>
      <c r="BY156" s="72">
        <v>0</v>
      </c>
      <c r="BZ156" s="72">
        <v>0</v>
      </c>
      <c r="CA156" s="72">
        <v>0</v>
      </c>
      <c r="CB156" s="72">
        <v>0</v>
      </c>
      <c r="CC156" s="72">
        <v>0</v>
      </c>
      <c r="CD156" s="72">
        <v>0</v>
      </c>
      <c r="CE156" s="72">
        <v>0</v>
      </c>
      <c r="CF156" s="72">
        <v>0</v>
      </c>
      <c r="CG156" s="72">
        <v>0</v>
      </c>
      <c r="CH156" s="72">
        <v>0</v>
      </c>
      <c r="CI156" s="72">
        <v>0</v>
      </c>
      <c r="CJ156" s="72">
        <v>0</v>
      </c>
      <c r="CK156" s="72">
        <v>0</v>
      </c>
      <c r="CL156" s="72">
        <v>0</v>
      </c>
      <c r="CM156" s="72">
        <v>0</v>
      </c>
      <c r="CN156" s="72">
        <v>0</v>
      </c>
      <c r="CO156" s="72">
        <v>0</v>
      </c>
      <c r="CP156" s="72">
        <v>0</v>
      </c>
      <c r="CQ156" s="72">
        <v>0</v>
      </c>
      <c r="CR156" s="72">
        <v>0</v>
      </c>
      <c r="CS156" s="72">
        <v>0</v>
      </c>
      <c r="CT156" s="72">
        <v>0</v>
      </c>
      <c r="CU156" s="72">
        <v>0</v>
      </c>
      <c r="CV156" s="72">
        <v>0</v>
      </c>
      <c r="CW156" s="72">
        <v>0</v>
      </c>
      <c r="CX156" s="72">
        <v>0</v>
      </c>
      <c r="CY156" s="72">
        <v>0</v>
      </c>
      <c r="CZ156" s="72">
        <v>0</v>
      </c>
      <c r="DA156" s="72">
        <v>0</v>
      </c>
      <c r="DB156" s="72">
        <v>0</v>
      </c>
      <c r="DC156" s="72">
        <v>0</v>
      </c>
      <c r="DD156" s="72">
        <v>0</v>
      </c>
      <c r="DE156" s="72">
        <v>0</v>
      </c>
      <c r="DF156" s="72">
        <v>0</v>
      </c>
      <c r="DG156" s="72">
        <v>0</v>
      </c>
      <c r="DH156" s="72">
        <v>0</v>
      </c>
      <c r="DI156" s="72">
        <v>0</v>
      </c>
      <c r="DJ156" s="72">
        <v>0</v>
      </c>
      <c r="DK156" s="72">
        <v>0</v>
      </c>
      <c r="DL156" s="72">
        <v>0</v>
      </c>
      <c r="DM156" s="72">
        <v>0</v>
      </c>
      <c r="DN156" s="72">
        <v>0</v>
      </c>
      <c r="DO156" s="72">
        <v>0</v>
      </c>
      <c r="DP156" s="72">
        <v>0</v>
      </c>
      <c r="DQ156" s="72">
        <v>0</v>
      </c>
      <c r="DR156" s="72">
        <v>0</v>
      </c>
      <c r="DS156" s="72">
        <v>0</v>
      </c>
      <c r="DT156" s="72">
        <v>0</v>
      </c>
      <c r="DU156" s="72">
        <v>0</v>
      </c>
      <c r="DV156" s="72">
        <v>0</v>
      </c>
      <c r="DW156" s="72">
        <v>0</v>
      </c>
      <c r="DX156" s="72">
        <v>0</v>
      </c>
      <c r="DY156" s="72">
        <v>0</v>
      </c>
      <c r="DZ156" s="72">
        <v>0</v>
      </c>
      <c r="EA156" s="72">
        <v>0</v>
      </c>
      <c r="EB156" s="72">
        <v>0</v>
      </c>
      <c r="EC156" s="72">
        <v>0</v>
      </c>
      <c r="ED156" s="72">
        <v>0</v>
      </c>
      <c r="EE156" s="72">
        <v>0</v>
      </c>
      <c r="EF156" s="72">
        <v>0</v>
      </c>
      <c r="EG156" s="72">
        <v>0</v>
      </c>
      <c r="EH156" s="72">
        <v>0</v>
      </c>
      <c r="EI156" s="72">
        <v>0</v>
      </c>
      <c r="EJ156" s="72">
        <v>0</v>
      </c>
      <c r="EK156" s="72">
        <v>0</v>
      </c>
      <c r="EL156" s="72">
        <v>0</v>
      </c>
    </row>
    <row r="157" spans="1:142" s="6" customFormat="1" x14ac:dyDescent="0.35">
      <c r="A157" s="59">
        <f>Данные!A157</f>
        <v>4858</v>
      </c>
      <c r="B157" s="59">
        <f>Данные!B157</f>
        <v>2017</v>
      </c>
      <c r="C157" s="59" t="str">
        <f>Данные!C157</f>
        <v>компьютерных технологий и электронного обучения</v>
      </c>
      <c r="D157" s="59" t="str">
        <f>Данные!D157</f>
        <v>Ильина Татьяна Сергеевна</v>
      </c>
      <c r="E157" s="59" t="str">
        <f>Данные!E157</f>
        <v>нет</v>
      </c>
      <c r="F157" s="59" t="str">
        <f>Данные!F157</f>
        <v>старший преподаватель</v>
      </c>
      <c r="G157" s="59">
        <f>Данные!G157</f>
        <v>1</v>
      </c>
      <c r="H157" s="59">
        <f>Данные!H157</f>
        <v>16002</v>
      </c>
      <c r="I157" s="59" t="str">
        <f>Данные!I157</f>
        <v>Математика</v>
      </c>
      <c r="J157" s="59">
        <f>Данные!J157</f>
        <v>54</v>
      </c>
      <c r="K157" s="59">
        <f>Данные!K157</f>
        <v>54</v>
      </c>
      <c r="L157" s="59">
        <f>Данные!L157</f>
        <v>0</v>
      </c>
      <c r="M157" s="60">
        <f t="shared" si="18"/>
        <v>10.8</v>
      </c>
      <c r="N157" s="60">
        <f t="shared" ca="1" si="19"/>
        <v>10.91</v>
      </c>
      <c r="O157" s="60">
        <f t="shared" ca="1" si="20"/>
        <v>6.75</v>
      </c>
      <c r="P157" s="60">
        <f t="shared" ca="1" si="21"/>
        <v>6.75</v>
      </c>
      <c r="Q157" s="54">
        <f>Данные!Q157</f>
        <v>0</v>
      </c>
      <c r="R157" s="54">
        <f>Данные!R157</f>
        <v>0</v>
      </c>
      <c r="S157" s="54">
        <f>Данные!S157</f>
        <v>0</v>
      </c>
      <c r="T157" s="54">
        <f>Данные!T157</f>
        <v>0</v>
      </c>
      <c r="U157" s="54">
        <f>Данные!U157</f>
        <v>0</v>
      </c>
      <c r="V157" s="54">
        <f>Данные!V157</f>
        <v>0</v>
      </c>
      <c r="W157" s="54">
        <f ca="1">Данные!W157</f>
        <v>27</v>
      </c>
      <c r="X157" s="54" t="str">
        <f ca="1">Данные!X157</f>
        <v>1</v>
      </c>
      <c r="Y157" s="54" t="str">
        <f ca="1">Данные!Y157</f>
        <v>2</v>
      </c>
      <c r="Z157" s="54">
        <f>Данные!Z157</f>
        <v>0</v>
      </c>
      <c r="AA157" s="54" t="str">
        <f>Данные!AA157</f>
        <v>доп</v>
      </c>
      <c r="AB157" s="101">
        <f t="shared" si="22"/>
        <v>850</v>
      </c>
      <c r="AC157" s="101" t="str">
        <f t="shared" si="23"/>
        <v>ИВТ (бак)</v>
      </c>
      <c r="AD157" s="101" t="str">
        <f t="shared" si="24"/>
        <v/>
      </c>
      <c r="AE157" s="102">
        <f t="shared" ca="1" si="25"/>
        <v>143.21</v>
      </c>
      <c r="AF157" s="103">
        <f t="shared" ca="1" si="26"/>
        <v>0.16848235294117647</v>
      </c>
      <c r="AG157" s="101"/>
      <c r="AH157" s="101"/>
      <c r="AI157"/>
      <c r="BQ157" s="72">
        <v>0</v>
      </c>
      <c r="BR157" s="72">
        <v>0</v>
      </c>
      <c r="BS157" s="72">
        <v>0</v>
      </c>
      <c r="BT157" s="72">
        <v>0</v>
      </c>
      <c r="BU157" s="72">
        <v>0</v>
      </c>
      <c r="BV157" s="72">
        <v>0</v>
      </c>
      <c r="BW157" s="72">
        <v>0</v>
      </c>
      <c r="BX157" s="72">
        <v>0</v>
      </c>
      <c r="BY157" s="72">
        <v>0</v>
      </c>
      <c r="BZ157" s="72">
        <v>0</v>
      </c>
      <c r="CA157" s="72">
        <v>0</v>
      </c>
      <c r="CB157" s="72">
        <v>0</v>
      </c>
      <c r="CC157" s="72">
        <v>0</v>
      </c>
      <c r="CD157" s="72">
        <v>0</v>
      </c>
      <c r="CE157" s="72">
        <v>0</v>
      </c>
      <c r="CF157" s="72">
        <v>0</v>
      </c>
      <c r="CG157" s="72">
        <v>0</v>
      </c>
      <c r="CH157" s="72">
        <v>0</v>
      </c>
      <c r="CI157" s="72">
        <v>0</v>
      </c>
      <c r="CJ157" s="72">
        <v>0</v>
      </c>
      <c r="CK157" s="72">
        <v>0</v>
      </c>
      <c r="CL157" s="72">
        <v>0</v>
      </c>
      <c r="CM157" s="72">
        <v>0</v>
      </c>
      <c r="CN157" s="72">
        <v>0</v>
      </c>
      <c r="CO157" s="72">
        <v>0</v>
      </c>
      <c r="CP157" s="72">
        <v>0</v>
      </c>
      <c r="CQ157" s="72">
        <v>0</v>
      </c>
      <c r="CR157" s="72">
        <v>0</v>
      </c>
      <c r="CS157" s="72">
        <v>0</v>
      </c>
      <c r="CT157" s="72">
        <v>0</v>
      </c>
      <c r="CU157" s="72">
        <v>0</v>
      </c>
      <c r="CV157" s="72">
        <v>0</v>
      </c>
      <c r="CW157" s="72">
        <v>0</v>
      </c>
      <c r="CX157" s="72">
        <v>0</v>
      </c>
      <c r="CY157" s="72">
        <v>0</v>
      </c>
      <c r="CZ157" s="72">
        <v>0</v>
      </c>
      <c r="DA157" s="72">
        <v>0</v>
      </c>
      <c r="DB157" s="72">
        <v>0</v>
      </c>
      <c r="DC157" s="72">
        <v>0</v>
      </c>
      <c r="DD157" s="72">
        <v>0</v>
      </c>
      <c r="DE157" s="72">
        <v>0</v>
      </c>
      <c r="DF157" s="72">
        <v>0</v>
      </c>
      <c r="DG157" s="72">
        <v>0</v>
      </c>
      <c r="DH157" s="72">
        <v>0</v>
      </c>
      <c r="DI157" s="72">
        <v>0</v>
      </c>
      <c r="DJ157" s="72">
        <v>0</v>
      </c>
      <c r="DK157" s="72">
        <v>0</v>
      </c>
      <c r="DL157" s="72">
        <v>0</v>
      </c>
      <c r="DM157" s="72">
        <v>0</v>
      </c>
      <c r="DN157" s="72">
        <v>0</v>
      </c>
      <c r="DO157" s="72">
        <v>0</v>
      </c>
      <c r="DP157" s="72">
        <v>0</v>
      </c>
      <c r="DQ157" s="72">
        <v>0</v>
      </c>
      <c r="DR157" s="72">
        <v>0</v>
      </c>
      <c r="DS157" s="72">
        <v>0</v>
      </c>
      <c r="DT157" s="72">
        <v>0</v>
      </c>
      <c r="DU157" s="72">
        <v>0</v>
      </c>
      <c r="DV157" s="72">
        <v>0</v>
      </c>
      <c r="DW157" s="72">
        <v>0</v>
      </c>
      <c r="DX157" s="72">
        <v>0</v>
      </c>
      <c r="DY157" s="72">
        <v>0</v>
      </c>
      <c r="DZ157" s="72">
        <v>0</v>
      </c>
      <c r="EA157" s="72">
        <v>0</v>
      </c>
      <c r="EB157" s="72">
        <v>0</v>
      </c>
      <c r="EC157" s="72">
        <v>0</v>
      </c>
      <c r="ED157" s="72">
        <v>0</v>
      </c>
      <c r="EE157" s="72">
        <v>0</v>
      </c>
      <c r="EF157" s="72">
        <v>0</v>
      </c>
      <c r="EG157" s="72">
        <v>0</v>
      </c>
      <c r="EH157" s="72">
        <v>0</v>
      </c>
      <c r="EI157" s="72">
        <v>0</v>
      </c>
      <c r="EJ157" s="72">
        <v>0</v>
      </c>
      <c r="EK157" s="72">
        <v>0</v>
      </c>
      <c r="EL157" s="72">
        <v>0</v>
      </c>
    </row>
    <row r="158" spans="1:142" s="6" customFormat="1" x14ac:dyDescent="0.35">
      <c r="A158" s="59">
        <f>Данные!A158</f>
        <v>4858</v>
      </c>
      <c r="B158" s="59">
        <f>Данные!B158</f>
        <v>2017</v>
      </c>
      <c r="C158" s="59" t="str">
        <f>Данные!C158</f>
        <v>компьютерных технологий и электронного обучения</v>
      </c>
      <c r="D158" s="59" t="str">
        <f>Данные!D158</f>
        <v>Абрамян Геннадий Владимирович</v>
      </c>
      <c r="E158" s="59" t="str">
        <f>Данные!E158</f>
        <v>доктор педагогических наук</v>
      </c>
      <c r="F158" s="59" t="str">
        <f>Данные!F158</f>
        <v>доцент</v>
      </c>
      <c r="G158" s="59">
        <f>Данные!G158</f>
        <v>1</v>
      </c>
      <c r="H158" s="59">
        <f>Данные!H158</f>
        <v>16002</v>
      </c>
      <c r="I158" s="59" t="str">
        <f>Данные!I158</f>
        <v>Базы данных</v>
      </c>
      <c r="J158" s="59">
        <f>Данные!J158</f>
        <v>36</v>
      </c>
      <c r="K158" s="59">
        <f>Данные!K158</f>
        <v>0</v>
      </c>
      <c r="L158" s="59">
        <f>Данные!L158</f>
        <v>0</v>
      </c>
      <c r="M158" s="60">
        <f t="shared" si="18"/>
        <v>3.6</v>
      </c>
      <c r="N158" s="60">
        <f t="shared" ca="1" si="19"/>
        <v>10.91</v>
      </c>
      <c r="O158" s="60">
        <f t="shared" ca="1" si="20"/>
        <v>6.75</v>
      </c>
      <c r="P158" s="60">
        <f t="shared" ca="1" si="21"/>
        <v>6.75</v>
      </c>
      <c r="Q158" s="54">
        <f>Данные!Q158</f>
        <v>0</v>
      </c>
      <c r="R158" s="54">
        <f>Данные!R158</f>
        <v>0</v>
      </c>
      <c r="S158" s="54">
        <f>Данные!S158</f>
        <v>0</v>
      </c>
      <c r="T158" s="54">
        <f>Данные!T158</f>
        <v>0</v>
      </c>
      <c r="U158" s="54">
        <f>Данные!U158</f>
        <v>0</v>
      </c>
      <c r="V158" s="54">
        <f>Данные!V158</f>
        <v>0</v>
      </c>
      <c r="W158" s="54">
        <f ca="1">Данные!W158</f>
        <v>27</v>
      </c>
      <c r="X158" s="54" t="str">
        <f ca="1">Данные!X158</f>
        <v>1</v>
      </c>
      <c r="Y158" s="54" t="str">
        <f ca="1">Данные!Y158</f>
        <v>2</v>
      </c>
      <c r="Z158" s="54">
        <f>Данные!Z158</f>
        <v>0</v>
      </c>
      <c r="AA158" s="54" t="str">
        <f>Данные!AA158</f>
        <v>осн</v>
      </c>
      <c r="AB158" s="101">
        <f t="shared" si="22"/>
        <v>800</v>
      </c>
      <c r="AC158" s="101" t="str">
        <f t="shared" si="23"/>
        <v>ИВТ (бак)</v>
      </c>
      <c r="AD158" s="101" t="str">
        <f t="shared" si="24"/>
        <v/>
      </c>
      <c r="AE158" s="102">
        <f t="shared" ca="1" si="25"/>
        <v>64.010000000000005</v>
      </c>
      <c r="AF158" s="103">
        <f t="shared" ca="1" si="26"/>
        <v>8.00125E-2</v>
      </c>
      <c r="AG158" s="101"/>
      <c r="AH158" s="101"/>
      <c r="AI158"/>
      <c r="BQ158" s="72">
        <v>0</v>
      </c>
      <c r="BR158" s="72">
        <v>0</v>
      </c>
      <c r="BS158" s="72">
        <v>0</v>
      </c>
      <c r="BT158" s="72">
        <v>0</v>
      </c>
      <c r="BU158" s="72">
        <v>0</v>
      </c>
      <c r="BV158" s="72">
        <v>0</v>
      </c>
      <c r="BW158" s="72">
        <v>0</v>
      </c>
      <c r="BX158" s="72">
        <v>0</v>
      </c>
      <c r="BY158" s="72">
        <v>0</v>
      </c>
      <c r="BZ158" s="72">
        <v>0</v>
      </c>
      <c r="CA158" s="72">
        <v>0</v>
      </c>
      <c r="CB158" s="72">
        <v>0</v>
      </c>
      <c r="CC158" s="72">
        <v>0</v>
      </c>
      <c r="CD158" s="72">
        <v>0</v>
      </c>
      <c r="CE158" s="72">
        <v>0</v>
      </c>
      <c r="CF158" s="72">
        <v>0</v>
      </c>
      <c r="CG158" s="72">
        <v>0</v>
      </c>
      <c r="CH158" s="72">
        <v>0</v>
      </c>
      <c r="CI158" s="72">
        <v>0</v>
      </c>
      <c r="CJ158" s="72">
        <v>0</v>
      </c>
      <c r="CK158" s="72">
        <v>0</v>
      </c>
      <c r="CL158" s="72">
        <v>0</v>
      </c>
      <c r="CM158" s="72">
        <v>0</v>
      </c>
      <c r="CN158" s="72">
        <v>0</v>
      </c>
      <c r="CO158" s="72">
        <v>0</v>
      </c>
      <c r="CP158" s="72">
        <v>0</v>
      </c>
      <c r="CQ158" s="72">
        <v>0</v>
      </c>
      <c r="CR158" s="72">
        <v>0</v>
      </c>
      <c r="CS158" s="72">
        <v>0</v>
      </c>
      <c r="CT158" s="72">
        <v>0</v>
      </c>
      <c r="CU158" s="72">
        <v>0</v>
      </c>
      <c r="CV158" s="72">
        <v>0</v>
      </c>
      <c r="CW158" s="72">
        <v>0</v>
      </c>
      <c r="CX158" s="72">
        <v>0</v>
      </c>
      <c r="CY158" s="72">
        <v>0</v>
      </c>
      <c r="CZ158" s="72">
        <v>0</v>
      </c>
      <c r="DA158" s="72">
        <v>0</v>
      </c>
      <c r="DB158" s="72">
        <v>0</v>
      </c>
      <c r="DC158" s="72">
        <v>0</v>
      </c>
      <c r="DD158" s="72">
        <v>0</v>
      </c>
      <c r="DE158" s="72">
        <v>0</v>
      </c>
      <c r="DF158" s="72">
        <v>0</v>
      </c>
      <c r="DG158" s="72">
        <v>0</v>
      </c>
      <c r="DH158" s="72">
        <v>0</v>
      </c>
      <c r="DI158" s="72">
        <v>0</v>
      </c>
      <c r="DJ158" s="72">
        <v>0</v>
      </c>
      <c r="DK158" s="72">
        <v>0</v>
      </c>
      <c r="DL158" s="72">
        <v>0</v>
      </c>
      <c r="DM158" s="72">
        <v>0</v>
      </c>
      <c r="DN158" s="72">
        <v>0</v>
      </c>
      <c r="DO158" s="72">
        <v>0</v>
      </c>
      <c r="DP158" s="72">
        <v>0</v>
      </c>
      <c r="DQ158" s="72">
        <v>0</v>
      </c>
      <c r="DR158" s="72">
        <v>0</v>
      </c>
      <c r="DS158" s="72">
        <v>0</v>
      </c>
      <c r="DT158" s="72">
        <v>0</v>
      </c>
      <c r="DU158" s="72">
        <v>0</v>
      </c>
      <c r="DV158" s="72">
        <v>0</v>
      </c>
      <c r="DW158" s="72">
        <v>0</v>
      </c>
      <c r="DX158" s="72">
        <v>0</v>
      </c>
      <c r="DY158" s="72">
        <v>0</v>
      </c>
      <c r="DZ158" s="72">
        <v>0</v>
      </c>
      <c r="EA158" s="72">
        <v>0</v>
      </c>
      <c r="EB158" s="72">
        <v>0</v>
      </c>
      <c r="EC158" s="72">
        <v>0</v>
      </c>
      <c r="ED158" s="72">
        <v>0</v>
      </c>
      <c r="EE158" s="72">
        <v>0</v>
      </c>
      <c r="EF158" s="72">
        <v>0</v>
      </c>
      <c r="EG158" s="72">
        <v>0</v>
      </c>
      <c r="EH158" s="72">
        <v>0</v>
      </c>
      <c r="EI158" s="72">
        <v>0</v>
      </c>
      <c r="EJ158" s="72">
        <v>0</v>
      </c>
      <c r="EK158" s="72">
        <v>0</v>
      </c>
      <c r="EL158" s="72">
        <v>0</v>
      </c>
    </row>
    <row r="159" spans="1:142" s="6" customFormat="1" x14ac:dyDescent="0.35">
      <c r="A159" s="59">
        <f>Данные!A159</f>
        <v>4858</v>
      </c>
      <c r="B159" s="59">
        <f>Данные!B159</f>
        <v>2017</v>
      </c>
      <c r="C159" s="59" t="str">
        <f>Данные!C159</f>
        <v>компьютерных технологий и электронного обучения</v>
      </c>
      <c r="D159" s="59" t="str">
        <f>Данные!D159</f>
        <v>Шалденкова Анна Владимировна</v>
      </c>
      <c r="E159" s="59" t="str">
        <f>Данные!E159</f>
        <v>кандидат физ.-мат. наук</v>
      </c>
      <c r="F159" s="59" t="str">
        <f>Данные!F159</f>
        <v>ассистент</v>
      </c>
      <c r="G159" s="59">
        <f>Данные!G159</f>
        <v>1</v>
      </c>
      <c r="H159" s="59">
        <f>Данные!H159</f>
        <v>16002</v>
      </c>
      <c r="I159" s="59" t="str">
        <f>Данные!I159</f>
        <v>Базы данных</v>
      </c>
      <c r="J159" s="59">
        <f>Данные!J159</f>
        <v>0</v>
      </c>
      <c r="K159" s="59">
        <f>Данные!K159</f>
        <v>12</v>
      </c>
      <c r="L159" s="59">
        <f>Данные!L159</f>
        <v>120</v>
      </c>
      <c r="M159" s="60">
        <f t="shared" si="18"/>
        <v>13.2</v>
      </c>
      <c r="N159" s="60">
        <f t="shared" ca="1" si="19"/>
        <v>10.91</v>
      </c>
      <c r="O159" s="60">
        <f t="shared" ca="1" si="20"/>
        <v>6.75</v>
      </c>
      <c r="P159" s="60">
        <f t="shared" ca="1" si="21"/>
        <v>6.75</v>
      </c>
      <c r="Q159" s="54">
        <f>Данные!Q159</f>
        <v>0</v>
      </c>
      <c r="R159" s="54">
        <f>Данные!R159</f>
        <v>0</v>
      </c>
      <c r="S159" s="54">
        <f>Данные!S159</f>
        <v>0</v>
      </c>
      <c r="T159" s="54">
        <f>Данные!T159</f>
        <v>0</v>
      </c>
      <c r="U159" s="54">
        <f>Данные!U159</f>
        <v>0</v>
      </c>
      <c r="V159" s="54">
        <f>Данные!V159</f>
        <v>0</v>
      </c>
      <c r="W159" s="54">
        <f ca="1">Данные!W159</f>
        <v>27</v>
      </c>
      <c r="X159" s="54" t="str">
        <f ca="1">Данные!X159</f>
        <v>1</v>
      </c>
      <c r="Y159" s="54" t="str">
        <f ca="1">Данные!Y159</f>
        <v>2</v>
      </c>
      <c r="Z159" s="54">
        <f>Данные!Z159</f>
        <v>0</v>
      </c>
      <c r="AA159" s="54" t="str">
        <f>Данные!AA159</f>
        <v>осн</v>
      </c>
      <c r="AB159" s="101">
        <f t="shared" si="22"/>
        <v>900</v>
      </c>
      <c r="AC159" s="101" t="str">
        <f t="shared" si="23"/>
        <v>ИВТ (бак)</v>
      </c>
      <c r="AD159" s="101" t="str">
        <f t="shared" si="24"/>
        <v/>
      </c>
      <c r="AE159" s="102">
        <f t="shared" ca="1" si="25"/>
        <v>169.60999999999999</v>
      </c>
      <c r="AF159" s="103">
        <f t="shared" ca="1" si="26"/>
        <v>0.18845555555555554</v>
      </c>
      <c r="AG159" s="101"/>
      <c r="AH159" s="101"/>
      <c r="AI159"/>
      <c r="BQ159" s="72">
        <v>0</v>
      </c>
      <c r="BR159" s="72">
        <v>0</v>
      </c>
      <c r="BS159" s="72">
        <v>0</v>
      </c>
      <c r="BT159" s="72">
        <v>0</v>
      </c>
      <c r="BU159" s="72">
        <v>0</v>
      </c>
      <c r="BV159" s="72">
        <v>0</v>
      </c>
      <c r="BW159" s="72">
        <v>0</v>
      </c>
      <c r="BX159" s="72">
        <v>0</v>
      </c>
      <c r="BY159" s="72">
        <v>0</v>
      </c>
      <c r="BZ159" s="72">
        <v>0</v>
      </c>
      <c r="CA159" s="72">
        <v>0</v>
      </c>
      <c r="CB159" s="72">
        <v>0</v>
      </c>
      <c r="CC159" s="72">
        <v>0</v>
      </c>
      <c r="CD159" s="72">
        <v>0</v>
      </c>
      <c r="CE159" s="72">
        <v>0</v>
      </c>
      <c r="CF159" s="72">
        <v>0</v>
      </c>
      <c r="CG159" s="72">
        <v>0</v>
      </c>
      <c r="CH159" s="72">
        <v>0</v>
      </c>
      <c r="CI159" s="72">
        <v>0</v>
      </c>
      <c r="CJ159" s="72">
        <v>0</v>
      </c>
      <c r="CK159" s="72">
        <v>0</v>
      </c>
      <c r="CL159" s="72">
        <v>0</v>
      </c>
      <c r="CM159" s="72">
        <v>0</v>
      </c>
      <c r="CN159" s="72">
        <v>0</v>
      </c>
      <c r="CO159" s="72">
        <v>0</v>
      </c>
      <c r="CP159" s="72">
        <v>0</v>
      </c>
      <c r="CQ159" s="72">
        <v>0</v>
      </c>
      <c r="CR159" s="72">
        <v>0</v>
      </c>
      <c r="CS159" s="72">
        <v>0</v>
      </c>
      <c r="CT159" s="72">
        <v>0</v>
      </c>
      <c r="CU159" s="72">
        <v>0</v>
      </c>
      <c r="CV159" s="72">
        <v>0</v>
      </c>
      <c r="CW159" s="72">
        <v>0</v>
      </c>
      <c r="CX159" s="72">
        <v>0</v>
      </c>
      <c r="CY159" s="72">
        <v>0</v>
      </c>
      <c r="CZ159" s="72">
        <v>0</v>
      </c>
      <c r="DA159" s="72">
        <v>0</v>
      </c>
      <c r="DB159" s="72">
        <v>0</v>
      </c>
      <c r="DC159" s="72">
        <v>0</v>
      </c>
      <c r="DD159" s="72">
        <v>0</v>
      </c>
      <c r="DE159" s="72">
        <v>0</v>
      </c>
      <c r="DF159" s="72">
        <v>0</v>
      </c>
      <c r="DG159" s="72">
        <v>0</v>
      </c>
      <c r="DH159" s="72">
        <v>0</v>
      </c>
      <c r="DI159" s="72">
        <v>0</v>
      </c>
      <c r="DJ159" s="72">
        <v>0</v>
      </c>
      <c r="DK159" s="72">
        <v>0</v>
      </c>
      <c r="DL159" s="72">
        <v>0</v>
      </c>
      <c r="DM159" s="72">
        <v>0</v>
      </c>
      <c r="DN159" s="72">
        <v>0</v>
      </c>
      <c r="DO159" s="72">
        <v>0</v>
      </c>
      <c r="DP159" s="72">
        <v>0</v>
      </c>
      <c r="DQ159" s="72">
        <v>0</v>
      </c>
      <c r="DR159" s="72">
        <v>0</v>
      </c>
      <c r="DS159" s="72">
        <v>0</v>
      </c>
      <c r="DT159" s="72">
        <v>0</v>
      </c>
      <c r="DU159" s="72">
        <v>0</v>
      </c>
      <c r="DV159" s="72">
        <v>0</v>
      </c>
      <c r="DW159" s="72">
        <v>0</v>
      </c>
      <c r="DX159" s="72">
        <v>0</v>
      </c>
      <c r="DY159" s="72">
        <v>0</v>
      </c>
      <c r="DZ159" s="72">
        <v>0</v>
      </c>
      <c r="EA159" s="72">
        <v>0</v>
      </c>
      <c r="EB159" s="72">
        <v>0</v>
      </c>
      <c r="EC159" s="72">
        <v>0</v>
      </c>
      <c r="ED159" s="72">
        <v>0</v>
      </c>
      <c r="EE159" s="72">
        <v>0</v>
      </c>
      <c r="EF159" s="72">
        <v>0</v>
      </c>
      <c r="EG159" s="72">
        <v>0</v>
      </c>
      <c r="EH159" s="72">
        <v>0</v>
      </c>
      <c r="EI159" s="72">
        <v>0</v>
      </c>
      <c r="EJ159" s="72">
        <v>0</v>
      </c>
      <c r="EK159" s="72">
        <v>0</v>
      </c>
      <c r="EL159" s="72">
        <v>0</v>
      </c>
    </row>
    <row r="160" spans="1:142" s="6" customFormat="1" x14ac:dyDescent="0.35">
      <c r="A160" s="59">
        <f>Данные!A160</f>
        <v>4858</v>
      </c>
      <c r="B160" s="59">
        <f>Данные!B160</f>
        <v>2018</v>
      </c>
      <c r="C160" s="59" t="str">
        <f>Данные!C160</f>
        <v>компьютерных технологий и электронного обучения</v>
      </c>
      <c r="D160" s="59" t="str">
        <f>Данные!D160</f>
        <v>Жуков Николай Николаевич</v>
      </c>
      <c r="E160" s="59" t="str">
        <f>Данные!E160</f>
        <v>нет</v>
      </c>
      <c r="F160" s="59" t="str">
        <f>Данные!F160</f>
        <v>ассистент</v>
      </c>
      <c r="G160" s="59">
        <f>Данные!G160</f>
        <v>1</v>
      </c>
      <c r="H160" s="59">
        <f>Данные!H160</f>
        <v>17232</v>
      </c>
      <c r="I160" s="59" t="str">
        <f>Данные!I160</f>
        <v>Инженерная и компьютерная графика</v>
      </c>
      <c r="J160" s="59">
        <f>Данные!J160</f>
        <v>0</v>
      </c>
      <c r="K160" s="59">
        <f>Данные!K160</f>
        <v>0</v>
      </c>
      <c r="L160" s="59">
        <f>Данные!L160</f>
        <v>0</v>
      </c>
      <c r="M160" s="60">
        <f t="shared" si="18"/>
        <v>0</v>
      </c>
      <c r="N160" s="60">
        <f t="shared" ca="1" si="19"/>
        <v>10.91</v>
      </c>
      <c r="O160" s="60">
        <f t="shared" ca="1" si="20"/>
        <v>6.75</v>
      </c>
      <c r="P160" s="60">
        <f t="shared" ca="1" si="21"/>
        <v>6.75</v>
      </c>
      <c r="Q160" s="54">
        <f>Данные!Q160</f>
        <v>0</v>
      </c>
      <c r="R160" s="54">
        <f>Данные!R160</f>
        <v>0</v>
      </c>
      <c r="S160" s="54">
        <f>Данные!S160</f>
        <v>0</v>
      </c>
      <c r="T160" s="54">
        <f>Данные!T160</f>
        <v>0</v>
      </c>
      <c r="U160" s="54">
        <f>Данные!U160</f>
        <v>0</v>
      </c>
      <c r="V160" s="54">
        <f>Данные!V160</f>
        <v>0</v>
      </c>
      <c r="W160" s="54">
        <f ca="1">Данные!W160</f>
        <v>27</v>
      </c>
      <c r="X160" s="54" t="str">
        <f ca="1">Данные!X160</f>
        <v>1</v>
      </c>
      <c r="Y160" s="54" t="str">
        <f ca="1">Данные!Y160</f>
        <v>2</v>
      </c>
      <c r="Z160" s="54">
        <f>Данные!Z160</f>
        <v>0</v>
      </c>
      <c r="AA160" s="54" t="str">
        <f>Данные!AA160</f>
        <v>доп</v>
      </c>
      <c r="AB160" s="101">
        <f t="shared" si="22"/>
        <v>900</v>
      </c>
      <c r="AC160" s="101" t="str">
        <f t="shared" si="23"/>
        <v>ИВТ (бак)</v>
      </c>
      <c r="AD160" s="101" t="str">
        <f t="shared" si="24"/>
        <v/>
      </c>
      <c r="AE160" s="102">
        <f t="shared" ca="1" si="25"/>
        <v>24.41</v>
      </c>
      <c r="AF160" s="103">
        <f t="shared" ca="1" si="26"/>
        <v>2.7122222222222221E-2</v>
      </c>
      <c r="AG160" s="101"/>
      <c r="AH160" s="101"/>
      <c r="AI160"/>
      <c r="BQ160" s="72">
        <v>0</v>
      </c>
      <c r="BR160" s="72">
        <v>0</v>
      </c>
      <c r="BS160" s="72">
        <v>0</v>
      </c>
      <c r="BT160" s="72">
        <v>0</v>
      </c>
      <c r="BU160" s="72">
        <v>0</v>
      </c>
      <c r="BV160" s="72">
        <v>0</v>
      </c>
      <c r="BW160" s="72">
        <v>0</v>
      </c>
      <c r="BX160" s="72">
        <v>0</v>
      </c>
      <c r="BY160" s="72">
        <v>0</v>
      </c>
      <c r="BZ160" s="72">
        <v>0</v>
      </c>
      <c r="CA160" s="72">
        <v>0</v>
      </c>
      <c r="CB160" s="72">
        <v>0</v>
      </c>
      <c r="CC160" s="72">
        <v>0</v>
      </c>
      <c r="CD160" s="72">
        <v>0</v>
      </c>
      <c r="CE160" s="72">
        <v>0</v>
      </c>
      <c r="CF160" s="72">
        <v>0</v>
      </c>
      <c r="CG160" s="72">
        <v>0</v>
      </c>
      <c r="CH160" s="72">
        <v>0</v>
      </c>
      <c r="CI160" s="72">
        <v>0</v>
      </c>
      <c r="CJ160" s="72">
        <v>0</v>
      </c>
      <c r="CK160" s="72">
        <v>0</v>
      </c>
      <c r="CL160" s="72">
        <v>0</v>
      </c>
      <c r="CM160" s="72">
        <v>0</v>
      </c>
      <c r="CN160" s="72">
        <v>0</v>
      </c>
      <c r="CO160" s="72">
        <v>0</v>
      </c>
      <c r="CP160" s="72">
        <v>0</v>
      </c>
      <c r="CQ160" s="72">
        <v>0</v>
      </c>
      <c r="CR160" s="72">
        <v>0</v>
      </c>
      <c r="CS160" s="72">
        <v>0</v>
      </c>
      <c r="CT160" s="72">
        <v>0</v>
      </c>
      <c r="CU160" s="72">
        <v>0</v>
      </c>
      <c r="CV160" s="72">
        <v>0</v>
      </c>
      <c r="CW160" s="72">
        <v>0</v>
      </c>
      <c r="CX160" s="72">
        <v>0</v>
      </c>
      <c r="CY160" s="72">
        <v>0</v>
      </c>
      <c r="CZ160" s="72">
        <v>0</v>
      </c>
      <c r="DA160" s="72">
        <v>0</v>
      </c>
      <c r="DB160" s="72">
        <v>0</v>
      </c>
      <c r="DC160" s="72">
        <v>0</v>
      </c>
      <c r="DD160" s="72">
        <v>0</v>
      </c>
      <c r="DE160" s="72">
        <v>0</v>
      </c>
      <c r="DF160" s="72">
        <v>0</v>
      </c>
      <c r="DG160" s="72">
        <v>0</v>
      </c>
      <c r="DH160" s="72">
        <v>0</v>
      </c>
      <c r="DI160" s="72">
        <v>0</v>
      </c>
      <c r="DJ160" s="72">
        <v>0</v>
      </c>
      <c r="DK160" s="72">
        <v>0</v>
      </c>
      <c r="DL160" s="72">
        <v>0</v>
      </c>
      <c r="DM160" s="72">
        <v>0</v>
      </c>
      <c r="DN160" s="72">
        <v>0</v>
      </c>
      <c r="DO160" s="72">
        <v>0</v>
      </c>
      <c r="DP160" s="72">
        <v>0</v>
      </c>
      <c r="DQ160" s="72">
        <v>0</v>
      </c>
      <c r="DR160" s="72">
        <v>0</v>
      </c>
      <c r="DS160" s="72">
        <v>0</v>
      </c>
      <c r="DT160" s="72">
        <v>0</v>
      </c>
      <c r="DU160" s="72">
        <v>0</v>
      </c>
      <c r="DV160" s="72">
        <v>0</v>
      </c>
      <c r="DW160" s="72">
        <v>0</v>
      </c>
      <c r="DX160" s="72">
        <v>0</v>
      </c>
      <c r="DY160" s="72">
        <v>0</v>
      </c>
      <c r="DZ160" s="72">
        <v>0</v>
      </c>
      <c r="EA160" s="72">
        <v>0</v>
      </c>
      <c r="EB160" s="72">
        <v>0</v>
      </c>
      <c r="EC160" s="72">
        <v>0</v>
      </c>
      <c r="ED160" s="72">
        <v>0</v>
      </c>
      <c r="EE160" s="72">
        <v>0</v>
      </c>
      <c r="EF160" s="72">
        <v>0</v>
      </c>
      <c r="EG160" s="72">
        <v>0</v>
      </c>
      <c r="EH160" s="72">
        <v>0</v>
      </c>
      <c r="EI160" s="72">
        <v>0</v>
      </c>
      <c r="EJ160" s="72">
        <v>0</v>
      </c>
      <c r="EK160" s="72">
        <v>0</v>
      </c>
      <c r="EL160" s="72">
        <v>0</v>
      </c>
    </row>
    <row r="161" spans="1:142" s="6" customFormat="1" x14ac:dyDescent="0.35">
      <c r="A161" s="59">
        <f>Данные!A161</f>
        <v>4858</v>
      </c>
      <c r="B161" s="59">
        <f>Данные!B161</f>
        <v>2018</v>
      </c>
      <c r="C161" s="59" t="str">
        <f>Данные!C161</f>
        <v>компьютерных технологий и электронного обучения</v>
      </c>
      <c r="D161" s="59" t="str">
        <f>Данные!D161</f>
        <v>Авксентьева Елена Юрьевна</v>
      </c>
      <c r="E161" s="59" t="str">
        <f>Данные!E161</f>
        <v>кандидат педагогических наук</v>
      </c>
      <c r="F161" s="59" t="str">
        <f>Данные!F161</f>
        <v>доцент</v>
      </c>
      <c r="G161" s="59">
        <f>Данные!G161</f>
        <v>1</v>
      </c>
      <c r="H161" s="59">
        <f>Данные!H161</f>
        <v>17232</v>
      </c>
      <c r="I161" s="59" t="str">
        <f>Данные!I161</f>
        <v>Инженерная и компьютерная графика</v>
      </c>
      <c r="J161" s="59">
        <f>Данные!J161</f>
        <v>0</v>
      </c>
      <c r="K161" s="59">
        <f>Данные!K161</f>
        <v>63</v>
      </c>
      <c r="L161" s="59">
        <f>Данные!L161</f>
        <v>126</v>
      </c>
      <c r="M161" s="60">
        <f t="shared" si="18"/>
        <v>18.899999999999999</v>
      </c>
      <c r="N161" s="60">
        <f t="shared" ca="1" si="19"/>
        <v>10.91</v>
      </c>
      <c r="O161" s="60">
        <f t="shared" ca="1" si="20"/>
        <v>6.75</v>
      </c>
      <c r="P161" s="60">
        <f t="shared" ca="1" si="21"/>
        <v>6.75</v>
      </c>
      <c r="Q161" s="54">
        <f>Данные!Q161</f>
        <v>0</v>
      </c>
      <c r="R161" s="54">
        <f>Данные!R161</f>
        <v>0</v>
      </c>
      <c r="S161" s="54">
        <f>Данные!S161</f>
        <v>0</v>
      </c>
      <c r="T161" s="54">
        <f>Данные!T161</f>
        <v>0</v>
      </c>
      <c r="U161" s="54">
        <f>Данные!U161</f>
        <v>0</v>
      </c>
      <c r="V161" s="54">
        <f>Данные!V161</f>
        <v>0</v>
      </c>
      <c r="W161" s="54">
        <f ca="1">Данные!W161</f>
        <v>27</v>
      </c>
      <c r="X161" s="54" t="str">
        <f ca="1">Данные!X161</f>
        <v>1</v>
      </c>
      <c r="Y161" s="54" t="str">
        <f ca="1">Данные!Y161</f>
        <v>2</v>
      </c>
      <c r="Z161" s="54">
        <f>Данные!Z161</f>
        <v>0</v>
      </c>
      <c r="AA161" s="54" t="str">
        <f>Данные!AA161</f>
        <v>осн</v>
      </c>
      <c r="AB161" s="101">
        <f t="shared" si="22"/>
        <v>800</v>
      </c>
      <c r="AC161" s="101" t="str">
        <f t="shared" si="23"/>
        <v>ИВТ (бак)</v>
      </c>
      <c r="AD161" s="101" t="str">
        <f t="shared" si="24"/>
        <v/>
      </c>
      <c r="AE161" s="102">
        <f t="shared" ca="1" si="25"/>
        <v>232.31</v>
      </c>
      <c r="AF161" s="103">
        <f t="shared" ca="1" si="26"/>
        <v>0.29038750000000002</v>
      </c>
      <c r="AG161" s="101"/>
      <c r="AH161" s="101"/>
      <c r="AI161"/>
      <c r="BQ161" s="72">
        <v>0</v>
      </c>
      <c r="BR161" s="72">
        <v>0</v>
      </c>
      <c r="BS161" s="72">
        <v>0</v>
      </c>
      <c r="BT161" s="72">
        <v>0</v>
      </c>
      <c r="BU161" s="72">
        <v>0</v>
      </c>
      <c r="BV161" s="72">
        <v>0</v>
      </c>
      <c r="BW161" s="72">
        <v>0</v>
      </c>
      <c r="BX161" s="72">
        <v>0</v>
      </c>
      <c r="BY161" s="72">
        <v>0</v>
      </c>
      <c r="BZ161" s="72">
        <v>0</v>
      </c>
      <c r="CA161" s="72">
        <v>0</v>
      </c>
      <c r="CB161" s="72">
        <v>0</v>
      </c>
      <c r="CC161" s="72">
        <v>0</v>
      </c>
      <c r="CD161" s="72">
        <v>0</v>
      </c>
      <c r="CE161" s="72">
        <v>0</v>
      </c>
      <c r="CF161" s="72">
        <v>0</v>
      </c>
      <c r="CG161" s="72">
        <v>0</v>
      </c>
      <c r="CH161" s="72">
        <v>0</v>
      </c>
      <c r="CI161" s="72">
        <v>0</v>
      </c>
      <c r="CJ161" s="72">
        <v>0</v>
      </c>
      <c r="CK161" s="72">
        <v>0</v>
      </c>
      <c r="CL161" s="72">
        <v>0</v>
      </c>
      <c r="CM161" s="72">
        <v>0</v>
      </c>
      <c r="CN161" s="72">
        <v>0</v>
      </c>
      <c r="CO161" s="72">
        <v>0</v>
      </c>
      <c r="CP161" s="72">
        <v>0</v>
      </c>
      <c r="CQ161" s="72">
        <v>0</v>
      </c>
      <c r="CR161" s="72">
        <v>0</v>
      </c>
      <c r="CS161" s="72">
        <v>0</v>
      </c>
      <c r="CT161" s="72">
        <v>0</v>
      </c>
      <c r="CU161" s="72">
        <v>0</v>
      </c>
      <c r="CV161" s="72">
        <v>0</v>
      </c>
      <c r="CW161" s="72">
        <v>0</v>
      </c>
      <c r="CX161" s="72">
        <v>0</v>
      </c>
      <c r="CY161" s="72">
        <v>0</v>
      </c>
      <c r="CZ161" s="72">
        <v>0</v>
      </c>
      <c r="DA161" s="72">
        <v>0</v>
      </c>
      <c r="DB161" s="72">
        <v>0</v>
      </c>
      <c r="DC161" s="72">
        <v>0</v>
      </c>
      <c r="DD161" s="72">
        <v>0</v>
      </c>
      <c r="DE161" s="72">
        <v>0</v>
      </c>
      <c r="DF161" s="72">
        <v>0</v>
      </c>
      <c r="DG161" s="72">
        <v>0</v>
      </c>
      <c r="DH161" s="72">
        <v>0</v>
      </c>
      <c r="DI161" s="72">
        <v>0</v>
      </c>
      <c r="DJ161" s="72">
        <v>0</v>
      </c>
      <c r="DK161" s="72">
        <v>0</v>
      </c>
      <c r="DL161" s="72">
        <v>0</v>
      </c>
      <c r="DM161" s="72">
        <v>0</v>
      </c>
      <c r="DN161" s="72">
        <v>0</v>
      </c>
      <c r="DO161" s="72">
        <v>0</v>
      </c>
      <c r="DP161" s="72">
        <v>0</v>
      </c>
      <c r="DQ161" s="72">
        <v>0</v>
      </c>
      <c r="DR161" s="72">
        <v>0</v>
      </c>
      <c r="DS161" s="72">
        <v>0</v>
      </c>
      <c r="DT161" s="72">
        <v>0</v>
      </c>
      <c r="DU161" s="72">
        <v>0</v>
      </c>
      <c r="DV161" s="72">
        <v>0</v>
      </c>
      <c r="DW161" s="72">
        <v>0</v>
      </c>
      <c r="DX161" s="72">
        <v>0</v>
      </c>
      <c r="DY161" s="72">
        <v>0</v>
      </c>
      <c r="DZ161" s="72">
        <v>0</v>
      </c>
      <c r="EA161" s="72">
        <v>0</v>
      </c>
      <c r="EB161" s="72">
        <v>0</v>
      </c>
      <c r="EC161" s="72">
        <v>0</v>
      </c>
      <c r="ED161" s="72">
        <v>0</v>
      </c>
      <c r="EE161" s="72">
        <v>0</v>
      </c>
      <c r="EF161" s="72">
        <v>0</v>
      </c>
      <c r="EG161" s="72">
        <v>0</v>
      </c>
      <c r="EH161" s="72">
        <v>0</v>
      </c>
      <c r="EI161" s="72">
        <v>0</v>
      </c>
      <c r="EJ161" s="72">
        <v>0</v>
      </c>
      <c r="EK161" s="72">
        <v>0</v>
      </c>
      <c r="EL161" s="72">
        <v>0</v>
      </c>
    </row>
    <row r="162" spans="1:142" s="6" customFormat="1" x14ac:dyDescent="0.35">
      <c r="A162" s="59">
        <f>Данные!A162</f>
        <v>4858</v>
      </c>
      <c r="B162" s="59">
        <f>Данные!B162</f>
        <v>2018</v>
      </c>
      <c r="C162" s="59" t="str">
        <f>Данные!C162</f>
        <v>компьютерных технологий и электронного обучения</v>
      </c>
      <c r="D162" s="59" t="str">
        <f>Данные!D162</f>
        <v>Авксентьева Елена Юрьевна</v>
      </c>
      <c r="E162" s="59" t="str">
        <f>Данные!E162</f>
        <v>кандидат педагогических наук</v>
      </c>
      <c r="F162" s="59" t="str">
        <f>Данные!F162</f>
        <v>доцент</v>
      </c>
      <c r="G162" s="59">
        <f>Данные!G162</f>
        <v>1</v>
      </c>
      <c r="H162" s="59">
        <f>Данные!H162</f>
        <v>17232</v>
      </c>
      <c r="I162" s="59" t="str">
        <f>Данные!I162</f>
        <v>Сети и телекоммуникации</v>
      </c>
      <c r="J162" s="59">
        <f>Данные!J162</f>
        <v>24</v>
      </c>
      <c r="K162" s="59">
        <f>Данные!K162</f>
        <v>0</v>
      </c>
      <c r="L162" s="59">
        <f>Данные!L162</f>
        <v>96</v>
      </c>
      <c r="M162" s="60">
        <f t="shared" si="18"/>
        <v>12</v>
      </c>
      <c r="N162" s="60">
        <f t="shared" ca="1" si="19"/>
        <v>10.91</v>
      </c>
      <c r="O162" s="60">
        <f t="shared" ca="1" si="20"/>
        <v>6.75</v>
      </c>
      <c r="P162" s="60">
        <f t="shared" ca="1" si="21"/>
        <v>6.75</v>
      </c>
      <c r="Q162" s="54">
        <f>Данные!Q162</f>
        <v>0</v>
      </c>
      <c r="R162" s="54">
        <f>Данные!R162</f>
        <v>0</v>
      </c>
      <c r="S162" s="54">
        <f>Данные!S162</f>
        <v>0</v>
      </c>
      <c r="T162" s="54">
        <f>Данные!T162</f>
        <v>0</v>
      </c>
      <c r="U162" s="54">
        <f>Данные!U162</f>
        <v>0</v>
      </c>
      <c r="V162" s="54">
        <f>Данные!V162</f>
        <v>0</v>
      </c>
      <c r="W162" s="54">
        <f ca="1">Данные!W162</f>
        <v>27</v>
      </c>
      <c r="X162" s="54" t="str">
        <f ca="1">Данные!X162</f>
        <v>1</v>
      </c>
      <c r="Y162" s="54" t="str">
        <f ca="1">Данные!Y162</f>
        <v>2</v>
      </c>
      <c r="Z162" s="54">
        <f>Данные!Z162</f>
        <v>0</v>
      </c>
      <c r="AA162" s="54" t="str">
        <f>Данные!AA162</f>
        <v>доп</v>
      </c>
      <c r="AB162" s="101">
        <f t="shared" si="22"/>
        <v>800</v>
      </c>
      <c r="AC162" s="101" t="str">
        <f t="shared" si="23"/>
        <v>ИВТ (бак)</v>
      </c>
      <c r="AD162" s="101" t="str">
        <f t="shared" si="24"/>
        <v/>
      </c>
      <c r="AE162" s="102">
        <f t="shared" ca="1" si="25"/>
        <v>156.41</v>
      </c>
      <c r="AF162" s="103">
        <f t="shared" ca="1" si="26"/>
        <v>0.19551250000000001</v>
      </c>
      <c r="AG162" s="101"/>
      <c r="AH162" s="101"/>
      <c r="AI162"/>
      <c r="BQ162" s="72">
        <v>0</v>
      </c>
      <c r="BR162" s="72">
        <v>0</v>
      </c>
      <c r="BS162" s="72">
        <v>0</v>
      </c>
      <c r="BT162" s="72">
        <v>0</v>
      </c>
      <c r="BU162" s="72">
        <v>0</v>
      </c>
      <c r="BV162" s="72">
        <v>0</v>
      </c>
      <c r="BW162" s="72">
        <v>0</v>
      </c>
      <c r="BX162" s="72">
        <v>0</v>
      </c>
      <c r="BY162" s="72">
        <v>0</v>
      </c>
      <c r="BZ162" s="72">
        <v>0</v>
      </c>
      <c r="CA162" s="72">
        <v>0</v>
      </c>
      <c r="CB162" s="72">
        <v>0</v>
      </c>
      <c r="CC162" s="72">
        <v>0</v>
      </c>
      <c r="CD162" s="72">
        <v>0</v>
      </c>
      <c r="CE162" s="72">
        <v>0</v>
      </c>
      <c r="CF162" s="72">
        <v>0</v>
      </c>
      <c r="CG162" s="72">
        <v>0</v>
      </c>
      <c r="CH162" s="72">
        <v>0</v>
      </c>
      <c r="CI162" s="72">
        <v>0</v>
      </c>
      <c r="CJ162" s="72">
        <v>0</v>
      </c>
      <c r="CK162" s="72">
        <v>0</v>
      </c>
      <c r="CL162" s="72">
        <v>0</v>
      </c>
      <c r="CM162" s="72">
        <v>0</v>
      </c>
      <c r="CN162" s="72">
        <v>0</v>
      </c>
      <c r="CO162" s="72">
        <v>0</v>
      </c>
      <c r="CP162" s="72">
        <v>0</v>
      </c>
      <c r="CQ162" s="72">
        <v>0</v>
      </c>
      <c r="CR162" s="72">
        <v>0</v>
      </c>
      <c r="CS162" s="72">
        <v>0</v>
      </c>
      <c r="CT162" s="72">
        <v>0</v>
      </c>
      <c r="CU162" s="72">
        <v>0</v>
      </c>
      <c r="CV162" s="72">
        <v>0</v>
      </c>
      <c r="CW162" s="72">
        <v>0</v>
      </c>
      <c r="CX162" s="72">
        <v>0</v>
      </c>
      <c r="CY162" s="72">
        <v>0</v>
      </c>
      <c r="CZ162" s="72">
        <v>0</v>
      </c>
      <c r="DA162" s="72">
        <v>0</v>
      </c>
      <c r="DB162" s="72">
        <v>0</v>
      </c>
      <c r="DC162" s="72">
        <v>0</v>
      </c>
      <c r="DD162" s="72">
        <v>0</v>
      </c>
      <c r="DE162" s="72">
        <v>0</v>
      </c>
      <c r="DF162" s="72">
        <v>0</v>
      </c>
      <c r="DG162" s="72">
        <v>0</v>
      </c>
      <c r="DH162" s="72">
        <v>0</v>
      </c>
      <c r="DI162" s="72">
        <v>0</v>
      </c>
      <c r="DJ162" s="72">
        <v>0</v>
      </c>
      <c r="DK162" s="72">
        <v>0</v>
      </c>
      <c r="DL162" s="72">
        <v>0</v>
      </c>
      <c r="DM162" s="72">
        <v>0</v>
      </c>
      <c r="DN162" s="72">
        <v>0</v>
      </c>
      <c r="DO162" s="72">
        <v>0</v>
      </c>
      <c r="DP162" s="72">
        <v>0</v>
      </c>
      <c r="DQ162" s="72">
        <v>0</v>
      </c>
      <c r="DR162" s="72">
        <v>0</v>
      </c>
      <c r="DS162" s="72">
        <v>0</v>
      </c>
      <c r="DT162" s="72">
        <v>0</v>
      </c>
      <c r="DU162" s="72">
        <v>0</v>
      </c>
      <c r="DV162" s="72">
        <v>0</v>
      </c>
      <c r="DW162" s="72">
        <v>0</v>
      </c>
      <c r="DX162" s="72">
        <v>0</v>
      </c>
      <c r="DY162" s="72">
        <v>0</v>
      </c>
      <c r="DZ162" s="72">
        <v>0</v>
      </c>
      <c r="EA162" s="72">
        <v>0</v>
      </c>
      <c r="EB162" s="72">
        <v>0</v>
      </c>
      <c r="EC162" s="72">
        <v>0</v>
      </c>
      <c r="ED162" s="72">
        <v>0</v>
      </c>
      <c r="EE162" s="72">
        <v>0</v>
      </c>
      <c r="EF162" s="72">
        <v>0</v>
      </c>
      <c r="EG162" s="72">
        <v>0</v>
      </c>
      <c r="EH162" s="72">
        <v>0</v>
      </c>
      <c r="EI162" s="72">
        <v>0</v>
      </c>
      <c r="EJ162" s="72">
        <v>0</v>
      </c>
      <c r="EK162" s="72">
        <v>0</v>
      </c>
      <c r="EL162" s="72">
        <v>0</v>
      </c>
    </row>
    <row r="163" spans="1:142" s="6" customFormat="1" x14ac:dyDescent="0.35">
      <c r="A163" s="59">
        <f>Данные!A163</f>
        <v>4858</v>
      </c>
      <c r="B163" s="59">
        <f>Данные!B163</f>
        <v>2018</v>
      </c>
      <c r="C163" s="59" t="str">
        <f>Данные!C163</f>
        <v>компьютерных технологий и электронного обучения</v>
      </c>
      <c r="D163" s="59" t="str">
        <f>Данные!D163</f>
        <v>Аксютин Павел Александрович</v>
      </c>
      <c r="E163" s="59" t="str">
        <f>Данные!E163</f>
        <v>нет</v>
      </c>
      <c r="F163" s="59" t="str">
        <f>Данные!F163</f>
        <v>ассистент</v>
      </c>
      <c r="G163" s="59">
        <f>Данные!G163</f>
        <v>0.25</v>
      </c>
      <c r="H163" s="59">
        <f>Данные!H163</f>
        <v>17232</v>
      </c>
      <c r="I163" s="59" t="str">
        <f>Данные!I163</f>
        <v>Модуль "Информационные технологии". Дисциплины и курсы по выбору. Прикладные информационные технологии</v>
      </c>
      <c r="J163" s="59">
        <f>Данные!J163</f>
        <v>0</v>
      </c>
      <c r="K163" s="59">
        <f>Данные!K163</f>
        <v>10</v>
      </c>
      <c r="L163" s="59">
        <f>Данные!L163</f>
        <v>20</v>
      </c>
      <c r="M163" s="60">
        <f t="shared" si="18"/>
        <v>3</v>
      </c>
      <c r="N163" s="60">
        <f t="shared" ca="1" si="19"/>
        <v>10.91</v>
      </c>
      <c r="O163" s="60">
        <f t="shared" ca="1" si="20"/>
        <v>6.75</v>
      </c>
      <c r="P163" s="60">
        <f t="shared" ca="1" si="21"/>
        <v>6.75</v>
      </c>
      <c r="Q163" s="54">
        <f>Данные!Q163</f>
        <v>0</v>
      </c>
      <c r="R163" s="54">
        <f>Данные!R163</f>
        <v>0</v>
      </c>
      <c r="S163" s="54">
        <f>Данные!S163</f>
        <v>0</v>
      </c>
      <c r="T163" s="54">
        <f>Данные!T163</f>
        <v>0</v>
      </c>
      <c r="U163" s="54">
        <f>Данные!U163</f>
        <v>0</v>
      </c>
      <c r="V163" s="54">
        <f>Данные!V163</f>
        <v>0</v>
      </c>
      <c r="W163" s="54">
        <f ca="1">Данные!W163</f>
        <v>27</v>
      </c>
      <c r="X163" s="54" t="str">
        <f ca="1">Данные!X163</f>
        <v>1</v>
      </c>
      <c r="Y163" s="54" t="str">
        <f ca="1">Данные!Y163</f>
        <v>2</v>
      </c>
      <c r="Z163" s="54">
        <f>Данные!Z163</f>
        <v>0</v>
      </c>
      <c r="AA163" s="54" t="str">
        <f>Данные!AA163</f>
        <v>осн</v>
      </c>
      <c r="AB163" s="101">
        <f t="shared" si="22"/>
        <v>900</v>
      </c>
      <c r="AC163" s="101" t="str">
        <f t="shared" si="23"/>
        <v>ИВТ (бак)</v>
      </c>
      <c r="AD163" s="101" t="str">
        <f t="shared" si="24"/>
        <v/>
      </c>
      <c r="AE163" s="102">
        <f t="shared" ca="1" si="25"/>
        <v>57.41</v>
      </c>
      <c r="AF163" s="103">
        <f t="shared" ca="1" si="26"/>
        <v>6.3788888888888881E-2</v>
      </c>
      <c r="AG163" s="101"/>
      <c r="AH163" s="101"/>
      <c r="AI163"/>
      <c r="BQ163" s="72">
        <v>0</v>
      </c>
      <c r="BR163" s="72">
        <v>0</v>
      </c>
      <c r="BS163" s="72">
        <v>0</v>
      </c>
      <c r="BT163" s="72">
        <v>0</v>
      </c>
      <c r="BU163" s="72">
        <v>0</v>
      </c>
      <c r="BV163" s="72">
        <v>0</v>
      </c>
      <c r="BW163" s="72">
        <v>0</v>
      </c>
      <c r="BX163" s="72">
        <v>0</v>
      </c>
      <c r="BY163" s="72">
        <v>0</v>
      </c>
      <c r="BZ163" s="72">
        <v>0</v>
      </c>
      <c r="CA163" s="72">
        <v>0</v>
      </c>
      <c r="CB163" s="72">
        <v>0</v>
      </c>
      <c r="CC163" s="72">
        <v>0</v>
      </c>
      <c r="CD163" s="72">
        <v>0</v>
      </c>
      <c r="CE163" s="72">
        <v>0</v>
      </c>
      <c r="CF163" s="72">
        <v>0</v>
      </c>
      <c r="CG163" s="72">
        <v>0</v>
      </c>
      <c r="CH163" s="72">
        <v>0</v>
      </c>
      <c r="CI163" s="72">
        <v>0</v>
      </c>
      <c r="CJ163" s="72">
        <v>0</v>
      </c>
      <c r="CK163" s="72">
        <v>0</v>
      </c>
      <c r="CL163" s="72">
        <v>0</v>
      </c>
      <c r="CM163" s="72">
        <v>0</v>
      </c>
      <c r="CN163" s="72">
        <v>0</v>
      </c>
      <c r="CO163" s="72">
        <v>0</v>
      </c>
      <c r="CP163" s="72">
        <v>0</v>
      </c>
      <c r="CQ163" s="72">
        <v>0</v>
      </c>
      <c r="CR163" s="72">
        <v>0</v>
      </c>
      <c r="CS163" s="72">
        <v>0</v>
      </c>
      <c r="CT163" s="72">
        <v>0</v>
      </c>
      <c r="CU163" s="72">
        <v>0</v>
      </c>
      <c r="CV163" s="72">
        <v>0</v>
      </c>
      <c r="CW163" s="72">
        <v>0</v>
      </c>
      <c r="CX163" s="72">
        <v>0</v>
      </c>
      <c r="CY163" s="72">
        <v>0</v>
      </c>
      <c r="CZ163" s="72">
        <v>0</v>
      </c>
      <c r="DA163" s="72">
        <v>0</v>
      </c>
      <c r="DB163" s="72">
        <v>0</v>
      </c>
      <c r="DC163" s="72">
        <v>0</v>
      </c>
      <c r="DD163" s="72">
        <v>0</v>
      </c>
      <c r="DE163" s="72">
        <v>0</v>
      </c>
      <c r="DF163" s="72">
        <v>0</v>
      </c>
      <c r="DG163" s="72">
        <v>0</v>
      </c>
      <c r="DH163" s="72">
        <v>0</v>
      </c>
      <c r="DI163" s="72">
        <v>0</v>
      </c>
      <c r="DJ163" s="72">
        <v>0</v>
      </c>
      <c r="DK163" s="72">
        <v>0</v>
      </c>
      <c r="DL163" s="72">
        <v>0</v>
      </c>
      <c r="DM163" s="72">
        <v>0</v>
      </c>
      <c r="DN163" s="72">
        <v>0</v>
      </c>
      <c r="DO163" s="72">
        <v>0</v>
      </c>
      <c r="DP163" s="72">
        <v>0</v>
      </c>
      <c r="DQ163" s="72">
        <v>0</v>
      </c>
      <c r="DR163" s="72">
        <v>0</v>
      </c>
      <c r="DS163" s="72">
        <v>0</v>
      </c>
      <c r="DT163" s="72">
        <v>0</v>
      </c>
      <c r="DU163" s="72">
        <v>0</v>
      </c>
      <c r="DV163" s="72">
        <v>0</v>
      </c>
      <c r="DW163" s="72">
        <v>0</v>
      </c>
      <c r="DX163" s="72">
        <v>0</v>
      </c>
      <c r="DY163" s="72">
        <v>0</v>
      </c>
      <c r="DZ163" s="72">
        <v>0</v>
      </c>
      <c r="EA163" s="72">
        <v>0</v>
      </c>
      <c r="EB163" s="72">
        <v>0</v>
      </c>
      <c r="EC163" s="72">
        <v>0</v>
      </c>
      <c r="ED163" s="72">
        <v>0</v>
      </c>
      <c r="EE163" s="72">
        <v>0</v>
      </c>
      <c r="EF163" s="72">
        <v>0</v>
      </c>
      <c r="EG163" s="72">
        <v>0</v>
      </c>
      <c r="EH163" s="72">
        <v>0</v>
      </c>
      <c r="EI163" s="72">
        <v>0</v>
      </c>
      <c r="EJ163" s="72">
        <v>0</v>
      </c>
      <c r="EK163" s="72">
        <v>0</v>
      </c>
      <c r="EL163" s="72">
        <v>0</v>
      </c>
    </row>
    <row r="164" spans="1:142" s="6" customFormat="1" x14ac:dyDescent="0.35">
      <c r="A164" s="59">
        <f>Данные!A164</f>
        <v>4858</v>
      </c>
      <c r="B164" s="59">
        <f>Данные!B164</f>
        <v>2018</v>
      </c>
      <c r="C164" s="59" t="str">
        <f>Данные!C164</f>
        <v>компьютерных технологий и электронного обучения</v>
      </c>
      <c r="D164" s="59" t="str">
        <f>Данные!D164</f>
        <v>Аксютин Павел Александрович</v>
      </c>
      <c r="E164" s="59" t="str">
        <f>Данные!E164</f>
        <v>нет</v>
      </c>
      <c r="F164" s="59" t="str">
        <f>Данные!F164</f>
        <v>ассистент</v>
      </c>
      <c r="G164" s="59">
        <f>Данные!G164</f>
        <v>0.25</v>
      </c>
      <c r="H164" s="59">
        <f>Данные!H164</f>
        <v>17232</v>
      </c>
      <c r="I164" s="59" t="str">
        <f>Данные!I164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164" s="59">
        <f>Данные!J164</f>
        <v>0</v>
      </c>
      <c r="K164" s="59">
        <f>Данные!K164</f>
        <v>0</v>
      </c>
      <c r="L164" s="59">
        <f>Данные!L164</f>
        <v>0</v>
      </c>
      <c r="M164" s="60">
        <f t="shared" si="18"/>
        <v>0</v>
      </c>
      <c r="N164" s="60">
        <f t="shared" ca="1" si="19"/>
        <v>10.91</v>
      </c>
      <c r="O164" s="60">
        <f t="shared" ca="1" si="20"/>
        <v>6.75</v>
      </c>
      <c r="P164" s="60">
        <f t="shared" ca="1" si="21"/>
        <v>6.75</v>
      </c>
      <c r="Q164" s="54">
        <f>Данные!Q164</f>
        <v>0</v>
      </c>
      <c r="R164" s="54">
        <f>Данные!R164</f>
        <v>0</v>
      </c>
      <c r="S164" s="54">
        <f>Данные!S164</f>
        <v>0</v>
      </c>
      <c r="T164" s="54">
        <f>Данные!T164</f>
        <v>0</v>
      </c>
      <c r="U164" s="54">
        <f>Данные!U164</f>
        <v>15</v>
      </c>
      <c r="V164" s="54">
        <f>Данные!V164</f>
        <v>0</v>
      </c>
      <c r="W164" s="54">
        <f ca="1">Данные!W164</f>
        <v>27</v>
      </c>
      <c r="X164" s="54" t="str">
        <f ca="1">Данные!X164</f>
        <v>1</v>
      </c>
      <c r="Y164" s="54" t="str">
        <f ca="1">Данные!Y164</f>
        <v>2</v>
      </c>
      <c r="Z164" s="54">
        <f>Данные!Z164</f>
        <v>0</v>
      </c>
      <c r="AA164" s="54" t="str">
        <f>Данные!AA164</f>
        <v>осн</v>
      </c>
      <c r="AB164" s="101">
        <f t="shared" si="22"/>
        <v>900</v>
      </c>
      <c r="AC164" s="101" t="str">
        <f t="shared" si="23"/>
        <v>ИВТ (бак)</v>
      </c>
      <c r="AD164" s="101" t="str">
        <f t="shared" si="24"/>
        <v/>
      </c>
      <c r="AE164" s="102">
        <f t="shared" ca="1" si="25"/>
        <v>39.409999999999997</v>
      </c>
      <c r="AF164" s="103">
        <f t="shared" ca="1" si="26"/>
        <v>4.3788888888888884E-2</v>
      </c>
      <c r="AG164" s="101"/>
      <c r="AH164" s="101"/>
      <c r="AI164"/>
      <c r="BQ164" s="72">
        <v>0</v>
      </c>
      <c r="BR164" s="72">
        <v>0</v>
      </c>
      <c r="BS164" s="72">
        <v>0</v>
      </c>
      <c r="BT164" s="72">
        <v>0</v>
      </c>
      <c r="BU164" s="72">
        <v>0</v>
      </c>
      <c r="BV164" s="72">
        <v>0</v>
      </c>
      <c r="BW164" s="72">
        <v>0</v>
      </c>
      <c r="BX164" s="72">
        <v>0</v>
      </c>
      <c r="BY164" s="72">
        <v>0</v>
      </c>
      <c r="BZ164" s="72">
        <v>0</v>
      </c>
      <c r="CA164" s="72">
        <v>0</v>
      </c>
      <c r="CB164" s="72">
        <v>0</v>
      </c>
      <c r="CC164" s="72">
        <v>0</v>
      </c>
      <c r="CD164" s="72">
        <v>0</v>
      </c>
      <c r="CE164" s="72">
        <v>0</v>
      </c>
      <c r="CF164" s="72">
        <v>0</v>
      </c>
      <c r="CG164" s="72">
        <v>0</v>
      </c>
      <c r="CH164" s="72">
        <v>0</v>
      </c>
      <c r="CI164" s="72">
        <v>0</v>
      </c>
      <c r="CJ164" s="72">
        <v>0</v>
      </c>
      <c r="CK164" s="72">
        <v>0</v>
      </c>
      <c r="CL164" s="72">
        <v>0</v>
      </c>
      <c r="CM164" s="72">
        <v>0</v>
      </c>
      <c r="CN164" s="72">
        <v>0</v>
      </c>
      <c r="CO164" s="72">
        <v>0</v>
      </c>
      <c r="CP164" s="72">
        <v>0</v>
      </c>
      <c r="CQ164" s="72">
        <v>0</v>
      </c>
      <c r="CR164" s="72">
        <v>0</v>
      </c>
      <c r="CS164" s="72">
        <v>0</v>
      </c>
      <c r="CT164" s="72">
        <v>0</v>
      </c>
      <c r="CU164" s="72">
        <v>0</v>
      </c>
      <c r="CV164" s="72">
        <v>0</v>
      </c>
      <c r="CW164" s="72">
        <v>0</v>
      </c>
      <c r="CX164" s="72">
        <v>0</v>
      </c>
      <c r="CY164" s="72">
        <v>0</v>
      </c>
      <c r="CZ164" s="72">
        <v>0</v>
      </c>
      <c r="DA164" s="72">
        <v>0</v>
      </c>
      <c r="DB164" s="72">
        <v>0</v>
      </c>
      <c r="DC164" s="72">
        <v>0</v>
      </c>
      <c r="DD164" s="72">
        <v>0</v>
      </c>
      <c r="DE164" s="72">
        <v>0</v>
      </c>
      <c r="DF164" s="72">
        <v>0</v>
      </c>
      <c r="DG164" s="72">
        <v>0</v>
      </c>
      <c r="DH164" s="72">
        <v>0</v>
      </c>
      <c r="DI164" s="72">
        <v>0</v>
      </c>
      <c r="DJ164" s="72">
        <v>0</v>
      </c>
      <c r="DK164" s="72">
        <v>0</v>
      </c>
      <c r="DL164" s="72">
        <v>0</v>
      </c>
      <c r="DM164" s="72">
        <v>0</v>
      </c>
      <c r="DN164" s="72">
        <v>0</v>
      </c>
      <c r="DO164" s="72">
        <v>0</v>
      </c>
      <c r="DP164" s="72">
        <v>0</v>
      </c>
      <c r="DQ164" s="72">
        <v>0</v>
      </c>
      <c r="DR164" s="72">
        <v>0</v>
      </c>
      <c r="DS164" s="72">
        <v>0</v>
      </c>
      <c r="DT164" s="72">
        <v>0</v>
      </c>
      <c r="DU164" s="72">
        <v>0</v>
      </c>
      <c r="DV164" s="72">
        <v>0</v>
      </c>
      <c r="DW164" s="72">
        <v>0</v>
      </c>
      <c r="DX164" s="72">
        <v>0</v>
      </c>
      <c r="DY164" s="72">
        <v>0</v>
      </c>
      <c r="DZ164" s="72">
        <v>0</v>
      </c>
      <c r="EA164" s="72">
        <v>0</v>
      </c>
      <c r="EB164" s="72">
        <v>0</v>
      </c>
      <c r="EC164" s="72">
        <v>0</v>
      </c>
      <c r="ED164" s="72">
        <v>0</v>
      </c>
      <c r="EE164" s="72">
        <v>0</v>
      </c>
      <c r="EF164" s="72">
        <v>0</v>
      </c>
      <c r="EG164" s="72">
        <v>0</v>
      </c>
      <c r="EH164" s="72">
        <v>0</v>
      </c>
      <c r="EI164" s="72">
        <v>0</v>
      </c>
      <c r="EJ164" s="72">
        <v>0</v>
      </c>
      <c r="EK164" s="72">
        <v>0</v>
      </c>
      <c r="EL164" s="72">
        <v>0</v>
      </c>
    </row>
    <row r="165" spans="1:142" s="6" customFormat="1" x14ac:dyDescent="0.35">
      <c r="A165" s="59">
        <f>Данные!A165</f>
        <v>4858</v>
      </c>
      <c r="B165" s="59">
        <f>Данные!B165</f>
        <v>2018</v>
      </c>
      <c r="C165" s="59" t="str">
        <f>Данные!C165</f>
        <v>компьютерных технологий и электронного обучения</v>
      </c>
      <c r="D165" s="59" t="str">
        <f>Данные!D165</f>
        <v>Атаян Ануш Михайловна</v>
      </c>
      <c r="E165" s="59" t="str">
        <f>Данные!E165</f>
        <v>кандидат педагогических наук</v>
      </c>
      <c r="F165" s="59" t="str">
        <f>Данные!F165</f>
        <v>доцент</v>
      </c>
      <c r="G165" s="59">
        <f>Данные!G165</f>
        <v>1</v>
      </c>
      <c r="H165" s="59">
        <f>Данные!H165</f>
        <v>17232</v>
      </c>
      <c r="I165" s="59" t="str">
        <f>Данные!I165</f>
        <v>Дисциплины (модули) по выбору. Реинжиниринг и инновации в сфере IT</v>
      </c>
      <c r="J165" s="59">
        <f>Данные!J165</f>
        <v>18</v>
      </c>
      <c r="K165" s="59">
        <f>Данные!K165</f>
        <v>18</v>
      </c>
      <c r="L165" s="59">
        <f>Данные!L165</f>
        <v>0</v>
      </c>
      <c r="M165" s="60">
        <f t="shared" si="18"/>
        <v>3.6</v>
      </c>
      <c r="N165" s="60">
        <f t="shared" ca="1" si="19"/>
        <v>10.91</v>
      </c>
      <c r="O165" s="60">
        <f t="shared" ca="1" si="20"/>
        <v>6.75</v>
      </c>
      <c r="P165" s="60">
        <f t="shared" ca="1" si="21"/>
        <v>6.75</v>
      </c>
      <c r="Q165" s="54">
        <f>Данные!Q165</f>
        <v>0</v>
      </c>
      <c r="R165" s="54">
        <f>Данные!R165</f>
        <v>0</v>
      </c>
      <c r="S165" s="54">
        <f>Данные!S165</f>
        <v>0</v>
      </c>
      <c r="T165" s="54">
        <f>Данные!T165</f>
        <v>0</v>
      </c>
      <c r="U165" s="54">
        <f>Данные!U165</f>
        <v>0</v>
      </c>
      <c r="V165" s="54">
        <f>Данные!V165</f>
        <v>0</v>
      </c>
      <c r="W165" s="54">
        <f ca="1">Данные!W165</f>
        <v>27</v>
      </c>
      <c r="X165" s="54" t="str">
        <f ca="1">Данные!X165</f>
        <v>1</v>
      </c>
      <c r="Y165" s="54" t="str">
        <f ca="1">Данные!Y165</f>
        <v>2</v>
      </c>
      <c r="Z165" s="54">
        <f>Данные!Z165</f>
        <v>0</v>
      </c>
      <c r="AA165" s="54" t="str">
        <f>Данные!AA165</f>
        <v>доп</v>
      </c>
      <c r="AB165" s="101">
        <f t="shared" si="22"/>
        <v>800</v>
      </c>
      <c r="AC165" s="101" t="str">
        <f t="shared" si="23"/>
        <v>ИВТ (бак)</v>
      </c>
      <c r="AD165" s="101" t="str">
        <f t="shared" si="24"/>
        <v/>
      </c>
      <c r="AE165" s="102">
        <f t="shared" ca="1" si="25"/>
        <v>64.010000000000005</v>
      </c>
      <c r="AF165" s="103">
        <f t="shared" ca="1" si="26"/>
        <v>8.00125E-2</v>
      </c>
      <c r="AG165" s="101"/>
      <c r="AH165" s="101"/>
      <c r="AI165"/>
      <c r="BQ165" s="72">
        <v>0</v>
      </c>
      <c r="BR165" s="72">
        <v>0</v>
      </c>
      <c r="BS165" s="72">
        <v>0</v>
      </c>
      <c r="BT165" s="72">
        <v>0</v>
      </c>
      <c r="BU165" s="72">
        <v>0</v>
      </c>
      <c r="BV165" s="72">
        <v>0</v>
      </c>
      <c r="BW165" s="72">
        <v>0</v>
      </c>
      <c r="BX165" s="72">
        <v>0</v>
      </c>
      <c r="BY165" s="72">
        <v>0</v>
      </c>
      <c r="BZ165" s="72">
        <v>0</v>
      </c>
      <c r="CA165" s="72">
        <v>0</v>
      </c>
      <c r="CB165" s="72">
        <v>0</v>
      </c>
      <c r="CC165" s="72">
        <v>0</v>
      </c>
      <c r="CD165" s="72">
        <v>0</v>
      </c>
      <c r="CE165" s="72">
        <v>0</v>
      </c>
      <c r="CF165" s="72">
        <v>0</v>
      </c>
      <c r="CG165" s="72">
        <v>0</v>
      </c>
      <c r="CH165" s="72">
        <v>0</v>
      </c>
      <c r="CI165" s="72">
        <v>0</v>
      </c>
      <c r="CJ165" s="72">
        <v>0</v>
      </c>
      <c r="CK165" s="72">
        <v>0</v>
      </c>
      <c r="CL165" s="72">
        <v>0</v>
      </c>
      <c r="CM165" s="72">
        <v>0</v>
      </c>
      <c r="CN165" s="72">
        <v>0</v>
      </c>
      <c r="CO165" s="72">
        <v>0</v>
      </c>
      <c r="CP165" s="72">
        <v>0</v>
      </c>
      <c r="CQ165" s="72">
        <v>0</v>
      </c>
      <c r="CR165" s="72">
        <v>0</v>
      </c>
      <c r="CS165" s="72">
        <v>0</v>
      </c>
      <c r="CT165" s="72">
        <v>0</v>
      </c>
      <c r="CU165" s="72">
        <v>0</v>
      </c>
      <c r="CV165" s="72">
        <v>0</v>
      </c>
      <c r="CW165" s="72">
        <v>0</v>
      </c>
      <c r="CX165" s="72">
        <v>0</v>
      </c>
      <c r="CY165" s="72">
        <v>0</v>
      </c>
      <c r="CZ165" s="72">
        <v>0</v>
      </c>
      <c r="DA165" s="72">
        <v>0</v>
      </c>
      <c r="DB165" s="72">
        <v>0</v>
      </c>
      <c r="DC165" s="72">
        <v>0</v>
      </c>
      <c r="DD165" s="72">
        <v>0</v>
      </c>
      <c r="DE165" s="72">
        <v>0</v>
      </c>
      <c r="DF165" s="72">
        <v>0</v>
      </c>
      <c r="DG165" s="72">
        <v>0</v>
      </c>
      <c r="DH165" s="72">
        <v>0</v>
      </c>
      <c r="DI165" s="72">
        <v>0</v>
      </c>
      <c r="DJ165" s="72">
        <v>0</v>
      </c>
      <c r="DK165" s="72">
        <v>0</v>
      </c>
      <c r="DL165" s="72">
        <v>0</v>
      </c>
      <c r="DM165" s="72">
        <v>0</v>
      </c>
      <c r="DN165" s="72">
        <v>0</v>
      </c>
      <c r="DO165" s="72">
        <v>0</v>
      </c>
      <c r="DP165" s="72">
        <v>0</v>
      </c>
      <c r="DQ165" s="72">
        <v>0</v>
      </c>
      <c r="DR165" s="72">
        <v>0</v>
      </c>
      <c r="DS165" s="72">
        <v>0</v>
      </c>
      <c r="DT165" s="72">
        <v>0</v>
      </c>
      <c r="DU165" s="72">
        <v>0</v>
      </c>
      <c r="DV165" s="72">
        <v>0</v>
      </c>
      <c r="DW165" s="72">
        <v>0</v>
      </c>
      <c r="DX165" s="72">
        <v>0</v>
      </c>
      <c r="DY165" s="72">
        <v>0</v>
      </c>
      <c r="DZ165" s="72">
        <v>0</v>
      </c>
      <c r="EA165" s="72">
        <v>0</v>
      </c>
      <c r="EB165" s="72">
        <v>0</v>
      </c>
      <c r="EC165" s="72">
        <v>0</v>
      </c>
      <c r="ED165" s="72">
        <v>0</v>
      </c>
      <c r="EE165" s="72">
        <v>0</v>
      </c>
      <c r="EF165" s="72">
        <v>0</v>
      </c>
      <c r="EG165" s="72">
        <v>0</v>
      </c>
      <c r="EH165" s="72">
        <v>0</v>
      </c>
      <c r="EI165" s="72">
        <v>0</v>
      </c>
      <c r="EJ165" s="72">
        <v>0</v>
      </c>
      <c r="EK165" s="72">
        <v>0</v>
      </c>
      <c r="EL165" s="72">
        <v>0</v>
      </c>
    </row>
    <row r="166" spans="1:142" s="6" customFormat="1" x14ac:dyDescent="0.35">
      <c r="A166" s="59">
        <f>Данные!A166</f>
        <v>4858</v>
      </c>
      <c r="B166" s="59">
        <f>Данные!B166</f>
        <v>2018</v>
      </c>
      <c r="C166" s="59" t="str">
        <f>Данные!C166</f>
        <v>компьютерных технологий и электронного обучения</v>
      </c>
      <c r="D166" s="59" t="str">
        <f>Данные!D166</f>
        <v>Атаян Ануш Михайловна</v>
      </c>
      <c r="E166" s="59" t="str">
        <f>Данные!E166</f>
        <v>кандидат педагогических наук</v>
      </c>
      <c r="F166" s="59" t="str">
        <f>Данные!F166</f>
        <v>доцент</v>
      </c>
      <c r="G166" s="59">
        <f>Данные!G166</f>
        <v>1</v>
      </c>
      <c r="H166" s="59">
        <f>Данные!H166</f>
        <v>17232</v>
      </c>
      <c r="I166" s="59" t="str">
        <f>Данные!I166</f>
        <v>Модуль "Информационные технологии". Дисциплины и курсы по выбору. Прикладные информационные технологии</v>
      </c>
      <c r="J166" s="59">
        <f>Данные!J166</f>
        <v>14</v>
      </c>
      <c r="K166" s="59">
        <f>Данные!K166</f>
        <v>0</v>
      </c>
      <c r="L166" s="59">
        <f>Данные!L166</f>
        <v>0</v>
      </c>
      <c r="M166" s="60">
        <f t="shared" si="18"/>
        <v>1.4</v>
      </c>
      <c r="N166" s="60">
        <f t="shared" ca="1" si="19"/>
        <v>10.91</v>
      </c>
      <c r="O166" s="60">
        <f t="shared" ca="1" si="20"/>
        <v>6.75</v>
      </c>
      <c r="P166" s="60">
        <f t="shared" ca="1" si="21"/>
        <v>6.75</v>
      </c>
      <c r="Q166" s="54">
        <f>Данные!Q166</f>
        <v>0</v>
      </c>
      <c r="R166" s="54">
        <f>Данные!R166</f>
        <v>0</v>
      </c>
      <c r="S166" s="54">
        <f>Данные!S166</f>
        <v>0</v>
      </c>
      <c r="T166" s="54">
        <f>Данные!T166</f>
        <v>0</v>
      </c>
      <c r="U166" s="54">
        <f>Данные!U166</f>
        <v>0</v>
      </c>
      <c r="V166" s="54">
        <f>Данные!V166</f>
        <v>0</v>
      </c>
      <c r="W166" s="54">
        <f ca="1">Данные!W166</f>
        <v>27</v>
      </c>
      <c r="X166" s="54" t="str">
        <f ca="1">Данные!X166</f>
        <v>1</v>
      </c>
      <c r="Y166" s="54" t="str">
        <f ca="1">Данные!Y166</f>
        <v>2</v>
      </c>
      <c r="Z166" s="54">
        <f>Данные!Z166</f>
        <v>0</v>
      </c>
      <c r="AA166" s="54" t="str">
        <f>Данные!AA166</f>
        <v>осн</v>
      </c>
      <c r="AB166" s="101">
        <f t="shared" si="22"/>
        <v>800</v>
      </c>
      <c r="AC166" s="101" t="str">
        <f t="shared" si="23"/>
        <v>ИВТ (бак)</v>
      </c>
      <c r="AD166" s="101" t="str">
        <f t="shared" si="24"/>
        <v/>
      </c>
      <c r="AE166" s="102">
        <f t="shared" ca="1" si="25"/>
        <v>39.81</v>
      </c>
      <c r="AF166" s="103">
        <f t="shared" ca="1" si="26"/>
        <v>4.9762500000000001E-2</v>
      </c>
      <c r="AG166" s="101"/>
      <c r="AH166" s="101"/>
      <c r="AI166"/>
      <c r="BQ166" s="72">
        <v>0</v>
      </c>
      <c r="BR166" s="72">
        <v>0</v>
      </c>
      <c r="BS166" s="72">
        <v>0</v>
      </c>
      <c r="BT166" s="72">
        <v>0</v>
      </c>
      <c r="BU166" s="72">
        <v>0</v>
      </c>
      <c r="BV166" s="72">
        <v>0</v>
      </c>
      <c r="BW166" s="72">
        <v>0</v>
      </c>
      <c r="BX166" s="72">
        <v>0</v>
      </c>
      <c r="BY166" s="72">
        <v>0</v>
      </c>
      <c r="BZ166" s="72">
        <v>0</v>
      </c>
      <c r="CA166" s="72">
        <v>0</v>
      </c>
      <c r="CB166" s="72">
        <v>0</v>
      </c>
      <c r="CC166" s="72">
        <v>0</v>
      </c>
      <c r="CD166" s="72">
        <v>0</v>
      </c>
      <c r="CE166" s="72">
        <v>0</v>
      </c>
      <c r="CF166" s="72">
        <v>0</v>
      </c>
      <c r="CG166" s="72">
        <v>0</v>
      </c>
      <c r="CH166" s="72">
        <v>0</v>
      </c>
      <c r="CI166" s="72">
        <v>0</v>
      </c>
      <c r="CJ166" s="72">
        <v>0</v>
      </c>
      <c r="CK166" s="72">
        <v>0</v>
      </c>
      <c r="CL166" s="72">
        <v>0</v>
      </c>
      <c r="CM166" s="72">
        <v>0</v>
      </c>
      <c r="CN166" s="72">
        <v>0</v>
      </c>
      <c r="CO166" s="72">
        <v>0</v>
      </c>
      <c r="CP166" s="72">
        <v>0</v>
      </c>
      <c r="CQ166" s="72">
        <v>0</v>
      </c>
      <c r="CR166" s="72">
        <v>0</v>
      </c>
      <c r="CS166" s="72">
        <v>0</v>
      </c>
      <c r="CT166" s="72">
        <v>0</v>
      </c>
      <c r="CU166" s="72">
        <v>0</v>
      </c>
      <c r="CV166" s="72">
        <v>0</v>
      </c>
      <c r="CW166" s="72">
        <v>0</v>
      </c>
      <c r="CX166" s="72">
        <v>0</v>
      </c>
      <c r="CY166" s="72">
        <v>0</v>
      </c>
      <c r="CZ166" s="72">
        <v>0</v>
      </c>
      <c r="DA166" s="72">
        <v>0</v>
      </c>
      <c r="DB166" s="72">
        <v>0</v>
      </c>
      <c r="DC166" s="72">
        <v>0</v>
      </c>
      <c r="DD166" s="72">
        <v>0</v>
      </c>
      <c r="DE166" s="72">
        <v>0</v>
      </c>
      <c r="DF166" s="72">
        <v>0</v>
      </c>
      <c r="DG166" s="72">
        <v>0</v>
      </c>
      <c r="DH166" s="72">
        <v>0</v>
      </c>
      <c r="DI166" s="72">
        <v>0</v>
      </c>
      <c r="DJ166" s="72">
        <v>0</v>
      </c>
      <c r="DK166" s="72">
        <v>0</v>
      </c>
      <c r="DL166" s="72">
        <v>0</v>
      </c>
      <c r="DM166" s="72">
        <v>0</v>
      </c>
      <c r="DN166" s="72">
        <v>0</v>
      </c>
      <c r="DO166" s="72">
        <v>0</v>
      </c>
      <c r="DP166" s="72">
        <v>0</v>
      </c>
      <c r="DQ166" s="72">
        <v>0</v>
      </c>
      <c r="DR166" s="72">
        <v>0</v>
      </c>
      <c r="DS166" s="72">
        <v>0</v>
      </c>
      <c r="DT166" s="72">
        <v>0</v>
      </c>
      <c r="DU166" s="72">
        <v>0</v>
      </c>
      <c r="DV166" s="72">
        <v>0</v>
      </c>
      <c r="DW166" s="72">
        <v>0</v>
      </c>
      <c r="DX166" s="72">
        <v>0</v>
      </c>
      <c r="DY166" s="72">
        <v>0</v>
      </c>
      <c r="DZ166" s="72">
        <v>0</v>
      </c>
      <c r="EA166" s="72">
        <v>0</v>
      </c>
      <c r="EB166" s="72">
        <v>0</v>
      </c>
      <c r="EC166" s="72">
        <v>0</v>
      </c>
      <c r="ED166" s="72">
        <v>0</v>
      </c>
      <c r="EE166" s="72">
        <v>0</v>
      </c>
      <c r="EF166" s="72">
        <v>0</v>
      </c>
      <c r="EG166" s="72">
        <v>0</v>
      </c>
      <c r="EH166" s="72">
        <v>0</v>
      </c>
      <c r="EI166" s="72">
        <v>0</v>
      </c>
      <c r="EJ166" s="72">
        <v>0</v>
      </c>
      <c r="EK166" s="72">
        <v>0</v>
      </c>
      <c r="EL166" s="72">
        <v>0</v>
      </c>
    </row>
    <row r="167" spans="1:142" s="6" customFormat="1" x14ac:dyDescent="0.35">
      <c r="A167" s="59">
        <f>Данные!A167</f>
        <v>4858</v>
      </c>
      <c r="B167" s="59">
        <f>Данные!B167</f>
        <v>2018</v>
      </c>
      <c r="C167" s="59" t="str">
        <f>Данные!C167</f>
        <v>компьютерных технологий и электронного обучения</v>
      </c>
      <c r="D167" s="59" t="str">
        <f>Данные!D167</f>
        <v>Власов Дмитрий Викторович</v>
      </c>
      <c r="E167" s="59" t="str">
        <f>Данные!E167</f>
        <v>нет</v>
      </c>
      <c r="F167" s="59" t="str">
        <f>Данные!F167</f>
        <v>эксперт-программист</v>
      </c>
      <c r="G167" s="59">
        <f>Данные!G167</f>
        <v>1</v>
      </c>
      <c r="H167" s="59">
        <f>Данные!H167</f>
        <v>17232</v>
      </c>
      <c r="I167" s="59" t="str">
        <f>Данные!I167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167" s="59">
        <f>Данные!J167</f>
        <v>0</v>
      </c>
      <c r="K167" s="59">
        <f>Данные!K167</f>
        <v>0</v>
      </c>
      <c r="L167" s="59">
        <f>Данные!L167</f>
        <v>0</v>
      </c>
      <c r="M167" s="60">
        <f t="shared" si="18"/>
        <v>0</v>
      </c>
      <c r="N167" s="60">
        <f t="shared" ca="1" si="19"/>
        <v>10.91</v>
      </c>
      <c r="O167" s="60">
        <f t="shared" ca="1" si="20"/>
        <v>6.75</v>
      </c>
      <c r="P167" s="60">
        <f t="shared" ca="1" si="21"/>
        <v>6.75</v>
      </c>
      <c r="Q167" s="54">
        <f>Данные!Q167</f>
        <v>0</v>
      </c>
      <c r="R167" s="54">
        <f>Данные!R167</f>
        <v>0</v>
      </c>
      <c r="S167" s="54">
        <f>Данные!S167</f>
        <v>0</v>
      </c>
      <c r="T167" s="54">
        <f>Данные!T167</f>
        <v>0</v>
      </c>
      <c r="U167" s="54">
        <f>Данные!U167</f>
        <v>9</v>
      </c>
      <c r="V167" s="54">
        <f>Данные!V167</f>
        <v>0</v>
      </c>
      <c r="W167" s="54">
        <f ca="1">Данные!W167</f>
        <v>27</v>
      </c>
      <c r="X167" s="54" t="str">
        <f ca="1">Данные!X167</f>
        <v>1</v>
      </c>
      <c r="Y167" s="54" t="str">
        <f ca="1">Данные!Y167</f>
        <v>2</v>
      </c>
      <c r="Z167" s="54">
        <f>Данные!Z167</f>
        <v>0</v>
      </c>
      <c r="AA167" s="54" t="str">
        <f>Данные!AA167</f>
        <v>доп</v>
      </c>
      <c r="AB167" s="101">
        <f t="shared" si="22"/>
        <v>900</v>
      </c>
      <c r="AC167" s="101" t="str">
        <f t="shared" si="23"/>
        <v>ИВТ (бак)</v>
      </c>
      <c r="AD167" s="101" t="str">
        <f t="shared" si="24"/>
        <v/>
      </c>
      <c r="AE167" s="102">
        <f t="shared" ca="1" si="25"/>
        <v>33.409999999999997</v>
      </c>
      <c r="AF167" s="103">
        <f t="shared" ca="1" si="26"/>
        <v>3.7122222222222216E-2</v>
      </c>
      <c r="AG167" s="101"/>
      <c r="AH167" s="101"/>
      <c r="AI167"/>
      <c r="BQ167" s="72">
        <v>0</v>
      </c>
      <c r="BR167" s="72">
        <v>0</v>
      </c>
      <c r="BS167" s="72">
        <v>0</v>
      </c>
      <c r="BT167" s="72">
        <v>0</v>
      </c>
      <c r="BU167" s="72">
        <v>0</v>
      </c>
      <c r="BV167" s="72">
        <v>0</v>
      </c>
      <c r="BW167" s="72">
        <v>0</v>
      </c>
      <c r="BX167" s="72">
        <v>0</v>
      </c>
      <c r="BY167" s="72">
        <v>0</v>
      </c>
      <c r="BZ167" s="72">
        <v>0</v>
      </c>
      <c r="CA167" s="72">
        <v>0</v>
      </c>
      <c r="CB167" s="72">
        <v>0</v>
      </c>
      <c r="CC167" s="72">
        <v>0</v>
      </c>
      <c r="CD167" s="72">
        <v>0</v>
      </c>
      <c r="CE167" s="72">
        <v>0</v>
      </c>
      <c r="CF167" s="72">
        <v>0</v>
      </c>
      <c r="CG167" s="72">
        <v>0</v>
      </c>
      <c r="CH167" s="72">
        <v>0</v>
      </c>
      <c r="CI167" s="72">
        <v>0</v>
      </c>
      <c r="CJ167" s="72">
        <v>0</v>
      </c>
      <c r="CK167" s="72">
        <v>0</v>
      </c>
      <c r="CL167" s="72">
        <v>0</v>
      </c>
      <c r="CM167" s="72">
        <v>0</v>
      </c>
      <c r="CN167" s="72">
        <v>0</v>
      </c>
      <c r="CO167" s="72">
        <v>0</v>
      </c>
      <c r="CP167" s="72">
        <v>0</v>
      </c>
      <c r="CQ167" s="72">
        <v>0</v>
      </c>
      <c r="CR167" s="72">
        <v>0</v>
      </c>
      <c r="CS167" s="72">
        <v>0</v>
      </c>
      <c r="CT167" s="72">
        <v>0</v>
      </c>
      <c r="CU167" s="72">
        <v>0</v>
      </c>
      <c r="CV167" s="72">
        <v>0</v>
      </c>
      <c r="CW167" s="72">
        <v>0</v>
      </c>
      <c r="CX167" s="72">
        <v>0</v>
      </c>
      <c r="CY167" s="72">
        <v>0</v>
      </c>
      <c r="CZ167" s="72">
        <v>0</v>
      </c>
      <c r="DA167" s="72">
        <v>0</v>
      </c>
      <c r="DB167" s="72">
        <v>0</v>
      </c>
      <c r="DC167" s="72">
        <v>0</v>
      </c>
      <c r="DD167" s="72">
        <v>0</v>
      </c>
      <c r="DE167" s="72">
        <v>0</v>
      </c>
      <c r="DF167" s="72">
        <v>0</v>
      </c>
      <c r="DG167" s="72">
        <v>0</v>
      </c>
      <c r="DH167" s="72">
        <v>0</v>
      </c>
      <c r="DI167" s="72">
        <v>0</v>
      </c>
      <c r="DJ167" s="72">
        <v>0</v>
      </c>
      <c r="DK167" s="72">
        <v>0</v>
      </c>
      <c r="DL167" s="72">
        <v>0</v>
      </c>
      <c r="DM167" s="72">
        <v>0</v>
      </c>
      <c r="DN167" s="72">
        <v>0</v>
      </c>
      <c r="DO167" s="72">
        <v>0</v>
      </c>
      <c r="DP167" s="72">
        <v>0</v>
      </c>
      <c r="DQ167" s="72">
        <v>0</v>
      </c>
      <c r="DR167" s="72">
        <v>0</v>
      </c>
      <c r="DS167" s="72">
        <v>0</v>
      </c>
      <c r="DT167" s="72">
        <v>0</v>
      </c>
      <c r="DU167" s="72">
        <v>0</v>
      </c>
      <c r="DV167" s="72">
        <v>0</v>
      </c>
      <c r="DW167" s="72">
        <v>0</v>
      </c>
      <c r="DX167" s="72">
        <v>0</v>
      </c>
      <c r="DY167" s="72">
        <v>0</v>
      </c>
      <c r="DZ167" s="72">
        <v>0</v>
      </c>
      <c r="EA167" s="72">
        <v>0</v>
      </c>
      <c r="EB167" s="72">
        <v>0</v>
      </c>
      <c r="EC167" s="72">
        <v>0</v>
      </c>
      <c r="ED167" s="72">
        <v>0</v>
      </c>
      <c r="EE167" s="72">
        <v>0</v>
      </c>
      <c r="EF167" s="72">
        <v>0</v>
      </c>
      <c r="EG167" s="72">
        <v>0</v>
      </c>
      <c r="EH167" s="72">
        <v>0</v>
      </c>
      <c r="EI167" s="72">
        <v>0</v>
      </c>
      <c r="EJ167" s="72">
        <v>0</v>
      </c>
      <c r="EK167" s="72">
        <v>0</v>
      </c>
      <c r="EL167" s="72">
        <v>0</v>
      </c>
    </row>
    <row r="168" spans="1:142" s="6" customFormat="1" x14ac:dyDescent="0.35">
      <c r="A168" s="59">
        <f>Данные!A168</f>
        <v>4858</v>
      </c>
      <c r="B168" s="59">
        <f>Данные!B168</f>
        <v>2018</v>
      </c>
      <c r="C168" s="59" t="str">
        <f>Данные!C168</f>
        <v>компьютерных технологий и электронного обучения</v>
      </c>
      <c r="D168" s="59" t="str">
        <f>Данные!D168</f>
        <v>Власова Елена Зотиковна</v>
      </c>
      <c r="E168" s="59" t="str">
        <f>Данные!E168</f>
        <v>доктор педагогических наук</v>
      </c>
      <c r="F168" s="59" t="str">
        <f>Данные!F168</f>
        <v>заведующий кафедрой</v>
      </c>
      <c r="G168" s="59">
        <f>Данные!G168</f>
        <v>1</v>
      </c>
      <c r="H168" s="59">
        <f>Данные!H168</f>
        <v>17232</v>
      </c>
      <c r="I168" s="59" t="str">
        <f>Данные!I168</f>
        <v>Модуль "Информационные технологии"</v>
      </c>
      <c r="J168" s="59">
        <f>Данные!J168</f>
        <v>0</v>
      </c>
      <c r="K168" s="59">
        <f>Данные!K168</f>
        <v>0</v>
      </c>
      <c r="L168" s="59">
        <f>Данные!L168</f>
        <v>0</v>
      </c>
      <c r="M168" s="60">
        <f t="shared" si="18"/>
        <v>0</v>
      </c>
      <c r="N168" s="60">
        <f t="shared" ca="1" si="19"/>
        <v>10.91</v>
      </c>
      <c r="O168" s="60">
        <f t="shared" ca="1" si="20"/>
        <v>6.75</v>
      </c>
      <c r="P168" s="60">
        <f t="shared" ca="1" si="21"/>
        <v>6.75</v>
      </c>
      <c r="Q168" s="54">
        <f>Данные!Q168</f>
        <v>0</v>
      </c>
      <c r="R168" s="54">
        <f>Данные!R168</f>
        <v>0</v>
      </c>
      <c r="S168" s="54">
        <f>Данные!S168</f>
        <v>0</v>
      </c>
      <c r="T168" s="54">
        <f>Данные!T168</f>
        <v>0</v>
      </c>
      <c r="U168" s="54">
        <f>Данные!U168</f>
        <v>0</v>
      </c>
      <c r="V168" s="54">
        <f>Данные!V168</f>
        <v>0</v>
      </c>
      <c r="W168" s="54">
        <f ca="1">Данные!W168</f>
        <v>27</v>
      </c>
      <c r="X168" s="54" t="str">
        <f ca="1">Данные!X168</f>
        <v>1</v>
      </c>
      <c r="Y168" s="54" t="str">
        <f ca="1">Данные!Y168</f>
        <v>2</v>
      </c>
      <c r="Z168" s="54">
        <f>Данные!Z168</f>
        <v>0</v>
      </c>
      <c r="AA168" s="54" t="str">
        <f>Данные!AA168</f>
        <v>осн</v>
      </c>
      <c r="AB168" s="101">
        <f t="shared" si="22"/>
        <v>700</v>
      </c>
      <c r="AC168" s="101" t="str">
        <f t="shared" si="23"/>
        <v>ИВТ (бак)</v>
      </c>
      <c r="AD168" s="101" t="str">
        <f t="shared" si="24"/>
        <v/>
      </c>
      <c r="AE168" s="102">
        <f t="shared" ca="1" si="25"/>
        <v>24.41</v>
      </c>
      <c r="AF168" s="103">
        <f t="shared" ca="1" si="26"/>
        <v>3.4871428571428574E-2</v>
      </c>
      <c r="AG168" s="101"/>
      <c r="AH168" s="101"/>
      <c r="AI168"/>
      <c r="BQ168" s="72">
        <v>0</v>
      </c>
      <c r="BR168" s="72">
        <v>0</v>
      </c>
      <c r="BS168" s="72">
        <v>0</v>
      </c>
      <c r="BT168" s="72">
        <v>0</v>
      </c>
      <c r="BU168" s="72">
        <v>0</v>
      </c>
      <c r="BV168" s="72">
        <v>0</v>
      </c>
      <c r="BW168" s="72">
        <v>0</v>
      </c>
      <c r="BX168" s="72">
        <v>0</v>
      </c>
      <c r="BY168" s="72">
        <v>0</v>
      </c>
      <c r="BZ168" s="72">
        <v>0</v>
      </c>
      <c r="CA168" s="72">
        <v>0</v>
      </c>
      <c r="CB168" s="72">
        <v>0</v>
      </c>
      <c r="CC168" s="72">
        <v>0</v>
      </c>
      <c r="CD168" s="72">
        <v>0</v>
      </c>
      <c r="CE168" s="72">
        <v>0</v>
      </c>
      <c r="CF168" s="72">
        <v>0</v>
      </c>
      <c r="CG168" s="72">
        <v>0</v>
      </c>
      <c r="CH168" s="72">
        <v>0</v>
      </c>
      <c r="CI168" s="72">
        <v>0</v>
      </c>
      <c r="CJ168" s="72">
        <v>0</v>
      </c>
      <c r="CK168" s="72">
        <v>0</v>
      </c>
      <c r="CL168" s="72">
        <v>0</v>
      </c>
      <c r="CM168" s="72">
        <v>0</v>
      </c>
      <c r="CN168" s="72">
        <v>0</v>
      </c>
      <c r="CO168" s="72">
        <v>0</v>
      </c>
      <c r="CP168" s="72">
        <v>0</v>
      </c>
      <c r="CQ168" s="72">
        <v>0</v>
      </c>
      <c r="CR168" s="72">
        <v>0</v>
      </c>
      <c r="CS168" s="72">
        <v>0</v>
      </c>
      <c r="CT168" s="72">
        <v>0</v>
      </c>
      <c r="CU168" s="72">
        <v>0</v>
      </c>
      <c r="CV168" s="72">
        <v>0</v>
      </c>
      <c r="CW168" s="72">
        <v>0</v>
      </c>
      <c r="CX168" s="72">
        <v>0</v>
      </c>
      <c r="CY168" s="72">
        <v>0</v>
      </c>
      <c r="CZ168" s="72">
        <v>0</v>
      </c>
      <c r="DA168" s="72">
        <v>0</v>
      </c>
      <c r="DB168" s="72">
        <v>0</v>
      </c>
      <c r="DC168" s="72">
        <v>0</v>
      </c>
      <c r="DD168" s="72">
        <v>0</v>
      </c>
      <c r="DE168" s="72">
        <v>0</v>
      </c>
      <c r="DF168" s="72">
        <v>0</v>
      </c>
      <c r="DG168" s="72">
        <v>0</v>
      </c>
      <c r="DH168" s="72">
        <v>0</v>
      </c>
      <c r="DI168" s="72">
        <v>0</v>
      </c>
      <c r="DJ168" s="72">
        <v>0</v>
      </c>
      <c r="DK168" s="72">
        <v>0</v>
      </c>
      <c r="DL168" s="72">
        <v>0</v>
      </c>
      <c r="DM168" s="72">
        <v>0</v>
      </c>
      <c r="DN168" s="72">
        <v>0</v>
      </c>
      <c r="DO168" s="72">
        <v>0</v>
      </c>
      <c r="DP168" s="72">
        <v>0</v>
      </c>
      <c r="DQ168" s="72">
        <v>0</v>
      </c>
      <c r="DR168" s="72">
        <v>0</v>
      </c>
      <c r="DS168" s="72">
        <v>0</v>
      </c>
      <c r="DT168" s="72">
        <v>0</v>
      </c>
      <c r="DU168" s="72">
        <v>0</v>
      </c>
      <c r="DV168" s="72">
        <v>0</v>
      </c>
      <c r="DW168" s="72">
        <v>0</v>
      </c>
      <c r="DX168" s="72">
        <v>0</v>
      </c>
      <c r="DY168" s="72">
        <v>0</v>
      </c>
      <c r="DZ168" s="72">
        <v>0</v>
      </c>
      <c r="EA168" s="72">
        <v>0</v>
      </c>
      <c r="EB168" s="72">
        <v>0</v>
      </c>
      <c r="EC168" s="72">
        <v>0</v>
      </c>
      <c r="ED168" s="72">
        <v>0</v>
      </c>
      <c r="EE168" s="72">
        <v>0</v>
      </c>
      <c r="EF168" s="72">
        <v>0</v>
      </c>
      <c r="EG168" s="72">
        <v>0</v>
      </c>
      <c r="EH168" s="72">
        <v>0</v>
      </c>
      <c r="EI168" s="72">
        <v>0</v>
      </c>
      <c r="EJ168" s="72">
        <v>0</v>
      </c>
      <c r="EK168" s="72">
        <v>0</v>
      </c>
      <c r="EL168" s="72">
        <v>0</v>
      </c>
    </row>
    <row r="169" spans="1:142" s="6" customFormat="1" x14ac:dyDescent="0.35">
      <c r="A169" s="59">
        <f>Данные!A169</f>
        <v>4858</v>
      </c>
      <c r="B169" s="59">
        <f>Данные!B169</f>
        <v>2018</v>
      </c>
      <c r="C169" s="59" t="str">
        <f>Данные!C169</f>
        <v>компьютерных технологий и электронного обучения</v>
      </c>
      <c r="D169" s="59" t="str">
        <f>Данные!D169</f>
        <v>Власова Елена Зотиковна</v>
      </c>
      <c r="E169" s="59" t="str">
        <f>Данные!E169</f>
        <v>доктор педагогических наук</v>
      </c>
      <c r="F169" s="59" t="str">
        <f>Данные!F169</f>
        <v>заведующий кафедрой</v>
      </c>
      <c r="G169" s="59">
        <f>Данные!G169</f>
        <v>1</v>
      </c>
      <c r="H169" s="59">
        <f>Данные!H169</f>
        <v>17232</v>
      </c>
      <c r="I169" s="59" t="str">
        <f>Данные!I169</f>
        <v>Модуль "Информационные технологии". Дисциплины и курсы по выбору. Прикладные информационные технологии</v>
      </c>
      <c r="J169" s="59">
        <f>Данные!J169</f>
        <v>14</v>
      </c>
      <c r="K169" s="59">
        <f>Данные!K169</f>
        <v>0</v>
      </c>
      <c r="L169" s="59">
        <f>Данные!L169</f>
        <v>0</v>
      </c>
      <c r="M169" s="60">
        <f t="shared" si="18"/>
        <v>1.4</v>
      </c>
      <c r="N169" s="60">
        <f t="shared" ca="1" si="19"/>
        <v>10.91</v>
      </c>
      <c r="O169" s="60">
        <f t="shared" ca="1" si="20"/>
        <v>6.75</v>
      </c>
      <c r="P169" s="60">
        <f t="shared" ca="1" si="21"/>
        <v>6.75</v>
      </c>
      <c r="Q169" s="54">
        <f>Данные!Q169</f>
        <v>0</v>
      </c>
      <c r="R169" s="54">
        <f>Данные!R169</f>
        <v>0</v>
      </c>
      <c r="S169" s="54">
        <f>Данные!S169</f>
        <v>0</v>
      </c>
      <c r="T169" s="54">
        <f>Данные!T169</f>
        <v>0</v>
      </c>
      <c r="U169" s="54">
        <f>Данные!U169</f>
        <v>0</v>
      </c>
      <c r="V169" s="54">
        <f>Данные!V169</f>
        <v>0</v>
      </c>
      <c r="W169" s="54">
        <f ca="1">Данные!W169</f>
        <v>27</v>
      </c>
      <c r="X169" s="54" t="str">
        <f ca="1">Данные!X169</f>
        <v>1</v>
      </c>
      <c r="Y169" s="54" t="str">
        <f ca="1">Данные!Y169</f>
        <v>2</v>
      </c>
      <c r="Z169" s="54">
        <f>Данные!Z169</f>
        <v>0</v>
      </c>
      <c r="AA169" s="54" t="str">
        <f>Данные!AA169</f>
        <v>доп</v>
      </c>
      <c r="AB169" s="101">
        <f t="shared" si="22"/>
        <v>700</v>
      </c>
      <c r="AC169" s="101" t="str">
        <f t="shared" si="23"/>
        <v>ИВТ (бак)</v>
      </c>
      <c r="AD169" s="101" t="str">
        <f t="shared" si="24"/>
        <v/>
      </c>
      <c r="AE169" s="102">
        <f t="shared" ca="1" si="25"/>
        <v>39.81</v>
      </c>
      <c r="AF169" s="103">
        <f t="shared" ca="1" si="26"/>
        <v>5.6871428571428573E-2</v>
      </c>
      <c r="AG169" s="101"/>
      <c r="AH169" s="101"/>
      <c r="AI169"/>
      <c r="BQ169" s="72">
        <v>0</v>
      </c>
      <c r="BR169" s="72">
        <v>0</v>
      </c>
      <c r="BS169" s="72">
        <v>0</v>
      </c>
      <c r="BT169" s="72">
        <v>0</v>
      </c>
      <c r="BU169" s="72">
        <v>0</v>
      </c>
      <c r="BV169" s="72">
        <v>0</v>
      </c>
      <c r="BW169" s="72">
        <v>0</v>
      </c>
      <c r="BX169" s="72">
        <v>0</v>
      </c>
      <c r="BY169" s="72">
        <v>0</v>
      </c>
      <c r="BZ169" s="72">
        <v>0</v>
      </c>
      <c r="CA169" s="72">
        <v>0</v>
      </c>
      <c r="CB169" s="72">
        <v>0</v>
      </c>
      <c r="CC169" s="72">
        <v>0</v>
      </c>
      <c r="CD169" s="72">
        <v>0</v>
      </c>
      <c r="CE169" s="72">
        <v>0</v>
      </c>
      <c r="CF169" s="72">
        <v>0</v>
      </c>
      <c r="CG169" s="72">
        <v>0</v>
      </c>
      <c r="CH169" s="72">
        <v>0</v>
      </c>
      <c r="CI169" s="72">
        <v>0</v>
      </c>
      <c r="CJ169" s="72">
        <v>0</v>
      </c>
      <c r="CK169" s="72">
        <v>0</v>
      </c>
      <c r="CL169" s="72">
        <v>0</v>
      </c>
      <c r="CM169" s="72">
        <v>0</v>
      </c>
      <c r="CN169" s="72">
        <v>0</v>
      </c>
      <c r="CO169" s="72">
        <v>0</v>
      </c>
      <c r="CP169" s="72">
        <v>0</v>
      </c>
      <c r="CQ169" s="72">
        <v>0</v>
      </c>
      <c r="CR169" s="72">
        <v>0</v>
      </c>
      <c r="CS169" s="72">
        <v>0</v>
      </c>
      <c r="CT169" s="72">
        <v>0</v>
      </c>
      <c r="CU169" s="72">
        <v>0</v>
      </c>
      <c r="CV169" s="72">
        <v>0</v>
      </c>
      <c r="CW169" s="72">
        <v>0</v>
      </c>
      <c r="CX169" s="72">
        <v>0</v>
      </c>
      <c r="CY169" s="72">
        <v>0</v>
      </c>
      <c r="CZ169" s="72">
        <v>0</v>
      </c>
      <c r="DA169" s="72">
        <v>0</v>
      </c>
      <c r="DB169" s="72">
        <v>0</v>
      </c>
      <c r="DC169" s="72">
        <v>0</v>
      </c>
      <c r="DD169" s="72">
        <v>0</v>
      </c>
      <c r="DE169" s="72">
        <v>0</v>
      </c>
      <c r="DF169" s="72">
        <v>0</v>
      </c>
      <c r="DG169" s="72">
        <v>0</v>
      </c>
      <c r="DH169" s="72">
        <v>0</v>
      </c>
      <c r="DI169" s="72">
        <v>0</v>
      </c>
      <c r="DJ169" s="72">
        <v>0</v>
      </c>
      <c r="DK169" s="72">
        <v>0</v>
      </c>
      <c r="DL169" s="72">
        <v>0</v>
      </c>
      <c r="DM169" s="72">
        <v>0</v>
      </c>
      <c r="DN169" s="72">
        <v>0</v>
      </c>
      <c r="DO169" s="72">
        <v>0</v>
      </c>
      <c r="DP169" s="72">
        <v>0</v>
      </c>
      <c r="DQ169" s="72">
        <v>0</v>
      </c>
      <c r="DR169" s="72">
        <v>0</v>
      </c>
      <c r="DS169" s="72">
        <v>0</v>
      </c>
      <c r="DT169" s="72">
        <v>0</v>
      </c>
      <c r="DU169" s="72">
        <v>0</v>
      </c>
      <c r="DV169" s="72">
        <v>0</v>
      </c>
      <c r="DW169" s="72">
        <v>0</v>
      </c>
      <c r="DX169" s="72">
        <v>0</v>
      </c>
      <c r="DY169" s="72">
        <v>0</v>
      </c>
      <c r="DZ169" s="72">
        <v>0</v>
      </c>
      <c r="EA169" s="72">
        <v>0</v>
      </c>
      <c r="EB169" s="72">
        <v>0</v>
      </c>
      <c r="EC169" s="72">
        <v>0</v>
      </c>
      <c r="ED169" s="72">
        <v>0</v>
      </c>
      <c r="EE169" s="72">
        <v>0</v>
      </c>
      <c r="EF169" s="72">
        <v>0</v>
      </c>
      <c r="EG169" s="72">
        <v>0</v>
      </c>
      <c r="EH169" s="72">
        <v>0</v>
      </c>
      <c r="EI169" s="72">
        <v>0</v>
      </c>
      <c r="EJ169" s="72">
        <v>0</v>
      </c>
      <c r="EK169" s="72">
        <v>0</v>
      </c>
      <c r="EL169" s="72">
        <v>0</v>
      </c>
    </row>
    <row r="170" spans="1:142" s="6" customFormat="1" x14ac:dyDescent="0.35">
      <c r="A170" s="59">
        <f>Данные!A170</f>
        <v>4858</v>
      </c>
      <c r="B170" s="59">
        <f>Данные!B170</f>
        <v>2018</v>
      </c>
      <c r="C170" s="59" t="str">
        <f>Данные!C170</f>
        <v>компьютерных технологий и электронного обучения</v>
      </c>
      <c r="D170" s="59" t="str">
        <f>Данные!D170</f>
        <v>Власова Елена Зотиковна</v>
      </c>
      <c r="E170" s="59" t="str">
        <f>Данные!E170</f>
        <v>доктор педагогических наук</v>
      </c>
      <c r="F170" s="59" t="str">
        <f>Данные!F170</f>
        <v>заведующий кафедрой</v>
      </c>
      <c r="G170" s="59">
        <f>Данные!G170</f>
        <v>1</v>
      </c>
      <c r="H170" s="59">
        <f>Данные!H170</f>
        <v>17232</v>
      </c>
      <c r="I170" s="59" t="str">
        <f>Данные!I170</f>
        <v>Модуль "Информационные технологии". Основы корпоративного электронного обучения</v>
      </c>
      <c r="J170" s="59">
        <f>Данные!J170</f>
        <v>6</v>
      </c>
      <c r="K170" s="59">
        <f>Данные!K170</f>
        <v>0</v>
      </c>
      <c r="L170" s="59">
        <f>Данные!L170</f>
        <v>0</v>
      </c>
      <c r="M170" s="60">
        <f t="shared" si="18"/>
        <v>0.6</v>
      </c>
      <c r="N170" s="60">
        <f t="shared" ca="1" si="19"/>
        <v>10.91</v>
      </c>
      <c r="O170" s="60">
        <f t="shared" ca="1" si="20"/>
        <v>6.75</v>
      </c>
      <c r="P170" s="60">
        <f t="shared" ca="1" si="21"/>
        <v>6.75</v>
      </c>
      <c r="Q170" s="54">
        <f>Данные!Q170</f>
        <v>0</v>
      </c>
      <c r="R170" s="54">
        <f>Данные!R170</f>
        <v>0</v>
      </c>
      <c r="S170" s="54">
        <f>Данные!S170</f>
        <v>0</v>
      </c>
      <c r="T170" s="54">
        <f>Данные!T170</f>
        <v>0</v>
      </c>
      <c r="U170" s="54">
        <f>Данные!U170</f>
        <v>0</v>
      </c>
      <c r="V170" s="54">
        <f>Данные!V170</f>
        <v>0</v>
      </c>
      <c r="W170" s="54">
        <f ca="1">Данные!W170</f>
        <v>27</v>
      </c>
      <c r="X170" s="54" t="str">
        <f ca="1">Данные!X170</f>
        <v>1</v>
      </c>
      <c r="Y170" s="54" t="str">
        <f ca="1">Данные!Y170</f>
        <v>2</v>
      </c>
      <c r="Z170" s="54">
        <f>Данные!Z170</f>
        <v>0</v>
      </c>
      <c r="AA170" s="54" t="str">
        <f>Данные!AA170</f>
        <v>доп</v>
      </c>
      <c r="AB170" s="101">
        <f t="shared" si="22"/>
        <v>700</v>
      </c>
      <c r="AC170" s="101" t="str">
        <f t="shared" si="23"/>
        <v>ИВТ (бак)</v>
      </c>
      <c r="AD170" s="101" t="str">
        <f t="shared" si="24"/>
        <v/>
      </c>
      <c r="AE170" s="102">
        <f t="shared" ca="1" si="25"/>
        <v>31.009999999999998</v>
      </c>
      <c r="AF170" s="103">
        <f t="shared" ca="1" si="26"/>
        <v>4.4299999999999999E-2</v>
      </c>
      <c r="AG170" s="101"/>
      <c r="AH170" s="101"/>
      <c r="AI170"/>
      <c r="BQ170" s="72">
        <v>0</v>
      </c>
      <c r="BR170" s="72">
        <v>0</v>
      </c>
      <c r="BS170" s="72">
        <v>0</v>
      </c>
      <c r="BT170" s="72">
        <v>0</v>
      </c>
      <c r="BU170" s="72">
        <v>0</v>
      </c>
      <c r="BV170" s="72">
        <v>0</v>
      </c>
      <c r="BW170" s="72">
        <v>0</v>
      </c>
      <c r="BX170" s="72">
        <v>0</v>
      </c>
      <c r="BY170" s="72">
        <v>0</v>
      </c>
      <c r="BZ170" s="72">
        <v>0</v>
      </c>
      <c r="CA170" s="72">
        <v>0</v>
      </c>
      <c r="CB170" s="72">
        <v>0</v>
      </c>
      <c r="CC170" s="72">
        <v>0</v>
      </c>
      <c r="CD170" s="72">
        <v>0</v>
      </c>
      <c r="CE170" s="72">
        <v>0</v>
      </c>
      <c r="CF170" s="72">
        <v>0</v>
      </c>
      <c r="CG170" s="72">
        <v>0</v>
      </c>
      <c r="CH170" s="72">
        <v>0</v>
      </c>
      <c r="CI170" s="72">
        <v>0</v>
      </c>
      <c r="CJ170" s="72">
        <v>0</v>
      </c>
      <c r="CK170" s="72">
        <v>0</v>
      </c>
      <c r="CL170" s="72">
        <v>0</v>
      </c>
      <c r="CM170" s="72">
        <v>0</v>
      </c>
      <c r="CN170" s="72">
        <v>0</v>
      </c>
      <c r="CO170" s="72">
        <v>0</v>
      </c>
      <c r="CP170" s="72">
        <v>0</v>
      </c>
      <c r="CQ170" s="72">
        <v>0</v>
      </c>
      <c r="CR170" s="72">
        <v>0</v>
      </c>
      <c r="CS170" s="72">
        <v>0</v>
      </c>
      <c r="CT170" s="72">
        <v>0</v>
      </c>
      <c r="CU170" s="72">
        <v>0</v>
      </c>
      <c r="CV170" s="72">
        <v>0</v>
      </c>
      <c r="CW170" s="72">
        <v>0</v>
      </c>
      <c r="CX170" s="72">
        <v>0</v>
      </c>
      <c r="CY170" s="72">
        <v>0</v>
      </c>
      <c r="CZ170" s="72">
        <v>0</v>
      </c>
      <c r="DA170" s="72">
        <v>0</v>
      </c>
      <c r="DB170" s="72">
        <v>0</v>
      </c>
      <c r="DC170" s="72">
        <v>0</v>
      </c>
      <c r="DD170" s="72">
        <v>0</v>
      </c>
      <c r="DE170" s="72">
        <v>0</v>
      </c>
      <c r="DF170" s="72">
        <v>0</v>
      </c>
      <c r="DG170" s="72">
        <v>0</v>
      </c>
      <c r="DH170" s="72">
        <v>0</v>
      </c>
      <c r="DI170" s="72">
        <v>0</v>
      </c>
      <c r="DJ170" s="72">
        <v>0</v>
      </c>
      <c r="DK170" s="72">
        <v>0</v>
      </c>
      <c r="DL170" s="72">
        <v>0</v>
      </c>
      <c r="DM170" s="72">
        <v>0</v>
      </c>
      <c r="DN170" s="72">
        <v>0</v>
      </c>
      <c r="DO170" s="72">
        <v>0</v>
      </c>
      <c r="DP170" s="72">
        <v>0</v>
      </c>
      <c r="DQ170" s="72">
        <v>0</v>
      </c>
      <c r="DR170" s="72">
        <v>0</v>
      </c>
      <c r="DS170" s="72">
        <v>0</v>
      </c>
      <c r="DT170" s="72">
        <v>0</v>
      </c>
      <c r="DU170" s="72">
        <v>0</v>
      </c>
      <c r="DV170" s="72">
        <v>0</v>
      </c>
      <c r="DW170" s="72">
        <v>0</v>
      </c>
      <c r="DX170" s="72">
        <v>0</v>
      </c>
      <c r="DY170" s="72">
        <v>0</v>
      </c>
      <c r="DZ170" s="72">
        <v>0</v>
      </c>
      <c r="EA170" s="72">
        <v>0</v>
      </c>
      <c r="EB170" s="72">
        <v>0</v>
      </c>
      <c r="EC170" s="72">
        <v>0</v>
      </c>
      <c r="ED170" s="72">
        <v>0</v>
      </c>
      <c r="EE170" s="72">
        <v>0</v>
      </c>
      <c r="EF170" s="72">
        <v>0</v>
      </c>
      <c r="EG170" s="72">
        <v>0</v>
      </c>
      <c r="EH170" s="72">
        <v>0</v>
      </c>
      <c r="EI170" s="72">
        <v>0</v>
      </c>
      <c r="EJ170" s="72">
        <v>0</v>
      </c>
      <c r="EK170" s="72">
        <v>0</v>
      </c>
      <c r="EL170" s="72">
        <v>0</v>
      </c>
    </row>
    <row r="171" spans="1:142" s="6" customFormat="1" x14ac:dyDescent="0.35">
      <c r="A171" s="59">
        <f>Данные!A171</f>
        <v>4858</v>
      </c>
      <c r="B171" s="59">
        <f>Данные!B171</f>
        <v>2018</v>
      </c>
      <c r="C171" s="59" t="str">
        <f>Данные!C171</f>
        <v>компьютерных технологий и электронного обучения</v>
      </c>
      <c r="D171" s="59" t="str">
        <f>Данные!D171</f>
        <v>Власова Елена Зотиковна</v>
      </c>
      <c r="E171" s="59" t="str">
        <f>Данные!E171</f>
        <v>доктор педагогических наук</v>
      </c>
      <c r="F171" s="59" t="str">
        <f>Данные!F171</f>
        <v>заведующий кафедрой</v>
      </c>
      <c r="G171" s="59">
        <f>Данные!G171</f>
        <v>1</v>
      </c>
      <c r="H171" s="59">
        <f>Данные!H171</f>
        <v>17232</v>
      </c>
      <c r="I171" s="59" t="str">
        <f>Данные!I171</f>
        <v>Подготовка к государственной итоговой аттестации</v>
      </c>
      <c r="J171" s="59">
        <f>Данные!J171</f>
        <v>10</v>
      </c>
      <c r="K171" s="59">
        <f>Данные!K171</f>
        <v>8</v>
      </c>
      <c r="L171" s="59">
        <f>Данные!L171</f>
        <v>0</v>
      </c>
      <c r="M171" s="60">
        <f t="shared" si="18"/>
        <v>1.8</v>
      </c>
      <c r="N171" s="60">
        <f t="shared" ca="1" si="19"/>
        <v>10.91</v>
      </c>
      <c r="O171" s="60">
        <f t="shared" ca="1" si="20"/>
        <v>6.75</v>
      </c>
      <c r="P171" s="60">
        <f t="shared" ca="1" si="21"/>
        <v>6.75</v>
      </c>
      <c r="Q171" s="54">
        <f>Данные!Q171</f>
        <v>0</v>
      </c>
      <c r="R171" s="54">
        <f>Данные!R171</f>
        <v>0</v>
      </c>
      <c r="S171" s="54">
        <f>Данные!S171</f>
        <v>0</v>
      </c>
      <c r="T171" s="54">
        <f>Данные!T171</f>
        <v>0</v>
      </c>
      <c r="U171" s="54">
        <f>Данные!U171</f>
        <v>0</v>
      </c>
      <c r="V171" s="54">
        <f>Данные!V171</f>
        <v>0</v>
      </c>
      <c r="W171" s="54">
        <f ca="1">Данные!W171</f>
        <v>27</v>
      </c>
      <c r="X171" s="54" t="str">
        <f ca="1">Данные!X171</f>
        <v>1</v>
      </c>
      <c r="Y171" s="54" t="str">
        <f ca="1">Данные!Y171</f>
        <v>2</v>
      </c>
      <c r="Z171" s="54">
        <f>Данные!Z171</f>
        <v>0</v>
      </c>
      <c r="AA171" s="54" t="str">
        <f>Данные!AA171</f>
        <v>осн</v>
      </c>
      <c r="AB171" s="101">
        <f t="shared" si="22"/>
        <v>700</v>
      </c>
      <c r="AC171" s="101" t="str">
        <f t="shared" si="23"/>
        <v>ИВТ (бак)</v>
      </c>
      <c r="AD171" s="101" t="str">
        <f t="shared" si="24"/>
        <v/>
      </c>
      <c r="AE171" s="102">
        <f t="shared" ca="1" si="25"/>
        <v>44.21</v>
      </c>
      <c r="AF171" s="103">
        <f t="shared" ca="1" si="26"/>
        <v>6.3157142857142856E-2</v>
      </c>
      <c r="AG171" s="101"/>
      <c r="AH171" s="101"/>
      <c r="AI171"/>
      <c r="BQ171" s="72">
        <v>0</v>
      </c>
      <c r="BR171" s="72">
        <v>0</v>
      </c>
      <c r="BS171" s="72">
        <v>0</v>
      </c>
      <c r="BT171" s="72">
        <v>0</v>
      </c>
      <c r="BU171" s="72">
        <v>0</v>
      </c>
      <c r="BV171" s="72">
        <v>0</v>
      </c>
      <c r="BW171" s="72">
        <v>0</v>
      </c>
      <c r="BX171" s="72">
        <v>0</v>
      </c>
      <c r="BY171" s="72">
        <v>0</v>
      </c>
      <c r="BZ171" s="72">
        <v>0</v>
      </c>
      <c r="CA171" s="72">
        <v>0</v>
      </c>
      <c r="CB171" s="72">
        <v>0</v>
      </c>
      <c r="CC171" s="72">
        <v>0</v>
      </c>
      <c r="CD171" s="72">
        <v>0</v>
      </c>
      <c r="CE171" s="72">
        <v>0</v>
      </c>
      <c r="CF171" s="72">
        <v>0</v>
      </c>
      <c r="CG171" s="72">
        <v>0</v>
      </c>
      <c r="CH171" s="72">
        <v>0</v>
      </c>
      <c r="CI171" s="72">
        <v>0</v>
      </c>
      <c r="CJ171" s="72">
        <v>0</v>
      </c>
      <c r="CK171" s="72">
        <v>0</v>
      </c>
      <c r="CL171" s="72">
        <v>0</v>
      </c>
      <c r="CM171" s="72">
        <v>0</v>
      </c>
      <c r="CN171" s="72">
        <v>0</v>
      </c>
      <c r="CO171" s="72">
        <v>0</v>
      </c>
      <c r="CP171" s="72">
        <v>0</v>
      </c>
      <c r="CQ171" s="72">
        <v>0</v>
      </c>
      <c r="CR171" s="72">
        <v>0</v>
      </c>
      <c r="CS171" s="72">
        <v>0</v>
      </c>
      <c r="CT171" s="72">
        <v>0</v>
      </c>
      <c r="CU171" s="72">
        <v>0</v>
      </c>
      <c r="CV171" s="72">
        <v>0</v>
      </c>
      <c r="CW171" s="72">
        <v>0</v>
      </c>
      <c r="CX171" s="72">
        <v>0</v>
      </c>
      <c r="CY171" s="72">
        <v>0</v>
      </c>
      <c r="CZ171" s="72">
        <v>0</v>
      </c>
      <c r="DA171" s="72">
        <v>0</v>
      </c>
      <c r="DB171" s="72">
        <v>0</v>
      </c>
      <c r="DC171" s="72">
        <v>0</v>
      </c>
      <c r="DD171" s="72">
        <v>0</v>
      </c>
      <c r="DE171" s="72">
        <v>0</v>
      </c>
      <c r="DF171" s="72">
        <v>0</v>
      </c>
      <c r="DG171" s="72">
        <v>0</v>
      </c>
      <c r="DH171" s="72">
        <v>0</v>
      </c>
      <c r="DI171" s="72">
        <v>0</v>
      </c>
      <c r="DJ171" s="72">
        <v>0</v>
      </c>
      <c r="DK171" s="72">
        <v>0</v>
      </c>
      <c r="DL171" s="72">
        <v>0</v>
      </c>
      <c r="DM171" s="72">
        <v>0</v>
      </c>
      <c r="DN171" s="72">
        <v>0</v>
      </c>
      <c r="DO171" s="72">
        <v>0</v>
      </c>
      <c r="DP171" s="72">
        <v>0</v>
      </c>
      <c r="DQ171" s="72">
        <v>0</v>
      </c>
      <c r="DR171" s="72">
        <v>0</v>
      </c>
      <c r="DS171" s="72">
        <v>0</v>
      </c>
      <c r="DT171" s="72">
        <v>0</v>
      </c>
      <c r="DU171" s="72">
        <v>0</v>
      </c>
      <c r="DV171" s="72">
        <v>0</v>
      </c>
      <c r="DW171" s="72">
        <v>0</v>
      </c>
      <c r="DX171" s="72">
        <v>0</v>
      </c>
      <c r="DY171" s="72">
        <v>0</v>
      </c>
      <c r="DZ171" s="72">
        <v>0</v>
      </c>
      <c r="EA171" s="72">
        <v>0</v>
      </c>
      <c r="EB171" s="72">
        <v>0</v>
      </c>
      <c r="EC171" s="72">
        <v>0</v>
      </c>
      <c r="ED171" s="72">
        <v>0</v>
      </c>
      <c r="EE171" s="72">
        <v>0</v>
      </c>
      <c r="EF171" s="72">
        <v>0</v>
      </c>
      <c r="EG171" s="72">
        <v>0</v>
      </c>
      <c r="EH171" s="72">
        <v>0</v>
      </c>
      <c r="EI171" s="72">
        <v>0</v>
      </c>
      <c r="EJ171" s="72">
        <v>0</v>
      </c>
      <c r="EK171" s="72">
        <v>0</v>
      </c>
      <c r="EL171" s="72">
        <v>0</v>
      </c>
    </row>
    <row r="172" spans="1:142" s="6" customFormat="1" x14ac:dyDescent="0.35">
      <c r="A172" s="59">
        <f>Данные!A172</f>
        <v>4858</v>
      </c>
      <c r="B172" s="59">
        <f>Данные!B172</f>
        <v>2017</v>
      </c>
      <c r="C172" s="59" t="str">
        <f>Данные!C172</f>
        <v>компьютерных технологий и электронного обучения</v>
      </c>
      <c r="D172" s="59" t="str">
        <f>Данные!D172</f>
        <v>Авксентьева Елена Юрьевна</v>
      </c>
      <c r="E172" s="59" t="str">
        <f>Данные!E172</f>
        <v>кандидат педагогических наук</v>
      </c>
      <c r="F172" s="59" t="str">
        <f>Данные!F172</f>
        <v>доцент</v>
      </c>
      <c r="G172" s="59">
        <f>Данные!G172</f>
        <v>1</v>
      </c>
      <c r="H172" s="59">
        <f>Данные!H172</f>
        <v>16002</v>
      </c>
      <c r="I172" s="59" t="str">
        <f>Данные!I172</f>
        <v>Программирование</v>
      </c>
      <c r="J172" s="59">
        <f>Данные!J172</f>
        <v>24</v>
      </c>
      <c r="K172" s="59">
        <f>Данные!K172</f>
        <v>0</v>
      </c>
      <c r="L172" s="59">
        <f>Данные!L172</f>
        <v>0</v>
      </c>
      <c r="M172" s="60">
        <f t="shared" si="18"/>
        <v>2.4</v>
      </c>
      <c r="N172" s="60">
        <f t="shared" ca="1" si="19"/>
        <v>10.91</v>
      </c>
      <c r="O172" s="60">
        <f t="shared" ca="1" si="20"/>
        <v>6.75</v>
      </c>
      <c r="P172" s="60">
        <f t="shared" ca="1" si="21"/>
        <v>6.75</v>
      </c>
      <c r="Q172" s="54">
        <f>Данные!Q172</f>
        <v>0</v>
      </c>
      <c r="R172" s="54">
        <f>Данные!R172</f>
        <v>0</v>
      </c>
      <c r="S172" s="54">
        <f>Данные!S172</f>
        <v>0</v>
      </c>
      <c r="T172" s="54">
        <f>Данные!T172</f>
        <v>0</v>
      </c>
      <c r="U172" s="54">
        <f>Данные!U172</f>
        <v>0</v>
      </c>
      <c r="V172" s="54">
        <f>Данные!V172</f>
        <v>0</v>
      </c>
      <c r="W172" s="54">
        <f ca="1">Данные!W172</f>
        <v>27</v>
      </c>
      <c r="X172" s="54" t="str">
        <f ca="1">Данные!X172</f>
        <v>1</v>
      </c>
      <c r="Y172" s="54" t="str">
        <f ca="1">Данные!Y172</f>
        <v>2</v>
      </c>
      <c r="Z172" s="54">
        <f>Данные!Z172</f>
        <v>0</v>
      </c>
      <c r="AA172" s="54" t="str">
        <f>Данные!AA172</f>
        <v>осн</v>
      </c>
      <c r="AB172" s="101">
        <f t="shared" si="22"/>
        <v>800</v>
      </c>
      <c r="AC172" s="101" t="str">
        <f t="shared" si="23"/>
        <v>ИВТ (бак)</v>
      </c>
      <c r="AD172" s="101" t="str">
        <f t="shared" si="24"/>
        <v/>
      </c>
      <c r="AE172" s="102">
        <f t="shared" ca="1" si="25"/>
        <v>50.81</v>
      </c>
      <c r="AF172" s="103">
        <f t="shared" ca="1" si="26"/>
        <v>6.35125E-2</v>
      </c>
      <c r="AG172" s="101"/>
      <c r="AH172" s="101"/>
      <c r="AI172"/>
      <c r="BQ172" s="72">
        <v>0</v>
      </c>
      <c r="BR172" s="72">
        <v>0</v>
      </c>
      <c r="BS172" s="72">
        <v>0</v>
      </c>
      <c r="BT172" s="72">
        <v>0</v>
      </c>
      <c r="BU172" s="72">
        <v>0</v>
      </c>
      <c r="BV172" s="72">
        <v>0</v>
      </c>
      <c r="BW172" s="72">
        <v>0</v>
      </c>
      <c r="BX172" s="72">
        <v>0</v>
      </c>
      <c r="BY172" s="72">
        <v>0</v>
      </c>
      <c r="BZ172" s="72">
        <v>0</v>
      </c>
      <c r="CA172" s="72">
        <v>0</v>
      </c>
      <c r="CB172" s="72">
        <v>0</v>
      </c>
      <c r="CC172" s="72">
        <v>0</v>
      </c>
      <c r="CD172" s="72">
        <v>0</v>
      </c>
      <c r="CE172" s="72">
        <v>0</v>
      </c>
      <c r="CF172" s="72">
        <v>0</v>
      </c>
      <c r="CG172" s="72">
        <v>0</v>
      </c>
      <c r="CH172" s="72">
        <v>0</v>
      </c>
      <c r="CI172" s="72">
        <v>0</v>
      </c>
      <c r="CJ172" s="72">
        <v>0</v>
      </c>
      <c r="CK172" s="72">
        <v>0</v>
      </c>
      <c r="CL172" s="72">
        <v>0</v>
      </c>
      <c r="CM172" s="72">
        <v>0</v>
      </c>
      <c r="CN172" s="72">
        <v>0</v>
      </c>
      <c r="CO172" s="72">
        <v>0</v>
      </c>
      <c r="CP172" s="72">
        <v>0</v>
      </c>
      <c r="CQ172" s="72">
        <v>0</v>
      </c>
      <c r="CR172" s="72">
        <v>0</v>
      </c>
      <c r="CS172" s="72">
        <v>0</v>
      </c>
      <c r="CT172" s="72">
        <v>0</v>
      </c>
      <c r="CU172" s="72">
        <v>0</v>
      </c>
      <c r="CV172" s="72">
        <v>0</v>
      </c>
      <c r="CW172" s="72">
        <v>0</v>
      </c>
      <c r="CX172" s="72">
        <v>0</v>
      </c>
      <c r="CY172" s="72">
        <v>0</v>
      </c>
      <c r="CZ172" s="72">
        <v>0</v>
      </c>
      <c r="DA172" s="72">
        <v>0</v>
      </c>
      <c r="DB172" s="72">
        <v>0</v>
      </c>
      <c r="DC172" s="72">
        <v>0</v>
      </c>
      <c r="DD172" s="72">
        <v>0</v>
      </c>
      <c r="DE172" s="72">
        <v>0</v>
      </c>
      <c r="DF172" s="72">
        <v>0</v>
      </c>
      <c r="DG172" s="72">
        <v>0</v>
      </c>
      <c r="DH172" s="72">
        <v>0</v>
      </c>
      <c r="DI172" s="72">
        <v>0</v>
      </c>
      <c r="DJ172" s="72">
        <v>0</v>
      </c>
      <c r="DK172" s="72">
        <v>0</v>
      </c>
      <c r="DL172" s="72">
        <v>0</v>
      </c>
      <c r="DM172" s="72">
        <v>0</v>
      </c>
      <c r="DN172" s="72">
        <v>0</v>
      </c>
      <c r="DO172" s="72">
        <v>0</v>
      </c>
      <c r="DP172" s="72">
        <v>0</v>
      </c>
      <c r="DQ172" s="72">
        <v>0</v>
      </c>
      <c r="DR172" s="72">
        <v>0</v>
      </c>
      <c r="DS172" s="72">
        <v>0</v>
      </c>
      <c r="DT172" s="72">
        <v>0</v>
      </c>
      <c r="DU172" s="72">
        <v>0</v>
      </c>
      <c r="DV172" s="72">
        <v>0</v>
      </c>
      <c r="DW172" s="72">
        <v>0</v>
      </c>
      <c r="DX172" s="72">
        <v>0</v>
      </c>
      <c r="DY172" s="72">
        <v>0</v>
      </c>
      <c r="DZ172" s="72">
        <v>0</v>
      </c>
      <c r="EA172" s="72">
        <v>0</v>
      </c>
      <c r="EB172" s="72">
        <v>0</v>
      </c>
      <c r="EC172" s="72">
        <v>0</v>
      </c>
      <c r="ED172" s="72">
        <v>0</v>
      </c>
      <c r="EE172" s="72">
        <v>0</v>
      </c>
      <c r="EF172" s="72">
        <v>0</v>
      </c>
      <c r="EG172" s="72">
        <v>0</v>
      </c>
      <c r="EH172" s="72">
        <v>0</v>
      </c>
      <c r="EI172" s="72">
        <v>0</v>
      </c>
      <c r="EJ172" s="72">
        <v>0</v>
      </c>
      <c r="EK172" s="72">
        <v>0</v>
      </c>
      <c r="EL172" s="72">
        <v>0</v>
      </c>
    </row>
    <row r="173" spans="1:142" s="6" customFormat="1" x14ac:dyDescent="0.35">
      <c r="A173" s="59">
        <f>Данные!A173</f>
        <v>4858</v>
      </c>
      <c r="B173" s="59">
        <f>Данные!B173</f>
        <v>2018</v>
      </c>
      <c r="C173" s="59" t="str">
        <f>Данные!C173</f>
        <v>компьютерных технологий и электронного обучения</v>
      </c>
      <c r="D173" s="59" t="str">
        <f>Данные!D173</f>
        <v>Государев Илья Борисович</v>
      </c>
      <c r="E173" s="59" t="str">
        <f>Данные!E173</f>
        <v>кандидат педагогических наук</v>
      </c>
      <c r="F173" s="59" t="str">
        <f>Данные!F173</f>
        <v>доцент</v>
      </c>
      <c r="G173" s="59">
        <f>Данные!G173</f>
        <v>1</v>
      </c>
      <c r="H173" s="59">
        <f>Данные!H173</f>
        <v>17232</v>
      </c>
      <c r="I173" s="59" t="str">
        <f>Данные!I173</f>
        <v>Программирование</v>
      </c>
      <c r="J173" s="59">
        <f>Данные!J173</f>
        <v>54</v>
      </c>
      <c r="K173" s="59">
        <f>Данные!K173</f>
        <v>0</v>
      </c>
      <c r="L173" s="59">
        <f>Данные!L173</f>
        <v>0</v>
      </c>
      <c r="M173" s="60">
        <f t="shared" si="18"/>
        <v>5.4</v>
      </c>
      <c r="N173" s="60">
        <f t="shared" ca="1" si="19"/>
        <v>10.91</v>
      </c>
      <c r="O173" s="60">
        <f t="shared" ca="1" si="20"/>
        <v>6.75</v>
      </c>
      <c r="P173" s="60">
        <f t="shared" ca="1" si="21"/>
        <v>6.75</v>
      </c>
      <c r="Q173" s="54">
        <f>Данные!Q173</f>
        <v>0</v>
      </c>
      <c r="R173" s="54">
        <f>Данные!R173</f>
        <v>0</v>
      </c>
      <c r="S173" s="54">
        <f>Данные!S173</f>
        <v>0</v>
      </c>
      <c r="T173" s="54">
        <f>Данные!T173</f>
        <v>0</v>
      </c>
      <c r="U173" s="54">
        <f>Данные!U173</f>
        <v>0</v>
      </c>
      <c r="V173" s="54">
        <f>Данные!V173</f>
        <v>0</v>
      </c>
      <c r="W173" s="54">
        <f ca="1">Данные!W173</f>
        <v>27</v>
      </c>
      <c r="X173" s="54" t="str">
        <f ca="1">Данные!X173</f>
        <v>1</v>
      </c>
      <c r="Y173" s="54" t="str">
        <f ca="1">Данные!Y173</f>
        <v>2</v>
      </c>
      <c r="Z173" s="54">
        <f>Данные!Z173</f>
        <v>0</v>
      </c>
      <c r="AA173" s="54" t="str">
        <f>Данные!AA173</f>
        <v>осн</v>
      </c>
      <c r="AB173" s="101">
        <f t="shared" si="22"/>
        <v>800</v>
      </c>
      <c r="AC173" s="101" t="str">
        <f t="shared" si="23"/>
        <v>ИВТ (бак)</v>
      </c>
      <c r="AD173" s="101" t="str">
        <f t="shared" si="24"/>
        <v/>
      </c>
      <c r="AE173" s="102">
        <f t="shared" ca="1" si="25"/>
        <v>83.81</v>
      </c>
      <c r="AF173" s="103">
        <f t="shared" ca="1" si="26"/>
        <v>0.10476250000000001</v>
      </c>
      <c r="AG173" s="101"/>
      <c r="AH173" s="101"/>
      <c r="AI173"/>
      <c r="BQ173" s="72">
        <v>0</v>
      </c>
      <c r="BR173" s="72">
        <v>0</v>
      </c>
      <c r="BS173" s="72">
        <v>0</v>
      </c>
      <c r="BT173" s="72">
        <v>0</v>
      </c>
      <c r="BU173" s="72">
        <v>0</v>
      </c>
      <c r="BV173" s="72">
        <v>0</v>
      </c>
      <c r="BW173" s="72">
        <v>0</v>
      </c>
      <c r="BX173" s="72">
        <v>0</v>
      </c>
      <c r="BY173" s="72">
        <v>0</v>
      </c>
      <c r="BZ173" s="72">
        <v>0</v>
      </c>
      <c r="CA173" s="72">
        <v>0</v>
      </c>
      <c r="CB173" s="72">
        <v>0</v>
      </c>
      <c r="CC173" s="72">
        <v>0</v>
      </c>
      <c r="CD173" s="72">
        <v>0</v>
      </c>
      <c r="CE173" s="72">
        <v>0</v>
      </c>
      <c r="CF173" s="72">
        <v>0</v>
      </c>
      <c r="CG173" s="72">
        <v>0</v>
      </c>
      <c r="CH173" s="72">
        <v>0</v>
      </c>
      <c r="CI173" s="72">
        <v>0</v>
      </c>
      <c r="CJ173" s="72">
        <v>0</v>
      </c>
      <c r="CK173" s="72">
        <v>0</v>
      </c>
      <c r="CL173" s="72">
        <v>0</v>
      </c>
      <c r="CM173" s="72">
        <v>0</v>
      </c>
      <c r="CN173" s="72">
        <v>0</v>
      </c>
      <c r="CO173" s="72">
        <v>0</v>
      </c>
      <c r="CP173" s="72">
        <v>0</v>
      </c>
      <c r="CQ173" s="72">
        <v>0</v>
      </c>
      <c r="CR173" s="72">
        <v>0</v>
      </c>
      <c r="CS173" s="72">
        <v>0</v>
      </c>
      <c r="CT173" s="72">
        <v>0</v>
      </c>
      <c r="CU173" s="72">
        <v>0</v>
      </c>
      <c r="CV173" s="72">
        <v>0</v>
      </c>
      <c r="CW173" s="72">
        <v>0</v>
      </c>
      <c r="CX173" s="72">
        <v>0</v>
      </c>
      <c r="CY173" s="72">
        <v>0</v>
      </c>
      <c r="CZ173" s="72">
        <v>0</v>
      </c>
      <c r="DA173" s="72">
        <v>0</v>
      </c>
      <c r="DB173" s="72">
        <v>0</v>
      </c>
      <c r="DC173" s="72">
        <v>0</v>
      </c>
      <c r="DD173" s="72">
        <v>0</v>
      </c>
      <c r="DE173" s="72">
        <v>0</v>
      </c>
      <c r="DF173" s="72">
        <v>0</v>
      </c>
      <c r="DG173" s="72">
        <v>0</v>
      </c>
      <c r="DH173" s="72">
        <v>0</v>
      </c>
      <c r="DI173" s="72">
        <v>0</v>
      </c>
      <c r="DJ173" s="72">
        <v>0</v>
      </c>
      <c r="DK173" s="72">
        <v>0</v>
      </c>
      <c r="DL173" s="72">
        <v>0</v>
      </c>
      <c r="DM173" s="72">
        <v>0</v>
      </c>
      <c r="DN173" s="72">
        <v>0</v>
      </c>
      <c r="DO173" s="72">
        <v>0</v>
      </c>
      <c r="DP173" s="72">
        <v>0</v>
      </c>
      <c r="DQ173" s="72">
        <v>0</v>
      </c>
      <c r="DR173" s="72">
        <v>0</v>
      </c>
      <c r="DS173" s="72">
        <v>0</v>
      </c>
      <c r="DT173" s="72">
        <v>0</v>
      </c>
      <c r="DU173" s="72">
        <v>0</v>
      </c>
      <c r="DV173" s="72">
        <v>0</v>
      </c>
      <c r="DW173" s="72">
        <v>0</v>
      </c>
      <c r="DX173" s="72">
        <v>0</v>
      </c>
      <c r="DY173" s="72">
        <v>0</v>
      </c>
      <c r="DZ173" s="72">
        <v>0</v>
      </c>
      <c r="EA173" s="72">
        <v>0</v>
      </c>
      <c r="EB173" s="72">
        <v>0</v>
      </c>
      <c r="EC173" s="72">
        <v>0</v>
      </c>
      <c r="ED173" s="72">
        <v>0</v>
      </c>
      <c r="EE173" s="72">
        <v>0</v>
      </c>
      <c r="EF173" s="72">
        <v>0</v>
      </c>
      <c r="EG173" s="72">
        <v>0</v>
      </c>
      <c r="EH173" s="72">
        <v>0</v>
      </c>
      <c r="EI173" s="72">
        <v>0</v>
      </c>
      <c r="EJ173" s="72">
        <v>0</v>
      </c>
      <c r="EK173" s="72">
        <v>0</v>
      </c>
      <c r="EL173" s="72">
        <v>0</v>
      </c>
    </row>
    <row r="174" spans="1:142" s="6" customFormat="1" x14ac:dyDescent="0.35">
      <c r="A174" s="59">
        <f>Данные!A174</f>
        <v>4858</v>
      </c>
      <c r="B174" s="59">
        <f>Данные!B174</f>
        <v>2018</v>
      </c>
      <c r="C174" s="59" t="str">
        <f>Данные!C174</f>
        <v>компьютерных технологий и электронного обучения</v>
      </c>
      <c r="D174" s="59" t="str">
        <f>Данные!D174</f>
        <v>Жуков Николай Николаевич</v>
      </c>
      <c r="E174" s="59" t="str">
        <f>Данные!E174</f>
        <v>нет</v>
      </c>
      <c r="F174" s="59" t="str">
        <f>Данные!F174</f>
        <v>ассистент</v>
      </c>
      <c r="G174" s="59">
        <f>Данные!G174</f>
        <v>1</v>
      </c>
      <c r="H174" s="59">
        <f>Данные!H174</f>
        <v>17232</v>
      </c>
      <c r="I174" s="59" t="str">
        <f>Данные!I174</f>
        <v>Программирование</v>
      </c>
      <c r="J174" s="59">
        <f>Данные!J174</f>
        <v>0</v>
      </c>
      <c r="K174" s="59">
        <f>Данные!K174</f>
        <v>0</v>
      </c>
      <c r="L174" s="59">
        <f>Данные!L174</f>
        <v>180</v>
      </c>
      <c r="M174" s="60">
        <f t="shared" si="18"/>
        <v>18</v>
      </c>
      <c r="N174" s="60">
        <f t="shared" ca="1" si="19"/>
        <v>10.91</v>
      </c>
      <c r="O174" s="60">
        <f t="shared" ca="1" si="20"/>
        <v>6.75</v>
      </c>
      <c r="P174" s="60">
        <f t="shared" ca="1" si="21"/>
        <v>6.75</v>
      </c>
      <c r="Q174" s="54">
        <f>Данные!Q174</f>
        <v>0</v>
      </c>
      <c r="R174" s="54">
        <f>Данные!R174</f>
        <v>0</v>
      </c>
      <c r="S174" s="54">
        <f>Данные!S174</f>
        <v>0</v>
      </c>
      <c r="T174" s="54">
        <f>Данные!T174</f>
        <v>0</v>
      </c>
      <c r="U174" s="54">
        <f>Данные!U174</f>
        <v>0</v>
      </c>
      <c r="V174" s="54">
        <f>Данные!V174</f>
        <v>0</v>
      </c>
      <c r="W174" s="54">
        <f ca="1">Данные!W174</f>
        <v>27</v>
      </c>
      <c r="X174" s="54" t="str">
        <f ca="1">Данные!X174</f>
        <v>1</v>
      </c>
      <c r="Y174" s="54" t="str">
        <f ca="1">Данные!Y174</f>
        <v>2</v>
      </c>
      <c r="Z174" s="54">
        <f>Данные!Z174</f>
        <v>0</v>
      </c>
      <c r="AA174" s="54">
        <f>Данные!AA174</f>
        <v>0</v>
      </c>
      <c r="AB174" s="101">
        <f t="shared" si="22"/>
        <v>900</v>
      </c>
      <c r="AC174" s="101" t="str">
        <f t="shared" si="23"/>
        <v>ИВТ (бак)</v>
      </c>
      <c r="AD174" s="101" t="str">
        <f t="shared" si="24"/>
        <v/>
      </c>
      <c r="AE174" s="102">
        <f t="shared" ca="1" si="25"/>
        <v>222.41</v>
      </c>
      <c r="AF174" s="103">
        <f t="shared" ca="1" si="26"/>
        <v>0.24712222222222222</v>
      </c>
      <c r="AG174" s="101"/>
      <c r="AH174" s="101"/>
      <c r="AI174"/>
      <c r="BQ174" s="72">
        <v>0</v>
      </c>
      <c r="BR174" s="72">
        <v>0</v>
      </c>
      <c r="BS174" s="72">
        <v>0</v>
      </c>
      <c r="BT174" s="72">
        <v>0</v>
      </c>
      <c r="BU174" s="72">
        <v>0</v>
      </c>
      <c r="BV174" s="72">
        <v>0</v>
      </c>
      <c r="BW174" s="72">
        <v>0</v>
      </c>
      <c r="BX174" s="72">
        <v>0</v>
      </c>
      <c r="BY174" s="72">
        <v>0</v>
      </c>
      <c r="BZ174" s="72">
        <v>0</v>
      </c>
      <c r="CA174" s="72">
        <v>0</v>
      </c>
      <c r="CB174" s="72">
        <v>0</v>
      </c>
      <c r="CC174" s="72">
        <v>0</v>
      </c>
      <c r="CD174" s="72">
        <v>0</v>
      </c>
      <c r="CE174" s="72">
        <v>0</v>
      </c>
      <c r="CF174" s="72">
        <v>0</v>
      </c>
      <c r="CG174" s="72">
        <v>0</v>
      </c>
      <c r="CH174" s="72">
        <v>0</v>
      </c>
      <c r="CI174" s="72">
        <v>0</v>
      </c>
      <c r="CJ174" s="72">
        <v>0</v>
      </c>
      <c r="CK174" s="72">
        <v>0</v>
      </c>
      <c r="CL174" s="72">
        <v>0</v>
      </c>
      <c r="CM174" s="72">
        <v>0</v>
      </c>
      <c r="CN174" s="72">
        <v>0</v>
      </c>
      <c r="CO174" s="72">
        <v>0</v>
      </c>
      <c r="CP174" s="72">
        <v>0</v>
      </c>
      <c r="CQ174" s="72">
        <v>0</v>
      </c>
      <c r="CR174" s="72">
        <v>0</v>
      </c>
      <c r="CS174" s="72">
        <v>0</v>
      </c>
      <c r="CT174" s="72">
        <v>0</v>
      </c>
      <c r="CU174" s="72">
        <v>0</v>
      </c>
      <c r="CV174" s="72">
        <v>0</v>
      </c>
      <c r="CW174" s="72">
        <v>0</v>
      </c>
      <c r="CX174" s="72">
        <v>0</v>
      </c>
      <c r="CY174" s="72">
        <v>0</v>
      </c>
      <c r="CZ174" s="72">
        <v>0</v>
      </c>
      <c r="DA174" s="72">
        <v>0</v>
      </c>
      <c r="DB174" s="72">
        <v>0</v>
      </c>
      <c r="DC174" s="72">
        <v>0</v>
      </c>
      <c r="DD174" s="72">
        <v>0</v>
      </c>
      <c r="DE174" s="72">
        <v>0</v>
      </c>
      <c r="DF174" s="72">
        <v>0</v>
      </c>
      <c r="DG174" s="72">
        <v>0</v>
      </c>
      <c r="DH174" s="72">
        <v>0</v>
      </c>
      <c r="DI174" s="72">
        <v>0</v>
      </c>
      <c r="DJ174" s="72">
        <v>0</v>
      </c>
      <c r="DK174" s="72">
        <v>0</v>
      </c>
      <c r="DL174" s="72">
        <v>0</v>
      </c>
      <c r="DM174" s="72">
        <v>0</v>
      </c>
      <c r="DN174" s="72">
        <v>0</v>
      </c>
      <c r="DO174" s="72">
        <v>0</v>
      </c>
      <c r="DP174" s="72">
        <v>0</v>
      </c>
      <c r="DQ174" s="72">
        <v>0</v>
      </c>
      <c r="DR174" s="72">
        <v>0</v>
      </c>
      <c r="DS174" s="72">
        <v>0</v>
      </c>
      <c r="DT174" s="72">
        <v>0</v>
      </c>
      <c r="DU174" s="72">
        <v>0</v>
      </c>
      <c r="DV174" s="72">
        <v>0</v>
      </c>
      <c r="DW174" s="72">
        <v>0</v>
      </c>
      <c r="DX174" s="72">
        <v>0</v>
      </c>
      <c r="DY174" s="72">
        <v>0</v>
      </c>
      <c r="DZ174" s="72">
        <v>0</v>
      </c>
      <c r="EA174" s="72">
        <v>0</v>
      </c>
      <c r="EB174" s="72">
        <v>0</v>
      </c>
      <c r="EC174" s="72">
        <v>0</v>
      </c>
      <c r="ED174" s="72">
        <v>0</v>
      </c>
      <c r="EE174" s="72">
        <v>0</v>
      </c>
      <c r="EF174" s="72">
        <v>0</v>
      </c>
      <c r="EG174" s="72">
        <v>0</v>
      </c>
      <c r="EH174" s="72">
        <v>0</v>
      </c>
      <c r="EI174" s="72">
        <v>0</v>
      </c>
      <c r="EJ174" s="72">
        <v>0</v>
      </c>
      <c r="EK174" s="72">
        <v>0</v>
      </c>
      <c r="EL174" s="72">
        <v>0</v>
      </c>
    </row>
    <row r="175" spans="1:142" s="6" customFormat="1" x14ac:dyDescent="0.35">
      <c r="A175" s="59">
        <f>Данные!A175</f>
        <v>4858</v>
      </c>
      <c r="B175" s="59">
        <f>Данные!B175</f>
        <v>2018</v>
      </c>
      <c r="C175" s="59" t="str">
        <f>Данные!C175</f>
        <v>компьютерных технологий и электронного обучения</v>
      </c>
      <c r="D175" s="59" t="str">
        <f>Данные!D175</f>
        <v>Жуков Николай Николаевич</v>
      </c>
      <c r="E175" s="59" t="str">
        <f>Данные!E175</f>
        <v>нет</v>
      </c>
      <c r="F175" s="59" t="str">
        <f>Данные!F175</f>
        <v>ассистент</v>
      </c>
      <c r="G175" s="59">
        <f>Данные!G175</f>
        <v>1</v>
      </c>
      <c r="H175" s="59">
        <f>Данные!H175</f>
        <v>17232</v>
      </c>
      <c r="I175" s="59" t="str">
        <f>Данные!I175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175" s="59">
        <f>Данные!J175</f>
        <v>0</v>
      </c>
      <c r="K175" s="59">
        <f>Данные!K175</f>
        <v>0</v>
      </c>
      <c r="L175" s="59">
        <f>Данные!L175</f>
        <v>0</v>
      </c>
      <c r="M175" s="60">
        <f t="shared" si="18"/>
        <v>0</v>
      </c>
      <c r="N175" s="60">
        <f t="shared" ca="1" si="19"/>
        <v>10.91</v>
      </c>
      <c r="O175" s="60">
        <f t="shared" ca="1" si="20"/>
        <v>6.75</v>
      </c>
      <c r="P175" s="60">
        <f t="shared" ca="1" si="21"/>
        <v>6.75</v>
      </c>
      <c r="Q175" s="54">
        <f>Данные!Q175</f>
        <v>0</v>
      </c>
      <c r="R175" s="54">
        <f>Данные!R175</f>
        <v>0</v>
      </c>
      <c r="S175" s="54">
        <f>Данные!S175</f>
        <v>0</v>
      </c>
      <c r="T175" s="54">
        <f>Данные!T175</f>
        <v>0</v>
      </c>
      <c r="U175" s="54">
        <f>Данные!U175</f>
        <v>20</v>
      </c>
      <c r="V175" s="54">
        <f>Данные!V175</f>
        <v>0</v>
      </c>
      <c r="W175" s="54">
        <f ca="1">Данные!W175</f>
        <v>27</v>
      </c>
      <c r="X175" s="54" t="str">
        <f ca="1">Данные!X175</f>
        <v>1</v>
      </c>
      <c r="Y175" s="54" t="str">
        <f ca="1">Данные!Y175</f>
        <v>2</v>
      </c>
      <c r="Z175" s="54">
        <f>Данные!Z175</f>
        <v>0</v>
      </c>
      <c r="AA175" s="54">
        <f>Данные!AA175</f>
        <v>0</v>
      </c>
      <c r="AB175" s="101">
        <f t="shared" si="22"/>
        <v>900</v>
      </c>
      <c r="AC175" s="101" t="str">
        <f t="shared" si="23"/>
        <v>ИВТ (бак)</v>
      </c>
      <c r="AD175" s="101" t="str">
        <f t="shared" si="24"/>
        <v/>
      </c>
      <c r="AE175" s="102">
        <f t="shared" ca="1" si="25"/>
        <v>44.41</v>
      </c>
      <c r="AF175" s="103">
        <f t="shared" ca="1" si="26"/>
        <v>4.9344444444444441E-2</v>
      </c>
      <c r="AG175" s="101"/>
      <c r="AH175" s="101"/>
      <c r="AI175"/>
      <c r="BQ175" s="72">
        <v>0</v>
      </c>
      <c r="BR175" s="72">
        <v>0</v>
      </c>
      <c r="BS175" s="72">
        <v>0</v>
      </c>
      <c r="BT175" s="72">
        <v>0</v>
      </c>
      <c r="BU175" s="72">
        <v>0</v>
      </c>
      <c r="BV175" s="72">
        <v>0</v>
      </c>
      <c r="BW175" s="72">
        <v>0</v>
      </c>
      <c r="BX175" s="72">
        <v>0</v>
      </c>
      <c r="BY175" s="72">
        <v>0</v>
      </c>
      <c r="BZ175" s="72">
        <v>0</v>
      </c>
      <c r="CA175" s="72">
        <v>0</v>
      </c>
      <c r="CB175" s="72">
        <v>0</v>
      </c>
      <c r="CC175" s="72">
        <v>0</v>
      </c>
      <c r="CD175" s="72">
        <v>0</v>
      </c>
      <c r="CE175" s="72">
        <v>0</v>
      </c>
      <c r="CF175" s="72">
        <v>0</v>
      </c>
      <c r="CG175" s="72">
        <v>0</v>
      </c>
      <c r="CH175" s="72">
        <v>0</v>
      </c>
      <c r="CI175" s="72">
        <v>0</v>
      </c>
      <c r="CJ175" s="72">
        <v>0</v>
      </c>
      <c r="CK175" s="72">
        <v>0</v>
      </c>
      <c r="CL175" s="72">
        <v>0</v>
      </c>
      <c r="CM175" s="72">
        <v>0</v>
      </c>
      <c r="CN175" s="72">
        <v>0</v>
      </c>
      <c r="CO175" s="72">
        <v>0</v>
      </c>
      <c r="CP175" s="72">
        <v>0</v>
      </c>
      <c r="CQ175" s="72">
        <v>0</v>
      </c>
      <c r="CR175" s="72">
        <v>0</v>
      </c>
      <c r="CS175" s="72">
        <v>0</v>
      </c>
      <c r="CT175" s="72">
        <v>0</v>
      </c>
      <c r="CU175" s="72">
        <v>0</v>
      </c>
      <c r="CV175" s="72">
        <v>0</v>
      </c>
      <c r="CW175" s="72">
        <v>0</v>
      </c>
      <c r="CX175" s="72">
        <v>0</v>
      </c>
      <c r="CY175" s="72">
        <v>0</v>
      </c>
      <c r="CZ175" s="72">
        <v>0</v>
      </c>
      <c r="DA175" s="72">
        <v>0</v>
      </c>
      <c r="DB175" s="72">
        <v>0</v>
      </c>
      <c r="DC175" s="72">
        <v>0</v>
      </c>
      <c r="DD175" s="72">
        <v>0</v>
      </c>
      <c r="DE175" s="72">
        <v>0</v>
      </c>
      <c r="DF175" s="72">
        <v>0</v>
      </c>
      <c r="DG175" s="72">
        <v>0</v>
      </c>
      <c r="DH175" s="72">
        <v>0</v>
      </c>
      <c r="DI175" s="72">
        <v>0</v>
      </c>
      <c r="DJ175" s="72">
        <v>0</v>
      </c>
      <c r="DK175" s="72">
        <v>0</v>
      </c>
      <c r="DL175" s="72">
        <v>0</v>
      </c>
      <c r="DM175" s="72">
        <v>0</v>
      </c>
      <c r="DN175" s="72">
        <v>0</v>
      </c>
      <c r="DO175" s="72">
        <v>0</v>
      </c>
      <c r="DP175" s="72">
        <v>0</v>
      </c>
      <c r="DQ175" s="72">
        <v>0</v>
      </c>
      <c r="DR175" s="72">
        <v>0</v>
      </c>
      <c r="DS175" s="72">
        <v>0</v>
      </c>
      <c r="DT175" s="72">
        <v>0</v>
      </c>
      <c r="DU175" s="72">
        <v>0</v>
      </c>
      <c r="DV175" s="72">
        <v>0</v>
      </c>
      <c r="DW175" s="72">
        <v>0</v>
      </c>
      <c r="DX175" s="72">
        <v>0</v>
      </c>
      <c r="DY175" s="72">
        <v>0</v>
      </c>
      <c r="DZ175" s="72">
        <v>0</v>
      </c>
      <c r="EA175" s="72">
        <v>0</v>
      </c>
      <c r="EB175" s="72">
        <v>0</v>
      </c>
      <c r="EC175" s="72">
        <v>0</v>
      </c>
      <c r="ED175" s="72">
        <v>0</v>
      </c>
      <c r="EE175" s="72">
        <v>0</v>
      </c>
      <c r="EF175" s="72">
        <v>0</v>
      </c>
      <c r="EG175" s="72">
        <v>0</v>
      </c>
      <c r="EH175" s="72">
        <v>0</v>
      </c>
      <c r="EI175" s="72">
        <v>0</v>
      </c>
      <c r="EJ175" s="72">
        <v>0</v>
      </c>
      <c r="EK175" s="72">
        <v>0</v>
      </c>
      <c r="EL175" s="72">
        <v>0</v>
      </c>
    </row>
    <row r="176" spans="1:142" s="6" customFormat="1" x14ac:dyDescent="0.35">
      <c r="A176" s="59">
        <f>Данные!A176</f>
        <v>4858</v>
      </c>
      <c r="B176" s="59">
        <f>Данные!B176</f>
        <v>2018</v>
      </c>
      <c r="C176" s="59" t="str">
        <f>Данные!C176</f>
        <v>компьютерных технологий и электронного обучения</v>
      </c>
      <c r="D176" s="59" t="str">
        <f>Данные!D176</f>
        <v>Жуков Николай Николаевич</v>
      </c>
      <c r="E176" s="59" t="str">
        <f>Данные!E176</f>
        <v>нет</v>
      </c>
      <c r="F176" s="59" t="str">
        <f>Данные!F176</f>
        <v>ассистент</v>
      </c>
      <c r="G176" s="59">
        <f>Данные!G176</f>
        <v>1</v>
      </c>
      <c r="H176" s="59">
        <f>Данные!H176</f>
        <v>17232</v>
      </c>
      <c r="I176" s="59" t="str">
        <f>Данные!I176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176" s="59">
        <f>Данные!J176</f>
        <v>0</v>
      </c>
      <c r="K176" s="59">
        <f>Данные!K176</f>
        <v>0</v>
      </c>
      <c r="L176" s="59">
        <f>Данные!L176</f>
        <v>0</v>
      </c>
      <c r="M176" s="60">
        <f t="shared" si="18"/>
        <v>0</v>
      </c>
      <c r="N176" s="60">
        <f t="shared" ca="1" si="19"/>
        <v>10.91</v>
      </c>
      <c r="O176" s="60">
        <f t="shared" ca="1" si="20"/>
        <v>6.75</v>
      </c>
      <c r="P176" s="60">
        <f t="shared" ca="1" si="21"/>
        <v>6.75</v>
      </c>
      <c r="Q176" s="54">
        <f>Данные!Q176</f>
        <v>0</v>
      </c>
      <c r="R176" s="54">
        <f>Данные!R176</f>
        <v>0</v>
      </c>
      <c r="S176" s="54">
        <f>Данные!S176</f>
        <v>0</v>
      </c>
      <c r="T176" s="54">
        <f>Данные!T176</f>
        <v>0</v>
      </c>
      <c r="U176" s="54">
        <f>Данные!U176</f>
        <v>33</v>
      </c>
      <c r="V176" s="54">
        <f>Данные!V176</f>
        <v>0</v>
      </c>
      <c r="W176" s="54">
        <f ca="1">Данные!W176</f>
        <v>27</v>
      </c>
      <c r="X176" s="54" t="str">
        <f ca="1">Данные!X176</f>
        <v>1</v>
      </c>
      <c r="Y176" s="54" t="str">
        <f ca="1">Данные!Y176</f>
        <v>2</v>
      </c>
      <c r="Z176" s="54">
        <f>Данные!Z176</f>
        <v>0</v>
      </c>
      <c r="AA176" s="54">
        <f>Данные!AA176</f>
        <v>0</v>
      </c>
      <c r="AB176" s="101">
        <f t="shared" si="22"/>
        <v>900</v>
      </c>
      <c r="AC176" s="101" t="str">
        <f t="shared" si="23"/>
        <v>ИВТ (бак)</v>
      </c>
      <c r="AD176" s="101" t="str">
        <f t="shared" si="24"/>
        <v/>
      </c>
      <c r="AE176" s="102">
        <f t="shared" ca="1" si="25"/>
        <v>57.41</v>
      </c>
      <c r="AF176" s="103">
        <f t="shared" ca="1" si="26"/>
        <v>6.3788888888888881E-2</v>
      </c>
      <c r="AG176" s="101"/>
      <c r="AH176" s="101"/>
      <c r="AI176"/>
      <c r="BQ176" s="72">
        <v>0</v>
      </c>
      <c r="BR176" s="72">
        <v>0</v>
      </c>
      <c r="BS176" s="72">
        <v>0</v>
      </c>
      <c r="BT176" s="72">
        <v>0</v>
      </c>
      <c r="BU176" s="72">
        <v>0</v>
      </c>
      <c r="BV176" s="72">
        <v>0</v>
      </c>
      <c r="BW176" s="72">
        <v>0</v>
      </c>
      <c r="BX176" s="72">
        <v>0</v>
      </c>
      <c r="BY176" s="72">
        <v>0</v>
      </c>
      <c r="BZ176" s="72">
        <v>0</v>
      </c>
      <c r="CA176" s="72">
        <v>0</v>
      </c>
      <c r="CB176" s="72">
        <v>0</v>
      </c>
      <c r="CC176" s="72">
        <v>0</v>
      </c>
      <c r="CD176" s="72">
        <v>0</v>
      </c>
      <c r="CE176" s="72">
        <v>0</v>
      </c>
      <c r="CF176" s="72">
        <v>0</v>
      </c>
      <c r="CG176" s="72">
        <v>0</v>
      </c>
      <c r="CH176" s="72">
        <v>0</v>
      </c>
      <c r="CI176" s="72">
        <v>0</v>
      </c>
      <c r="CJ176" s="72">
        <v>0</v>
      </c>
      <c r="CK176" s="72">
        <v>0</v>
      </c>
      <c r="CL176" s="72">
        <v>0</v>
      </c>
      <c r="CM176" s="72">
        <v>0</v>
      </c>
      <c r="CN176" s="72">
        <v>0</v>
      </c>
      <c r="CO176" s="72">
        <v>0</v>
      </c>
      <c r="CP176" s="72">
        <v>0</v>
      </c>
      <c r="CQ176" s="72">
        <v>0</v>
      </c>
      <c r="CR176" s="72">
        <v>0</v>
      </c>
      <c r="CS176" s="72">
        <v>0</v>
      </c>
      <c r="CT176" s="72">
        <v>0</v>
      </c>
      <c r="CU176" s="72">
        <v>0</v>
      </c>
      <c r="CV176" s="72">
        <v>0</v>
      </c>
      <c r="CW176" s="72">
        <v>0</v>
      </c>
      <c r="CX176" s="72">
        <v>0</v>
      </c>
      <c r="CY176" s="72">
        <v>0</v>
      </c>
      <c r="CZ176" s="72">
        <v>0</v>
      </c>
      <c r="DA176" s="72">
        <v>0</v>
      </c>
      <c r="DB176" s="72">
        <v>0</v>
      </c>
      <c r="DC176" s="72">
        <v>0</v>
      </c>
      <c r="DD176" s="72">
        <v>0</v>
      </c>
      <c r="DE176" s="72">
        <v>0</v>
      </c>
      <c r="DF176" s="72">
        <v>0</v>
      </c>
      <c r="DG176" s="72">
        <v>0</v>
      </c>
      <c r="DH176" s="72">
        <v>0</v>
      </c>
      <c r="DI176" s="72">
        <v>0</v>
      </c>
      <c r="DJ176" s="72">
        <v>0</v>
      </c>
      <c r="DK176" s="72">
        <v>0</v>
      </c>
      <c r="DL176" s="72">
        <v>0</v>
      </c>
      <c r="DM176" s="72">
        <v>0</v>
      </c>
      <c r="DN176" s="72">
        <v>0</v>
      </c>
      <c r="DO176" s="72">
        <v>0</v>
      </c>
      <c r="DP176" s="72">
        <v>0</v>
      </c>
      <c r="DQ176" s="72">
        <v>0</v>
      </c>
      <c r="DR176" s="72">
        <v>0</v>
      </c>
      <c r="DS176" s="72">
        <v>0</v>
      </c>
      <c r="DT176" s="72">
        <v>0</v>
      </c>
      <c r="DU176" s="72">
        <v>0</v>
      </c>
      <c r="DV176" s="72">
        <v>0</v>
      </c>
      <c r="DW176" s="72">
        <v>0</v>
      </c>
      <c r="DX176" s="72">
        <v>0</v>
      </c>
      <c r="DY176" s="72">
        <v>0</v>
      </c>
      <c r="DZ176" s="72">
        <v>0</v>
      </c>
      <c r="EA176" s="72">
        <v>0</v>
      </c>
      <c r="EB176" s="72">
        <v>0</v>
      </c>
      <c r="EC176" s="72">
        <v>0</v>
      </c>
      <c r="ED176" s="72">
        <v>0</v>
      </c>
      <c r="EE176" s="72">
        <v>0</v>
      </c>
      <c r="EF176" s="72">
        <v>0</v>
      </c>
      <c r="EG176" s="72">
        <v>0</v>
      </c>
      <c r="EH176" s="72">
        <v>0</v>
      </c>
      <c r="EI176" s="72">
        <v>0</v>
      </c>
      <c r="EJ176" s="72">
        <v>0</v>
      </c>
      <c r="EK176" s="72">
        <v>0</v>
      </c>
      <c r="EL176" s="72">
        <v>0</v>
      </c>
    </row>
    <row r="177" spans="1:142" s="6" customFormat="1" x14ac:dyDescent="0.35">
      <c r="A177" s="59">
        <f>Данные!A177</f>
        <v>4858</v>
      </c>
      <c r="B177" s="59">
        <f>Данные!B177</f>
        <v>2018</v>
      </c>
      <c r="C177" s="59" t="str">
        <f>Данные!C177</f>
        <v>компьютерных технологий и электронного обучения</v>
      </c>
      <c r="D177" s="59" t="str">
        <f>Данные!D177</f>
        <v>Иванова Екатерина Алексеевна</v>
      </c>
      <c r="E177" s="59" t="str">
        <f>Данные!E177</f>
        <v>нет</v>
      </c>
      <c r="F177" s="59" t="str">
        <f>Данные!F177</f>
        <v>ассистент</v>
      </c>
      <c r="G177" s="59">
        <f>Данные!G177</f>
        <v>0.25</v>
      </c>
      <c r="H177" s="59">
        <f>Данные!H177</f>
        <v>17232</v>
      </c>
      <c r="I177" s="59" t="str">
        <f>Данные!I177</f>
        <v>Модуль "Информационные технологии". Дисциплины и курсы по выбору. Прикладные информационные технологии</v>
      </c>
      <c r="J177" s="59">
        <f>Данные!J177</f>
        <v>0</v>
      </c>
      <c r="K177" s="59">
        <f>Данные!K177</f>
        <v>12</v>
      </c>
      <c r="L177" s="59">
        <f>Данные!L177</f>
        <v>24</v>
      </c>
      <c r="M177" s="60">
        <f t="shared" si="18"/>
        <v>3.6</v>
      </c>
      <c r="N177" s="60">
        <f t="shared" ca="1" si="19"/>
        <v>10.91</v>
      </c>
      <c r="O177" s="60">
        <f t="shared" ca="1" si="20"/>
        <v>6.75</v>
      </c>
      <c r="P177" s="60">
        <f t="shared" ca="1" si="21"/>
        <v>6.75</v>
      </c>
      <c r="Q177" s="54">
        <f>Данные!Q177</f>
        <v>0</v>
      </c>
      <c r="R177" s="54">
        <f>Данные!R177</f>
        <v>0</v>
      </c>
      <c r="S177" s="54">
        <f>Данные!S177</f>
        <v>0</v>
      </c>
      <c r="T177" s="54">
        <f>Данные!T177</f>
        <v>0</v>
      </c>
      <c r="U177" s="54">
        <f>Данные!U177</f>
        <v>0</v>
      </c>
      <c r="V177" s="54">
        <f>Данные!V177</f>
        <v>0</v>
      </c>
      <c r="W177" s="54">
        <f ca="1">Данные!W177</f>
        <v>27</v>
      </c>
      <c r="X177" s="54" t="str">
        <f ca="1">Данные!X177</f>
        <v>1</v>
      </c>
      <c r="Y177" s="54" t="str">
        <f ca="1">Данные!Y177</f>
        <v>2</v>
      </c>
      <c r="Z177" s="54">
        <f>Данные!Z177</f>
        <v>0</v>
      </c>
      <c r="AA177" s="54">
        <f>Данные!AA177</f>
        <v>0</v>
      </c>
      <c r="AB177" s="101">
        <f t="shared" si="22"/>
        <v>900</v>
      </c>
      <c r="AC177" s="101" t="str">
        <f t="shared" si="23"/>
        <v>ИВТ (бак)</v>
      </c>
      <c r="AD177" s="101" t="str">
        <f t="shared" si="24"/>
        <v/>
      </c>
      <c r="AE177" s="102">
        <f t="shared" ca="1" si="25"/>
        <v>64.010000000000005</v>
      </c>
      <c r="AF177" s="103">
        <f t="shared" ca="1" si="26"/>
        <v>7.1122222222222226E-2</v>
      </c>
      <c r="AG177" s="101"/>
      <c r="AH177" s="101"/>
      <c r="AI177"/>
      <c r="BQ177" s="72">
        <v>0</v>
      </c>
      <c r="BR177" s="72">
        <v>0</v>
      </c>
      <c r="BS177" s="72">
        <v>0</v>
      </c>
      <c r="BT177" s="72">
        <v>0</v>
      </c>
      <c r="BU177" s="72">
        <v>0</v>
      </c>
      <c r="BV177" s="72">
        <v>0</v>
      </c>
      <c r="BW177" s="72">
        <v>0</v>
      </c>
      <c r="BX177" s="72">
        <v>0</v>
      </c>
      <c r="BY177" s="72">
        <v>0</v>
      </c>
      <c r="BZ177" s="72">
        <v>0</v>
      </c>
      <c r="CA177" s="72">
        <v>0</v>
      </c>
      <c r="CB177" s="72">
        <v>0</v>
      </c>
      <c r="CC177" s="72">
        <v>0</v>
      </c>
      <c r="CD177" s="72">
        <v>0</v>
      </c>
      <c r="CE177" s="72">
        <v>0</v>
      </c>
      <c r="CF177" s="72">
        <v>0</v>
      </c>
      <c r="CG177" s="72">
        <v>0</v>
      </c>
      <c r="CH177" s="72">
        <v>0</v>
      </c>
      <c r="CI177" s="72">
        <v>0</v>
      </c>
      <c r="CJ177" s="72">
        <v>0</v>
      </c>
      <c r="CK177" s="72">
        <v>0</v>
      </c>
      <c r="CL177" s="72">
        <v>0</v>
      </c>
      <c r="CM177" s="72">
        <v>0</v>
      </c>
      <c r="CN177" s="72">
        <v>0</v>
      </c>
      <c r="CO177" s="72">
        <v>0</v>
      </c>
      <c r="CP177" s="72">
        <v>0</v>
      </c>
      <c r="CQ177" s="72">
        <v>0</v>
      </c>
      <c r="CR177" s="72">
        <v>0</v>
      </c>
      <c r="CS177" s="72">
        <v>0</v>
      </c>
      <c r="CT177" s="72">
        <v>0</v>
      </c>
      <c r="CU177" s="72">
        <v>0</v>
      </c>
      <c r="CV177" s="72">
        <v>0</v>
      </c>
      <c r="CW177" s="72">
        <v>0</v>
      </c>
      <c r="CX177" s="72">
        <v>0</v>
      </c>
      <c r="CY177" s="72">
        <v>0</v>
      </c>
      <c r="CZ177" s="72">
        <v>0</v>
      </c>
      <c r="DA177" s="72">
        <v>0</v>
      </c>
      <c r="DB177" s="72">
        <v>0</v>
      </c>
      <c r="DC177" s="72">
        <v>0</v>
      </c>
      <c r="DD177" s="72">
        <v>0</v>
      </c>
      <c r="DE177" s="72">
        <v>0</v>
      </c>
      <c r="DF177" s="72">
        <v>0</v>
      </c>
      <c r="DG177" s="72">
        <v>0</v>
      </c>
      <c r="DH177" s="72">
        <v>0</v>
      </c>
      <c r="DI177" s="72">
        <v>0</v>
      </c>
      <c r="DJ177" s="72">
        <v>0</v>
      </c>
      <c r="DK177" s="72">
        <v>0</v>
      </c>
      <c r="DL177" s="72">
        <v>0</v>
      </c>
      <c r="DM177" s="72">
        <v>0</v>
      </c>
      <c r="DN177" s="72">
        <v>0</v>
      </c>
      <c r="DO177" s="72">
        <v>0</v>
      </c>
      <c r="DP177" s="72">
        <v>0</v>
      </c>
      <c r="DQ177" s="72">
        <v>0</v>
      </c>
      <c r="DR177" s="72">
        <v>0</v>
      </c>
      <c r="DS177" s="72">
        <v>0</v>
      </c>
      <c r="DT177" s="72">
        <v>0</v>
      </c>
      <c r="DU177" s="72">
        <v>0</v>
      </c>
      <c r="DV177" s="72">
        <v>0</v>
      </c>
      <c r="DW177" s="72">
        <v>0</v>
      </c>
      <c r="DX177" s="72">
        <v>0</v>
      </c>
      <c r="DY177" s="72">
        <v>0</v>
      </c>
      <c r="DZ177" s="72">
        <v>0</v>
      </c>
      <c r="EA177" s="72">
        <v>0</v>
      </c>
      <c r="EB177" s="72">
        <v>0</v>
      </c>
      <c r="EC177" s="72">
        <v>0</v>
      </c>
      <c r="ED177" s="72">
        <v>0</v>
      </c>
      <c r="EE177" s="72">
        <v>0</v>
      </c>
      <c r="EF177" s="72">
        <v>0</v>
      </c>
      <c r="EG177" s="72">
        <v>0</v>
      </c>
      <c r="EH177" s="72">
        <v>0</v>
      </c>
      <c r="EI177" s="72">
        <v>0</v>
      </c>
      <c r="EJ177" s="72">
        <v>0</v>
      </c>
      <c r="EK177" s="72">
        <v>0</v>
      </c>
      <c r="EL177" s="72">
        <v>0</v>
      </c>
    </row>
    <row r="178" spans="1:142" s="6" customFormat="1" x14ac:dyDescent="0.35">
      <c r="A178" s="59">
        <f>Данные!A178</f>
        <v>4858</v>
      </c>
      <c r="B178" s="59">
        <f>Данные!B178</f>
        <v>2018</v>
      </c>
      <c r="C178" s="59" t="str">
        <f>Данные!C178</f>
        <v>компьютерных технологий и электронного обучения</v>
      </c>
      <c r="D178" s="59" t="str">
        <f>Данные!D178</f>
        <v>Иванова Екатерина Алексеевна</v>
      </c>
      <c r="E178" s="59" t="str">
        <f>Данные!E178</f>
        <v>нет</v>
      </c>
      <c r="F178" s="59" t="str">
        <f>Данные!F178</f>
        <v>ассистент</v>
      </c>
      <c r="G178" s="59">
        <f>Данные!G178</f>
        <v>0.25</v>
      </c>
      <c r="H178" s="59">
        <f>Данные!H178</f>
        <v>17232</v>
      </c>
      <c r="I178" s="59" t="str">
        <f>Данные!I178</f>
        <v>Модуль "Информационные технологии". Основы корпоративного электронного обучения</v>
      </c>
      <c r="J178" s="59">
        <f>Данные!J178</f>
        <v>0</v>
      </c>
      <c r="K178" s="59">
        <f>Данные!K178</f>
        <v>12</v>
      </c>
      <c r="L178" s="59">
        <f>Данные!L178</f>
        <v>36</v>
      </c>
      <c r="M178" s="60">
        <f t="shared" si="18"/>
        <v>4.8</v>
      </c>
      <c r="N178" s="60">
        <f t="shared" ca="1" si="19"/>
        <v>10.91</v>
      </c>
      <c r="O178" s="60">
        <f t="shared" ca="1" si="20"/>
        <v>6.75</v>
      </c>
      <c r="P178" s="60">
        <f t="shared" ca="1" si="21"/>
        <v>6.75</v>
      </c>
      <c r="Q178" s="54">
        <f>Данные!Q178</f>
        <v>0</v>
      </c>
      <c r="R178" s="54">
        <f>Данные!R178</f>
        <v>0</v>
      </c>
      <c r="S178" s="54">
        <f>Данные!S178</f>
        <v>0</v>
      </c>
      <c r="T178" s="54">
        <f>Данные!T178</f>
        <v>0</v>
      </c>
      <c r="U178" s="54">
        <f>Данные!U178</f>
        <v>0</v>
      </c>
      <c r="V178" s="54">
        <f>Данные!V178</f>
        <v>0</v>
      </c>
      <c r="W178" s="54">
        <f ca="1">Данные!W178</f>
        <v>27</v>
      </c>
      <c r="X178" s="54" t="str">
        <f ca="1">Данные!X178</f>
        <v>1</v>
      </c>
      <c r="Y178" s="54" t="str">
        <f ca="1">Данные!Y178</f>
        <v>2</v>
      </c>
      <c r="Z178" s="54">
        <f>Данные!Z178</f>
        <v>0</v>
      </c>
      <c r="AA178" s="54">
        <f>Данные!AA178</f>
        <v>0</v>
      </c>
      <c r="AB178" s="101">
        <f t="shared" si="22"/>
        <v>900</v>
      </c>
      <c r="AC178" s="101" t="str">
        <f t="shared" si="23"/>
        <v>ИВТ (бак)</v>
      </c>
      <c r="AD178" s="101" t="str">
        <f t="shared" si="24"/>
        <v/>
      </c>
      <c r="AE178" s="102">
        <f t="shared" ca="1" si="25"/>
        <v>77.209999999999994</v>
      </c>
      <c r="AF178" s="103">
        <f t="shared" ca="1" si="26"/>
        <v>8.5788888888888887E-2</v>
      </c>
      <c r="AG178" s="101"/>
      <c r="AH178" s="101"/>
      <c r="AI178"/>
      <c r="BQ178" s="72">
        <v>0</v>
      </c>
      <c r="BR178" s="72">
        <v>0</v>
      </c>
      <c r="BS178" s="72">
        <v>0</v>
      </c>
      <c r="BT178" s="72">
        <v>0</v>
      </c>
      <c r="BU178" s="72">
        <v>0</v>
      </c>
      <c r="BV178" s="72">
        <v>0</v>
      </c>
      <c r="BW178" s="72">
        <v>0</v>
      </c>
      <c r="BX178" s="72">
        <v>0</v>
      </c>
      <c r="BY178" s="72">
        <v>0</v>
      </c>
      <c r="BZ178" s="72">
        <v>0</v>
      </c>
      <c r="CA178" s="72">
        <v>0</v>
      </c>
      <c r="CB178" s="72">
        <v>0</v>
      </c>
      <c r="CC178" s="72">
        <v>0</v>
      </c>
      <c r="CD178" s="72">
        <v>0</v>
      </c>
      <c r="CE178" s="72">
        <v>0</v>
      </c>
      <c r="CF178" s="72">
        <v>0</v>
      </c>
      <c r="CG178" s="72">
        <v>0</v>
      </c>
      <c r="CH178" s="72">
        <v>0</v>
      </c>
      <c r="CI178" s="72">
        <v>0</v>
      </c>
      <c r="CJ178" s="72">
        <v>0</v>
      </c>
      <c r="CK178" s="72">
        <v>0</v>
      </c>
      <c r="CL178" s="72">
        <v>0</v>
      </c>
      <c r="CM178" s="72">
        <v>0</v>
      </c>
      <c r="CN178" s="72">
        <v>0</v>
      </c>
      <c r="CO178" s="72">
        <v>0</v>
      </c>
      <c r="CP178" s="72">
        <v>0</v>
      </c>
      <c r="CQ178" s="72">
        <v>0</v>
      </c>
      <c r="CR178" s="72">
        <v>0</v>
      </c>
      <c r="CS178" s="72">
        <v>0</v>
      </c>
      <c r="CT178" s="72">
        <v>0</v>
      </c>
      <c r="CU178" s="72">
        <v>0</v>
      </c>
      <c r="CV178" s="72">
        <v>0</v>
      </c>
      <c r="CW178" s="72">
        <v>0</v>
      </c>
      <c r="CX178" s="72">
        <v>0</v>
      </c>
      <c r="CY178" s="72">
        <v>0</v>
      </c>
      <c r="CZ178" s="72">
        <v>0</v>
      </c>
      <c r="DA178" s="72">
        <v>0</v>
      </c>
      <c r="DB178" s="72">
        <v>0</v>
      </c>
      <c r="DC178" s="72">
        <v>0</v>
      </c>
      <c r="DD178" s="72">
        <v>0</v>
      </c>
      <c r="DE178" s="72">
        <v>0</v>
      </c>
      <c r="DF178" s="72">
        <v>0</v>
      </c>
      <c r="DG178" s="72">
        <v>0</v>
      </c>
      <c r="DH178" s="72">
        <v>0</v>
      </c>
      <c r="DI178" s="72">
        <v>0</v>
      </c>
      <c r="DJ178" s="72">
        <v>0</v>
      </c>
      <c r="DK178" s="72">
        <v>0</v>
      </c>
      <c r="DL178" s="72">
        <v>0</v>
      </c>
      <c r="DM178" s="72">
        <v>0</v>
      </c>
      <c r="DN178" s="72">
        <v>0</v>
      </c>
      <c r="DO178" s="72">
        <v>0</v>
      </c>
      <c r="DP178" s="72">
        <v>0</v>
      </c>
      <c r="DQ178" s="72">
        <v>0</v>
      </c>
      <c r="DR178" s="72">
        <v>0</v>
      </c>
      <c r="DS178" s="72">
        <v>0</v>
      </c>
      <c r="DT178" s="72">
        <v>0</v>
      </c>
      <c r="DU178" s="72">
        <v>0</v>
      </c>
      <c r="DV178" s="72">
        <v>0</v>
      </c>
      <c r="DW178" s="72">
        <v>0</v>
      </c>
      <c r="DX178" s="72">
        <v>0</v>
      </c>
      <c r="DY178" s="72">
        <v>0</v>
      </c>
      <c r="DZ178" s="72">
        <v>0</v>
      </c>
      <c r="EA178" s="72">
        <v>0</v>
      </c>
      <c r="EB178" s="72">
        <v>0</v>
      </c>
      <c r="EC178" s="72">
        <v>0</v>
      </c>
      <c r="ED178" s="72">
        <v>0</v>
      </c>
      <c r="EE178" s="72">
        <v>0</v>
      </c>
      <c r="EF178" s="72">
        <v>0</v>
      </c>
      <c r="EG178" s="72">
        <v>0</v>
      </c>
      <c r="EH178" s="72">
        <v>0</v>
      </c>
      <c r="EI178" s="72">
        <v>0</v>
      </c>
      <c r="EJ178" s="72">
        <v>0</v>
      </c>
      <c r="EK178" s="72">
        <v>0</v>
      </c>
      <c r="EL178" s="72">
        <v>0</v>
      </c>
    </row>
    <row r="179" spans="1:142" s="6" customFormat="1" x14ac:dyDescent="0.35">
      <c r="A179" s="59">
        <f>Данные!A179</f>
        <v>4858</v>
      </c>
      <c r="B179" s="59">
        <f>Данные!B179</f>
        <v>2018</v>
      </c>
      <c r="C179" s="59" t="str">
        <f>Данные!C179</f>
        <v>компьютерных технологий и электронного обучения</v>
      </c>
      <c r="D179" s="59" t="str">
        <f>Данные!D179</f>
        <v>Ильина Татьяна Сергеевна</v>
      </c>
      <c r="E179" s="59" t="str">
        <f>Данные!E179</f>
        <v>нет</v>
      </c>
      <c r="F179" s="59" t="str">
        <f>Данные!F179</f>
        <v>старший преподаватель</v>
      </c>
      <c r="G179" s="59">
        <f>Данные!G179</f>
        <v>1</v>
      </c>
      <c r="H179" s="59">
        <f>Данные!H179</f>
        <v>17232</v>
      </c>
      <c r="I179" s="59" t="str">
        <f>Данные!I179</f>
        <v>Модуль "Информационные технологии"</v>
      </c>
      <c r="J179" s="59">
        <f>Данные!J179</f>
        <v>0</v>
      </c>
      <c r="K179" s="59">
        <f>Данные!K179</f>
        <v>0</v>
      </c>
      <c r="L179" s="59">
        <f>Данные!L179</f>
        <v>0</v>
      </c>
      <c r="M179" s="60">
        <f t="shared" si="18"/>
        <v>0</v>
      </c>
      <c r="N179" s="60">
        <f t="shared" ca="1" si="19"/>
        <v>10.91</v>
      </c>
      <c r="O179" s="60">
        <f t="shared" ca="1" si="20"/>
        <v>6.75</v>
      </c>
      <c r="P179" s="60">
        <f t="shared" ca="1" si="21"/>
        <v>6.75</v>
      </c>
      <c r="Q179" s="54">
        <f>Данные!Q179</f>
        <v>0</v>
      </c>
      <c r="R179" s="54">
        <f>Данные!R179</f>
        <v>0</v>
      </c>
      <c r="S179" s="54">
        <f>Данные!S179</f>
        <v>0</v>
      </c>
      <c r="T179" s="54">
        <f>Данные!T179</f>
        <v>0</v>
      </c>
      <c r="U179" s="54">
        <f>Данные!U179</f>
        <v>0</v>
      </c>
      <c r="V179" s="54">
        <f>Данные!V179</f>
        <v>0</v>
      </c>
      <c r="W179" s="54">
        <f ca="1">Данные!W179</f>
        <v>27</v>
      </c>
      <c r="X179" s="54" t="str">
        <f ca="1">Данные!X179</f>
        <v>1</v>
      </c>
      <c r="Y179" s="54" t="str">
        <f ca="1">Данные!Y179</f>
        <v>2</v>
      </c>
      <c r="Z179" s="54">
        <f>Данные!Z179</f>
        <v>0</v>
      </c>
      <c r="AA179" s="54">
        <f>Данные!AA179</f>
        <v>0</v>
      </c>
      <c r="AB179" s="101">
        <f t="shared" si="22"/>
        <v>850</v>
      </c>
      <c r="AC179" s="101" t="str">
        <f t="shared" si="23"/>
        <v>ИВТ (бак)</v>
      </c>
      <c r="AD179" s="101" t="str">
        <f t="shared" si="24"/>
        <v/>
      </c>
      <c r="AE179" s="102">
        <f t="shared" ca="1" si="25"/>
        <v>24.41</v>
      </c>
      <c r="AF179" s="103">
        <f t="shared" ca="1" si="26"/>
        <v>2.8717647058823528E-2</v>
      </c>
      <c r="AG179" s="101"/>
      <c r="AH179" s="101"/>
      <c r="AI179"/>
      <c r="BQ179" s="72">
        <v>0</v>
      </c>
      <c r="BR179" s="72">
        <v>0</v>
      </c>
      <c r="BS179" s="72">
        <v>0</v>
      </c>
      <c r="BT179" s="72">
        <v>0</v>
      </c>
      <c r="BU179" s="72">
        <v>0</v>
      </c>
      <c r="BV179" s="72">
        <v>0</v>
      </c>
      <c r="BW179" s="72">
        <v>0</v>
      </c>
      <c r="BX179" s="72">
        <v>0</v>
      </c>
      <c r="BY179" s="72">
        <v>0</v>
      </c>
      <c r="BZ179" s="72">
        <v>0</v>
      </c>
      <c r="CA179" s="72">
        <v>0</v>
      </c>
      <c r="CB179" s="72">
        <v>0</v>
      </c>
      <c r="CC179" s="72">
        <v>0</v>
      </c>
      <c r="CD179" s="72">
        <v>0</v>
      </c>
      <c r="CE179" s="72">
        <v>0</v>
      </c>
      <c r="CF179" s="72">
        <v>0</v>
      </c>
      <c r="CG179" s="72">
        <v>0</v>
      </c>
      <c r="CH179" s="72">
        <v>0</v>
      </c>
      <c r="CI179" s="72">
        <v>0</v>
      </c>
      <c r="CJ179" s="72">
        <v>0</v>
      </c>
      <c r="CK179" s="72">
        <v>0</v>
      </c>
      <c r="CL179" s="72">
        <v>0</v>
      </c>
      <c r="CM179" s="72">
        <v>0</v>
      </c>
      <c r="CN179" s="72">
        <v>0</v>
      </c>
      <c r="CO179" s="72">
        <v>0</v>
      </c>
      <c r="CP179" s="72">
        <v>0</v>
      </c>
      <c r="CQ179" s="72">
        <v>0</v>
      </c>
      <c r="CR179" s="72">
        <v>0</v>
      </c>
      <c r="CS179" s="72">
        <v>0</v>
      </c>
      <c r="CT179" s="72">
        <v>0</v>
      </c>
      <c r="CU179" s="72">
        <v>0</v>
      </c>
      <c r="CV179" s="72">
        <v>0</v>
      </c>
      <c r="CW179" s="72">
        <v>0</v>
      </c>
      <c r="CX179" s="72">
        <v>0</v>
      </c>
      <c r="CY179" s="72">
        <v>0</v>
      </c>
      <c r="CZ179" s="72">
        <v>0</v>
      </c>
      <c r="DA179" s="72">
        <v>0</v>
      </c>
      <c r="DB179" s="72">
        <v>0</v>
      </c>
      <c r="DC179" s="72">
        <v>0</v>
      </c>
      <c r="DD179" s="72">
        <v>0</v>
      </c>
      <c r="DE179" s="72">
        <v>0</v>
      </c>
      <c r="DF179" s="72">
        <v>0</v>
      </c>
      <c r="DG179" s="72">
        <v>0</v>
      </c>
      <c r="DH179" s="72">
        <v>0</v>
      </c>
      <c r="DI179" s="72">
        <v>0</v>
      </c>
      <c r="DJ179" s="72">
        <v>0</v>
      </c>
      <c r="DK179" s="72">
        <v>0</v>
      </c>
      <c r="DL179" s="72">
        <v>0</v>
      </c>
      <c r="DM179" s="72">
        <v>0</v>
      </c>
      <c r="DN179" s="72">
        <v>0</v>
      </c>
      <c r="DO179" s="72">
        <v>0</v>
      </c>
      <c r="DP179" s="72">
        <v>0</v>
      </c>
      <c r="DQ179" s="72">
        <v>0</v>
      </c>
      <c r="DR179" s="72">
        <v>0</v>
      </c>
      <c r="DS179" s="72">
        <v>0</v>
      </c>
      <c r="DT179" s="72">
        <v>0</v>
      </c>
      <c r="DU179" s="72">
        <v>0</v>
      </c>
      <c r="DV179" s="72">
        <v>0</v>
      </c>
      <c r="DW179" s="72">
        <v>0</v>
      </c>
      <c r="DX179" s="72">
        <v>0</v>
      </c>
      <c r="DY179" s="72">
        <v>0</v>
      </c>
      <c r="DZ179" s="72">
        <v>0</v>
      </c>
      <c r="EA179" s="72">
        <v>0</v>
      </c>
      <c r="EB179" s="72">
        <v>0</v>
      </c>
      <c r="EC179" s="72">
        <v>0</v>
      </c>
      <c r="ED179" s="72">
        <v>0</v>
      </c>
      <c r="EE179" s="72">
        <v>0</v>
      </c>
      <c r="EF179" s="72">
        <v>0</v>
      </c>
      <c r="EG179" s="72">
        <v>0</v>
      </c>
      <c r="EH179" s="72">
        <v>0</v>
      </c>
      <c r="EI179" s="72">
        <v>0</v>
      </c>
      <c r="EJ179" s="72">
        <v>0</v>
      </c>
      <c r="EK179" s="72">
        <v>0</v>
      </c>
      <c r="EL179" s="72">
        <v>0</v>
      </c>
    </row>
    <row r="180" spans="1:142" s="6" customFormat="1" x14ac:dyDescent="0.35">
      <c r="A180" s="59">
        <f>Данные!A180</f>
        <v>4858</v>
      </c>
      <c r="B180" s="59">
        <f>Данные!B180</f>
        <v>2018</v>
      </c>
      <c r="C180" s="59" t="str">
        <f>Данные!C180</f>
        <v>компьютерных технологий и электронного обучения</v>
      </c>
      <c r="D180" s="59" t="str">
        <f>Данные!D180</f>
        <v>Ильина Татьяна Сергеевна</v>
      </c>
      <c r="E180" s="59" t="str">
        <f>Данные!E180</f>
        <v>нет</v>
      </c>
      <c r="F180" s="59" t="str">
        <f>Данные!F180</f>
        <v>старший преподаватель</v>
      </c>
      <c r="G180" s="59">
        <f>Данные!G180</f>
        <v>1</v>
      </c>
      <c r="H180" s="59">
        <f>Данные!H180</f>
        <v>17232</v>
      </c>
      <c r="I180" s="59" t="str">
        <f>Данные!I180</f>
        <v>Модуль "Информационные технологии". Техника и технологии представления и публикации информации</v>
      </c>
      <c r="J180" s="59">
        <f>Данные!J180</f>
        <v>18</v>
      </c>
      <c r="K180" s="59">
        <f>Данные!K180</f>
        <v>0</v>
      </c>
      <c r="L180" s="59">
        <f>Данные!L180</f>
        <v>36</v>
      </c>
      <c r="M180" s="60">
        <f t="shared" si="18"/>
        <v>5.4</v>
      </c>
      <c r="N180" s="60">
        <f t="shared" ca="1" si="19"/>
        <v>10.91</v>
      </c>
      <c r="O180" s="60">
        <f t="shared" ca="1" si="20"/>
        <v>6.75</v>
      </c>
      <c r="P180" s="60">
        <f t="shared" ca="1" si="21"/>
        <v>6.75</v>
      </c>
      <c r="Q180" s="54">
        <f>Данные!Q180</f>
        <v>0</v>
      </c>
      <c r="R180" s="54">
        <f>Данные!R180</f>
        <v>0</v>
      </c>
      <c r="S180" s="54">
        <f>Данные!S180</f>
        <v>0</v>
      </c>
      <c r="T180" s="54">
        <f>Данные!T180</f>
        <v>0</v>
      </c>
      <c r="U180" s="54">
        <f>Данные!U180</f>
        <v>0</v>
      </c>
      <c r="V180" s="54">
        <f>Данные!V180</f>
        <v>0</v>
      </c>
      <c r="W180" s="54">
        <f ca="1">Данные!W180</f>
        <v>27</v>
      </c>
      <c r="X180" s="54" t="str">
        <f ca="1">Данные!X180</f>
        <v>1</v>
      </c>
      <c r="Y180" s="54" t="str">
        <f ca="1">Данные!Y180</f>
        <v>2</v>
      </c>
      <c r="Z180" s="54">
        <f>Данные!Z180</f>
        <v>0</v>
      </c>
      <c r="AA180" s="54">
        <f>Данные!AA180</f>
        <v>0</v>
      </c>
      <c r="AB180" s="101">
        <f t="shared" si="22"/>
        <v>850</v>
      </c>
      <c r="AC180" s="101" t="str">
        <f t="shared" si="23"/>
        <v>ИВТ (бак)</v>
      </c>
      <c r="AD180" s="101" t="str">
        <f t="shared" si="24"/>
        <v/>
      </c>
      <c r="AE180" s="102">
        <f t="shared" ca="1" si="25"/>
        <v>83.81</v>
      </c>
      <c r="AF180" s="103">
        <f t="shared" ca="1" si="26"/>
        <v>9.8600000000000007E-2</v>
      </c>
      <c r="AG180" s="101"/>
      <c r="AH180" s="101"/>
      <c r="AI180"/>
      <c r="BQ180" s="72">
        <v>0</v>
      </c>
      <c r="BR180" s="72">
        <v>0</v>
      </c>
      <c r="BS180" s="72">
        <v>0</v>
      </c>
      <c r="BT180" s="72">
        <v>0</v>
      </c>
      <c r="BU180" s="72">
        <v>0</v>
      </c>
      <c r="BV180" s="72">
        <v>0</v>
      </c>
      <c r="BW180" s="72">
        <v>0</v>
      </c>
      <c r="BX180" s="72">
        <v>0</v>
      </c>
      <c r="BY180" s="72">
        <v>0</v>
      </c>
      <c r="BZ180" s="72">
        <v>0</v>
      </c>
      <c r="CA180" s="72">
        <v>0</v>
      </c>
      <c r="CB180" s="72">
        <v>0</v>
      </c>
      <c r="CC180" s="72">
        <v>0</v>
      </c>
      <c r="CD180" s="72">
        <v>0</v>
      </c>
      <c r="CE180" s="72">
        <v>0</v>
      </c>
      <c r="CF180" s="72">
        <v>0</v>
      </c>
      <c r="CG180" s="72">
        <v>0</v>
      </c>
      <c r="CH180" s="72">
        <v>0</v>
      </c>
      <c r="CI180" s="72">
        <v>0</v>
      </c>
      <c r="CJ180" s="72">
        <v>0</v>
      </c>
      <c r="CK180" s="72">
        <v>0</v>
      </c>
      <c r="CL180" s="72">
        <v>0</v>
      </c>
      <c r="CM180" s="72">
        <v>0</v>
      </c>
      <c r="CN180" s="72">
        <v>0</v>
      </c>
      <c r="CO180" s="72">
        <v>0</v>
      </c>
      <c r="CP180" s="72">
        <v>0</v>
      </c>
      <c r="CQ180" s="72">
        <v>0</v>
      </c>
      <c r="CR180" s="72">
        <v>0</v>
      </c>
      <c r="CS180" s="72">
        <v>0</v>
      </c>
      <c r="CT180" s="72">
        <v>0</v>
      </c>
      <c r="CU180" s="72">
        <v>0</v>
      </c>
      <c r="CV180" s="72">
        <v>0</v>
      </c>
      <c r="CW180" s="72">
        <v>0</v>
      </c>
      <c r="CX180" s="72">
        <v>0</v>
      </c>
      <c r="CY180" s="72">
        <v>0</v>
      </c>
      <c r="CZ180" s="72">
        <v>0</v>
      </c>
      <c r="DA180" s="72">
        <v>0</v>
      </c>
      <c r="DB180" s="72">
        <v>0</v>
      </c>
      <c r="DC180" s="72">
        <v>0</v>
      </c>
      <c r="DD180" s="72">
        <v>0</v>
      </c>
      <c r="DE180" s="72">
        <v>0</v>
      </c>
      <c r="DF180" s="72">
        <v>0</v>
      </c>
      <c r="DG180" s="72">
        <v>0</v>
      </c>
      <c r="DH180" s="72">
        <v>0</v>
      </c>
      <c r="DI180" s="72">
        <v>0</v>
      </c>
      <c r="DJ180" s="72">
        <v>0</v>
      </c>
      <c r="DK180" s="72">
        <v>0</v>
      </c>
      <c r="DL180" s="72">
        <v>0</v>
      </c>
      <c r="DM180" s="72">
        <v>0</v>
      </c>
      <c r="DN180" s="72">
        <v>0</v>
      </c>
      <c r="DO180" s="72">
        <v>0</v>
      </c>
      <c r="DP180" s="72">
        <v>0</v>
      </c>
      <c r="DQ180" s="72">
        <v>0</v>
      </c>
      <c r="DR180" s="72">
        <v>0</v>
      </c>
      <c r="DS180" s="72">
        <v>0</v>
      </c>
      <c r="DT180" s="72">
        <v>0</v>
      </c>
      <c r="DU180" s="72">
        <v>0</v>
      </c>
      <c r="DV180" s="72">
        <v>0</v>
      </c>
      <c r="DW180" s="72">
        <v>0</v>
      </c>
      <c r="DX180" s="72">
        <v>0</v>
      </c>
      <c r="DY180" s="72">
        <v>0</v>
      </c>
      <c r="DZ180" s="72">
        <v>0</v>
      </c>
      <c r="EA180" s="72">
        <v>0</v>
      </c>
      <c r="EB180" s="72">
        <v>0</v>
      </c>
      <c r="EC180" s="72">
        <v>0</v>
      </c>
      <c r="ED180" s="72">
        <v>0</v>
      </c>
      <c r="EE180" s="72">
        <v>0</v>
      </c>
      <c r="EF180" s="72">
        <v>0</v>
      </c>
      <c r="EG180" s="72">
        <v>0</v>
      </c>
      <c r="EH180" s="72">
        <v>0</v>
      </c>
      <c r="EI180" s="72">
        <v>0</v>
      </c>
      <c r="EJ180" s="72">
        <v>0</v>
      </c>
      <c r="EK180" s="72">
        <v>0</v>
      </c>
      <c r="EL180" s="72">
        <v>0</v>
      </c>
    </row>
    <row r="181" spans="1:142" s="6" customFormat="1" x14ac:dyDescent="0.35">
      <c r="A181" s="59">
        <f>Данные!A181</f>
        <v>4858</v>
      </c>
      <c r="B181" s="59">
        <f>Данные!B181</f>
        <v>2018</v>
      </c>
      <c r="C181" s="59" t="str">
        <f>Данные!C181</f>
        <v>компьютерных технологий и электронного обучения</v>
      </c>
      <c r="D181" s="59" t="str">
        <f>Данные!D181</f>
        <v>Карпова Наталья Александровна</v>
      </c>
      <c r="E181" s="59" t="str">
        <f>Данные!E181</f>
        <v>кандидат технических наук</v>
      </c>
      <c r="F181" s="59" t="str">
        <f>Данные!F181</f>
        <v>доцент</v>
      </c>
      <c r="G181" s="59">
        <f>Данные!G181</f>
        <v>0.75</v>
      </c>
      <c r="H181" s="59">
        <f>Данные!H181</f>
        <v>17232</v>
      </c>
      <c r="I181" s="59" t="str">
        <f>Данные!I181</f>
        <v>Модуль "Информационные технологии"</v>
      </c>
      <c r="J181" s="59">
        <f>Данные!J181</f>
        <v>0</v>
      </c>
      <c r="K181" s="59">
        <f>Данные!K181</f>
        <v>0</v>
      </c>
      <c r="L181" s="59">
        <f>Данные!L181</f>
        <v>0</v>
      </c>
      <c r="M181" s="60">
        <f t="shared" si="18"/>
        <v>0</v>
      </c>
      <c r="N181" s="60">
        <f t="shared" ca="1" si="19"/>
        <v>10.91</v>
      </c>
      <c r="O181" s="60">
        <f t="shared" ca="1" si="20"/>
        <v>6.75</v>
      </c>
      <c r="P181" s="60">
        <f t="shared" ca="1" si="21"/>
        <v>6.75</v>
      </c>
      <c r="Q181" s="54">
        <f>Данные!Q181</f>
        <v>0</v>
      </c>
      <c r="R181" s="54">
        <f>Данные!R181</f>
        <v>0</v>
      </c>
      <c r="S181" s="54">
        <f>Данные!S181</f>
        <v>0</v>
      </c>
      <c r="T181" s="54">
        <f>Данные!T181</f>
        <v>0</v>
      </c>
      <c r="U181" s="54">
        <f>Данные!U181</f>
        <v>0</v>
      </c>
      <c r="V181" s="54">
        <f>Данные!V181</f>
        <v>0</v>
      </c>
      <c r="W181" s="54">
        <f ca="1">Данные!W181</f>
        <v>27</v>
      </c>
      <c r="X181" s="54" t="str">
        <f ca="1">Данные!X181</f>
        <v>1</v>
      </c>
      <c r="Y181" s="54" t="str">
        <f ca="1">Данные!Y181</f>
        <v>2</v>
      </c>
      <c r="Z181" s="54">
        <f>Данные!Z181</f>
        <v>0</v>
      </c>
      <c r="AA181" s="54">
        <f>Данные!AA181</f>
        <v>0</v>
      </c>
      <c r="AB181" s="101">
        <f t="shared" si="22"/>
        <v>800</v>
      </c>
      <c r="AC181" s="101" t="str">
        <f t="shared" si="23"/>
        <v>ИВТ (бак)</v>
      </c>
      <c r="AD181" s="101" t="str">
        <f t="shared" si="24"/>
        <v/>
      </c>
      <c r="AE181" s="102">
        <f t="shared" ca="1" si="25"/>
        <v>24.41</v>
      </c>
      <c r="AF181" s="103">
        <f t="shared" ca="1" si="26"/>
        <v>3.0512500000000001E-2</v>
      </c>
      <c r="AG181" s="101"/>
      <c r="AH181" s="101"/>
      <c r="AI181"/>
      <c r="BQ181" s="72">
        <v>0</v>
      </c>
      <c r="BR181" s="72">
        <v>0</v>
      </c>
      <c r="BS181" s="72">
        <v>0</v>
      </c>
      <c r="BT181" s="72">
        <v>0</v>
      </c>
      <c r="BU181" s="72">
        <v>0</v>
      </c>
      <c r="BV181" s="72">
        <v>0</v>
      </c>
      <c r="BW181" s="72">
        <v>0</v>
      </c>
      <c r="BX181" s="72">
        <v>0</v>
      </c>
      <c r="BY181" s="72">
        <v>0</v>
      </c>
      <c r="BZ181" s="72">
        <v>0</v>
      </c>
      <c r="CA181" s="72">
        <v>0</v>
      </c>
      <c r="CB181" s="72">
        <v>0</v>
      </c>
      <c r="CC181" s="72">
        <v>0</v>
      </c>
      <c r="CD181" s="72">
        <v>0</v>
      </c>
      <c r="CE181" s="72">
        <v>0</v>
      </c>
      <c r="CF181" s="72">
        <v>0</v>
      </c>
      <c r="CG181" s="72">
        <v>0</v>
      </c>
      <c r="CH181" s="72">
        <v>0</v>
      </c>
      <c r="CI181" s="72">
        <v>0</v>
      </c>
      <c r="CJ181" s="72">
        <v>0</v>
      </c>
      <c r="CK181" s="72">
        <v>0</v>
      </c>
      <c r="CL181" s="72">
        <v>0</v>
      </c>
      <c r="CM181" s="72">
        <v>0</v>
      </c>
      <c r="CN181" s="72">
        <v>0</v>
      </c>
      <c r="CO181" s="72">
        <v>0</v>
      </c>
      <c r="CP181" s="72">
        <v>0</v>
      </c>
      <c r="CQ181" s="72">
        <v>0</v>
      </c>
      <c r="CR181" s="72">
        <v>0</v>
      </c>
      <c r="CS181" s="72">
        <v>0</v>
      </c>
      <c r="CT181" s="72">
        <v>0</v>
      </c>
      <c r="CU181" s="72">
        <v>0</v>
      </c>
      <c r="CV181" s="72">
        <v>0</v>
      </c>
      <c r="CW181" s="72">
        <v>0</v>
      </c>
      <c r="CX181" s="72">
        <v>0</v>
      </c>
      <c r="CY181" s="72">
        <v>0</v>
      </c>
      <c r="CZ181" s="72">
        <v>0</v>
      </c>
      <c r="DA181" s="72">
        <v>0</v>
      </c>
      <c r="DB181" s="72">
        <v>0</v>
      </c>
      <c r="DC181" s="72">
        <v>0</v>
      </c>
      <c r="DD181" s="72">
        <v>0</v>
      </c>
      <c r="DE181" s="72">
        <v>0</v>
      </c>
      <c r="DF181" s="72">
        <v>0</v>
      </c>
      <c r="DG181" s="72">
        <v>0</v>
      </c>
      <c r="DH181" s="72">
        <v>0</v>
      </c>
      <c r="DI181" s="72">
        <v>0</v>
      </c>
      <c r="DJ181" s="72">
        <v>0</v>
      </c>
      <c r="DK181" s="72">
        <v>0</v>
      </c>
      <c r="DL181" s="72">
        <v>0</v>
      </c>
      <c r="DM181" s="72">
        <v>0</v>
      </c>
      <c r="DN181" s="72">
        <v>0</v>
      </c>
      <c r="DO181" s="72">
        <v>0</v>
      </c>
      <c r="DP181" s="72">
        <v>0</v>
      </c>
      <c r="DQ181" s="72">
        <v>0</v>
      </c>
      <c r="DR181" s="72">
        <v>0</v>
      </c>
      <c r="DS181" s="72">
        <v>0</v>
      </c>
      <c r="DT181" s="72">
        <v>0</v>
      </c>
      <c r="DU181" s="72">
        <v>0</v>
      </c>
      <c r="DV181" s="72">
        <v>0</v>
      </c>
      <c r="DW181" s="72">
        <v>0</v>
      </c>
      <c r="DX181" s="72">
        <v>0</v>
      </c>
      <c r="DY181" s="72">
        <v>0</v>
      </c>
      <c r="DZ181" s="72">
        <v>0</v>
      </c>
      <c r="EA181" s="72">
        <v>0</v>
      </c>
      <c r="EB181" s="72">
        <v>0</v>
      </c>
      <c r="EC181" s="72">
        <v>0</v>
      </c>
      <c r="ED181" s="72">
        <v>0</v>
      </c>
      <c r="EE181" s="72">
        <v>0</v>
      </c>
      <c r="EF181" s="72">
        <v>0</v>
      </c>
      <c r="EG181" s="72">
        <v>0</v>
      </c>
      <c r="EH181" s="72">
        <v>0</v>
      </c>
      <c r="EI181" s="72">
        <v>0</v>
      </c>
      <c r="EJ181" s="72">
        <v>0</v>
      </c>
      <c r="EK181" s="72">
        <v>0</v>
      </c>
      <c r="EL181" s="72">
        <v>0</v>
      </c>
    </row>
    <row r="182" spans="1:142" s="6" customFormat="1" x14ac:dyDescent="0.35">
      <c r="A182" s="59">
        <f>Данные!A182</f>
        <v>4858</v>
      </c>
      <c r="B182" s="59">
        <f>Данные!B182</f>
        <v>2019</v>
      </c>
      <c r="C182" s="59" t="str">
        <f>Данные!C182</f>
        <v>компьютерных технологий и электронного обучения</v>
      </c>
      <c r="D182" s="59" t="str">
        <f>Данные!D182</f>
        <v>Власова Елена Зотиковна</v>
      </c>
      <c r="E182" s="59" t="str">
        <f>Данные!E182</f>
        <v>доктор педагогических наук</v>
      </c>
      <c r="F182" s="59" t="str">
        <f>Данные!F182</f>
        <v>заведующий кафедрой</v>
      </c>
      <c r="G182" s="59">
        <f>Данные!G182</f>
        <v>1</v>
      </c>
      <c r="H182" s="59">
        <f>Данные!H182</f>
        <v>17232</v>
      </c>
      <c r="I182" s="59" t="str">
        <f>Данные!I182</f>
        <v>Участие в ГЭК (защита, экзамен)</v>
      </c>
      <c r="J182" s="59">
        <f>Данные!J182</f>
        <v>0</v>
      </c>
      <c r="K182" s="59">
        <f>Данные!K182</f>
        <v>0</v>
      </c>
      <c r="L182" s="59">
        <f>Данные!L182</f>
        <v>0</v>
      </c>
      <c r="M182" s="60">
        <f t="shared" si="18"/>
        <v>0</v>
      </c>
      <c r="N182" s="60">
        <f t="shared" ca="1" si="19"/>
        <v>10.91</v>
      </c>
      <c r="O182" s="60">
        <f t="shared" ca="1" si="20"/>
        <v>6.75</v>
      </c>
      <c r="P182" s="60">
        <f t="shared" ca="1" si="21"/>
        <v>6.75</v>
      </c>
      <c r="Q182" s="54">
        <f>Данные!Q182</f>
        <v>0</v>
      </c>
      <c r="R182" s="54">
        <f>Данные!R182</f>
        <v>0</v>
      </c>
      <c r="S182" s="54">
        <f>Данные!S182</f>
        <v>0</v>
      </c>
      <c r="T182" s="54">
        <f>Данные!T182</f>
        <v>0</v>
      </c>
      <c r="U182" s="54">
        <f>Данные!U182</f>
        <v>0</v>
      </c>
      <c r="V182" s="54">
        <f>Данные!V182</f>
        <v>0</v>
      </c>
      <c r="W182" s="54">
        <f ca="1">Данные!W182</f>
        <v>27</v>
      </c>
      <c r="X182" s="54" t="str">
        <f ca="1">Данные!X182</f>
        <v>1</v>
      </c>
      <c r="Y182" s="54" t="str">
        <f ca="1">Данные!Y182</f>
        <v>2</v>
      </c>
      <c r="Z182" s="54">
        <f>Данные!Z182</f>
        <v>0</v>
      </c>
      <c r="AA182" s="54">
        <f>Данные!AA182</f>
        <v>0</v>
      </c>
      <c r="AB182" s="101">
        <f t="shared" si="22"/>
        <v>700</v>
      </c>
      <c r="AC182" s="101" t="str">
        <f t="shared" si="23"/>
        <v>ИВТ (бак)</v>
      </c>
      <c r="AD182" s="101" t="str">
        <f t="shared" si="24"/>
        <v/>
      </c>
      <c r="AE182" s="102">
        <f t="shared" ca="1" si="25"/>
        <v>24.41</v>
      </c>
      <c r="AF182" s="103">
        <f t="shared" ca="1" si="26"/>
        <v>3.4871428571428574E-2</v>
      </c>
      <c r="AG182" s="101"/>
      <c r="AH182" s="101"/>
      <c r="AI182"/>
      <c r="BQ182" s="72">
        <v>0</v>
      </c>
      <c r="BR182" s="72">
        <v>0</v>
      </c>
      <c r="BS182" s="72">
        <v>0</v>
      </c>
      <c r="BT182" s="72">
        <v>0</v>
      </c>
      <c r="BU182" s="72">
        <v>0</v>
      </c>
      <c r="BV182" s="72">
        <v>0</v>
      </c>
      <c r="BW182" s="72">
        <v>0</v>
      </c>
      <c r="BX182" s="72">
        <v>0</v>
      </c>
      <c r="BY182" s="72">
        <v>0</v>
      </c>
      <c r="BZ182" s="72">
        <v>0</v>
      </c>
      <c r="CA182" s="72">
        <v>0</v>
      </c>
      <c r="CB182" s="72">
        <v>0</v>
      </c>
      <c r="CC182" s="72">
        <v>0</v>
      </c>
      <c r="CD182" s="72">
        <v>0</v>
      </c>
      <c r="CE182" s="72">
        <v>0</v>
      </c>
      <c r="CF182" s="72">
        <v>0</v>
      </c>
      <c r="CG182" s="72">
        <v>0</v>
      </c>
      <c r="CH182" s="72">
        <v>0</v>
      </c>
      <c r="CI182" s="72">
        <v>0</v>
      </c>
      <c r="CJ182" s="72">
        <v>0</v>
      </c>
      <c r="CK182" s="72">
        <v>0</v>
      </c>
      <c r="CL182" s="72">
        <v>0</v>
      </c>
      <c r="CM182" s="72">
        <v>0</v>
      </c>
      <c r="CN182" s="72">
        <v>0</v>
      </c>
      <c r="CO182" s="72">
        <v>0</v>
      </c>
      <c r="CP182" s="72">
        <v>0</v>
      </c>
      <c r="CQ182" s="72">
        <v>0</v>
      </c>
      <c r="CR182" s="72">
        <v>0</v>
      </c>
      <c r="CS182" s="72">
        <v>0</v>
      </c>
      <c r="CT182" s="72">
        <v>0</v>
      </c>
      <c r="CU182" s="72">
        <v>0</v>
      </c>
      <c r="CV182" s="72">
        <v>0</v>
      </c>
      <c r="CW182" s="72">
        <v>0</v>
      </c>
      <c r="CX182" s="72">
        <v>0</v>
      </c>
      <c r="CY182" s="72">
        <v>0</v>
      </c>
      <c r="CZ182" s="72">
        <v>0</v>
      </c>
      <c r="DA182" s="72">
        <v>0</v>
      </c>
      <c r="DB182" s="72">
        <v>0</v>
      </c>
      <c r="DC182" s="72">
        <v>0</v>
      </c>
      <c r="DD182" s="72">
        <v>0</v>
      </c>
      <c r="DE182" s="72">
        <v>0</v>
      </c>
      <c r="DF182" s="72">
        <v>0</v>
      </c>
      <c r="DG182" s="72">
        <v>0</v>
      </c>
      <c r="DH182" s="72">
        <v>0</v>
      </c>
      <c r="DI182" s="72">
        <v>0</v>
      </c>
      <c r="DJ182" s="72">
        <v>0</v>
      </c>
      <c r="DK182" s="72">
        <v>0</v>
      </c>
      <c r="DL182" s="72">
        <v>0</v>
      </c>
      <c r="DM182" s="72">
        <v>0</v>
      </c>
      <c r="DN182" s="72">
        <v>0</v>
      </c>
      <c r="DO182" s="72">
        <v>0</v>
      </c>
      <c r="DP182" s="72">
        <v>0</v>
      </c>
      <c r="DQ182" s="72">
        <v>0</v>
      </c>
      <c r="DR182" s="72">
        <v>0</v>
      </c>
      <c r="DS182" s="72">
        <v>0</v>
      </c>
      <c r="DT182" s="72">
        <v>0</v>
      </c>
      <c r="DU182" s="72">
        <v>0</v>
      </c>
      <c r="DV182" s="72">
        <v>0</v>
      </c>
      <c r="DW182" s="72">
        <v>0</v>
      </c>
      <c r="DX182" s="72">
        <v>0</v>
      </c>
      <c r="DY182" s="72">
        <v>0</v>
      </c>
      <c r="DZ182" s="72">
        <v>0</v>
      </c>
      <c r="EA182" s="72">
        <v>0</v>
      </c>
      <c r="EB182" s="72">
        <v>0</v>
      </c>
      <c r="EC182" s="72">
        <v>0</v>
      </c>
      <c r="ED182" s="72">
        <v>0</v>
      </c>
      <c r="EE182" s="72">
        <v>0</v>
      </c>
      <c r="EF182" s="72">
        <v>0</v>
      </c>
      <c r="EG182" s="72">
        <v>0</v>
      </c>
      <c r="EH182" s="72">
        <v>0</v>
      </c>
      <c r="EI182" s="72">
        <v>0</v>
      </c>
      <c r="EJ182" s="72">
        <v>0</v>
      </c>
      <c r="EK182" s="72">
        <v>0</v>
      </c>
      <c r="EL182" s="72">
        <v>0</v>
      </c>
    </row>
    <row r="183" spans="1:142" s="6" customFormat="1" x14ac:dyDescent="0.35">
      <c r="A183" s="59">
        <f>Данные!A183</f>
        <v>4858</v>
      </c>
      <c r="B183" s="59">
        <f>Данные!B183</f>
        <v>2019</v>
      </c>
      <c r="C183" s="59" t="str">
        <f>Данные!C183</f>
        <v>компьютерных технологий и электронного обучения</v>
      </c>
      <c r="D183" s="59" t="str">
        <f>Данные!D183</f>
        <v>Гончарова Светлана Викторовна</v>
      </c>
      <c r="E183" s="59" t="str">
        <f>Данные!E183</f>
        <v>кандидат педагогических наук</v>
      </c>
      <c r="F183" s="59" t="str">
        <f>Данные!F183</f>
        <v>доцент</v>
      </c>
      <c r="G183" s="59">
        <f>Данные!G183</f>
        <v>1</v>
      </c>
      <c r="H183" s="59">
        <f>Данные!H183</f>
        <v>17232</v>
      </c>
      <c r="I183" s="59" t="str">
        <f>Данные!I183</f>
        <v>Участие в ГЭК (защита, экзамен)</v>
      </c>
      <c r="J183" s="59">
        <f>Данные!J183</f>
        <v>0</v>
      </c>
      <c r="K183" s="59">
        <f>Данные!K183</f>
        <v>0</v>
      </c>
      <c r="L183" s="59">
        <f>Данные!L183</f>
        <v>0</v>
      </c>
      <c r="M183" s="60">
        <f t="shared" si="18"/>
        <v>0</v>
      </c>
      <c r="N183" s="60">
        <f t="shared" ca="1" si="19"/>
        <v>10.91</v>
      </c>
      <c r="O183" s="60">
        <f t="shared" ca="1" si="20"/>
        <v>6.75</v>
      </c>
      <c r="P183" s="60">
        <f t="shared" ca="1" si="21"/>
        <v>6.75</v>
      </c>
      <c r="Q183" s="54">
        <f>Данные!Q183</f>
        <v>0</v>
      </c>
      <c r="R183" s="54">
        <f>Данные!R183</f>
        <v>0</v>
      </c>
      <c r="S183" s="54">
        <f>Данные!S183</f>
        <v>0</v>
      </c>
      <c r="T183" s="54">
        <f>Данные!T183</f>
        <v>0</v>
      </c>
      <c r="U183" s="54">
        <f>Данные!U183</f>
        <v>0</v>
      </c>
      <c r="V183" s="54">
        <f>Данные!V183</f>
        <v>0</v>
      </c>
      <c r="W183" s="54">
        <f ca="1">Данные!W183</f>
        <v>27</v>
      </c>
      <c r="X183" s="54" t="str">
        <f ca="1">Данные!X183</f>
        <v>1</v>
      </c>
      <c r="Y183" s="54" t="str">
        <f ca="1">Данные!Y183</f>
        <v>2</v>
      </c>
      <c r="Z183" s="54">
        <f>Данные!Z183</f>
        <v>0</v>
      </c>
      <c r="AA183" s="54" t="str">
        <f>Данные!AA183</f>
        <v>осн</v>
      </c>
      <c r="AB183" s="101">
        <f t="shared" si="22"/>
        <v>800</v>
      </c>
      <c r="AC183" s="101" t="str">
        <f t="shared" si="23"/>
        <v>ИВТ (бак)</v>
      </c>
      <c r="AD183" s="101" t="str">
        <f t="shared" si="24"/>
        <v/>
      </c>
      <c r="AE183" s="102">
        <f t="shared" ca="1" si="25"/>
        <v>24.41</v>
      </c>
      <c r="AF183" s="103">
        <f t="shared" ca="1" si="26"/>
        <v>3.0512500000000001E-2</v>
      </c>
      <c r="AG183" s="101"/>
      <c r="AH183" s="101"/>
      <c r="AI183"/>
      <c r="BQ183" s="72">
        <v>0</v>
      </c>
      <c r="BR183" s="72">
        <v>0</v>
      </c>
      <c r="BS183" s="72">
        <v>0</v>
      </c>
      <c r="BT183" s="72">
        <v>0</v>
      </c>
      <c r="BU183" s="72">
        <v>0</v>
      </c>
      <c r="BV183" s="72">
        <v>0</v>
      </c>
      <c r="BW183" s="72">
        <v>0</v>
      </c>
      <c r="BX183" s="72">
        <v>0</v>
      </c>
      <c r="BY183" s="72">
        <v>0</v>
      </c>
      <c r="BZ183" s="72">
        <v>0</v>
      </c>
      <c r="CA183" s="72">
        <v>0</v>
      </c>
      <c r="CB183" s="72">
        <v>0</v>
      </c>
      <c r="CC183" s="72">
        <v>0</v>
      </c>
      <c r="CD183" s="72">
        <v>0</v>
      </c>
      <c r="CE183" s="72">
        <v>0</v>
      </c>
      <c r="CF183" s="72">
        <v>0</v>
      </c>
      <c r="CG183" s="72">
        <v>0</v>
      </c>
      <c r="CH183" s="72">
        <v>0</v>
      </c>
      <c r="CI183" s="72">
        <v>0</v>
      </c>
      <c r="CJ183" s="72">
        <v>0</v>
      </c>
      <c r="CK183" s="72">
        <v>0</v>
      </c>
      <c r="CL183" s="72">
        <v>0</v>
      </c>
      <c r="CM183" s="72">
        <v>0</v>
      </c>
      <c r="CN183" s="72">
        <v>0</v>
      </c>
      <c r="CO183" s="72">
        <v>0</v>
      </c>
      <c r="CP183" s="72">
        <v>0</v>
      </c>
      <c r="CQ183" s="72">
        <v>0</v>
      </c>
      <c r="CR183" s="72">
        <v>0</v>
      </c>
      <c r="CS183" s="72">
        <v>0</v>
      </c>
      <c r="CT183" s="72">
        <v>0</v>
      </c>
      <c r="CU183" s="72">
        <v>0</v>
      </c>
      <c r="CV183" s="72">
        <v>0</v>
      </c>
      <c r="CW183" s="72">
        <v>0</v>
      </c>
      <c r="CX183" s="72">
        <v>0</v>
      </c>
      <c r="CY183" s="72">
        <v>0</v>
      </c>
      <c r="CZ183" s="72">
        <v>0</v>
      </c>
      <c r="DA183" s="72">
        <v>0</v>
      </c>
      <c r="DB183" s="72">
        <v>0</v>
      </c>
      <c r="DC183" s="72">
        <v>0</v>
      </c>
      <c r="DD183" s="72">
        <v>0</v>
      </c>
      <c r="DE183" s="72">
        <v>0</v>
      </c>
      <c r="DF183" s="72">
        <v>0</v>
      </c>
      <c r="DG183" s="72">
        <v>0</v>
      </c>
      <c r="DH183" s="72">
        <v>0</v>
      </c>
      <c r="DI183" s="72">
        <v>0</v>
      </c>
      <c r="DJ183" s="72">
        <v>0</v>
      </c>
      <c r="DK183" s="72">
        <v>0</v>
      </c>
      <c r="DL183" s="72">
        <v>0</v>
      </c>
      <c r="DM183" s="72">
        <v>0</v>
      </c>
      <c r="DN183" s="72">
        <v>0</v>
      </c>
      <c r="DO183" s="72">
        <v>0</v>
      </c>
      <c r="DP183" s="72">
        <v>0</v>
      </c>
      <c r="DQ183" s="72">
        <v>0</v>
      </c>
      <c r="DR183" s="72">
        <v>0</v>
      </c>
      <c r="DS183" s="72">
        <v>0</v>
      </c>
      <c r="DT183" s="72">
        <v>0</v>
      </c>
      <c r="DU183" s="72">
        <v>0</v>
      </c>
      <c r="DV183" s="72">
        <v>0</v>
      </c>
      <c r="DW183" s="72">
        <v>0</v>
      </c>
      <c r="DX183" s="72">
        <v>0</v>
      </c>
      <c r="DY183" s="72">
        <v>0</v>
      </c>
      <c r="DZ183" s="72">
        <v>0</v>
      </c>
      <c r="EA183" s="72">
        <v>0</v>
      </c>
      <c r="EB183" s="72">
        <v>0</v>
      </c>
      <c r="EC183" s="72">
        <v>0</v>
      </c>
      <c r="ED183" s="72">
        <v>0</v>
      </c>
      <c r="EE183" s="72">
        <v>0</v>
      </c>
      <c r="EF183" s="72">
        <v>0</v>
      </c>
      <c r="EG183" s="72">
        <v>0</v>
      </c>
      <c r="EH183" s="72">
        <v>0</v>
      </c>
      <c r="EI183" s="72">
        <v>0</v>
      </c>
      <c r="EJ183" s="72">
        <v>0</v>
      </c>
      <c r="EK183" s="72">
        <v>0</v>
      </c>
      <c r="EL183" s="72">
        <v>0</v>
      </c>
    </row>
    <row r="184" spans="1:142" s="6" customFormat="1" x14ac:dyDescent="0.35">
      <c r="A184" s="59">
        <f>Данные!A184</f>
        <v>4858</v>
      </c>
      <c r="B184" s="59">
        <f>Данные!B184</f>
        <v>2019</v>
      </c>
      <c r="C184" s="59" t="str">
        <f>Данные!C184</f>
        <v>компьютерных технологий и электронного обучения</v>
      </c>
      <c r="D184" s="59" t="str">
        <f>Данные!D184</f>
        <v>Карпова Наталья Александровна</v>
      </c>
      <c r="E184" s="59" t="str">
        <f>Данные!E184</f>
        <v>кандидат технических наук</v>
      </c>
      <c r="F184" s="59" t="str">
        <f>Данные!F184</f>
        <v>доцент</v>
      </c>
      <c r="G184" s="59">
        <f>Данные!G184</f>
        <v>0.75</v>
      </c>
      <c r="H184" s="59">
        <f>Данные!H184</f>
        <v>17232</v>
      </c>
      <c r="I184" s="59" t="str">
        <f>Данные!I184</f>
        <v>Участие в ГЭК (защита, экзамен)</v>
      </c>
      <c r="J184" s="59">
        <f>Данные!J184</f>
        <v>0</v>
      </c>
      <c r="K184" s="59">
        <f>Данные!K184</f>
        <v>0</v>
      </c>
      <c r="L184" s="59">
        <f>Данные!L184</f>
        <v>0</v>
      </c>
      <c r="M184" s="60">
        <f t="shared" si="18"/>
        <v>0</v>
      </c>
      <c r="N184" s="60">
        <f t="shared" ca="1" si="19"/>
        <v>10.91</v>
      </c>
      <c r="O184" s="60">
        <f t="shared" ca="1" si="20"/>
        <v>6.75</v>
      </c>
      <c r="P184" s="60">
        <f t="shared" ca="1" si="21"/>
        <v>6.75</v>
      </c>
      <c r="Q184" s="54">
        <f>Данные!Q184</f>
        <v>0</v>
      </c>
      <c r="R184" s="54">
        <f>Данные!R184</f>
        <v>0</v>
      </c>
      <c r="S184" s="54">
        <f>Данные!S184</f>
        <v>0</v>
      </c>
      <c r="T184" s="54">
        <f>Данные!T184</f>
        <v>0</v>
      </c>
      <c r="U184" s="54">
        <f>Данные!U184</f>
        <v>0</v>
      </c>
      <c r="V184" s="54">
        <f>Данные!V184</f>
        <v>0</v>
      </c>
      <c r="W184" s="54">
        <f ca="1">Данные!W184</f>
        <v>27</v>
      </c>
      <c r="X184" s="54" t="str">
        <f ca="1">Данные!X184</f>
        <v>1</v>
      </c>
      <c r="Y184" s="54" t="str">
        <f ca="1">Данные!Y184</f>
        <v>2</v>
      </c>
      <c r="Z184" s="54">
        <f>Данные!Z184</f>
        <v>0</v>
      </c>
      <c r="AA184" s="54" t="str">
        <f>Данные!AA184</f>
        <v>осн</v>
      </c>
      <c r="AB184" s="101">
        <f t="shared" si="22"/>
        <v>800</v>
      </c>
      <c r="AC184" s="101" t="str">
        <f t="shared" si="23"/>
        <v>ИВТ (бак)</v>
      </c>
      <c r="AD184" s="101" t="str">
        <f t="shared" si="24"/>
        <v/>
      </c>
      <c r="AE184" s="102">
        <f t="shared" ca="1" si="25"/>
        <v>24.41</v>
      </c>
      <c r="AF184" s="103">
        <f t="shared" ca="1" si="26"/>
        <v>3.0512500000000001E-2</v>
      </c>
      <c r="AG184" s="101"/>
      <c r="AH184" s="101"/>
      <c r="AI184"/>
      <c r="BQ184" s="72">
        <v>0</v>
      </c>
      <c r="BR184" s="72">
        <v>0</v>
      </c>
      <c r="BS184" s="72">
        <v>0</v>
      </c>
      <c r="BT184" s="72">
        <v>0</v>
      </c>
      <c r="BU184" s="72">
        <v>0</v>
      </c>
      <c r="BV184" s="72">
        <v>0</v>
      </c>
      <c r="BW184" s="72">
        <v>0</v>
      </c>
      <c r="BX184" s="72">
        <v>0</v>
      </c>
      <c r="BY184" s="72">
        <v>0</v>
      </c>
      <c r="BZ184" s="72">
        <v>0</v>
      </c>
      <c r="CA184" s="72">
        <v>0</v>
      </c>
      <c r="CB184" s="72">
        <v>0</v>
      </c>
      <c r="CC184" s="72">
        <v>0</v>
      </c>
      <c r="CD184" s="72">
        <v>0</v>
      </c>
      <c r="CE184" s="72">
        <v>0</v>
      </c>
      <c r="CF184" s="72">
        <v>0</v>
      </c>
      <c r="CG184" s="72">
        <v>0</v>
      </c>
      <c r="CH184" s="72">
        <v>0</v>
      </c>
      <c r="CI184" s="72">
        <v>0</v>
      </c>
      <c r="CJ184" s="72">
        <v>0</v>
      </c>
      <c r="CK184" s="72">
        <v>0</v>
      </c>
      <c r="CL184" s="72">
        <v>0</v>
      </c>
      <c r="CM184" s="72">
        <v>0</v>
      </c>
      <c r="CN184" s="72">
        <v>0</v>
      </c>
      <c r="CO184" s="72">
        <v>0</v>
      </c>
      <c r="CP184" s="72">
        <v>0</v>
      </c>
      <c r="CQ184" s="72">
        <v>0</v>
      </c>
      <c r="CR184" s="72">
        <v>0</v>
      </c>
      <c r="CS184" s="72">
        <v>0</v>
      </c>
      <c r="CT184" s="72">
        <v>0</v>
      </c>
      <c r="CU184" s="72">
        <v>0</v>
      </c>
      <c r="CV184" s="72">
        <v>0</v>
      </c>
      <c r="CW184" s="72">
        <v>0</v>
      </c>
      <c r="CX184" s="72">
        <v>0</v>
      </c>
      <c r="CY184" s="72">
        <v>0</v>
      </c>
      <c r="CZ184" s="72">
        <v>0</v>
      </c>
      <c r="DA184" s="72">
        <v>0</v>
      </c>
      <c r="DB184" s="72">
        <v>0</v>
      </c>
      <c r="DC184" s="72">
        <v>0</v>
      </c>
      <c r="DD184" s="72">
        <v>0</v>
      </c>
      <c r="DE184" s="72">
        <v>0</v>
      </c>
      <c r="DF184" s="72">
        <v>0</v>
      </c>
      <c r="DG184" s="72">
        <v>0</v>
      </c>
      <c r="DH184" s="72">
        <v>0</v>
      </c>
      <c r="DI184" s="72">
        <v>0</v>
      </c>
      <c r="DJ184" s="72">
        <v>0</v>
      </c>
      <c r="DK184" s="72">
        <v>0</v>
      </c>
      <c r="DL184" s="72">
        <v>0</v>
      </c>
      <c r="DM184" s="72">
        <v>0</v>
      </c>
      <c r="DN184" s="72">
        <v>0</v>
      </c>
      <c r="DO184" s="72">
        <v>0</v>
      </c>
      <c r="DP184" s="72">
        <v>0</v>
      </c>
      <c r="DQ184" s="72">
        <v>0</v>
      </c>
      <c r="DR184" s="72">
        <v>0</v>
      </c>
      <c r="DS184" s="72">
        <v>0</v>
      </c>
      <c r="DT184" s="72">
        <v>0</v>
      </c>
      <c r="DU184" s="72">
        <v>0</v>
      </c>
      <c r="DV184" s="72">
        <v>0</v>
      </c>
      <c r="DW184" s="72">
        <v>0</v>
      </c>
      <c r="DX184" s="72">
        <v>0</v>
      </c>
      <c r="DY184" s="72">
        <v>0</v>
      </c>
      <c r="DZ184" s="72">
        <v>0</v>
      </c>
      <c r="EA184" s="72">
        <v>0</v>
      </c>
      <c r="EB184" s="72">
        <v>0</v>
      </c>
      <c r="EC184" s="72">
        <v>0</v>
      </c>
      <c r="ED184" s="72">
        <v>0</v>
      </c>
      <c r="EE184" s="72">
        <v>0</v>
      </c>
      <c r="EF184" s="72">
        <v>0</v>
      </c>
      <c r="EG184" s="72">
        <v>0</v>
      </c>
      <c r="EH184" s="72">
        <v>0</v>
      </c>
      <c r="EI184" s="72">
        <v>0</v>
      </c>
      <c r="EJ184" s="72">
        <v>0</v>
      </c>
      <c r="EK184" s="72">
        <v>0</v>
      </c>
      <c r="EL184" s="72">
        <v>0</v>
      </c>
    </row>
    <row r="185" spans="1:142" s="6" customFormat="1" x14ac:dyDescent="0.35">
      <c r="A185" s="59">
        <f>Данные!A185</f>
        <v>5791</v>
      </c>
      <c r="B185" s="59">
        <f>Данные!B185</f>
        <v>2020</v>
      </c>
      <c r="C185" s="59" t="str">
        <f>Данные!C185</f>
        <v>компьютерных технологий и электронного обучения</v>
      </c>
      <c r="D185" s="59" t="str">
        <f>Данные!D185</f>
        <v>Власова Елена Зотиковна</v>
      </c>
      <c r="E185" s="59" t="str">
        <f>Данные!E185</f>
        <v>доктор педагогических наук</v>
      </c>
      <c r="F185" s="59" t="str">
        <f>Данные!F185</f>
        <v>заведующий кафедрой</v>
      </c>
      <c r="G185" s="59">
        <f>Данные!G185</f>
        <v>1</v>
      </c>
      <c r="H185" s="59">
        <f>Данные!H185</f>
        <v>17232</v>
      </c>
      <c r="I185" s="59" t="str">
        <f>Данные!I185</f>
        <v>Участие в ГЭК (защита, экзамен)</v>
      </c>
      <c r="J185" s="59">
        <f>Данные!J185</f>
        <v>0</v>
      </c>
      <c r="K185" s="59">
        <f>Данные!K185</f>
        <v>0</v>
      </c>
      <c r="L185" s="59">
        <f>Данные!L185</f>
        <v>0</v>
      </c>
      <c r="M185" s="60">
        <f t="shared" si="18"/>
        <v>0</v>
      </c>
      <c r="N185" s="60">
        <f t="shared" ca="1" si="19"/>
        <v>10.91</v>
      </c>
      <c r="O185" s="60">
        <f t="shared" ca="1" si="20"/>
        <v>6.75</v>
      </c>
      <c r="P185" s="60">
        <f t="shared" ca="1" si="21"/>
        <v>6.75</v>
      </c>
      <c r="Q185" s="54">
        <f>Данные!Q185</f>
        <v>0</v>
      </c>
      <c r="R185" s="54">
        <f>Данные!R185</f>
        <v>0</v>
      </c>
      <c r="S185" s="54">
        <f>Данные!S185</f>
        <v>0</v>
      </c>
      <c r="T185" s="54">
        <f>Данные!T185</f>
        <v>0</v>
      </c>
      <c r="U185" s="54">
        <f>Данные!U185</f>
        <v>0</v>
      </c>
      <c r="V185" s="54">
        <f>Данные!V185</f>
        <v>0</v>
      </c>
      <c r="W185" s="54">
        <f ca="1">Данные!W185</f>
        <v>27</v>
      </c>
      <c r="X185" s="54" t="str">
        <f ca="1">Данные!X185</f>
        <v>1</v>
      </c>
      <c r="Y185" s="54" t="str">
        <f ca="1">Данные!Y185</f>
        <v>2</v>
      </c>
      <c r="Z185" s="54">
        <f>Данные!Z185</f>
        <v>0</v>
      </c>
      <c r="AA185" s="54" t="str">
        <f>Данные!AA185</f>
        <v>осн</v>
      </c>
      <c r="AB185" s="101">
        <f t="shared" si="22"/>
        <v>700</v>
      </c>
      <c r="AC185" s="101" t="str">
        <f t="shared" si="23"/>
        <v>ИВТ (бак)</v>
      </c>
      <c r="AD185" s="101" t="str">
        <f t="shared" si="24"/>
        <v/>
      </c>
      <c r="AE185" s="102">
        <f t="shared" ca="1" si="25"/>
        <v>24.41</v>
      </c>
      <c r="AF185" s="103">
        <f t="shared" ca="1" si="26"/>
        <v>3.4871428571428574E-2</v>
      </c>
      <c r="AG185" s="101"/>
      <c r="AH185" s="101"/>
      <c r="AI185"/>
      <c r="BQ185" s="72">
        <v>0</v>
      </c>
      <c r="BR185" s="72">
        <v>0</v>
      </c>
      <c r="BS185" s="72">
        <v>0</v>
      </c>
      <c r="BT185" s="72">
        <v>0</v>
      </c>
      <c r="BU185" s="72">
        <v>0</v>
      </c>
      <c r="BV185" s="72">
        <v>0</v>
      </c>
      <c r="BW185" s="72">
        <v>0</v>
      </c>
      <c r="BX185" s="72">
        <v>0</v>
      </c>
      <c r="BY185" s="72">
        <v>0</v>
      </c>
      <c r="BZ185" s="72">
        <v>0</v>
      </c>
      <c r="CA185" s="72">
        <v>0</v>
      </c>
      <c r="CB185" s="72">
        <v>0</v>
      </c>
      <c r="CC185" s="72">
        <v>0</v>
      </c>
      <c r="CD185" s="72">
        <v>0</v>
      </c>
      <c r="CE185" s="72">
        <v>0</v>
      </c>
      <c r="CF185" s="72">
        <v>0</v>
      </c>
      <c r="CG185" s="72">
        <v>0</v>
      </c>
      <c r="CH185" s="72">
        <v>0</v>
      </c>
      <c r="CI185" s="72">
        <v>0</v>
      </c>
      <c r="CJ185" s="72">
        <v>0</v>
      </c>
      <c r="CK185" s="72">
        <v>0</v>
      </c>
      <c r="CL185" s="72">
        <v>0</v>
      </c>
      <c r="CM185" s="72">
        <v>0</v>
      </c>
      <c r="CN185" s="72">
        <v>0</v>
      </c>
      <c r="CO185" s="72">
        <v>0</v>
      </c>
      <c r="CP185" s="72">
        <v>0</v>
      </c>
      <c r="CQ185" s="72">
        <v>0</v>
      </c>
      <c r="CR185" s="72">
        <v>0</v>
      </c>
      <c r="CS185" s="72">
        <v>0</v>
      </c>
      <c r="CT185" s="72">
        <v>0</v>
      </c>
      <c r="CU185" s="72">
        <v>0</v>
      </c>
      <c r="CV185" s="72">
        <v>0</v>
      </c>
      <c r="CW185" s="72">
        <v>0</v>
      </c>
      <c r="CX185" s="72">
        <v>0</v>
      </c>
      <c r="CY185" s="72">
        <v>0</v>
      </c>
      <c r="CZ185" s="72">
        <v>0</v>
      </c>
      <c r="DA185" s="72">
        <v>0</v>
      </c>
      <c r="DB185" s="72">
        <v>0</v>
      </c>
      <c r="DC185" s="72">
        <v>0</v>
      </c>
      <c r="DD185" s="72">
        <v>0</v>
      </c>
      <c r="DE185" s="72">
        <v>0</v>
      </c>
      <c r="DF185" s="72">
        <v>0</v>
      </c>
      <c r="DG185" s="72">
        <v>0</v>
      </c>
      <c r="DH185" s="72">
        <v>0</v>
      </c>
      <c r="DI185" s="72">
        <v>0</v>
      </c>
      <c r="DJ185" s="72">
        <v>0</v>
      </c>
      <c r="DK185" s="72">
        <v>0</v>
      </c>
      <c r="DL185" s="72">
        <v>0</v>
      </c>
      <c r="DM185" s="72">
        <v>0</v>
      </c>
      <c r="DN185" s="72">
        <v>0</v>
      </c>
      <c r="DO185" s="72">
        <v>0</v>
      </c>
      <c r="DP185" s="72">
        <v>0</v>
      </c>
      <c r="DQ185" s="72">
        <v>0</v>
      </c>
      <c r="DR185" s="72">
        <v>0</v>
      </c>
      <c r="DS185" s="72">
        <v>0</v>
      </c>
      <c r="DT185" s="72">
        <v>0</v>
      </c>
      <c r="DU185" s="72">
        <v>0</v>
      </c>
      <c r="DV185" s="72">
        <v>0</v>
      </c>
      <c r="DW185" s="72">
        <v>0</v>
      </c>
      <c r="DX185" s="72">
        <v>0</v>
      </c>
      <c r="DY185" s="72">
        <v>0</v>
      </c>
      <c r="DZ185" s="72">
        <v>0</v>
      </c>
      <c r="EA185" s="72">
        <v>0</v>
      </c>
      <c r="EB185" s="72">
        <v>0</v>
      </c>
      <c r="EC185" s="72">
        <v>0</v>
      </c>
      <c r="ED185" s="72">
        <v>0</v>
      </c>
      <c r="EE185" s="72">
        <v>0</v>
      </c>
      <c r="EF185" s="72">
        <v>0</v>
      </c>
      <c r="EG185" s="72">
        <v>0</v>
      </c>
      <c r="EH185" s="72">
        <v>0</v>
      </c>
      <c r="EI185" s="72">
        <v>0</v>
      </c>
      <c r="EJ185" s="72">
        <v>0</v>
      </c>
      <c r="EK185" s="72">
        <v>0</v>
      </c>
      <c r="EL185" s="72">
        <v>0</v>
      </c>
    </row>
    <row r="186" spans="1:142" s="6" customFormat="1" x14ac:dyDescent="0.35">
      <c r="A186" s="59">
        <f>Данные!A186</f>
        <v>5791</v>
      </c>
      <c r="B186" s="59">
        <f>Данные!B186</f>
        <v>2020</v>
      </c>
      <c r="C186" s="59" t="str">
        <f>Данные!C186</f>
        <v>компьютерных технологий и электронного обучения</v>
      </c>
      <c r="D186" s="59" t="str">
        <f>Данные!D186</f>
        <v>Гончарова Светлана Викторовна</v>
      </c>
      <c r="E186" s="59" t="str">
        <f>Данные!E186</f>
        <v>кандидат педагогических наук</v>
      </c>
      <c r="F186" s="59" t="str">
        <f>Данные!F186</f>
        <v>доцент</v>
      </c>
      <c r="G186" s="59">
        <f>Данные!G186</f>
        <v>1</v>
      </c>
      <c r="H186" s="59">
        <f>Данные!H186</f>
        <v>17232</v>
      </c>
      <c r="I186" s="59" t="str">
        <f>Данные!I186</f>
        <v>Участие в ГЭК (защита, экзамен)</v>
      </c>
      <c r="J186" s="59">
        <f>Данные!J186</f>
        <v>0</v>
      </c>
      <c r="K186" s="59">
        <f>Данные!K186</f>
        <v>0</v>
      </c>
      <c r="L186" s="59">
        <f>Данные!L186</f>
        <v>0</v>
      </c>
      <c r="M186" s="60">
        <f t="shared" si="18"/>
        <v>0</v>
      </c>
      <c r="N186" s="60">
        <f t="shared" ca="1" si="19"/>
        <v>10.91</v>
      </c>
      <c r="O186" s="60">
        <f t="shared" ca="1" si="20"/>
        <v>6.75</v>
      </c>
      <c r="P186" s="60">
        <f t="shared" ca="1" si="21"/>
        <v>6.75</v>
      </c>
      <c r="Q186" s="54">
        <f>Данные!Q186</f>
        <v>0</v>
      </c>
      <c r="R186" s="54">
        <f>Данные!R186</f>
        <v>0</v>
      </c>
      <c r="S186" s="54">
        <f>Данные!S186</f>
        <v>0</v>
      </c>
      <c r="T186" s="54">
        <f>Данные!T186</f>
        <v>0</v>
      </c>
      <c r="U186" s="54">
        <f>Данные!U186</f>
        <v>0</v>
      </c>
      <c r="V186" s="54">
        <f>Данные!V186</f>
        <v>0</v>
      </c>
      <c r="W186" s="54">
        <f ca="1">Данные!W186</f>
        <v>27</v>
      </c>
      <c r="X186" s="54" t="str">
        <f ca="1">Данные!X186</f>
        <v>1</v>
      </c>
      <c r="Y186" s="54" t="str">
        <f ca="1">Данные!Y186</f>
        <v>2</v>
      </c>
      <c r="Z186" s="54">
        <f>Данные!Z186</f>
        <v>0</v>
      </c>
      <c r="AA186" s="54" t="str">
        <f>Данные!AA186</f>
        <v>осн</v>
      </c>
      <c r="AB186" s="101">
        <f t="shared" si="22"/>
        <v>800</v>
      </c>
      <c r="AC186" s="101" t="str">
        <f t="shared" si="23"/>
        <v>ИВТ (бак)</v>
      </c>
      <c r="AD186" s="101" t="str">
        <f t="shared" si="24"/>
        <v/>
      </c>
      <c r="AE186" s="102">
        <f t="shared" ca="1" si="25"/>
        <v>24.41</v>
      </c>
      <c r="AF186" s="103">
        <f t="shared" ca="1" si="26"/>
        <v>3.0512500000000001E-2</v>
      </c>
      <c r="AG186" s="101"/>
      <c r="AH186" s="101"/>
      <c r="AI186"/>
      <c r="BQ186" s="72">
        <v>0</v>
      </c>
      <c r="BR186" s="72">
        <v>0</v>
      </c>
      <c r="BS186" s="72">
        <v>0</v>
      </c>
      <c r="BT186" s="72">
        <v>0</v>
      </c>
      <c r="BU186" s="72">
        <v>0</v>
      </c>
      <c r="BV186" s="72">
        <v>0</v>
      </c>
      <c r="BW186" s="72">
        <v>0</v>
      </c>
      <c r="BX186" s="72">
        <v>0</v>
      </c>
      <c r="BY186" s="72">
        <v>0</v>
      </c>
      <c r="BZ186" s="72">
        <v>0</v>
      </c>
      <c r="CA186" s="72">
        <v>0</v>
      </c>
      <c r="CB186" s="72">
        <v>0</v>
      </c>
      <c r="CC186" s="72">
        <v>0</v>
      </c>
      <c r="CD186" s="72">
        <v>0</v>
      </c>
      <c r="CE186" s="72">
        <v>0</v>
      </c>
      <c r="CF186" s="72">
        <v>0</v>
      </c>
      <c r="CG186" s="72">
        <v>0</v>
      </c>
      <c r="CH186" s="72">
        <v>0</v>
      </c>
      <c r="CI186" s="72">
        <v>0</v>
      </c>
      <c r="CJ186" s="72">
        <v>0</v>
      </c>
      <c r="CK186" s="72">
        <v>0</v>
      </c>
      <c r="CL186" s="72">
        <v>0</v>
      </c>
      <c r="CM186" s="72">
        <v>0</v>
      </c>
      <c r="CN186" s="72">
        <v>0</v>
      </c>
      <c r="CO186" s="72">
        <v>0</v>
      </c>
      <c r="CP186" s="72">
        <v>0</v>
      </c>
      <c r="CQ186" s="72">
        <v>0</v>
      </c>
      <c r="CR186" s="72">
        <v>0</v>
      </c>
      <c r="CS186" s="72">
        <v>0</v>
      </c>
      <c r="CT186" s="72">
        <v>0</v>
      </c>
      <c r="CU186" s="72">
        <v>0</v>
      </c>
      <c r="CV186" s="72">
        <v>0</v>
      </c>
      <c r="CW186" s="72">
        <v>0</v>
      </c>
      <c r="CX186" s="72">
        <v>0</v>
      </c>
      <c r="CY186" s="72">
        <v>0</v>
      </c>
      <c r="CZ186" s="72">
        <v>0</v>
      </c>
      <c r="DA186" s="72">
        <v>0</v>
      </c>
      <c r="DB186" s="72">
        <v>0</v>
      </c>
      <c r="DC186" s="72">
        <v>0</v>
      </c>
      <c r="DD186" s="72">
        <v>0</v>
      </c>
      <c r="DE186" s="72">
        <v>0</v>
      </c>
      <c r="DF186" s="72">
        <v>0</v>
      </c>
      <c r="DG186" s="72">
        <v>0</v>
      </c>
      <c r="DH186" s="72">
        <v>0</v>
      </c>
      <c r="DI186" s="72">
        <v>0</v>
      </c>
      <c r="DJ186" s="72">
        <v>0</v>
      </c>
      <c r="DK186" s="72">
        <v>0</v>
      </c>
      <c r="DL186" s="72">
        <v>0</v>
      </c>
      <c r="DM186" s="72">
        <v>0</v>
      </c>
      <c r="DN186" s="72">
        <v>0</v>
      </c>
      <c r="DO186" s="72">
        <v>0</v>
      </c>
      <c r="DP186" s="72">
        <v>0</v>
      </c>
      <c r="DQ186" s="72">
        <v>0</v>
      </c>
      <c r="DR186" s="72">
        <v>0</v>
      </c>
      <c r="DS186" s="72">
        <v>0</v>
      </c>
      <c r="DT186" s="72">
        <v>0</v>
      </c>
      <c r="DU186" s="72">
        <v>0</v>
      </c>
      <c r="DV186" s="72">
        <v>0</v>
      </c>
      <c r="DW186" s="72">
        <v>0</v>
      </c>
      <c r="DX186" s="72">
        <v>0</v>
      </c>
      <c r="DY186" s="72">
        <v>0</v>
      </c>
      <c r="DZ186" s="72">
        <v>0</v>
      </c>
      <c r="EA186" s="72">
        <v>0</v>
      </c>
      <c r="EB186" s="72">
        <v>0</v>
      </c>
      <c r="EC186" s="72">
        <v>0</v>
      </c>
      <c r="ED186" s="72">
        <v>0</v>
      </c>
      <c r="EE186" s="72">
        <v>0</v>
      </c>
      <c r="EF186" s="72">
        <v>0</v>
      </c>
      <c r="EG186" s="72">
        <v>0</v>
      </c>
      <c r="EH186" s="72">
        <v>0</v>
      </c>
      <c r="EI186" s="72">
        <v>0</v>
      </c>
      <c r="EJ186" s="72">
        <v>0</v>
      </c>
      <c r="EK186" s="72">
        <v>0</v>
      </c>
      <c r="EL186" s="72">
        <v>0</v>
      </c>
    </row>
    <row r="187" spans="1:142" s="6" customFormat="1" x14ac:dyDescent="0.35">
      <c r="A187" s="59">
        <f>Данные!A187</f>
        <v>5791</v>
      </c>
      <c r="B187" s="59">
        <f>Данные!B187</f>
        <v>2020</v>
      </c>
      <c r="C187" s="59" t="str">
        <f>Данные!C187</f>
        <v>компьютерных технологий и электронного обучения</v>
      </c>
      <c r="D187" s="59" t="str">
        <f>Данные!D187</f>
        <v>Карпова Наталья Александровна</v>
      </c>
      <c r="E187" s="59" t="str">
        <f>Данные!E187</f>
        <v>кандидат технических наук</v>
      </c>
      <c r="F187" s="59" t="str">
        <f>Данные!F187</f>
        <v>доцент</v>
      </c>
      <c r="G187" s="59">
        <f>Данные!G187</f>
        <v>0.75</v>
      </c>
      <c r="H187" s="59">
        <f>Данные!H187</f>
        <v>17232</v>
      </c>
      <c r="I187" s="59" t="str">
        <f>Данные!I187</f>
        <v>Участие в ГЭК (защита, экзамен)</v>
      </c>
      <c r="J187" s="59">
        <f>Данные!J187</f>
        <v>0</v>
      </c>
      <c r="K187" s="59">
        <f>Данные!K187</f>
        <v>0</v>
      </c>
      <c r="L187" s="59">
        <f>Данные!L187</f>
        <v>0</v>
      </c>
      <c r="M187" s="60">
        <f t="shared" si="18"/>
        <v>0</v>
      </c>
      <c r="N187" s="60">
        <f t="shared" ca="1" si="19"/>
        <v>10.91</v>
      </c>
      <c r="O187" s="60">
        <f t="shared" ca="1" si="20"/>
        <v>6.75</v>
      </c>
      <c r="P187" s="60">
        <f t="shared" ca="1" si="21"/>
        <v>6.75</v>
      </c>
      <c r="Q187" s="54">
        <f>Данные!Q187</f>
        <v>0</v>
      </c>
      <c r="R187" s="54">
        <f>Данные!R187</f>
        <v>0</v>
      </c>
      <c r="S187" s="54">
        <f>Данные!S187</f>
        <v>0</v>
      </c>
      <c r="T187" s="54">
        <f>Данные!T187</f>
        <v>0</v>
      </c>
      <c r="U187" s="54">
        <f>Данные!U187</f>
        <v>0</v>
      </c>
      <c r="V187" s="54">
        <f>Данные!V187</f>
        <v>0</v>
      </c>
      <c r="W187" s="54">
        <f ca="1">Данные!W187</f>
        <v>27</v>
      </c>
      <c r="X187" s="54" t="str">
        <f ca="1">Данные!X187</f>
        <v>1</v>
      </c>
      <c r="Y187" s="54" t="str">
        <f ca="1">Данные!Y187</f>
        <v>2</v>
      </c>
      <c r="Z187" s="54">
        <f>Данные!Z187</f>
        <v>0</v>
      </c>
      <c r="AA187" s="54" t="str">
        <f>Данные!AA187</f>
        <v>осн</v>
      </c>
      <c r="AB187" s="101">
        <f t="shared" si="22"/>
        <v>800</v>
      </c>
      <c r="AC187" s="101" t="str">
        <f t="shared" si="23"/>
        <v>ИВТ (бак)</v>
      </c>
      <c r="AD187" s="101" t="str">
        <f t="shared" si="24"/>
        <v/>
      </c>
      <c r="AE187" s="102">
        <f t="shared" ca="1" si="25"/>
        <v>24.41</v>
      </c>
      <c r="AF187" s="103">
        <f t="shared" ca="1" si="26"/>
        <v>3.0512500000000001E-2</v>
      </c>
      <c r="AG187" s="101"/>
      <c r="AH187" s="101"/>
      <c r="AI187"/>
      <c r="BQ187" s="72">
        <v>0</v>
      </c>
      <c r="BR187" s="72">
        <v>0</v>
      </c>
      <c r="BS187" s="72">
        <v>0</v>
      </c>
      <c r="BT187" s="72">
        <v>0</v>
      </c>
      <c r="BU187" s="72">
        <v>0</v>
      </c>
      <c r="BV187" s="72">
        <v>0</v>
      </c>
      <c r="BW187" s="72">
        <v>0</v>
      </c>
      <c r="BX187" s="72">
        <v>0</v>
      </c>
      <c r="BY187" s="72">
        <v>0</v>
      </c>
      <c r="BZ187" s="72">
        <v>0</v>
      </c>
      <c r="CA187" s="72">
        <v>0</v>
      </c>
      <c r="CB187" s="72">
        <v>0</v>
      </c>
      <c r="CC187" s="72">
        <v>0</v>
      </c>
      <c r="CD187" s="72">
        <v>0</v>
      </c>
      <c r="CE187" s="72">
        <v>0</v>
      </c>
      <c r="CF187" s="72">
        <v>0</v>
      </c>
      <c r="CG187" s="72">
        <v>0</v>
      </c>
      <c r="CH187" s="72">
        <v>0</v>
      </c>
      <c r="CI187" s="72">
        <v>0</v>
      </c>
      <c r="CJ187" s="72">
        <v>0</v>
      </c>
      <c r="CK187" s="72">
        <v>0</v>
      </c>
      <c r="CL187" s="72">
        <v>0</v>
      </c>
      <c r="CM187" s="72">
        <v>0</v>
      </c>
      <c r="CN187" s="72">
        <v>0</v>
      </c>
      <c r="CO187" s="72">
        <v>0</v>
      </c>
      <c r="CP187" s="72">
        <v>0</v>
      </c>
      <c r="CQ187" s="72">
        <v>0</v>
      </c>
      <c r="CR187" s="72">
        <v>0</v>
      </c>
      <c r="CS187" s="72">
        <v>0</v>
      </c>
      <c r="CT187" s="72">
        <v>0</v>
      </c>
      <c r="CU187" s="72">
        <v>0</v>
      </c>
      <c r="CV187" s="72">
        <v>0</v>
      </c>
      <c r="CW187" s="72">
        <v>0</v>
      </c>
      <c r="CX187" s="72">
        <v>0</v>
      </c>
      <c r="CY187" s="72">
        <v>0</v>
      </c>
      <c r="CZ187" s="72">
        <v>0</v>
      </c>
      <c r="DA187" s="72">
        <v>0</v>
      </c>
      <c r="DB187" s="72">
        <v>0</v>
      </c>
      <c r="DC187" s="72">
        <v>0</v>
      </c>
      <c r="DD187" s="72">
        <v>0</v>
      </c>
      <c r="DE187" s="72">
        <v>0</v>
      </c>
      <c r="DF187" s="72">
        <v>0</v>
      </c>
      <c r="DG187" s="72">
        <v>0</v>
      </c>
      <c r="DH187" s="72">
        <v>0</v>
      </c>
      <c r="DI187" s="72">
        <v>0</v>
      </c>
      <c r="DJ187" s="72">
        <v>0</v>
      </c>
      <c r="DK187" s="72">
        <v>0</v>
      </c>
      <c r="DL187" s="72">
        <v>0</v>
      </c>
      <c r="DM187" s="72">
        <v>0</v>
      </c>
      <c r="DN187" s="72">
        <v>0</v>
      </c>
      <c r="DO187" s="72">
        <v>0</v>
      </c>
      <c r="DP187" s="72">
        <v>0</v>
      </c>
      <c r="DQ187" s="72">
        <v>0</v>
      </c>
      <c r="DR187" s="72">
        <v>0</v>
      </c>
      <c r="DS187" s="72">
        <v>0</v>
      </c>
      <c r="DT187" s="72">
        <v>0</v>
      </c>
      <c r="DU187" s="72">
        <v>0</v>
      </c>
      <c r="DV187" s="72">
        <v>0</v>
      </c>
      <c r="DW187" s="72">
        <v>0</v>
      </c>
      <c r="DX187" s="72">
        <v>0</v>
      </c>
      <c r="DY187" s="72">
        <v>0</v>
      </c>
      <c r="DZ187" s="72">
        <v>0</v>
      </c>
      <c r="EA187" s="72">
        <v>0</v>
      </c>
      <c r="EB187" s="72">
        <v>0</v>
      </c>
      <c r="EC187" s="72">
        <v>0</v>
      </c>
      <c r="ED187" s="72">
        <v>0</v>
      </c>
      <c r="EE187" s="72">
        <v>0</v>
      </c>
      <c r="EF187" s="72">
        <v>0</v>
      </c>
      <c r="EG187" s="72">
        <v>0</v>
      </c>
      <c r="EH187" s="72">
        <v>0</v>
      </c>
      <c r="EI187" s="72">
        <v>0</v>
      </c>
      <c r="EJ187" s="72">
        <v>0</v>
      </c>
      <c r="EK187" s="72">
        <v>0</v>
      </c>
      <c r="EL187" s="72">
        <v>0</v>
      </c>
    </row>
    <row r="188" spans="1:142" s="6" customFormat="1" x14ac:dyDescent="0.35">
      <c r="A188" s="59">
        <f>Данные!A188</f>
        <v>6368</v>
      </c>
      <c r="B188" s="59">
        <f>Данные!B188</f>
        <v>2021</v>
      </c>
      <c r="C188" s="59" t="str">
        <f>Данные!C188</f>
        <v>компьютерных технологий и электронного обучения</v>
      </c>
      <c r="D188" s="59" t="str">
        <f>Данные!D188</f>
        <v>Власова Елена Зотиковна</v>
      </c>
      <c r="E188" s="59" t="str">
        <f>Данные!E188</f>
        <v>доктор педагогических наук</v>
      </c>
      <c r="F188" s="59" t="str">
        <f>Данные!F188</f>
        <v>заведующий кафедрой</v>
      </c>
      <c r="G188" s="59">
        <f>Данные!G188</f>
        <v>1</v>
      </c>
      <c r="H188" s="59">
        <f>Данные!H188</f>
        <v>17232</v>
      </c>
      <c r="I188" s="59" t="str">
        <f>Данные!I188</f>
        <v>Участие в ГЭК (защита, экзамен)</v>
      </c>
      <c r="J188" s="59">
        <f>Данные!J188</f>
        <v>0</v>
      </c>
      <c r="K188" s="59">
        <f>Данные!K188</f>
        <v>0</v>
      </c>
      <c r="L188" s="59">
        <f>Данные!L188</f>
        <v>0</v>
      </c>
      <c r="M188" s="60">
        <f t="shared" si="18"/>
        <v>0</v>
      </c>
      <c r="N188" s="60">
        <f t="shared" ca="1" si="19"/>
        <v>10.91</v>
      </c>
      <c r="O188" s="60">
        <f t="shared" ca="1" si="20"/>
        <v>6.75</v>
      </c>
      <c r="P188" s="60">
        <f t="shared" ca="1" si="21"/>
        <v>6.75</v>
      </c>
      <c r="Q188" s="54">
        <f>Данные!Q188</f>
        <v>0</v>
      </c>
      <c r="R188" s="54">
        <f>Данные!R188</f>
        <v>0</v>
      </c>
      <c r="S188" s="54">
        <f>Данные!S188</f>
        <v>0</v>
      </c>
      <c r="T188" s="54">
        <f>Данные!T188</f>
        <v>0</v>
      </c>
      <c r="U188" s="54">
        <f>Данные!U188</f>
        <v>0</v>
      </c>
      <c r="V188" s="54">
        <f>Данные!V188</f>
        <v>0</v>
      </c>
      <c r="W188" s="54">
        <f ca="1">Данные!W188</f>
        <v>27</v>
      </c>
      <c r="X188" s="54" t="str">
        <f ca="1">Данные!X188</f>
        <v>1</v>
      </c>
      <c r="Y188" s="54" t="str">
        <f ca="1">Данные!Y188</f>
        <v>2</v>
      </c>
      <c r="Z188" s="54">
        <f>Данные!Z188</f>
        <v>0</v>
      </c>
      <c r="AA188" s="54" t="str">
        <f>Данные!AA188</f>
        <v>осн</v>
      </c>
      <c r="AB188" s="101">
        <f t="shared" si="22"/>
        <v>700</v>
      </c>
      <c r="AC188" s="101" t="str">
        <f t="shared" si="23"/>
        <v>ИВТ (бак)</v>
      </c>
      <c r="AD188" s="101" t="str">
        <f t="shared" si="24"/>
        <v/>
      </c>
      <c r="AE188" s="102">
        <f t="shared" ca="1" si="25"/>
        <v>24.41</v>
      </c>
      <c r="AF188" s="103">
        <f t="shared" ca="1" si="26"/>
        <v>3.4871428571428574E-2</v>
      </c>
      <c r="AG188" s="101"/>
      <c r="AH188" s="101"/>
      <c r="AI188"/>
      <c r="BQ188" s="72">
        <v>0</v>
      </c>
      <c r="BR188" s="72">
        <v>0</v>
      </c>
      <c r="BS188" s="72">
        <v>0</v>
      </c>
      <c r="BT188" s="72">
        <v>0</v>
      </c>
      <c r="BU188" s="72">
        <v>0</v>
      </c>
      <c r="BV188" s="72">
        <v>0</v>
      </c>
      <c r="BW188" s="72">
        <v>0</v>
      </c>
      <c r="BX188" s="72">
        <v>0</v>
      </c>
      <c r="BY188" s="72">
        <v>0</v>
      </c>
      <c r="BZ188" s="72">
        <v>0</v>
      </c>
      <c r="CA188" s="72">
        <v>0</v>
      </c>
      <c r="CB188" s="72">
        <v>0</v>
      </c>
      <c r="CC188" s="72">
        <v>0</v>
      </c>
      <c r="CD188" s="72">
        <v>0</v>
      </c>
      <c r="CE188" s="72">
        <v>0</v>
      </c>
      <c r="CF188" s="72">
        <v>0</v>
      </c>
      <c r="CG188" s="72">
        <v>0</v>
      </c>
      <c r="CH188" s="72">
        <v>0</v>
      </c>
      <c r="CI188" s="72">
        <v>0</v>
      </c>
      <c r="CJ188" s="72">
        <v>0</v>
      </c>
      <c r="CK188" s="72">
        <v>0</v>
      </c>
      <c r="CL188" s="72">
        <v>0</v>
      </c>
      <c r="CM188" s="72">
        <v>0</v>
      </c>
      <c r="CN188" s="72">
        <v>0</v>
      </c>
      <c r="CO188" s="72">
        <v>0</v>
      </c>
      <c r="CP188" s="72">
        <v>0</v>
      </c>
      <c r="CQ188" s="72">
        <v>0</v>
      </c>
      <c r="CR188" s="72">
        <v>0</v>
      </c>
      <c r="CS188" s="72">
        <v>0</v>
      </c>
      <c r="CT188" s="72">
        <v>0</v>
      </c>
      <c r="CU188" s="72">
        <v>0</v>
      </c>
      <c r="CV188" s="72">
        <v>0</v>
      </c>
      <c r="CW188" s="72">
        <v>0</v>
      </c>
      <c r="CX188" s="72">
        <v>0</v>
      </c>
      <c r="CY188" s="72">
        <v>0</v>
      </c>
      <c r="CZ188" s="72">
        <v>0</v>
      </c>
      <c r="DA188" s="72">
        <v>0</v>
      </c>
      <c r="DB188" s="72">
        <v>0</v>
      </c>
      <c r="DC188" s="72">
        <v>0</v>
      </c>
      <c r="DD188" s="72">
        <v>0</v>
      </c>
      <c r="DE188" s="72">
        <v>0</v>
      </c>
      <c r="DF188" s="72">
        <v>0</v>
      </c>
      <c r="DG188" s="72">
        <v>0</v>
      </c>
      <c r="DH188" s="72">
        <v>0</v>
      </c>
      <c r="DI188" s="72">
        <v>0</v>
      </c>
      <c r="DJ188" s="72">
        <v>0</v>
      </c>
      <c r="DK188" s="72">
        <v>0</v>
      </c>
      <c r="DL188" s="72">
        <v>0</v>
      </c>
      <c r="DM188" s="72">
        <v>0</v>
      </c>
      <c r="DN188" s="72">
        <v>0</v>
      </c>
      <c r="DO188" s="72">
        <v>0</v>
      </c>
      <c r="DP188" s="72">
        <v>0</v>
      </c>
      <c r="DQ188" s="72">
        <v>0</v>
      </c>
      <c r="DR188" s="72">
        <v>0</v>
      </c>
      <c r="DS188" s="72">
        <v>0</v>
      </c>
      <c r="DT188" s="72">
        <v>0</v>
      </c>
      <c r="DU188" s="72">
        <v>0</v>
      </c>
      <c r="DV188" s="72">
        <v>0</v>
      </c>
      <c r="DW188" s="72">
        <v>0</v>
      </c>
      <c r="DX188" s="72">
        <v>0</v>
      </c>
      <c r="DY188" s="72">
        <v>0</v>
      </c>
      <c r="DZ188" s="72">
        <v>0</v>
      </c>
      <c r="EA188" s="72">
        <v>0</v>
      </c>
      <c r="EB188" s="72">
        <v>0</v>
      </c>
      <c r="EC188" s="72">
        <v>0</v>
      </c>
      <c r="ED188" s="72">
        <v>0</v>
      </c>
      <c r="EE188" s="72">
        <v>0</v>
      </c>
      <c r="EF188" s="72">
        <v>0</v>
      </c>
      <c r="EG188" s="72">
        <v>0</v>
      </c>
      <c r="EH188" s="72">
        <v>0</v>
      </c>
      <c r="EI188" s="72">
        <v>0</v>
      </c>
      <c r="EJ188" s="72">
        <v>0</v>
      </c>
      <c r="EK188" s="72">
        <v>0</v>
      </c>
      <c r="EL188" s="72">
        <v>0</v>
      </c>
    </row>
    <row r="189" spans="1:142" s="6" customFormat="1" x14ac:dyDescent="0.35">
      <c r="A189" s="59">
        <f>Данные!A189</f>
        <v>6368</v>
      </c>
      <c r="B189" s="59">
        <f>Данные!B189</f>
        <v>2021</v>
      </c>
      <c r="C189" s="59" t="str">
        <f>Данные!C189</f>
        <v>компьютерных технологий и электронного обучения</v>
      </c>
      <c r="D189" s="59" t="str">
        <f>Данные!D189</f>
        <v>Гончарова Светлана Викторовна</v>
      </c>
      <c r="E189" s="59" t="str">
        <f>Данные!E189</f>
        <v>кандидат педагогических наук</v>
      </c>
      <c r="F189" s="59" t="str">
        <f>Данные!F189</f>
        <v>доцент</v>
      </c>
      <c r="G189" s="59">
        <f>Данные!G189</f>
        <v>1</v>
      </c>
      <c r="H189" s="59">
        <f>Данные!H189</f>
        <v>17232</v>
      </c>
      <c r="I189" s="59" t="str">
        <f>Данные!I189</f>
        <v>Участие в ГЭК (защита, экзамен)</v>
      </c>
      <c r="J189" s="59">
        <f>Данные!J189</f>
        <v>0</v>
      </c>
      <c r="K189" s="59">
        <f>Данные!K189</f>
        <v>0</v>
      </c>
      <c r="L189" s="59">
        <f>Данные!L189</f>
        <v>0</v>
      </c>
      <c r="M189" s="60">
        <f t="shared" si="18"/>
        <v>0</v>
      </c>
      <c r="N189" s="60">
        <f t="shared" ca="1" si="19"/>
        <v>10.91</v>
      </c>
      <c r="O189" s="60">
        <f t="shared" ca="1" si="20"/>
        <v>6.75</v>
      </c>
      <c r="P189" s="60">
        <f t="shared" ca="1" si="21"/>
        <v>6.75</v>
      </c>
      <c r="Q189" s="54">
        <f>Данные!Q189</f>
        <v>0</v>
      </c>
      <c r="R189" s="54">
        <f>Данные!R189</f>
        <v>0</v>
      </c>
      <c r="S189" s="54">
        <f>Данные!S189</f>
        <v>0</v>
      </c>
      <c r="T189" s="54">
        <f>Данные!T189</f>
        <v>0</v>
      </c>
      <c r="U189" s="54">
        <f>Данные!U189</f>
        <v>0</v>
      </c>
      <c r="V189" s="54">
        <f>Данные!V189</f>
        <v>0</v>
      </c>
      <c r="W189" s="54">
        <f ca="1">Данные!W189</f>
        <v>27</v>
      </c>
      <c r="X189" s="54" t="str">
        <f ca="1">Данные!X189</f>
        <v>1</v>
      </c>
      <c r="Y189" s="54" t="str">
        <f ca="1">Данные!Y189</f>
        <v>2</v>
      </c>
      <c r="Z189" s="54">
        <f>Данные!Z189</f>
        <v>0</v>
      </c>
      <c r="AA189" s="54" t="str">
        <f>Данные!AA189</f>
        <v>доп</v>
      </c>
      <c r="AB189" s="101">
        <f t="shared" si="22"/>
        <v>800</v>
      </c>
      <c r="AC189" s="101" t="str">
        <f t="shared" si="23"/>
        <v>ИВТ (бак)</v>
      </c>
      <c r="AD189" s="101" t="str">
        <f t="shared" si="24"/>
        <v/>
      </c>
      <c r="AE189" s="102">
        <f t="shared" ca="1" si="25"/>
        <v>24.41</v>
      </c>
      <c r="AF189" s="103">
        <f t="shared" ca="1" si="26"/>
        <v>3.0512500000000001E-2</v>
      </c>
      <c r="AG189" s="101"/>
      <c r="AH189" s="101"/>
      <c r="AI189"/>
      <c r="BQ189" s="72">
        <v>0</v>
      </c>
      <c r="BR189" s="72">
        <v>0</v>
      </c>
      <c r="BS189" s="72">
        <v>0</v>
      </c>
      <c r="BT189" s="72">
        <v>0</v>
      </c>
      <c r="BU189" s="72">
        <v>0</v>
      </c>
      <c r="BV189" s="72">
        <v>0</v>
      </c>
      <c r="BW189" s="72">
        <v>0</v>
      </c>
      <c r="BX189" s="72">
        <v>0</v>
      </c>
      <c r="BY189" s="72">
        <v>0</v>
      </c>
      <c r="BZ189" s="72">
        <v>0</v>
      </c>
      <c r="CA189" s="72">
        <v>0</v>
      </c>
      <c r="CB189" s="72">
        <v>0</v>
      </c>
      <c r="CC189" s="72">
        <v>0</v>
      </c>
      <c r="CD189" s="72">
        <v>0</v>
      </c>
      <c r="CE189" s="72">
        <v>0</v>
      </c>
      <c r="CF189" s="72">
        <v>0</v>
      </c>
      <c r="CG189" s="72">
        <v>0</v>
      </c>
      <c r="CH189" s="72">
        <v>0</v>
      </c>
      <c r="CI189" s="72">
        <v>0</v>
      </c>
      <c r="CJ189" s="72">
        <v>0</v>
      </c>
      <c r="CK189" s="72">
        <v>0</v>
      </c>
      <c r="CL189" s="72">
        <v>0</v>
      </c>
      <c r="CM189" s="72">
        <v>0</v>
      </c>
      <c r="CN189" s="72">
        <v>0</v>
      </c>
      <c r="CO189" s="72">
        <v>0</v>
      </c>
      <c r="CP189" s="72">
        <v>0</v>
      </c>
      <c r="CQ189" s="72">
        <v>0</v>
      </c>
      <c r="CR189" s="72">
        <v>0</v>
      </c>
      <c r="CS189" s="72">
        <v>0</v>
      </c>
      <c r="CT189" s="72">
        <v>0</v>
      </c>
      <c r="CU189" s="72">
        <v>0</v>
      </c>
      <c r="CV189" s="72">
        <v>0</v>
      </c>
      <c r="CW189" s="72">
        <v>0</v>
      </c>
      <c r="CX189" s="72">
        <v>0</v>
      </c>
      <c r="CY189" s="72">
        <v>0</v>
      </c>
      <c r="CZ189" s="72">
        <v>0</v>
      </c>
      <c r="DA189" s="72">
        <v>0</v>
      </c>
      <c r="DB189" s="72">
        <v>0</v>
      </c>
      <c r="DC189" s="72">
        <v>0</v>
      </c>
      <c r="DD189" s="72">
        <v>0</v>
      </c>
      <c r="DE189" s="72">
        <v>0</v>
      </c>
      <c r="DF189" s="72">
        <v>0</v>
      </c>
      <c r="DG189" s="72">
        <v>0</v>
      </c>
      <c r="DH189" s="72">
        <v>0</v>
      </c>
      <c r="DI189" s="72">
        <v>0</v>
      </c>
      <c r="DJ189" s="72">
        <v>0</v>
      </c>
      <c r="DK189" s="72">
        <v>0</v>
      </c>
      <c r="DL189" s="72">
        <v>0</v>
      </c>
      <c r="DM189" s="72">
        <v>0</v>
      </c>
      <c r="DN189" s="72">
        <v>0</v>
      </c>
      <c r="DO189" s="72">
        <v>0</v>
      </c>
      <c r="DP189" s="72">
        <v>0</v>
      </c>
      <c r="DQ189" s="72">
        <v>0</v>
      </c>
      <c r="DR189" s="72">
        <v>0</v>
      </c>
      <c r="DS189" s="72">
        <v>0</v>
      </c>
      <c r="DT189" s="72">
        <v>0</v>
      </c>
      <c r="DU189" s="72">
        <v>0</v>
      </c>
      <c r="DV189" s="72">
        <v>0</v>
      </c>
      <c r="DW189" s="72">
        <v>0</v>
      </c>
      <c r="DX189" s="72">
        <v>0</v>
      </c>
      <c r="DY189" s="72">
        <v>0</v>
      </c>
      <c r="DZ189" s="72">
        <v>0</v>
      </c>
      <c r="EA189" s="72">
        <v>0</v>
      </c>
      <c r="EB189" s="72">
        <v>0</v>
      </c>
      <c r="EC189" s="72">
        <v>0</v>
      </c>
      <c r="ED189" s="72">
        <v>0</v>
      </c>
      <c r="EE189" s="72">
        <v>0</v>
      </c>
      <c r="EF189" s="72">
        <v>0</v>
      </c>
      <c r="EG189" s="72">
        <v>0</v>
      </c>
      <c r="EH189" s="72">
        <v>0</v>
      </c>
      <c r="EI189" s="72">
        <v>0</v>
      </c>
      <c r="EJ189" s="72">
        <v>0</v>
      </c>
      <c r="EK189" s="72">
        <v>0</v>
      </c>
      <c r="EL189" s="72">
        <v>0</v>
      </c>
    </row>
    <row r="190" spans="1:142" s="6" customFormat="1" x14ac:dyDescent="0.35">
      <c r="A190" s="59">
        <f>Данные!A190</f>
        <v>6368</v>
      </c>
      <c r="B190" s="59">
        <f>Данные!B190</f>
        <v>2021</v>
      </c>
      <c r="C190" s="59" t="str">
        <f>Данные!C190</f>
        <v>компьютерных технологий и электронного обучения</v>
      </c>
      <c r="D190" s="59" t="str">
        <f>Данные!D190</f>
        <v>Карпова Наталья Александровна</v>
      </c>
      <c r="E190" s="59" t="str">
        <f>Данные!E190</f>
        <v>кандидат технических наук</v>
      </c>
      <c r="F190" s="59" t="str">
        <f>Данные!F190</f>
        <v>доцент</v>
      </c>
      <c r="G190" s="59">
        <f>Данные!G190</f>
        <v>0.75</v>
      </c>
      <c r="H190" s="59">
        <f>Данные!H190</f>
        <v>17232</v>
      </c>
      <c r="I190" s="59" t="str">
        <f>Данные!I190</f>
        <v>Участие в ГЭК (защита, экзамен)</v>
      </c>
      <c r="J190" s="59">
        <f>Данные!J190</f>
        <v>0</v>
      </c>
      <c r="K190" s="59">
        <f>Данные!K190</f>
        <v>0</v>
      </c>
      <c r="L190" s="59">
        <f>Данные!L190</f>
        <v>0</v>
      </c>
      <c r="M190" s="60">
        <f t="shared" si="18"/>
        <v>0</v>
      </c>
      <c r="N190" s="60">
        <f t="shared" ca="1" si="19"/>
        <v>10.91</v>
      </c>
      <c r="O190" s="60">
        <f t="shared" ca="1" si="20"/>
        <v>6.75</v>
      </c>
      <c r="P190" s="60">
        <f t="shared" ca="1" si="21"/>
        <v>6.75</v>
      </c>
      <c r="Q190" s="54">
        <f>Данные!Q190</f>
        <v>0</v>
      </c>
      <c r="R190" s="54">
        <f>Данные!R190</f>
        <v>0</v>
      </c>
      <c r="S190" s="54">
        <f>Данные!S190</f>
        <v>0</v>
      </c>
      <c r="T190" s="54">
        <f>Данные!T190</f>
        <v>0</v>
      </c>
      <c r="U190" s="54">
        <f>Данные!U190</f>
        <v>0</v>
      </c>
      <c r="V190" s="54">
        <f>Данные!V190</f>
        <v>0</v>
      </c>
      <c r="W190" s="54">
        <f ca="1">Данные!W190</f>
        <v>27</v>
      </c>
      <c r="X190" s="54" t="str">
        <f ca="1">Данные!X190</f>
        <v>1</v>
      </c>
      <c r="Y190" s="54" t="str">
        <f ca="1">Данные!Y190</f>
        <v>2</v>
      </c>
      <c r="Z190" s="54">
        <f>Данные!Z190</f>
        <v>0</v>
      </c>
      <c r="AA190" s="54" t="str">
        <f>Данные!AA190</f>
        <v>осн</v>
      </c>
      <c r="AB190" s="101">
        <f t="shared" si="22"/>
        <v>800</v>
      </c>
      <c r="AC190" s="101" t="str">
        <f t="shared" si="23"/>
        <v>ИВТ (бак)</v>
      </c>
      <c r="AD190" s="101" t="str">
        <f t="shared" si="24"/>
        <v/>
      </c>
      <c r="AE190" s="102">
        <f t="shared" ca="1" si="25"/>
        <v>24.41</v>
      </c>
      <c r="AF190" s="103">
        <f t="shared" ca="1" si="26"/>
        <v>3.0512500000000001E-2</v>
      </c>
      <c r="AG190" s="101"/>
      <c r="AH190" s="101"/>
      <c r="AI190"/>
      <c r="BQ190" s="72">
        <v>0</v>
      </c>
      <c r="BR190" s="72">
        <v>0</v>
      </c>
      <c r="BS190" s="72">
        <v>0</v>
      </c>
      <c r="BT190" s="72">
        <v>0</v>
      </c>
      <c r="BU190" s="72">
        <v>0</v>
      </c>
      <c r="BV190" s="72">
        <v>0</v>
      </c>
      <c r="BW190" s="72">
        <v>0</v>
      </c>
      <c r="BX190" s="72">
        <v>0</v>
      </c>
      <c r="BY190" s="72">
        <v>0</v>
      </c>
      <c r="BZ190" s="72">
        <v>0</v>
      </c>
      <c r="CA190" s="72">
        <v>0</v>
      </c>
      <c r="CB190" s="72">
        <v>0</v>
      </c>
      <c r="CC190" s="72">
        <v>0</v>
      </c>
      <c r="CD190" s="72">
        <v>0</v>
      </c>
      <c r="CE190" s="72">
        <v>0</v>
      </c>
      <c r="CF190" s="72">
        <v>0</v>
      </c>
      <c r="CG190" s="72">
        <v>0</v>
      </c>
      <c r="CH190" s="72">
        <v>0</v>
      </c>
      <c r="CI190" s="72">
        <v>0</v>
      </c>
      <c r="CJ190" s="72">
        <v>0</v>
      </c>
      <c r="CK190" s="72">
        <v>0</v>
      </c>
      <c r="CL190" s="72">
        <v>0</v>
      </c>
      <c r="CM190" s="72">
        <v>0</v>
      </c>
      <c r="CN190" s="72">
        <v>0</v>
      </c>
      <c r="CO190" s="72">
        <v>0</v>
      </c>
      <c r="CP190" s="72">
        <v>0</v>
      </c>
      <c r="CQ190" s="72">
        <v>0</v>
      </c>
      <c r="CR190" s="72">
        <v>0</v>
      </c>
      <c r="CS190" s="72">
        <v>0</v>
      </c>
      <c r="CT190" s="72">
        <v>0</v>
      </c>
      <c r="CU190" s="72">
        <v>0</v>
      </c>
      <c r="CV190" s="72">
        <v>0</v>
      </c>
      <c r="CW190" s="72">
        <v>0</v>
      </c>
      <c r="CX190" s="72">
        <v>0</v>
      </c>
      <c r="CY190" s="72">
        <v>0</v>
      </c>
      <c r="CZ190" s="72">
        <v>0</v>
      </c>
      <c r="DA190" s="72">
        <v>0</v>
      </c>
      <c r="DB190" s="72">
        <v>0</v>
      </c>
      <c r="DC190" s="72">
        <v>0</v>
      </c>
      <c r="DD190" s="72">
        <v>0</v>
      </c>
      <c r="DE190" s="72">
        <v>0</v>
      </c>
      <c r="DF190" s="72">
        <v>0</v>
      </c>
      <c r="DG190" s="72">
        <v>0</v>
      </c>
      <c r="DH190" s="72">
        <v>0</v>
      </c>
      <c r="DI190" s="72">
        <v>0</v>
      </c>
      <c r="DJ190" s="72">
        <v>0</v>
      </c>
      <c r="DK190" s="72">
        <v>0</v>
      </c>
      <c r="DL190" s="72">
        <v>0</v>
      </c>
      <c r="DM190" s="72">
        <v>0</v>
      </c>
      <c r="DN190" s="72">
        <v>0</v>
      </c>
      <c r="DO190" s="72">
        <v>0</v>
      </c>
      <c r="DP190" s="72">
        <v>0</v>
      </c>
      <c r="DQ190" s="72">
        <v>0</v>
      </c>
      <c r="DR190" s="72">
        <v>0</v>
      </c>
      <c r="DS190" s="72">
        <v>0</v>
      </c>
      <c r="DT190" s="72">
        <v>0</v>
      </c>
      <c r="DU190" s="72">
        <v>0</v>
      </c>
      <c r="DV190" s="72">
        <v>0</v>
      </c>
      <c r="DW190" s="72">
        <v>0</v>
      </c>
      <c r="DX190" s="72">
        <v>0</v>
      </c>
      <c r="DY190" s="72">
        <v>0</v>
      </c>
      <c r="DZ190" s="72">
        <v>0</v>
      </c>
      <c r="EA190" s="72">
        <v>0</v>
      </c>
      <c r="EB190" s="72">
        <v>0</v>
      </c>
      <c r="EC190" s="72">
        <v>0</v>
      </c>
      <c r="ED190" s="72">
        <v>0</v>
      </c>
      <c r="EE190" s="72">
        <v>0</v>
      </c>
      <c r="EF190" s="72">
        <v>0</v>
      </c>
      <c r="EG190" s="72">
        <v>0</v>
      </c>
      <c r="EH190" s="72">
        <v>0</v>
      </c>
      <c r="EI190" s="72">
        <v>0</v>
      </c>
      <c r="EJ190" s="72">
        <v>0</v>
      </c>
      <c r="EK190" s="72">
        <v>0</v>
      </c>
      <c r="EL190" s="72">
        <v>0</v>
      </c>
    </row>
    <row r="191" spans="1:142" s="6" customFormat="1" x14ac:dyDescent="0.35">
      <c r="A191" s="59">
        <f>Данные!A191</f>
        <v>4858</v>
      </c>
      <c r="B191" s="59">
        <f>Данные!B191</f>
        <v>2018</v>
      </c>
      <c r="C191" s="59" t="str">
        <f>Данные!C191</f>
        <v>компьютерных технологий и электронного обучения</v>
      </c>
      <c r="D191" s="59" t="str">
        <f>Данные!D191</f>
        <v>Карпова Наталья Александровна</v>
      </c>
      <c r="E191" s="59" t="str">
        <f>Данные!E191</f>
        <v>кандидат технических наук</v>
      </c>
      <c r="F191" s="59" t="str">
        <f>Данные!F191</f>
        <v>доцент</v>
      </c>
      <c r="G191" s="59">
        <f>Данные!G191</f>
        <v>0.75</v>
      </c>
      <c r="H191" s="59">
        <f>Данные!H191</f>
        <v>17232</v>
      </c>
      <c r="I191" s="59" t="str">
        <f>Данные!I191</f>
        <v>Модуль "Информационные технологии". Интегрированные издательские системы и технологии</v>
      </c>
      <c r="J191" s="59">
        <f>Данные!J191</f>
        <v>16</v>
      </c>
      <c r="K191" s="59">
        <f>Данные!K191</f>
        <v>0</v>
      </c>
      <c r="L191" s="59">
        <f>Данные!L191</f>
        <v>40</v>
      </c>
      <c r="M191" s="60">
        <f t="shared" si="18"/>
        <v>5.6</v>
      </c>
      <c r="N191" s="60">
        <f t="shared" ca="1" si="19"/>
        <v>10.91</v>
      </c>
      <c r="O191" s="60">
        <f t="shared" ca="1" si="20"/>
        <v>6.75</v>
      </c>
      <c r="P191" s="60">
        <f t="shared" ca="1" si="21"/>
        <v>6.75</v>
      </c>
      <c r="Q191" s="54">
        <f>Данные!Q191</f>
        <v>0</v>
      </c>
      <c r="R191" s="54">
        <f>Данные!R191</f>
        <v>0</v>
      </c>
      <c r="S191" s="54">
        <f>Данные!S191</f>
        <v>0</v>
      </c>
      <c r="T191" s="54">
        <f>Данные!T191</f>
        <v>0</v>
      </c>
      <c r="U191" s="54">
        <f>Данные!U191</f>
        <v>0</v>
      </c>
      <c r="V191" s="54">
        <f>Данные!V191</f>
        <v>0</v>
      </c>
      <c r="W191" s="54">
        <f ca="1">Данные!W191</f>
        <v>27</v>
      </c>
      <c r="X191" s="54" t="str">
        <f ca="1">Данные!X191</f>
        <v>1</v>
      </c>
      <c r="Y191" s="54" t="str">
        <f ca="1">Данные!Y191</f>
        <v>2</v>
      </c>
      <c r="Z191" s="54">
        <f>Данные!Z191</f>
        <v>0</v>
      </c>
      <c r="AA191" s="54" t="str">
        <f>Данные!AA191</f>
        <v>осн</v>
      </c>
      <c r="AB191" s="101">
        <f t="shared" si="22"/>
        <v>800</v>
      </c>
      <c r="AC191" s="101" t="str">
        <f t="shared" si="23"/>
        <v>ИВТ (бак)</v>
      </c>
      <c r="AD191" s="101" t="str">
        <f t="shared" si="24"/>
        <v/>
      </c>
      <c r="AE191" s="102">
        <f t="shared" ca="1" si="25"/>
        <v>86.01</v>
      </c>
      <c r="AF191" s="103">
        <f t="shared" ca="1" si="26"/>
        <v>0.10751250000000001</v>
      </c>
      <c r="AG191" s="101"/>
      <c r="AH191" s="101"/>
      <c r="AI191"/>
      <c r="BQ191" s="72">
        <v>0</v>
      </c>
      <c r="BR191" s="72">
        <v>0</v>
      </c>
      <c r="BS191" s="72">
        <v>0</v>
      </c>
      <c r="BT191" s="72">
        <v>0</v>
      </c>
      <c r="BU191" s="72">
        <v>0</v>
      </c>
      <c r="BV191" s="72">
        <v>0</v>
      </c>
      <c r="BW191" s="72">
        <v>0</v>
      </c>
      <c r="BX191" s="72">
        <v>0</v>
      </c>
      <c r="BY191" s="72">
        <v>0</v>
      </c>
      <c r="BZ191" s="72">
        <v>0</v>
      </c>
      <c r="CA191" s="72">
        <v>0</v>
      </c>
      <c r="CB191" s="72">
        <v>0</v>
      </c>
      <c r="CC191" s="72">
        <v>0</v>
      </c>
      <c r="CD191" s="72">
        <v>0</v>
      </c>
      <c r="CE191" s="72">
        <v>0</v>
      </c>
      <c r="CF191" s="72">
        <v>0</v>
      </c>
      <c r="CG191" s="72">
        <v>0</v>
      </c>
      <c r="CH191" s="72">
        <v>0</v>
      </c>
      <c r="CI191" s="72">
        <v>0</v>
      </c>
      <c r="CJ191" s="72">
        <v>0</v>
      </c>
      <c r="CK191" s="72">
        <v>0</v>
      </c>
      <c r="CL191" s="72">
        <v>0</v>
      </c>
      <c r="CM191" s="72">
        <v>0</v>
      </c>
      <c r="CN191" s="72">
        <v>0</v>
      </c>
      <c r="CO191" s="72">
        <v>0</v>
      </c>
      <c r="CP191" s="72">
        <v>0</v>
      </c>
      <c r="CQ191" s="72">
        <v>0</v>
      </c>
      <c r="CR191" s="72">
        <v>0</v>
      </c>
      <c r="CS191" s="72">
        <v>0</v>
      </c>
      <c r="CT191" s="72">
        <v>0</v>
      </c>
      <c r="CU191" s="72">
        <v>0</v>
      </c>
      <c r="CV191" s="72">
        <v>0</v>
      </c>
      <c r="CW191" s="72">
        <v>0</v>
      </c>
      <c r="CX191" s="72">
        <v>0</v>
      </c>
      <c r="CY191" s="72">
        <v>0</v>
      </c>
      <c r="CZ191" s="72">
        <v>0</v>
      </c>
      <c r="DA191" s="72">
        <v>0</v>
      </c>
      <c r="DB191" s="72">
        <v>0</v>
      </c>
      <c r="DC191" s="72">
        <v>0</v>
      </c>
      <c r="DD191" s="72">
        <v>0</v>
      </c>
      <c r="DE191" s="72">
        <v>0</v>
      </c>
      <c r="DF191" s="72">
        <v>0</v>
      </c>
      <c r="DG191" s="72">
        <v>0</v>
      </c>
      <c r="DH191" s="72">
        <v>0</v>
      </c>
      <c r="DI191" s="72">
        <v>0</v>
      </c>
      <c r="DJ191" s="72">
        <v>0</v>
      </c>
      <c r="DK191" s="72">
        <v>0</v>
      </c>
      <c r="DL191" s="72">
        <v>0</v>
      </c>
      <c r="DM191" s="72">
        <v>0</v>
      </c>
      <c r="DN191" s="72">
        <v>0</v>
      </c>
      <c r="DO191" s="72">
        <v>0</v>
      </c>
      <c r="DP191" s="72">
        <v>0</v>
      </c>
      <c r="DQ191" s="72">
        <v>0</v>
      </c>
      <c r="DR191" s="72">
        <v>0</v>
      </c>
      <c r="DS191" s="72">
        <v>0</v>
      </c>
      <c r="DT191" s="72">
        <v>0</v>
      </c>
      <c r="DU191" s="72">
        <v>0</v>
      </c>
      <c r="DV191" s="72">
        <v>0</v>
      </c>
      <c r="DW191" s="72">
        <v>0</v>
      </c>
      <c r="DX191" s="72">
        <v>0</v>
      </c>
      <c r="DY191" s="72">
        <v>0</v>
      </c>
      <c r="DZ191" s="72">
        <v>0</v>
      </c>
      <c r="EA191" s="72">
        <v>0</v>
      </c>
      <c r="EB191" s="72">
        <v>0</v>
      </c>
      <c r="EC191" s="72">
        <v>0</v>
      </c>
      <c r="ED191" s="72">
        <v>0</v>
      </c>
      <c r="EE191" s="72">
        <v>0</v>
      </c>
      <c r="EF191" s="72">
        <v>0</v>
      </c>
      <c r="EG191" s="72">
        <v>0</v>
      </c>
      <c r="EH191" s="72">
        <v>0</v>
      </c>
      <c r="EI191" s="72">
        <v>0</v>
      </c>
      <c r="EJ191" s="72">
        <v>0</v>
      </c>
      <c r="EK191" s="72">
        <v>0</v>
      </c>
      <c r="EL191" s="72">
        <v>0</v>
      </c>
    </row>
    <row r="192" spans="1:142" s="6" customFormat="1" x14ac:dyDescent="0.35">
      <c r="A192" s="59">
        <f>Данные!A192</f>
        <v>5719</v>
      </c>
      <c r="B192" s="59">
        <f>Данные!B192</f>
        <v>2017</v>
      </c>
      <c r="C192" s="59" t="str">
        <f>Данные!C192</f>
        <v>компьютерных технологий и электронного обучения</v>
      </c>
      <c r="D192" s="59" t="str">
        <f>Данные!D192</f>
        <v>Гончарова Светлана Викторовна</v>
      </c>
      <c r="E192" s="59" t="str">
        <f>Данные!E192</f>
        <v>кандидат педагогических наук</v>
      </c>
      <c r="F192" s="59" t="str">
        <f>Данные!F192</f>
        <v>доцент</v>
      </c>
      <c r="G192" s="59">
        <f>Данные!G192</f>
        <v>1</v>
      </c>
      <c r="H192" s="59">
        <f>Данные!H192</f>
        <v>16536</v>
      </c>
      <c r="I192" s="59" t="str">
        <f>Данные!I192</f>
        <v>Модуль "Естественнонаучный". Информационные технологии</v>
      </c>
      <c r="J192" s="59">
        <f>Данные!J192</f>
        <v>0</v>
      </c>
      <c r="K192" s="59">
        <f>Данные!K192</f>
        <v>32</v>
      </c>
      <c r="L192" s="59">
        <f>Данные!L192</f>
        <v>0</v>
      </c>
      <c r="M192" s="60">
        <f t="shared" si="18"/>
        <v>3.2</v>
      </c>
      <c r="N192" s="60">
        <f t="shared" ca="1" si="19"/>
        <v>9.59</v>
      </c>
      <c r="O192" s="60">
        <f t="shared" ca="1" si="20"/>
        <v>5.75</v>
      </c>
      <c r="P192" s="60">
        <f t="shared" ca="1" si="21"/>
        <v>5.75</v>
      </c>
      <c r="Q192" s="54">
        <f>Данные!Q192</f>
        <v>0</v>
      </c>
      <c r="R192" s="54">
        <f>Данные!R192</f>
        <v>0</v>
      </c>
      <c r="S192" s="54">
        <f>Данные!S192</f>
        <v>0</v>
      </c>
      <c r="T192" s="54">
        <f>Данные!T192</f>
        <v>10</v>
      </c>
      <c r="U192" s="54">
        <f>Данные!U192</f>
        <v>0</v>
      </c>
      <c r="V192" s="54">
        <f>Данные!V192</f>
        <v>0</v>
      </c>
      <c r="W192" s="54">
        <f ca="1">Данные!W192</f>
        <v>23</v>
      </c>
      <c r="X192" s="54" t="str">
        <f ca="1">Данные!X192</f>
        <v>1</v>
      </c>
      <c r="Y192" s="54" t="str">
        <f ca="1">Данные!Y192</f>
        <v>2</v>
      </c>
      <c r="Z192" s="54">
        <f>Данные!Z192</f>
        <v>0</v>
      </c>
      <c r="AA192" s="54" t="str">
        <f>Данные!AA192</f>
        <v>осн</v>
      </c>
      <c r="AB192" s="101">
        <f t="shared" si="22"/>
        <v>800</v>
      </c>
      <c r="AC192" s="101" t="str">
        <f t="shared" si="23"/>
        <v/>
      </c>
      <c r="AD192" s="101" t="str">
        <f t="shared" si="24"/>
        <v/>
      </c>
      <c r="AE192" s="102">
        <f t="shared" ca="1" si="25"/>
        <v>66.290000000000006</v>
      </c>
      <c r="AF192" s="103">
        <f t="shared" ca="1" si="26"/>
        <v>8.2862500000000006E-2</v>
      </c>
      <c r="AG192" s="101"/>
      <c r="AH192" s="101"/>
      <c r="AI192"/>
      <c r="BQ192" s="72">
        <v>0</v>
      </c>
      <c r="BR192" s="72">
        <v>0</v>
      </c>
      <c r="BS192" s="72">
        <v>0</v>
      </c>
      <c r="BT192" s="72">
        <v>0</v>
      </c>
      <c r="BU192" s="72">
        <v>0</v>
      </c>
      <c r="BV192" s="72">
        <v>0</v>
      </c>
      <c r="BW192" s="72">
        <v>0</v>
      </c>
      <c r="BX192" s="72">
        <v>0</v>
      </c>
      <c r="BY192" s="72">
        <v>0</v>
      </c>
      <c r="BZ192" s="72">
        <v>0</v>
      </c>
      <c r="CA192" s="72">
        <v>0</v>
      </c>
      <c r="CB192" s="72">
        <v>0</v>
      </c>
      <c r="CC192" s="72">
        <v>0</v>
      </c>
      <c r="CD192" s="72">
        <v>0</v>
      </c>
      <c r="CE192" s="72">
        <v>0</v>
      </c>
      <c r="CF192" s="72">
        <v>0</v>
      </c>
      <c r="CG192" s="72">
        <v>0</v>
      </c>
      <c r="CH192" s="72">
        <v>0</v>
      </c>
      <c r="CI192" s="72">
        <v>0</v>
      </c>
      <c r="CJ192" s="72">
        <v>0</v>
      </c>
      <c r="CK192" s="72">
        <v>0</v>
      </c>
      <c r="CL192" s="72">
        <v>0</v>
      </c>
      <c r="CM192" s="72">
        <v>0</v>
      </c>
      <c r="CN192" s="72">
        <v>0</v>
      </c>
      <c r="CO192" s="72">
        <v>0</v>
      </c>
      <c r="CP192" s="72">
        <v>0</v>
      </c>
      <c r="CQ192" s="72">
        <v>0</v>
      </c>
      <c r="CR192" s="72">
        <v>0</v>
      </c>
      <c r="CS192" s="72">
        <v>0</v>
      </c>
      <c r="CT192" s="72">
        <v>0</v>
      </c>
      <c r="CU192" s="72">
        <v>0</v>
      </c>
      <c r="CV192" s="72">
        <v>0</v>
      </c>
      <c r="CW192" s="72">
        <v>0</v>
      </c>
      <c r="CX192" s="72">
        <v>0</v>
      </c>
      <c r="CY192" s="72">
        <v>0</v>
      </c>
      <c r="CZ192" s="72">
        <v>0</v>
      </c>
      <c r="DA192" s="72">
        <v>0</v>
      </c>
      <c r="DB192" s="72">
        <v>0</v>
      </c>
      <c r="DC192" s="72">
        <v>0</v>
      </c>
      <c r="DD192" s="72">
        <v>0</v>
      </c>
      <c r="DE192" s="72">
        <v>0</v>
      </c>
      <c r="DF192" s="72">
        <v>0</v>
      </c>
      <c r="DG192" s="72">
        <v>0</v>
      </c>
      <c r="DH192" s="72">
        <v>0</v>
      </c>
      <c r="DI192" s="72">
        <v>0</v>
      </c>
      <c r="DJ192" s="72">
        <v>0</v>
      </c>
      <c r="DK192" s="72">
        <v>0</v>
      </c>
      <c r="DL192" s="72">
        <v>0</v>
      </c>
      <c r="DM192" s="72">
        <v>0</v>
      </c>
      <c r="DN192" s="72">
        <v>0</v>
      </c>
      <c r="DO192" s="72">
        <v>0</v>
      </c>
      <c r="DP192" s="72">
        <v>0</v>
      </c>
      <c r="DQ192" s="72">
        <v>0</v>
      </c>
      <c r="DR192" s="72">
        <v>0</v>
      </c>
      <c r="DS192" s="72">
        <v>0</v>
      </c>
      <c r="DT192" s="72">
        <v>0</v>
      </c>
      <c r="DU192" s="72">
        <v>0</v>
      </c>
      <c r="DV192" s="72">
        <v>0</v>
      </c>
      <c r="DW192" s="72">
        <v>0</v>
      </c>
      <c r="DX192" s="72">
        <v>0</v>
      </c>
      <c r="DY192" s="72">
        <v>0</v>
      </c>
      <c r="DZ192" s="72">
        <v>0</v>
      </c>
      <c r="EA192" s="72">
        <v>0</v>
      </c>
      <c r="EB192" s="72">
        <v>0</v>
      </c>
      <c r="EC192" s="72">
        <v>0</v>
      </c>
      <c r="ED192" s="72">
        <v>0</v>
      </c>
      <c r="EE192" s="72">
        <v>0</v>
      </c>
      <c r="EF192" s="72">
        <v>0</v>
      </c>
      <c r="EG192" s="72">
        <v>0</v>
      </c>
      <c r="EH192" s="72">
        <v>0</v>
      </c>
      <c r="EI192" s="72">
        <v>0</v>
      </c>
      <c r="EJ192" s="72">
        <v>0</v>
      </c>
      <c r="EK192" s="72">
        <v>0</v>
      </c>
      <c r="EL192" s="72">
        <v>0</v>
      </c>
    </row>
    <row r="193" spans="1:142" s="6" customFormat="1" x14ac:dyDescent="0.35">
      <c r="A193" s="59">
        <f>Данные!A193</f>
        <v>5719</v>
      </c>
      <c r="B193" s="59">
        <f>Данные!B193</f>
        <v>2017</v>
      </c>
      <c r="C193" s="59" t="str">
        <f>Данные!C193</f>
        <v>компьютерных технологий и электронного обучения</v>
      </c>
      <c r="D193" s="59" t="str">
        <f>Данные!D193</f>
        <v>Карпова Наталья Александровна</v>
      </c>
      <c r="E193" s="59" t="str">
        <f>Данные!E193</f>
        <v>кандидат технических наук</v>
      </c>
      <c r="F193" s="59" t="str">
        <f>Данные!F193</f>
        <v>доцент</v>
      </c>
      <c r="G193" s="59">
        <f>Данные!G193</f>
        <v>1</v>
      </c>
      <c r="H193" s="59">
        <f>Данные!H193</f>
        <v>16536</v>
      </c>
      <c r="I193" s="59" t="str">
        <f>Данные!I193</f>
        <v>Модуль "Естественнонаучный". Информационные технологии</v>
      </c>
      <c r="J193" s="59">
        <f>Данные!J193</f>
        <v>9</v>
      </c>
      <c r="K193" s="59">
        <f>Данные!K193</f>
        <v>16</v>
      </c>
      <c r="L193" s="59">
        <f>Данные!L193</f>
        <v>0</v>
      </c>
      <c r="M193" s="60">
        <f t="shared" si="18"/>
        <v>2.5</v>
      </c>
      <c r="N193" s="60">
        <f t="shared" ca="1" si="19"/>
        <v>9.59</v>
      </c>
      <c r="O193" s="60">
        <f t="shared" ca="1" si="20"/>
        <v>5.75</v>
      </c>
      <c r="P193" s="60">
        <f t="shared" ca="1" si="21"/>
        <v>5.75</v>
      </c>
      <c r="Q193" s="54">
        <f>Данные!Q193</f>
        <v>0</v>
      </c>
      <c r="R193" s="54">
        <f>Данные!R193</f>
        <v>0</v>
      </c>
      <c r="S193" s="54">
        <f>Данные!S193</f>
        <v>0</v>
      </c>
      <c r="T193" s="54">
        <f>Данные!T193</f>
        <v>0</v>
      </c>
      <c r="U193" s="54">
        <f>Данные!U193</f>
        <v>0</v>
      </c>
      <c r="V193" s="54">
        <f>Данные!V193</f>
        <v>0</v>
      </c>
      <c r="W193" s="54">
        <f ca="1">Данные!W193</f>
        <v>23</v>
      </c>
      <c r="X193" s="54" t="str">
        <f ca="1">Данные!X193</f>
        <v>1</v>
      </c>
      <c r="Y193" s="54" t="str">
        <f ca="1">Данные!Y193</f>
        <v>2</v>
      </c>
      <c r="Z193" s="54">
        <f>Данные!Z193</f>
        <v>0</v>
      </c>
      <c r="AA193" s="54" t="str">
        <f>Данные!AA193</f>
        <v>осн</v>
      </c>
      <c r="AB193" s="101">
        <f t="shared" si="22"/>
        <v>800</v>
      </c>
      <c r="AC193" s="101" t="str">
        <f t="shared" si="23"/>
        <v/>
      </c>
      <c r="AD193" s="101" t="str">
        <f t="shared" si="24"/>
        <v/>
      </c>
      <c r="AE193" s="102">
        <f t="shared" ca="1" si="25"/>
        <v>48.59</v>
      </c>
      <c r="AF193" s="103">
        <f t="shared" ca="1" si="26"/>
        <v>6.0737500000000007E-2</v>
      </c>
      <c r="AG193" s="101"/>
      <c r="AH193" s="101"/>
      <c r="AI193"/>
      <c r="BQ193" s="72">
        <v>0</v>
      </c>
      <c r="BR193" s="72">
        <v>0</v>
      </c>
      <c r="BS193" s="72">
        <v>0</v>
      </c>
      <c r="BT193" s="72">
        <v>0</v>
      </c>
      <c r="BU193" s="72">
        <v>0</v>
      </c>
      <c r="BV193" s="72">
        <v>0</v>
      </c>
      <c r="BW193" s="72">
        <v>0</v>
      </c>
      <c r="BX193" s="72">
        <v>0</v>
      </c>
      <c r="BY193" s="72">
        <v>0</v>
      </c>
      <c r="BZ193" s="72">
        <v>0</v>
      </c>
      <c r="CA193" s="72">
        <v>0</v>
      </c>
      <c r="CB193" s="72">
        <v>0</v>
      </c>
      <c r="CC193" s="72">
        <v>0</v>
      </c>
      <c r="CD193" s="72">
        <v>0</v>
      </c>
      <c r="CE193" s="72">
        <v>0</v>
      </c>
      <c r="CF193" s="72">
        <v>0</v>
      </c>
      <c r="CG193" s="72">
        <v>0</v>
      </c>
      <c r="CH193" s="72">
        <v>0</v>
      </c>
      <c r="CI193" s="72">
        <v>0</v>
      </c>
      <c r="CJ193" s="72">
        <v>0</v>
      </c>
      <c r="CK193" s="72">
        <v>0</v>
      </c>
      <c r="CL193" s="72">
        <v>0</v>
      </c>
      <c r="CM193" s="72">
        <v>0</v>
      </c>
      <c r="CN193" s="72">
        <v>0</v>
      </c>
      <c r="CO193" s="72">
        <v>0</v>
      </c>
      <c r="CP193" s="72">
        <v>0</v>
      </c>
      <c r="CQ193" s="72">
        <v>0</v>
      </c>
      <c r="CR193" s="72">
        <v>0</v>
      </c>
      <c r="CS193" s="72">
        <v>0</v>
      </c>
      <c r="CT193" s="72">
        <v>0</v>
      </c>
      <c r="CU193" s="72">
        <v>0</v>
      </c>
      <c r="CV193" s="72">
        <v>0</v>
      </c>
      <c r="CW193" s="72">
        <v>0</v>
      </c>
      <c r="CX193" s="72">
        <v>0</v>
      </c>
      <c r="CY193" s="72">
        <v>0</v>
      </c>
      <c r="CZ193" s="72">
        <v>0</v>
      </c>
      <c r="DA193" s="72">
        <v>0</v>
      </c>
      <c r="DB193" s="72">
        <v>0</v>
      </c>
      <c r="DC193" s="72">
        <v>0</v>
      </c>
      <c r="DD193" s="72">
        <v>0</v>
      </c>
      <c r="DE193" s="72">
        <v>0</v>
      </c>
      <c r="DF193" s="72">
        <v>0</v>
      </c>
      <c r="DG193" s="72">
        <v>0</v>
      </c>
      <c r="DH193" s="72">
        <v>0</v>
      </c>
      <c r="DI193" s="72">
        <v>0</v>
      </c>
      <c r="DJ193" s="72">
        <v>0</v>
      </c>
      <c r="DK193" s="72">
        <v>0</v>
      </c>
      <c r="DL193" s="72">
        <v>0</v>
      </c>
      <c r="DM193" s="72">
        <v>0</v>
      </c>
      <c r="DN193" s="72">
        <v>0</v>
      </c>
      <c r="DO193" s="72">
        <v>0</v>
      </c>
      <c r="DP193" s="72">
        <v>0</v>
      </c>
      <c r="DQ193" s="72">
        <v>0</v>
      </c>
      <c r="DR193" s="72">
        <v>0</v>
      </c>
      <c r="DS193" s="72">
        <v>0</v>
      </c>
      <c r="DT193" s="72">
        <v>0</v>
      </c>
      <c r="DU193" s="72">
        <v>0</v>
      </c>
      <c r="DV193" s="72">
        <v>0</v>
      </c>
      <c r="DW193" s="72">
        <v>0</v>
      </c>
      <c r="DX193" s="72">
        <v>0</v>
      </c>
      <c r="DY193" s="72">
        <v>0</v>
      </c>
      <c r="DZ193" s="72">
        <v>0</v>
      </c>
      <c r="EA193" s="72">
        <v>0</v>
      </c>
      <c r="EB193" s="72">
        <v>0</v>
      </c>
      <c r="EC193" s="72">
        <v>0</v>
      </c>
      <c r="ED193" s="72">
        <v>0</v>
      </c>
      <c r="EE193" s="72">
        <v>0</v>
      </c>
      <c r="EF193" s="72">
        <v>0</v>
      </c>
      <c r="EG193" s="72">
        <v>0</v>
      </c>
      <c r="EH193" s="72">
        <v>0</v>
      </c>
      <c r="EI193" s="72">
        <v>0</v>
      </c>
      <c r="EJ193" s="72">
        <v>0</v>
      </c>
      <c r="EK193" s="72">
        <v>0</v>
      </c>
      <c r="EL193" s="72">
        <v>0</v>
      </c>
    </row>
    <row r="194" spans="1:142" s="6" customFormat="1" x14ac:dyDescent="0.35">
      <c r="A194" s="59">
        <f>Данные!A194</f>
        <v>5720</v>
      </c>
      <c r="B194" s="59">
        <f>Данные!B194</f>
        <v>2017</v>
      </c>
      <c r="C194" s="59" t="str">
        <f>Данные!C194</f>
        <v>компьютерных технологий и электронного обучения</v>
      </c>
      <c r="D194" s="59" t="str">
        <f>Данные!D194</f>
        <v>Шалденкова Анна Владимировна</v>
      </c>
      <c r="E194" s="59" t="str">
        <f>Данные!E194</f>
        <v>кандидат физ.-мат. наук</v>
      </c>
      <c r="F194" s="59" t="str">
        <f>Данные!F194</f>
        <v>ассистент</v>
      </c>
      <c r="G194" s="59">
        <f>Данные!G194</f>
        <v>1</v>
      </c>
      <c r="H194" s="59">
        <f>Данные!H194</f>
        <v>16497</v>
      </c>
      <c r="I194" s="59" t="str">
        <f>Данные!I194</f>
        <v>Модуль "Естественнонаучный". Информационные технологии</v>
      </c>
      <c r="J194" s="59">
        <f>Данные!J194</f>
        <v>9</v>
      </c>
      <c r="K194" s="59">
        <f>Данные!K194</f>
        <v>96</v>
      </c>
      <c r="L194" s="59">
        <f>Данные!L194</f>
        <v>0</v>
      </c>
      <c r="M194" s="60">
        <f t="shared" si="18"/>
        <v>10.5</v>
      </c>
      <c r="N194" s="60">
        <f t="shared" ca="1" si="19"/>
        <v>9.92</v>
      </c>
      <c r="O194" s="60">
        <f t="shared" ca="1" si="20"/>
        <v>6</v>
      </c>
      <c r="P194" s="60">
        <f t="shared" ca="1" si="21"/>
        <v>6</v>
      </c>
      <c r="Q194" s="54">
        <f>Данные!Q194</f>
        <v>0</v>
      </c>
      <c r="R194" s="54">
        <f>Данные!R194</f>
        <v>0</v>
      </c>
      <c r="S194" s="54">
        <f>Данные!S194</f>
        <v>0</v>
      </c>
      <c r="T194" s="54">
        <f>Данные!T194</f>
        <v>18</v>
      </c>
      <c r="U194" s="54">
        <f>Данные!U194</f>
        <v>0</v>
      </c>
      <c r="V194" s="54">
        <f>Данные!V194</f>
        <v>0</v>
      </c>
      <c r="W194" s="54">
        <f ca="1">Данные!W194</f>
        <v>24</v>
      </c>
      <c r="X194" s="54" t="str">
        <f ca="1">Данные!X194</f>
        <v>1</v>
      </c>
      <c r="Y194" s="54" t="str">
        <f ca="1">Данные!Y194</f>
        <v>2</v>
      </c>
      <c r="Z194" s="54">
        <f>Данные!Z194</f>
        <v>0</v>
      </c>
      <c r="AA194" s="54" t="str">
        <f>Данные!AA194</f>
        <v>осн</v>
      </c>
      <c r="AB194" s="101">
        <f t="shared" si="22"/>
        <v>900</v>
      </c>
      <c r="AC194" s="101" t="str">
        <f t="shared" si="23"/>
        <v/>
      </c>
      <c r="AD194" s="101" t="str">
        <f t="shared" si="24"/>
        <v/>
      </c>
      <c r="AE194" s="102">
        <f t="shared" ca="1" si="25"/>
        <v>155.42000000000002</v>
      </c>
      <c r="AF194" s="103">
        <f t="shared" ca="1" si="26"/>
        <v>0.17268888888888892</v>
      </c>
      <c r="AG194" s="101"/>
      <c r="AH194" s="101"/>
      <c r="AI194"/>
      <c r="BQ194" s="72">
        <v>0</v>
      </c>
      <c r="BR194" s="72">
        <v>0</v>
      </c>
      <c r="BS194" s="72">
        <v>0</v>
      </c>
      <c r="BT194" s="72">
        <v>0</v>
      </c>
      <c r="BU194" s="72">
        <v>0</v>
      </c>
      <c r="BV194" s="72">
        <v>0</v>
      </c>
      <c r="BW194" s="72">
        <v>0</v>
      </c>
      <c r="BX194" s="72">
        <v>0</v>
      </c>
      <c r="BY194" s="72">
        <v>0</v>
      </c>
      <c r="BZ194" s="72">
        <v>0</v>
      </c>
      <c r="CA194" s="72">
        <v>0</v>
      </c>
      <c r="CB194" s="72">
        <v>0</v>
      </c>
      <c r="CC194" s="72">
        <v>0</v>
      </c>
      <c r="CD194" s="72">
        <v>0</v>
      </c>
      <c r="CE194" s="72">
        <v>0</v>
      </c>
      <c r="CF194" s="72">
        <v>0</v>
      </c>
      <c r="CG194" s="72">
        <v>0</v>
      </c>
      <c r="CH194" s="72">
        <v>0</v>
      </c>
      <c r="CI194" s="72">
        <v>0</v>
      </c>
      <c r="CJ194" s="72">
        <v>0</v>
      </c>
      <c r="CK194" s="72">
        <v>0</v>
      </c>
      <c r="CL194" s="72">
        <v>0</v>
      </c>
      <c r="CM194" s="72">
        <v>0</v>
      </c>
      <c r="CN194" s="72">
        <v>0</v>
      </c>
      <c r="CO194" s="72">
        <v>0</v>
      </c>
      <c r="CP194" s="72">
        <v>0</v>
      </c>
      <c r="CQ194" s="72">
        <v>0</v>
      </c>
      <c r="CR194" s="72">
        <v>0</v>
      </c>
      <c r="CS194" s="72">
        <v>0</v>
      </c>
      <c r="CT194" s="72">
        <v>0</v>
      </c>
      <c r="CU194" s="72">
        <v>0</v>
      </c>
      <c r="CV194" s="72">
        <v>0</v>
      </c>
      <c r="CW194" s="72">
        <v>0</v>
      </c>
      <c r="CX194" s="72">
        <v>0</v>
      </c>
      <c r="CY194" s="72">
        <v>0</v>
      </c>
      <c r="CZ194" s="72">
        <v>0</v>
      </c>
      <c r="DA194" s="72">
        <v>0</v>
      </c>
      <c r="DB194" s="72">
        <v>0</v>
      </c>
      <c r="DC194" s="72">
        <v>0</v>
      </c>
      <c r="DD194" s="72">
        <v>0</v>
      </c>
      <c r="DE194" s="72">
        <v>0</v>
      </c>
      <c r="DF194" s="72">
        <v>0</v>
      </c>
      <c r="DG194" s="72">
        <v>0</v>
      </c>
      <c r="DH194" s="72">
        <v>0</v>
      </c>
      <c r="DI194" s="72">
        <v>0</v>
      </c>
      <c r="DJ194" s="72">
        <v>0</v>
      </c>
      <c r="DK194" s="72">
        <v>0</v>
      </c>
      <c r="DL194" s="72">
        <v>0</v>
      </c>
      <c r="DM194" s="72">
        <v>0</v>
      </c>
      <c r="DN194" s="72">
        <v>0</v>
      </c>
      <c r="DO194" s="72">
        <v>0</v>
      </c>
      <c r="DP194" s="72">
        <v>0</v>
      </c>
      <c r="DQ194" s="72">
        <v>0</v>
      </c>
      <c r="DR194" s="72">
        <v>0</v>
      </c>
      <c r="DS194" s="72">
        <v>0</v>
      </c>
      <c r="DT194" s="72">
        <v>0</v>
      </c>
      <c r="DU194" s="72">
        <v>0</v>
      </c>
      <c r="DV194" s="72">
        <v>0</v>
      </c>
      <c r="DW194" s="72">
        <v>0</v>
      </c>
      <c r="DX194" s="72">
        <v>0</v>
      </c>
      <c r="DY194" s="72">
        <v>0</v>
      </c>
      <c r="DZ194" s="72">
        <v>0</v>
      </c>
      <c r="EA194" s="72">
        <v>0</v>
      </c>
      <c r="EB194" s="72">
        <v>0</v>
      </c>
      <c r="EC194" s="72">
        <v>0</v>
      </c>
      <c r="ED194" s="72">
        <v>0</v>
      </c>
      <c r="EE194" s="72">
        <v>0</v>
      </c>
      <c r="EF194" s="72">
        <v>0</v>
      </c>
      <c r="EG194" s="72">
        <v>0</v>
      </c>
      <c r="EH194" s="72">
        <v>0</v>
      </c>
      <c r="EI194" s="72">
        <v>0</v>
      </c>
      <c r="EJ194" s="72">
        <v>0</v>
      </c>
      <c r="EK194" s="72">
        <v>0</v>
      </c>
      <c r="EL194" s="72">
        <v>0</v>
      </c>
    </row>
    <row r="195" spans="1:142" s="6" customFormat="1" ht="29.25" customHeight="1" x14ac:dyDescent="0.35">
      <c r="A195" s="59">
        <f>Данные!A195</f>
        <v>5720</v>
      </c>
      <c r="B195" s="59">
        <f>Данные!B195</f>
        <v>2018</v>
      </c>
      <c r="C195" s="59" t="str">
        <f>Данные!C195</f>
        <v>компьютерных технологий и электронного обучения</v>
      </c>
      <c r="D195" s="59" t="str">
        <f>Данные!D195</f>
        <v>Готская Ирина Борисовна</v>
      </c>
      <c r="E195" s="59" t="str">
        <f>Данные!E195</f>
        <v>доктор педагогических наук</v>
      </c>
      <c r="F195" s="59" t="str">
        <f>Данные!F195</f>
        <v>профессор</v>
      </c>
      <c r="G195" s="59">
        <f>Данные!G195</f>
        <v>0.75</v>
      </c>
      <c r="H195" s="59">
        <f>Данные!H195</f>
        <v>17240</v>
      </c>
      <c r="I195" s="59" t="str">
        <f>Данные!I195</f>
        <v>Модуль "Технологический". Информационное обеспечение производственных процессов</v>
      </c>
      <c r="J195" s="59">
        <f>Данные!J195</f>
        <v>18</v>
      </c>
      <c r="K195" s="59">
        <f>Данные!K195</f>
        <v>72</v>
      </c>
      <c r="L195" s="59">
        <f>Данные!L195</f>
        <v>0</v>
      </c>
      <c r="M195" s="60">
        <f t="shared" si="18"/>
        <v>9</v>
      </c>
      <c r="N195" s="60">
        <f t="shared" ca="1" si="19"/>
        <v>4.3100000000000005</v>
      </c>
      <c r="O195" s="60">
        <f t="shared" ca="1" si="20"/>
        <v>1.75</v>
      </c>
      <c r="P195" s="60">
        <f t="shared" ca="1" si="21"/>
        <v>1.75</v>
      </c>
      <c r="Q195" s="54">
        <f>Данные!Q195</f>
        <v>0</v>
      </c>
      <c r="R195" s="54">
        <f>Данные!R195</f>
        <v>0</v>
      </c>
      <c r="S195" s="54">
        <f>Данные!S195</f>
        <v>0</v>
      </c>
      <c r="T195" s="54">
        <f>Данные!T195</f>
        <v>19</v>
      </c>
      <c r="U195" s="54">
        <f>Данные!U195</f>
        <v>0</v>
      </c>
      <c r="V195" s="54">
        <f>Данные!V195</f>
        <v>0</v>
      </c>
      <c r="W195" s="54">
        <f ca="1">Данные!W195</f>
        <v>7</v>
      </c>
      <c r="X195" s="54" t="str">
        <f ca="1">Данные!X195</f>
        <v>1</v>
      </c>
      <c r="Y195" s="54" t="str">
        <f ca="1">Данные!Y195</f>
        <v>1</v>
      </c>
      <c r="Z195" s="54">
        <f>Данные!Z195</f>
        <v>0</v>
      </c>
      <c r="AA195" s="54" t="str">
        <f>Данные!AA195</f>
        <v>осн</v>
      </c>
      <c r="AB195" s="101">
        <f t="shared" si="22"/>
        <v>750</v>
      </c>
      <c r="AC195" s="101" t="str">
        <f t="shared" si="23"/>
        <v/>
      </c>
      <c r="AD195" s="101" t="str">
        <f t="shared" si="24"/>
        <v/>
      </c>
      <c r="AE195" s="102">
        <f t="shared" ca="1" si="25"/>
        <v>125.81</v>
      </c>
      <c r="AF195" s="103">
        <f t="shared" ca="1" si="26"/>
        <v>0.16774666666666668</v>
      </c>
      <c r="AG195" s="101"/>
      <c r="AH195" s="101"/>
      <c r="AI195"/>
      <c r="BQ195" s="72">
        <v>0</v>
      </c>
      <c r="BR195" s="72">
        <v>0</v>
      </c>
      <c r="BS195" s="72">
        <v>0</v>
      </c>
      <c r="BT195" s="72">
        <v>0</v>
      </c>
      <c r="BU195" s="72">
        <v>0</v>
      </c>
      <c r="BV195" s="72">
        <v>0</v>
      </c>
      <c r="BW195" s="72">
        <v>0</v>
      </c>
      <c r="BX195" s="72">
        <v>0</v>
      </c>
      <c r="BY195" s="72">
        <v>0</v>
      </c>
      <c r="BZ195" s="72">
        <v>0</v>
      </c>
      <c r="CA195" s="72">
        <v>0</v>
      </c>
      <c r="CB195" s="72">
        <v>0</v>
      </c>
      <c r="CC195" s="72">
        <v>0</v>
      </c>
      <c r="CD195" s="72">
        <v>0</v>
      </c>
      <c r="CE195" s="72">
        <v>0</v>
      </c>
      <c r="CF195" s="72">
        <v>0</v>
      </c>
      <c r="CG195" s="72">
        <v>0</v>
      </c>
      <c r="CH195" s="72">
        <v>0</v>
      </c>
      <c r="CI195" s="72">
        <v>0</v>
      </c>
      <c r="CJ195" s="72">
        <v>0</v>
      </c>
      <c r="CK195" s="72">
        <v>0</v>
      </c>
      <c r="CL195" s="72">
        <v>0</v>
      </c>
      <c r="CM195" s="72">
        <v>0</v>
      </c>
      <c r="CN195" s="72">
        <v>0</v>
      </c>
      <c r="CO195" s="72">
        <v>0</v>
      </c>
      <c r="CP195" s="72">
        <v>0</v>
      </c>
      <c r="CQ195" s="72">
        <v>0</v>
      </c>
      <c r="CR195" s="72">
        <v>0</v>
      </c>
      <c r="CS195" s="72">
        <v>0</v>
      </c>
      <c r="CT195" s="72">
        <v>0</v>
      </c>
      <c r="CU195" s="72">
        <v>0</v>
      </c>
      <c r="CV195" s="72">
        <v>0</v>
      </c>
      <c r="CW195" s="72">
        <v>0</v>
      </c>
      <c r="CX195" s="72">
        <v>0</v>
      </c>
      <c r="CY195" s="72">
        <v>0</v>
      </c>
      <c r="CZ195" s="72">
        <v>0</v>
      </c>
      <c r="DA195" s="72">
        <v>0</v>
      </c>
      <c r="DB195" s="72">
        <v>0</v>
      </c>
      <c r="DC195" s="72">
        <v>0</v>
      </c>
      <c r="DD195" s="72">
        <v>0</v>
      </c>
      <c r="DE195" s="72">
        <v>0</v>
      </c>
      <c r="DF195" s="72">
        <v>0</v>
      </c>
      <c r="DG195" s="72">
        <v>0</v>
      </c>
      <c r="DH195" s="72">
        <v>0</v>
      </c>
      <c r="DI195" s="72">
        <v>0</v>
      </c>
      <c r="DJ195" s="72">
        <v>0</v>
      </c>
      <c r="DK195" s="72">
        <v>0</v>
      </c>
      <c r="DL195" s="72">
        <v>0</v>
      </c>
      <c r="DM195" s="72">
        <v>0</v>
      </c>
      <c r="DN195" s="72">
        <v>0</v>
      </c>
      <c r="DO195" s="72">
        <v>0</v>
      </c>
      <c r="DP195" s="72">
        <v>0</v>
      </c>
      <c r="DQ195" s="72">
        <v>0</v>
      </c>
      <c r="DR195" s="72">
        <v>0</v>
      </c>
      <c r="DS195" s="72">
        <v>0</v>
      </c>
      <c r="DT195" s="72">
        <v>0</v>
      </c>
      <c r="DU195" s="72">
        <v>0</v>
      </c>
      <c r="DV195" s="72">
        <v>0</v>
      </c>
      <c r="DW195" s="72">
        <v>0</v>
      </c>
      <c r="DX195" s="72">
        <v>0</v>
      </c>
      <c r="DY195" s="72">
        <v>0</v>
      </c>
      <c r="DZ195" s="72">
        <v>0</v>
      </c>
      <c r="EA195" s="72">
        <v>0</v>
      </c>
      <c r="EB195" s="72">
        <v>0</v>
      </c>
      <c r="EC195" s="72">
        <v>0</v>
      </c>
      <c r="ED195" s="72">
        <v>0</v>
      </c>
      <c r="EE195" s="72">
        <v>0</v>
      </c>
      <c r="EF195" s="72">
        <v>0</v>
      </c>
      <c r="EG195" s="72">
        <v>0</v>
      </c>
      <c r="EH195" s="72">
        <v>0</v>
      </c>
      <c r="EI195" s="72">
        <v>0</v>
      </c>
      <c r="EJ195" s="72">
        <v>0</v>
      </c>
      <c r="EK195" s="72">
        <v>0</v>
      </c>
      <c r="EL195" s="72">
        <v>0</v>
      </c>
    </row>
    <row r="196" spans="1:142" s="6" customFormat="1" x14ac:dyDescent="0.35">
      <c r="A196" s="59">
        <f>Данные!A196</f>
        <v>5791</v>
      </c>
      <c r="B196" s="59">
        <f>Данные!B196</f>
        <v>2017</v>
      </c>
      <c r="C196" s="59" t="str">
        <f>Данные!C196</f>
        <v>компьютерных технологий и электронного обучения</v>
      </c>
      <c r="D196" s="59" t="str">
        <f>Данные!D196</f>
        <v>Абрамян Геннадий Владимирович</v>
      </c>
      <c r="E196" s="59" t="str">
        <f>Данные!E196</f>
        <v>доктор педагогических наук</v>
      </c>
      <c r="F196" s="59" t="str">
        <f>Данные!F196</f>
        <v>профессор</v>
      </c>
      <c r="G196" s="59">
        <f>Данные!G196</f>
        <v>1</v>
      </c>
      <c r="H196" s="59">
        <f>Данные!H196</f>
        <v>16591</v>
      </c>
      <c r="I196" s="59" t="str">
        <f>Данные!I196</f>
        <v>Модуль "Организация ЭВМ". ЭВМ и периферийные устройства</v>
      </c>
      <c r="J196" s="59">
        <f>Данные!J196</f>
        <v>18</v>
      </c>
      <c r="K196" s="59">
        <f>Данные!K196</f>
        <v>0</v>
      </c>
      <c r="L196" s="59">
        <f>Данные!L196</f>
        <v>72</v>
      </c>
      <c r="M196" s="60">
        <f t="shared" ref="M196:M259" si="27">SUM(J196:L196)/10</f>
        <v>9</v>
      </c>
      <c r="N196" s="60">
        <f t="shared" ref="N196:N259" ca="1" si="28">2+(0.33*W196)</f>
        <v>11.57</v>
      </c>
      <c r="O196" s="60">
        <f t="shared" ref="O196:O259" ca="1" si="29">0.25*W196</f>
        <v>7.25</v>
      </c>
      <c r="P196" s="60">
        <f t="shared" ref="P196:P259" ca="1" si="30">0.25*W196</f>
        <v>7.25</v>
      </c>
      <c r="Q196" s="54">
        <f>Данные!Q196</f>
        <v>0</v>
      </c>
      <c r="R196" s="54">
        <f>Данные!R196</f>
        <v>0</v>
      </c>
      <c r="S196" s="54">
        <f>Данные!S196</f>
        <v>0</v>
      </c>
      <c r="T196" s="54">
        <f>Данные!T196</f>
        <v>0</v>
      </c>
      <c r="U196" s="54">
        <f>Данные!U196</f>
        <v>0</v>
      </c>
      <c r="V196" s="54">
        <f>Данные!V196</f>
        <v>0</v>
      </c>
      <c r="W196" s="54">
        <f ca="1">Данные!W196</f>
        <v>29</v>
      </c>
      <c r="X196" s="54" t="str">
        <f ca="1">Данные!X196</f>
        <v>1</v>
      </c>
      <c r="Y196" s="54" t="str">
        <f ca="1">Данные!Y196</f>
        <v>2</v>
      </c>
      <c r="Z196" s="54">
        <f>Данные!Z196</f>
        <v>0</v>
      </c>
      <c r="AA196" s="54" t="str">
        <f>Данные!AA196</f>
        <v>осн</v>
      </c>
      <c r="AB196" s="101">
        <f t="shared" ref="AB196:AB259" si="31">VLOOKUP(F196, $BN$3:$BO$15, 2, 0)</f>
        <v>750</v>
      </c>
      <c r="AC196" s="101" t="str">
        <f t="shared" ref="AC196:AC259" si="32">IF(IFERROR(MATCH(H196, $AK$4:$BL$4, 0), 0)&gt;=1, "ИВТ (бак)", IF(IFERROR(MATCH(H196, $AK$5:$BL$5, 0), 0)&gt;=1, "КЭО (маг)", ""))</f>
        <v>ИВТ (бак)</v>
      </c>
      <c r="AD196" s="101" t="str">
        <f t="shared" ref="AD196:AD259" si="33">IF(IFERROR(MATCH(H196, $AK$4:$AN$4, 0), 0)=1, "2015–2016", IF(IFERROR(MATCH(H196, $AO$4:$AR$4, 0), 0)=1, "2016–2017", IF(IFERROR(MATCH(H196, $AS$4:$AV$4, 0), 0)=1, "2017–2018", IF(IFERROR(MATCH(H196, $AW$4:$AZ$4, 0), 0)=1, "2018–2019", IF(IFERROR(MATCH(H196, $BA$4:$BD$4, 0), 0)=1, "2019–2020", IF(IFERROR(MATCH(H196, $BE$4:$BH$4, 0), 0)=1, "2020–2021", IF(IFERROR(MATCH(H196, $BI$4:$BL$4, 0), 0)=1, "2021–2022", "")))))))</f>
        <v>2017–2018</v>
      </c>
      <c r="AE196" s="102">
        <f t="shared" ref="AE196:AE259" ca="1" si="34">SUM(J196:V196)</f>
        <v>125.07</v>
      </c>
      <c r="AF196" s="103">
        <f t="shared" ca="1" si="26"/>
        <v>0.16675999999999999</v>
      </c>
      <c r="AG196" s="101"/>
      <c r="AH196" s="101"/>
      <c r="AI196"/>
      <c r="BQ196" s="72">
        <v>0</v>
      </c>
      <c r="BR196" s="72">
        <v>0</v>
      </c>
      <c r="BS196" s="72">
        <v>0</v>
      </c>
      <c r="BT196" s="72">
        <v>0</v>
      </c>
      <c r="BU196" s="72">
        <v>0</v>
      </c>
      <c r="BV196" s="72">
        <v>0</v>
      </c>
      <c r="BW196" s="72">
        <v>0</v>
      </c>
      <c r="BX196" s="72">
        <v>0</v>
      </c>
      <c r="BY196" s="72">
        <v>0</v>
      </c>
      <c r="BZ196" s="72">
        <v>0</v>
      </c>
      <c r="CA196" s="72">
        <v>0</v>
      </c>
      <c r="CB196" s="72">
        <v>0</v>
      </c>
      <c r="CC196" s="72">
        <v>0</v>
      </c>
      <c r="CD196" s="72">
        <v>0</v>
      </c>
      <c r="CE196" s="72">
        <v>0</v>
      </c>
      <c r="CF196" s="72">
        <v>0</v>
      </c>
      <c r="CG196" s="72">
        <v>0</v>
      </c>
      <c r="CH196" s="72">
        <v>0</v>
      </c>
      <c r="CI196" s="72">
        <v>0</v>
      </c>
      <c r="CJ196" s="72">
        <v>0</v>
      </c>
      <c r="CK196" s="72">
        <v>0</v>
      </c>
      <c r="CL196" s="72">
        <v>0</v>
      </c>
      <c r="CM196" s="72">
        <v>0</v>
      </c>
      <c r="CN196" s="72">
        <v>0</v>
      </c>
      <c r="CO196" s="72">
        <v>0</v>
      </c>
      <c r="CP196" s="72">
        <v>0</v>
      </c>
      <c r="CQ196" s="72">
        <v>0</v>
      </c>
      <c r="CR196" s="72">
        <v>0</v>
      </c>
      <c r="CS196" s="72">
        <v>0</v>
      </c>
      <c r="CT196" s="72">
        <v>0</v>
      </c>
      <c r="CU196" s="72">
        <v>0</v>
      </c>
      <c r="CV196" s="72">
        <v>0</v>
      </c>
      <c r="CW196" s="72">
        <v>0</v>
      </c>
      <c r="CX196" s="72">
        <v>0</v>
      </c>
      <c r="CY196" s="72">
        <v>0</v>
      </c>
      <c r="CZ196" s="72">
        <v>0</v>
      </c>
      <c r="DA196" s="72">
        <v>0</v>
      </c>
      <c r="DB196" s="72">
        <v>0</v>
      </c>
      <c r="DC196" s="72">
        <v>0</v>
      </c>
      <c r="DD196" s="72">
        <v>0</v>
      </c>
      <c r="DE196" s="72">
        <v>0</v>
      </c>
      <c r="DF196" s="72">
        <v>0</v>
      </c>
      <c r="DG196" s="72">
        <v>0</v>
      </c>
      <c r="DH196" s="72">
        <v>0</v>
      </c>
      <c r="DI196" s="72">
        <v>0</v>
      </c>
      <c r="DJ196" s="72">
        <v>0</v>
      </c>
      <c r="DK196" s="72">
        <v>0</v>
      </c>
      <c r="DL196" s="72">
        <v>0</v>
      </c>
      <c r="DM196" s="72">
        <v>0</v>
      </c>
      <c r="DN196" s="72">
        <v>0</v>
      </c>
      <c r="DO196" s="72">
        <v>0</v>
      </c>
      <c r="DP196" s="72">
        <v>0</v>
      </c>
      <c r="DQ196" s="72">
        <v>0</v>
      </c>
      <c r="DR196" s="72">
        <v>0</v>
      </c>
      <c r="DS196" s="72">
        <v>0</v>
      </c>
      <c r="DT196" s="72">
        <v>0</v>
      </c>
      <c r="DU196" s="72">
        <v>0</v>
      </c>
      <c r="DV196" s="72">
        <v>0</v>
      </c>
      <c r="DW196" s="72">
        <v>0</v>
      </c>
      <c r="DX196" s="72">
        <v>0</v>
      </c>
      <c r="DY196" s="72">
        <v>0</v>
      </c>
      <c r="DZ196" s="72">
        <v>0</v>
      </c>
      <c r="EA196" s="72">
        <v>0</v>
      </c>
      <c r="EB196" s="72">
        <v>0</v>
      </c>
      <c r="EC196" s="72">
        <v>0</v>
      </c>
      <c r="ED196" s="72">
        <v>0</v>
      </c>
      <c r="EE196" s="72">
        <v>0</v>
      </c>
      <c r="EF196" s="72">
        <v>0</v>
      </c>
      <c r="EG196" s="72">
        <v>0</v>
      </c>
      <c r="EH196" s="72">
        <v>0</v>
      </c>
      <c r="EI196" s="72">
        <v>0</v>
      </c>
      <c r="EJ196" s="72">
        <v>0</v>
      </c>
      <c r="EK196" s="72">
        <v>0</v>
      </c>
      <c r="EL196" s="72">
        <v>0</v>
      </c>
    </row>
    <row r="197" spans="1:142" s="6" customFormat="1" x14ac:dyDescent="0.35">
      <c r="A197" s="59">
        <f>Данные!A197</f>
        <v>5791</v>
      </c>
      <c r="B197" s="59">
        <f>Данные!B197</f>
        <v>2017</v>
      </c>
      <c r="C197" s="59" t="str">
        <f>Данные!C197</f>
        <v>компьютерных технологий и электронного обучения</v>
      </c>
      <c r="D197" s="59" t="str">
        <f>Данные!D197</f>
        <v>Власова Елена Зотиковна</v>
      </c>
      <c r="E197" s="59" t="str">
        <f>Данные!E197</f>
        <v>доктор педагогических наук</v>
      </c>
      <c r="F197" s="59" t="str">
        <f>Данные!F197</f>
        <v>заведующий кафедрой</v>
      </c>
      <c r="G197" s="59">
        <f>Данные!G197</f>
        <v>1</v>
      </c>
      <c r="H197" s="59">
        <f>Данные!H197</f>
        <v>16591</v>
      </c>
      <c r="I197" s="59" t="str">
        <f>Данные!I197</f>
        <v>Модуль "Естественно-математический". Информатика</v>
      </c>
      <c r="J197" s="59">
        <f>Данные!J197</f>
        <v>0</v>
      </c>
      <c r="K197" s="59">
        <f>Данные!K197</f>
        <v>0</v>
      </c>
      <c r="L197" s="59">
        <f>Данные!L197</f>
        <v>0</v>
      </c>
      <c r="M197" s="60">
        <f t="shared" si="27"/>
        <v>0</v>
      </c>
      <c r="N197" s="60">
        <f t="shared" ca="1" si="28"/>
        <v>11.57</v>
      </c>
      <c r="O197" s="60">
        <f t="shared" ca="1" si="29"/>
        <v>7.25</v>
      </c>
      <c r="P197" s="60">
        <f t="shared" ca="1" si="30"/>
        <v>7.25</v>
      </c>
      <c r="Q197" s="54">
        <f>Данные!Q197</f>
        <v>0</v>
      </c>
      <c r="R197" s="54">
        <f>Данные!R197</f>
        <v>0</v>
      </c>
      <c r="S197" s="54">
        <f>Данные!S197</f>
        <v>0</v>
      </c>
      <c r="T197" s="54">
        <f>Данные!T197</f>
        <v>0</v>
      </c>
      <c r="U197" s="54">
        <f>Данные!U197</f>
        <v>0</v>
      </c>
      <c r="V197" s="54">
        <f>Данные!V197</f>
        <v>0</v>
      </c>
      <c r="W197" s="54">
        <f ca="1">Данные!W197</f>
        <v>29</v>
      </c>
      <c r="X197" s="54" t="str">
        <f ca="1">Данные!X197</f>
        <v>1</v>
      </c>
      <c r="Y197" s="54" t="str">
        <f ca="1">Данные!Y197</f>
        <v>2</v>
      </c>
      <c r="Z197" s="54">
        <f>Данные!Z197</f>
        <v>0</v>
      </c>
      <c r="AA197" s="54" t="str">
        <f>Данные!AA197</f>
        <v>осн</v>
      </c>
      <c r="AB197" s="101">
        <f t="shared" si="31"/>
        <v>700</v>
      </c>
      <c r="AC197" s="101" t="str">
        <f t="shared" si="32"/>
        <v>ИВТ (бак)</v>
      </c>
      <c r="AD197" s="101" t="str">
        <f t="shared" si="33"/>
        <v>2017–2018</v>
      </c>
      <c r="AE197" s="102">
        <f t="shared" ca="1" si="34"/>
        <v>26.07</v>
      </c>
      <c r="AF197" s="103">
        <f t="shared" ref="AF197:AF260" ca="1" si="35">AE197/AB197</f>
        <v>3.724285714285714E-2</v>
      </c>
      <c r="AG197" s="101"/>
      <c r="AH197" s="101"/>
      <c r="AI197"/>
      <c r="BQ197" s="72">
        <v>0</v>
      </c>
      <c r="BR197" s="72">
        <v>0</v>
      </c>
      <c r="BS197" s="72">
        <v>0</v>
      </c>
      <c r="BT197" s="72">
        <v>0</v>
      </c>
      <c r="BU197" s="72">
        <v>0</v>
      </c>
      <c r="BV197" s="72">
        <v>0</v>
      </c>
      <c r="BW197" s="72">
        <v>0</v>
      </c>
      <c r="BX197" s="72">
        <v>0</v>
      </c>
      <c r="BY197" s="72">
        <v>0</v>
      </c>
      <c r="BZ197" s="72">
        <v>0</v>
      </c>
      <c r="CA197" s="72">
        <v>0</v>
      </c>
      <c r="CB197" s="72">
        <v>0</v>
      </c>
      <c r="CC197" s="72">
        <v>0</v>
      </c>
      <c r="CD197" s="72">
        <v>0</v>
      </c>
      <c r="CE197" s="72">
        <v>0</v>
      </c>
      <c r="CF197" s="72">
        <v>0</v>
      </c>
      <c r="CG197" s="72">
        <v>0</v>
      </c>
      <c r="CH197" s="72">
        <v>0</v>
      </c>
      <c r="CI197" s="72">
        <v>0</v>
      </c>
      <c r="CJ197" s="72">
        <v>0</v>
      </c>
      <c r="CK197" s="72">
        <v>0</v>
      </c>
      <c r="CL197" s="72">
        <v>0</v>
      </c>
      <c r="CM197" s="72">
        <v>0</v>
      </c>
      <c r="CN197" s="72">
        <v>0</v>
      </c>
      <c r="CO197" s="72">
        <v>0</v>
      </c>
      <c r="CP197" s="72">
        <v>0</v>
      </c>
      <c r="CQ197" s="72">
        <v>0</v>
      </c>
      <c r="CR197" s="72">
        <v>0</v>
      </c>
      <c r="CS197" s="72">
        <v>0</v>
      </c>
      <c r="CT197" s="72">
        <v>0</v>
      </c>
      <c r="CU197" s="72">
        <v>0</v>
      </c>
      <c r="CV197" s="72">
        <v>0</v>
      </c>
      <c r="CW197" s="72">
        <v>0</v>
      </c>
      <c r="CX197" s="72">
        <v>0</v>
      </c>
      <c r="CY197" s="72">
        <v>0</v>
      </c>
      <c r="CZ197" s="72">
        <v>0</v>
      </c>
      <c r="DA197" s="72">
        <v>0</v>
      </c>
      <c r="DB197" s="72">
        <v>0</v>
      </c>
      <c r="DC197" s="72">
        <v>0</v>
      </c>
      <c r="DD197" s="72">
        <v>0</v>
      </c>
      <c r="DE197" s="72">
        <v>0</v>
      </c>
      <c r="DF197" s="72">
        <v>0</v>
      </c>
      <c r="DG197" s="72">
        <v>0</v>
      </c>
      <c r="DH197" s="72">
        <v>0</v>
      </c>
      <c r="DI197" s="72">
        <v>0</v>
      </c>
      <c r="DJ197" s="72">
        <v>0</v>
      </c>
      <c r="DK197" s="72">
        <v>0</v>
      </c>
      <c r="DL197" s="72">
        <v>0</v>
      </c>
      <c r="DM197" s="72">
        <v>0</v>
      </c>
      <c r="DN197" s="72">
        <v>0</v>
      </c>
      <c r="DO197" s="72">
        <v>0</v>
      </c>
      <c r="DP197" s="72">
        <v>0</v>
      </c>
      <c r="DQ197" s="72">
        <v>0</v>
      </c>
      <c r="DR197" s="72">
        <v>0</v>
      </c>
      <c r="DS197" s="72">
        <v>0</v>
      </c>
      <c r="DT197" s="72">
        <v>0</v>
      </c>
      <c r="DU197" s="72">
        <v>0</v>
      </c>
      <c r="DV197" s="72">
        <v>0</v>
      </c>
      <c r="DW197" s="72">
        <v>0</v>
      </c>
      <c r="DX197" s="72">
        <v>0</v>
      </c>
      <c r="DY197" s="72">
        <v>0</v>
      </c>
      <c r="DZ197" s="72">
        <v>0</v>
      </c>
      <c r="EA197" s="72">
        <v>0</v>
      </c>
      <c r="EB197" s="72">
        <v>0</v>
      </c>
      <c r="EC197" s="72">
        <v>0</v>
      </c>
      <c r="ED197" s="72">
        <v>0</v>
      </c>
      <c r="EE197" s="72">
        <v>0</v>
      </c>
      <c r="EF197" s="72">
        <v>0</v>
      </c>
      <c r="EG197" s="72">
        <v>0</v>
      </c>
      <c r="EH197" s="72">
        <v>0</v>
      </c>
      <c r="EI197" s="72">
        <v>0</v>
      </c>
      <c r="EJ197" s="72">
        <v>0</v>
      </c>
      <c r="EK197" s="72">
        <v>0</v>
      </c>
      <c r="EL197" s="72">
        <v>0</v>
      </c>
    </row>
    <row r="198" spans="1:142" s="6" customFormat="1" x14ac:dyDescent="0.35">
      <c r="A198" s="59">
        <f>Данные!A198</f>
        <v>5791</v>
      </c>
      <c r="B198" s="59">
        <f>Данные!B198</f>
        <v>2017</v>
      </c>
      <c r="C198" s="59" t="str">
        <f>Данные!C198</f>
        <v>компьютерных технологий и электронного обучения</v>
      </c>
      <c r="D198" s="59" t="str">
        <f>Данные!D198</f>
        <v>Власова Елена Зотиковна</v>
      </c>
      <c r="E198" s="59" t="str">
        <f>Данные!E198</f>
        <v>доктор педагогических наук</v>
      </c>
      <c r="F198" s="59" t="str">
        <f>Данные!F198</f>
        <v>заведующий кафедрой</v>
      </c>
      <c r="G198" s="59">
        <f>Данные!G198</f>
        <v>1</v>
      </c>
      <c r="H198" s="59">
        <f>Данные!H198</f>
        <v>16591</v>
      </c>
      <c r="I198" s="59" t="str">
        <f>Данные!I198</f>
        <v>Модуль "Естественно-математический". Информатика</v>
      </c>
      <c r="J198" s="59">
        <f>Данные!J198</f>
        <v>36</v>
      </c>
      <c r="K198" s="59">
        <f>Данные!K198</f>
        <v>0</v>
      </c>
      <c r="L198" s="59">
        <f>Данные!L198</f>
        <v>0</v>
      </c>
      <c r="M198" s="60">
        <f t="shared" si="27"/>
        <v>3.6</v>
      </c>
      <c r="N198" s="60">
        <f t="shared" ca="1" si="28"/>
        <v>11.57</v>
      </c>
      <c r="O198" s="60">
        <f t="shared" ca="1" si="29"/>
        <v>7.25</v>
      </c>
      <c r="P198" s="60">
        <f t="shared" ca="1" si="30"/>
        <v>7.25</v>
      </c>
      <c r="Q198" s="54">
        <f>Данные!Q198</f>
        <v>0</v>
      </c>
      <c r="R198" s="54">
        <f>Данные!R198</f>
        <v>0</v>
      </c>
      <c r="S198" s="54">
        <f>Данные!S198</f>
        <v>0</v>
      </c>
      <c r="T198" s="54">
        <f>Данные!T198</f>
        <v>0</v>
      </c>
      <c r="U198" s="54">
        <f>Данные!U198</f>
        <v>0</v>
      </c>
      <c r="V198" s="54">
        <f>Данные!V198</f>
        <v>0</v>
      </c>
      <c r="W198" s="54">
        <f ca="1">Данные!W198</f>
        <v>29</v>
      </c>
      <c r="X198" s="54" t="str">
        <f ca="1">Данные!X198</f>
        <v>1</v>
      </c>
      <c r="Y198" s="54" t="str">
        <f ca="1">Данные!Y198</f>
        <v>2</v>
      </c>
      <c r="Z198" s="54">
        <f>Данные!Z198</f>
        <v>0</v>
      </c>
      <c r="AA198" s="54" t="str">
        <f>Данные!AA198</f>
        <v>осн</v>
      </c>
      <c r="AB198" s="101">
        <f t="shared" si="31"/>
        <v>700</v>
      </c>
      <c r="AC198" s="101" t="str">
        <f t="shared" si="32"/>
        <v>ИВТ (бак)</v>
      </c>
      <c r="AD198" s="101" t="str">
        <f t="shared" si="33"/>
        <v>2017–2018</v>
      </c>
      <c r="AE198" s="102">
        <f t="shared" ca="1" si="34"/>
        <v>65.67</v>
      </c>
      <c r="AF198" s="103">
        <f t="shared" ca="1" si="35"/>
        <v>9.3814285714285711E-2</v>
      </c>
      <c r="AG198" s="101"/>
      <c r="AH198" s="101"/>
      <c r="AI198"/>
      <c r="BQ198" s="72">
        <v>0</v>
      </c>
      <c r="BR198" s="72">
        <v>0</v>
      </c>
      <c r="BS198" s="72">
        <v>0</v>
      </c>
      <c r="BT198" s="72">
        <v>0</v>
      </c>
      <c r="BU198" s="72">
        <v>0</v>
      </c>
      <c r="BV198" s="72">
        <v>0</v>
      </c>
      <c r="BW198" s="72">
        <v>0</v>
      </c>
      <c r="BX198" s="72">
        <v>0</v>
      </c>
      <c r="BY198" s="72">
        <v>0</v>
      </c>
      <c r="BZ198" s="72">
        <v>0</v>
      </c>
      <c r="CA198" s="72">
        <v>0</v>
      </c>
      <c r="CB198" s="72">
        <v>0</v>
      </c>
      <c r="CC198" s="72">
        <v>0</v>
      </c>
      <c r="CD198" s="72">
        <v>0</v>
      </c>
      <c r="CE198" s="72">
        <v>0</v>
      </c>
      <c r="CF198" s="72">
        <v>0</v>
      </c>
      <c r="CG198" s="72">
        <v>0</v>
      </c>
      <c r="CH198" s="72">
        <v>0</v>
      </c>
      <c r="CI198" s="72">
        <v>0</v>
      </c>
      <c r="CJ198" s="72">
        <v>0</v>
      </c>
      <c r="CK198" s="72">
        <v>0</v>
      </c>
      <c r="CL198" s="72">
        <v>0</v>
      </c>
      <c r="CM198" s="72">
        <v>0</v>
      </c>
      <c r="CN198" s="72">
        <v>0</v>
      </c>
      <c r="CO198" s="72">
        <v>0</v>
      </c>
      <c r="CP198" s="72">
        <v>0</v>
      </c>
      <c r="CQ198" s="72">
        <v>0</v>
      </c>
      <c r="CR198" s="72">
        <v>0</v>
      </c>
      <c r="CS198" s="72">
        <v>0</v>
      </c>
      <c r="CT198" s="72">
        <v>0</v>
      </c>
      <c r="CU198" s="72">
        <v>0</v>
      </c>
      <c r="CV198" s="72">
        <v>0</v>
      </c>
      <c r="CW198" s="72">
        <v>0</v>
      </c>
      <c r="CX198" s="72">
        <v>0</v>
      </c>
      <c r="CY198" s="72">
        <v>0</v>
      </c>
      <c r="CZ198" s="72">
        <v>0</v>
      </c>
      <c r="DA198" s="72">
        <v>0</v>
      </c>
      <c r="DB198" s="72">
        <v>0</v>
      </c>
      <c r="DC198" s="72">
        <v>0</v>
      </c>
      <c r="DD198" s="72">
        <v>0</v>
      </c>
      <c r="DE198" s="72">
        <v>0</v>
      </c>
      <c r="DF198" s="72">
        <v>0</v>
      </c>
      <c r="DG198" s="72">
        <v>0</v>
      </c>
      <c r="DH198" s="72">
        <v>0</v>
      </c>
      <c r="DI198" s="72">
        <v>0</v>
      </c>
      <c r="DJ198" s="72">
        <v>0</v>
      </c>
      <c r="DK198" s="72">
        <v>0</v>
      </c>
      <c r="DL198" s="72">
        <v>0</v>
      </c>
      <c r="DM198" s="72">
        <v>0</v>
      </c>
      <c r="DN198" s="72">
        <v>0</v>
      </c>
      <c r="DO198" s="72">
        <v>0</v>
      </c>
      <c r="DP198" s="72">
        <v>0</v>
      </c>
      <c r="DQ198" s="72">
        <v>0</v>
      </c>
      <c r="DR198" s="72">
        <v>0</v>
      </c>
      <c r="DS198" s="72">
        <v>0</v>
      </c>
      <c r="DT198" s="72">
        <v>0</v>
      </c>
      <c r="DU198" s="72">
        <v>0</v>
      </c>
      <c r="DV198" s="72">
        <v>0</v>
      </c>
      <c r="DW198" s="72">
        <v>0</v>
      </c>
      <c r="DX198" s="72">
        <v>0</v>
      </c>
      <c r="DY198" s="72">
        <v>0</v>
      </c>
      <c r="DZ198" s="72">
        <v>0</v>
      </c>
      <c r="EA198" s="72">
        <v>0</v>
      </c>
      <c r="EB198" s="72">
        <v>0</v>
      </c>
      <c r="EC198" s="72">
        <v>0</v>
      </c>
      <c r="ED198" s="72">
        <v>0</v>
      </c>
      <c r="EE198" s="72">
        <v>0</v>
      </c>
      <c r="EF198" s="72">
        <v>0</v>
      </c>
      <c r="EG198" s="72">
        <v>0</v>
      </c>
      <c r="EH198" s="72">
        <v>0</v>
      </c>
      <c r="EI198" s="72">
        <v>0</v>
      </c>
      <c r="EJ198" s="72">
        <v>0</v>
      </c>
      <c r="EK198" s="72">
        <v>0</v>
      </c>
      <c r="EL198" s="72">
        <v>0</v>
      </c>
    </row>
    <row r="199" spans="1:142" s="6" customFormat="1" x14ac:dyDescent="0.35">
      <c r="A199" s="59">
        <f>Данные!A199</f>
        <v>5791</v>
      </c>
      <c r="B199" s="59">
        <f>Данные!B199</f>
        <v>2017</v>
      </c>
      <c r="C199" s="59" t="str">
        <f>Данные!C199</f>
        <v>компьютерных технологий и электронного обучения</v>
      </c>
      <c r="D199" s="59" t="str">
        <f>Данные!D199</f>
        <v>Власова Елена Зотиковна</v>
      </c>
      <c r="E199" s="59" t="str">
        <f>Данные!E199</f>
        <v>доктор педагогических наук</v>
      </c>
      <c r="F199" s="59" t="str">
        <f>Данные!F199</f>
        <v>заведующий кафедрой</v>
      </c>
      <c r="G199" s="59">
        <f>Данные!G199</f>
        <v>1</v>
      </c>
      <c r="H199" s="59">
        <f>Данные!H199</f>
        <v>16591</v>
      </c>
      <c r="I199" s="59" t="str">
        <f>Данные!I199</f>
        <v>Модуль "Информационные технологии в математике и физике". Информационные технологии</v>
      </c>
      <c r="J199" s="59">
        <f>Данные!J199</f>
        <v>0</v>
      </c>
      <c r="K199" s="59">
        <f>Данные!K199</f>
        <v>0</v>
      </c>
      <c r="L199" s="59">
        <f>Данные!L199</f>
        <v>0</v>
      </c>
      <c r="M199" s="60">
        <f t="shared" si="27"/>
        <v>0</v>
      </c>
      <c r="N199" s="60">
        <f t="shared" ca="1" si="28"/>
        <v>11.57</v>
      </c>
      <c r="O199" s="60">
        <f t="shared" ca="1" si="29"/>
        <v>7.25</v>
      </c>
      <c r="P199" s="60">
        <f t="shared" ca="1" si="30"/>
        <v>7.25</v>
      </c>
      <c r="Q199" s="54">
        <f>Данные!Q199</f>
        <v>0</v>
      </c>
      <c r="R199" s="54">
        <f>Данные!R199</f>
        <v>0</v>
      </c>
      <c r="S199" s="54">
        <f>Данные!S199</f>
        <v>0</v>
      </c>
      <c r="T199" s="54">
        <f>Данные!T199</f>
        <v>0</v>
      </c>
      <c r="U199" s="54">
        <f>Данные!U199</f>
        <v>0</v>
      </c>
      <c r="V199" s="54">
        <f>Данные!V199</f>
        <v>0</v>
      </c>
      <c r="W199" s="54">
        <f ca="1">Данные!W199</f>
        <v>29</v>
      </c>
      <c r="X199" s="54" t="str">
        <f ca="1">Данные!X199</f>
        <v>1</v>
      </c>
      <c r="Y199" s="54" t="str">
        <f ca="1">Данные!Y199</f>
        <v>2</v>
      </c>
      <c r="Z199" s="54">
        <f>Данные!Z199</f>
        <v>0</v>
      </c>
      <c r="AA199" s="54" t="str">
        <f>Данные!AA199</f>
        <v>осн</v>
      </c>
      <c r="AB199" s="101">
        <f t="shared" si="31"/>
        <v>700</v>
      </c>
      <c r="AC199" s="101" t="str">
        <f t="shared" si="32"/>
        <v>ИВТ (бак)</v>
      </c>
      <c r="AD199" s="101" t="str">
        <f t="shared" si="33"/>
        <v>2017–2018</v>
      </c>
      <c r="AE199" s="102">
        <f t="shared" ca="1" si="34"/>
        <v>26.07</v>
      </c>
      <c r="AF199" s="103">
        <f t="shared" ca="1" si="35"/>
        <v>3.724285714285714E-2</v>
      </c>
      <c r="AG199" s="101"/>
      <c r="AH199" s="101"/>
      <c r="AI199"/>
      <c r="BQ199" s="72">
        <v>0</v>
      </c>
      <c r="BR199" s="72">
        <v>0</v>
      </c>
      <c r="BS199" s="72">
        <v>0</v>
      </c>
      <c r="BT199" s="72">
        <v>0</v>
      </c>
      <c r="BU199" s="72">
        <v>0</v>
      </c>
      <c r="BV199" s="72">
        <v>0</v>
      </c>
      <c r="BW199" s="72">
        <v>0</v>
      </c>
      <c r="BX199" s="72">
        <v>0</v>
      </c>
      <c r="BY199" s="72">
        <v>0</v>
      </c>
      <c r="BZ199" s="72">
        <v>0</v>
      </c>
      <c r="CA199" s="72">
        <v>0</v>
      </c>
      <c r="CB199" s="72">
        <v>0</v>
      </c>
      <c r="CC199" s="72">
        <v>0</v>
      </c>
      <c r="CD199" s="72">
        <v>0</v>
      </c>
      <c r="CE199" s="72">
        <v>0</v>
      </c>
      <c r="CF199" s="72">
        <v>0</v>
      </c>
      <c r="CG199" s="72">
        <v>0</v>
      </c>
      <c r="CH199" s="72">
        <v>0</v>
      </c>
      <c r="CI199" s="72">
        <v>0</v>
      </c>
      <c r="CJ199" s="72">
        <v>0</v>
      </c>
      <c r="CK199" s="72">
        <v>0</v>
      </c>
      <c r="CL199" s="72">
        <v>0</v>
      </c>
      <c r="CM199" s="72">
        <v>0</v>
      </c>
      <c r="CN199" s="72">
        <v>0</v>
      </c>
      <c r="CO199" s="72">
        <v>0</v>
      </c>
      <c r="CP199" s="72">
        <v>0</v>
      </c>
      <c r="CQ199" s="72">
        <v>0</v>
      </c>
      <c r="CR199" s="72">
        <v>0</v>
      </c>
      <c r="CS199" s="72">
        <v>0</v>
      </c>
      <c r="CT199" s="72">
        <v>0</v>
      </c>
      <c r="CU199" s="72">
        <v>0</v>
      </c>
      <c r="CV199" s="72">
        <v>0</v>
      </c>
      <c r="CW199" s="72">
        <v>0</v>
      </c>
      <c r="CX199" s="72">
        <v>0</v>
      </c>
      <c r="CY199" s="72">
        <v>0</v>
      </c>
      <c r="CZ199" s="72">
        <v>0</v>
      </c>
      <c r="DA199" s="72">
        <v>0</v>
      </c>
      <c r="DB199" s="72">
        <v>0</v>
      </c>
      <c r="DC199" s="72">
        <v>0</v>
      </c>
      <c r="DD199" s="72">
        <v>0</v>
      </c>
      <c r="DE199" s="72">
        <v>0</v>
      </c>
      <c r="DF199" s="72">
        <v>0</v>
      </c>
      <c r="DG199" s="72">
        <v>0</v>
      </c>
      <c r="DH199" s="72">
        <v>0</v>
      </c>
      <c r="DI199" s="72">
        <v>0</v>
      </c>
      <c r="DJ199" s="72">
        <v>0</v>
      </c>
      <c r="DK199" s="72">
        <v>0</v>
      </c>
      <c r="DL199" s="72">
        <v>0</v>
      </c>
      <c r="DM199" s="72">
        <v>0</v>
      </c>
      <c r="DN199" s="72">
        <v>0</v>
      </c>
      <c r="DO199" s="72">
        <v>0</v>
      </c>
      <c r="DP199" s="72">
        <v>0</v>
      </c>
      <c r="DQ199" s="72">
        <v>0</v>
      </c>
      <c r="DR199" s="72">
        <v>0</v>
      </c>
      <c r="DS199" s="72">
        <v>0</v>
      </c>
      <c r="DT199" s="72">
        <v>0</v>
      </c>
      <c r="DU199" s="72">
        <v>0</v>
      </c>
      <c r="DV199" s="72">
        <v>0</v>
      </c>
      <c r="DW199" s="72">
        <v>0</v>
      </c>
      <c r="DX199" s="72">
        <v>0</v>
      </c>
      <c r="DY199" s="72">
        <v>0</v>
      </c>
      <c r="DZ199" s="72">
        <v>0</v>
      </c>
      <c r="EA199" s="72">
        <v>0</v>
      </c>
      <c r="EB199" s="72">
        <v>0</v>
      </c>
      <c r="EC199" s="72">
        <v>0</v>
      </c>
      <c r="ED199" s="72">
        <v>0</v>
      </c>
      <c r="EE199" s="72">
        <v>0</v>
      </c>
      <c r="EF199" s="72">
        <v>0</v>
      </c>
      <c r="EG199" s="72">
        <v>0</v>
      </c>
      <c r="EH199" s="72">
        <v>0</v>
      </c>
      <c r="EI199" s="72">
        <v>0</v>
      </c>
      <c r="EJ199" s="72">
        <v>0</v>
      </c>
      <c r="EK199" s="72">
        <v>0</v>
      </c>
      <c r="EL199" s="72">
        <v>0</v>
      </c>
    </row>
    <row r="200" spans="1:142" s="6" customFormat="1" x14ac:dyDescent="0.35">
      <c r="A200" s="59">
        <f>Данные!A200</f>
        <v>5791</v>
      </c>
      <c r="B200" s="59">
        <f>Данные!B200</f>
        <v>2017</v>
      </c>
      <c r="C200" s="59" t="str">
        <f>Данные!C200</f>
        <v>компьютерных технологий и электронного обучения</v>
      </c>
      <c r="D200" s="59" t="str">
        <f>Данные!D200</f>
        <v>Власова Елена Зотиковна</v>
      </c>
      <c r="E200" s="59" t="str">
        <f>Данные!E200</f>
        <v>доктор педагогических наук</v>
      </c>
      <c r="F200" s="59" t="str">
        <f>Данные!F200</f>
        <v>заведующий кафедрой</v>
      </c>
      <c r="G200" s="59">
        <f>Данные!G200</f>
        <v>1</v>
      </c>
      <c r="H200" s="59">
        <f>Данные!H200</f>
        <v>16591</v>
      </c>
      <c r="I200" s="59" t="str">
        <f>Данные!I200</f>
        <v>Модуль "Информационные технологии в математике и физике". Информационные технологии в физике</v>
      </c>
      <c r="J200" s="59">
        <f>Данные!J200</f>
        <v>12</v>
      </c>
      <c r="K200" s="59">
        <f>Данные!K200</f>
        <v>0</v>
      </c>
      <c r="L200" s="59">
        <f>Данные!L200</f>
        <v>0</v>
      </c>
      <c r="M200" s="60">
        <f t="shared" si="27"/>
        <v>1.2</v>
      </c>
      <c r="N200" s="60">
        <f t="shared" ca="1" si="28"/>
        <v>11.57</v>
      </c>
      <c r="O200" s="60">
        <f t="shared" ca="1" si="29"/>
        <v>7.25</v>
      </c>
      <c r="P200" s="60">
        <f t="shared" ca="1" si="30"/>
        <v>7.25</v>
      </c>
      <c r="Q200" s="54">
        <f>Данные!Q200</f>
        <v>31</v>
      </c>
      <c r="R200" s="54">
        <f>Данные!R200</f>
        <v>0</v>
      </c>
      <c r="S200" s="54">
        <f>Данные!S200</f>
        <v>0</v>
      </c>
      <c r="T200" s="54">
        <f>Данные!T200</f>
        <v>0</v>
      </c>
      <c r="U200" s="54">
        <f>Данные!U200</f>
        <v>0</v>
      </c>
      <c r="V200" s="54">
        <f>Данные!V200</f>
        <v>0</v>
      </c>
      <c r="W200" s="54">
        <f ca="1">Данные!W200</f>
        <v>29</v>
      </c>
      <c r="X200" s="54" t="str">
        <f ca="1">Данные!X200</f>
        <v>1</v>
      </c>
      <c r="Y200" s="54" t="str">
        <f ca="1">Данные!Y200</f>
        <v>2</v>
      </c>
      <c r="Z200" s="54">
        <f>Данные!Z200</f>
        <v>0</v>
      </c>
      <c r="AA200" s="54" t="str">
        <f>Данные!AA200</f>
        <v>осн</v>
      </c>
      <c r="AB200" s="101">
        <f t="shared" si="31"/>
        <v>700</v>
      </c>
      <c r="AC200" s="101" t="str">
        <f t="shared" si="32"/>
        <v>ИВТ (бак)</v>
      </c>
      <c r="AD200" s="101" t="str">
        <f t="shared" si="33"/>
        <v>2017–2018</v>
      </c>
      <c r="AE200" s="102">
        <f t="shared" ca="1" si="34"/>
        <v>70.27</v>
      </c>
      <c r="AF200" s="103">
        <f t="shared" ca="1" si="35"/>
        <v>0.10038571428571429</v>
      </c>
      <c r="AG200" s="101"/>
      <c r="AH200" s="101"/>
      <c r="AI200"/>
      <c r="BQ200" s="72">
        <v>0</v>
      </c>
      <c r="BR200" s="72">
        <v>0</v>
      </c>
      <c r="BS200" s="72">
        <v>0</v>
      </c>
      <c r="BT200" s="72">
        <v>0</v>
      </c>
      <c r="BU200" s="72">
        <v>0</v>
      </c>
      <c r="BV200" s="72">
        <v>0</v>
      </c>
      <c r="BW200" s="72">
        <v>0</v>
      </c>
      <c r="BX200" s="72">
        <v>0</v>
      </c>
      <c r="BY200" s="72">
        <v>0</v>
      </c>
      <c r="BZ200" s="72">
        <v>0</v>
      </c>
      <c r="CA200" s="72">
        <v>0</v>
      </c>
      <c r="CB200" s="72">
        <v>0</v>
      </c>
      <c r="CC200" s="72">
        <v>0</v>
      </c>
      <c r="CD200" s="72">
        <v>0</v>
      </c>
      <c r="CE200" s="72">
        <v>0</v>
      </c>
      <c r="CF200" s="72">
        <v>0</v>
      </c>
      <c r="CG200" s="72">
        <v>0</v>
      </c>
      <c r="CH200" s="72">
        <v>0</v>
      </c>
      <c r="CI200" s="72">
        <v>0</v>
      </c>
      <c r="CJ200" s="72">
        <v>0</v>
      </c>
      <c r="CK200" s="72">
        <v>0</v>
      </c>
      <c r="CL200" s="72">
        <v>0</v>
      </c>
      <c r="CM200" s="72">
        <v>0</v>
      </c>
      <c r="CN200" s="72">
        <v>0</v>
      </c>
      <c r="CO200" s="72">
        <v>0</v>
      </c>
      <c r="CP200" s="72">
        <v>0</v>
      </c>
      <c r="CQ200" s="72">
        <v>0</v>
      </c>
      <c r="CR200" s="72">
        <v>0</v>
      </c>
      <c r="CS200" s="72">
        <v>0</v>
      </c>
      <c r="CT200" s="72">
        <v>0</v>
      </c>
      <c r="CU200" s="72">
        <v>0</v>
      </c>
      <c r="CV200" s="72">
        <v>0</v>
      </c>
      <c r="CW200" s="72">
        <v>0</v>
      </c>
      <c r="CX200" s="72">
        <v>0</v>
      </c>
      <c r="CY200" s="72">
        <v>0</v>
      </c>
      <c r="CZ200" s="72">
        <v>0</v>
      </c>
      <c r="DA200" s="72">
        <v>0</v>
      </c>
      <c r="DB200" s="72">
        <v>0</v>
      </c>
      <c r="DC200" s="72">
        <v>0</v>
      </c>
      <c r="DD200" s="72">
        <v>0</v>
      </c>
      <c r="DE200" s="72">
        <v>0</v>
      </c>
      <c r="DF200" s="72">
        <v>0</v>
      </c>
      <c r="DG200" s="72">
        <v>0</v>
      </c>
      <c r="DH200" s="72">
        <v>0</v>
      </c>
      <c r="DI200" s="72">
        <v>0</v>
      </c>
      <c r="DJ200" s="72">
        <v>0</v>
      </c>
      <c r="DK200" s="72">
        <v>0</v>
      </c>
      <c r="DL200" s="72">
        <v>0</v>
      </c>
      <c r="DM200" s="72">
        <v>0</v>
      </c>
      <c r="DN200" s="72">
        <v>0</v>
      </c>
      <c r="DO200" s="72">
        <v>0</v>
      </c>
      <c r="DP200" s="72">
        <v>0</v>
      </c>
      <c r="DQ200" s="72">
        <v>0</v>
      </c>
      <c r="DR200" s="72">
        <v>0</v>
      </c>
      <c r="DS200" s="72">
        <v>0</v>
      </c>
      <c r="DT200" s="72">
        <v>0</v>
      </c>
      <c r="DU200" s="72">
        <v>0</v>
      </c>
      <c r="DV200" s="72">
        <v>0</v>
      </c>
      <c r="DW200" s="72">
        <v>0</v>
      </c>
      <c r="DX200" s="72">
        <v>0</v>
      </c>
      <c r="DY200" s="72">
        <v>0</v>
      </c>
      <c r="DZ200" s="72">
        <v>0</v>
      </c>
      <c r="EA200" s="72">
        <v>0</v>
      </c>
      <c r="EB200" s="72">
        <v>0</v>
      </c>
      <c r="EC200" s="72">
        <v>0</v>
      </c>
      <c r="ED200" s="72">
        <v>0</v>
      </c>
      <c r="EE200" s="72">
        <v>0</v>
      </c>
      <c r="EF200" s="72">
        <v>0</v>
      </c>
      <c r="EG200" s="72">
        <v>0</v>
      </c>
      <c r="EH200" s="72">
        <v>0</v>
      </c>
      <c r="EI200" s="72">
        <v>0</v>
      </c>
      <c r="EJ200" s="72">
        <v>0</v>
      </c>
      <c r="EK200" s="72">
        <v>0</v>
      </c>
      <c r="EL200" s="72">
        <v>0</v>
      </c>
    </row>
    <row r="201" spans="1:142" s="6" customFormat="1" x14ac:dyDescent="0.35">
      <c r="A201" s="59">
        <f>Данные!A201</f>
        <v>5791</v>
      </c>
      <c r="B201" s="59">
        <f>Данные!B201</f>
        <v>2017</v>
      </c>
      <c r="C201" s="59" t="str">
        <f>Данные!C201</f>
        <v>компьютерных технологий и электронного обучения</v>
      </c>
      <c r="D201" s="59" t="str">
        <f>Данные!D201</f>
        <v>Власова Елена Зотиковна</v>
      </c>
      <c r="E201" s="59" t="str">
        <f>Данные!E201</f>
        <v>доктор педагогических наук</v>
      </c>
      <c r="F201" s="59" t="str">
        <f>Данные!F201</f>
        <v>заведующий кафедрой</v>
      </c>
      <c r="G201" s="59">
        <f>Данные!G201</f>
        <v>1</v>
      </c>
      <c r="H201" s="59">
        <f>Данные!H201</f>
        <v>16591</v>
      </c>
      <c r="I201" s="59" t="str">
        <f>Данные!I201</f>
        <v>Модуль "Системное и прикладное программное обеспечение". Программирование</v>
      </c>
      <c r="J201" s="59">
        <f>Данные!J201</f>
        <v>18</v>
      </c>
      <c r="K201" s="59">
        <f>Данные!K201</f>
        <v>0</v>
      </c>
      <c r="L201" s="59">
        <f>Данные!L201</f>
        <v>0</v>
      </c>
      <c r="M201" s="60">
        <f t="shared" si="27"/>
        <v>1.8</v>
      </c>
      <c r="N201" s="60">
        <f t="shared" ca="1" si="28"/>
        <v>11.57</v>
      </c>
      <c r="O201" s="60">
        <f t="shared" ca="1" si="29"/>
        <v>7.25</v>
      </c>
      <c r="P201" s="60">
        <f t="shared" ca="1" si="30"/>
        <v>7.25</v>
      </c>
      <c r="Q201" s="54">
        <f>Данные!Q201</f>
        <v>0</v>
      </c>
      <c r="R201" s="54">
        <f>Данные!R201</f>
        <v>0</v>
      </c>
      <c r="S201" s="54">
        <f>Данные!S201</f>
        <v>0</v>
      </c>
      <c r="T201" s="54">
        <f>Данные!T201</f>
        <v>0</v>
      </c>
      <c r="U201" s="54">
        <f>Данные!U201</f>
        <v>0</v>
      </c>
      <c r="V201" s="54">
        <f>Данные!V201</f>
        <v>0</v>
      </c>
      <c r="W201" s="54">
        <f ca="1">Данные!W201</f>
        <v>29</v>
      </c>
      <c r="X201" s="54" t="str">
        <f ca="1">Данные!X201</f>
        <v>1</v>
      </c>
      <c r="Y201" s="54" t="str">
        <f ca="1">Данные!Y201</f>
        <v>2</v>
      </c>
      <c r="Z201" s="54">
        <f>Данные!Z201</f>
        <v>0</v>
      </c>
      <c r="AA201" s="54" t="str">
        <f>Данные!AA201</f>
        <v>осн</v>
      </c>
      <c r="AB201" s="101">
        <f t="shared" si="31"/>
        <v>700</v>
      </c>
      <c r="AC201" s="101" t="str">
        <f t="shared" si="32"/>
        <v>ИВТ (бак)</v>
      </c>
      <c r="AD201" s="101" t="str">
        <f t="shared" si="33"/>
        <v>2017–2018</v>
      </c>
      <c r="AE201" s="102">
        <f t="shared" ca="1" si="34"/>
        <v>45.870000000000005</v>
      </c>
      <c r="AF201" s="103">
        <f t="shared" ca="1" si="35"/>
        <v>6.5528571428571436E-2</v>
      </c>
      <c r="AG201" s="101"/>
      <c r="AH201" s="101"/>
      <c r="AI201"/>
      <c r="BQ201" s="72">
        <v>0</v>
      </c>
      <c r="BR201" s="72">
        <v>0</v>
      </c>
      <c r="BS201" s="72">
        <v>0</v>
      </c>
      <c r="BT201" s="72">
        <v>0</v>
      </c>
      <c r="BU201" s="72">
        <v>0</v>
      </c>
      <c r="BV201" s="72">
        <v>0</v>
      </c>
      <c r="BW201" s="72">
        <v>0</v>
      </c>
      <c r="BX201" s="72">
        <v>0</v>
      </c>
      <c r="BY201" s="72">
        <v>0</v>
      </c>
      <c r="BZ201" s="72">
        <v>0</v>
      </c>
      <c r="CA201" s="72">
        <v>0</v>
      </c>
      <c r="CB201" s="72">
        <v>0</v>
      </c>
      <c r="CC201" s="72">
        <v>0</v>
      </c>
      <c r="CD201" s="72">
        <v>0</v>
      </c>
      <c r="CE201" s="72">
        <v>0</v>
      </c>
      <c r="CF201" s="72">
        <v>0</v>
      </c>
      <c r="CG201" s="72">
        <v>0</v>
      </c>
      <c r="CH201" s="72">
        <v>0</v>
      </c>
      <c r="CI201" s="72">
        <v>0</v>
      </c>
      <c r="CJ201" s="72">
        <v>0</v>
      </c>
      <c r="CK201" s="72">
        <v>0</v>
      </c>
      <c r="CL201" s="72">
        <v>0</v>
      </c>
      <c r="CM201" s="72">
        <v>0</v>
      </c>
      <c r="CN201" s="72">
        <v>0</v>
      </c>
      <c r="CO201" s="72">
        <v>0</v>
      </c>
      <c r="CP201" s="72">
        <v>0</v>
      </c>
      <c r="CQ201" s="72">
        <v>0</v>
      </c>
      <c r="CR201" s="72">
        <v>0</v>
      </c>
      <c r="CS201" s="72">
        <v>0</v>
      </c>
      <c r="CT201" s="72">
        <v>0</v>
      </c>
      <c r="CU201" s="72">
        <v>0</v>
      </c>
      <c r="CV201" s="72">
        <v>0</v>
      </c>
      <c r="CW201" s="72">
        <v>0</v>
      </c>
      <c r="CX201" s="72">
        <v>0</v>
      </c>
      <c r="CY201" s="72">
        <v>0</v>
      </c>
      <c r="CZ201" s="72">
        <v>0</v>
      </c>
      <c r="DA201" s="72">
        <v>0</v>
      </c>
      <c r="DB201" s="72">
        <v>0</v>
      </c>
      <c r="DC201" s="72">
        <v>0</v>
      </c>
      <c r="DD201" s="72">
        <v>0</v>
      </c>
      <c r="DE201" s="72">
        <v>0</v>
      </c>
      <c r="DF201" s="72">
        <v>0</v>
      </c>
      <c r="DG201" s="72">
        <v>0</v>
      </c>
      <c r="DH201" s="72">
        <v>0</v>
      </c>
      <c r="DI201" s="72">
        <v>0</v>
      </c>
      <c r="DJ201" s="72">
        <v>0</v>
      </c>
      <c r="DK201" s="72">
        <v>0</v>
      </c>
      <c r="DL201" s="72">
        <v>0</v>
      </c>
      <c r="DM201" s="72">
        <v>0</v>
      </c>
      <c r="DN201" s="72">
        <v>0</v>
      </c>
      <c r="DO201" s="72">
        <v>0</v>
      </c>
      <c r="DP201" s="72">
        <v>0</v>
      </c>
      <c r="DQ201" s="72">
        <v>0</v>
      </c>
      <c r="DR201" s="72">
        <v>0</v>
      </c>
      <c r="DS201" s="72">
        <v>0</v>
      </c>
      <c r="DT201" s="72">
        <v>0</v>
      </c>
      <c r="DU201" s="72">
        <v>0</v>
      </c>
      <c r="DV201" s="72">
        <v>0</v>
      </c>
      <c r="DW201" s="72">
        <v>0</v>
      </c>
      <c r="DX201" s="72">
        <v>0</v>
      </c>
      <c r="DY201" s="72">
        <v>0</v>
      </c>
      <c r="DZ201" s="72">
        <v>0</v>
      </c>
      <c r="EA201" s="72">
        <v>0</v>
      </c>
      <c r="EB201" s="72">
        <v>0</v>
      </c>
      <c r="EC201" s="72">
        <v>0</v>
      </c>
      <c r="ED201" s="72">
        <v>0</v>
      </c>
      <c r="EE201" s="72">
        <v>0</v>
      </c>
      <c r="EF201" s="72">
        <v>0</v>
      </c>
      <c r="EG201" s="72">
        <v>0</v>
      </c>
      <c r="EH201" s="72">
        <v>0</v>
      </c>
      <c r="EI201" s="72">
        <v>0</v>
      </c>
      <c r="EJ201" s="72">
        <v>0</v>
      </c>
      <c r="EK201" s="72">
        <v>0</v>
      </c>
      <c r="EL201" s="72">
        <v>0</v>
      </c>
    </row>
    <row r="202" spans="1:142" s="6" customFormat="1" x14ac:dyDescent="0.35">
      <c r="A202" s="59">
        <f>Данные!A202</f>
        <v>5791</v>
      </c>
      <c r="B202" s="59">
        <f>Данные!B202</f>
        <v>2017</v>
      </c>
      <c r="C202" s="59" t="str">
        <f>Данные!C202</f>
        <v>компьютерных технологий и электронного обучения</v>
      </c>
      <c r="D202" s="59" t="str">
        <f>Данные!D202</f>
        <v>Гончарова Светлана Викторовна</v>
      </c>
      <c r="E202" s="59" t="str">
        <f>Данные!E202</f>
        <v>кандидат педагогических наук</v>
      </c>
      <c r="F202" s="59" t="str">
        <f>Данные!F202</f>
        <v>доцент</v>
      </c>
      <c r="G202" s="59">
        <f>Данные!G202</f>
        <v>1</v>
      </c>
      <c r="H202" s="59">
        <f>Данные!H202</f>
        <v>16591</v>
      </c>
      <c r="I202" s="59" t="str">
        <f>Данные!I202</f>
        <v>Модуль "Естественно-математический". Информатика</v>
      </c>
      <c r="J202" s="59">
        <f>Данные!J202</f>
        <v>0</v>
      </c>
      <c r="K202" s="59">
        <f>Данные!K202</f>
        <v>0</v>
      </c>
      <c r="L202" s="59">
        <f>Данные!L202</f>
        <v>0</v>
      </c>
      <c r="M202" s="60">
        <f t="shared" si="27"/>
        <v>0</v>
      </c>
      <c r="N202" s="60">
        <f t="shared" ca="1" si="28"/>
        <v>11.57</v>
      </c>
      <c r="O202" s="60">
        <f t="shared" ca="1" si="29"/>
        <v>7.25</v>
      </c>
      <c r="P202" s="60">
        <f t="shared" ca="1" si="30"/>
        <v>7.25</v>
      </c>
      <c r="Q202" s="54">
        <f>Данные!Q202</f>
        <v>0</v>
      </c>
      <c r="R202" s="54">
        <f>Данные!R202</f>
        <v>0</v>
      </c>
      <c r="S202" s="54">
        <f>Данные!S202</f>
        <v>0</v>
      </c>
      <c r="T202" s="54">
        <f>Данные!T202</f>
        <v>0</v>
      </c>
      <c r="U202" s="54">
        <f>Данные!U202</f>
        <v>0</v>
      </c>
      <c r="V202" s="54">
        <f>Данные!V202</f>
        <v>0</v>
      </c>
      <c r="W202" s="54">
        <f ca="1">Данные!W202</f>
        <v>29</v>
      </c>
      <c r="X202" s="54" t="str">
        <f ca="1">Данные!X202</f>
        <v>1</v>
      </c>
      <c r="Y202" s="54" t="str">
        <f ca="1">Данные!Y202</f>
        <v>2</v>
      </c>
      <c r="Z202" s="54">
        <f>Данные!Z202</f>
        <v>0</v>
      </c>
      <c r="AA202" s="54" t="str">
        <f>Данные!AA202</f>
        <v>осн</v>
      </c>
      <c r="AB202" s="101">
        <f t="shared" si="31"/>
        <v>800</v>
      </c>
      <c r="AC202" s="101" t="str">
        <f t="shared" si="32"/>
        <v>ИВТ (бак)</v>
      </c>
      <c r="AD202" s="101" t="str">
        <f t="shared" si="33"/>
        <v>2017–2018</v>
      </c>
      <c r="AE202" s="102">
        <f t="shared" ca="1" si="34"/>
        <v>26.07</v>
      </c>
      <c r="AF202" s="103">
        <f t="shared" ca="1" si="35"/>
        <v>3.2587499999999998E-2</v>
      </c>
      <c r="AG202" s="101"/>
      <c r="AH202" s="101"/>
      <c r="AI202"/>
      <c r="BQ202" s="72">
        <v>0</v>
      </c>
      <c r="BR202" s="72">
        <v>0</v>
      </c>
      <c r="BS202" s="72">
        <v>0</v>
      </c>
      <c r="BT202" s="72">
        <v>0</v>
      </c>
      <c r="BU202" s="72">
        <v>0</v>
      </c>
      <c r="BV202" s="72">
        <v>0</v>
      </c>
      <c r="BW202" s="72">
        <v>0</v>
      </c>
      <c r="BX202" s="72">
        <v>0</v>
      </c>
      <c r="BY202" s="72">
        <v>0</v>
      </c>
      <c r="BZ202" s="72">
        <v>0</v>
      </c>
      <c r="CA202" s="72">
        <v>0</v>
      </c>
      <c r="CB202" s="72">
        <v>0</v>
      </c>
      <c r="CC202" s="72">
        <v>0</v>
      </c>
      <c r="CD202" s="72">
        <v>0</v>
      </c>
      <c r="CE202" s="72">
        <v>0</v>
      </c>
      <c r="CF202" s="72">
        <v>0</v>
      </c>
      <c r="CG202" s="72">
        <v>0</v>
      </c>
      <c r="CH202" s="72">
        <v>0</v>
      </c>
      <c r="CI202" s="72">
        <v>0</v>
      </c>
      <c r="CJ202" s="72">
        <v>0</v>
      </c>
      <c r="CK202" s="72">
        <v>0</v>
      </c>
      <c r="CL202" s="72">
        <v>0</v>
      </c>
      <c r="CM202" s="72">
        <v>0</v>
      </c>
      <c r="CN202" s="72">
        <v>0</v>
      </c>
      <c r="CO202" s="72">
        <v>0</v>
      </c>
      <c r="CP202" s="72">
        <v>0</v>
      </c>
      <c r="CQ202" s="72">
        <v>0</v>
      </c>
      <c r="CR202" s="72">
        <v>0</v>
      </c>
      <c r="CS202" s="72">
        <v>0</v>
      </c>
      <c r="CT202" s="72">
        <v>0</v>
      </c>
      <c r="CU202" s="72">
        <v>0</v>
      </c>
      <c r="CV202" s="72">
        <v>0</v>
      </c>
      <c r="CW202" s="72">
        <v>0</v>
      </c>
      <c r="CX202" s="72">
        <v>0</v>
      </c>
      <c r="CY202" s="72">
        <v>0</v>
      </c>
      <c r="CZ202" s="72">
        <v>0</v>
      </c>
      <c r="DA202" s="72">
        <v>0</v>
      </c>
      <c r="DB202" s="72">
        <v>0</v>
      </c>
      <c r="DC202" s="72">
        <v>0</v>
      </c>
      <c r="DD202" s="72">
        <v>0</v>
      </c>
      <c r="DE202" s="72">
        <v>0</v>
      </c>
      <c r="DF202" s="72">
        <v>0</v>
      </c>
      <c r="DG202" s="72">
        <v>0</v>
      </c>
      <c r="DH202" s="72">
        <v>0</v>
      </c>
      <c r="DI202" s="72">
        <v>0</v>
      </c>
      <c r="DJ202" s="72">
        <v>0</v>
      </c>
      <c r="DK202" s="72">
        <v>0</v>
      </c>
      <c r="DL202" s="72">
        <v>0</v>
      </c>
      <c r="DM202" s="72">
        <v>0</v>
      </c>
      <c r="DN202" s="72">
        <v>0</v>
      </c>
      <c r="DO202" s="72">
        <v>0</v>
      </c>
      <c r="DP202" s="72">
        <v>0</v>
      </c>
      <c r="DQ202" s="72">
        <v>0</v>
      </c>
      <c r="DR202" s="72">
        <v>0</v>
      </c>
      <c r="DS202" s="72">
        <v>0</v>
      </c>
      <c r="DT202" s="72">
        <v>0</v>
      </c>
      <c r="DU202" s="72">
        <v>0</v>
      </c>
      <c r="DV202" s="72">
        <v>0</v>
      </c>
      <c r="DW202" s="72">
        <v>0</v>
      </c>
      <c r="DX202" s="72">
        <v>0</v>
      </c>
      <c r="DY202" s="72">
        <v>0</v>
      </c>
      <c r="DZ202" s="72">
        <v>0</v>
      </c>
      <c r="EA202" s="72">
        <v>0</v>
      </c>
      <c r="EB202" s="72">
        <v>0</v>
      </c>
      <c r="EC202" s="72">
        <v>0</v>
      </c>
      <c r="ED202" s="72">
        <v>0</v>
      </c>
      <c r="EE202" s="72">
        <v>0</v>
      </c>
      <c r="EF202" s="72">
        <v>0</v>
      </c>
      <c r="EG202" s="72">
        <v>0</v>
      </c>
      <c r="EH202" s="72">
        <v>0</v>
      </c>
      <c r="EI202" s="72">
        <v>0</v>
      </c>
      <c r="EJ202" s="72">
        <v>0</v>
      </c>
      <c r="EK202" s="72">
        <v>0</v>
      </c>
      <c r="EL202" s="72">
        <v>0</v>
      </c>
    </row>
    <row r="203" spans="1:142" s="6" customFormat="1" x14ac:dyDescent="0.35">
      <c r="A203" s="59">
        <f>Данные!A203</f>
        <v>5791</v>
      </c>
      <c r="B203" s="59">
        <f>Данные!B203</f>
        <v>2017</v>
      </c>
      <c r="C203" s="59" t="str">
        <f>Данные!C203</f>
        <v>компьютерных технологий и электронного обучения</v>
      </c>
      <c r="D203" s="59" t="str">
        <f>Данные!D203</f>
        <v>Гончарова Светлана Викторовна</v>
      </c>
      <c r="E203" s="59" t="str">
        <f>Данные!E203</f>
        <v>кандидат педагогических наук</v>
      </c>
      <c r="F203" s="59" t="str">
        <f>Данные!F203</f>
        <v>доцент</v>
      </c>
      <c r="G203" s="59">
        <f>Данные!G203</f>
        <v>1</v>
      </c>
      <c r="H203" s="59">
        <f>Данные!H203</f>
        <v>16591</v>
      </c>
      <c r="I203" s="59" t="str">
        <f>Данные!I203</f>
        <v>Модуль "Информационные технологии в математике и физике". Информационные технологии</v>
      </c>
      <c r="J203" s="59">
        <f>Данные!J203</f>
        <v>0</v>
      </c>
      <c r="K203" s="59">
        <f>Данные!K203</f>
        <v>0</v>
      </c>
      <c r="L203" s="59">
        <f>Данные!L203</f>
        <v>0</v>
      </c>
      <c r="M203" s="60">
        <f t="shared" si="27"/>
        <v>0</v>
      </c>
      <c r="N203" s="60">
        <f t="shared" ca="1" si="28"/>
        <v>11.57</v>
      </c>
      <c r="O203" s="60">
        <f t="shared" ca="1" si="29"/>
        <v>7.25</v>
      </c>
      <c r="P203" s="60">
        <f t="shared" ca="1" si="30"/>
        <v>7.25</v>
      </c>
      <c r="Q203" s="54">
        <f>Данные!Q203</f>
        <v>0</v>
      </c>
      <c r="R203" s="54">
        <f>Данные!R203</f>
        <v>0</v>
      </c>
      <c r="S203" s="54">
        <f>Данные!S203</f>
        <v>0</v>
      </c>
      <c r="T203" s="54">
        <f>Данные!T203</f>
        <v>0</v>
      </c>
      <c r="U203" s="54">
        <f>Данные!U203</f>
        <v>0</v>
      </c>
      <c r="V203" s="54">
        <f>Данные!V203</f>
        <v>0</v>
      </c>
      <c r="W203" s="54">
        <f ca="1">Данные!W203</f>
        <v>29</v>
      </c>
      <c r="X203" s="54" t="str">
        <f ca="1">Данные!X203</f>
        <v>1</v>
      </c>
      <c r="Y203" s="54" t="str">
        <f ca="1">Данные!Y203</f>
        <v>2</v>
      </c>
      <c r="Z203" s="54">
        <f>Данные!Z203</f>
        <v>0</v>
      </c>
      <c r="AA203" s="54" t="str">
        <f>Данные!AA203</f>
        <v>осн</v>
      </c>
      <c r="AB203" s="101">
        <f t="shared" si="31"/>
        <v>800</v>
      </c>
      <c r="AC203" s="101" t="str">
        <f t="shared" si="32"/>
        <v>ИВТ (бак)</v>
      </c>
      <c r="AD203" s="101" t="str">
        <f t="shared" si="33"/>
        <v>2017–2018</v>
      </c>
      <c r="AE203" s="102">
        <f t="shared" ca="1" si="34"/>
        <v>26.07</v>
      </c>
      <c r="AF203" s="103">
        <f t="shared" ca="1" si="35"/>
        <v>3.2587499999999998E-2</v>
      </c>
      <c r="AG203" s="101"/>
      <c r="AH203" s="101"/>
      <c r="AI203"/>
      <c r="BQ203" s="72">
        <v>0</v>
      </c>
      <c r="BR203" s="72">
        <v>0</v>
      </c>
      <c r="BS203" s="72">
        <v>0</v>
      </c>
      <c r="BT203" s="72">
        <v>0</v>
      </c>
      <c r="BU203" s="72">
        <v>0</v>
      </c>
      <c r="BV203" s="72">
        <v>0</v>
      </c>
      <c r="BW203" s="72">
        <v>0</v>
      </c>
      <c r="BX203" s="72">
        <v>0</v>
      </c>
      <c r="BY203" s="72">
        <v>0</v>
      </c>
      <c r="BZ203" s="72">
        <v>0</v>
      </c>
      <c r="CA203" s="72">
        <v>0</v>
      </c>
      <c r="CB203" s="72">
        <v>0</v>
      </c>
      <c r="CC203" s="72">
        <v>0</v>
      </c>
      <c r="CD203" s="72">
        <v>0</v>
      </c>
      <c r="CE203" s="72">
        <v>0</v>
      </c>
      <c r="CF203" s="72">
        <v>0</v>
      </c>
      <c r="CG203" s="72">
        <v>0</v>
      </c>
      <c r="CH203" s="72">
        <v>0</v>
      </c>
      <c r="CI203" s="72">
        <v>0</v>
      </c>
      <c r="CJ203" s="72">
        <v>0</v>
      </c>
      <c r="CK203" s="72">
        <v>0</v>
      </c>
      <c r="CL203" s="72">
        <v>0</v>
      </c>
      <c r="CM203" s="72">
        <v>0</v>
      </c>
      <c r="CN203" s="72">
        <v>0</v>
      </c>
      <c r="CO203" s="72">
        <v>0</v>
      </c>
      <c r="CP203" s="72">
        <v>0</v>
      </c>
      <c r="CQ203" s="72">
        <v>0</v>
      </c>
      <c r="CR203" s="72">
        <v>0</v>
      </c>
      <c r="CS203" s="72">
        <v>0</v>
      </c>
      <c r="CT203" s="72">
        <v>0</v>
      </c>
      <c r="CU203" s="72">
        <v>0</v>
      </c>
      <c r="CV203" s="72">
        <v>0</v>
      </c>
      <c r="CW203" s="72">
        <v>0</v>
      </c>
      <c r="CX203" s="72">
        <v>0</v>
      </c>
      <c r="CY203" s="72">
        <v>0</v>
      </c>
      <c r="CZ203" s="72">
        <v>0</v>
      </c>
      <c r="DA203" s="72">
        <v>0</v>
      </c>
      <c r="DB203" s="72">
        <v>0</v>
      </c>
      <c r="DC203" s="72">
        <v>0</v>
      </c>
      <c r="DD203" s="72">
        <v>0</v>
      </c>
      <c r="DE203" s="72">
        <v>0</v>
      </c>
      <c r="DF203" s="72">
        <v>0</v>
      </c>
      <c r="DG203" s="72">
        <v>0</v>
      </c>
      <c r="DH203" s="72">
        <v>0</v>
      </c>
      <c r="DI203" s="72">
        <v>0</v>
      </c>
      <c r="DJ203" s="72">
        <v>0</v>
      </c>
      <c r="DK203" s="72">
        <v>0</v>
      </c>
      <c r="DL203" s="72">
        <v>0</v>
      </c>
      <c r="DM203" s="72">
        <v>0</v>
      </c>
      <c r="DN203" s="72">
        <v>0</v>
      </c>
      <c r="DO203" s="72">
        <v>0</v>
      </c>
      <c r="DP203" s="72">
        <v>0</v>
      </c>
      <c r="DQ203" s="72">
        <v>0</v>
      </c>
      <c r="DR203" s="72">
        <v>0</v>
      </c>
      <c r="DS203" s="72">
        <v>0</v>
      </c>
      <c r="DT203" s="72">
        <v>0</v>
      </c>
      <c r="DU203" s="72">
        <v>0</v>
      </c>
      <c r="DV203" s="72">
        <v>0</v>
      </c>
      <c r="DW203" s="72">
        <v>0</v>
      </c>
      <c r="DX203" s="72">
        <v>0</v>
      </c>
      <c r="DY203" s="72">
        <v>0</v>
      </c>
      <c r="DZ203" s="72">
        <v>0</v>
      </c>
      <c r="EA203" s="72">
        <v>0</v>
      </c>
      <c r="EB203" s="72">
        <v>0</v>
      </c>
      <c r="EC203" s="72">
        <v>0</v>
      </c>
      <c r="ED203" s="72">
        <v>0</v>
      </c>
      <c r="EE203" s="72">
        <v>0</v>
      </c>
      <c r="EF203" s="72">
        <v>0</v>
      </c>
      <c r="EG203" s="72">
        <v>0</v>
      </c>
      <c r="EH203" s="72">
        <v>0</v>
      </c>
      <c r="EI203" s="72">
        <v>0</v>
      </c>
      <c r="EJ203" s="72">
        <v>0</v>
      </c>
      <c r="EK203" s="72">
        <v>0</v>
      </c>
      <c r="EL203" s="72">
        <v>0</v>
      </c>
    </row>
    <row r="204" spans="1:142" s="6" customFormat="1" x14ac:dyDescent="0.35">
      <c r="A204" s="59">
        <f>Данные!A204</f>
        <v>5791</v>
      </c>
      <c r="B204" s="59">
        <f>Данные!B204</f>
        <v>2017</v>
      </c>
      <c r="C204" s="59" t="str">
        <f>Данные!C204</f>
        <v>компьютерных технологий и электронного обучения</v>
      </c>
      <c r="D204" s="59" t="str">
        <f>Данные!D204</f>
        <v>Гончарова Светлана Викторовна</v>
      </c>
      <c r="E204" s="59" t="str">
        <f>Данные!E204</f>
        <v>кандидат педагогических наук</v>
      </c>
      <c r="F204" s="59" t="str">
        <f>Данные!F204</f>
        <v>доцент</v>
      </c>
      <c r="G204" s="59">
        <f>Данные!G204</f>
        <v>1</v>
      </c>
      <c r="H204" s="59">
        <f>Данные!H204</f>
        <v>16591</v>
      </c>
      <c r="I204" s="59" t="str">
        <f>Данные!I204</f>
        <v>Модуль "Информационные технологии в математике и физике". Информационные технологии в физике</v>
      </c>
      <c r="J204" s="59">
        <f>Данные!J204</f>
        <v>0</v>
      </c>
      <c r="K204" s="59">
        <f>Данные!K204</f>
        <v>0</v>
      </c>
      <c r="L204" s="59">
        <f>Данные!L204</f>
        <v>48</v>
      </c>
      <c r="M204" s="60">
        <f t="shared" si="27"/>
        <v>4.8</v>
      </c>
      <c r="N204" s="60">
        <f t="shared" ca="1" si="28"/>
        <v>11.57</v>
      </c>
      <c r="O204" s="60">
        <f t="shared" ca="1" si="29"/>
        <v>7.25</v>
      </c>
      <c r="P204" s="60">
        <f t="shared" ca="1" si="30"/>
        <v>7.25</v>
      </c>
      <c r="Q204" s="54">
        <f>Данные!Q204</f>
        <v>35</v>
      </c>
      <c r="R204" s="54">
        <f>Данные!R204</f>
        <v>0</v>
      </c>
      <c r="S204" s="54">
        <f>Данные!S204</f>
        <v>0</v>
      </c>
      <c r="T204" s="54">
        <f>Данные!T204</f>
        <v>0</v>
      </c>
      <c r="U204" s="54">
        <f>Данные!U204</f>
        <v>0</v>
      </c>
      <c r="V204" s="54">
        <f>Данные!V204</f>
        <v>0</v>
      </c>
      <c r="W204" s="54">
        <f ca="1">Данные!W204</f>
        <v>29</v>
      </c>
      <c r="X204" s="54" t="str">
        <f ca="1">Данные!X204</f>
        <v>1</v>
      </c>
      <c r="Y204" s="54" t="str">
        <f ca="1">Данные!Y204</f>
        <v>2</v>
      </c>
      <c r="Z204" s="54">
        <f>Данные!Z204</f>
        <v>0</v>
      </c>
      <c r="AA204" s="54" t="str">
        <f>Данные!AA204</f>
        <v>осн</v>
      </c>
      <c r="AB204" s="101">
        <f t="shared" si="31"/>
        <v>800</v>
      </c>
      <c r="AC204" s="101" t="str">
        <f t="shared" si="32"/>
        <v>ИВТ (бак)</v>
      </c>
      <c r="AD204" s="101" t="str">
        <f t="shared" si="33"/>
        <v>2017–2018</v>
      </c>
      <c r="AE204" s="102">
        <f t="shared" ca="1" si="34"/>
        <v>113.87</v>
      </c>
      <c r="AF204" s="103">
        <f t="shared" ca="1" si="35"/>
        <v>0.14233750000000001</v>
      </c>
      <c r="AG204" s="101"/>
      <c r="AH204" s="101"/>
      <c r="AI204"/>
      <c r="BQ204" s="72">
        <v>0</v>
      </c>
      <c r="BR204" s="72">
        <v>0</v>
      </c>
      <c r="BS204" s="72">
        <v>0</v>
      </c>
      <c r="BT204" s="72">
        <v>0</v>
      </c>
      <c r="BU204" s="72">
        <v>0</v>
      </c>
      <c r="BV204" s="72">
        <v>0</v>
      </c>
      <c r="BW204" s="72">
        <v>0</v>
      </c>
      <c r="BX204" s="72">
        <v>0</v>
      </c>
      <c r="BY204" s="72">
        <v>0</v>
      </c>
      <c r="BZ204" s="72">
        <v>0</v>
      </c>
      <c r="CA204" s="72">
        <v>0</v>
      </c>
      <c r="CB204" s="72">
        <v>0</v>
      </c>
      <c r="CC204" s="72">
        <v>0</v>
      </c>
      <c r="CD204" s="72">
        <v>0</v>
      </c>
      <c r="CE204" s="72">
        <v>0</v>
      </c>
      <c r="CF204" s="72">
        <v>0</v>
      </c>
      <c r="CG204" s="72">
        <v>0</v>
      </c>
      <c r="CH204" s="72">
        <v>0</v>
      </c>
      <c r="CI204" s="72">
        <v>0</v>
      </c>
      <c r="CJ204" s="72">
        <v>0</v>
      </c>
      <c r="CK204" s="72">
        <v>0</v>
      </c>
      <c r="CL204" s="72">
        <v>0</v>
      </c>
      <c r="CM204" s="72">
        <v>0</v>
      </c>
      <c r="CN204" s="72">
        <v>0</v>
      </c>
      <c r="CO204" s="72">
        <v>0</v>
      </c>
      <c r="CP204" s="72">
        <v>0</v>
      </c>
      <c r="CQ204" s="72">
        <v>0</v>
      </c>
      <c r="CR204" s="72">
        <v>0</v>
      </c>
      <c r="CS204" s="72">
        <v>0</v>
      </c>
      <c r="CT204" s="72">
        <v>0</v>
      </c>
      <c r="CU204" s="72">
        <v>0</v>
      </c>
      <c r="CV204" s="72">
        <v>0</v>
      </c>
      <c r="CW204" s="72">
        <v>0</v>
      </c>
      <c r="CX204" s="72">
        <v>0</v>
      </c>
      <c r="CY204" s="72">
        <v>0</v>
      </c>
      <c r="CZ204" s="72">
        <v>0</v>
      </c>
      <c r="DA204" s="72">
        <v>0</v>
      </c>
      <c r="DB204" s="72">
        <v>0</v>
      </c>
      <c r="DC204" s="72">
        <v>0</v>
      </c>
      <c r="DD204" s="72">
        <v>0</v>
      </c>
      <c r="DE204" s="72">
        <v>0</v>
      </c>
      <c r="DF204" s="72">
        <v>0</v>
      </c>
      <c r="DG204" s="72">
        <v>0</v>
      </c>
      <c r="DH204" s="72">
        <v>0</v>
      </c>
      <c r="DI204" s="72">
        <v>0</v>
      </c>
      <c r="DJ204" s="72">
        <v>0</v>
      </c>
      <c r="DK204" s="72">
        <v>0</v>
      </c>
      <c r="DL204" s="72">
        <v>0</v>
      </c>
      <c r="DM204" s="72">
        <v>0</v>
      </c>
      <c r="DN204" s="72">
        <v>0</v>
      </c>
      <c r="DO204" s="72">
        <v>0</v>
      </c>
      <c r="DP204" s="72">
        <v>0</v>
      </c>
      <c r="DQ204" s="72">
        <v>0</v>
      </c>
      <c r="DR204" s="72">
        <v>0</v>
      </c>
      <c r="DS204" s="72">
        <v>0</v>
      </c>
      <c r="DT204" s="72">
        <v>0</v>
      </c>
      <c r="DU204" s="72">
        <v>0</v>
      </c>
      <c r="DV204" s="72">
        <v>0</v>
      </c>
      <c r="DW204" s="72">
        <v>0</v>
      </c>
      <c r="DX204" s="72">
        <v>0</v>
      </c>
      <c r="DY204" s="72">
        <v>0</v>
      </c>
      <c r="DZ204" s="72">
        <v>0</v>
      </c>
      <c r="EA204" s="72">
        <v>0</v>
      </c>
      <c r="EB204" s="72">
        <v>0</v>
      </c>
      <c r="EC204" s="72">
        <v>0</v>
      </c>
      <c r="ED204" s="72">
        <v>0</v>
      </c>
      <c r="EE204" s="72">
        <v>0</v>
      </c>
      <c r="EF204" s="72">
        <v>0</v>
      </c>
      <c r="EG204" s="72">
        <v>0</v>
      </c>
      <c r="EH204" s="72">
        <v>0</v>
      </c>
      <c r="EI204" s="72">
        <v>0</v>
      </c>
      <c r="EJ204" s="72">
        <v>0</v>
      </c>
      <c r="EK204" s="72">
        <v>0</v>
      </c>
      <c r="EL204" s="72">
        <v>0</v>
      </c>
    </row>
    <row r="205" spans="1:142" s="6" customFormat="1" x14ac:dyDescent="0.35">
      <c r="A205" s="59">
        <f>Данные!A205</f>
        <v>5791</v>
      </c>
      <c r="B205" s="59">
        <f>Данные!B205</f>
        <v>2017</v>
      </c>
      <c r="C205" s="59" t="str">
        <f>Данные!C205</f>
        <v>компьютерных технологий и электронного обучения</v>
      </c>
      <c r="D205" s="59" t="str">
        <f>Данные!D205</f>
        <v>Гончарова Светлана Викторовна</v>
      </c>
      <c r="E205" s="59" t="str">
        <f>Данные!E205</f>
        <v>кандидат педагогических наук</v>
      </c>
      <c r="F205" s="59" t="str">
        <f>Данные!F205</f>
        <v>доцент</v>
      </c>
      <c r="G205" s="59">
        <f>Данные!G205</f>
        <v>1</v>
      </c>
      <c r="H205" s="59">
        <f>Данные!H205</f>
        <v>16591</v>
      </c>
      <c r="I205" s="59" t="str">
        <f>Данные!I205</f>
        <v>Модуль "Системное и прикладное программное обеспечение". Программирование</v>
      </c>
      <c r="J205" s="59">
        <f>Данные!J205</f>
        <v>0</v>
      </c>
      <c r="K205" s="59">
        <f>Данные!K205</f>
        <v>0</v>
      </c>
      <c r="L205" s="59">
        <f>Данные!L205</f>
        <v>36</v>
      </c>
      <c r="M205" s="60">
        <f t="shared" si="27"/>
        <v>3.6</v>
      </c>
      <c r="N205" s="60">
        <f t="shared" ca="1" si="28"/>
        <v>11.57</v>
      </c>
      <c r="O205" s="60">
        <f t="shared" ca="1" si="29"/>
        <v>7.25</v>
      </c>
      <c r="P205" s="60">
        <f t="shared" ca="1" si="30"/>
        <v>7.25</v>
      </c>
      <c r="Q205" s="54">
        <f>Данные!Q205</f>
        <v>0</v>
      </c>
      <c r="R205" s="54">
        <f>Данные!R205</f>
        <v>0</v>
      </c>
      <c r="S205" s="54">
        <f>Данные!S205</f>
        <v>0</v>
      </c>
      <c r="T205" s="54">
        <f>Данные!T205</f>
        <v>0</v>
      </c>
      <c r="U205" s="54">
        <f>Данные!U205</f>
        <v>0</v>
      </c>
      <c r="V205" s="54">
        <f>Данные!V205</f>
        <v>0</v>
      </c>
      <c r="W205" s="54">
        <f ca="1">Данные!W205</f>
        <v>29</v>
      </c>
      <c r="X205" s="54" t="str">
        <f ca="1">Данные!X205</f>
        <v>1</v>
      </c>
      <c r="Y205" s="54" t="str">
        <f ca="1">Данные!Y205</f>
        <v>2</v>
      </c>
      <c r="Z205" s="54">
        <f>Данные!Z205</f>
        <v>0</v>
      </c>
      <c r="AA205" s="54" t="str">
        <f>Данные!AA205</f>
        <v>осн</v>
      </c>
      <c r="AB205" s="101">
        <f t="shared" si="31"/>
        <v>800</v>
      </c>
      <c r="AC205" s="101" t="str">
        <f t="shared" si="32"/>
        <v>ИВТ (бак)</v>
      </c>
      <c r="AD205" s="101" t="str">
        <f t="shared" si="33"/>
        <v>2017–2018</v>
      </c>
      <c r="AE205" s="102">
        <f t="shared" ca="1" si="34"/>
        <v>65.67</v>
      </c>
      <c r="AF205" s="103">
        <f t="shared" ca="1" si="35"/>
        <v>8.2087500000000008E-2</v>
      </c>
      <c r="AG205" s="101"/>
      <c r="AH205" s="101"/>
      <c r="AI205"/>
      <c r="BQ205" s="72">
        <v>0</v>
      </c>
      <c r="BR205" s="72">
        <v>0</v>
      </c>
      <c r="BS205" s="72">
        <v>0</v>
      </c>
      <c r="BT205" s="72">
        <v>0</v>
      </c>
      <c r="BU205" s="72">
        <v>0</v>
      </c>
      <c r="BV205" s="72">
        <v>0</v>
      </c>
      <c r="BW205" s="72">
        <v>0</v>
      </c>
      <c r="BX205" s="72">
        <v>0</v>
      </c>
      <c r="BY205" s="72">
        <v>0</v>
      </c>
      <c r="BZ205" s="72">
        <v>0</v>
      </c>
      <c r="CA205" s="72">
        <v>0</v>
      </c>
      <c r="CB205" s="72">
        <v>0</v>
      </c>
      <c r="CC205" s="72">
        <v>0</v>
      </c>
      <c r="CD205" s="72">
        <v>0</v>
      </c>
      <c r="CE205" s="72">
        <v>0</v>
      </c>
      <c r="CF205" s="72">
        <v>0</v>
      </c>
      <c r="CG205" s="72">
        <v>0</v>
      </c>
      <c r="CH205" s="72">
        <v>0</v>
      </c>
      <c r="CI205" s="72">
        <v>0</v>
      </c>
      <c r="CJ205" s="72">
        <v>0</v>
      </c>
      <c r="CK205" s="72">
        <v>0</v>
      </c>
      <c r="CL205" s="72">
        <v>0</v>
      </c>
      <c r="CM205" s="72">
        <v>0</v>
      </c>
      <c r="CN205" s="72">
        <v>0</v>
      </c>
      <c r="CO205" s="72">
        <v>0</v>
      </c>
      <c r="CP205" s="72">
        <v>0</v>
      </c>
      <c r="CQ205" s="72">
        <v>0</v>
      </c>
      <c r="CR205" s="72">
        <v>0</v>
      </c>
      <c r="CS205" s="72">
        <v>0</v>
      </c>
      <c r="CT205" s="72">
        <v>0</v>
      </c>
      <c r="CU205" s="72">
        <v>0</v>
      </c>
      <c r="CV205" s="72">
        <v>0</v>
      </c>
      <c r="CW205" s="72">
        <v>0</v>
      </c>
      <c r="CX205" s="72">
        <v>0</v>
      </c>
      <c r="CY205" s="72">
        <v>0</v>
      </c>
      <c r="CZ205" s="72">
        <v>0</v>
      </c>
      <c r="DA205" s="72">
        <v>0</v>
      </c>
      <c r="DB205" s="72">
        <v>0</v>
      </c>
      <c r="DC205" s="72">
        <v>0</v>
      </c>
      <c r="DD205" s="72">
        <v>0</v>
      </c>
      <c r="DE205" s="72">
        <v>0</v>
      </c>
      <c r="DF205" s="72">
        <v>0</v>
      </c>
      <c r="DG205" s="72">
        <v>0</v>
      </c>
      <c r="DH205" s="72">
        <v>0</v>
      </c>
      <c r="DI205" s="72">
        <v>0</v>
      </c>
      <c r="DJ205" s="72">
        <v>0</v>
      </c>
      <c r="DK205" s="72">
        <v>0</v>
      </c>
      <c r="DL205" s="72">
        <v>0</v>
      </c>
      <c r="DM205" s="72">
        <v>0</v>
      </c>
      <c r="DN205" s="72">
        <v>0</v>
      </c>
      <c r="DO205" s="72">
        <v>0</v>
      </c>
      <c r="DP205" s="72">
        <v>0</v>
      </c>
      <c r="DQ205" s="72">
        <v>0</v>
      </c>
      <c r="DR205" s="72">
        <v>0</v>
      </c>
      <c r="DS205" s="72">
        <v>0</v>
      </c>
      <c r="DT205" s="72">
        <v>0</v>
      </c>
      <c r="DU205" s="72">
        <v>0</v>
      </c>
      <c r="DV205" s="72">
        <v>0</v>
      </c>
      <c r="DW205" s="72">
        <v>0</v>
      </c>
      <c r="DX205" s="72">
        <v>0</v>
      </c>
      <c r="DY205" s="72">
        <v>0</v>
      </c>
      <c r="DZ205" s="72">
        <v>0</v>
      </c>
      <c r="EA205" s="72">
        <v>0</v>
      </c>
      <c r="EB205" s="72">
        <v>0</v>
      </c>
      <c r="EC205" s="72">
        <v>0</v>
      </c>
      <c r="ED205" s="72">
        <v>0</v>
      </c>
      <c r="EE205" s="72">
        <v>0</v>
      </c>
      <c r="EF205" s="72">
        <v>0</v>
      </c>
      <c r="EG205" s="72">
        <v>0</v>
      </c>
      <c r="EH205" s="72">
        <v>0</v>
      </c>
      <c r="EI205" s="72">
        <v>0</v>
      </c>
      <c r="EJ205" s="72">
        <v>0</v>
      </c>
      <c r="EK205" s="72">
        <v>0</v>
      </c>
      <c r="EL205" s="72">
        <v>0</v>
      </c>
    </row>
    <row r="206" spans="1:142" s="6" customFormat="1" x14ac:dyDescent="0.35">
      <c r="A206" s="59">
        <f>Данные!A206</f>
        <v>5791</v>
      </c>
      <c r="B206" s="59">
        <f>Данные!B206</f>
        <v>2017</v>
      </c>
      <c r="C206" s="59" t="str">
        <f>Данные!C206</f>
        <v>компьютерных технологий и электронного обучения</v>
      </c>
      <c r="D206" s="59" t="str">
        <f>Данные!D206</f>
        <v>Государев Илья Борисович</v>
      </c>
      <c r="E206" s="59" t="str">
        <f>Данные!E206</f>
        <v>кандидат педагогических наук</v>
      </c>
      <c r="F206" s="59" t="str">
        <f>Данные!F206</f>
        <v>доцент</v>
      </c>
      <c r="G206" s="59">
        <f>Данные!G206</f>
        <v>1</v>
      </c>
      <c r="H206" s="59">
        <f>Данные!H206</f>
        <v>16591</v>
      </c>
      <c r="I206" s="59" t="str">
        <f>Данные!I206</f>
        <v>Модуль "Дискретные структуры". Дискретная математика для программистов</v>
      </c>
      <c r="J206" s="59">
        <f>Данные!J206</f>
        <v>18</v>
      </c>
      <c r="K206" s="59">
        <f>Данные!K206</f>
        <v>18</v>
      </c>
      <c r="L206" s="59">
        <f>Данные!L206</f>
        <v>0</v>
      </c>
      <c r="M206" s="60">
        <f t="shared" si="27"/>
        <v>3.6</v>
      </c>
      <c r="N206" s="60">
        <f t="shared" ca="1" si="28"/>
        <v>11.57</v>
      </c>
      <c r="O206" s="60">
        <f t="shared" ca="1" si="29"/>
        <v>7.25</v>
      </c>
      <c r="P206" s="60">
        <f t="shared" ca="1" si="30"/>
        <v>7.25</v>
      </c>
      <c r="Q206" s="54">
        <f>Данные!Q206</f>
        <v>0</v>
      </c>
      <c r="R206" s="54">
        <f>Данные!R206</f>
        <v>0</v>
      </c>
      <c r="S206" s="54">
        <f>Данные!S206</f>
        <v>0</v>
      </c>
      <c r="T206" s="54">
        <f>Данные!T206</f>
        <v>0</v>
      </c>
      <c r="U206" s="54">
        <f>Данные!U206</f>
        <v>0</v>
      </c>
      <c r="V206" s="54">
        <f>Данные!V206</f>
        <v>0</v>
      </c>
      <c r="W206" s="54">
        <f ca="1">Данные!W206</f>
        <v>29</v>
      </c>
      <c r="X206" s="54" t="str">
        <f ca="1">Данные!X206</f>
        <v>1</v>
      </c>
      <c r="Y206" s="54" t="str">
        <f ca="1">Данные!Y206</f>
        <v>2</v>
      </c>
      <c r="Z206" s="54">
        <f>Данные!Z206</f>
        <v>0</v>
      </c>
      <c r="AA206" s="54" t="str">
        <f>Данные!AA206</f>
        <v>доп</v>
      </c>
      <c r="AB206" s="101">
        <f t="shared" si="31"/>
        <v>800</v>
      </c>
      <c r="AC206" s="101" t="str">
        <f t="shared" si="32"/>
        <v>ИВТ (бак)</v>
      </c>
      <c r="AD206" s="101" t="str">
        <f t="shared" si="33"/>
        <v>2017–2018</v>
      </c>
      <c r="AE206" s="102">
        <f t="shared" ca="1" si="34"/>
        <v>65.67</v>
      </c>
      <c r="AF206" s="103">
        <f t="shared" ca="1" si="35"/>
        <v>8.2087500000000008E-2</v>
      </c>
      <c r="AG206" s="101"/>
      <c r="AH206" s="101"/>
      <c r="AI206"/>
      <c r="BQ206" s="72">
        <v>0</v>
      </c>
      <c r="BR206" s="72">
        <v>0</v>
      </c>
      <c r="BS206" s="72">
        <v>0</v>
      </c>
      <c r="BT206" s="72">
        <v>0</v>
      </c>
      <c r="BU206" s="72">
        <v>0</v>
      </c>
      <c r="BV206" s="72">
        <v>0</v>
      </c>
      <c r="BW206" s="72">
        <v>0</v>
      </c>
      <c r="BX206" s="72">
        <v>0</v>
      </c>
      <c r="BY206" s="72">
        <v>0</v>
      </c>
      <c r="BZ206" s="72">
        <v>0</v>
      </c>
      <c r="CA206" s="72">
        <v>0</v>
      </c>
      <c r="CB206" s="72">
        <v>0</v>
      </c>
      <c r="CC206" s="72">
        <v>0</v>
      </c>
      <c r="CD206" s="72">
        <v>0</v>
      </c>
      <c r="CE206" s="72">
        <v>0</v>
      </c>
      <c r="CF206" s="72">
        <v>0</v>
      </c>
      <c r="CG206" s="72">
        <v>0</v>
      </c>
      <c r="CH206" s="72">
        <v>0</v>
      </c>
      <c r="CI206" s="72">
        <v>0</v>
      </c>
      <c r="CJ206" s="72">
        <v>0</v>
      </c>
      <c r="CK206" s="72">
        <v>0</v>
      </c>
      <c r="CL206" s="72">
        <v>0</v>
      </c>
      <c r="CM206" s="72">
        <v>0</v>
      </c>
      <c r="CN206" s="72">
        <v>0</v>
      </c>
      <c r="CO206" s="72">
        <v>0</v>
      </c>
      <c r="CP206" s="72">
        <v>0</v>
      </c>
      <c r="CQ206" s="72">
        <v>0</v>
      </c>
      <c r="CR206" s="72">
        <v>0</v>
      </c>
      <c r="CS206" s="72">
        <v>0</v>
      </c>
      <c r="CT206" s="72">
        <v>0</v>
      </c>
      <c r="CU206" s="72">
        <v>0</v>
      </c>
      <c r="CV206" s="72">
        <v>0</v>
      </c>
      <c r="CW206" s="72">
        <v>0</v>
      </c>
      <c r="CX206" s="72">
        <v>0</v>
      </c>
      <c r="CY206" s="72">
        <v>0</v>
      </c>
      <c r="CZ206" s="72">
        <v>0</v>
      </c>
      <c r="DA206" s="72">
        <v>0</v>
      </c>
      <c r="DB206" s="72">
        <v>0</v>
      </c>
      <c r="DC206" s="72">
        <v>0</v>
      </c>
      <c r="DD206" s="72">
        <v>0</v>
      </c>
      <c r="DE206" s="72">
        <v>0</v>
      </c>
      <c r="DF206" s="72">
        <v>0</v>
      </c>
      <c r="DG206" s="72">
        <v>0</v>
      </c>
      <c r="DH206" s="72">
        <v>0</v>
      </c>
      <c r="DI206" s="72">
        <v>0</v>
      </c>
      <c r="DJ206" s="72">
        <v>0</v>
      </c>
      <c r="DK206" s="72">
        <v>0</v>
      </c>
      <c r="DL206" s="72">
        <v>0</v>
      </c>
      <c r="DM206" s="72">
        <v>0</v>
      </c>
      <c r="DN206" s="72">
        <v>0</v>
      </c>
      <c r="DO206" s="72">
        <v>0</v>
      </c>
      <c r="DP206" s="72">
        <v>0</v>
      </c>
      <c r="DQ206" s="72">
        <v>0</v>
      </c>
      <c r="DR206" s="72">
        <v>0</v>
      </c>
      <c r="DS206" s="72">
        <v>0</v>
      </c>
      <c r="DT206" s="72">
        <v>0</v>
      </c>
      <c r="DU206" s="72">
        <v>0</v>
      </c>
      <c r="DV206" s="72">
        <v>0</v>
      </c>
      <c r="DW206" s="72">
        <v>0</v>
      </c>
      <c r="DX206" s="72">
        <v>0</v>
      </c>
      <c r="DY206" s="72">
        <v>0</v>
      </c>
      <c r="DZ206" s="72">
        <v>0</v>
      </c>
      <c r="EA206" s="72">
        <v>0</v>
      </c>
      <c r="EB206" s="72">
        <v>0</v>
      </c>
      <c r="EC206" s="72">
        <v>0</v>
      </c>
      <c r="ED206" s="72">
        <v>0</v>
      </c>
      <c r="EE206" s="72">
        <v>0</v>
      </c>
      <c r="EF206" s="72">
        <v>0</v>
      </c>
      <c r="EG206" s="72">
        <v>0</v>
      </c>
      <c r="EH206" s="72">
        <v>0</v>
      </c>
      <c r="EI206" s="72">
        <v>0</v>
      </c>
      <c r="EJ206" s="72">
        <v>0</v>
      </c>
      <c r="EK206" s="72">
        <v>0</v>
      </c>
      <c r="EL206" s="72">
        <v>0</v>
      </c>
    </row>
    <row r="207" spans="1:142" s="6" customFormat="1" x14ac:dyDescent="0.35">
      <c r="A207" s="59">
        <f>Данные!A207</f>
        <v>5791</v>
      </c>
      <c r="B207" s="59">
        <f>Данные!B207</f>
        <v>2017</v>
      </c>
      <c r="C207" s="59" t="str">
        <f>Данные!C207</f>
        <v>компьютерных технологий и электронного обучения</v>
      </c>
      <c r="D207" s="59" t="str">
        <f>Данные!D207</f>
        <v>Государев Илья Борисович</v>
      </c>
      <c r="E207" s="59" t="str">
        <f>Данные!E207</f>
        <v>кандидат педагогических наук</v>
      </c>
      <c r="F207" s="59" t="str">
        <f>Данные!F207</f>
        <v>доцент</v>
      </c>
      <c r="G207" s="59">
        <f>Данные!G207</f>
        <v>1</v>
      </c>
      <c r="H207" s="59">
        <f>Данные!H207</f>
        <v>16591</v>
      </c>
      <c r="I207" s="59" t="str">
        <f>Данные!I207</f>
        <v>Модуль "Дискретные структуры". Дисциплины и курсы по выбору. Алгоритмы и анализ сложности</v>
      </c>
      <c r="J207" s="59">
        <f>Данные!J207</f>
        <v>9</v>
      </c>
      <c r="K207" s="59">
        <f>Данные!K207</f>
        <v>9</v>
      </c>
      <c r="L207" s="59">
        <f>Данные!L207</f>
        <v>0</v>
      </c>
      <c r="M207" s="60">
        <f t="shared" si="27"/>
        <v>1.8</v>
      </c>
      <c r="N207" s="60">
        <f t="shared" ca="1" si="28"/>
        <v>11.57</v>
      </c>
      <c r="O207" s="60">
        <f t="shared" ca="1" si="29"/>
        <v>7.25</v>
      </c>
      <c r="P207" s="60">
        <f t="shared" ca="1" si="30"/>
        <v>7.25</v>
      </c>
      <c r="Q207" s="54">
        <f>Данные!Q207</f>
        <v>0</v>
      </c>
      <c r="R207" s="54">
        <f>Данные!R207</f>
        <v>0</v>
      </c>
      <c r="S207" s="54">
        <f>Данные!S207</f>
        <v>0</v>
      </c>
      <c r="T207" s="54">
        <f>Данные!T207</f>
        <v>0</v>
      </c>
      <c r="U207" s="54">
        <f>Данные!U207</f>
        <v>0</v>
      </c>
      <c r="V207" s="54">
        <f>Данные!V207</f>
        <v>0</v>
      </c>
      <c r="W207" s="54">
        <f ca="1">Данные!W207</f>
        <v>29</v>
      </c>
      <c r="X207" s="54" t="str">
        <f ca="1">Данные!X207</f>
        <v>1</v>
      </c>
      <c r="Y207" s="54" t="str">
        <f ca="1">Данные!Y207</f>
        <v>2</v>
      </c>
      <c r="Z207" s="54">
        <f>Данные!Z207</f>
        <v>0</v>
      </c>
      <c r="AA207" s="54" t="str">
        <f>Данные!AA207</f>
        <v>доп</v>
      </c>
      <c r="AB207" s="101">
        <f t="shared" si="31"/>
        <v>800</v>
      </c>
      <c r="AC207" s="101" t="str">
        <f t="shared" si="32"/>
        <v>ИВТ (бак)</v>
      </c>
      <c r="AD207" s="101" t="str">
        <f t="shared" si="33"/>
        <v>2017–2018</v>
      </c>
      <c r="AE207" s="102">
        <f t="shared" ca="1" si="34"/>
        <v>45.870000000000005</v>
      </c>
      <c r="AF207" s="103">
        <f t="shared" ca="1" si="35"/>
        <v>5.7337500000000007E-2</v>
      </c>
      <c r="AG207" s="101"/>
      <c r="AH207" s="101"/>
      <c r="AI207"/>
      <c r="BQ207" s="72">
        <v>0</v>
      </c>
      <c r="BR207" s="72">
        <v>0</v>
      </c>
      <c r="BS207" s="72">
        <v>0</v>
      </c>
      <c r="BT207" s="72">
        <v>0</v>
      </c>
      <c r="BU207" s="72">
        <v>0</v>
      </c>
      <c r="BV207" s="72">
        <v>0</v>
      </c>
      <c r="BW207" s="72">
        <v>0</v>
      </c>
      <c r="BX207" s="72">
        <v>0</v>
      </c>
      <c r="BY207" s="72">
        <v>0</v>
      </c>
      <c r="BZ207" s="72">
        <v>0</v>
      </c>
      <c r="CA207" s="72">
        <v>0</v>
      </c>
      <c r="CB207" s="72">
        <v>0</v>
      </c>
      <c r="CC207" s="72">
        <v>0</v>
      </c>
      <c r="CD207" s="72">
        <v>0</v>
      </c>
      <c r="CE207" s="72">
        <v>0</v>
      </c>
      <c r="CF207" s="72">
        <v>0</v>
      </c>
      <c r="CG207" s="72">
        <v>0</v>
      </c>
      <c r="CH207" s="72">
        <v>0</v>
      </c>
      <c r="CI207" s="72">
        <v>0</v>
      </c>
      <c r="CJ207" s="72">
        <v>0</v>
      </c>
      <c r="CK207" s="72">
        <v>0</v>
      </c>
      <c r="CL207" s="72">
        <v>0</v>
      </c>
      <c r="CM207" s="72">
        <v>0</v>
      </c>
      <c r="CN207" s="72">
        <v>0</v>
      </c>
      <c r="CO207" s="72">
        <v>0</v>
      </c>
      <c r="CP207" s="72">
        <v>0</v>
      </c>
      <c r="CQ207" s="72">
        <v>0</v>
      </c>
      <c r="CR207" s="72">
        <v>0</v>
      </c>
      <c r="CS207" s="72">
        <v>0</v>
      </c>
      <c r="CT207" s="72">
        <v>0</v>
      </c>
      <c r="CU207" s="72">
        <v>0</v>
      </c>
      <c r="CV207" s="72">
        <v>0</v>
      </c>
      <c r="CW207" s="72">
        <v>0</v>
      </c>
      <c r="CX207" s="72">
        <v>0</v>
      </c>
      <c r="CY207" s="72">
        <v>0</v>
      </c>
      <c r="CZ207" s="72">
        <v>0</v>
      </c>
      <c r="DA207" s="72">
        <v>0</v>
      </c>
      <c r="DB207" s="72">
        <v>0</v>
      </c>
      <c r="DC207" s="72">
        <v>0</v>
      </c>
      <c r="DD207" s="72">
        <v>0</v>
      </c>
      <c r="DE207" s="72">
        <v>0</v>
      </c>
      <c r="DF207" s="72">
        <v>0</v>
      </c>
      <c r="DG207" s="72">
        <v>0</v>
      </c>
      <c r="DH207" s="72">
        <v>0</v>
      </c>
      <c r="DI207" s="72">
        <v>0</v>
      </c>
      <c r="DJ207" s="72">
        <v>0</v>
      </c>
      <c r="DK207" s="72">
        <v>0</v>
      </c>
      <c r="DL207" s="72">
        <v>0</v>
      </c>
      <c r="DM207" s="72">
        <v>0</v>
      </c>
      <c r="DN207" s="72">
        <v>0</v>
      </c>
      <c r="DO207" s="72">
        <v>0</v>
      </c>
      <c r="DP207" s="72">
        <v>0</v>
      </c>
      <c r="DQ207" s="72">
        <v>0</v>
      </c>
      <c r="DR207" s="72">
        <v>0</v>
      </c>
      <c r="DS207" s="72">
        <v>0</v>
      </c>
      <c r="DT207" s="72">
        <v>0</v>
      </c>
      <c r="DU207" s="72">
        <v>0</v>
      </c>
      <c r="DV207" s="72">
        <v>0</v>
      </c>
      <c r="DW207" s="72">
        <v>0</v>
      </c>
      <c r="DX207" s="72">
        <v>0</v>
      </c>
      <c r="DY207" s="72">
        <v>0</v>
      </c>
      <c r="DZ207" s="72">
        <v>0</v>
      </c>
      <c r="EA207" s="72">
        <v>0</v>
      </c>
      <c r="EB207" s="72">
        <v>0</v>
      </c>
      <c r="EC207" s="72">
        <v>0</v>
      </c>
      <c r="ED207" s="72">
        <v>0</v>
      </c>
      <c r="EE207" s="72">
        <v>0</v>
      </c>
      <c r="EF207" s="72">
        <v>0</v>
      </c>
      <c r="EG207" s="72">
        <v>0</v>
      </c>
      <c r="EH207" s="72">
        <v>0</v>
      </c>
      <c r="EI207" s="72">
        <v>0</v>
      </c>
      <c r="EJ207" s="72">
        <v>0</v>
      </c>
      <c r="EK207" s="72">
        <v>0</v>
      </c>
      <c r="EL207" s="72">
        <v>0</v>
      </c>
    </row>
    <row r="208" spans="1:142" s="6" customFormat="1" x14ac:dyDescent="0.35">
      <c r="A208" s="59">
        <f>Данные!A208</f>
        <v>5791</v>
      </c>
      <c r="B208" s="59">
        <f>Данные!B208</f>
        <v>2017</v>
      </c>
      <c r="C208" s="59" t="str">
        <f>Данные!C208</f>
        <v>компьютерных технологий и электронного обучения</v>
      </c>
      <c r="D208" s="59" t="str">
        <f>Данные!D208</f>
        <v>Иванова Екатерина Алексеевна</v>
      </c>
      <c r="E208" s="59" t="str">
        <f>Данные!E208</f>
        <v>нет</v>
      </c>
      <c r="F208" s="59" t="str">
        <f>Данные!F208</f>
        <v>ассистент</v>
      </c>
      <c r="G208" s="59">
        <f>Данные!G208</f>
        <v>0.5</v>
      </c>
      <c r="H208" s="59">
        <f>Данные!H208</f>
        <v>16591</v>
      </c>
      <c r="I208" s="59" t="str">
        <f>Данные!I208</f>
        <v>Модуль "Информационные технологии в математике и физике". Информационные технологии</v>
      </c>
      <c r="J208" s="59">
        <f>Данные!J208</f>
        <v>0</v>
      </c>
      <c r="K208" s="59">
        <f>Данные!K208</f>
        <v>0</v>
      </c>
      <c r="L208" s="59">
        <f>Данные!L208</f>
        <v>108</v>
      </c>
      <c r="M208" s="60">
        <f t="shared" si="27"/>
        <v>10.8</v>
      </c>
      <c r="N208" s="60">
        <f t="shared" ca="1" si="28"/>
        <v>11.57</v>
      </c>
      <c r="O208" s="60">
        <f t="shared" ca="1" si="29"/>
        <v>7.25</v>
      </c>
      <c r="P208" s="60">
        <f t="shared" ca="1" si="30"/>
        <v>7.25</v>
      </c>
      <c r="Q208" s="54">
        <f>Данные!Q208</f>
        <v>0</v>
      </c>
      <c r="R208" s="54">
        <f>Данные!R208</f>
        <v>0</v>
      </c>
      <c r="S208" s="54">
        <f>Данные!S208</f>
        <v>0</v>
      </c>
      <c r="T208" s="54">
        <f>Данные!T208</f>
        <v>0</v>
      </c>
      <c r="U208" s="54">
        <f>Данные!U208</f>
        <v>0</v>
      </c>
      <c r="V208" s="54">
        <f>Данные!V208</f>
        <v>0</v>
      </c>
      <c r="W208" s="54">
        <f ca="1">Данные!W208</f>
        <v>29</v>
      </c>
      <c r="X208" s="54" t="str">
        <f ca="1">Данные!X208</f>
        <v>1</v>
      </c>
      <c r="Y208" s="54" t="str">
        <f ca="1">Данные!Y208</f>
        <v>2</v>
      </c>
      <c r="Z208" s="54">
        <f>Данные!Z208</f>
        <v>0</v>
      </c>
      <c r="AA208" s="54" t="str">
        <f>Данные!AA208</f>
        <v>осн</v>
      </c>
      <c r="AB208" s="101">
        <f t="shared" si="31"/>
        <v>900</v>
      </c>
      <c r="AC208" s="101" t="str">
        <f t="shared" si="32"/>
        <v>ИВТ (бак)</v>
      </c>
      <c r="AD208" s="101" t="str">
        <f t="shared" si="33"/>
        <v>2017–2018</v>
      </c>
      <c r="AE208" s="102">
        <f t="shared" ca="1" si="34"/>
        <v>144.87</v>
      </c>
      <c r="AF208" s="103">
        <f t="shared" ca="1" si="35"/>
        <v>0.16096666666666667</v>
      </c>
      <c r="AG208" s="101"/>
      <c r="AH208" s="101"/>
      <c r="AI208"/>
      <c r="BQ208" s="72">
        <v>0</v>
      </c>
      <c r="BR208" s="72">
        <v>0</v>
      </c>
      <c r="BS208" s="72">
        <v>0</v>
      </c>
      <c r="BT208" s="72">
        <v>0</v>
      </c>
      <c r="BU208" s="72">
        <v>0</v>
      </c>
      <c r="BV208" s="72">
        <v>0</v>
      </c>
      <c r="BW208" s="72">
        <v>0</v>
      </c>
      <c r="BX208" s="72">
        <v>0</v>
      </c>
      <c r="BY208" s="72">
        <v>0</v>
      </c>
      <c r="BZ208" s="72">
        <v>0</v>
      </c>
      <c r="CA208" s="72">
        <v>0</v>
      </c>
      <c r="CB208" s="72">
        <v>0</v>
      </c>
      <c r="CC208" s="72">
        <v>0</v>
      </c>
      <c r="CD208" s="72">
        <v>0</v>
      </c>
      <c r="CE208" s="72">
        <v>0</v>
      </c>
      <c r="CF208" s="72">
        <v>0</v>
      </c>
      <c r="CG208" s="72">
        <v>0</v>
      </c>
      <c r="CH208" s="72">
        <v>0</v>
      </c>
      <c r="CI208" s="72">
        <v>0</v>
      </c>
      <c r="CJ208" s="72">
        <v>0</v>
      </c>
      <c r="CK208" s="72">
        <v>0</v>
      </c>
      <c r="CL208" s="72">
        <v>0</v>
      </c>
      <c r="CM208" s="72">
        <v>0</v>
      </c>
      <c r="CN208" s="72">
        <v>0</v>
      </c>
      <c r="CO208" s="72">
        <v>0</v>
      </c>
      <c r="CP208" s="72">
        <v>0</v>
      </c>
      <c r="CQ208" s="72">
        <v>0</v>
      </c>
      <c r="CR208" s="72">
        <v>0</v>
      </c>
      <c r="CS208" s="72">
        <v>0</v>
      </c>
      <c r="CT208" s="72">
        <v>0</v>
      </c>
      <c r="CU208" s="72">
        <v>0</v>
      </c>
      <c r="CV208" s="72">
        <v>0</v>
      </c>
      <c r="CW208" s="72">
        <v>0</v>
      </c>
      <c r="CX208" s="72">
        <v>0</v>
      </c>
      <c r="CY208" s="72">
        <v>0</v>
      </c>
      <c r="CZ208" s="72">
        <v>0</v>
      </c>
      <c r="DA208" s="72">
        <v>0</v>
      </c>
      <c r="DB208" s="72">
        <v>0</v>
      </c>
      <c r="DC208" s="72">
        <v>0</v>
      </c>
      <c r="DD208" s="72">
        <v>0</v>
      </c>
      <c r="DE208" s="72">
        <v>0</v>
      </c>
      <c r="DF208" s="72">
        <v>0</v>
      </c>
      <c r="DG208" s="72">
        <v>0</v>
      </c>
      <c r="DH208" s="72">
        <v>0</v>
      </c>
      <c r="DI208" s="72">
        <v>0</v>
      </c>
      <c r="DJ208" s="72">
        <v>0</v>
      </c>
      <c r="DK208" s="72">
        <v>0</v>
      </c>
      <c r="DL208" s="72">
        <v>0</v>
      </c>
      <c r="DM208" s="72">
        <v>0</v>
      </c>
      <c r="DN208" s="72">
        <v>0</v>
      </c>
      <c r="DO208" s="72">
        <v>0</v>
      </c>
      <c r="DP208" s="72">
        <v>0</v>
      </c>
      <c r="DQ208" s="72">
        <v>0</v>
      </c>
      <c r="DR208" s="72">
        <v>0</v>
      </c>
      <c r="DS208" s="72">
        <v>0</v>
      </c>
      <c r="DT208" s="72">
        <v>0</v>
      </c>
      <c r="DU208" s="72">
        <v>0</v>
      </c>
      <c r="DV208" s="72">
        <v>0</v>
      </c>
      <c r="DW208" s="72">
        <v>0</v>
      </c>
      <c r="DX208" s="72">
        <v>0</v>
      </c>
      <c r="DY208" s="72">
        <v>0</v>
      </c>
      <c r="DZ208" s="72">
        <v>0</v>
      </c>
      <c r="EA208" s="72">
        <v>0</v>
      </c>
      <c r="EB208" s="72">
        <v>0</v>
      </c>
      <c r="EC208" s="72">
        <v>0</v>
      </c>
      <c r="ED208" s="72">
        <v>0</v>
      </c>
      <c r="EE208" s="72">
        <v>0</v>
      </c>
      <c r="EF208" s="72">
        <v>0</v>
      </c>
      <c r="EG208" s="72">
        <v>0</v>
      </c>
      <c r="EH208" s="72">
        <v>0</v>
      </c>
      <c r="EI208" s="72">
        <v>0</v>
      </c>
      <c r="EJ208" s="72">
        <v>0</v>
      </c>
      <c r="EK208" s="72">
        <v>0</v>
      </c>
      <c r="EL208" s="72">
        <v>0</v>
      </c>
    </row>
    <row r="209" spans="1:142" s="6" customFormat="1" x14ac:dyDescent="0.35">
      <c r="A209" s="59">
        <f>Данные!A209</f>
        <v>5791</v>
      </c>
      <c r="B209" s="59">
        <f>Данные!B209</f>
        <v>2017</v>
      </c>
      <c r="C209" s="59" t="str">
        <f>Данные!C209</f>
        <v>компьютерных технологий и электронного обучения</v>
      </c>
      <c r="D209" s="59" t="str">
        <f>Данные!D209</f>
        <v>Ильина Татьяна Сергеевна</v>
      </c>
      <c r="E209" s="59" t="str">
        <f>Данные!E209</f>
        <v>нет</v>
      </c>
      <c r="F209" s="59" t="str">
        <f>Данные!F209</f>
        <v>старший преподаватель</v>
      </c>
      <c r="G209" s="59">
        <f>Данные!G209</f>
        <v>1</v>
      </c>
      <c r="H209" s="59">
        <f>Данные!H209</f>
        <v>16591</v>
      </c>
      <c r="I209" s="59" t="str">
        <f>Данные!I209</f>
        <v>Модуль "Естественно-математический". Математика</v>
      </c>
      <c r="J209" s="59">
        <f>Данные!J209</f>
        <v>44</v>
      </c>
      <c r="K209" s="59">
        <f>Данные!K209</f>
        <v>64</v>
      </c>
      <c r="L209" s="59">
        <f>Данные!L209</f>
        <v>0</v>
      </c>
      <c r="M209" s="60">
        <f t="shared" si="27"/>
        <v>10.8</v>
      </c>
      <c r="N209" s="60">
        <f t="shared" ca="1" si="28"/>
        <v>11.57</v>
      </c>
      <c r="O209" s="60">
        <f t="shared" ca="1" si="29"/>
        <v>7.25</v>
      </c>
      <c r="P209" s="60">
        <f t="shared" ca="1" si="30"/>
        <v>7.25</v>
      </c>
      <c r="Q209" s="54">
        <f>Данные!Q209</f>
        <v>0</v>
      </c>
      <c r="R209" s="54">
        <f>Данные!R209</f>
        <v>0</v>
      </c>
      <c r="S209" s="54">
        <f>Данные!S209</f>
        <v>0</v>
      </c>
      <c r="T209" s="54">
        <f>Данные!T209</f>
        <v>0</v>
      </c>
      <c r="U209" s="54">
        <f>Данные!U209</f>
        <v>0</v>
      </c>
      <c r="V209" s="54">
        <f>Данные!V209</f>
        <v>0</v>
      </c>
      <c r="W209" s="54">
        <f ca="1">Данные!W209</f>
        <v>29</v>
      </c>
      <c r="X209" s="54" t="str">
        <f ca="1">Данные!X209</f>
        <v>1</v>
      </c>
      <c r="Y209" s="54" t="str">
        <f ca="1">Данные!Y209</f>
        <v>2</v>
      </c>
      <c r="Z209" s="54">
        <f>Данные!Z209</f>
        <v>0</v>
      </c>
      <c r="AA209" s="54" t="str">
        <f>Данные!AA209</f>
        <v>осн</v>
      </c>
      <c r="AB209" s="101">
        <f t="shared" si="31"/>
        <v>850</v>
      </c>
      <c r="AC209" s="101" t="str">
        <f t="shared" si="32"/>
        <v>ИВТ (бак)</v>
      </c>
      <c r="AD209" s="101" t="str">
        <f t="shared" si="33"/>
        <v>2017–2018</v>
      </c>
      <c r="AE209" s="102">
        <f t="shared" ca="1" si="34"/>
        <v>144.87</v>
      </c>
      <c r="AF209" s="103">
        <f t="shared" ca="1" si="35"/>
        <v>0.17043529411764707</v>
      </c>
      <c r="AG209" s="101"/>
      <c r="AH209" s="101"/>
      <c r="AI209"/>
      <c r="BQ209" s="72">
        <v>0</v>
      </c>
      <c r="BR209" s="72">
        <v>0</v>
      </c>
      <c r="BS209" s="72">
        <v>0</v>
      </c>
      <c r="BT209" s="72">
        <v>0</v>
      </c>
      <c r="BU209" s="72">
        <v>0</v>
      </c>
      <c r="BV209" s="72">
        <v>0</v>
      </c>
      <c r="BW209" s="72">
        <v>0</v>
      </c>
      <c r="BX209" s="72">
        <v>0</v>
      </c>
      <c r="BY209" s="72">
        <v>0</v>
      </c>
      <c r="BZ209" s="72">
        <v>0</v>
      </c>
      <c r="CA209" s="72">
        <v>0</v>
      </c>
      <c r="CB209" s="72">
        <v>0</v>
      </c>
      <c r="CC209" s="72">
        <v>0</v>
      </c>
      <c r="CD209" s="72">
        <v>0</v>
      </c>
      <c r="CE209" s="72">
        <v>0</v>
      </c>
      <c r="CF209" s="72">
        <v>0</v>
      </c>
      <c r="CG209" s="72">
        <v>0</v>
      </c>
      <c r="CH209" s="72">
        <v>0</v>
      </c>
      <c r="CI209" s="72">
        <v>0</v>
      </c>
      <c r="CJ209" s="72">
        <v>0</v>
      </c>
      <c r="CK209" s="72">
        <v>0</v>
      </c>
      <c r="CL209" s="72">
        <v>0</v>
      </c>
      <c r="CM209" s="72">
        <v>0</v>
      </c>
      <c r="CN209" s="72">
        <v>0</v>
      </c>
      <c r="CO209" s="72">
        <v>0</v>
      </c>
      <c r="CP209" s="72">
        <v>0</v>
      </c>
      <c r="CQ209" s="72">
        <v>0</v>
      </c>
      <c r="CR209" s="72">
        <v>0</v>
      </c>
      <c r="CS209" s="72">
        <v>0</v>
      </c>
      <c r="CT209" s="72">
        <v>0</v>
      </c>
      <c r="CU209" s="72">
        <v>0</v>
      </c>
      <c r="CV209" s="72">
        <v>0</v>
      </c>
      <c r="CW209" s="72">
        <v>0</v>
      </c>
      <c r="CX209" s="72">
        <v>0</v>
      </c>
      <c r="CY209" s="72">
        <v>0</v>
      </c>
      <c r="CZ209" s="72">
        <v>0</v>
      </c>
      <c r="DA209" s="72">
        <v>0</v>
      </c>
      <c r="DB209" s="72">
        <v>0</v>
      </c>
      <c r="DC209" s="72">
        <v>0</v>
      </c>
      <c r="DD209" s="72">
        <v>0</v>
      </c>
      <c r="DE209" s="72">
        <v>0</v>
      </c>
      <c r="DF209" s="72">
        <v>0</v>
      </c>
      <c r="DG209" s="72">
        <v>0</v>
      </c>
      <c r="DH209" s="72">
        <v>0</v>
      </c>
      <c r="DI209" s="72">
        <v>0</v>
      </c>
      <c r="DJ209" s="72">
        <v>0</v>
      </c>
      <c r="DK209" s="72">
        <v>0</v>
      </c>
      <c r="DL209" s="72">
        <v>0</v>
      </c>
      <c r="DM209" s="72">
        <v>0</v>
      </c>
      <c r="DN209" s="72">
        <v>0</v>
      </c>
      <c r="DO209" s="72">
        <v>0</v>
      </c>
      <c r="DP209" s="72">
        <v>0</v>
      </c>
      <c r="DQ209" s="72">
        <v>0</v>
      </c>
      <c r="DR209" s="72">
        <v>0</v>
      </c>
      <c r="DS209" s="72">
        <v>0</v>
      </c>
      <c r="DT209" s="72">
        <v>0</v>
      </c>
      <c r="DU209" s="72">
        <v>0</v>
      </c>
      <c r="DV209" s="72">
        <v>0</v>
      </c>
      <c r="DW209" s="72">
        <v>0</v>
      </c>
      <c r="DX209" s="72">
        <v>0</v>
      </c>
      <c r="DY209" s="72">
        <v>0</v>
      </c>
      <c r="DZ209" s="72">
        <v>0</v>
      </c>
      <c r="EA209" s="72">
        <v>0</v>
      </c>
      <c r="EB209" s="72">
        <v>0</v>
      </c>
      <c r="EC209" s="72">
        <v>0</v>
      </c>
      <c r="ED209" s="72">
        <v>0</v>
      </c>
      <c r="EE209" s="72">
        <v>0</v>
      </c>
      <c r="EF209" s="72">
        <v>0</v>
      </c>
      <c r="EG209" s="72">
        <v>0</v>
      </c>
      <c r="EH209" s="72">
        <v>0</v>
      </c>
      <c r="EI209" s="72">
        <v>0</v>
      </c>
      <c r="EJ209" s="72">
        <v>0</v>
      </c>
      <c r="EK209" s="72">
        <v>0</v>
      </c>
      <c r="EL209" s="72">
        <v>0</v>
      </c>
    </row>
    <row r="210" spans="1:142" s="6" customFormat="1" x14ac:dyDescent="0.35">
      <c r="A210" s="59">
        <f>Данные!A210</f>
        <v>5791</v>
      </c>
      <c r="B210" s="59">
        <f>Данные!B210</f>
        <v>2017</v>
      </c>
      <c r="C210" s="59" t="str">
        <f>Данные!C210</f>
        <v>компьютерных технологий и электронного обучения</v>
      </c>
      <c r="D210" s="59" t="str">
        <f>Данные!D210</f>
        <v>Ильина Татьяна Сергеевна</v>
      </c>
      <c r="E210" s="59" t="str">
        <f>Данные!E210</f>
        <v>нет</v>
      </c>
      <c r="F210" s="59" t="str">
        <f>Данные!F210</f>
        <v>старший преподаватель</v>
      </c>
      <c r="G210" s="59">
        <f>Данные!G210</f>
        <v>1</v>
      </c>
      <c r="H210" s="59">
        <f>Данные!H210</f>
        <v>16591</v>
      </c>
      <c r="I210" s="59" t="str">
        <f>Данные!I210</f>
        <v>Модуль "Информационные технологии в математике и физике". Информационные технологии в математике</v>
      </c>
      <c r="J210" s="59">
        <f>Данные!J210</f>
        <v>0</v>
      </c>
      <c r="K210" s="59">
        <f>Данные!K210</f>
        <v>0</v>
      </c>
      <c r="L210" s="59">
        <f>Данные!L210</f>
        <v>72</v>
      </c>
      <c r="M210" s="60">
        <f t="shared" si="27"/>
        <v>7.2</v>
      </c>
      <c r="N210" s="60">
        <f t="shared" ca="1" si="28"/>
        <v>11.57</v>
      </c>
      <c r="O210" s="60">
        <f t="shared" ca="1" si="29"/>
        <v>7.25</v>
      </c>
      <c r="P210" s="60">
        <f t="shared" ca="1" si="30"/>
        <v>7.25</v>
      </c>
      <c r="Q210" s="54">
        <f>Данные!Q210</f>
        <v>0</v>
      </c>
      <c r="R210" s="54">
        <f>Данные!R210</f>
        <v>0</v>
      </c>
      <c r="S210" s="54">
        <f>Данные!S210</f>
        <v>0</v>
      </c>
      <c r="T210" s="54">
        <f>Данные!T210</f>
        <v>0</v>
      </c>
      <c r="U210" s="54">
        <f>Данные!U210</f>
        <v>0</v>
      </c>
      <c r="V210" s="54">
        <f>Данные!V210</f>
        <v>0</v>
      </c>
      <c r="W210" s="54">
        <f ca="1">Данные!W210</f>
        <v>29</v>
      </c>
      <c r="X210" s="54" t="str">
        <f ca="1">Данные!X210</f>
        <v>1</v>
      </c>
      <c r="Y210" s="54" t="str">
        <f ca="1">Данные!Y210</f>
        <v>2</v>
      </c>
      <c r="Z210" s="54">
        <f>Данные!Z210</f>
        <v>0</v>
      </c>
      <c r="AA210" s="54" t="str">
        <f>Данные!AA210</f>
        <v>доп</v>
      </c>
      <c r="AB210" s="101">
        <f t="shared" si="31"/>
        <v>850</v>
      </c>
      <c r="AC210" s="101" t="str">
        <f t="shared" si="32"/>
        <v>ИВТ (бак)</v>
      </c>
      <c r="AD210" s="101" t="str">
        <f t="shared" si="33"/>
        <v>2017–2018</v>
      </c>
      <c r="AE210" s="102">
        <f t="shared" ca="1" si="34"/>
        <v>105.27000000000001</v>
      </c>
      <c r="AF210" s="103">
        <f t="shared" ca="1" si="35"/>
        <v>0.12384705882352942</v>
      </c>
      <c r="AG210" s="101"/>
      <c r="AH210" s="101"/>
      <c r="AI210"/>
      <c r="BQ210" s="72">
        <v>0</v>
      </c>
      <c r="BR210" s="72">
        <v>0</v>
      </c>
      <c r="BS210" s="72">
        <v>0</v>
      </c>
      <c r="BT210" s="72">
        <v>0</v>
      </c>
      <c r="BU210" s="72">
        <v>0</v>
      </c>
      <c r="BV210" s="72">
        <v>0</v>
      </c>
      <c r="BW210" s="72">
        <v>0</v>
      </c>
      <c r="BX210" s="72">
        <v>0</v>
      </c>
      <c r="BY210" s="72">
        <v>0</v>
      </c>
      <c r="BZ210" s="72">
        <v>0</v>
      </c>
      <c r="CA210" s="72">
        <v>0</v>
      </c>
      <c r="CB210" s="72">
        <v>0</v>
      </c>
      <c r="CC210" s="72">
        <v>0</v>
      </c>
      <c r="CD210" s="72">
        <v>0</v>
      </c>
      <c r="CE210" s="72">
        <v>0</v>
      </c>
      <c r="CF210" s="72">
        <v>0</v>
      </c>
      <c r="CG210" s="72">
        <v>0</v>
      </c>
      <c r="CH210" s="72">
        <v>0</v>
      </c>
      <c r="CI210" s="72">
        <v>0</v>
      </c>
      <c r="CJ210" s="72">
        <v>0</v>
      </c>
      <c r="CK210" s="72">
        <v>0</v>
      </c>
      <c r="CL210" s="72">
        <v>0</v>
      </c>
      <c r="CM210" s="72">
        <v>0</v>
      </c>
      <c r="CN210" s="72">
        <v>0</v>
      </c>
      <c r="CO210" s="72">
        <v>0</v>
      </c>
      <c r="CP210" s="72">
        <v>0</v>
      </c>
      <c r="CQ210" s="72">
        <v>0</v>
      </c>
      <c r="CR210" s="72">
        <v>0</v>
      </c>
      <c r="CS210" s="72">
        <v>0</v>
      </c>
      <c r="CT210" s="72">
        <v>0</v>
      </c>
      <c r="CU210" s="72">
        <v>0</v>
      </c>
      <c r="CV210" s="72">
        <v>0</v>
      </c>
      <c r="CW210" s="72">
        <v>0</v>
      </c>
      <c r="CX210" s="72">
        <v>0</v>
      </c>
      <c r="CY210" s="72">
        <v>0</v>
      </c>
      <c r="CZ210" s="72">
        <v>0</v>
      </c>
      <c r="DA210" s="72">
        <v>0</v>
      </c>
      <c r="DB210" s="72">
        <v>0</v>
      </c>
      <c r="DC210" s="72">
        <v>0</v>
      </c>
      <c r="DD210" s="72">
        <v>0</v>
      </c>
      <c r="DE210" s="72">
        <v>0</v>
      </c>
      <c r="DF210" s="72">
        <v>0</v>
      </c>
      <c r="DG210" s="72">
        <v>0</v>
      </c>
      <c r="DH210" s="72">
        <v>0</v>
      </c>
      <c r="DI210" s="72">
        <v>0</v>
      </c>
      <c r="DJ210" s="72">
        <v>0</v>
      </c>
      <c r="DK210" s="72">
        <v>0</v>
      </c>
      <c r="DL210" s="72">
        <v>0</v>
      </c>
      <c r="DM210" s="72">
        <v>0</v>
      </c>
      <c r="DN210" s="72">
        <v>0</v>
      </c>
      <c r="DO210" s="72">
        <v>0</v>
      </c>
      <c r="DP210" s="72">
        <v>0</v>
      </c>
      <c r="DQ210" s="72">
        <v>0</v>
      </c>
      <c r="DR210" s="72">
        <v>0</v>
      </c>
      <c r="DS210" s="72">
        <v>0</v>
      </c>
      <c r="DT210" s="72">
        <v>0</v>
      </c>
      <c r="DU210" s="72">
        <v>0</v>
      </c>
      <c r="DV210" s="72">
        <v>0</v>
      </c>
      <c r="DW210" s="72">
        <v>0</v>
      </c>
      <c r="DX210" s="72">
        <v>0</v>
      </c>
      <c r="DY210" s="72">
        <v>0</v>
      </c>
      <c r="DZ210" s="72">
        <v>0</v>
      </c>
      <c r="EA210" s="72">
        <v>0</v>
      </c>
      <c r="EB210" s="72">
        <v>0</v>
      </c>
      <c r="EC210" s="72">
        <v>0</v>
      </c>
      <c r="ED210" s="72">
        <v>0</v>
      </c>
      <c r="EE210" s="72">
        <v>0</v>
      </c>
      <c r="EF210" s="72">
        <v>0</v>
      </c>
      <c r="EG210" s="72">
        <v>0</v>
      </c>
      <c r="EH210" s="72">
        <v>0</v>
      </c>
      <c r="EI210" s="72">
        <v>0</v>
      </c>
      <c r="EJ210" s="72">
        <v>0</v>
      </c>
      <c r="EK210" s="72">
        <v>0</v>
      </c>
      <c r="EL210" s="72">
        <v>0</v>
      </c>
    </row>
    <row r="211" spans="1:142" s="6" customFormat="1" x14ac:dyDescent="0.35">
      <c r="A211" s="59">
        <f>Данные!A211</f>
        <v>5791</v>
      </c>
      <c r="B211" s="59">
        <f>Данные!B211</f>
        <v>2017</v>
      </c>
      <c r="C211" s="59" t="str">
        <f>Данные!C211</f>
        <v>компьютерных технологий и электронного обучения</v>
      </c>
      <c r="D211" s="59" t="str">
        <f>Данные!D211</f>
        <v>Шалденкова Анна Владимировна</v>
      </c>
      <c r="E211" s="59" t="str">
        <f>Данные!E211</f>
        <v>кандидат физ.-мат. наук</v>
      </c>
      <c r="F211" s="59" t="str">
        <f>Данные!F211</f>
        <v>ассистент</v>
      </c>
      <c r="G211" s="59">
        <f>Данные!G211</f>
        <v>1</v>
      </c>
      <c r="H211" s="59">
        <f>Данные!H211</f>
        <v>16591</v>
      </c>
      <c r="I211" s="59" t="str">
        <f>Данные!I211</f>
        <v>Модуль "Естественно-математический". Информатика</v>
      </c>
      <c r="J211" s="59">
        <f>Данные!J211</f>
        <v>0</v>
      </c>
      <c r="K211" s="59">
        <f>Данные!K211</f>
        <v>0</v>
      </c>
      <c r="L211" s="59">
        <f>Данные!L211</f>
        <v>72</v>
      </c>
      <c r="M211" s="60">
        <f t="shared" si="27"/>
        <v>7.2</v>
      </c>
      <c r="N211" s="60">
        <f t="shared" ca="1" si="28"/>
        <v>11.57</v>
      </c>
      <c r="O211" s="60">
        <f t="shared" ca="1" si="29"/>
        <v>7.25</v>
      </c>
      <c r="P211" s="60">
        <f t="shared" ca="1" si="30"/>
        <v>7.25</v>
      </c>
      <c r="Q211" s="54">
        <f>Данные!Q211</f>
        <v>0</v>
      </c>
      <c r="R211" s="54">
        <f>Данные!R211</f>
        <v>0</v>
      </c>
      <c r="S211" s="54">
        <f>Данные!S211</f>
        <v>0</v>
      </c>
      <c r="T211" s="54">
        <f>Данные!T211</f>
        <v>0</v>
      </c>
      <c r="U211" s="54">
        <f>Данные!U211</f>
        <v>0</v>
      </c>
      <c r="V211" s="54">
        <f>Данные!V211</f>
        <v>0</v>
      </c>
      <c r="W211" s="54">
        <f ca="1">Данные!W211</f>
        <v>29</v>
      </c>
      <c r="X211" s="54" t="str">
        <f ca="1">Данные!X211</f>
        <v>1</v>
      </c>
      <c r="Y211" s="54" t="str">
        <f ca="1">Данные!Y211</f>
        <v>2</v>
      </c>
      <c r="Z211" s="54">
        <f>Данные!Z211</f>
        <v>0</v>
      </c>
      <c r="AA211" s="54" t="str">
        <f>Данные!AA211</f>
        <v>доп</v>
      </c>
      <c r="AB211" s="101">
        <f t="shared" si="31"/>
        <v>900</v>
      </c>
      <c r="AC211" s="101" t="str">
        <f t="shared" si="32"/>
        <v>ИВТ (бак)</v>
      </c>
      <c r="AD211" s="101" t="str">
        <f t="shared" si="33"/>
        <v>2017–2018</v>
      </c>
      <c r="AE211" s="102">
        <f t="shared" ca="1" si="34"/>
        <v>105.27000000000001</v>
      </c>
      <c r="AF211" s="103">
        <f t="shared" ca="1" si="35"/>
        <v>0.11696666666666668</v>
      </c>
      <c r="AG211" s="101"/>
      <c r="AH211" s="101"/>
      <c r="AI211"/>
      <c r="BQ211" s="72">
        <v>0</v>
      </c>
      <c r="BR211" s="72">
        <v>0</v>
      </c>
      <c r="BS211" s="72">
        <v>0</v>
      </c>
      <c r="BT211" s="72">
        <v>0</v>
      </c>
      <c r="BU211" s="72">
        <v>0</v>
      </c>
      <c r="BV211" s="72">
        <v>0</v>
      </c>
      <c r="BW211" s="72">
        <v>0</v>
      </c>
      <c r="BX211" s="72">
        <v>0</v>
      </c>
      <c r="BY211" s="72">
        <v>0</v>
      </c>
      <c r="BZ211" s="72">
        <v>0</v>
      </c>
      <c r="CA211" s="72">
        <v>0</v>
      </c>
      <c r="CB211" s="72">
        <v>0</v>
      </c>
      <c r="CC211" s="72">
        <v>0</v>
      </c>
      <c r="CD211" s="72">
        <v>0</v>
      </c>
      <c r="CE211" s="72">
        <v>0</v>
      </c>
      <c r="CF211" s="72">
        <v>0</v>
      </c>
      <c r="CG211" s="72">
        <v>0</v>
      </c>
      <c r="CH211" s="72">
        <v>0</v>
      </c>
      <c r="CI211" s="72">
        <v>0</v>
      </c>
      <c r="CJ211" s="72">
        <v>0</v>
      </c>
      <c r="CK211" s="72">
        <v>0</v>
      </c>
      <c r="CL211" s="72">
        <v>0</v>
      </c>
      <c r="CM211" s="72">
        <v>0</v>
      </c>
      <c r="CN211" s="72">
        <v>0</v>
      </c>
      <c r="CO211" s="72">
        <v>0</v>
      </c>
      <c r="CP211" s="72">
        <v>0</v>
      </c>
      <c r="CQ211" s="72">
        <v>0</v>
      </c>
      <c r="CR211" s="72">
        <v>0</v>
      </c>
      <c r="CS211" s="72">
        <v>0</v>
      </c>
      <c r="CT211" s="72">
        <v>0</v>
      </c>
      <c r="CU211" s="72">
        <v>0</v>
      </c>
      <c r="CV211" s="72">
        <v>0</v>
      </c>
      <c r="CW211" s="72">
        <v>0</v>
      </c>
      <c r="CX211" s="72">
        <v>0</v>
      </c>
      <c r="CY211" s="72">
        <v>0</v>
      </c>
      <c r="CZ211" s="72">
        <v>0</v>
      </c>
      <c r="DA211" s="72">
        <v>0</v>
      </c>
      <c r="DB211" s="72">
        <v>0</v>
      </c>
      <c r="DC211" s="72">
        <v>0</v>
      </c>
      <c r="DD211" s="72">
        <v>0</v>
      </c>
      <c r="DE211" s="72">
        <v>0</v>
      </c>
      <c r="DF211" s="72">
        <v>0</v>
      </c>
      <c r="DG211" s="72">
        <v>0</v>
      </c>
      <c r="DH211" s="72">
        <v>0</v>
      </c>
      <c r="DI211" s="72">
        <v>0</v>
      </c>
      <c r="DJ211" s="72">
        <v>0</v>
      </c>
      <c r="DK211" s="72">
        <v>0</v>
      </c>
      <c r="DL211" s="72">
        <v>0</v>
      </c>
      <c r="DM211" s="72">
        <v>0</v>
      </c>
      <c r="DN211" s="72">
        <v>0</v>
      </c>
      <c r="DO211" s="72">
        <v>0</v>
      </c>
      <c r="DP211" s="72">
        <v>0</v>
      </c>
      <c r="DQ211" s="72">
        <v>0</v>
      </c>
      <c r="DR211" s="72">
        <v>0</v>
      </c>
      <c r="DS211" s="72">
        <v>0</v>
      </c>
      <c r="DT211" s="72">
        <v>0</v>
      </c>
      <c r="DU211" s="72">
        <v>0</v>
      </c>
      <c r="DV211" s="72">
        <v>0</v>
      </c>
      <c r="DW211" s="72">
        <v>0</v>
      </c>
      <c r="DX211" s="72">
        <v>0</v>
      </c>
      <c r="DY211" s="72">
        <v>0</v>
      </c>
      <c r="DZ211" s="72">
        <v>0</v>
      </c>
      <c r="EA211" s="72">
        <v>0</v>
      </c>
      <c r="EB211" s="72">
        <v>0</v>
      </c>
      <c r="EC211" s="72">
        <v>0</v>
      </c>
      <c r="ED211" s="72">
        <v>0</v>
      </c>
      <c r="EE211" s="72">
        <v>0</v>
      </c>
      <c r="EF211" s="72">
        <v>0</v>
      </c>
      <c r="EG211" s="72">
        <v>0</v>
      </c>
      <c r="EH211" s="72">
        <v>0</v>
      </c>
      <c r="EI211" s="72">
        <v>0</v>
      </c>
      <c r="EJ211" s="72">
        <v>0</v>
      </c>
      <c r="EK211" s="72">
        <v>0</v>
      </c>
      <c r="EL211" s="72">
        <v>0</v>
      </c>
    </row>
    <row r="212" spans="1:142" s="6" customFormat="1" x14ac:dyDescent="0.35">
      <c r="A212" s="59">
        <f>Данные!A212</f>
        <v>5791</v>
      </c>
      <c r="B212" s="59">
        <f>Данные!B212</f>
        <v>2017</v>
      </c>
      <c r="C212" s="59" t="str">
        <f>Данные!C212</f>
        <v>компьютерных технологий и электронного обучения</v>
      </c>
      <c r="D212" s="59" t="str">
        <f>Данные!D212</f>
        <v>Шалденкова Анна Владимировна</v>
      </c>
      <c r="E212" s="59" t="str">
        <f>Данные!E212</f>
        <v>кандидат физ.-мат. наук</v>
      </c>
      <c r="F212" s="59" t="str">
        <f>Данные!F212</f>
        <v>ассистент</v>
      </c>
      <c r="G212" s="59">
        <f>Данные!G212</f>
        <v>1</v>
      </c>
      <c r="H212" s="59">
        <f>Данные!H212</f>
        <v>16591</v>
      </c>
      <c r="I212" s="59" t="str">
        <f>Данные!I212</f>
        <v>Модуль "Системное и прикладное программное обеспечение". Программирование</v>
      </c>
      <c r="J212" s="59">
        <f>Данные!J212</f>
        <v>0</v>
      </c>
      <c r="K212" s="59">
        <f>Данные!K212</f>
        <v>0</v>
      </c>
      <c r="L212" s="59">
        <f>Данные!L212</f>
        <v>36</v>
      </c>
      <c r="M212" s="60">
        <f t="shared" si="27"/>
        <v>3.6</v>
      </c>
      <c r="N212" s="60">
        <f t="shared" ca="1" si="28"/>
        <v>11.57</v>
      </c>
      <c r="O212" s="60">
        <f t="shared" ca="1" si="29"/>
        <v>7.25</v>
      </c>
      <c r="P212" s="60">
        <f t="shared" ca="1" si="30"/>
        <v>7.25</v>
      </c>
      <c r="Q212" s="54">
        <f>Данные!Q212</f>
        <v>0</v>
      </c>
      <c r="R212" s="54">
        <f>Данные!R212</f>
        <v>0</v>
      </c>
      <c r="S212" s="54">
        <f>Данные!S212</f>
        <v>0</v>
      </c>
      <c r="T212" s="54">
        <f>Данные!T212</f>
        <v>0</v>
      </c>
      <c r="U212" s="54">
        <f>Данные!U212</f>
        <v>0</v>
      </c>
      <c r="V212" s="54">
        <f>Данные!V212</f>
        <v>0</v>
      </c>
      <c r="W212" s="54">
        <f ca="1">Данные!W212</f>
        <v>29</v>
      </c>
      <c r="X212" s="54" t="str">
        <f ca="1">Данные!X212</f>
        <v>1</v>
      </c>
      <c r="Y212" s="54" t="str">
        <f ca="1">Данные!Y212</f>
        <v>2</v>
      </c>
      <c r="Z212" s="54">
        <f>Данные!Z212</f>
        <v>0</v>
      </c>
      <c r="AA212" s="54" t="str">
        <f>Данные!AA212</f>
        <v>доп</v>
      </c>
      <c r="AB212" s="101">
        <f t="shared" si="31"/>
        <v>900</v>
      </c>
      <c r="AC212" s="101" t="str">
        <f t="shared" si="32"/>
        <v>ИВТ (бак)</v>
      </c>
      <c r="AD212" s="101" t="str">
        <f t="shared" si="33"/>
        <v>2017–2018</v>
      </c>
      <c r="AE212" s="102">
        <f t="shared" ca="1" si="34"/>
        <v>65.67</v>
      </c>
      <c r="AF212" s="103">
        <f t="shared" ca="1" si="35"/>
        <v>7.2966666666666666E-2</v>
      </c>
      <c r="AG212" s="101"/>
      <c r="AH212" s="101"/>
      <c r="AI212"/>
      <c r="BQ212" s="72">
        <v>0</v>
      </c>
      <c r="BR212" s="72">
        <v>0</v>
      </c>
      <c r="BS212" s="72">
        <v>0</v>
      </c>
      <c r="BT212" s="72">
        <v>0</v>
      </c>
      <c r="BU212" s="72">
        <v>0</v>
      </c>
      <c r="BV212" s="72">
        <v>0</v>
      </c>
      <c r="BW212" s="72">
        <v>0</v>
      </c>
      <c r="BX212" s="72">
        <v>0</v>
      </c>
      <c r="BY212" s="72">
        <v>0</v>
      </c>
      <c r="BZ212" s="72">
        <v>0</v>
      </c>
      <c r="CA212" s="72">
        <v>0</v>
      </c>
      <c r="CB212" s="72">
        <v>0</v>
      </c>
      <c r="CC212" s="72">
        <v>0</v>
      </c>
      <c r="CD212" s="72">
        <v>0</v>
      </c>
      <c r="CE212" s="72">
        <v>0</v>
      </c>
      <c r="CF212" s="72">
        <v>0</v>
      </c>
      <c r="CG212" s="72">
        <v>0</v>
      </c>
      <c r="CH212" s="72">
        <v>0</v>
      </c>
      <c r="CI212" s="72">
        <v>0</v>
      </c>
      <c r="CJ212" s="72">
        <v>0</v>
      </c>
      <c r="CK212" s="72">
        <v>0</v>
      </c>
      <c r="CL212" s="72">
        <v>0</v>
      </c>
      <c r="CM212" s="72">
        <v>0</v>
      </c>
      <c r="CN212" s="72">
        <v>0</v>
      </c>
      <c r="CO212" s="72">
        <v>0</v>
      </c>
      <c r="CP212" s="72">
        <v>0</v>
      </c>
      <c r="CQ212" s="72">
        <v>0</v>
      </c>
      <c r="CR212" s="72">
        <v>0</v>
      </c>
      <c r="CS212" s="72">
        <v>0</v>
      </c>
      <c r="CT212" s="72">
        <v>0</v>
      </c>
      <c r="CU212" s="72">
        <v>0</v>
      </c>
      <c r="CV212" s="72">
        <v>0</v>
      </c>
      <c r="CW212" s="72">
        <v>0</v>
      </c>
      <c r="CX212" s="72">
        <v>0</v>
      </c>
      <c r="CY212" s="72">
        <v>0</v>
      </c>
      <c r="CZ212" s="72">
        <v>0</v>
      </c>
      <c r="DA212" s="72">
        <v>0</v>
      </c>
      <c r="DB212" s="72">
        <v>0</v>
      </c>
      <c r="DC212" s="72">
        <v>0</v>
      </c>
      <c r="DD212" s="72">
        <v>0</v>
      </c>
      <c r="DE212" s="72">
        <v>0</v>
      </c>
      <c r="DF212" s="72">
        <v>0</v>
      </c>
      <c r="DG212" s="72">
        <v>0</v>
      </c>
      <c r="DH212" s="72">
        <v>0</v>
      </c>
      <c r="DI212" s="72">
        <v>0</v>
      </c>
      <c r="DJ212" s="72">
        <v>0</v>
      </c>
      <c r="DK212" s="72">
        <v>0</v>
      </c>
      <c r="DL212" s="72">
        <v>0</v>
      </c>
      <c r="DM212" s="72">
        <v>0</v>
      </c>
      <c r="DN212" s="72">
        <v>0</v>
      </c>
      <c r="DO212" s="72">
        <v>0</v>
      </c>
      <c r="DP212" s="72">
        <v>0</v>
      </c>
      <c r="DQ212" s="72">
        <v>0</v>
      </c>
      <c r="DR212" s="72">
        <v>0</v>
      </c>
      <c r="DS212" s="72">
        <v>0</v>
      </c>
      <c r="DT212" s="72">
        <v>0</v>
      </c>
      <c r="DU212" s="72">
        <v>0</v>
      </c>
      <c r="DV212" s="72">
        <v>0</v>
      </c>
      <c r="DW212" s="72">
        <v>0</v>
      </c>
      <c r="DX212" s="72">
        <v>0</v>
      </c>
      <c r="DY212" s="72">
        <v>0</v>
      </c>
      <c r="DZ212" s="72">
        <v>0</v>
      </c>
      <c r="EA212" s="72">
        <v>0</v>
      </c>
      <c r="EB212" s="72">
        <v>0</v>
      </c>
      <c r="EC212" s="72">
        <v>0</v>
      </c>
      <c r="ED212" s="72">
        <v>0</v>
      </c>
      <c r="EE212" s="72">
        <v>0</v>
      </c>
      <c r="EF212" s="72">
        <v>0</v>
      </c>
      <c r="EG212" s="72">
        <v>0</v>
      </c>
      <c r="EH212" s="72">
        <v>0</v>
      </c>
      <c r="EI212" s="72">
        <v>0</v>
      </c>
      <c r="EJ212" s="72">
        <v>0</v>
      </c>
      <c r="EK212" s="72">
        <v>0</v>
      </c>
      <c r="EL212" s="72">
        <v>0</v>
      </c>
    </row>
    <row r="213" spans="1:142" s="6" customFormat="1" x14ac:dyDescent="0.35">
      <c r="A213" s="59">
        <f>Данные!A213</f>
        <v>5791</v>
      </c>
      <c r="B213" s="59">
        <f>Данные!B213</f>
        <v>2018</v>
      </c>
      <c r="C213" s="59" t="str">
        <f>Данные!C213</f>
        <v>компьютерных технологий и электронного обучения</v>
      </c>
      <c r="D213" s="59" t="str">
        <f>Данные!D213</f>
        <v>Абрамян Геннадий Владимирович</v>
      </c>
      <c r="E213" s="59" t="str">
        <f>Данные!E213</f>
        <v>доктор педагогических наук</v>
      </c>
      <c r="F213" s="59" t="str">
        <f>Данные!F213</f>
        <v>профессор</v>
      </c>
      <c r="G213" s="59">
        <f>Данные!G213</f>
        <v>1</v>
      </c>
      <c r="H213" s="59">
        <f>Данные!H213</f>
        <v>17236</v>
      </c>
      <c r="I213" s="59" t="str">
        <f>Данные!I213</f>
        <v>Модуль "Системное и прикладное программное обеспечение". Операционные системы</v>
      </c>
      <c r="J213" s="59">
        <f>Данные!J213</f>
        <v>18</v>
      </c>
      <c r="K213" s="59">
        <f>Данные!K213</f>
        <v>0</v>
      </c>
      <c r="L213" s="59">
        <f>Данные!L213</f>
        <v>108</v>
      </c>
      <c r="M213" s="60">
        <f t="shared" si="27"/>
        <v>12.6</v>
      </c>
      <c r="N213" s="60">
        <f t="shared" ca="1" si="28"/>
        <v>11.57</v>
      </c>
      <c r="O213" s="60">
        <f t="shared" ca="1" si="29"/>
        <v>7.25</v>
      </c>
      <c r="P213" s="60">
        <f t="shared" ca="1" si="30"/>
        <v>7.25</v>
      </c>
      <c r="Q213" s="54">
        <f>Данные!Q213</f>
        <v>0</v>
      </c>
      <c r="R213" s="54">
        <f>Данные!R213</f>
        <v>0</v>
      </c>
      <c r="S213" s="54">
        <f>Данные!S213</f>
        <v>0</v>
      </c>
      <c r="T213" s="54">
        <f>Данные!T213</f>
        <v>0</v>
      </c>
      <c r="U213" s="54">
        <f>Данные!U213</f>
        <v>0</v>
      </c>
      <c r="V213" s="54">
        <f>Данные!V213</f>
        <v>0</v>
      </c>
      <c r="W213" s="54">
        <f ca="1">Данные!W213</f>
        <v>29</v>
      </c>
      <c r="X213" s="54" t="str">
        <f ca="1">Данные!X213</f>
        <v>1</v>
      </c>
      <c r="Y213" s="54" t="str">
        <f ca="1">Данные!Y213</f>
        <v>2</v>
      </c>
      <c r="Z213" s="54">
        <f>Данные!Z213</f>
        <v>0</v>
      </c>
      <c r="AA213" s="54" t="str">
        <f>Данные!AA213</f>
        <v>осн</v>
      </c>
      <c r="AB213" s="101">
        <f t="shared" si="31"/>
        <v>750</v>
      </c>
      <c r="AC213" s="101" t="str">
        <f t="shared" si="32"/>
        <v>ИВТ (бак)</v>
      </c>
      <c r="AD213" s="101" t="str">
        <f t="shared" si="33"/>
        <v/>
      </c>
      <c r="AE213" s="102">
        <f t="shared" ca="1" si="34"/>
        <v>164.67</v>
      </c>
      <c r="AF213" s="103">
        <f t="shared" ca="1" si="35"/>
        <v>0.21955999999999998</v>
      </c>
      <c r="AG213" s="101"/>
      <c r="AH213" s="101"/>
      <c r="AI213"/>
      <c r="BQ213" s="72">
        <v>0</v>
      </c>
      <c r="BR213" s="72">
        <v>0</v>
      </c>
      <c r="BS213" s="72">
        <v>0</v>
      </c>
      <c r="BT213" s="72">
        <v>0</v>
      </c>
      <c r="BU213" s="72">
        <v>0</v>
      </c>
      <c r="BV213" s="72">
        <v>0</v>
      </c>
      <c r="BW213" s="72">
        <v>0</v>
      </c>
      <c r="BX213" s="72">
        <v>0</v>
      </c>
      <c r="BY213" s="72">
        <v>0</v>
      </c>
      <c r="BZ213" s="72">
        <v>0</v>
      </c>
      <c r="CA213" s="72">
        <v>0</v>
      </c>
      <c r="CB213" s="72">
        <v>0</v>
      </c>
      <c r="CC213" s="72">
        <v>0</v>
      </c>
      <c r="CD213" s="72">
        <v>0</v>
      </c>
      <c r="CE213" s="72">
        <v>0</v>
      </c>
      <c r="CF213" s="72">
        <v>0</v>
      </c>
      <c r="CG213" s="72">
        <v>0</v>
      </c>
      <c r="CH213" s="72">
        <v>0</v>
      </c>
      <c r="CI213" s="72">
        <v>0</v>
      </c>
      <c r="CJ213" s="72">
        <v>0</v>
      </c>
      <c r="CK213" s="72">
        <v>0</v>
      </c>
      <c r="CL213" s="72">
        <v>0</v>
      </c>
      <c r="CM213" s="72">
        <v>0</v>
      </c>
      <c r="CN213" s="72">
        <v>0</v>
      </c>
      <c r="CO213" s="72">
        <v>0</v>
      </c>
      <c r="CP213" s="72">
        <v>0</v>
      </c>
      <c r="CQ213" s="72">
        <v>0</v>
      </c>
      <c r="CR213" s="72">
        <v>0</v>
      </c>
      <c r="CS213" s="72">
        <v>0</v>
      </c>
      <c r="CT213" s="72">
        <v>0</v>
      </c>
      <c r="CU213" s="72">
        <v>0</v>
      </c>
      <c r="CV213" s="72">
        <v>0</v>
      </c>
      <c r="CW213" s="72">
        <v>0</v>
      </c>
      <c r="CX213" s="72">
        <v>0</v>
      </c>
      <c r="CY213" s="72">
        <v>0</v>
      </c>
      <c r="CZ213" s="72">
        <v>0</v>
      </c>
      <c r="DA213" s="72">
        <v>0</v>
      </c>
      <c r="DB213" s="72">
        <v>0</v>
      </c>
      <c r="DC213" s="72">
        <v>0</v>
      </c>
      <c r="DD213" s="72">
        <v>0</v>
      </c>
      <c r="DE213" s="72">
        <v>0</v>
      </c>
      <c r="DF213" s="72">
        <v>0</v>
      </c>
      <c r="DG213" s="72">
        <v>0</v>
      </c>
      <c r="DH213" s="72">
        <v>0</v>
      </c>
      <c r="DI213" s="72">
        <v>0</v>
      </c>
      <c r="DJ213" s="72">
        <v>0</v>
      </c>
      <c r="DK213" s="72">
        <v>0</v>
      </c>
      <c r="DL213" s="72">
        <v>0</v>
      </c>
      <c r="DM213" s="72">
        <v>0</v>
      </c>
      <c r="DN213" s="72">
        <v>0</v>
      </c>
      <c r="DO213" s="72">
        <v>0</v>
      </c>
      <c r="DP213" s="72">
        <v>0</v>
      </c>
      <c r="DQ213" s="72">
        <v>0</v>
      </c>
      <c r="DR213" s="72">
        <v>0</v>
      </c>
      <c r="DS213" s="72">
        <v>0</v>
      </c>
      <c r="DT213" s="72">
        <v>0</v>
      </c>
      <c r="DU213" s="72">
        <v>0</v>
      </c>
      <c r="DV213" s="72">
        <v>0</v>
      </c>
      <c r="DW213" s="72">
        <v>0</v>
      </c>
      <c r="DX213" s="72">
        <v>0</v>
      </c>
      <c r="DY213" s="72">
        <v>0</v>
      </c>
      <c r="DZ213" s="72">
        <v>0</v>
      </c>
      <c r="EA213" s="72">
        <v>0</v>
      </c>
      <c r="EB213" s="72">
        <v>0</v>
      </c>
      <c r="EC213" s="72">
        <v>0</v>
      </c>
      <c r="ED213" s="72">
        <v>0</v>
      </c>
      <c r="EE213" s="72">
        <v>0</v>
      </c>
      <c r="EF213" s="72">
        <v>0</v>
      </c>
      <c r="EG213" s="72">
        <v>0</v>
      </c>
      <c r="EH213" s="72">
        <v>0</v>
      </c>
      <c r="EI213" s="72">
        <v>0</v>
      </c>
      <c r="EJ213" s="72">
        <v>0</v>
      </c>
      <c r="EK213" s="72">
        <v>0</v>
      </c>
      <c r="EL213" s="72">
        <v>0</v>
      </c>
    </row>
    <row r="214" spans="1:142" s="6" customFormat="1" x14ac:dyDescent="0.35">
      <c r="A214" s="59">
        <f>Данные!A214</f>
        <v>5791</v>
      </c>
      <c r="B214" s="59">
        <f>Данные!B214</f>
        <v>2018</v>
      </c>
      <c r="C214" s="59" t="str">
        <f>Данные!C214</f>
        <v>компьютерных технологий и электронного обучения</v>
      </c>
      <c r="D214" s="59" t="str">
        <f>Данные!D214</f>
        <v>Авксентьева Елена Юрьевна</v>
      </c>
      <c r="E214" s="59" t="str">
        <f>Данные!E214</f>
        <v>кандидат педагогических наук</v>
      </c>
      <c r="F214" s="59" t="str">
        <f>Данные!F214</f>
        <v>доцент</v>
      </c>
      <c r="G214" s="59">
        <f>Данные!G214</f>
        <v>1</v>
      </c>
      <c r="H214" s="59">
        <f>Данные!H214</f>
        <v>17236</v>
      </c>
      <c r="I214" s="59" t="str">
        <f>Данные!I214</f>
        <v>Модуль "Системное и прикладное программное обеспечение". Программирование</v>
      </c>
      <c r="J214" s="59">
        <f>Данные!J214</f>
        <v>18</v>
      </c>
      <c r="K214" s="59">
        <f>Данные!K214</f>
        <v>0</v>
      </c>
      <c r="L214" s="59">
        <f>Данные!L214</f>
        <v>0</v>
      </c>
      <c r="M214" s="60">
        <f t="shared" si="27"/>
        <v>1.8</v>
      </c>
      <c r="N214" s="60">
        <f t="shared" ca="1" si="28"/>
        <v>11.57</v>
      </c>
      <c r="O214" s="60">
        <f t="shared" ca="1" si="29"/>
        <v>7.25</v>
      </c>
      <c r="P214" s="60">
        <f t="shared" ca="1" si="30"/>
        <v>7.25</v>
      </c>
      <c r="Q214" s="54">
        <f>Данные!Q214</f>
        <v>0</v>
      </c>
      <c r="R214" s="54">
        <f>Данные!R214</f>
        <v>0</v>
      </c>
      <c r="S214" s="54">
        <f>Данные!S214</f>
        <v>0</v>
      </c>
      <c r="T214" s="54">
        <f>Данные!T214</f>
        <v>0</v>
      </c>
      <c r="U214" s="54">
        <f>Данные!U214</f>
        <v>0</v>
      </c>
      <c r="V214" s="54">
        <f>Данные!V214</f>
        <v>0</v>
      </c>
      <c r="W214" s="54">
        <f ca="1">Данные!W214</f>
        <v>29</v>
      </c>
      <c r="X214" s="54" t="str">
        <f ca="1">Данные!X214</f>
        <v>1</v>
      </c>
      <c r="Y214" s="54" t="str">
        <f ca="1">Данные!Y214</f>
        <v>2</v>
      </c>
      <c r="Z214" s="54">
        <f>Данные!Z214</f>
        <v>0</v>
      </c>
      <c r="AA214" s="54" t="str">
        <f>Данные!AA214</f>
        <v>осн</v>
      </c>
      <c r="AB214" s="101">
        <f t="shared" si="31"/>
        <v>800</v>
      </c>
      <c r="AC214" s="101" t="str">
        <f t="shared" si="32"/>
        <v>ИВТ (бак)</v>
      </c>
      <c r="AD214" s="101" t="str">
        <f t="shared" si="33"/>
        <v/>
      </c>
      <c r="AE214" s="102">
        <f t="shared" ca="1" si="34"/>
        <v>45.870000000000005</v>
      </c>
      <c r="AF214" s="103">
        <f t="shared" ca="1" si="35"/>
        <v>5.7337500000000007E-2</v>
      </c>
      <c r="AG214" s="101"/>
      <c r="AH214" s="101"/>
      <c r="AI214"/>
      <c r="BQ214" s="72">
        <v>0</v>
      </c>
      <c r="BR214" s="72">
        <v>0</v>
      </c>
      <c r="BS214" s="72">
        <v>0</v>
      </c>
      <c r="BT214" s="72">
        <v>0</v>
      </c>
      <c r="BU214" s="72">
        <v>0</v>
      </c>
      <c r="BV214" s="72">
        <v>0</v>
      </c>
      <c r="BW214" s="72">
        <v>0</v>
      </c>
      <c r="BX214" s="72">
        <v>0</v>
      </c>
      <c r="BY214" s="72">
        <v>0</v>
      </c>
      <c r="BZ214" s="72">
        <v>0</v>
      </c>
      <c r="CA214" s="72">
        <v>0</v>
      </c>
      <c r="CB214" s="72">
        <v>0</v>
      </c>
      <c r="CC214" s="72">
        <v>0</v>
      </c>
      <c r="CD214" s="72">
        <v>0</v>
      </c>
      <c r="CE214" s="72">
        <v>0</v>
      </c>
      <c r="CF214" s="72">
        <v>0</v>
      </c>
      <c r="CG214" s="72">
        <v>0</v>
      </c>
      <c r="CH214" s="72">
        <v>0</v>
      </c>
      <c r="CI214" s="72">
        <v>0</v>
      </c>
      <c r="CJ214" s="72">
        <v>0</v>
      </c>
      <c r="CK214" s="72">
        <v>0</v>
      </c>
      <c r="CL214" s="72">
        <v>0</v>
      </c>
      <c r="CM214" s="72">
        <v>0</v>
      </c>
      <c r="CN214" s="72">
        <v>0</v>
      </c>
      <c r="CO214" s="72">
        <v>0</v>
      </c>
      <c r="CP214" s="72">
        <v>0</v>
      </c>
      <c r="CQ214" s="72">
        <v>0</v>
      </c>
      <c r="CR214" s="72">
        <v>0</v>
      </c>
      <c r="CS214" s="72">
        <v>0</v>
      </c>
      <c r="CT214" s="72">
        <v>0</v>
      </c>
      <c r="CU214" s="72">
        <v>0</v>
      </c>
      <c r="CV214" s="72">
        <v>0</v>
      </c>
      <c r="CW214" s="72">
        <v>0</v>
      </c>
      <c r="CX214" s="72">
        <v>0</v>
      </c>
      <c r="CY214" s="72">
        <v>0</v>
      </c>
      <c r="CZ214" s="72">
        <v>0</v>
      </c>
      <c r="DA214" s="72">
        <v>0</v>
      </c>
      <c r="DB214" s="72">
        <v>0</v>
      </c>
      <c r="DC214" s="72">
        <v>0</v>
      </c>
      <c r="DD214" s="72">
        <v>0</v>
      </c>
      <c r="DE214" s="72">
        <v>0</v>
      </c>
      <c r="DF214" s="72">
        <v>0</v>
      </c>
      <c r="DG214" s="72">
        <v>0</v>
      </c>
      <c r="DH214" s="72">
        <v>0</v>
      </c>
      <c r="DI214" s="72">
        <v>0</v>
      </c>
      <c r="DJ214" s="72">
        <v>0</v>
      </c>
      <c r="DK214" s="72">
        <v>0</v>
      </c>
      <c r="DL214" s="72">
        <v>0</v>
      </c>
      <c r="DM214" s="72">
        <v>0</v>
      </c>
      <c r="DN214" s="72">
        <v>0</v>
      </c>
      <c r="DO214" s="72">
        <v>0</v>
      </c>
      <c r="DP214" s="72">
        <v>0</v>
      </c>
      <c r="DQ214" s="72">
        <v>0</v>
      </c>
      <c r="DR214" s="72">
        <v>0</v>
      </c>
      <c r="DS214" s="72">
        <v>0</v>
      </c>
      <c r="DT214" s="72">
        <v>0</v>
      </c>
      <c r="DU214" s="72">
        <v>0</v>
      </c>
      <c r="DV214" s="72">
        <v>0</v>
      </c>
      <c r="DW214" s="72">
        <v>0</v>
      </c>
      <c r="DX214" s="72">
        <v>0</v>
      </c>
      <c r="DY214" s="72">
        <v>0</v>
      </c>
      <c r="DZ214" s="72">
        <v>0</v>
      </c>
      <c r="EA214" s="72">
        <v>0</v>
      </c>
      <c r="EB214" s="72">
        <v>0</v>
      </c>
      <c r="EC214" s="72">
        <v>0</v>
      </c>
      <c r="ED214" s="72">
        <v>0</v>
      </c>
      <c r="EE214" s="72">
        <v>0</v>
      </c>
      <c r="EF214" s="72">
        <v>0</v>
      </c>
      <c r="EG214" s="72">
        <v>0</v>
      </c>
      <c r="EH214" s="72">
        <v>0</v>
      </c>
      <c r="EI214" s="72">
        <v>0</v>
      </c>
      <c r="EJ214" s="72">
        <v>0</v>
      </c>
      <c r="EK214" s="72">
        <v>0</v>
      </c>
      <c r="EL214" s="72">
        <v>0</v>
      </c>
    </row>
    <row r="215" spans="1:142" s="6" customFormat="1" x14ac:dyDescent="0.35">
      <c r="A215" s="59">
        <f>Данные!A215</f>
        <v>5791</v>
      </c>
      <c r="B215" s="59">
        <f>Данные!B215</f>
        <v>2018</v>
      </c>
      <c r="C215" s="59" t="str">
        <f>Данные!C215</f>
        <v>компьютерных технологий и электронного обучения</v>
      </c>
      <c r="D215" s="59" t="str">
        <f>Данные!D215</f>
        <v>Авксентьева Елена Юрьевна</v>
      </c>
      <c r="E215" s="59" t="str">
        <f>Данные!E215</f>
        <v>кандидат педагогических наук</v>
      </c>
      <c r="F215" s="59" t="str">
        <f>Данные!F215</f>
        <v>доцент</v>
      </c>
      <c r="G215" s="59">
        <f>Данные!G215</f>
        <v>1</v>
      </c>
      <c r="H215" s="59">
        <f>Данные!H215</f>
        <v>17236</v>
      </c>
      <c r="I215" s="59" t="str">
        <f>Данные!I215</f>
        <v>Модуль "Технологии и методы вычислений". Информационные технологии в решении задач оптимизации</v>
      </c>
      <c r="J215" s="59">
        <f>Данные!J215</f>
        <v>0</v>
      </c>
      <c r="K215" s="59">
        <f>Данные!K215</f>
        <v>0</v>
      </c>
      <c r="L215" s="59">
        <f>Данные!L215</f>
        <v>36</v>
      </c>
      <c r="M215" s="60">
        <f t="shared" si="27"/>
        <v>3.6</v>
      </c>
      <c r="N215" s="60">
        <f t="shared" ca="1" si="28"/>
        <v>11.57</v>
      </c>
      <c r="O215" s="60">
        <f t="shared" ca="1" si="29"/>
        <v>7.25</v>
      </c>
      <c r="P215" s="60">
        <f t="shared" ca="1" si="30"/>
        <v>7.25</v>
      </c>
      <c r="Q215" s="54">
        <f>Данные!Q215</f>
        <v>0</v>
      </c>
      <c r="R215" s="54">
        <f>Данные!R215</f>
        <v>0</v>
      </c>
      <c r="S215" s="54">
        <f>Данные!S215</f>
        <v>0</v>
      </c>
      <c r="T215" s="54">
        <f>Данные!T215</f>
        <v>0</v>
      </c>
      <c r="U215" s="54">
        <f>Данные!U215</f>
        <v>0</v>
      </c>
      <c r="V215" s="54">
        <f>Данные!V215</f>
        <v>0</v>
      </c>
      <c r="W215" s="54">
        <f ca="1">Данные!W215</f>
        <v>29</v>
      </c>
      <c r="X215" s="54" t="str">
        <f ca="1">Данные!X215</f>
        <v>1</v>
      </c>
      <c r="Y215" s="54" t="str">
        <f ca="1">Данные!Y215</f>
        <v>2</v>
      </c>
      <c r="Z215" s="54">
        <f>Данные!Z215</f>
        <v>0</v>
      </c>
      <c r="AA215" s="54" t="str">
        <f>Данные!AA215</f>
        <v>осн</v>
      </c>
      <c r="AB215" s="101">
        <f t="shared" si="31"/>
        <v>800</v>
      </c>
      <c r="AC215" s="101" t="str">
        <f t="shared" si="32"/>
        <v>ИВТ (бак)</v>
      </c>
      <c r="AD215" s="101" t="str">
        <f t="shared" si="33"/>
        <v/>
      </c>
      <c r="AE215" s="102">
        <f t="shared" ca="1" si="34"/>
        <v>65.67</v>
      </c>
      <c r="AF215" s="103">
        <f t="shared" ca="1" si="35"/>
        <v>8.2087500000000008E-2</v>
      </c>
      <c r="AG215" s="101"/>
      <c r="AH215" s="101"/>
      <c r="AI215"/>
      <c r="BQ215" s="72">
        <v>0</v>
      </c>
      <c r="BR215" s="72">
        <v>0</v>
      </c>
      <c r="BS215" s="72">
        <v>0</v>
      </c>
      <c r="BT215" s="72">
        <v>0</v>
      </c>
      <c r="BU215" s="72">
        <v>0</v>
      </c>
      <c r="BV215" s="72">
        <v>0</v>
      </c>
      <c r="BW215" s="72">
        <v>0</v>
      </c>
      <c r="BX215" s="72">
        <v>0</v>
      </c>
      <c r="BY215" s="72">
        <v>0</v>
      </c>
      <c r="BZ215" s="72">
        <v>0</v>
      </c>
      <c r="CA215" s="72">
        <v>0</v>
      </c>
      <c r="CB215" s="72">
        <v>0</v>
      </c>
      <c r="CC215" s="72">
        <v>0</v>
      </c>
      <c r="CD215" s="72">
        <v>0</v>
      </c>
      <c r="CE215" s="72">
        <v>0</v>
      </c>
      <c r="CF215" s="72">
        <v>0</v>
      </c>
      <c r="CG215" s="72">
        <v>0</v>
      </c>
      <c r="CH215" s="72">
        <v>0</v>
      </c>
      <c r="CI215" s="72">
        <v>0</v>
      </c>
      <c r="CJ215" s="72">
        <v>0</v>
      </c>
      <c r="CK215" s="72">
        <v>0</v>
      </c>
      <c r="CL215" s="72">
        <v>0</v>
      </c>
      <c r="CM215" s="72">
        <v>0</v>
      </c>
      <c r="CN215" s="72">
        <v>0</v>
      </c>
      <c r="CO215" s="72">
        <v>0</v>
      </c>
      <c r="CP215" s="72">
        <v>0</v>
      </c>
      <c r="CQ215" s="72">
        <v>0</v>
      </c>
      <c r="CR215" s="72">
        <v>0</v>
      </c>
      <c r="CS215" s="72">
        <v>0</v>
      </c>
      <c r="CT215" s="72">
        <v>0</v>
      </c>
      <c r="CU215" s="72">
        <v>0</v>
      </c>
      <c r="CV215" s="72">
        <v>0</v>
      </c>
      <c r="CW215" s="72">
        <v>0</v>
      </c>
      <c r="CX215" s="72">
        <v>0</v>
      </c>
      <c r="CY215" s="72">
        <v>0</v>
      </c>
      <c r="CZ215" s="72">
        <v>0</v>
      </c>
      <c r="DA215" s="72">
        <v>0</v>
      </c>
      <c r="DB215" s="72">
        <v>0</v>
      </c>
      <c r="DC215" s="72">
        <v>0</v>
      </c>
      <c r="DD215" s="72">
        <v>0</v>
      </c>
      <c r="DE215" s="72">
        <v>0</v>
      </c>
      <c r="DF215" s="72">
        <v>0</v>
      </c>
      <c r="DG215" s="72">
        <v>0</v>
      </c>
      <c r="DH215" s="72">
        <v>0</v>
      </c>
      <c r="DI215" s="72">
        <v>0</v>
      </c>
      <c r="DJ215" s="72">
        <v>0</v>
      </c>
      <c r="DK215" s="72">
        <v>0</v>
      </c>
      <c r="DL215" s="72">
        <v>0</v>
      </c>
      <c r="DM215" s="72">
        <v>0</v>
      </c>
      <c r="DN215" s="72">
        <v>0</v>
      </c>
      <c r="DO215" s="72">
        <v>0</v>
      </c>
      <c r="DP215" s="72">
        <v>0</v>
      </c>
      <c r="DQ215" s="72">
        <v>0</v>
      </c>
      <c r="DR215" s="72">
        <v>0</v>
      </c>
      <c r="DS215" s="72">
        <v>0</v>
      </c>
      <c r="DT215" s="72">
        <v>0</v>
      </c>
      <c r="DU215" s="72">
        <v>0</v>
      </c>
      <c r="DV215" s="72">
        <v>0</v>
      </c>
      <c r="DW215" s="72">
        <v>0</v>
      </c>
      <c r="DX215" s="72">
        <v>0</v>
      </c>
      <c r="DY215" s="72">
        <v>0</v>
      </c>
      <c r="DZ215" s="72">
        <v>0</v>
      </c>
      <c r="EA215" s="72">
        <v>0</v>
      </c>
      <c r="EB215" s="72">
        <v>0</v>
      </c>
      <c r="EC215" s="72">
        <v>0</v>
      </c>
      <c r="ED215" s="72">
        <v>0</v>
      </c>
      <c r="EE215" s="72">
        <v>0</v>
      </c>
      <c r="EF215" s="72">
        <v>0</v>
      </c>
      <c r="EG215" s="72">
        <v>0</v>
      </c>
      <c r="EH215" s="72">
        <v>0</v>
      </c>
      <c r="EI215" s="72">
        <v>0</v>
      </c>
      <c r="EJ215" s="72">
        <v>0</v>
      </c>
      <c r="EK215" s="72">
        <v>0</v>
      </c>
      <c r="EL215" s="72">
        <v>0</v>
      </c>
    </row>
    <row r="216" spans="1:142" s="6" customFormat="1" x14ac:dyDescent="0.35">
      <c r="A216" s="59">
        <f>Данные!A216</f>
        <v>5791</v>
      </c>
      <c r="B216" s="59">
        <f>Данные!B216</f>
        <v>2018</v>
      </c>
      <c r="C216" s="59" t="str">
        <f>Данные!C216</f>
        <v>компьютерных технологий и электронного обучения</v>
      </c>
      <c r="D216" s="59" t="str">
        <f>Данные!D216</f>
        <v>Авксентьева Елена Юрьевна</v>
      </c>
      <c r="E216" s="59" t="str">
        <f>Данные!E216</f>
        <v>кандидат педагогических наук</v>
      </c>
      <c r="F216" s="59" t="str">
        <f>Данные!F216</f>
        <v>доцент</v>
      </c>
      <c r="G216" s="59">
        <f>Данные!G216</f>
        <v>1</v>
      </c>
      <c r="H216" s="59">
        <f>Данные!H216</f>
        <v>17236</v>
      </c>
      <c r="I216" s="59" t="str">
        <f>Данные!I216</f>
        <v>Модуль "Технологии и методы вычислений". Информационные технологии в решении задач оптимизации</v>
      </c>
      <c r="J216" s="59">
        <f>Данные!J216</f>
        <v>18</v>
      </c>
      <c r="K216" s="59">
        <f>Данные!K216</f>
        <v>0</v>
      </c>
      <c r="L216" s="59">
        <f>Данные!L216</f>
        <v>72</v>
      </c>
      <c r="M216" s="60">
        <f t="shared" si="27"/>
        <v>9</v>
      </c>
      <c r="N216" s="60">
        <f t="shared" ca="1" si="28"/>
        <v>11.57</v>
      </c>
      <c r="O216" s="60">
        <f t="shared" ca="1" si="29"/>
        <v>7.25</v>
      </c>
      <c r="P216" s="60">
        <f t="shared" ca="1" si="30"/>
        <v>7.25</v>
      </c>
      <c r="Q216" s="54">
        <f>Данные!Q216</f>
        <v>0</v>
      </c>
      <c r="R216" s="54">
        <f>Данные!R216</f>
        <v>0</v>
      </c>
      <c r="S216" s="54">
        <f>Данные!S216</f>
        <v>0</v>
      </c>
      <c r="T216" s="54">
        <f>Данные!T216</f>
        <v>0</v>
      </c>
      <c r="U216" s="54">
        <f>Данные!U216</f>
        <v>0</v>
      </c>
      <c r="V216" s="54">
        <f>Данные!V216</f>
        <v>0</v>
      </c>
      <c r="W216" s="54">
        <f ca="1">Данные!W216</f>
        <v>29</v>
      </c>
      <c r="X216" s="54" t="str">
        <f ca="1">Данные!X216</f>
        <v>1</v>
      </c>
      <c r="Y216" s="54" t="str">
        <f ca="1">Данные!Y216</f>
        <v>2</v>
      </c>
      <c r="Z216" s="54">
        <f>Данные!Z216</f>
        <v>0</v>
      </c>
      <c r="AA216" s="54" t="str">
        <f>Данные!AA216</f>
        <v>осн</v>
      </c>
      <c r="AB216" s="101">
        <f t="shared" si="31"/>
        <v>800</v>
      </c>
      <c r="AC216" s="101" t="str">
        <f t="shared" si="32"/>
        <v>ИВТ (бак)</v>
      </c>
      <c r="AD216" s="101" t="str">
        <f t="shared" si="33"/>
        <v/>
      </c>
      <c r="AE216" s="102">
        <f t="shared" ca="1" si="34"/>
        <v>125.07</v>
      </c>
      <c r="AF216" s="103">
        <f t="shared" ca="1" si="35"/>
        <v>0.15633749999999999</v>
      </c>
      <c r="AG216" s="101"/>
      <c r="AH216" s="101"/>
      <c r="AI216"/>
      <c r="BQ216" s="72">
        <v>0</v>
      </c>
      <c r="BR216" s="72">
        <v>0</v>
      </c>
      <c r="BS216" s="72">
        <v>0</v>
      </c>
      <c r="BT216" s="72">
        <v>0</v>
      </c>
      <c r="BU216" s="72">
        <v>0</v>
      </c>
      <c r="BV216" s="72">
        <v>0</v>
      </c>
      <c r="BW216" s="72">
        <v>0</v>
      </c>
      <c r="BX216" s="72">
        <v>0</v>
      </c>
      <c r="BY216" s="72">
        <v>0</v>
      </c>
      <c r="BZ216" s="72">
        <v>0</v>
      </c>
      <c r="CA216" s="72">
        <v>0</v>
      </c>
      <c r="CB216" s="72">
        <v>0</v>
      </c>
      <c r="CC216" s="72">
        <v>0</v>
      </c>
      <c r="CD216" s="72">
        <v>0</v>
      </c>
      <c r="CE216" s="72">
        <v>0</v>
      </c>
      <c r="CF216" s="72">
        <v>0</v>
      </c>
      <c r="CG216" s="72">
        <v>0</v>
      </c>
      <c r="CH216" s="72">
        <v>0</v>
      </c>
      <c r="CI216" s="72">
        <v>0</v>
      </c>
      <c r="CJ216" s="72">
        <v>0</v>
      </c>
      <c r="CK216" s="72">
        <v>0</v>
      </c>
      <c r="CL216" s="72">
        <v>0</v>
      </c>
      <c r="CM216" s="72">
        <v>0</v>
      </c>
      <c r="CN216" s="72">
        <v>0</v>
      </c>
      <c r="CO216" s="72">
        <v>0</v>
      </c>
      <c r="CP216" s="72">
        <v>0</v>
      </c>
      <c r="CQ216" s="72">
        <v>0</v>
      </c>
      <c r="CR216" s="72">
        <v>0</v>
      </c>
      <c r="CS216" s="72">
        <v>0</v>
      </c>
      <c r="CT216" s="72">
        <v>0</v>
      </c>
      <c r="CU216" s="72">
        <v>0</v>
      </c>
      <c r="CV216" s="72">
        <v>0</v>
      </c>
      <c r="CW216" s="72">
        <v>0</v>
      </c>
      <c r="CX216" s="72">
        <v>0</v>
      </c>
      <c r="CY216" s="72">
        <v>0</v>
      </c>
      <c r="CZ216" s="72">
        <v>0</v>
      </c>
      <c r="DA216" s="72">
        <v>0</v>
      </c>
      <c r="DB216" s="72">
        <v>0</v>
      </c>
      <c r="DC216" s="72">
        <v>0</v>
      </c>
      <c r="DD216" s="72">
        <v>0</v>
      </c>
      <c r="DE216" s="72">
        <v>0</v>
      </c>
      <c r="DF216" s="72">
        <v>0</v>
      </c>
      <c r="DG216" s="72">
        <v>0</v>
      </c>
      <c r="DH216" s="72">
        <v>0</v>
      </c>
      <c r="DI216" s="72">
        <v>0</v>
      </c>
      <c r="DJ216" s="72">
        <v>0</v>
      </c>
      <c r="DK216" s="72">
        <v>0</v>
      </c>
      <c r="DL216" s="72">
        <v>0</v>
      </c>
      <c r="DM216" s="72">
        <v>0</v>
      </c>
      <c r="DN216" s="72">
        <v>0</v>
      </c>
      <c r="DO216" s="72">
        <v>0</v>
      </c>
      <c r="DP216" s="72">
        <v>0</v>
      </c>
      <c r="DQ216" s="72">
        <v>0</v>
      </c>
      <c r="DR216" s="72">
        <v>0</v>
      </c>
      <c r="DS216" s="72">
        <v>0</v>
      </c>
      <c r="DT216" s="72">
        <v>0</v>
      </c>
      <c r="DU216" s="72">
        <v>0</v>
      </c>
      <c r="DV216" s="72">
        <v>0</v>
      </c>
      <c r="DW216" s="72">
        <v>0</v>
      </c>
      <c r="DX216" s="72">
        <v>0</v>
      </c>
      <c r="DY216" s="72">
        <v>0</v>
      </c>
      <c r="DZ216" s="72">
        <v>0</v>
      </c>
      <c r="EA216" s="72">
        <v>0</v>
      </c>
      <c r="EB216" s="72">
        <v>0</v>
      </c>
      <c r="EC216" s="72">
        <v>0</v>
      </c>
      <c r="ED216" s="72">
        <v>0</v>
      </c>
      <c r="EE216" s="72">
        <v>0</v>
      </c>
      <c r="EF216" s="72">
        <v>0</v>
      </c>
      <c r="EG216" s="72">
        <v>0</v>
      </c>
      <c r="EH216" s="72">
        <v>0</v>
      </c>
      <c r="EI216" s="72">
        <v>0</v>
      </c>
      <c r="EJ216" s="72">
        <v>0</v>
      </c>
      <c r="EK216" s="72">
        <v>0</v>
      </c>
      <c r="EL216" s="72">
        <v>0</v>
      </c>
    </row>
    <row r="217" spans="1:142" s="6" customFormat="1" x14ac:dyDescent="0.35">
      <c r="A217" s="59">
        <f>Данные!A217</f>
        <v>5791</v>
      </c>
      <c r="B217" s="59">
        <f>Данные!B217</f>
        <v>2018</v>
      </c>
      <c r="C217" s="59" t="str">
        <f>Данные!C217</f>
        <v>компьютерных технологий и электронного обучения</v>
      </c>
      <c r="D217" s="59" t="str">
        <f>Данные!D217</f>
        <v>Атаян Ануш Михайловна</v>
      </c>
      <c r="E217" s="59" t="str">
        <f>Данные!E217</f>
        <v>кандидат педагогических наук</v>
      </c>
      <c r="F217" s="59" t="str">
        <f>Данные!F217</f>
        <v>доцент</v>
      </c>
      <c r="G217" s="59">
        <f>Данные!G217</f>
        <v>1</v>
      </c>
      <c r="H217" s="59">
        <f>Данные!H217</f>
        <v>17236</v>
      </c>
      <c r="I217" s="59" t="str">
        <f>Данные!I217</f>
        <v>Модуль "Информационные технологии в управлении в IT-компании". Дисциплины и курсы по выбору. Основы бизнес-информатики</v>
      </c>
      <c r="J217" s="59">
        <f>Данные!J217</f>
        <v>18</v>
      </c>
      <c r="K217" s="59">
        <f>Данные!K217</f>
        <v>0</v>
      </c>
      <c r="L217" s="59">
        <f>Данные!L217</f>
        <v>54</v>
      </c>
      <c r="M217" s="60">
        <f t="shared" si="27"/>
        <v>7.2</v>
      </c>
      <c r="N217" s="60">
        <f t="shared" ca="1" si="28"/>
        <v>11.57</v>
      </c>
      <c r="O217" s="60">
        <f t="shared" ca="1" si="29"/>
        <v>7.25</v>
      </c>
      <c r="P217" s="60">
        <f t="shared" ca="1" si="30"/>
        <v>7.25</v>
      </c>
      <c r="Q217" s="54">
        <f>Данные!Q217</f>
        <v>0</v>
      </c>
      <c r="R217" s="54">
        <f>Данные!R217</f>
        <v>0</v>
      </c>
      <c r="S217" s="54">
        <f>Данные!S217</f>
        <v>0</v>
      </c>
      <c r="T217" s="54">
        <f>Данные!T217</f>
        <v>0</v>
      </c>
      <c r="U217" s="54">
        <f>Данные!U217</f>
        <v>0</v>
      </c>
      <c r="V217" s="54">
        <f>Данные!V217</f>
        <v>0</v>
      </c>
      <c r="W217" s="54">
        <f ca="1">Данные!W217</f>
        <v>29</v>
      </c>
      <c r="X217" s="54" t="str">
        <f ca="1">Данные!X217</f>
        <v>1</v>
      </c>
      <c r="Y217" s="54" t="str">
        <f ca="1">Данные!Y217</f>
        <v>2</v>
      </c>
      <c r="Z217" s="54">
        <f>Данные!Z217</f>
        <v>0</v>
      </c>
      <c r="AA217" s="54" t="str">
        <f>Данные!AA217</f>
        <v>доп</v>
      </c>
      <c r="AB217" s="101">
        <f t="shared" si="31"/>
        <v>800</v>
      </c>
      <c r="AC217" s="101" t="str">
        <f t="shared" si="32"/>
        <v>ИВТ (бак)</v>
      </c>
      <c r="AD217" s="101" t="str">
        <f t="shared" si="33"/>
        <v/>
      </c>
      <c r="AE217" s="102">
        <f t="shared" ca="1" si="34"/>
        <v>105.27000000000001</v>
      </c>
      <c r="AF217" s="103">
        <f t="shared" ca="1" si="35"/>
        <v>0.13158750000000002</v>
      </c>
      <c r="AG217" s="101"/>
      <c r="AH217" s="101"/>
      <c r="AI217"/>
      <c r="BQ217" s="72">
        <v>0</v>
      </c>
      <c r="BR217" s="72">
        <v>0</v>
      </c>
      <c r="BS217" s="72">
        <v>0</v>
      </c>
      <c r="BT217" s="72">
        <v>0</v>
      </c>
      <c r="BU217" s="72">
        <v>0</v>
      </c>
      <c r="BV217" s="72">
        <v>0</v>
      </c>
      <c r="BW217" s="72">
        <v>0</v>
      </c>
      <c r="BX217" s="72">
        <v>0</v>
      </c>
      <c r="BY217" s="72">
        <v>0</v>
      </c>
      <c r="BZ217" s="72">
        <v>0</v>
      </c>
      <c r="CA217" s="72">
        <v>0</v>
      </c>
      <c r="CB217" s="72">
        <v>0</v>
      </c>
      <c r="CC217" s="72">
        <v>0</v>
      </c>
      <c r="CD217" s="72">
        <v>0</v>
      </c>
      <c r="CE217" s="72">
        <v>0</v>
      </c>
      <c r="CF217" s="72">
        <v>0</v>
      </c>
      <c r="CG217" s="72">
        <v>0</v>
      </c>
      <c r="CH217" s="72">
        <v>0</v>
      </c>
      <c r="CI217" s="72">
        <v>0</v>
      </c>
      <c r="CJ217" s="72">
        <v>0</v>
      </c>
      <c r="CK217" s="72">
        <v>0</v>
      </c>
      <c r="CL217" s="72">
        <v>0</v>
      </c>
      <c r="CM217" s="72">
        <v>0</v>
      </c>
      <c r="CN217" s="72">
        <v>0</v>
      </c>
      <c r="CO217" s="72">
        <v>0</v>
      </c>
      <c r="CP217" s="72">
        <v>0</v>
      </c>
      <c r="CQ217" s="72">
        <v>0</v>
      </c>
      <c r="CR217" s="72">
        <v>0</v>
      </c>
      <c r="CS217" s="72">
        <v>0</v>
      </c>
      <c r="CT217" s="72">
        <v>0</v>
      </c>
      <c r="CU217" s="72">
        <v>0</v>
      </c>
      <c r="CV217" s="72">
        <v>0</v>
      </c>
      <c r="CW217" s="72">
        <v>0</v>
      </c>
      <c r="CX217" s="72">
        <v>0</v>
      </c>
      <c r="CY217" s="72">
        <v>0</v>
      </c>
      <c r="CZ217" s="72">
        <v>0</v>
      </c>
      <c r="DA217" s="72">
        <v>0</v>
      </c>
      <c r="DB217" s="72">
        <v>0</v>
      </c>
      <c r="DC217" s="72">
        <v>0</v>
      </c>
      <c r="DD217" s="72">
        <v>0</v>
      </c>
      <c r="DE217" s="72">
        <v>0</v>
      </c>
      <c r="DF217" s="72">
        <v>0</v>
      </c>
      <c r="DG217" s="72">
        <v>0</v>
      </c>
      <c r="DH217" s="72">
        <v>0</v>
      </c>
      <c r="DI217" s="72">
        <v>0</v>
      </c>
      <c r="DJ217" s="72">
        <v>0</v>
      </c>
      <c r="DK217" s="72">
        <v>0</v>
      </c>
      <c r="DL217" s="72">
        <v>0</v>
      </c>
      <c r="DM217" s="72">
        <v>0</v>
      </c>
      <c r="DN217" s="72">
        <v>0</v>
      </c>
      <c r="DO217" s="72">
        <v>0</v>
      </c>
      <c r="DP217" s="72">
        <v>0</v>
      </c>
      <c r="DQ217" s="72">
        <v>0</v>
      </c>
      <c r="DR217" s="72">
        <v>0</v>
      </c>
      <c r="DS217" s="72">
        <v>0</v>
      </c>
      <c r="DT217" s="72">
        <v>0</v>
      </c>
      <c r="DU217" s="72">
        <v>0</v>
      </c>
      <c r="DV217" s="72">
        <v>0</v>
      </c>
      <c r="DW217" s="72">
        <v>0</v>
      </c>
      <c r="DX217" s="72">
        <v>0</v>
      </c>
      <c r="DY217" s="72">
        <v>0</v>
      </c>
      <c r="DZ217" s="72">
        <v>0</v>
      </c>
      <c r="EA217" s="72">
        <v>0</v>
      </c>
      <c r="EB217" s="72">
        <v>0</v>
      </c>
      <c r="EC217" s="72">
        <v>0</v>
      </c>
      <c r="ED217" s="72">
        <v>0</v>
      </c>
      <c r="EE217" s="72">
        <v>0</v>
      </c>
      <c r="EF217" s="72">
        <v>0</v>
      </c>
      <c r="EG217" s="72">
        <v>0</v>
      </c>
      <c r="EH217" s="72">
        <v>0</v>
      </c>
      <c r="EI217" s="72">
        <v>0</v>
      </c>
      <c r="EJ217" s="72">
        <v>0</v>
      </c>
      <c r="EK217" s="72">
        <v>0</v>
      </c>
      <c r="EL217" s="72">
        <v>0</v>
      </c>
    </row>
    <row r="218" spans="1:142" s="6" customFormat="1" x14ac:dyDescent="0.35">
      <c r="A218" s="59">
        <f>Данные!A218</f>
        <v>5791</v>
      </c>
      <c r="B218" s="59">
        <f>Данные!B218</f>
        <v>2018</v>
      </c>
      <c r="C218" s="59" t="str">
        <f>Данные!C218</f>
        <v>компьютерных технологий и электронного обучения</v>
      </c>
      <c r="D218" s="59" t="str">
        <f>Данные!D218</f>
        <v>Воробьев Владимир Иванович</v>
      </c>
      <c r="E218" s="59" t="str">
        <f>Данные!E218</f>
        <v>доктор технических наук</v>
      </c>
      <c r="F218" s="59" t="str">
        <f>Данные!F218</f>
        <v>внешний</v>
      </c>
      <c r="G218" s="59">
        <f>Данные!G218</f>
        <v>1</v>
      </c>
      <c r="H218" s="59">
        <f>Данные!H218</f>
        <v>17236</v>
      </c>
      <c r="I218" s="59" t="str">
        <f>Данные!I218</f>
        <v>Модуль "Технологии и методы вычислений". Технологии компьютерного моделирования</v>
      </c>
      <c r="J218" s="59">
        <f>Данные!J218</f>
        <v>4</v>
      </c>
      <c r="K218" s="59">
        <f>Данные!K218</f>
        <v>0</v>
      </c>
      <c r="L218" s="59">
        <f>Данные!L218</f>
        <v>0</v>
      </c>
      <c r="M218" s="60">
        <f t="shared" si="27"/>
        <v>0.4</v>
      </c>
      <c r="N218" s="60">
        <f t="shared" ca="1" si="28"/>
        <v>11.57</v>
      </c>
      <c r="O218" s="60">
        <f t="shared" ca="1" si="29"/>
        <v>7.25</v>
      </c>
      <c r="P218" s="60">
        <f t="shared" ca="1" si="30"/>
        <v>7.25</v>
      </c>
      <c r="Q218" s="54">
        <f>Данные!Q218</f>
        <v>0</v>
      </c>
      <c r="R218" s="54">
        <f>Данные!R218</f>
        <v>0</v>
      </c>
      <c r="S218" s="54">
        <f>Данные!S218</f>
        <v>0</v>
      </c>
      <c r="T218" s="54">
        <f>Данные!T218</f>
        <v>0</v>
      </c>
      <c r="U218" s="54">
        <f>Данные!U218</f>
        <v>0</v>
      </c>
      <c r="V218" s="54">
        <f>Данные!V218</f>
        <v>0</v>
      </c>
      <c r="W218" s="54">
        <f ca="1">Данные!W218</f>
        <v>29</v>
      </c>
      <c r="X218" s="54" t="str">
        <f ca="1">Данные!X218</f>
        <v>1</v>
      </c>
      <c r="Y218" s="54" t="str">
        <f ca="1">Данные!Y218</f>
        <v>2</v>
      </c>
      <c r="Z218" s="54">
        <f>Данные!Z218</f>
        <v>0</v>
      </c>
      <c r="AA218" s="54" t="str">
        <f>Данные!AA218</f>
        <v>осн</v>
      </c>
      <c r="AB218" s="101">
        <f t="shared" si="31"/>
        <v>900</v>
      </c>
      <c r="AC218" s="101" t="str">
        <f t="shared" si="32"/>
        <v>ИВТ (бак)</v>
      </c>
      <c r="AD218" s="101" t="str">
        <f t="shared" si="33"/>
        <v/>
      </c>
      <c r="AE218" s="102">
        <f t="shared" ca="1" si="34"/>
        <v>30.47</v>
      </c>
      <c r="AF218" s="103">
        <f t="shared" ca="1" si="35"/>
        <v>3.3855555555555555E-2</v>
      </c>
      <c r="AG218" s="101"/>
      <c r="AH218" s="101"/>
      <c r="AI218"/>
      <c r="BQ218" s="72">
        <v>0</v>
      </c>
      <c r="BR218" s="72">
        <v>0</v>
      </c>
      <c r="BS218" s="72">
        <v>0</v>
      </c>
      <c r="BT218" s="72">
        <v>0</v>
      </c>
      <c r="BU218" s="72">
        <v>0</v>
      </c>
      <c r="BV218" s="72">
        <v>0</v>
      </c>
      <c r="BW218" s="72">
        <v>0</v>
      </c>
      <c r="BX218" s="72">
        <v>0</v>
      </c>
      <c r="BY218" s="72">
        <v>0</v>
      </c>
      <c r="BZ218" s="72">
        <v>0</v>
      </c>
      <c r="CA218" s="72">
        <v>0</v>
      </c>
      <c r="CB218" s="72">
        <v>0</v>
      </c>
      <c r="CC218" s="72">
        <v>0</v>
      </c>
      <c r="CD218" s="72">
        <v>0</v>
      </c>
      <c r="CE218" s="72">
        <v>0</v>
      </c>
      <c r="CF218" s="72">
        <v>0</v>
      </c>
      <c r="CG218" s="72">
        <v>0</v>
      </c>
      <c r="CH218" s="72">
        <v>0</v>
      </c>
      <c r="CI218" s="72">
        <v>0</v>
      </c>
      <c r="CJ218" s="72">
        <v>0</v>
      </c>
      <c r="CK218" s="72">
        <v>0</v>
      </c>
      <c r="CL218" s="72">
        <v>0</v>
      </c>
      <c r="CM218" s="72">
        <v>0</v>
      </c>
      <c r="CN218" s="72">
        <v>0</v>
      </c>
      <c r="CO218" s="72">
        <v>0</v>
      </c>
      <c r="CP218" s="72">
        <v>0</v>
      </c>
      <c r="CQ218" s="72">
        <v>0</v>
      </c>
      <c r="CR218" s="72">
        <v>0</v>
      </c>
      <c r="CS218" s="72">
        <v>0</v>
      </c>
      <c r="CT218" s="72">
        <v>0</v>
      </c>
      <c r="CU218" s="72">
        <v>0</v>
      </c>
      <c r="CV218" s="72">
        <v>0</v>
      </c>
      <c r="CW218" s="72">
        <v>0</v>
      </c>
      <c r="CX218" s="72">
        <v>0</v>
      </c>
      <c r="CY218" s="72">
        <v>0</v>
      </c>
      <c r="CZ218" s="72">
        <v>0</v>
      </c>
      <c r="DA218" s="72">
        <v>0</v>
      </c>
      <c r="DB218" s="72">
        <v>0</v>
      </c>
      <c r="DC218" s="72">
        <v>0</v>
      </c>
      <c r="DD218" s="72">
        <v>0</v>
      </c>
      <c r="DE218" s="72">
        <v>0</v>
      </c>
      <c r="DF218" s="72">
        <v>0</v>
      </c>
      <c r="DG218" s="72">
        <v>0</v>
      </c>
      <c r="DH218" s="72">
        <v>0</v>
      </c>
      <c r="DI218" s="72">
        <v>0</v>
      </c>
      <c r="DJ218" s="72">
        <v>0</v>
      </c>
      <c r="DK218" s="72">
        <v>0</v>
      </c>
      <c r="DL218" s="72">
        <v>0</v>
      </c>
      <c r="DM218" s="72">
        <v>0</v>
      </c>
      <c r="DN218" s="72">
        <v>0</v>
      </c>
      <c r="DO218" s="72">
        <v>0</v>
      </c>
      <c r="DP218" s="72">
        <v>0</v>
      </c>
      <c r="DQ218" s="72">
        <v>0</v>
      </c>
      <c r="DR218" s="72">
        <v>0</v>
      </c>
      <c r="DS218" s="72">
        <v>0</v>
      </c>
      <c r="DT218" s="72">
        <v>0</v>
      </c>
      <c r="DU218" s="72">
        <v>0</v>
      </c>
      <c r="DV218" s="72">
        <v>0</v>
      </c>
      <c r="DW218" s="72">
        <v>0</v>
      </c>
      <c r="DX218" s="72">
        <v>0</v>
      </c>
      <c r="DY218" s="72">
        <v>0</v>
      </c>
      <c r="DZ218" s="72">
        <v>0</v>
      </c>
      <c r="EA218" s="72">
        <v>0</v>
      </c>
      <c r="EB218" s="72">
        <v>0</v>
      </c>
      <c r="EC218" s="72">
        <v>0</v>
      </c>
      <c r="ED218" s="72">
        <v>0</v>
      </c>
      <c r="EE218" s="72">
        <v>0</v>
      </c>
      <c r="EF218" s="72">
        <v>0</v>
      </c>
      <c r="EG218" s="72">
        <v>0</v>
      </c>
      <c r="EH218" s="72">
        <v>0</v>
      </c>
      <c r="EI218" s="72">
        <v>0</v>
      </c>
      <c r="EJ218" s="72">
        <v>0</v>
      </c>
      <c r="EK218" s="72">
        <v>0</v>
      </c>
      <c r="EL218" s="72">
        <v>0</v>
      </c>
    </row>
    <row r="219" spans="1:142" s="6" customFormat="1" x14ac:dyDescent="0.35">
      <c r="A219" s="59">
        <f>Данные!A219</f>
        <v>5791</v>
      </c>
      <c r="B219" s="59">
        <f>Данные!B219</f>
        <v>2018</v>
      </c>
      <c r="C219" s="59" t="str">
        <f>Данные!C219</f>
        <v>компьютерных технологий и электронного обучения</v>
      </c>
      <c r="D219" s="59" t="str">
        <f>Данные!D219</f>
        <v>Воробьев Владимир Иванович</v>
      </c>
      <c r="E219" s="59" t="str">
        <f>Данные!E219</f>
        <v>доктор технических наук</v>
      </c>
      <c r="F219" s="59" t="str">
        <f>Данные!F219</f>
        <v>внешний</v>
      </c>
      <c r="G219" s="59">
        <f>Данные!G219</f>
        <v>1</v>
      </c>
      <c r="H219" s="59">
        <f>Данные!H219</f>
        <v>17236</v>
      </c>
      <c r="I219" s="59" t="str">
        <f>Данные!I219</f>
        <v>Модуль "Технологии и методы вычислений". Вычислительная математика</v>
      </c>
      <c r="J219" s="59">
        <f>Данные!J219</f>
        <v>4</v>
      </c>
      <c r="K219" s="59">
        <f>Данные!K219</f>
        <v>0</v>
      </c>
      <c r="L219" s="59">
        <f>Данные!L219</f>
        <v>0</v>
      </c>
      <c r="M219" s="60">
        <f t="shared" si="27"/>
        <v>0.4</v>
      </c>
      <c r="N219" s="60">
        <f t="shared" ca="1" si="28"/>
        <v>11.57</v>
      </c>
      <c r="O219" s="60">
        <f t="shared" ca="1" si="29"/>
        <v>7.25</v>
      </c>
      <c r="P219" s="60">
        <f t="shared" ca="1" si="30"/>
        <v>7.25</v>
      </c>
      <c r="Q219" s="54">
        <f>Данные!Q219</f>
        <v>0</v>
      </c>
      <c r="R219" s="54">
        <f>Данные!R219</f>
        <v>0</v>
      </c>
      <c r="S219" s="54">
        <f>Данные!S219</f>
        <v>0</v>
      </c>
      <c r="T219" s="54">
        <f>Данные!T219</f>
        <v>0</v>
      </c>
      <c r="U219" s="54">
        <f>Данные!U219</f>
        <v>0</v>
      </c>
      <c r="V219" s="54">
        <f>Данные!V219</f>
        <v>0</v>
      </c>
      <c r="W219" s="54">
        <f ca="1">Данные!W219</f>
        <v>29</v>
      </c>
      <c r="X219" s="54" t="str">
        <f ca="1">Данные!X219</f>
        <v>1</v>
      </c>
      <c r="Y219" s="54" t="str">
        <f ca="1">Данные!Y219</f>
        <v>2</v>
      </c>
      <c r="Z219" s="54">
        <f>Данные!Z219</f>
        <v>0</v>
      </c>
      <c r="AA219" s="54" t="str">
        <f>Данные!AA219</f>
        <v>доп</v>
      </c>
      <c r="AB219" s="101">
        <f t="shared" si="31"/>
        <v>900</v>
      </c>
      <c r="AC219" s="101" t="str">
        <f t="shared" si="32"/>
        <v>ИВТ (бак)</v>
      </c>
      <c r="AD219" s="101" t="str">
        <f t="shared" si="33"/>
        <v/>
      </c>
      <c r="AE219" s="102">
        <f t="shared" ca="1" si="34"/>
        <v>30.47</v>
      </c>
      <c r="AF219" s="103">
        <f t="shared" ca="1" si="35"/>
        <v>3.3855555555555555E-2</v>
      </c>
      <c r="AG219" s="101"/>
      <c r="AH219" s="101"/>
      <c r="AI219"/>
      <c r="BQ219" s="72">
        <v>0</v>
      </c>
      <c r="BR219" s="72">
        <v>0</v>
      </c>
      <c r="BS219" s="72">
        <v>0</v>
      </c>
      <c r="BT219" s="72">
        <v>0</v>
      </c>
      <c r="BU219" s="72">
        <v>0</v>
      </c>
      <c r="BV219" s="72">
        <v>0</v>
      </c>
      <c r="BW219" s="72">
        <v>0</v>
      </c>
      <c r="BX219" s="72">
        <v>0</v>
      </c>
      <c r="BY219" s="72">
        <v>0</v>
      </c>
      <c r="BZ219" s="72">
        <v>0</v>
      </c>
      <c r="CA219" s="72">
        <v>0</v>
      </c>
      <c r="CB219" s="72">
        <v>0</v>
      </c>
      <c r="CC219" s="72">
        <v>0</v>
      </c>
      <c r="CD219" s="72">
        <v>0</v>
      </c>
      <c r="CE219" s="72">
        <v>0</v>
      </c>
      <c r="CF219" s="72">
        <v>0</v>
      </c>
      <c r="CG219" s="72">
        <v>0</v>
      </c>
      <c r="CH219" s="72">
        <v>0</v>
      </c>
      <c r="CI219" s="72">
        <v>0</v>
      </c>
      <c r="CJ219" s="72">
        <v>0</v>
      </c>
      <c r="CK219" s="72">
        <v>0</v>
      </c>
      <c r="CL219" s="72">
        <v>0</v>
      </c>
      <c r="CM219" s="72">
        <v>0</v>
      </c>
      <c r="CN219" s="72">
        <v>0</v>
      </c>
      <c r="CO219" s="72">
        <v>0</v>
      </c>
      <c r="CP219" s="72">
        <v>0</v>
      </c>
      <c r="CQ219" s="72">
        <v>0</v>
      </c>
      <c r="CR219" s="72">
        <v>0</v>
      </c>
      <c r="CS219" s="72">
        <v>0</v>
      </c>
      <c r="CT219" s="72">
        <v>0</v>
      </c>
      <c r="CU219" s="72">
        <v>0</v>
      </c>
      <c r="CV219" s="72">
        <v>0</v>
      </c>
      <c r="CW219" s="72">
        <v>0</v>
      </c>
      <c r="CX219" s="72">
        <v>0</v>
      </c>
      <c r="CY219" s="72">
        <v>0</v>
      </c>
      <c r="CZ219" s="72">
        <v>0</v>
      </c>
      <c r="DA219" s="72">
        <v>0</v>
      </c>
      <c r="DB219" s="72">
        <v>0</v>
      </c>
      <c r="DC219" s="72">
        <v>0</v>
      </c>
      <c r="DD219" s="72">
        <v>0</v>
      </c>
      <c r="DE219" s="72">
        <v>0</v>
      </c>
      <c r="DF219" s="72">
        <v>0</v>
      </c>
      <c r="DG219" s="72">
        <v>0</v>
      </c>
      <c r="DH219" s="72">
        <v>0</v>
      </c>
      <c r="DI219" s="72">
        <v>0</v>
      </c>
      <c r="DJ219" s="72">
        <v>0</v>
      </c>
      <c r="DK219" s="72">
        <v>0</v>
      </c>
      <c r="DL219" s="72">
        <v>0</v>
      </c>
      <c r="DM219" s="72">
        <v>0</v>
      </c>
      <c r="DN219" s="72">
        <v>0</v>
      </c>
      <c r="DO219" s="72">
        <v>0</v>
      </c>
      <c r="DP219" s="72">
        <v>0</v>
      </c>
      <c r="DQ219" s="72">
        <v>0</v>
      </c>
      <c r="DR219" s="72">
        <v>0</v>
      </c>
      <c r="DS219" s="72">
        <v>0</v>
      </c>
      <c r="DT219" s="72">
        <v>0</v>
      </c>
      <c r="DU219" s="72">
        <v>0</v>
      </c>
      <c r="DV219" s="72">
        <v>0</v>
      </c>
      <c r="DW219" s="72">
        <v>0</v>
      </c>
      <c r="DX219" s="72">
        <v>0</v>
      </c>
      <c r="DY219" s="72">
        <v>0</v>
      </c>
      <c r="DZ219" s="72">
        <v>0</v>
      </c>
      <c r="EA219" s="72">
        <v>0</v>
      </c>
      <c r="EB219" s="72">
        <v>0</v>
      </c>
      <c r="EC219" s="72">
        <v>0</v>
      </c>
      <c r="ED219" s="72">
        <v>0</v>
      </c>
      <c r="EE219" s="72">
        <v>0</v>
      </c>
      <c r="EF219" s="72">
        <v>0</v>
      </c>
      <c r="EG219" s="72">
        <v>0</v>
      </c>
      <c r="EH219" s="72">
        <v>0</v>
      </c>
      <c r="EI219" s="72">
        <v>0</v>
      </c>
      <c r="EJ219" s="72">
        <v>0</v>
      </c>
      <c r="EK219" s="72">
        <v>0</v>
      </c>
      <c r="EL219" s="72">
        <v>0</v>
      </c>
    </row>
    <row r="220" spans="1:142" s="6" customFormat="1" x14ac:dyDescent="0.35">
      <c r="A220" s="59">
        <f>Данные!A220</f>
        <v>5791</v>
      </c>
      <c r="B220" s="59">
        <f>Данные!B220</f>
        <v>2018</v>
      </c>
      <c r="C220" s="59" t="str">
        <f>Данные!C220</f>
        <v>компьютерных технологий и электронного обучения</v>
      </c>
      <c r="D220" s="59" t="str">
        <f>Данные!D220</f>
        <v>Власов Дмитрий Викторович</v>
      </c>
      <c r="E220" s="59" t="str">
        <f>Данные!E220</f>
        <v>нет</v>
      </c>
      <c r="F220" s="59" t="str">
        <f>Данные!F220</f>
        <v>эксперт-программист</v>
      </c>
      <c r="G220" s="59">
        <f>Данные!G220</f>
        <v>1</v>
      </c>
      <c r="H220" s="59">
        <f>Данные!H220</f>
        <v>17236</v>
      </c>
      <c r="I220" s="59" t="str">
        <f>Данные!I220</f>
        <v>Модуль "Естественно-математический". Математические основы компьютерной графики</v>
      </c>
      <c r="J220" s="59">
        <f>Данные!J220</f>
        <v>0</v>
      </c>
      <c r="K220" s="59">
        <f>Данные!K220</f>
        <v>0</v>
      </c>
      <c r="L220" s="59">
        <f>Данные!L220</f>
        <v>10</v>
      </c>
      <c r="M220" s="60">
        <f t="shared" si="27"/>
        <v>1</v>
      </c>
      <c r="N220" s="60">
        <f t="shared" ca="1" si="28"/>
        <v>11.57</v>
      </c>
      <c r="O220" s="60">
        <f t="shared" ca="1" si="29"/>
        <v>7.25</v>
      </c>
      <c r="P220" s="60">
        <f t="shared" ca="1" si="30"/>
        <v>7.25</v>
      </c>
      <c r="Q220" s="54">
        <f>Данные!Q220</f>
        <v>0</v>
      </c>
      <c r="R220" s="54">
        <f>Данные!R220</f>
        <v>0</v>
      </c>
      <c r="S220" s="54">
        <f>Данные!S220</f>
        <v>0</v>
      </c>
      <c r="T220" s="54">
        <f>Данные!T220</f>
        <v>0</v>
      </c>
      <c r="U220" s="54">
        <f>Данные!U220</f>
        <v>0</v>
      </c>
      <c r="V220" s="54">
        <f>Данные!V220</f>
        <v>0</v>
      </c>
      <c r="W220" s="54">
        <f ca="1">Данные!W220</f>
        <v>29</v>
      </c>
      <c r="X220" s="54" t="str">
        <f ca="1">Данные!X220</f>
        <v>1</v>
      </c>
      <c r="Y220" s="54" t="str">
        <f ca="1">Данные!Y220</f>
        <v>2</v>
      </c>
      <c r="Z220" s="54">
        <f>Данные!Z220</f>
        <v>0</v>
      </c>
      <c r="AA220" s="54" t="str">
        <f>Данные!AA220</f>
        <v>осн</v>
      </c>
      <c r="AB220" s="101">
        <f t="shared" si="31"/>
        <v>900</v>
      </c>
      <c r="AC220" s="101" t="str">
        <f t="shared" si="32"/>
        <v>ИВТ (бак)</v>
      </c>
      <c r="AD220" s="101" t="str">
        <f t="shared" si="33"/>
        <v/>
      </c>
      <c r="AE220" s="102">
        <f t="shared" ca="1" si="34"/>
        <v>37.07</v>
      </c>
      <c r="AF220" s="103">
        <f t="shared" ca="1" si="35"/>
        <v>4.1188888888888886E-2</v>
      </c>
      <c r="AG220" s="101"/>
      <c r="AH220" s="101"/>
      <c r="AI220"/>
      <c r="BQ220" s="72">
        <v>0</v>
      </c>
      <c r="BR220" s="72">
        <v>0</v>
      </c>
      <c r="BS220" s="72">
        <v>0</v>
      </c>
      <c r="BT220" s="72">
        <v>0</v>
      </c>
      <c r="BU220" s="72">
        <v>0</v>
      </c>
      <c r="BV220" s="72">
        <v>0</v>
      </c>
      <c r="BW220" s="72">
        <v>0</v>
      </c>
      <c r="BX220" s="72">
        <v>0</v>
      </c>
      <c r="BY220" s="72">
        <v>0</v>
      </c>
      <c r="BZ220" s="72">
        <v>0</v>
      </c>
      <c r="CA220" s="72">
        <v>0</v>
      </c>
      <c r="CB220" s="72">
        <v>0</v>
      </c>
      <c r="CC220" s="72">
        <v>0</v>
      </c>
      <c r="CD220" s="72">
        <v>0</v>
      </c>
      <c r="CE220" s="72">
        <v>0</v>
      </c>
      <c r="CF220" s="72">
        <v>0</v>
      </c>
      <c r="CG220" s="72">
        <v>0</v>
      </c>
      <c r="CH220" s="72">
        <v>0</v>
      </c>
      <c r="CI220" s="72">
        <v>0</v>
      </c>
      <c r="CJ220" s="72">
        <v>0</v>
      </c>
      <c r="CK220" s="72">
        <v>0</v>
      </c>
      <c r="CL220" s="72">
        <v>0</v>
      </c>
      <c r="CM220" s="72">
        <v>0</v>
      </c>
      <c r="CN220" s="72">
        <v>0</v>
      </c>
      <c r="CO220" s="72">
        <v>0</v>
      </c>
      <c r="CP220" s="72">
        <v>0</v>
      </c>
      <c r="CQ220" s="72">
        <v>0</v>
      </c>
      <c r="CR220" s="72">
        <v>0</v>
      </c>
      <c r="CS220" s="72">
        <v>0</v>
      </c>
      <c r="CT220" s="72">
        <v>0</v>
      </c>
      <c r="CU220" s="72">
        <v>0</v>
      </c>
      <c r="CV220" s="72">
        <v>0</v>
      </c>
      <c r="CW220" s="72">
        <v>0</v>
      </c>
      <c r="CX220" s="72">
        <v>0</v>
      </c>
      <c r="CY220" s="72">
        <v>0</v>
      </c>
      <c r="CZ220" s="72">
        <v>0</v>
      </c>
      <c r="DA220" s="72">
        <v>0</v>
      </c>
      <c r="DB220" s="72">
        <v>0</v>
      </c>
      <c r="DC220" s="72">
        <v>0</v>
      </c>
      <c r="DD220" s="72">
        <v>0</v>
      </c>
      <c r="DE220" s="72">
        <v>0</v>
      </c>
      <c r="DF220" s="72">
        <v>0</v>
      </c>
      <c r="DG220" s="72">
        <v>0</v>
      </c>
      <c r="DH220" s="72">
        <v>0</v>
      </c>
      <c r="DI220" s="72">
        <v>0</v>
      </c>
      <c r="DJ220" s="72">
        <v>0</v>
      </c>
      <c r="DK220" s="72">
        <v>0</v>
      </c>
      <c r="DL220" s="72">
        <v>0</v>
      </c>
      <c r="DM220" s="72">
        <v>0</v>
      </c>
      <c r="DN220" s="72">
        <v>0</v>
      </c>
      <c r="DO220" s="72">
        <v>0</v>
      </c>
      <c r="DP220" s="72">
        <v>0</v>
      </c>
      <c r="DQ220" s="72">
        <v>0</v>
      </c>
      <c r="DR220" s="72">
        <v>0</v>
      </c>
      <c r="DS220" s="72">
        <v>0</v>
      </c>
      <c r="DT220" s="72">
        <v>0</v>
      </c>
      <c r="DU220" s="72">
        <v>0</v>
      </c>
      <c r="DV220" s="72">
        <v>0</v>
      </c>
      <c r="DW220" s="72">
        <v>0</v>
      </c>
      <c r="DX220" s="72">
        <v>0</v>
      </c>
      <c r="DY220" s="72">
        <v>0</v>
      </c>
      <c r="DZ220" s="72">
        <v>0</v>
      </c>
      <c r="EA220" s="72">
        <v>0</v>
      </c>
      <c r="EB220" s="72">
        <v>0</v>
      </c>
      <c r="EC220" s="72">
        <v>0</v>
      </c>
      <c r="ED220" s="72">
        <v>0</v>
      </c>
      <c r="EE220" s="72">
        <v>0</v>
      </c>
      <c r="EF220" s="72">
        <v>0</v>
      </c>
      <c r="EG220" s="72">
        <v>0</v>
      </c>
      <c r="EH220" s="72">
        <v>0</v>
      </c>
      <c r="EI220" s="72">
        <v>0</v>
      </c>
      <c r="EJ220" s="72">
        <v>0</v>
      </c>
      <c r="EK220" s="72">
        <v>0</v>
      </c>
      <c r="EL220" s="72">
        <v>0</v>
      </c>
    </row>
    <row r="221" spans="1:142" s="6" customFormat="1" x14ac:dyDescent="0.35">
      <c r="A221" s="59">
        <f>Данные!A221</f>
        <v>5791</v>
      </c>
      <c r="B221" s="59">
        <f>Данные!B221</f>
        <v>2018</v>
      </c>
      <c r="C221" s="59" t="str">
        <f>Данные!C221</f>
        <v>компьютерных технологий и электронного обучения</v>
      </c>
      <c r="D221" s="59" t="str">
        <f>Данные!D221</f>
        <v>Власова Елена Зотиковна</v>
      </c>
      <c r="E221" s="59" t="str">
        <f>Данные!E221</f>
        <v>доктор педагогических наук</v>
      </c>
      <c r="F221" s="59" t="str">
        <f>Данные!F221</f>
        <v>заведующий кафедрой</v>
      </c>
      <c r="G221" s="59">
        <f>Данные!G221</f>
        <v>1</v>
      </c>
      <c r="H221" s="59">
        <f>Данные!H221</f>
        <v>17236</v>
      </c>
      <c r="I221" s="59" t="str">
        <f>Данные!I221</f>
        <v>Модуль "Естественно-математический". Математические основы компьютерной графики</v>
      </c>
      <c r="J221" s="59">
        <f>Данные!J221</f>
        <v>8</v>
      </c>
      <c r="K221" s="59">
        <f>Данные!K221</f>
        <v>0</v>
      </c>
      <c r="L221" s="59">
        <f>Данные!L221</f>
        <v>0</v>
      </c>
      <c r="M221" s="60">
        <f t="shared" si="27"/>
        <v>0.8</v>
      </c>
      <c r="N221" s="60">
        <f t="shared" ca="1" si="28"/>
        <v>11.57</v>
      </c>
      <c r="O221" s="60">
        <f t="shared" ca="1" si="29"/>
        <v>7.25</v>
      </c>
      <c r="P221" s="60">
        <f t="shared" ca="1" si="30"/>
        <v>7.25</v>
      </c>
      <c r="Q221" s="54">
        <f>Данные!Q221</f>
        <v>0</v>
      </c>
      <c r="R221" s="54">
        <f>Данные!R221</f>
        <v>0</v>
      </c>
      <c r="S221" s="54">
        <f>Данные!S221</f>
        <v>0</v>
      </c>
      <c r="T221" s="54">
        <f>Данные!T221</f>
        <v>0</v>
      </c>
      <c r="U221" s="54">
        <f>Данные!U221</f>
        <v>0</v>
      </c>
      <c r="V221" s="54">
        <f>Данные!V221</f>
        <v>0</v>
      </c>
      <c r="W221" s="54">
        <f ca="1">Данные!W221</f>
        <v>29</v>
      </c>
      <c r="X221" s="54" t="str">
        <f ca="1">Данные!X221</f>
        <v>1</v>
      </c>
      <c r="Y221" s="54" t="str">
        <f ca="1">Данные!Y221</f>
        <v>2</v>
      </c>
      <c r="Z221" s="54">
        <f>Данные!Z221</f>
        <v>0</v>
      </c>
      <c r="AA221" s="54" t="str">
        <f>Данные!AA221</f>
        <v>осн</v>
      </c>
      <c r="AB221" s="101">
        <f t="shared" si="31"/>
        <v>700</v>
      </c>
      <c r="AC221" s="101" t="str">
        <f t="shared" si="32"/>
        <v>ИВТ (бак)</v>
      </c>
      <c r="AD221" s="101" t="str">
        <f t="shared" si="33"/>
        <v/>
      </c>
      <c r="AE221" s="102">
        <f t="shared" ca="1" si="34"/>
        <v>34.870000000000005</v>
      </c>
      <c r="AF221" s="103">
        <f t="shared" ca="1" si="35"/>
        <v>4.9814285714285721E-2</v>
      </c>
      <c r="AG221" s="101"/>
      <c r="AH221" s="101"/>
      <c r="AI221"/>
      <c r="BQ221" s="72">
        <v>0</v>
      </c>
      <c r="BR221" s="72">
        <v>0</v>
      </c>
      <c r="BS221" s="72">
        <v>0</v>
      </c>
      <c r="BT221" s="72">
        <v>0</v>
      </c>
      <c r="BU221" s="72">
        <v>0</v>
      </c>
      <c r="BV221" s="72">
        <v>0</v>
      </c>
      <c r="BW221" s="72">
        <v>0</v>
      </c>
      <c r="BX221" s="72">
        <v>0</v>
      </c>
      <c r="BY221" s="72">
        <v>0</v>
      </c>
      <c r="BZ221" s="72">
        <v>0</v>
      </c>
      <c r="CA221" s="72">
        <v>0</v>
      </c>
      <c r="CB221" s="72">
        <v>0</v>
      </c>
      <c r="CC221" s="72">
        <v>0</v>
      </c>
      <c r="CD221" s="72">
        <v>0</v>
      </c>
      <c r="CE221" s="72">
        <v>0</v>
      </c>
      <c r="CF221" s="72">
        <v>0</v>
      </c>
      <c r="CG221" s="72">
        <v>0</v>
      </c>
      <c r="CH221" s="72">
        <v>0</v>
      </c>
      <c r="CI221" s="72">
        <v>0</v>
      </c>
      <c r="CJ221" s="72">
        <v>0</v>
      </c>
      <c r="CK221" s="72">
        <v>0</v>
      </c>
      <c r="CL221" s="72">
        <v>0</v>
      </c>
      <c r="CM221" s="72">
        <v>0</v>
      </c>
      <c r="CN221" s="72">
        <v>0</v>
      </c>
      <c r="CO221" s="72">
        <v>0</v>
      </c>
      <c r="CP221" s="72">
        <v>0</v>
      </c>
      <c r="CQ221" s="72">
        <v>0</v>
      </c>
      <c r="CR221" s="72">
        <v>0</v>
      </c>
      <c r="CS221" s="72">
        <v>0</v>
      </c>
      <c r="CT221" s="72">
        <v>0</v>
      </c>
      <c r="CU221" s="72">
        <v>0</v>
      </c>
      <c r="CV221" s="72">
        <v>0</v>
      </c>
      <c r="CW221" s="72">
        <v>0</v>
      </c>
      <c r="CX221" s="72">
        <v>0</v>
      </c>
      <c r="CY221" s="72">
        <v>0</v>
      </c>
      <c r="CZ221" s="72">
        <v>0</v>
      </c>
      <c r="DA221" s="72">
        <v>0</v>
      </c>
      <c r="DB221" s="72">
        <v>0</v>
      </c>
      <c r="DC221" s="72">
        <v>0</v>
      </c>
      <c r="DD221" s="72">
        <v>0</v>
      </c>
      <c r="DE221" s="72">
        <v>0</v>
      </c>
      <c r="DF221" s="72">
        <v>0</v>
      </c>
      <c r="DG221" s="72">
        <v>0</v>
      </c>
      <c r="DH221" s="72">
        <v>0</v>
      </c>
      <c r="DI221" s="72">
        <v>0</v>
      </c>
      <c r="DJ221" s="72">
        <v>0</v>
      </c>
      <c r="DK221" s="72">
        <v>0</v>
      </c>
      <c r="DL221" s="72">
        <v>0</v>
      </c>
      <c r="DM221" s="72">
        <v>0</v>
      </c>
      <c r="DN221" s="72">
        <v>0</v>
      </c>
      <c r="DO221" s="72">
        <v>0</v>
      </c>
      <c r="DP221" s="72">
        <v>0</v>
      </c>
      <c r="DQ221" s="72">
        <v>0</v>
      </c>
      <c r="DR221" s="72">
        <v>0</v>
      </c>
      <c r="DS221" s="72">
        <v>0</v>
      </c>
      <c r="DT221" s="72">
        <v>0</v>
      </c>
      <c r="DU221" s="72">
        <v>0</v>
      </c>
      <c r="DV221" s="72">
        <v>0</v>
      </c>
      <c r="DW221" s="72">
        <v>0</v>
      </c>
      <c r="DX221" s="72">
        <v>0</v>
      </c>
      <c r="DY221" s="72">
        <v>0</v>
      </c>
      <c r="DZ221" s="72">
        <v>0</v>
      </c>
      <c r="EA221" s="72">
        <v>0</v>
      </c>
      <c r="EB221" s="72">
        <v>0</v>
      </c>
      <c r="EC221" s="72">
        <v>0</v>
      </c>
      <c r="ED221" s="72">
        <v>0</v>
      </c>
      <c r="EE221" s="72">
        <v>0</v>
      </c>
      <c r="EF221" s="72">
        <v>0</v>
      </c>
      <c r="EG221" s="72">
        <v>0</v>
      </c>
      <c r="EH221" s="72">
        <v>0</v>
      </c>
      <c r="EI221" s="72">
        <v>0</v>
      </c>
      <c r="EJ221" s="72">
        <v>0</v>
      </c>
      <c r="EK221" s="72">
        <v>0</v>
      </c>
      <c r="EL221" s="72">
        <v>0</v>
      </c>
    </row>
    <row r="222" spans="1:142" s="6" customFormat="1" x14ac:dyDescent="0.35">
      <c r="A222" s="59">
        <f>Данные!A222</f>
        <v>5791</v>
      </c>
      <c r="B222" s="59">
        <f>Данные!B222</f>
        <v>2018</v>
      </c>
      <c r="C222" s="59" t="str">
        <f>Данные!C222</f>
        <v>компьютерных технологий и электронного обучения</v>
      </c>
      <c r="D222" s="59" t="str">
        <f>Данные!D222</f>
        <v>Власова Елена Зотиковна</v>
      </c>
      <c r="E222" s="59" t="str">
        <f>Данные!E222</f>
        <v>доктор педагогических наук</v>
      </c>
      <c r="F222" s="59" t="str">
        <f>Данные!F222</f>
        <v>заведующий кафедрой</v>
      </c>
      <c r="G222" s="59">
        <f>Данные!G222</f>
        <v>1</v>
      </c>
      <c r="H222" s="59">
        <f>Данные!H222</f>
        <v>17236</v>
      </c>
      <c r="I222" s="59" t="str">
        <f>Данные!I222</f>
        <v>Модуль "Технологии и методы вычислений". Анализ данных</v>
      </c>
      <c r="J222" s="59">
        <f>Данные!J222</f>
        <v>18</v>
      </c>
      <c r="K222" s="59">
        <f>Данные!K222</f>
        <v>0</v>
      </c>
      <c r="L222" s="59">
        <f>Данные!L222</f>
        <v>0</v>
      </c>
      <c r="M222" s="60">
        <f t="shared" si="27"/>
        <v>1.8</v>
      </c>
      <c r="N222" s="60">
        <f t="shared" ca="1" si="28"/>
        <v>11.57</v>
      </c>
      <c r="O222" s="60">
        <f t="shared" ca="1" si="29"/>
        <v>7.25</v>
      </c>
      <c r="P222" s="60">
        <f t="shared" ca="1" si="30"/>
        <v>7.25</v>
      </c>
      <c r="Q222" s="54">
        <f>Данные!Q222</f>
        <v>0</v>
      </c>
      <c r="R222" s="54">
        <f>Данные!R222</f>
        <v>0</v>
      </c>
      <c r="S222" s="54">
        <f>Данные!S222</f>
        <v>0</v>
      </c>
      <c r="T222" s="54">
        <f>Данные!T222</f>
        <v>0</v>
      </c>
      <c r="U222" s="54">
        <f>Данные!U222</f>
        <v>0</v>
      </c>
      <c r="V222" s="54">
        <f>Данные!V222</f>
        <v>0</v>
      </c>
      <c r="W222" s="54">
        <f ca="1">Данные!W222</f>
        <v>29</v>
      </c>
      <c r="X222" s="54" t="str">
        <f ca="1">Данные!X222</f>
        <v>1</v>
      </c>
      <c r="Y222" s="54" t="str">
        <f ca="1">Данные!Y222</f>
        <v>2</v>
      </c>
      <c r="Z222" s="54">
        <f>Данные!Z222</f>
        <v>0</v>
      </c>
      <c r="AA222" s="54" t="str">
        <f>Данные!AA222</f>
        <v>доп</v>
      </c>
      <c r="AB222" s="101">
        <f t="shared" si="31"/>
        <v>700</v>
      </c>
      <c r="AC222" s="101" t="str">
        <f t="shared" si="32"/>
        <v>ИВТ (бак)</v>
      </c>
      <c r="AD222" s="101" t="str">
        <f t="shared" si="33"/>
        <v/>
      </c>
      <c r="AE222" s="102">
        <f t="shared" ca="1" si="34"/>
        <v>45.870000000000005</v>
      </c>
      <c r="AF222" s="103">
        <f t="shared" ca="1" si="35"/>
        <v>6.5528571428571436E-2</v>
      </c>
      <c r="AG222" s="101"/>
      <c r="AH222" s="101"/>
      <c r="AI222"/>
      <c r="BQ222" s="72">
        <v>0</v>
      </c>
      <c r="BR222" s="72">
        <v>0</v>
      </c>
      <c r="BS222" s="72">
        <v>0</v>
      </c>
      <c r="BT222" s="72">
        <v>0</v>
      </c>
      <c r="BU222" s="72">
        <v>0</v>
      </c>
      <c r="BV222" s="72">
        <v>0</v>
      </c>
      <c r="BW222" s="72">
        <v>0</v>
      </c>
      <c r="BX222" s="72">
        <v>0</v>
      </c>
      <c r="BY222" s="72">
        <v>0</v>
      </c>
      <c r="BZ222" s="72">
        <v>0</v>
      </c>
      <c r="CA222" s="72">
        <v>0</v>
      </c>
      <c r="CB222" s="72">
        <v>0</v>
      </c>
      <c r="CC222" s="72">
        <v>0</v>
      </c>
      <c r="CD222" s="72">
        <v>0</v>
      </c>
      <c r="CE222" s="72">
        <v>0</v>
      </c>
      <c r="CF222" s="72">
        <v>0</v>
      </c>
      <c r="CG222" s="72">
        <v>0</v>
      </c>
      <c r="CH222" s="72">
        <v>0</v>
      </c>
      <c r="CI222" s="72">
        <v>0</v>
      </c>
      <c r="CJ222" s="72">
        <v>0</v>
      </c>
      <c r="CK222" s="72">
        <v>0</v>
      </c>
      <c r="CL222" s="72">
        <v>0</v>
      </c>
      <c r="CM222" s="72">
        <v>0</v>
      </c>
      <c r="CN222" s="72">
        <v>0</v>
      </c>
      <c r="CO222" s="72">
        <v>0</v>
      </c>
      <c r="CP222" s="72">
        <v>0</v>
      </c>
      <c r="CQ222" s="72">
        <v>0</v>
      </c>
      <c r="CR222" s="72">
        <v>0</v>
      </c>
      <c r="CS222" s="72">
        <v>0</v>
      </c>
      <c r="CT222" s="72">
        <v>0</v>
      </c>
      <c r="CU222" s="72">
        <v>0</v>
      </c>
      <c r="CV222" s="72">
        <v>0</v>
      </c>
      <c r="CW222" s="72">
        <v>0</v>
      </c>
      <c r="CX222" s="72">
        <v>0</v>
      </c>
      <c r="CY222" s="72">
        <v>0</v>
      </c>
      <c r="CZ222" s="72">
        <v>0</v>
      </c>
      <c r="DA222" s="72">
        <v>0</v>
      </c>
      <c r="DB222" s="72">
        <v>0</v>
      </c>
      <c r="DC222" s="72">
        <v>0</v>
      </c>
      <c r="DD222" s="72">
        <v>0</v>
      </c>
      <c r="DE222" s="72">
        <v>0</v>
      </c>
      <c r="DF222" s="72">
        <v>0</v>
      </c>
      <c r="DG222" s="72">
        <v>0</v>
      </c>
      <c r="DH222" s="72">
        <v>0</v>
      </c>
      <c r="DI222" s="72">
        <v>0</v>
      </c>
      <c r="DJ222" s="72">
        <v>0</v>
      </c>
      <c r="DK222" s="72">
        <v>0</v>
      </c>
      <c r="DL222" s="72">
        <v>0</v>
      </c>
      <c r="DM222" s="72">
        <v>0</v>
      </c>
      <c r="DN222" s="72">
        <v>0</v>
      </c>
      <c r="DO222" s="72">
        <v>0</v>
      </c>
      <c r="DP222" s="72">
        <v>0</v>
      </c>
      <c r="DQ222" s="72">
        <v>0</v>
      </c>
      <c r="DR222" s="72">
        <v>0</v>
      </c>
      <c r="DS222" s="72">
        <v>0</v>
      </c>
      <c r="DT222" s="72">
        <v>0</v>
      </c>
      <c r="DU222" s="72">
        <v>0</v>
      </c>
      <c r="DV222" s="72">
        <v>0</v>
      </c>
      <c r="DW222" s="72">
        <v>0</v>
      </c>
      <c r="DX222" s="72">
        <v>0</v>
      </c>
      <c r="DY222" s="72">
        <v>0</v>
      </c>
      <c r="DZ222" s="72">
        <v>0</v>
      </c>
      <c r="EA222" s="72">
        <v>0</v>
      </c>
      <c r="EB222" s="72">
        <v>0</v>
      </c>
      <c r="EC222" s="72">
        <v>0</v>
      </c>
      <c r="ED222" s="72">
        <v>0</v>
      </c>
      <c r="EE222" s="72">
        <v>0</v>
      </c>
      <c r="EF222" s="72">
        <v>0</v>
      </c>
      <c r="EG222" s="72">
        <v>0</v>
      </c>
      <c r="EH222" s="72">
        <v>0</v>
      </c>
      <c r="EI222" s="72">
        <v>0</v>
      </c>
      <c r="EJ222" s="72">
        <v>0</v>
      </c>
      <c r="EK222" s="72">
        <v>0</v>
      </c>
      <c r="EL222" s="72">
        <v>0</v>
      </c>
    </row>
    <row r="223" spans="1:142" s="6" customFormat="1" x14ac:dyDescent="0.35">
      <c r="A223" s="59">
        <f>Данные!A223</f>
        <v>5791</v>
      </c>
      <c r="B223" s="59">
        <f>Данные!B223</f>
        <v>2018</v>
      </c>
      <c r="C223" s="59" t="str">
        <f>Данные!C223</f>
        <v>компьютерных технологий и электронного обучения</v>
      </c>
      <c r="D223" s="59" t="str">
        <f>Данные!D223</f>
        <v>Власова Елена Зотиковна</v>
      </c>
      <c r="E223" s="59" t="str">
        <f>Данные!E223</f>
        <v>доктор педагогических наук</v>
      </c>
      <c r="F223" s="59" t="str">
        <f>Данные!F223</f>
        <v>заведующий кафедрой</v>
      </c>
      <c r="G223" s="59">
        <f>Данные!G223</f>
        <v>1</v>
      </c>
      <c r="H223" s="59">
        <f>Данные!H223</f>
        <v>17236</v>
      </c>
      <c r="I223" s="59" t="str">
        <f>Данные!I223</f>
        <v>Модуль "Технологии и методы вычислений". Вычислительная математика</v>
      </c>
      <c r="J223" s="59">
        <f>Данные!J223</f>
        <v>14</v>
      </c>
      <c r="K223" s="59">
        <f>Данные!K223</f>
        <v>0</v>
      </c>
      <c r="L223" s="59">
        <f>Данные!L223</f>
        <v>36</v>
      </c>
      <c r="M223" s="60">
        <f t="shared" si="27"/>
        <v>5</v>
      </c>
      <c r="N223" s="60">
        <f t="shared" ca="1" si="28"/>
        <v>11.57</v>
      </c>
      <c r="O223" s="60">
        <f t="shared" ca="1" si="29"/>
        <v>7.25</v>
      </c>
      <c r="P223" s="60">
        <f t="shared" ca="1" si="30"/>
        <v>7.25</v>
      </c>
      <c r="Q223" s="54">
        <f>Данные!Q223</f>
        <v>0</v>
      </c>
      <c r="R223" s="54">
        <f>Данные!R223</f>
        <v>0</v>
      </c>
      <c r="S223" s="54">
        <f>Данные!S223</f>
        <v>0</v>
      </c>
      <c r="T223" s="54">
        <f>Данные!T223</f>
        <v>0</v>
      </c>
      <c r="U223" s="54">
        <f>Данные!U223</f>
        <v>0</v>
      </c>
      <c r="V223" s="54">
        <f>Данные!V223</f>
        <v>0</v>
      </c>
      <c r="W223" s="54">
        <f ca="1">Данные!W223</f>
        <v>29</v>
      </c>
      <c r="X223" s="54" t="str">
        <f ca="1">Данные!X223</f>
        <v>1</v>
      </c>
      <c r="Y223" s="54" t="str">
        <f ca="1">Данные!Y223</f>
        <v>2</v>
      </c>
      <c r="Z223" s="54">
        <f>Данные!Z223</f>
        <v>0</v>
      </c>
      <c r="AA223" s="54" t="str">
        <f>Данные!AA223</f>
        <v>осн</v>
      </c>
      <c r="AB223" s="101">
        <f t="shared" si="31"/>
        <v>700</v>
      </c>
      <c r="AC223" s="101" t="str">
        <f t="shared" si="32"/>
        <v>ИВТ (бак)</v>
      </c>
      <c r="AD223" s="101" t="str">
        <f t="shared" si="33"/>
        <v/>
      </c>
      <c r="AE223" s="102">
        <f t="shared" ca="1" si="34"/>
        <v>81.069999999999993</v>
      </c>
      <c r="AF223" s="103">
        <f t="shared" ca="1" si="35"/>
        <v>0.1158142857142857</v>
      </c>
      <c r="AG223" s="101"/>
      <c r="AH223" s="101"/>
      <c r="AI223"/>
      <c r="BQ223" s="72">
        <v>0</v>
      </c>
      <c r="BR223" s="72">
        <v>0</v>
      </c>
      <c r="BS223" s="72">
        <v>0</v>
      </c>
      <c r="BT223" s="72">
        <v>0</v>
      </c>
      <c r="BU223" s="72">
        <v>0</v>
      </c>
      <c r="BV223" s="72">
        <v>0</v>
      </c>
      <c r="BW223" s="72">
        <v>0</v>
      </c>
      <c r="BX223" s="72">
        <v>0</v>
      </c>
      <c r="BY223" s="72">
        <v>0</v>
      </c>
      <c r="BZ223" s="72">
        <v>0</v>
      </c>
      <c r="CA223" s="72">
        <v>0</v>
      </c>
      <c r="CB223" s="72">
        <v>0</v>
      </c>
      <c r="CC223" s="72">
        <v>0</v>
      </c>
      <c r="CD223" s="72">
        <v>0</v>
      </c>
      <c r="CE223" s="72">
        <v>0</v>
      </c>
      <c r="CF223" s="72">
        <v>0</v>
      </c>
      <c r="CG223" s="72">
        <v>0</v>
      </c>
      <c r="CH223" s="72">
        <v>0</v>
      </c>
      <c r="CI223" s="72">
        <v>0</v>
      </c>
      <c r="CJ223" s="72">
        <v>0</v>
      </c>
      <c r="CK223" s="72">
        <v>0</v>
      </c>
      <c r="CL223" s="72">
        <v>0</v>
      </c>
      <c r="CM223" s="72">
        <v>0</v>
      </c>
      <c r="CN223" s="72">
        <v>0</v>
      </c>
      <c r="CO223" s="72">
        <v>0</v>
      </c>
      <c r="CP223" s="72">
        <v>0</v>
      </c>
      <c r="CQ223" s="72">
        <v>0</v>
      </c>
      <c r="CR223" s="72">
        <v>0</v>
      </c>
      <c r="CS223" s="72">
        <v>0</v>
      </c>
      <c r="CT223" s="72">
        <v>0</v>
      </c>
      <c r="CU223" s="72">
        <v>0</v>
      </c>
      <c r="CV223" s="72">
        <v>0</v>
      </c>
      <c r="CW223" s="72">
        <v>0</v>
      </c>
      <c r="CX223" s="72">
        <v>0</v>
      </c>
      <c r="CY223" s="72">
        <v>0</v>
      </c>
      <c r="CZ223" s="72">
        <v>0</v>
      </c>
      <c r="DA223" s="72">
        <v>0</v>
      </c>
      <c r="DB223" s="72">
        <v>0</v>
      </c>
      <c r="DC223" s="72">
        <v>0</v>
      </c>
      <c r="DD223" s="72">
        <v>0</v>
      </c>
      <c r="DE223" s="72">
        <v>0</v>
      </c>
      <c r="DF223" s="72">
        <v>0</v>
      </c>
      <c r="DG223" s="72">
        <v>0</v>
      </c>
      <c r="DH223" s="72">
        <v>0</v>
      </c>
      <c r="DI223" s="72">
        <v>0</v>
      </c>
      <c r="DJ223" s="72">
        <v>0</v>
      </c>
      <c r="DK223" s="72">
        <v>0</v>
      </c>
      <c r="DL223" s="72">
        <v>0</v>
      </c>
      <c r="DM223" s="72">
        <v>0</v>
      </c>
      <c r="DN223" s="72">
        <v>0</v>
      </c>
      <c r="DO223" s="72">
        <v>0</v>
      </c>
      <c r="DP223" s="72">
        <v>0</v>
      </c>
      <c r="DQ223" s="72">
        <v>0</v>
      </c>
      <c r="DR223" s="72">
        <v>0</v>
      </c>
      <c r="DS223" s="72">
        <v>0</v>
      </c>
      <c r="DT223" s="72">
        <v>0</v>
      </c>
      <c r="DU223" s="72">
        <v>0</v>
      </c>
      <c r="DV223" s="72">
        <v>0</v>
      </c>
      <c r="DW223" s="72">
        <v>0</v>
      </c>
      <c r="DX223" s="72">
        <v>0</v>
      </c>
      <c r="DY223" s="72">
        <v>0</v>
      </c>
      <c r="DZ223" s="72">
        <v>0</v>
      </c>
      <c r="EA223" s="72">
        <v>0</v>
      </c>
      <c r="EB223" s="72">
        <v>0</v>
      </c>
      <c r="EC223" s="72">
        <v>0</v>
      </c>
      <c r="ED223" s="72">
        <v>0</v>
      </c>
      <c r="EE223" s="72">
        <v>0</v>
      </c>
      <c r="EF223" s="72">
        <v>0</v>
      </c>
      <c r="EG223" s="72">
        <v>0</v>
      </c>
      <c r="EH223" s="72">
        <v>0</v>
      </c>
      <c r="EI223" s="72">
        <v>0</v>
      </c>
      <c r="EJ223" s="72">
        <v>0</v>
      </c>
      <c r="EK223" s="72">
        <v>0</v>
      </c>
      <c r="EL223" s="72">
        <v>0</v>
      </c>
    </row>
    <row r="224" spans="1:142" s="6" customFormat="1" x14ac:dyDescent="0.35">
      <c r="A224" s="59">
        <f>Данные!A224</f>
        <v>5791</v>
      </c>
      <c r="B224" s="59">
        <f>Данные!B224</f>
        <v>2018</v>
      </c>
      <c r="C224" s="59" t="str">
        <f>Данные!C224</f>
        <v>компьютерных технологий и электронного обучения</v>
      </c>
      <c r="D224" s="59" t="str">
        <f>Данные!D224</f>
        <v>Власова Елена Зотиковна</v>
      </c>
      <c r="E224" s="59" t="str">
        <f>Данные!E224</f>
        <v>доктор педагогических наук</v>
      </c>
      <c r="F224" s="59" t="str">
        <f>Данные!F224</f>
        <v>заведующий кафедрой</v>
      </c>
      <c r="G224" s="59">
        <f>Данные!G224</f>
        <v>1</v>
      </c>
      <c r="H224" s="59">
        <f>Данные!H224</f>
        <v>17236</v>
      </c>
      <c r="I224" s="59" t="str">
        <f>Данные!I224</f>
        <v>Модуль "Технологии и методы вычислений". Технологии компьютерного моделирования</v>
      </c>
      <c r="J224" s="59">
        <f>Данные!J224</f>
        <v>0</v>
      </c>
      <c r="K224" s="59">
        <f>Данные!K224</f>
        <v>0</v>
      </c>
      <c r="L224" s="59">
        <f>Данные!L224</f>
        <v>81</v>
      </c>
      <c r="M224" s="60">
        <f t="shared" si="27"/>
        <v>8.1</v>
      </c>
      <c r="N224" s="60">
        <f t="shared" ca="1" si="28"/>
        <v>11.57</v>
      </c>
      <c r="O224" s="60">
        <f t="shared" ca="1" si="29"/>
        <v>7.25</v>
      </c>
      <c r="P224" s="60">
        <f t="shared" ca="1" si="30"/>
        <v>7.25</v>
      </c>
      <c r="Q224" s="54">
        <f>Данные!Q224</f>
        <v>32</v>
      </c>
      <c r="R224" s="54">
        <f>Данные!R224</f>
        <v>0</v>
      </c>
      <c r="S224" s="54">
        <f>Данные!S224</f>
        <v>0</v>
      </c>
      <c r="T224" s="54">
        <f>Данные!T224</f>
        <v>0</v>
      </c>
      <c r="U224" s="54">
        <f>Данные!U224</f>
        <v>0</v>
      </c>
      <c r="V224" s="54">
        <f>Данные!V224</f>
        <v>0</v>
      </c>
      <c r="W224" s="54">
        <f ca="1">Данные!W224</f>
        <v>29</v>
      </c>
      <c r="X224" s="54" t="str">
        <f ca="1">Данные!X224</f>
        <v>1</v>
      </c>
      <c r="Y224" s="54" t="str">
        <f ca="1">Данные!Y224</f>
        <v>2</v>
      </c>
      <c r="Z224" s="54">
        <f>Данные!Z224</f>
        <v>0</v>
      </c>
      <c r="AA224" s="54" t="str">
        <f>Данные!AA224</f>
        <v>осн</v>
      </c>
      <c r="AB224" s="101">
        <f t="shared" si="31"/>
        <v>700</v>
      </c>
      <c r="AC224" s="101" t="str">
        <f t="shared" si="32"/>
        <v>ИВТ (бак)</v>
      </c>
      <c r="AD224" s="101" t="str">
        <f t="shared" si="33"/>
        <v/>
      </c>
      <c r="AE224" s="102">
        <f t="shared" ca="1" si="34"/>
        <v>147.16999999999999</v>
      </c>
      <c r="AF224" s="103">
        <f t="shared" ca="1" si="35"/>
        <v>0.21024285714285712</v>
      </c>
      <c r="AG224" s="101"/>
      <c r="AH224" s="101"/>
      <c r="AI224"/>
      <c r="BQ224" s="72">
        <v>0</v>
      </c>
      <c r="BR224" s="72">
        <v>0</v>
      </c>
      <c r="BS224" s="72">
        <v>0</v>
      </c>
      <c r="BT224" s="72">
        <v>0</v>
      </c>
      <c r="BU224" s="72">
        <v>0</v>
      </c>
      <c r="BV224" s="72">
        <v>0</v>
      </c>
      <c r="BW224" s="72">
        <v>0</v>
      </c>
      <c r="BX224" s="72">
        <v>0</v>
      </c>
      <c r="BY224" s="72">
        <v>0</v>
      </c>
      <c r="BZ224" s="72">
        <v>0</v>
      </c>
      <c r="CA224" s="72">
        <v>0</v>
      </c>
      <c r="CB224" s="72">
        <v>0</v>
      </c>
      <c r="CC224" s="72">
        <v>0</v>
      </c>
      <c r="CD224" s="72">
        <v>0</v>
      </c>
      <c r="CE224" s="72">
        <v>0</v>
      </c>
      <c r="CF224" s="72">
        <v>0</v>
      </c>
      <c r="CG224" s="72">
        <v>0</v>
      </c>
      <c r="CH224" s="72">
        <v>0</v>
      </c>
      <c r="CI224" s="72">
        <v>0</v>
      </c>
      <c r="CJ224" s="72">
        <v>0</v>
      </c>
      <c r="CK224" s="72">
        <v>0</v>
      </c>
      <c r="CL224" s="72">
        <v>0</v>
      </c>
      <c r="CM224" s="72">
        <v>0</v>
      </c>
      <c r="CN224" s="72">
        <v>0</v>
      </c>
      <c r="CO224" s="72">
        <v>0</v>
      </c>
      <c r="CP224" s="72">
        <v>0</v>
      </c>
      <c r="CQ224" s="72">
        <v>0</v>
      </c>
      <c r="CR224" s="72">
        <v>0</v>
      </c>
      <c r="CS224" s="72">
        <v>0</v>
      </c>
      <c r="CT224" s="72">
        <v>0</v>
      </c>
      <c r="CU224" s="72">
        <v>0</v>
      </c>
      <c r="CV224" s="72">
        <v>0</v>
      </c>
      <c r="CW224" s="72">
        <v>0</v>
      </c>
      <c r="CX224" s="72">
        <v>0</v>
      </c>
      <c r="CY224" s="72">
        <v>0</v>
      </c>
      <c r="CZ224" s="72">
        <v>0</v>
      </c>
      <c r="DA224" s="72">
        <v>0</v>
      </c>
      <c r="DB224" s="72">
        <v>0</v>
      </c>
      <c r="DC224" s="72">
        <v>0</v>
      </c>
      <c r="DD224" s="72">
        <v>0</v>
      </c>
      <c r="DE224" s="72">
        <v>0</v>
      </c>
      <c r="DF224" s="72">
        <v>0</v>
      </c>
      <c r="DG224" s="72">
        <v>0</v>
      </c>
      <c r="DH224" s="72">
        <v>0</v>
      </c>
      <c r="DI224" s="72">
        <v>0</v>
      </c>
      <c r="DJ224" s="72">
        <v>0</v>
      </c>
      <c r="DK224" s="72">
        <v>0</v>
      </c>
      <c r="DL224" s="72">
        <v>0</v>
      </c>
      <c r="DM224" s="72">
        <v>0</v>
      </c>
      <c r="DN224" s="72">
        <v>0</v>
      </c>
      <c r="DO224" s="72">
        <v>0</v>
      </c>
      <c r="DP224" s="72">
        <v>0</v>
      </c>
      <c r="DQ224" s="72">
        <v>0</v>
      </c>
      <c r="DR224" s="72">
        <v>0</v>
      </c>
      <c r="DS224" s="72">
        <v>0</v>
      </c>
      <c r="DT224" s="72">
        <v>0</v>
      </c>
      <c r="DU224" s="72">
        <v>0</v>
      </c>
      <c r="DV224" s="72">
        <v>0</v>
      </c>
      <c r="DW224" s="72">
        <v>0</v>
      </c>
      <c r="DX224" s="72">
        <v>0</v>
      </c>
      <c r="DY224" s="72">
        <v>0</v>
      </c>
      <c r="DZ224" s="72">
        <v>0</v>
      </c>
      <c r="EA224" s="72">
        <v>0</v>
      </c>
      <c r="EB224" s="72">
        <v>0</v>
      </c>
      <c r="EC224" s="72">
        <v>0</v>
      </c>
      <c r="ED224" s="72">
        <v>0</v>
      </c>
      <c r="EE224" s="72">
        <v>0</v>
      </c>
      <c r="EF224" s="72">
        <v>0</v>
      </c>
      <c r="EG224" s="72">
        <v>0</v>
      </c>
      <c r="EH224" s="72">
        <v>0</v>
      </c>
      <c r="EI224" s="72">
        <v>0</v>
      </c>
      <c r="EJ224" s="72">
        <v>0</v>
      </c>
      <c r="EK224" s="72">
        <v>0</v>
      </c>
      <c r="EL224" s="72">
        <v>0</v>
      </c>
    </row>
    <row r="225" spans="1:142" s="6" customFormat="1" x14ac:dyDescent="0.35">
      <c r="A225" s="59">
        <f>Данные!A225</f>
        <v>5791</v>
      </c>
      <c r="B225" s="59">
        <f>Данные!B225</f>
        <v>2018</v>
      </c>
      <c r="C225" s="59" t="str">
        <f>Данные!C225</f>
        <v>компьютерных технологий и электронного обучения</v>
      </c>
      <c r="D225" s="59" t="str">
        <f>Данные!D225</f>
        <v>Власова Елена Зотиковна</v>
      </c>
      <c r="E225" s="59" t="str">
        <f>Данные!E225</f>
        <v>доктор педагогических наук</v>
      </c>
      <c r="F225" s="59" t="str">
        <f>Данные!F225</f>
        <v>заведующий кафедрой</v>
      </c>
      <c r="G225" s="59">
        <f>Данные!G225</f>
        <v>1</v>
      </c>
      <c r="H225" s="59">
        <f>Данные!H225</f>
        <v>17236</v>
      </c>
      <c r="I225" s="59" t="str">
        <f>Данные!I225</f>
        <v>Модуль "Технологии и методы вычислений". Технологии компьютерного моделирования</v>
      </c>
      <c r="J225" s="59">
        <f>Данные!J225</f>
        <v>14</v>
      </c>
      <c r="K225" s="59">
        <f>Данные!K225</f>
        <v>0</v>
      </c>
      <c r="L225" s="59">
        <f>Данные!L225</f>
        <v>0</v>
      </c>
      <c r="M225" s="60">
        <f t="shared" si="27"/>
        <v>1.4</v>
      </c>
      <c r="N225" s="60">
        <f t="shared" ca="1" si="28"/>
        <v>11.57</v>
      </c>
      <c r="O225" s="60">
        <f t="shared" ca="1" si="29"/>
        <v>7.25</v>
      </c>
      <c r="P225" s="60">
        <f t="shared" ca="1" si="30"/>
        <v>7.25</v>
      </c>
      <c r="Q225" s="54">
        <f>Данные!Q225</f>
        <v>0</v>
      </c>
      <c r="R225" s="54">
        <f>Данные!R225</f>
        <v>0</v>
      </c>
      <c r="S225" s="54">
        <f>Данные!S225</f>
        <v>0</v>
      </c>
      <c r="T225" s="54">
        <f>Данные!T225</f>
        <v>0</v>
      </c>
      <c r="U225" s="54">
        <f>Данные!U225</f>
        <v>0</v>
      </c>
      <c r="V225" s="54">
        <f>Данные!V225</f>
        <v>0</v>
      </c>
      <c r="W225" s="54">
        <f ca="1">Данные!W225</f>
        <v>29</v>
      </c>
      <c r="X225" s="54" t="str">
        <f ca="1">Данные!X225</f>
        <v>1</v>
      </c>
      <c r="Y225" s="54" t="str">
        <f ca="1">Данные!Y225</f>
        <v>2</v>
      </c>
      <c r="Z225" s="54">
        <f>Данные!Z225</f>
        <v>0</v>
      </c>
      <c r="AA225" s="54" t="str">
        <f>Данные!AA225</f>
        <v>осн</v>
      </c>
      <c r="AB225" s="101">
        <f t="shared" si="31"/>
        <v>700</v>
      </c>
      <c r="AC225" s="101" t="str">
        <f t="shared" si="32"/>
        <v>ИВТ (бак)</v>
      </c>
      <c r="AD225" s="101" t="str">
        <f t="shared" si="33"/>
        <v/>
      </c>
      <c r="AE225" s="102">
        <f t="shared" ca="1" si="34"/>
        <v>41.47</v>
      </c>
      <c r="AF225" s="103">
        <f t="shared" ca="1" si="35"/>
        <v>5.9242857142857139E-2</v>
      </c>
      <c r="AG225" s="101"/>
      <c r="AH225" s="101"/>
      <c r="AI225"/>
      <c r="BQ225" s="72">
        <v>0</v>
      </c>
      <c r="BR225" s="72">
        <v>0</v>
      </c>
      <c r="BS225" s="72">
        <v>0</v>
      </c>
      <c r="BT225" s="72">
        <v>0</v>
      </c>
      <c r="BU225" s="72">
        <v>0</v>
      </c>
      <c r="BV225" s="72">
        <v>0</v>
      </c>
      <c r="BW225" s="72">
        <v>0</v>
      </c>
      <c r="BX225" s="72">
        <v>0</v>
      </c>
      <c r="BY225" s="72">
        <v>0</v>
      </c>
      <c r="BZ225" s="72">
        <v>0</v>
      </c>
      <c r="CA225" s="72">
        <v>0</v>
      </c>
      <c r="CB225" s="72">
        <v>0</v>
      </c>
      <c r="CC225" s="72">
        <v>0</v>
      </c>
      <c r="CD225" s="72">
        <v>0</v>
      </c>
      <c r="CE225" s="72">
        <v>0</v>
      </c>
      <c r="CF225" s="72">
        <v>0</v>
      </c>
      <c r="CG225" s="72">
        <v>0</v>
      </c>
      <c r="CH225" s="72">
        <v>0</v>
      </c>
      <c r="CI225" s="72">
        <v>0</v>
      </c>
      <c r="CJ225" s="72">
        <v>0</v>
      </c>
      <c r="CK225" s="72">
        <v>0</v>
      </c>
      <c r="CL225" s="72">
        <v>0</v>
      </c>
      <c r="CM225" s="72">
        <v>0</v>
      </c>
      <c r="CN225" s="72">
        <v>0</v>
      </c>
      <c r="CO225" s="72">
        <v>0</v>
      </c>
      <c r="CP225" s="72">
        <v>0</v>
      </c>
      <c r="CQ225" s="72">
        <v>0</v>
      </c>
      <c r="CR225" s="72">
        <v>0</v>
      </c>
      <c r="CS225" s="72">
        <v>0</v>
      </c>
      <c r="CT225" s="72">
        <v>0</v>
      </c>
      <c r="CU225" s="72">
        <v>0</v>
      </c>
      <c r="CV225" s="72">
        <v>0</v>
      </c>
      <c r="CW225" s="72">
        <v>0</v>
      </c>
      <c r="CX225" s="72">
        <v>0</v>
      </c>
      <c r="CY225" s="72">
        <v>0</v>
      </c>
      <c r="CZ225" s="72">
        <v>0</v>
      </c>
      <c r="DA225" s="72">
        <v>0</v>
      </c>
      <c r="DB225" s="72">
        <v>0</v>
      </c>
      <c r="DC225" s="72">
        <v>0</v>
      </c>
      <c r="DD225" s="72">
        <v>0</v>
      </c>
      <c r="DE225" s="72">
        <v>0</v>
      </c>
      <c r="DF225" s="72">
        <v>0</v>
      </c>
      <c r="DG225" s="72">
        <v>0</v>
      </c>
      <c r="DH225" s="72">
        <v>0</v>
      </c>
      <c r="DI225" s="72">
        <v>0</v>
      </c>
      <c r="DJ225" s="72">
        <v>0</v>
      </c>
      <c r="DK225" s="72">
        <v>0</v>
      </c>
      <c r="DL225" s="72">
        <v>0</v>
      </c>
      <c r="DM225" s="72">
        <v>0</v>
      </c>
      <c r="DN225" s="72">
        <v>0</v>
      </c>
      <c r="DO225" s="72">
        <v>0</v>
      </c>
      <c r="DP225" s="72">
        <v>0</v>
      </c>
      <c r="DQ225" s="72">
        <v>0</v>
      </c>
      <c r="DR225" s="72">
        <v>0</v>
      </c>
      <c r="DS225" s="72">
        <v>0</v>
      </c>
      <c r="DT225" s="72">
        <v>0</v>
      </c>
      <c r="DU225" s="72">
        <v>0</v>
      </c>
      <c r="DV225" s="72">
        <v>0</v>
      </c>
      <c r="DW225" s="72">
        <v>0</v>
      </c>
      <c r="DX225" s="72">
        <v>0</v>
      </c>
      <c r="DY225" s="72">
        <v>0</v>
      </c>
      <c r="DZ225" s="72">
        <v>0</v>
      </c>
      <c r="EA225" s="72">
        <v>0</v>
      </c>
      <c r="EB225" s="72">
        <v>0</v>
      </c>
      <c r="EC225" s="72">
        <v>0</v>
      </c>
      <c r="ED225" s="72">
        <v>0</v>
      </c>
      <c r="EE225" s="72">
        <v>0</v>
      </c>
      <c r="EF225" s="72">
        <v>0</v>
      </c>
      <c r="EG225" s="72">
        <v>0</v>
      </c>
      <c r="EH225" s="72">
        <v>0</v>
      </c>
      <c r="EI225" s="72">
        <v>0</v>
      </c>
      <c r="EJ225" s="72">
        <v>0</v>
      </c>
      <c r="EK225" s="72">
        <v>0</v>
      </c>
      <c r="EL225" s="72">
        <v>0</v>
      </c>
    </row>
    <row r="226" spans="1:142" s="6" customFormat="1" x14ac:dyDescent="0.35">
      <c r="A226" s="59">
        <f>Данные!A226</f>
        <v>5791</v>
      </c>
      <c r="B226" s="59">
        <f>Данные!B226</f>
        <v>2018</v>
      </c>
      <c r="C226" s="59" t="str">
        <f>Данные!C226</f>
        <v>компьютерных технологий и электронного обучения</v>
      </c>
      <c r="D226" s="59" t="str">
        <f>Данные!D226</f>
        <v>Гончарова Светлана Викторовна</v>
      </c>
      <c r="E226" s="59" t="str">
        <f>Данные!E226</f>
        <v>кандидат педагогических наук</v>
      </c>
      <c r="F226" s="59" t="str">
        <f>Данные!F226</f>
        <v>доцент</v>
      </c>
      <c r="G226" s="59">
        <f>Данные!G226</f>
        <v>1</v>
      </c>
      <c r="H226" s="59">
        <f>Данные!H226</f>
        <v>17236</v>
      </c>
      <c r="I226" s="59" t="str">
        <f>Данные!I226</f>
        <v>Модуль "Системное и прикладное программное обеспечение". Программирование</v>
      </c>
      <c r="J226" s="59">
        <f>Данные!J226</f>
        <v>18</v>
      </c>
      <c r="K226" s="59">
        <f>Данные!K226</f>
        <v>0</v>
      </c>
      <c r="L226" s="59">
        <f>Данные!L226</f>
        <v>0</v>
      </c>
      <c r="M226" s="60">
        <f t="shared" si="27"/>
        <v>1.8</v>
      </c>
      <c r="N226" s="60">
        <f t="shared" ca="1" si="28"/>
        <v>11.57</v>
      </c>
      <c r="O226" s="60">
        <f t="shared" ca="1" si="29"/>
        <v>7.25</v>
      </c>
      <c r="P226" s="60">
        <f t="shared" ca="1" si="30"/>
        <v>7.25</v>
      </c>
      <c r="Q226" s="54">
        <f>Данные!Q226</f>
        <v>0</v>
      </c>
      <c r="R226" s="54">
        <f>Данные!R226</f>
        <v>0</v>
      </c>
      <c r="S226" s="54">
        <f>Данные!S226</f>
        <v>0</v>
      </c>
      <c r="T226" s="54">
        <f>Данные!T226</f>
        <v>0</v>
      </c>
      <c r="U226" s="54">
        <f>Данные!U226</f>
        <v>0</v>
      </c>
      <c r="V226" s="54">
        <f>Данные!V226</f>
        <v>0</v>
      </c>
      <c r="W226" s="54">
        <f ca="1">Данные!W226</f>
        <v>29</v>
      </c>
      <c r="X226" s="54" t="str">
        <f ca="1">Данные!X226</f>
        <v>1</v>
      </c>
      <c r="Y226" s="54" t="str">
        <f ca="1">Данные!Y226</f>
        <v>2</v>
      </c>
      <c r="Z226" s="54">
        <f>Данные!Z226</f>
        <v>0</v>
      </c>
      <c r="AA226" s="54" t="str">
        <f>Данные!AA226</f>
        <v>осн</v>
      </c>
      <c r="AB226" s="101">
        <f t="shared" si="31"/>
        <v>800</v>
      </c>
      <c r="AC226" s="101" t="str">
        <f t="shared" si="32"/>
        <v>ИВТ (бак)</v>
      </c>
      <c r="AD226" s="101" t="str">
        <f t="shared" si="33"/>
        <v/>
      </c>
      <c r="AE226" s="102">
        <f t="shared" ca="1" si="34"/>
        <v>45.870000000000005</v>
      </c>
      <c r="AF226" s="103">
        <f t="shared" ca="1" si="35"/>
        <v>5.7337500000000007E-2</v>
      </c>
      <c r="AG226" s="101"/>
      <c r="AH226" s="101"/>
      <c r="AI226"/>
      <c r="BQ226" s="72">
        <v>0</v>
      </c>
      <c r="BR226" s="72">
        <v>0</v>
      </c>
      <c r="BS226" s="72">
        <v>0</v>
      </c>
      <c r="BT226" s="72">
        <v>0</v>
      </c>
      <c r="BU226" s="72">
        <v>0</v>
      </c>
      <c r="BV226" s="72">
        <v>0</v>
      </c>
      <c r="BW226" s="72">
        <v>0</v>
      </c>
      <c r="BX226" s="72">
        <v>0</v>
      </c>
      <c r="BY226" s="72">
        <v>0</v>
      </c>
      <c r="BZ226" s="72">
        <v>0</v>
      </c>
      <c r="CA226" s="72">
        <v>0</v>
      </c>
      <c r="CB226" s="72">
        <v>0</v>
      </c>
      <c r="CC226" s="72">
        <v>0</v>
      </c>
      <c r="CD226" s="72">
        <v>0</v>
      </c>
      <c r="CE226" s="72">
        <v>0</v>
      </c>
      <c r="CF226" s="72">
        <v>0</v>
      </c>
      <c r="CG226" s="72">
        <v>0</v>
      </c>
      <c r="CH226" s="72">
        <v>0</v>
      </c>
      <c r="CI226" s="72">
        <v>0</v>
      </c>
      <c r="CJ226" s="72">
        <v>0</v>
      </c>
      <c r="CK226" s="72">
        <v>0</v>
      </c>
      <c r="CL226" s="72">
        <v>0</v>
      </c>
      <c r="CM226" s="72">
        <v>0</v>
      </c>
      <c r="CN226" s="72">
        <v>0</v>
      </c>
      <c r="CO226" s="72">
        <v>0</v>
      </c>
      <c r="CP226" s="72">
        <v>0</v>
      </c>
      <c r="CQ226" s="72">
        <v>0</v>
      </c>
      <c r="CR226" s="72">
        <v>0</v>
      </c>
      <c r="CS226" s="72">
        <v>0</v>
      </c>
      <c r="CT226" s="72">
        <v>0</v>
      </c>
      <c r="CU226" s="72">
        <v>0</v>
      </c>
      <c r="CV226" s="72">
        <v>0</v>
      </c>
      <c r="CW226" s="72">
        <v>0</v>
      </c>
      <c r="CX226" s="72">
        <v>0</v>
      </c>
      <c r="CY226" s="72">
        <v>0</v>
      </c>
      <c r="CZ226" s="72">
        <v>0</v>
      </c>
      <c r="DA226" s="72">
        <v>0</v>
      </c>
      <c r="DB226" s="72">
        <v>0</v>
      </c>
      <c r="DC226" s="72">
        <v>0</v>
      </c>
      <c r="DD226" s="72">
        <v>0</v>
      </c>
      <c r="DE226" s="72">
        <v>0</v>
      </c>
      <c r="DF226" s="72">
        <v>0</v>
      </c>
      <c r="DG226" s="72">
        <v>0</v>
      </c>
      <c r="DH226" s="72">
        <v>0</v>
      </c>
      <c r="DI226" s="72">
        <v>0</v>
      </c>
      <c r="DJ226" s="72">
        <v>0</v>
      </c>
      <c r="DK226" s="72">
        <v>0</v>
      </c>
      <c r="DL226" s="72">
        <v>0</v>
      </c>
      <c r="DM226" s="72">
        <v>0</v>
      </c>
      <c r="DN226" s="72">
        <v>0</v>
      </c>
      <c r="DO226" s="72">
        <v>0</v>
      </c>
      <c r="DP226" s="72">
        <v>0</v>
      </c>
      <c r="DQ226" s="72">
        <v>0</v>
      </c>
      <c r="DR226" s="72">
        <v>0</v>
      </c>
      <c r="DS226" s="72">
        <v>0</v>
      </c>
      <c r="DT226" s="72">
        <v>0</v>
      </c>
      <c r="DU226" s="72">
        <v>0</v>
      </c>
      <c r="DV226" s="72">
        <v>0</v>
      </c>
      <c r="DW226" s="72">
        <v>0</v>
      </c>
      <c r="DX226" s="72">
        <v>0</v>
      </c>
      <c r="DY226" s="72">
        <v>0</v>
      </c>
      <c r="DZ226" s="72">
        <v>0</v>
      </c>
      <c r="EA226" s="72">
        <v>0</v>
      </c>
      <c r="EB226" s="72">
        <v>0</v>
      </c>
      <c r="EC226" s="72">
        <v>0</v>
      </c>
      <c r="ED226" s="72">
        <v>0</v>
      </c>
      <c r="EE226" s="72">
        <v>0</v>
      </c>
      <c r="EF226" s="72">
        <v>0</v>
      </c>
      <c r="EG226" s="72">
        <v>0</v>
      </c>
      <c r="EH226" s="72">
        <v>0</v>
      </c>
      <c r="EI226" s="72">
        <v>0</v>
      </c>
      <c r="EJ226" s="72">
        <v>0</v>
      </c>
      <c r="EK226" s="72">
        <v>0</v>
      </c>
      <c r="EL226" s="72">
        <v>0</v>
      </c>
    </row>
    <row r="227" spans="1:142" s="6" customFormat="1" x14ac:dyDescent="0.35">
      <c r="A227" s="59">
        <f>Данные!A227</f>
        <v>5791</v>
      </c>
      <c r="B227" s="59">
        <f>Данные!B227</f>
        <v>2018</v>
      </c>
      <c r="C227" s="59" t="str">
        <f>Данные!C227</f>
        <v>компьютерных технологий и электронного обучения</v>
      </c>
      <c r="D227" s="59" t="str">
        <f>Данные!D227</f>
        <v>Гончарова Светлана Викторовна</v>
      </c>
      <c r="E227" s="59" t="str">
        <f>Данные!E227</f>
        <v>кандидат педагогических наук</v>
      </c>
      <c r="F227" s="59" t="str">
        <f>Данные!F227</f>
        <v>доцент</v>
      </c>
      <c r="G227" s="59">
        <f>Данные!G227</f>
        <v>1</v>
      </c>
      <c r="H227" s="59">
        <f>Данные!H227</f>
        <v>17236</v>
      </c>
      <c r="I227" s="59" t="str">
        <f>Данные!I227</f>
        <v>Модуль "Технологии и методы вычислений". Анализ данных</v>
      </c>
      <c r="J227" s="59">
        <f>Данные!J227</f>
        <v>0</v>
      </c>
      <c r="K227" s="59">
        <f>Данные!K227</f>
        <v>0</v>
      </c>
      <c r="L227" s="59">
        <f>Данные!L227</f>
        <v>36</v>
      </c>
      <c r="M227" s="60">
        <f t="shared" si="27"/>
        <v>3.6</v>
      </c>
      <c r="N227" s="60">
        <f t="shared" ca="1" si="28"/>
        <v>11.57</v>
      </c>
      <c r="O227" s="60">
        <f t="shared" ca="1" si="29"/>
        <v>7.25</v>
      </c>
      <c r="P227" s="60">
        <f t="shared" ca="1" si="30"/>
        <v>7.25</v>
      </c>
      <c r="Q227" s="54">
        <f>Данные!Q227</f>
        <v>0</v>
      </c>
      <c r="R227" s="54">
        <f>Данные!R227</f>
        <v>0</v>
      </c>
      <c r="S227" s="54">
        <f>Данные!S227</f>
        <v>0</v>
      </c>
      <c r="T227" s="54">
        <f>Данные!T227</f>
        <v>0</v>
      </c>
      <c r="U227" s="54">
        <f>Данные!U227</f>
        <v>0</v>
      </c>
      <c r="V227" s="54">
        <f>Данные!V227</f>
        <v>0</v>
      </c>
      <c r="W227" s="54">
        <f ca="1">Данные!W227</f>
        <v>29</v>
      </c>
      <c r="X227" s="54" t="str">
        <f ca="1">Данные!X227</f>
        <v>1</v>
      </c>
      <c r="Y227" s="54" t="str">
        <f ca="1">Данные!Y227</f>
        <v>2</v>
      </c>
      <c r="Z227" s="54">
        <f>Данные!Z227</f>
        <v>0</v>
      </c>
      <c r="AA227" s="54" t="str">
        <f>Данные!AA227</f>
        <v>осн</v>
      </c>
      <c r="AB227" s="101">
        <f t="shared" si="31"/>
        <v>800</v>
      </c>
      <c r="AC227" s="101" t="str">
        <f t="shared" si="32"/>
        <v>ИВТ (бак)</v>
      </c>
      <c r="AD227" s="101" t="str">
        <f t="shared" si="33"/>
        <v/>
      </c>
      <c r="AE227" s="102">
        <f t="shared" ca="1" si="34"/>
        <v>65.67</v>
      </c>
      <c r="AF227" s="103">
        <f t="shared" ca="1" si="35"/>
        <v>8.2087500000000008E-2</v>
      </c>
      <c r="AG227" s="101"/>
      <c r="AH227" s="101"/>
      <c r="AI227"/>
      <c r="BQ227" s="72">
        <v>0</v>
      </c>
      <c r="BR227" s="72">
        <v>0</v>
      </c>
      <c r="BS227" s="72">
        <v>0</v>
      </c>
      <c r="BT227" s="72">
        <v>0</v>
      </c>
      <c r="BU227" s="72">
        <v>0</v>
      </c>
      <c r="BV227" s="72">
        <v>0</v>
      </c>
      <c r="BW227" s="72">
        <v>0</v>
      </c>
      <c r="BX227" s="72">
        <v>0</v>
      </c>
      <c r="BY227" s="72">
        <v>0</v>
      </c>
      <c r="BZ227" s="72">
        <v>0</v>
      </c>
      <c r="CA227" s="72">
        <v>0</v>
      </c>
      <c r="CB227" s="72">
        <v>0</v>
      </c>
      <c r="CC227" s="72">
        <v>0</v>
      </c>
      <c r="CD227" s="72">
        <v>0</v>
      </c>
      <c r="CE227" s="72">
        <v>0</v>
      </c>
      <c r="CF227" s="72">
        <v>0</v>
      </c>
      <c r="CG227" s="72">
        <v>0</v>
      </c>
      <c r="CH227" s="72">
        <v>0</v>
      </c>
      <c r="CI227" s="72">
        <v>0</v>
      </c>
      <c r="CJ227" s="72">
        <v>0</v>
      </c>
      <c r="CK227" s="72">
        <v>0</v>
      </c>
      <c r="CL227" s="72">
        <v>0</v>
      </c>
      <c r="CM227" s="72">
        <v>0</v>
      </c>
      <c r="CN227" s="72">
        <v>0</v>
      </c>
      <c r="CO227" s="72">
        <v>0</v>
      </c>
      <c r="CP227" s="72">
        <v>0</v>
      </c>
      <c r="CQ227" s="72">
        <v>0</v>
      </c>
      <c r="CR227" s="72">
        <v>0</v>
      </c>
      <c r="CS227" s="72">
        <v>0</v>
      </c>
      <c r="CT227" s="72">
        <v>0</v>
      </c>
      <c r="CU227" s="72">
        <v>0</v>
      </c>
      <c r="CV227" s="72">
        <v>0</v>
      </c>
      <c r="CW227" s="72">
        <v>0</v>
      </c>
      <c r="CX227" s="72">
        <v>0</v>
      </c>
      <c r="CY227" s="72">
        <v>0</v>
      </c>
      <c r="CZ227" s="72">
        <v>0</v>
      </c>
      <c r="DA227" s="72">
        <v>0</v>
      </c>
      <c r="DB227" s="72">
        <v>0</v>
      </c>
      <c r="DC227" s="72">
        <v>0</v>
      </c>
      <c r="DD227" s="72">
        <v>0</v>
      </c>
      <c r="DE227" s="72">
        <v>0</v>
      </c>
      <c r="DF227" s="72">
        <v>0</v>
      </c>
      <c r="DG227" s="72">
        <v>0</v>
      </c>
      <c r="DH227" s="72">
        <v>0</v>
      </c>
      <c r="DI227" s="72">
        <v>0</v>
      </c>
      <c r="DJ227" s="72">
        <v>0</v>
      </c>
      <c r="DK227" s="72">
        <v>0</v>
      </c>
      <c r="DL227" s="72">
        <v>0</v>
      </c>
      <c r="DM227" s="72">
        <v>0</v>
      </c>
      <c r="DN227" s="72">
        <v>0</v>
      </c>
      <c r="DO227" s="72">
        <v>0</v>
      </c>
      <c r="DP227" s="72">
        <v>0</v>
      </c>
      <c r="DQ227" s="72">
        <v>0</v>
      </c>
      <c r="DR227" s="72">
        <v>0</v>
      </c>
      <c r="DS227" s="72">
        <v>0</v>
      </c>
      <c r="DT227" s="72">
        <v>0</v>
      </c>
      <c r="DU227" s="72">
        <v>0</v>
      </c>
      <c r="DV227" s="72">
        <v>0</v>
      </c>
      <c r="DW227" s="72">
        <v>0</v>
      </c>
      <c r="DX227" s="72">
        <v>0</v>
      </c>
      <c r="DY227" s="72">
        <v>0</v>
      </c>
      <c r="DZ227" s="72">
        <v>0</v>
      </c>
      <c r="EA227" s="72">
        <v>0</v>
      </c>
      <c r="EB227" s="72">
        <v>0</v>
      </c>
      <c r="EC227" s="72">
        <v>0</v>
      </c>
      <c r="ED227" s="72">
        <v>0</v>
      </c>
      <c r="EE227" s="72">
        <v>0</v>
      </c>
      <c r="EF227" s="72">
        <v>0</v>
      </c>
      <c r="EG227" s="72">
        <v>0</v>
      </c>
      <c r="EH227" s="72">
        <v>0</v>
      </c>
      <c r="EI227" s="72">
        <v>0</v>
      </c>
      <c r="EJ227" s="72">
        <v>0</v>
      </c>
      <c r="EK227" s="72">
        <v>0</v>
      </c>
      <c r="EL227" s="72">
        <v>0</v>
      </c>
    </row>
    <row r="228" spans="1:142" s="6" customFormat="1" x14ac:dyDescent="0.35">
      <c r="A228" s="59">
        <f>Данные!A228</f>
        <v>5791</v>
      </c>
      <c r="B228" s="59">
        <f>Данные!B228</f>
        <v>2018</v>
      </c>
      <c r="C228" s="59" t="str">
        <f>Данные!C228</f>
        <v>компьютерных технологий и электронного обучения</v>
      </c>
      <c r="D228" s="59" t="str">
        <f>Данные!D228</f>
        <v>Гончарова Светлана Викторовна</v>
      </c>
      <c r="E228" s="59" t="str">
        <f>Данные!E228</f>
        <v>кандидат педагогических наук</v>
      </c>
      <c r="F228" s="59" t="str">
        <f>Данные!F228</f>
        <v>доцент</v>
      </c>
      <c r="G228" s="59">
        <f>Данные!G228</f>
        <v>1</v>
      </c>
      <c r="H228" s="59">
        <f>Данные!H228</f>
        <v>17236</v>
      </c>
      <c r="I228" s="59" t="str">
        <f>Данные!I228</f>
        <v>Модуль "Технологии и методы вычислений". Анализ данных</v>
      </c>
      <c r="J228" s="59">
        <f>Данные!J228</f>
        <v>0</v>
      </c>
      <c r="K228" s="59">
        <f>Данные!K228</f>
        <v>0</v>
      </c>
      <c r="L228" s="59">
        <f>Данные!L228</f>
        <v>72</v>
      </c>
      <c r="M228" s="60">
        <f t="shared" si="27"/>
        <v>7.2</v>
      </c>
      <c r="N228" s="60">
        <f t="shared" ca="1" si="28"/>
        <v>11.57</v>
      </c>
      <c r="O228" s="60">
        <f t="shared" ca="1" si="29"/>
        <v>7.25</v>
      </c>
      <c r="P228" s="60">
        <f t="shared" ca="1" si="30"/>
        <v>7.25</v>
      </c>
      <c r="Q228" s="54">
        <f>Данные!Q228</f>
        <v>0</v>
      </c>
      <c r="R228" s="54">
        <f>Данные!R228</f>
        <v>0</v>
      </c>
      <c r="S228" s="54">
        <f>Данные!S228</f>
        <v>0</v>
      </c>
      <c r="T228" s="54">
        <f>Данные!T228</f>
        <v>0</v>
      </c>
      <c r="U228" s="54">
        <f>Данные!U228</f>
        <v>0</v>
      </c>
      <c r="V228" s="54">
        <f>Данные!V228</f>
        <v>0</v>
      </c>
      <c r="W228" s="54">
        <f ca="1">Данные!W228</f>
        <v>29</v>
      </c>
      <c r="X228" s="54" t="str">
        <f ca="1">Данные!X228</f>
        <v>1</v>
      </c>
      <c r="Y228" s="54" t="str">
        <f ca="1">Данные!Y228</f>
        <v>2</v>
      </c>
      <c r="Z228" s="54">
        <f>Данные!Z228</f>
        <v>0</v>
      </c>
      <c r="AA228" s="54" t="str">
        <f>Данные!AA228</f>
        <v>осн</v>
      </c>
      <c r="AB228" s="101">
        <f t="shared" si="31"/>
        <v>800</v>
      </c>
      <c r="AC228" s="101" t="str">
        <f t="shared" si="32"/>
        <v>ИВТ (бак)</v>
      </c>
      <c r="AD228" s="101" t="str">
        <f t="shared" si="33"/>
        <v/>
      </c>
      <c r="AE228" s="102">
        <f t="shared" ca="1" si="34"/>
        <v>105.27000000000001</v>
      </c>
      <c r="AF228" s="103">
        <f t="shared" ca="1" si="35"/>
        <v>0.13158750000000002</v>
      </c>
      <c r="AG228" s="101"/>
      <c r="AH228" s="101"/>
      <c r="AI228"/>
      <c r="BQ228" s="72">
        <v>0</v>
      </c>
      <c r="BR228" s="72">
        <v>0</v>
      </c>
      <c r="BS228" s="72">
        <v>0</v>
      </c>
      <c r="BT228" s="72">
        <v>0</v>
      </c>
      <c r="BU228" s="72">
        <v>0</v>
      </c>
      <c r="BV228" s="72">
        <v>0</v>
      </c>
      <c r="BW228" s="72">
        <v>0</v>
      </c>
      <c r="BX228" s="72">
        <v>0</v>
      </c>
      <c r="BY228" s="72">
        <v>0</v>
      </c>
      <c r="BZ228" s="72">
        <v>0</v>
      </c>
      <c r="CA228" s="72">
        <v>0</v>
      </c>
      <c r="CB228" s="72">
        <v>0</v>
      </c>
      <c r="CC228" s="72">
        <v>0</v>
      </c>
      <c r="CD228" s="72">
        <v>0</v>
      </c>
      <c r="CE228" s="72">
        <v>0</v>
      </c>
      <c r="CF228" s="72">
        <v>0</v>
      </c>
      <c r="CG228" s="72">
        <v>0</v>
      </c>
      <c r="CH228" s="72">
        <v>0</v>
      </c>
      <c r="CI228" s="72">
        <v>0</v>
      </c>
      <c r="CJ228" s="72">
        <v>0</v>
      </c>
      <c r="CK228" s="72">
        <v>0</v>
      </c>
      <c r="CL228" s="72">
        <v>0</v>
      </c>
      <c r="CM228" s="72">
        <v>0</v>
      </c>
      <c r="CN228" s="72">
        <v>0</v>
      </c>
      <c r="CO228" s="72">
        <v>0</v>
      </c>
      <c r="CP228" s="72">
        <v>0</v>
      </c>
      <c r="CQ228" s="72">
        <v>0</v>
      </c>
      <c r="CR228" s="72">
        <v>0</v>
      </c>
      <c r="CS228" s="72">
        <v>0</v>
      </c>
      <c r="CT228" s="72">
        <v>0</v>
      </c>
      <c r="CU228" s="72">
        <v>0</v>
      </c>
      <c r="CV228" s="72">
        <v>0</v>
      </c>
      <c r="CW228" s="72">
        <v>0</v>
      </c>
      <c r="CX228" s="72">
        <v>0</v>
      </c>
      <c r="CY228" s="72">
        <v>0</v>
      </c>
      <c r="CZ228" s="72">
        <v>0</v>
      </c>
      <c r="DA228" s="72">
        <v>0</v>
      </c>
      <c r="DB228" s="72">
        <v>0</v>
      </c>
      <c r="DC228" s="72">
        <v>0</v>
      </c>
      <c r="DD228" s="72">
        <v>0</v>
      </c>
      <c r="DE228" s="72">
        <v>0</v>
      </c>
      <c r="DF228" s="72">
        <v>0</v>
      </c>
      <c r="DG228" s="72">
        <v>0</v>
      </c>
      <c r="DH228" s="72">
        <v>0</v>
      </c>
      <c r="DI228" s="72">
        <v>0</v>
      </c>
      <c r="DJ228" s="72">
        <v>0</v>
      </c>
      <c r="DK228" s="72">
        <v>0</v>
      </c>
      <c r="DL228" s="72">
        <v>0</v>
      </c>
      <c r="DM228" s="72">
        <v>0</v>
      </c>
      <c r="DN228" s="72">
        <v>0</v>
      </c>
      <c r="DO228" s="72">
        <v>0</v>
      </c>
      <c r="DP228" s="72">
        <v>0</v>
      </c>
      <c r="DQ228" s="72">
        <v>0</v>
      </c>
      <c r="DR228" s="72">
        <v>0</v>
      </c>
      <c r="DS228" s="72">
        <v>0</v>
      </c>
      <c r="DT228" s="72">
        <v>0</v>
      </c>
      <c r="DU228" s="72">
        <v>0</v>
      </c>
      <c r="DV228" s="72">
        <v>0</v>
      </c>
      <c r="DW228" s="72">
        <v>0</v>
      </c>
      <c r="DX228" s="72">
        <v>0</v>
      </c>
      <c r="DY228" s="72">
        <v>0</v>
      </c>
      <c r="DZ228" s="72">
        <v>0</v>
      </c>
      <c r="EA228" s="72">
        <v>0</v>
      </c>
      <c r="EB228" s="72">
        <v>0</v>
      </c>
      <c r="EC228" s="72">
        <v>0</v>
      </c>
      <c r="ED228" s="72">
        <v>0</v>
      </c>
      <c r="EE228" s="72">
        <v>0</v>
      </c>
      <c r="EF228" s="72">
        <v>0</v>
      </c>
      <c r="EG228" s="72">
        <v>0</v>
      </c>
      <c r="EH228" s="72">
        <v>0</v>
      </c>
      <c r="EI228" s="72">
        <v>0</v>
      </c>
      <c r="EJ228" s="72">
        <v>0</v>
      </c>
      <c r="EK228" s="72">
        <v>0</v>
      </c>
      <c r="EL228" s="72">
        <v>0</v>
      </c>
    </row>
    <row r="229" spans="1:142" s="6" customFormat="1" x14ac:dyDescent="0.35">
      <c r="A229" s="59">
        <f>Данные!A229</f>
        <v>5791</v>
      </c>
      <c r="B229" s="59">
        <f>Данные!B229</f>
        <v>2018</v>
      </c>
      <c r="C229" s="59" t="str">
        <f>Данные!C229</f>
        <v>компьютерных технологий и электронного обучения</v>
      </c>
      <c r="D229" s="59" t="str">
        <f>Данные!D229</f>
        <v>Гончарова Светлана Викторовна</v>
      </c>
      <c r="E229" s="59" t="str">
        <f>Данные!E229</f>
        <v>кандидат педагогических наук</v>
      </c>
      <c r="F229" s="59" t="str">
        <f>Данные!F229</f>
        <v>доцент</v>
      </c>
      <c r="G229" s="59">
        <f>Данные!G229</f>
        <v>1</v>
      </c>
      <c r="H229" s="59">
        <f>Данные!H229</f>
        <v>17236</v>
      </c>
      <c r="I229" s="59" t="str">
        <f>Данные!I229</f>
        <v>Модуль "Технологии и методы вычислений". Вычислительная математика</v>
      </c>
      <c r="J229" s="59">
        <f>Данные!J229</f>
        <v>0</v>
      </c>
      <c r="K229" s="59">
        <f>Данные!K229</f>
        <v>0</v>
      </c>
      <c r="L229" s="59">
        <f>Данные!L229</f>
        <v>72</v>
      </c>
      <c r="M229" s="60">
        <f t="shared" si="27"/>
        <v>7.2</v>
      </c>
      <c r="N229" s="60">
        <f t="shared" ca="1" si="28"/>
        <v>11.57</v>
      </c>
      <c r="O229" s="60">
        <f t="shared" ca="1" si="29"/>
        <v>7.25</v>
      </c>
      <c r="P229" s="60">
        <f t="shared" ca="1" si="30"/>
        <v>7.25</v>
      </c>
      <c r="Q229" s="54">
        <f>Данные!Q229</f>
        <v>0</v>
      </c>
      <c r="R229" s="54">
        <f>Данные!R229</f>
        <v>0</v>
      </c>
      <c r="S229" s="54">
        <f>Данные!S229</f>
        <v>0</v>
      </c>
      <c r="T229" s="54">
        <f>Данные!T229</f>
        <v>0</v>
      </c>
      <c r="U229" s="54">
        <f>Данные!U229</f>
        <v>0</v>
      </c>
      <c r="V229" s="54">
        <f>Данные!V229</f>
        <v>0</v>
      </c>
      <c r="W229" s="54">
        <f ca="1">Данные!W229</f>
        <v>29</v>
      </c>
      <c r="X229" s="54" t="str">
        <f ca="1">Данные!X229</f>
        <v>1</v>
      </c>
      <c r="Y229" s="54" t="str">
        <f ca="1">Данные!Y229</f>
        <v>2</v>
      </c>
      <c r="Z229" s="54">
        <f>Данные!Z229</f>
        <v>0</v>
      </c>
      <c r="AA229" s="54" t="str">
        <f>Данные!AA229</f>
        <v>осн</v>
      </c>
      <c r="AB229" s="101">
        <f t="shared" si="31"/>
        <v>800</v>
      </c>
      <c r="AC229" s="101" t="str">
        <f t="shared" si="32"/>
        <v>ИВТ (бак)</v>
      </c>
      <c r="AD229" s="101" t="str">
        <f t="shared" si="33"/>
        <v/>
      </c>
      <c r="AE229" s="102">
        <f t="shared" ca="1" si="34"/>
        <v>105.27000000000001</v>
      </c>
      <c r="AF229" s="103">
        <f t="shared" ca="1" si="35"/>
        <v>0.13158750000000002</v>
      </c>
      <c r="AG229" s="101"/>
      <c r="AH229" s="101"/>
      <c r="AI229"/>
      <c r="BQ229" s="72">
        <v>0</v>
      </c>
      <c r="BR229" s="72">
        <v>0</v>
      </c>
      <c r="BS229" s="72">
        <v>0</v>
      </c>
      <c r="BT229" s="72">
        <v>0</v>
      </c>
      <c r="BU229" s="72">
        <v>0</v>
      </c>
      <c r="BV229" s="72">
        <v>0</v>
      </c>
      <c r="BW229" s="72">
        <v>0</v>
      </c>
      <c r="BX229" s="72">
        <v>0</v>
      </c>
      <c r="BY229" s="72">
        <v>0</v>
      </c>
      <c r="BZ229" s="72">
        <v>0</v>
      </c>
      <c r="CA229" s="72">
        <v>0</v>
      </c>
      <c r="CB229" s="72">
        <v>0</v>
      </c>
      <c r="CC229" s="72">
        <v>0</v>
      </c>
      <c r="CD229" s="72">
        <v>0</v>
      </c>
      <c r="CE229" s="72">
        <v>0</v>
      </c>
      <c r="CF229" s="72">
        <v>0</v>
      </c>
      <c r="CG229" s="72">
        <v>0</v>
      </c>
      <c r="CH229" s="72">
        <v>0</v>
      </c>
      <c r="CI229" s="72">
        <v>0</v>
      </c>
      <c r="CJ229" s="72">
        <v>0</v>
      </c>
      <c r="CK229" s="72">
        <v>0</v>
      </c>
      <c r="CL229" s="72">
        <v>0</v>
      </c>
      <c r="CM229" s="72">
        <v>0</v>
      </c>
      <c r="CN229" s="72">
        <v>0</v>
      </c>
      <c r="CO229" s="72">
        <v>0</v>
      </c>
      <c r="CP229" s="72">
        <v>0</v>
      </c>
      <c r="CQ229" s="72">
        <v>0</v>
      </c>
      <c r="CR229" s="72">
        <v>0</v>
      </c>
      <c r="CS229" s="72">
        <v>0</v>
      </c>
      <c r="CT229" s="72">
        <v>0</v>
      </c>
      <c r="CU229" s="72">
        <v>0</v>
      </c>
      <c r="CV229" s="72">
        <v>0</v>
      </c>
      <c r="CW229" s="72">
        <v>0</v>
      </c>
      <c r="CX229" s="72">
        <v>0</v>
      </c>
      <c r="CY229" s="72">
        <v>0</v>
      </c>
      <c r="CZ229" s="72">
        <v>0</v>
      </c>
      <c r="DA229" s="72">
        <v>0</v>
      </c>
      <c r="DB229" s="72">
        <v>0</v>
      </c>
      <c r="DC229" s="72">
        <v>0</v>
      </c>
      <c r="DD229" s="72">
        <v>0</v>
      </c>
      <c r="DE229" s="72">
        <v>0</v>
      </c>
      <c r="DF229" s="72">
        <v>0</v>
      </c>
      <c r="DG229" s="72">
        <v>0</v>
      </c>
      <c r="DH229" s="72">
        <v>0</v>
      </c>
      <c r="DI229" s="72">
        <v>0</v>
      </c>
      <c r="DJ229" s="72">
        <v>0</v>
      </c>
      <c r="DK229" s="72">
        <v>0</v>
      </c>
      <c r="DL229" s="72">
        <v>0</v>
      </c>
      <c r="DM229" s="72">
        <v>0</v>
      </c>
      <c r="DN229" s="72">
        <v>0</v>
      </c>
      <c r="DO229" s="72">
        <v>0</v>
      </c>
      <c r="DP229" s="72">
        <v>0</v>
      </c>
      <c r="DQ229" s="72">
        <v>0</v>
      </c>
      <c r="DR229" s="72">
        <v>0</v>
      </c>
      <c r="DS229" s="72">
        <v>0</v>
      </c>
      <c r="DT229" s="72">
        <v>0</v>
      </c>
      <c r="DU229" s="72">
        <v>0</v>
      </c>
      <c r="DV229" s="72">
        <v>0</v>
      </c>
      <c r="DW229" s="72">
        <v>0</v>
      </c>
      <c r="DX229" s="72">
        <v>0</v>
      </c>
      <c r="DY229" s="72">
        <v>0</v>
      </c>
      <c r="DZ229" s="72">
        <v>0</v>
      </c>
      <c r="EA229" s="72">
        <v>0</v>
      </c>
      <c r="EB229" s="72">
        <v>0</v>
      </c>
      <c r="EC229" s="72">
        <v>0</v>
      </c>
      <c r="ED229" s="72">
        <v>0</v>
      </c>
      <c r="EE229" s="72">
        <v>0</v>
      </c>
      <c r="EF229" s="72">
        <v>0</v>
      </c>
      <c r="EG229" s="72">
        <v>0</v>
      </c>
      <c r="EH229" s="72">
        <v>0</v>
      </c>
      <c r="EI229" s="72">
        <v>0</v>
      </c>
      <c r="EJ229" s="72">
        <v>0</v>
      </c>
      <c r="EK229" s="72">
        <v>0</v>
      </c>
      <c r="EL229" s="72">
        <v>0</v>
      </c>
    </row>
    <row r="230" spans="1:142" s="6" customFormat="1" x14ac:dyDescent="0.35">
      <c r="A230" s="59">
        <f>Данные!A230</f>
        <v>5791</v>
      </c>
      <c r="B230" s="59">
        <f>Данные!B230</f>
        <v>2018</v>
      </c>
      <c r="C230" s="59" t="str">
        <f>Данные!C230</f>
        <v>компьютерных технологий и электронного обучения</v>
      </c>
      <c r="D230" s="59" t="str">
        <f>Данные!D230</f>
        <v>Гончарова Светлана Викторовна</v>
      </c>
      <c r="E230" s="59" t="str">
        <f>Данные!E230</f>
        <v>кандидат педагогических наук</v>
      </c>
      <c r="F230" s="59" t="str">
        <f>Данные!F230</f>
        <v>доцент</v>
      </c>
      <c r="G230" s="59">
        <f>Данные!G230</f>
        <v>1</v>
      </c>
      <c r="H230" s="59">
        <f>Данные!H230</f>
        <v>17236</v>
      </c>
      <c r="I230" s="59" t="str">
        <f>Данные!I230</f>
        <v>Модуль "Технологии и методы вычислений". Технологии компьютерного моделирования</v>
      </c>
      <c r="J230" s="59">
        <f>Данные!J230</f>
        <v>0</v>
      </c>
      <c r="K230" s="59">
        <f>Данные!K230</f>
        <v>0</v>
      </c>
      <c r="L230" s="59">
        <f>Данные!L230</f>
        <v>27</v>
      </c>
      <c r="M230" s="60">
        <f t="shared" si="27"/>
        <v>2.7</v>
      </c>
      <c r="N230" s="60">
        <f t="shared" ca="1" si="28"/>
        <v>11.57</v>
      </c>
      <c r="O230" s="60">
        <f t="shared" ca="1" si="29"/>
        <v>7.25</v>
      </c>
      <c r="P230" s="60">
        <f t="shared" ca="1" si="30"/>
        <v>7.25</v>
      </c>
      <c r="Q230" s="54">
        <f>Данные!Q230</f>
        <v>0</v>
      </c>
      <c r="R230" s="54">
        <f>Данные!R230</f>
        <v>0</v>
      </c>
      <c r="S230" s="54">
        <f>Данные!S230</f>
        <v>0</v>
      </c>
      <c r="T230" s="54">
        <f>Данные!T230</f>
        <v>0</v>
      </c>
      <c r="U230" s="54">
        <f>Данные!U230</f>
        <v>0</v>
      </c>
      <c r="V230" s="54">
        <f>Данные!V230</f>
        <v>0</v>
      </c>
      <c r="W230" s="54">
        <f ca="1">Данные!W230</f>
        <v>29</v>
      </c>
      <c r="X230" s="54" t="str">
        <f ca="1">Данные!X230</f>
        <v>1</v>
      </c>
      <c r="Y230" s="54" t="str">
        <f ca="1">Данные!Y230</f>
        <v>2</v>
      </c>
      <c r="Z230" s="54">
        <f>Данные!Z230</f>
        <v>0</v>
      </c>
      <c r="AA230" s="54" t="str">
        <f>Данные!AA230</f>
        <v>доп</v>
      </c>
      <c r="AB230" s="101">
        <f t="shared" si="31"/>
        <v>800</v>
      </c>
      <c r="AC230" s="101" t="str">
        <f t="shared" si="32"/>
        <v>ИВТ (бак)</v>
      </c>
      <c r="AD230" s="101" t="str">
        <f t="shared" si="33"/>
        <v/>
      </c>
      <c r="AE230" s="102">
        <f t="shared" ca="1" si="34"/>
        <v>55.769999999999996</v>
      </c>
      <c r="AF230" s="103">
        <f t="shared" ca="1" si="35"/>
        <v>6.9712499999999997E-2</v>
      </c>
      <c r="AG230" s="101"/>
      <c r="AH230" s="101"/>
      <c r="AI230"/>
      <c r="BQ230" s="72">
        <v>0</v>
      </c>
      <c r="BR230" s="72">
        <v>0</v>
      </c>
      <c r="BS230" s="72">
        <v>0</v>
      </c>
      <c r="BT230" s="72">
        <v>0</v>
      </c>
      <c r="BU230" s="72">
        <v>0</v>
      </c>
      <c r="BV230" s="72">
        <v>0</v>
      </c>
      <c r="BW230" s="72">
        <v>0</v>
      </c>
      <c r="BX230" s="72">
        <v>0</v>
      </c>
      <c r="BY230" s="72">
        <v>0</v>
      </c>
      <c r="BZ230" s="72">
        <v>0</v>
      </c>
      <c r="CA230" s="72">
        <v>0</v>
      </c>
      <c r="CB230" s="72">
        <v>0</v>
      </c>
      <c r="CC230" s="72">
        <v>0</v>
      </c>
      <c r="CD230" s="72">
        <v>0</v>
      </c>
      <c r="CE230" s="72">
        <v>0</v>
      </c>
      <c r="CF230" s="72">
        <v>0</v>
      </c>
      <c r="CG230" s="72">
        <v>0</v>
      </c>
      <c r="CH230" s="72">
        <v>0</v>
      </c>
      <c r="CI230" s="72">
        <v>0</v>
      </c>
      <c r="CJ230" s="72">
        <v>0</v>
      </c>
      <c r="CK230" s="72">
        <v>0</v>
      </c>
      <c r="CL230" s="72">
        <v>0</v>
      </c>
      <c r="CM230" s="72">
        <v>0</v>
      </c>
      <c r="CN230" s="72">
        <v>0</v>
      </c>
      <c r="CO230" s="72">
        <v>0</v>
      </c>
      <c r="CP230" s="72">
        <v>0</v>
      </c>
      <c r="CQ230" s="72">
        <v>0</v>
      </c>
      <c r="CR230" s="72">
        <v>0</v>
      </c>
      <c r="CS230" s="72">
        <v>0</v>
      </c>
      <c r="CT230" s="72">
        <v>0</v>
      </c>
      <c r="CU230" s="72">
        <v>0</v>
      </c>
      <c r="CV230" s="72">
        <v>0</v>
      </c>
      <c r="CW230" s="72">
        <v>0</v>
      </c>
      <c r="CX230" s="72">
        <v>0</v>
      </c>
      <c r="CY230" s="72">
        <v>0</v>
      </c>
      <c r="CZ230" s="72">
        <v>0</v>
      </c>
      <c r="DA230" s="72">
        <v>0</v>
      </c>
      <c r="DB230" s="72">
        <v>0</v>
      </c>
      <c r="DC230" s="72">
        <v>0</v>
      </c>
      <c r="DD230" s="72">
        <v>0</v>
      </c>
      <c r="DE230" s="72">
        <v>0</v>
      </c>
      <c r="DF230" s="72">
        <v>0</v>
      </c>
      <c r="DG230" s="72">
        <v>0</v>
      </c>
      <c r="DH230" s="72">
        <v>0</v>
      </c>
      <c r="DI230" s="72">
        <v>0</v>
      </c>
      <c r="DJ230" s="72">
        <v>0</v>
      </c>
      <c r="DK230" s="72">
        <v>0</v>
      </c>
      <c r="DL230" s="72">
        <v>0</v>
      </c>
      <c r="DM230" s="72">
        <v>0</v>
      </c>
      <c r="DN230" s="72">
        <v>0</v>
      </c>
      <c r="DO230" s="72">
        <v>0</v>
      </c>
      <c r="DP230" s="72">
        <v>0</v>
      </c>
      <c r="DQ230" s="72">
        <v>0</v>
      </c>
      <c r="DR230" s="72">
        <v>0</v>
      </c>
      <c r="DS230" s="72">
        <v>0</v>
      </c>
      <c r="DT230" s="72">
        <v>0</v>
      </c>
      <c r="DU230" s="72">
        <v>0</v>
      </c>
      <c r="DV230" s="72">
        <v>0</v>
      </c>
      <c r="DW230" s="72">
        <v>0</v>
      </c>
      <c r="DX230" s="72">
        <v>0</v>
      </c>
      <c r="DY230" s="72">
        <v>0</v>
      </c>
      <c r="DZ230" s="72">
        <v>0</v>
      </c>
      <c r="EA230" s="72">
        <v>0</v>
      </c>
      <c r="EB230" s="72">
        <v>0</v>
      </c>
      <c r="EC230" s="72">
        <v>0</v>
      </c>
      <c r="ED230" s="72">
        <v>0</v>
      </c>
      <c r="EE230" s="72">
        <v>0</v>
      </c>
      <c r="EF230" s="72">
        <v>0</v>
      </c>
      <c r="EG230" s="72">
        <v>0</v>
      </c>
      <c r="EH230" s="72">
        <v>0</v>
      </c>
      <c r="EI230" s="72">
        <v>0</v>
      </c>
      <c r="EJ230" s="72">
        <v>0</v>
      </c>
      <c r="EK230" s="72">
        <v>0</v>
      </c>
      <c r="EL230" s="72">
        <v>0</v>
      </c>
    </row>
    <row r="231" spans="1:142" s="6" customFormat="1" x14ac:dyDescent="0.35">
      <c r="A231" s="59">
        <f>Данные!A231</f>
        <v>5791</v>
      </c>
      <c r="B231" s="59">
        <f>Данные!B231</f>
        <v>2018</v>
      </c>
      <c r="C231" s="59" t="str">
        <f>Данные!C231</f>
        <v>компьютерных технологий и электронного обучения</v>
      </c>
      <c r="D231" s="59" t="str">
        <f>Данные!D231</f>
        <v>Гончарова Светлана Викторовна</v>
      </c>
      <c r="E231" s="59" t="str">
        <f>Данные!E231</f>
        <v>кандидат педагогических наук</v>
      </c>
      <c r="F231" s="59" t="str">
        <f>Данные!F231</f>
        <v>доцент</v>
      </c>
      <c r="G231" s="59">
        <f>Данные!G231</f>
        <v>1</v>
      </c>
      <c r="H231" s="59">
        <f>Данные!H231</f>
        <v>17236</v>
      </c>
      <c r="I231" s="59" t="str">
        <f>Данные!I231</f>
        <v>Модуль "Технологии и методы вычислений". Технологии компьютерного моделирования</v>
      </c>
      <c r="J231" s="59">
        <f>Данные!J231</f>
        <v>0</v>
      </c>
      <c r="K231" s="59">
        <f>Данные!K231</f>
        <v>0</v>
      </c>
      <c r="L231" s="59">
        <f>Данные!L231</f>
        <v>54</v>
      </c>
      <c r="M231" s="60">
        <f t="shared" si="27"/>
        <v>5.4</v>
      </c>
      <c r="N231" s="60">
        <f t="shared" ca="1" si="28"/>
        <v>11.57</v>
      </c>
      <c r="O231" s="60">
        <f t="shared" ca="1" si="29"/>
        <v>7.25</v>
      </c>
      <c r="P231" s="60">
        <f t="shared" ca="1" si="30"/>
        <v>7.25</v>
      </c>
      <c r="Q231" s="54">
        <f>Данные!Q231</f>
        <v>34</v>
      </c>
      <c r="R231" s="54">
        <f>Данные!R231</f>
        <v>0</v>
      </c>
      <c r="S231" s="54">
        <f>Данные!S231</f>
        <v>0</v>
      </c>
      <c r="T231" s="54">
        <f>Данные!T231</f>
        <v>0</v>
      </c>
      <c r="U231" s="54">
        <f>Данные!U231</f>
        <v>0</v>
      </c>
      <c r="V231" s="54">
        <f>Данные!V231</f>
        <v>0</v>
      </c>
      <c r="W231" s="54">
        <f ca="1">Данные!W231</f>
        <v>29</v>
      </c>
      <c r="X231" s="54" t="str">
        <f ca="1">Данные!X231</f>
        <v>1</v>
      </c>
      <c r="Y231" s="54" t="str">
        <f ca="1">Данные!Y231</f>
        <v>2</v>
      </c>
      <c r="Z231" s="54">
        <f>Данные!Z231</f>
        <v>0</v>
      </c>
      <c r="AA231" s="54" t="str">
        <f>Данные!AA231</f>
        <v>осн</v>
      </c>
      <c r="AB231" s="101">
        <f t="shared" si="31"/>
        <v>800</v>
      </c>
      <c r="AC231" s="101" t="str">
        <f t="shared" si="32"/>
        <v>ИВТ (бак)</v>
      </c>
      <c r="AD231" s="101" t="str">
        <f t="shared" si="33"/>
        <v/>
      </c>
      <c r="AE231" s="102">
        <f t="shared" ca="1" si="34"/>
        <v>119.47</v>
      </c>
      <c r="AF231" s="103">
        <f t="shared" ca="1" si="35"/>
        <v>0.14933750000000001</v>
      </c>
      <c r="AG231" s="101"/>
      <c r="AH231" s="101"/>
      <c r="AI231"/>
      <c r="BQ231" s="72">
        <v>0</v>
      </c>
      <c r="BR231" s="72">
        <v>0</v>
      </c>
      <c r="BS231" s="72">
        <v>0</v>
      </c>
      <c r="BT231" s="72">
        <v>0</v>
      </c>
      <c r="BU231" s="72">
        <v>0</v>
      </c>
      <c r="BV231" s="72">
        <v>0</v>
      </c>
      <c r="BW231" s="72">
        <v>0</v>
      </c>
      <c r="BX231" s="72">
        <v>0</v>
      </c>
      <c r="BY231" s="72">
        <v>0</v>
      </c>
      <c r="BZ231" s="72">
        <v>0</v>
      </c>
      <c r="CA231" s="72">
        <v>0</v>
      </c>
      <c r="CB231" s="72">
        <v>0</v>
      </c>
      <c r="CC231" s="72">
        <v>0</v>
      </c>
      <c r="CD231" s="72">
        <v>0</v>
      </c>
      <c r="CE231" s="72">
        <v>0</v>
      </c>
      <c r="CF231" s="72">
        <v>0</v>
      </c>
      <c r="CG231" s="72">
        <v>0</v>
      </c>
      <c r="CH231" s="72">
        <v>0</v>
      </c>
      <c r="CI231" s="72">
        <v>0</v>
      </c>
      <c r="CJ231" s="72">
        <v>0</v>
      </c>
      <c r="CK231" s="72">
        <v>0</v>
      </c>
      <c r="CL231" s="72">
        <v>0</v>
      </c>
      <c r="CM231" s="72">
        <v>0</v>
      </c>
      <c r="CN231" s="72">
        <v>0</v>
      </c>
      <c r="CO231" s="72">
        <v>0</v>
      </c>
      <c r="CP231" s="72">
        <v>0</v>
      </c>
      <c r="CQ231" s="72">
        <v>0</v>
      </c>
      <c r="CR231" s="72">
        <v>0</v>
      </c>
      <c r="CS231" s="72">
        <v>0</v>
      </c>
      <c r="CT231" s="72">
        <v>0</v>
      </c>
      <c r="CU231" s="72">
        <v>0</v>
      </c>
      <c r="CV231" s="72">
        <v>0</v>
      </c>
      <c r="CW231" s="72">
        <v>0</v>
      </c>
      <c r="CX231" s="72">
        <v>0</v>
      </c>
      <c r="CY231" s="72">
        <v>0</v>
      </c>
      <c r="CZ231" s="72">
        <v>0</v>
      </c>
      <c r="DA231" s="72">
        <v>0</v>
      </c>
      <c r="DB231" s="72">
        <v>0</v>
      </c>
      <c r="DC231" s="72">
        <v>0</v>
      </c>
      <c r="DD231" s="72">
        <v>0</v>
      </c>
      <c r="DE231" s="72">
        <v>0</v>
      </c>
      <c r="DF231" s="72">
        <v>0</v>
      </c>
      <c r="DG231" s="72">
        <v>0</v>
      </c>
      <c r="DH231" s="72">
        <v>0</v>
      </c>
      <c r="DI231" s="72">
        <v>0</v>
      </c>
      <c r="DJ231" s="72">
        <v>0</v>
      </c>
      <c r="DK231" s="72">
        <v>0</v>
      </c>
      <c r="DL231" s="72">
        <v>0</v>
      </c>
      <c r="DM231" s="72">
        <v>0</v>
      </c>
      <c r="DN231" s="72">
        <v>0</v>
      </c>
      <c r="DO231" s="72">
        <v>0</v>
      </c>
      <c r="DP231" s="72">
        <v>0</v>
      </c>
      <c r="DQ231" s="72">
        <v>0</v>
      </c>
      <c r="DR231" s="72">
        <v>0</v>
      </c>
      <c r="DS231" s="72">
        <v>0</v>
      </c>
      <c r="DT231" s="72">
        <v>0</v>
      </c>
      <c r="DU231" s="72">
        <v>0</v>
      </c>
      <c r="DV231" s="72">
        <v>0</v>
      </c>
      <c r="DW231" s="72">
        <v>0</v>
      </c>
      <c r="DX231" s="72">
        <v>0</v>
      </c>
      <c r="DY231" s="72">
        <v>0</v>
      </c>
      <c r="DZ231" s="72">
        <v>0</v>
      </c>
      <c r="EA231" s="72">
        <v>0</v>
      </c>
      <c r="EB231" s="72">
        <v>0</v>
      </c>
      <c r="EC231" s="72">
        <v>0</v>
      </c>
      <c r="ED231" s="72">
        <v>0</v>
      </c>
      <c r="EE231" s="72">
        <v>0</v>
      </c>
      <c r="EF231" s="72">
        <v>0</v>
      </c>
      <c r="EG231" s="72">
        <v>0</v>
      </c>
      <c r="EH231" s="72">
        <v>0</v>
      </c>
      <c r="EI231" s="72">
        <v>0</v>
      </c>
      <c r="EJ231" s="72">
        <v>0</v>
      </c>
      <c r="EK231" s="72">
        <v>0</v>
      </c>
      <c r="EL231" s="72">
        <v>0</v>
      </c>
    </row>
    <row r="232" spans="1:142" s="6" customFormat="1" x14ac:dyDescent="0.35">
      <c r="A232" s="59">
        <f>Данные!A232</f>
        <v>5791</v>
      </c>
      <c r="B232" s="59">
        <f>Данные!B232</f>
        <v>2018</v>
      </c>
      <c r="C232" s="59" t="str">
        <f>Данные!C232</f>
        <v>компьютерных технологий и электронного обучения</v>
      </c>
      <c r="D232" s="59" t="str">
        <f>Данные!D232</f>
        <v>Государев Илья Борисович</v>
      </c>
      <c r="E232" s="59" t="str">
        <f>Данные!E232</f>
        <v>кандидат педагогических наук</v>
      </c>
      <c r="F232" s="59" t="str">
        <f>Данные!F232</f>
        <v>доцент</v>
      </c>
      <c r="G232" s="59">
        <f>Данные!G232</f>
        <v>1</v>
      </c>
      <c r="H232" s="59">
        <f>Данные!H232</f>
        <v>17236</v>
      </c>
      <c r="I232" s="59" t="str">
        <f>Данные!I232</f>
        <v>Модуль "Проектирование и разработка веб-решений ".</v>
      </c>
      <c r="J232" s="59">
        <f>Данные!J232</f>
        <v>0</v>
      </c>
      <c r="K232" s="59">
        <f>Данные!K232</f>
        <v>0</v>
      </c>
      <c r="L232" s="59">
        <f>Данные!L232</f>
        <v>0</v>
      </c>
      <c r="M232" s="60">
        <f t="shared" si="27"/>
        <v>0</v>
      </c>
      <c r="N232" s="60">
        <f t="shared" ca="1" si="28"/>
        <v>11.57</v>
      </c>
      <c r="O232" s="60">
        <f t="shared" ca="1" si="29"/>
        <v>7.25</v>
      </c>
      <c r="P232" s="60">
        <f t="shared" ca="1" si="30"/>
        <v>7.25</v>
      </c>
      <c r="Q232" s="54">
        <f>Данные!Q232</f>
        <v>0</v>
      </c>
      <c r="R232" s="54">
        <f>Данные!R232</f>
        <v>0</v>
      </c>
      <c r="S232" s="54">
        <f>Данные!S232</f>
        <v>0</v>
      </c>
      <c r="T232" s="54">
        <f>Данные!T232</f>
        <v>0</v>
      </c>
      <c r="U232" s="54">
        <f>Данные!U232</f>
        <v>0</v>
      </c>
      <c r="V232" s="54">
        <f>Данные!V232</f>
        <v>0</v>
      </c>
      <c r="W232" s="54">
        <f ca="1">Данные!W232</f>
        <v>29</v>
      </c>
      <c r="X232" s="54" t="str">
        <f ca="1">Данные!X232</f>
        <v>1</v>
      </c>
      <c r="Y232" s="54" t="str">
        <f ca="1">Данные!Y232</f>
        <v>2</v>
      </c>
      <c r="Z232" s="54">
        <f>Данные!Z232</f>
        <v>0</v>
      </c>
      <c r="AA232" s="54" t="str">
        <f>Данные!AA232</f>
        <v>осн</v>
      </c>
      <c r="AB232" s="101">
        <f t="shared" si="31"/>
        <v>800</v>
      </c>
      <c r="AC232" s="101" t="str">
        <f t="shared" si="32"/>
        <v>ИВТ (бак)</v>
      </c>
      <c r="AD232" s="101" t="str">
        <f t="shared" si="33"/>
        <v/>
      </c>
      <c r="AE232" s="102">
        <f t="shared" ca="1" si="34"/>
        <v>26.07</v>
      </c>
      <c r="AF232" s="103">
        <f t="shared" ca="1" si="35"/>
        <v>3.2587499999999998E-2</v>
      </c>
      <c r="AG232" s="101"/>
      <c r="AH232" s="101"/>
      <c r="AI232"/>
      <c r="BQ232" s="72">
        <v>0</v>
      </c>
      <c r="BR232" s="72">
        <v>0</v>
      </c>
      <c r="BS232" s="72">
        <v>0</v>
      </c>
      <c r="BT232" s="72">
        <v>0</v>
      </c>
      <c r="BU232" s="72">
        <v>0</v>
      </c>
      <c r="BV232" s="72">
        <v>0</v>
      </c>
      <c r="BW232" s="72">
        <v>0</v>
      </c>
      <c r="BX232" s="72">
        <v>0</v>
      </c>
      <c r="BY232" s="72">
        <v>0</v>
      </c>
      <c r="BZ232" s="72">
        <v>0</v>
      </c>
      <c r="CA232" s="72">
        <v>0</v>
      </c>
      <c r="CB232" s="72">
        <v>0</v>
      </c>
      <c r="CC232" s="72">
        <v>0</v>
      </c>
      <c r="CD232" s="72">
        <v>0</v>
      </c>
      <c r="CE232" s="72">
        <v>0</v>
      </c>
      <c r="CF232" s="72">
        <v>0</v>
      </c>
      <c r="CG232" s="72">
        <v>0</v>
      </c>
      <c r="CH232" s="72">
        <v>0</v>
      </c>
      <c r="CI232" s="72">
        <v>0</v>
      </c>
      <c r="CJ232" s="72">
        <v>0</v>
      </c>
      <c r="CK232" s="72">
        <v>0</v>
      </c>
      <c r="CL232" s="72">
        <v>0</v>
      </c>
      <c r="CM232" s="72">
        <v>0</v>
      </c>
      <c r="CN232" s="72">
        <v>0</v>
      </c>
      <c r="CO232" s="72">
        <v>0</v>
      </c>
      <c r="CP232" s="72">
        <v>0</v>
      </c>
      <c r="CQ232" s="72">
        <v>0</v>
      </c>
      <c r="CR232" s="72">
        <v>0</v>
      </c>
      <c r="CS232" s="72">
        <v>0</v>
      </c>
      <c r="CT232" s="72">
        <v>0</v>
      </c>
      <c r="CU232" s="72">
        <v>0</v>
      </c>
      <c r="CV232" s="72">
        <v>0</v>
      </c>
      <c r="CW232" s="72">
        <v>0</v>
      </c>
      <c r="CX232" s="72">
        <v>0</v>
      </c>
      <c r="CY232" s="72">
        <v>0</v>
      </c>
      <c r="CZ232" s="72">
        <v>0</v>
      </c>
      <c r="DA232" s="72">
        <v>0</v>
      </c>
      <c r="DB232" s="72">
        <v>0</v>
      </c>
      <c r="DC232" s="72">
        <v>0</v>
      </c>
      <c r="DD232" s="72">
        <v>0</v>
      </c>
      <c r="DE232" s="72">
        <v>0</v>
      </c>
      <c r="DF232" s="72">
        <v>0</v>
      </c>
      <c r="DG232" s="72">
        <v>0</v>
      </c>
      <c r="DH232" s="72">
        <v>0</v>
      </c>
      <c r="DI232" s="72">
        <v>0</v>
      </c>
      <c r="DJ232" s="72">
        <v>0</v>
      </c>
      <c r="DK232" s="72">
        <v>0</v>
      </c>
      <c r="DL232" s="72">
        <v>0</v>
      </c>
      <c r="DM232" s="72">
        <v>0</v>
      </c>
      <c r="DN232" s="72">
        <v>0</v>
      </c>
      <c r="DO232" s="72">
        <v>0</v>
      </c>
      <c r="DP232" s="72">
        <v>0</v>
      </c>
      <c r="DQ232" s="72">
        <v>0</v>
      </c>
      <c r="DR232" s="72">
        <v>0</v>
      </c>
      <c r="DS232" s="72">
        <v>0</v>
      </c>
      <c r="DT232" s="72">
        <v>0</v>
      </c>
      <c r="DU232" s="72">
        <v>0</v>
      </c>
      <c r="DV232" s="72">
        <v>0</v>
      </c>
      <c r="DW232" s="72">
        <v>0</v>
      </c>
      <c r="DX232" s="72">
        <v>0</v>
      </c>
      <c r="DY232" s="72">
        <v>0</v>
      </c>
      <c r="DZ232" s="72">
        <v>0</v>
      </c>
      <c r="EA232" s="72">
        <v>0</v>
      </c>
      <c r="EB232" s="72">
        <v>0</v>
      </c>
      <c r="EC232" s="72">
        <v>0</v>
      </c>
      <c r="ED232" s="72">
        <v>0</v>
      </c>
      <c r="EE232" s="72">
        <v>0</v>
      </c>
      <c r="EF232" s="72">
        <v>0</v>
      </c>
      <c r="EG232" s="72">
        <v>0</v>
      </c>
      <c r="EH232" s="72">
        <v>0</v>
      </c>
      <c r="EI232" s="72">
        <v>0</v>
      </c>
      <c r="EJ232" s="72">
        <v>0</v>
      </c>
      <c r="EK232" s="72">
        <v>0</v>
      </c>
      <c r="EL232" s="72">
        <v>0</v>
      </c>
    </row>
    <row r="233" spans="1:142" s="6" customFormat="1" x14ac:dyDescent="0.35">
      <c r="A233" s="59">
        <f>Данные!A233</f>
        <v>5791</v>
      </c>
      <c r="B233" s="59">
        <f>Данные!B233</f>
        <v>2018</v>
      </c>
      <c r="C233" s="59" t="str">
        <f>Данные!C233</f>
        <v>компьютерных технологий и электронного обучения</v>
      </c>
      <c r="D233" s="59" t="str">
        <f>Данные!D233</f>
        <v>Государев Илья Борисович</v>
      </c>
      <c r="E233" s="59" t="str">
        <f>Данные!E233</f>
        <v>кандидат педагогических наук</v>
      </c>
      <c r="F233" s="59" t="str">
        <f>Данные!F233</f>
        <v>доцент</v>
      </c>
      <c r="G233" s="59">
        <f>Данные!G233</f>
        <v>1</v>
      </c>
      <c r="H233" s="59">
        <f>Данные!H233</f>
        <v>17236</v>
      </c>
      <c r="I233" s="59" t="str">
        <f>Данные!I233</f>
        <v>Модуль "Проектирование и разработка веб-решений ". Веб-проектирование и веб-языки</v>
      </c>
      <c r="J233" s="59">
        <f>Данные!J233</f>
        <v>18</v>
      </c>
      <c r="K233" s="59">
        <f>Данные!K233</f>
        <v>36</v>
      </c>
      <c r="L233" s="59">
        <f>Данные!L233</f>
        <v>108</v>
      </c>
      <c r="M233" s="60">
        <f t="shared" si="27"/>
        <v>16.2</v>
      </c>
      <c r="N233" s="60">
        <f t="shared" ca="1" si="28"/>
        <v>11.57</v>
      </c>
      <c r="O233" s="60">
        <f t="shared" ca="1" si="29"/>
        <v>7.25</v>
      </c>
      <c r="P233" s="60">
        <f t="shared" ca="1" si="30"/>
        <v>7.25</v>
      </c>
      <c r="Q233" s="54">
        <f>Данные!Q233</f>
        <v>0</v>
      </c>
      <c r="R233" s="54">
        <f>Данные!R233</f>
        <v>0</v>
      </c>
      <c r="S233" s="54">
        <f>Данные!S233</f>
        <v>0</v>
      </c>
      <c r="T233" s="54">
        <f>Данные!T233</f>
        <v>0</v>
      </c>
      <c r="U233" s="54">
        <f>Данные!U233</f>
        <v>0</v>
      </c>
      <c r="V233" s="54">
        <f>Данные!V233</f>
        <v>0</v>
      </c>
      <c r="W233" s="54">
        <f ca="1">Данные!W233</f>
        <v>29</v>
      </c>
      <c r="X233" s="54" t="str">
        <f ca="1">Данные!X233</f>
        <v>1</v>
      </c>
      <c r="Y233" s="54" t="str">
        <f ca="1">Данные!Y233</f>
        <v>2</v>
      </c>
      <c r="Z233" s="54">
        <f>Данные!Z233</f>
        <v>0</v>
      </c>
      <c r="AA233" s="54" t="str">
        <f>Данные!AA233</f>
        <v>осн</v>
      </c>
      <c r="AB233" s="101">
        <f t="shared" si="31"/>
        <v>800</v>
      </c>
      <c r="AC233" s="101" t="str">
        <f t="shared" si="32"/>
        <v>ИВТ (бак)</v>
      </c>
      <c r="AD233" s="101" t="str">
        <f t="shared" si="33"/>
        <v/>
      </c>
      <c r="AE233" s="102">
        <f t="shared" ca="1" si="34"/>
        <v>204.26999999999998</v>
      </c>
      <c r="AF233" s="103">
        <f t="shared" ca="1" si="35"/>
        <v>0.2553375</v>
      </c>
      <c r="AG233" s="101"/>
      <c r="AH233" s="101"/>
      <c r="AI233"/>
      <c r="BQ233" s="72">
        <v>0</v>
      </c>
      <c r="BR233" s="72">
        <v>0</v>
      </c>
      <c r="BS233" s="72">
        <v>0</v>
      </c>
      <c r="BT233" s="72">
        <v>0</v>
      </c>
      <c r="BU233" s="72">
        <v>0</v>
      </c>
      <c r="BV233" s="72">
        <v>0</v>
      </c>
      <c r="BW233" s="72">
        <v>0</v>
      </c>
      <c r="BX233" s="72">
        <v>0</v>
      </c>
      <c r="BY233" s="72">
        <v>0</v>
      </c>
      <c r="BZ233" s="72">
        <v>0</v>
      </c>
      <c r="CA233" s="72">
        <v>0</v>
      </c>
      <c r="CB233" s="72">
        <v>0</v>
      </c>
      <c r="CC233" s="72">
        <v>0</v>
      </c>
      <c r="CD233" s="72">
        <v>0</v>
      </c>
      <c r="CE233" s="72">
        <v>0</v>
      </c>
      <c r="CF233" s="72">
        <v>0</v>
      </c>
      <c r="CG233" s="72">
        <v>0</v>
      </c>
      <c r="CH233" s="72">
        <v>0</v>
      </c>
      <c r="CI233" s="72">
        <v>0</v>
      </c>
      <c r="CJ233" s="72">
        <v>0</v>
      </c>
      <c r="CK233" s="72">
        <v>0</v>
      </c>
      <c r="CL233" s="72">
        <v>0</v>
      </c>
      <c r="CM233" s="72">
        <v>0</v>
      </c>
      <c r="CN233" s="72">
        <v>0</v>
      </c>
      <c r="CO233" s="72">
        <v>0</v>
      </c>
      <c r="CP233" s="72">
        <v>0</v>
      </c>
      <c r="CQ233" s="72">
        <v>0</v>
      </c>
      <c r="CR233" s="72">
        <v>0</v>
      </c>
      <c r="CS233" s="72">
        <v>0</v>
      </c>
      <c r="CT233" s="72">
        <v>0</v>
      </c>
      <c r="CU233" s="72">
        <v>0</v>
      </c>
      <c r="CV233" s="72">
        <v>0</v>
      </c>
      <c r="CW233" s="72">
        <v>0</v>
      </c>
      <c r="CX233" s="72">
        <v>0</v>
      </c>
      <c r="CY233" s="72">
        <v>0</v>
      </c>
      <c r="CZ233" s="72">
        <v>0</v>
      </c>
      <c r="DA233" s="72">
        <v>0</v>
      </c>
      <c r="DB233" s="72">
        <v>0</v>
      </c>
      <c r="DC233" s="72">
        <v>0</v>
      </c>
      <c r="DD233" s="72">
        <v>0</v>
      </c>
      <c r="DE233" s="72">
        <v>0</v>
      </c>
      <c r="DF233" s="72">
        <v>0</v>
      </c>
      <c r="DG233" s="72">
        <v>0</v>
      </c>
      <c r="DH233" s="72">
        <v>0</v>
      </c>
      <c r="DI233" s="72">
        <v>0</v>
      </c>
      <c r="DJ233" s="72">
        <v>0</v>
      </c>
      <c r="DK233" s="72">
        <v>0</v>
      </c>
      <c r="DL233" s="72">
        <v>0</v>
      </c>
      <c r="DM233" s="72">
        <v>0</v>
      </c>
      <c r="DN233" s="72">
        <v>0</v>
      </c>
      <c r="DO233" s="72">
        <v>0</v>
      </c>
      <c r="DP233" s="72">
        <v>0</v>
      </c>
      <c r="DQ233" s="72">
        <v>0</v>
      </c>
      <c r="DR233" s="72">
        <v>0</v>
      </c>
      <c r="DS233" s="72">
        <v>0</v>
      </c>
      <c r="DT233" s="72">
        <v>0</v>
      </c>
      <c r="DU233" s="72">
        <v>0</v>
      </c>
      <c r="DV233" s="72">
        <v>0</v>
      </c>
      <c r="DW233" s="72">
        <v>0</v>
      </c>
      <c r="DX233" s="72">
        <v>0</v>
      </c>
      <c r="DY233" s="72">
        <v>0</v>
      </c>
      <c r="DZ233" s="72">
        <v>0</v>
      </c>
      <c r="EA233" s="72">
        <v>0</v>
      </c>
      <c r="EB233" s="72">
        <v>0</v>
      </c>
      <c r="EC233" s="72">
        <v>0</v>
      </c>
      <c r="ED233" s="72">
        <v>0</v>
      </c>
      <c r="EE233" s="72">
        <v>0</v>
      </c>
      <c r="EF233" s="72">
        <v>0</v>
      </c>
      <c r="EG233" s="72">
        <v>0</v>
      </c>
      <c r="EH233" s="72">
        <v>0</v>
      </c>
      <c r="EI233" s="72">
        <v>0</v>
      </c>
      <c r="EJ233" s="72">
        <v>0</v>
      </c>
      <c r="EK233" s="72">
        <v>0</v>
      </c>
      <c r="EL233" s="72">
        <v>0</v>
      </c>
    </row>
    <row r="234" spans="1:142" s="6" customFormat="1" x14ac:dyDescent="0.35">
      <c r="A234" s="59">
        <f>Данные!A234</f>
        <v>5791</v>
      </c>
      <c r="B234" s="59">
        <f>Данные!B234</f>
        <v>2018</v>
      </c>
      <c r="C234" s="59" t="str">
        <f>Данные!C234</f>
        <v>компьютерных технологий и электронного обучения</v>
      </c>
      <c r="D234" s="59" t="str">
        <f>Данные!D234</f>
        <v>Государев Илья Борисович</v>
      </c>
      <c r="E234" s="59" t="str">
        <f>Данные!E234</f>
        <v>кандидат педагогических наук</v>
      </c>
      <c r="F234" s="59" t="str">
        <f>Данные!F234</f>
        <v>доцент</v>
      </c>
      <c r="G234" s="59">
        <f>Данные!G234</f>
        <v>1</v>
      </c>
      <c r="H234" s="59">
        <f>Данные!H234</f>
        <v>17236</v>
      </c>
      <c r="I234" s="59" t="str">
        <f>Данные!I234</f>
        <v>Модуль "Проектирование и разработка веб-решений ". Дисциплины и курсы по выбору. Разработка интерфейсов обогощенных веб-приложений</v>
      </c>
      <c r="J234" s="59">
        <f>Данные!J234</f>
        <v>0</v>
      </c>
      <c r="K234" s="59">
        <f>Данные!K234</f>
        <v>0</v>
      </c>
      <c r="L234" s="59">
        <f>Данные!L234</f>
        <v>72</v>
      </c>
      <c r="M234" s="60">
        <f t="shared" si="27"/>
        <v>7.2</v>
      </c>
      <c r="N234" s="60">
        <f t="shared" ca="1" si="28"/>
        <v>11.57</v>
      </c>
      <c r="O234" s="60">
        <f t="shared" ca="1" si="29"/>
        <v>7.25</v>
      </c>
      <c r="P234" s="60">
        <f t="shared" ca="1" si="30"/>
        <v>7.25</v>
      </c>
      <c r="Q234" s="54">
        <f>Данные!Q234</f>
        <v>0</v>
      </c>
      <c r="R234" s="54">
        <f>Данные!R234</f>
        <v>0</v>
      </c>
      <c r="S234" s="54">
        <f>Данные!S234</f>
        <v>0</v>
      </c>
      <c r="T234" s="54">
        <f>Данные!T234</f>
        <v>0</v>
      </c>
      <c r="U234" s="54">
        <f>Данные!U234</f>
        <v>0</v>
      </c>
      <c r="V234" s="54">
        <f>Данные!V234</f>
        <v>0</v>
      </c>
      <c r="W234" s="54">
        <f ca="1">Данные!W234</f>
        <v>29</v>
      </c>
      <c r="X234" s="54" t="str">
        <f ca="1">Данные!X234</f>
        <v>1</v>
      </c>
      <c r="Y234" s="54" t="str">
        <f ca="1">Данные!Y234</f>
        <v>2</v>
      </c>
      <c r="Z234" s="54">
        <f>Данные!Z234</f>
        <v>0</v>
      </c>
      <c r="AA234" s="54" t="str">
        <f>Данные!AA234</f>
        <v>осн</v>
      </c>
      <c r="AB234" s="101">
        <f t="shared" si="31"/>
        <v>800</v>
      </c>
      <c r="AC234" s="101" t="str">
        <f t="shared" si="32"/>
        <v>ИВТ (бак)</v>
      </c>
      <c r="AD234" s="101" t="str">
        <f t="shared" si="33"/>
        <v/>
      </c>
      <c r="AE234" s="102">
        <f t="shared" ca="1" si="34"/>
        <v>105.27000000000001</v>
      </c>
      <c r="AF234" s="103">
        <f t="shared" ca="1" si="35"/>
        <v>0.13158750000000002</v>
      </c>
      <c r="AG234" s="101"/>
      <c r="AH234" s="101"/>
      <c r="AI234"/>
      <c r="BQ234" s="72">
        <v>0</v>
      </c>
      <c r="BR234" s="72">
        <v>0</v>
      </c>
      <c r="BS234" s="72">
        <v>0</v>
      </c>
      <c r="BT234" s="72">
        <v>0</v>
      </c>
      <c r="BU234" s="72">
        <v>0</v>
      </c>
      <c r="BV234" s="72">
        <v>0</v>
      </c>
      <c r="BW234" s="72">
        <v>0</v>
      </c>
      <c r="BX234" s="72">
        <v>0</v>
      </c>
      <c r="BY234" s="72">
        <v>0</v>
      </c>
      <c r="BZ234" s="72">
        <v>0</v>
      </c>
      <c r="CA234" s="72">
        <v>0</v>
      </c>
      <c r="CB234" s="72">
        <v>0</v>
      </c>
      <c r="CC234" s="72">
        <v>0</v>
      </c>
      <c r="CD234" s="72">
        <v>0</v>
      </c>
      <c r="CE234" s="72">
        <v>0</v>
      </c>
      <c r="CF234" s="72">
        <v>0</v>
      </c>
      <c r="CG234" s="72">
        <v>0</v>
      </c>
      <c r="CH234" s="72">
        <v>0</v>
      </c>
      <c r="CI234" s="72">
        <v>0</v>
      </c>
      <c r="CJ234" s="72">
        <v>0</v>
      </c>
      <c r="CK234" s="72">
        <v>0</v>
      </c>
      <c r="CL234" s="72">
        <v>0</v>
      </c>
      <c r="CM234" s="72">
        <v>0</v>
      </c>
      <c r="CN234" s="72">
        <v>0</v>
      </c>
      <c r="CO234" s="72">
        <v>0</v>
      </c>
      <c r="CP234" s="72">
        <v>0</v>
      </c>
      <c r="CQ234" s="72">
        <v>0</v>
      </c>
      <c r="CR234" s="72">
        <v>0</v>
      </c>
      <c r="CS234" s="72">
        <v>0</v>
      </c>
      <c r="CT234" s="72">
        <v>0</v>
      </c>
      <c r="CU234" s="72">
        <v>0</v>
      </c>
      <c r="CV234" s="72">
        <v>0</v>
      </c>
      <c r="CW234" s="72">
        <v>0</v>
      </c>
      <c r="CX234" s="72">
        <v>0</v>
      </c>
      <c r="CY234" s="72">
        <v>0</v>
      </c>
      <c r="CZ234" s="72">
        <v>0</v>
      </c>
      <c r="DA234" s="72">
        <v>0</v>
      </c>
      <c r="DB234" s="72">
        <v>0</v>
      </c>
      <c r="DC234" s="72">
        <v>0</v>
      </c>
      <c r="DD234" s="72">
        <v>0</v>
      </c>
      <c r="DE234" s="72">
        <v>0</v>
      </c>
      <c r="DF234" s="72">
        <v>0</v>
      </c>
      <c r="DG234" s="72">
        <v>0</v>
      </c>
      <c r="DH234" s="72">
        <v>0</v>
      </c>
      <c r="DI234" s="72">
        <v>0</v>
      </c>
      <c r="DJ234" s="72">
        <v>0</v>
      </c>
      <c r="DK234" s="72">
        <v>0</v>
      </c>
      <c r="DL234" s="72">
        <v>0</v>
      </c>
      <c r="DM234" s="72">
        <v>0</v>
      </c>
      <c r="DN234" s="72">
        <v>0</v>
      </c>
      <c r="DO234" s="72">
        <v>0</v>
      </c>
      <c r="DP234" s="72">
        <v>0</v>
      </c>
      <c r="DQ234" s="72">
        <v>0</v>
      </c>
      <c r="DR234" s="72">
        <v>0</v>
      </c>
      <c r="DS234" s="72">
        <v>0</v>
      </c>
      <c r="DT234" s="72">
        <v>0</v>
      </c>
      <c r="DU234" s="72">
        <v>0</v>
      </c>
      <c r="DV234" s="72">
        <v>0</v>
      </c>
      <c r="DW234" s="72">
        <v>0</v>
      </c>
      <c r="DX234" s="72">
        <v>0</v>
      </c>
      <c r="DY234" s="72">
        <v>0</v>
      </c>
      <c r="DZ234" s="72">
        <v>0</v>
      </c>
      <c r="EA234" s="72">
        <v>0</v>
      </c>
      <c r="EB234" s="72">
        <v>0</v>
      </c>
      <c r="EC234" s="72">
        <v>0</v>
      </c>
      <c r="ED234" s="72">
        <v>0</v>
      </c>
      <c r="EE234" s="72">
        <v>0</v>
      </c>
      <c r="EF234" s="72">
        <v>0</v>
      </c>
      <c r="EG234" s="72">
        <v>0</v>
      </c>
      <c r="EH234" s="72">
        <v>0</v>
      </c>
      <c r="EI234" s="72">
        <v>0</v>
      </c>
      <c r="EJ234" s="72">
        <v>0</v>
      </c>
      <c r="EK234" s="72">
        <v>0</v>
      </c>
      <c r="EL234" s="72">
        <v>0</v>
      </c>
    </row>
    <row r="235" spans="1:142" s="6" customFormat="1" x14ac:dyDescent="0.35">
      <c r="A235" s="59">
        <f>Данные!A235</f>
        <v>5791</v>
      </c>
      <c r="B235" s="59">
        <f>Данные!B235</f>
        <v>2018</v>
      </c>
      <c r="C235" s="59" t="str">
        <f>Данные!C235</f>
        <v>компьютерных технологий и электронного обучения</v>
      </c>
      <c r="D235" s="59" t="str">
        <f>Данные!D235</f>
        <v>Государев Илья Борисович</v>
      </c>
      <c r="E235" s="59" t="str">
        <f>Данные!E235</f>
        <v>кандидат педагогических наук</v>
      </c>
      <c r="F235" s="59" t="str">
        <f>Данные!F235</f>
        <v>доцент</v>
      </c>
      <c r="G235" s="59">
        <f>Данные!G235</f>
        <v>1</v>
      </c>
      <c r="H235" s="59">
        <f>Данные!H235</f>
        <v>17236</v>
      </c>
      <c r="I235" s="59" t="str">
        <f>Данные!I235</f>
        <v>Модуль "Проектирование и разработка веб-решений ". Компьютерный практикум</v>
      </c>
      <c r="J235" s="59">
        <f>Данные!J235</f>
        <v>0</v>
      </c>
      <c r="K235" s="59">
        <f>Данные!K235</f>
        <v>0</v>
      </c>
      <c r="L235" s="59">
        <f>Данные!L235</f>
        <v>108</v>
      </c>
      <c r="M235" s="60">
        <f t="shared" si="27"/>
        <v>10.8</v>
      </c>
      <c r="N235" s="60">
        <f t="shared" ca="1" si="28"/>
        <v>11.57</v>
      </c>
      <c r="O235" s="60">
        <f t="shared" ca="1" si="29"/>
        <v>7.25</v>
      </c>
      <c r="P235" s="60">
        <f t="shared" ca="1" si="30"/>
        <v>7.25</v>
      </c>
      <c r="Q235" s="54">
        <f>Данные!Q235</f>
        <v>0</v>
      </c>
      <c r="R235" s="54">
        <f>Данные!R235</f>
        <v>0</v>
      </c>
      <c r="S235" s="54">
        <f>Данные!S235</f>
        <v>0</v>
      </c>
      <c r="T235" s="54">
        <f>Данные!T235</f>
        <v>0</v>
      </c>
      <c r="U235" s="54">
        <f>Данные!U235</f>
        <v>0</v>
      </c>
      <c r="V235" s="54">
        <f>Данные!V235</f>
        <v>0</v>
      </c>
      <c r="W235" s="54">
        <f ca="1">Данные!W235</f>
        <v>29</v>
      </c>
      <c r="X235" s="54" t="str">
        <f ca="1">Данные!X235</f>
        <v>1</v>
      </c>
      <c r="Y235" s="54" t="str">
        <f ca="1">Данные!Y235</f>
        <v>2</v>
      </c>
      <c r="Z235" s="54">
        <f>Данные!Z235</f>
        <v>0</v>
      </c>
      <c r="AA235" s="54" t="str">
        <f>Данные!AA235</f>
        <v>доп</v>
      </c>
      <c r="AB235" s="101">
        <f t="shared" si="31"/>
        <v>800</v>
      </c>
      <c r="AC235" s="101" t="str">
        <f t="shared" si="32"/>
        <v>ИВТ (бак)</v>
      </c>
      <c r="AD235" s="101" t="str">
        <f t="shared" si="33"/>
        <v/>
      </c>
      <c r="AE235" s="102">
        <f t="shared" ca="1" si="34"/>
        <v>144.87</v>
      </c>
      <c r="AF235" s="103">
        <f t="shared" ca="1" si="35"/>
        <v>0.18108750000000001</v>
      </c>
      <c r="AG235" s="101"/>
      <c r="AH235" s="101"/>
      <c r="AI235"/>
      <c r="BQ235" s="72">
        <v>0</v>
      </c>
      <c r="BR235" s="72">
        <v>0</v>
      </c>
      <c r="BS235" s="72">
        <v>0</v>
      </c>
      <c r="BT235" s="72">
        <v>0</v>
      </c>
      <c r="BU235" s="72">
        <v>0</v>
      </c>
      <c r="BV235" s="72">
        <v>0</v>
      </c>
      <c r="BW235" s="72">
        <v>0</v>
      </c>
      <c r="BX235" s="72">
        <v>0</v>
      </c>
      <c r="BY235" s="72">
        <v>0</v>
      </c>
      <c r="BZ235" s="72">
        <v>0</v>
      </c>
      <c r="CA235" s="72">
        <v>0</v>
      </c>
      <c r="CB235" s="72">
        <v>0</v>
      </c>
      <c r="CC235" s="72">
        <v>0</v>
      </c>
      <c r="CD235" s="72">
        <v>0</v>
      </c>
      <c r="CE235" s="72">
        <v>0</v>
      </c>
      <c r="CF235" s="72">
        <v>0</v>
      </c>
      <c r="CG235" s="72">
        <v>0</v>
      </c>
      <c r="CH235" s="72">
        <v>0</v>
      </c>
      <c r="CI235" s="72">
        <v>0</v>
      </c>
      <c r="CJ235" s="72">
        <v>0</v>
      </c>
      <c r="CK235" s="72">
        <v>0</v>
      </c>
      <c r="CL235" s="72">
        <v>0</v>
      </c>
      <c r="CM235" s="72">
        <v>0</v>
      </c>
      <c r="CN235" s="72">
        <v>0</v>
      </c>
      <c r="CO235" s="72">
        <v>0</v>
      </c>
      <c r="CP235" s="72">
        <v>0</v>
      </c>
      <c r="CQ235" s="72">
        <v>0</v>
      </c>
      <c r="CR235" s="72">
        <v>0</v>
      </c>
      <c r="CS235" s="72">
        <v>0</v>
      </c>
      <c r="CT235" s="72">
        <v>0</v>
      </c>
      <c r="CU235" s="72">
        <v>0</v>
      </c>
      <c r="CV235" s="72">
        <v>0</v>
      </c>
      <c r="CW235" s="72">
        <v>0</v>
      </c>
      <c r="CX235" s="72">
        <v>0</v>
      </c>
      <c r="CY235" s="72">
        <v>0</v>
      </c>
      <c r="CZ235" s="72">
        <v>0</v>
      </c>
      <c r="DA235" s="72">
        <v>0</v>
      </c>
      <c r="DB235" s="72">
        <v>0</v>
      </c>
      <c r="DC235" s="72">
        <v>0</v>
      </c>
      <c r="DD235" s="72">
        <v>0</v>
      </c>
      <c r="DE235" s="72">
        <v>0</v>
      </c>
      <c r="DF235" s="72">
        <v>0</v>
      </c>
      <c r="DG235" s="72">
        <v>0</v>
      </c>
      <c r="DH235" s="72">
        <v>0</v>
      </c>
      <c r="DI235" s="72">
        <v>0</v>
      </c>
      <c r="DJ235" s="72">
        <v>0</v>
      </c>
      <c r="DK235" s="72">
        <v>0</v>
      </c>
      <c r="DL235" s="72">
        <v>0</v>
      </c>
      <c r="DM235" s="72">
        <v>0</v>
      </c>
      <c r="DN235" s="72">
        <v>0</v>
      </c>
      <c r="DO235" s="72">
        <v>0</v>
      </c>
      <c r="DP235" s="72">
        <v>0</v>
      </c>
      <c r="DQ235" s="72">
        <v>0</v>
      </c>
      <c r="DR235" s="72">
        <v>0</v>
      </c>
      <c r="DS235" s="72">
        <v>0</v>
      </c>
      <c r="DT235" s="72">
        <v>0</v>
      </c>
      <c r="DU235" s="72">
        <v>0</v>
      </c>
      <c r="DV235" s="72">
        <v>0</v>
      </c>
      <c r="DW235" s="72">
        <v>0</v>
      </c>
      <c r="DX235" s="72">
        <v>0</v>
      </c>
      <c r="DY235" s="72">
        <v>0</v>
      </c>
      <c r="DZ235" s="72">
        <v>0</v>
      </c>
      <c r="EA235" s="72">
        <v>0</v>
      </c>
      <c r="EB235" s="72">
        <v>0</v>
      </c>
      <c r="EC235" s="72">
        <v>0</v>
      </c>
      <c r="ED235" s="72">
        <v>0</v>
      </c>
      <c r="EE235" s="72">
        <v>0</v>
      </c>
      <c r="EF235" s="72">
        <v>0</v>
      </c>
      <c r="EG235" s="72">
        <v>0</v>
      </c>
      <c r="EH235" s="72">
        <v>0</v>
      </c>
      <c r="EI235" s="72">
        <v>0</v>
      </c>
      <c r="EJ235" s="72">
        <v>0</v>
      </c>
      <c r="EK235" s="72">
        <v>0</v>
      </c>
      <c r="EL235" s="72">
        <v>0</v>
      </c>
    </row>
    <row r="236" spans="1:142" s="6" customFormat="1" x14ac:dyDescent="0.35">
      <c r="A236" s="59">
        <f>Данные!A236</f>
        <v>5791</v>
      </c>
      <c r="B236" s="59">
        <f>Данные!B236</f>
        <v>2018</v>
      </c>
      <c r="C236" s="59" t="str">
        <f>Данные!C236</f>
        <v>компьютерных технологий и электронного обучения</v>
      </c>
      <c r="D236" s="59" t="str">
        <f>Данные!D236</f>
        <v>Жуков Николай Николаевич</v>
      </c>
      <c r="E236" s="59" t="str">
        <f>Данные!E236</f>
        <v>нет</v>
      </c>
      <c r="F236" s="59" t="str">
        <f>Данные!F236</f>
        <v>ассистент</v>
      </c>
      <c r="G236" s="59">
        <f>Данные!G236</f>
        <v>1</v>
      </c>
      <c r="H236" s="59">
        <f>Данные!H236</f>
        <v>17236</v>
      </c>
      <c r="I236" s="59" t="str">
        <f>Данные!I236</f>
        <v>Модуль "Системное и прикладное программное обеспечение". Программирование</v>
      </c>
      <c r="J236" s="59">
        <f>Данные!J236</f>
        <v>0</v>
      </c>
      <c r="K236" s="59">
        <f>Данные!K236</f>
        <v>0</v>
      </c>
      <c r="L236" s="59">
        <f>Данные!L236</f>
        <v>216</v>
      </c>
      <c r="M236" s="60">
        <f t="shared" si="27"/>
        <v>21.6</v>
      </c>
      <c r="N236" s="60">
        <f t="shared" ca="1" si="28"/>
        <v>11.57</v>
      </c>
      <c r="O236" s="60">
        <f t="shared" ca="1" si="29"/>
        <v>7.25</v>
      </c>
      <c r="P236" s="60">
        <f t="shared" ca="1" si="30"/>
        <v>7.25</v>
      </c>
      <c r="Q236" s="54">
        <f>Данные!Q236</f>
        <v>0</v>
      </c>
      <c r="R236" s="54">
        <f>Данные!R236</f>
        <v>0</v>
      </c>
      <c r="S236" s="54">
        <f>Данные!S236</f>
        <v>0</v>
      </c>
      <c r="T236" s="54">
        <f>Данные!T236</f>
        <v>0</v>
      </c>
      <c r="U236" s="54">
        <f>Данные!U236</f>
        <v>0</v>
      </c>
      <c r="V236" s="54">
        <f>Данные!V236</f>
        <v>0</v>
      </c>
      <c r="W236" s="54">
        <f ca="1">Данные!W236</f>
        <v>29</v>
      </c>
      <c r="X236" s="54" t="str">
        <f ca="1">Данные!X236</f>
        <v>1</v>
      </c>
      <c r="Y236" s="54" t="str">
        <f ca="1">Данные!Y236</f>
        <v>2</v>
      </c>
      <c r="Z236" s="54">
        <f>Данные!Z236</f>
        <v>0</v>
      </c>
      <c r="AA236" s="54" t="str">
        <f>Данные!AA236</f>
        <v>доп</v>
      </c>
      <c r="AB236" s="101">
        <f t="shared" si="31"/>
        <v>900</v>
      </c>
      <c r="AC236" s="101" t="str">
        <f t="shared" si="32"/>
        <v>ИВТ (бак)</v>
      </c>
      <c r="AD236" s="101" t="str">
        <f t="shared" si="33"/>
        <v/>
      </c>
      <c r="AE236" s="102">
        <f t="shared" ca="1" si="34"/>
        <v>263.66999999999996</v>
      </c>
      <c r="AF236" s="103">
        <f t="shared" ca="1" si="35"/>
        <v>0.2929666666666666</v>
      </c>
      <c r="AG236" s="101"/>
      <c r="AH236" s="101"/>
      <c r="AI236"/>
      <c r="BQ236" s="72">
        <v>0</v>
      </c>
      <c r="BR236" s="72">
        <v>0</v>
      </c>
      <c r="BS236" s="72">
        <v>0</v>
      </c>
      <c r="BT236" s="72">
        <v>0</v>
      </c>
      <c r="BU236" s="72">
        <v>0</v>
      </c>
      <c r="BV236" s="72">
        <v>0</v>
      </c>
      <c r="BW236" s="72">
        <v>0</v>
      </c>
      <c r="BX236" s="72">
        <v>0</v>
      </c>
      <c r="BY236" s="72">
        <v>0</v>
      </c>
      <c r="BZ236" s="72">
        <v>0</v>
      </c>
      <c r="CA236" s="72">
        <v>0</v>
      </c>
      <c r="CB236" s="72">
        <v>0</v>
      </c>
      <c r="CC236" s="72">
        <v>0</v>
      </c>
      <c r="CD236" s="72">
        <v>0</v>
      </c>
      <c r="CE236" s="72">
        <v>0</v>
      </c>
      <c r="CF236" s="72">
        <v>0</v>
      </c>
      <c r="CG236" s="72">
        <v>0</v>
      </c>
      <c r="CH236" s="72">
        <v>0</v>
      </c>
      <c r="CI236" s="72">
        <v>0</v>
      </c>
      <c r="CJ236" s="72">
        <v>0</v>
      </c>
      <c r="CK236" s="72">
        <v>0</v>
      </c>
      <c r="CL236" s="72">
        <v>0</v>
      </c>
      <c r="CM236" s="72">
        <v>0</v>
      </c>
      <c r="CN236" s="72">
        <v>0</v>
      </c>
      <c r="CO236" s="72">
        <v>0</v>
      </c>
      <c r="CP236" s="72">
        <v>0</v>
      </c>
      <c r="CQ236" s="72">
        <v>0</v>
      </c>
      <c r="CR236" s="72">
        <v>0</v>
      </c>
      <c r="CS236" s="72">
        <v>0</v>
      </c>
      <c r="CT236" s="72">
        <v>0</v>
      </c>
      <c r="CU236" s="72">
        <v>0</v>
      </c>
      <c r="CV236" s="72">
        <v>0</v>
      </c>
      <c r="CW236" s="72">
        <v>0</v>
      </c>
      <c r="CX236" s="72">
        <v>0</v>
      </c>
      <c r="CY236" s="72">
        <v>0</v>
      </c>
      <c r="CZ236" s="72">
        <v>0</v>
      </c>
      <c r="DA236" s="72">
        <v>0</v>
      </c>
      <c r="DB236" s="72">
        <v>0</v>
      </c>
      <c r="DC236" s="72">
        <v>0</v>
      </c>
      <c r="DD236" s="72">
        <v>0</v>
      </c>
      <c r="DE236" s="72">
        <v>0</v>
      </c>
      <c r="DF236" s="72">
        <v>0</v>
      </c>
      <c r="DG236" s="72">
        <v>0</v>
      </c>
      <c r="DH236" s="72">
        <v>0</v>
      </c>
      <c r="DI236" s="72">
        <v>0</v>
      </c>
      <c r="DJ236" s="72">
        <v>0</v>
      </c>
      <c r="DK236" s="72">
        <v>0</v>
      </c>
      <c r="DL236" s="72">
        <v>0</v>
      </c>
      <c r="DM236" s="72">
        <v>0</v>
      </c>
      <c r="DN236" s="72">
        <v>0</v>
      </c>
      <c r="DO236" s="72">
        <v>0</v>
      </c>
      <c r="DP236" s="72">
        <v>0</v>
      </c>
      <c r="DQ236" s="72">
        <v>0</v>
      </c>
      <c r="DR236" s="72">
        <v>0</v>
      </c>
      <c r="DS236" s="72">
        <v>0</v>
      </c>
      <c r="DT236" s="72">
        <v>0</v>
      </c>
      <c r="DU236" s="72">
        <v>0</v>
      </c>
      <c r="DV236" s="72">
        <v>0</v>
      </c>
      <c r="DW236" s="72">
        <v>0</v>
      </c>
      <c r="DX236" s="72">
        <v>0</v>
      </c>
      <c r="DY236" s="72">
        <v>0</v>
      </c>
      <c r="DZ236" s="72">
        <v>0</v>
      </c>
      <c r="EA236" s="72">
        <v>0</v>
      </c>
      <c r="EB236" s="72">
        <v>0</v>
      </c>
      <c r="EC236" s="72">
        <v>0</v>
      </c>
      <c r="ED236" s="72">
        <v>0</v>
      </c>
      <c r="EE236" s="72">
        <v>0</v>
      </c>
      <c r="EF236" s="72">
        <v>0</v>
      </c>
      <c r="EG236" s="72">
        <v>0</v>
      </c>
      <c r="EH236" s="72">
        <v>0</v>
      </c>
      <c r="EI236" s="72">
        <v>0</v>
      </c>
      <c r="EJ236" s="72">
        <v>0</v>
      </c>
      <c r="EK236" s="72">
        <v>0</v>
      </c>
      <c r="EL236" s="72">
        <v>0</v>
      </c>
    </row>
    <row r="237" spans="1:142" s="6" customFormat="1" x14ac:dyDescent="0.35">
      <c r="A237" s="59">
        <f>Данные!A237</f>
        <v>5791</v>
      </c>
      <c r="B237" s="59">
        <f>Данные!B237</f>
        <v>2018</v>
      </c>
      <c r="C237" s="59" t="str">
        <f>Данные!C237</f>
        <v>компьютерных технологий и электронного обучения</v>
      </c>
      <c r="D237" s="59" t="str">
        <f>Данные!D237</f>
        <v>Ильина Татьяна Сергеевна</v>
      </c>
      <c r="E237" s="59" t="str">
        <f>Данные!E237</f>
        <v>нет</v>
      </c>
      <c r="F237" s="59" t="str">
        <f>Данные!F237</f>
        <v>старший преподаватель</v>
      </c>
      <c r="G237" s="59">
        <f>Данные!G237</f>
        <v>1</v>
      </c>
      <c r="H237" s="59">
        <f>Данные!H237</f>
        <v>17236</v>
      </c>
      <c r="I237" s="59" t="str">
        <f>Данные!I237</f>
        <v>Модуль "Естественно-математический". Математика</v>
      </c>
      <c r="J237" s="59">
        <f>Данные!J237</f>
        <v>0</v>
      </c>
      <c r="K237" s="59">
        <f>Данные!K237</f>
        <v>72</v>
      </c>
      <c r="L237" s="59">
        <f>Данные!L237</f>
        <v>0</v>
      </c>
      <c r="M237" s="60">
        <f t="shared" si="27"/>
        <v>7.2</v>
      </c>
      <c r="N237" s="60">
        <f t="shared" ca="1" si="28"/>
        <v>11.57</v>
      </c>
      <c r="O237" s="60">
        <f t="shared" ca="1" si="29"/>
        <v>7.25</v>
      </c>
      <c r="P237" s="60">
        <f t="shared" ca="1" si="30"/>
        <v>7.25</v>
      </c>
      <c r="Q237" s="54">
        <f>Данные!Q237</f>
        <v>0</v>
      </c>
      <c r="R237" s="54">
        <f>Данные!R237</f>
        <v>0</v>
      </c>
      <c r="S237" s="54">
        <f>Данные!S237</f>
        <v>0</v>
      </c>
      <c r="T237" s="54">
        <f>Данные!T237</f>
        <v>0</v>
      </c>
      <c r="U237" s="54">
        <f>Данные!U237</f>
        <v>0</v>
      </c>
      <c r="V237" s="54">
        <f>Данные!V237</f>
        <v>0</v>
      </c>
      <c r="W237" s="54">
        <f ca="1">Данные!W237</f>
        <v>29</v>
      </c>
      <c r="X237" s="54" t="str">
        <f ca="1">Данные!X237</f>
        <v>1</v>
      </c>
      <c r="Y237" s="54" t="str">
        <f ca="1">Данные!Y237</f>
        <v>2</v>
      </c>
      <c r="Z237" s="54">
        <f>Данные!Z237</f>
        <v>0</v>
      </c>
      <c r="AA237" s="54" t="str">
        <f>Данные!AA237</f>
        <v>осн</v>
      </c>
      <c r="AB237" s="101">
        <f t="shared" si="31"/>
        <v>850</v>
      </c>
      <c r="AC237" s="101" t="str">
        <f t="shared" si="32"/>
        <v>ИВТ (бак)</v>
      </c>
      <c r="AD237" s="101" t="str">
        <f t="shared" si="33"/>
        <v/>
      </c>
      <c r="AE237" s="102">
        <f t="shared" ca="1" si="34"/>
        <v>105.27000000000001</v>
      </c>
      <c r="AF237" s="103">
        <f t="shared" ca="1" si="35"/>
        <v>0.12384705882352942</v>
      </c>
      <c r="AG237" s="101"/>
      <c r="AH237" s="101"/>
      <c r="AI237"/>
      <c r="BQ237" s="72">
        <v>0</v>
      </c>
      <c r="BR237" s="72">
        <v>0</v>
      </c>
      <c r="BS237" s="72">
        <v>0</v>
      </c>
      <c r="BT237" s="72">
        <v>0</v>
      </c>
      <c r="BU237" s="72">
        <v>0</v>
      </c>
      <c r="BV237" s="72">
        <v>0</v>
      </c>
      <c r="BW237" s="72">
        <v>0</v>
      </c>
      <c r="BX237" s="72">
        <v>0</v>
      </c>
      <c r="BY237" s="72">
        <v>0</v>
      </c>
      <c r="BZ237" s="72">
        <v>0</v>
      </c>
      <c r="CA237" s="72">
        <v>0</v>
      </c>
      <c r="CB237" s="72">
        <v>0</v>
      </c>
      <c r="CC237" s="72">
        <v>0</v>
      </c>
      <c r="CD237" s="72">
        <v>0</v>
      </c>
      <c r="CE237" s="72">
        <v>0</v>
      </c>
      <c r="CF237" s="72">
        <v>0</v>
      </c>
      <c r="CG237" s="72">
        <v>0</v>
      </c>
      <c r="CH237" s="72">
        <v>0</v>
      </c>
      <c r="CI237" s="72">
        <v>0</v>
      </c>
      <c r="CJ237" s="72">
        <v>0</v>
      </c>
      <c r="CK237" s="72">
        <v>0</v>
      </c>
      <c r="CL237" s="72">
        <v>0</v>
      </c>
      <c r="CM237" s="72">
        <v>0</v>
      </c>
      <c r="CN237" s="72">
        <v>0</v>
      </c>
      <c r="CO237" s="72">
        <v>0</v>
      </c>
      <c r="CP237" s="72">
        <v>0</v>
      </c>
      <c r="CQ237" s="72">
        <v>0</v>
      </c>
      <c r="CR237" s="72">
        <v>0</v>
      </c>
      <c r="CS237" s="72">
        <v>0</v>
      </c>
      <c r="CT237" s="72">
        <v>0</v>
      </c>
      <c r="CU237" s="72">
        <v>0</v>
      </c>
      <c r="CV237" s="72">
        <v>0</v>
      </c>
      <c r="CW237" s="72">
        <v>0</v>
      </c>
      <c r="CX237" s="72">
        <v>0</v>
      </c>
      <c r="CY237" s="72">
        <v>0</v>
      </c>
      <c r="CZ237" s="72">
        <v>0</v>
      </c>
      <c r="DA237" s="72">
        <v>0</v>
      </c>
      <c r="DB237" s="72">
        <v>0</v>
      </c>
      <c r="DC237" s="72">
        <v>0</v>
      </c>
      <c r="DD237" s="72">
        <v>0</v>
      </c>
      <c r="DE237" s="72">
        <v>0</v>
      </c>
      <c r="DF237" s="72">
        <v>0</v>
      </c>
      <c r="DG237" s="72">
        <v>0</v>
      </c>
      <c r="DH237" s="72">
        <v>0</v>
      </c>
      <c r="DI237" s="72">
        <v>0</v>
      </c>
      <c r="DJ237" s="72">
        <v>0</v>
      </c>
      <c r="DK237" s="72">
        <v>0</v>
      </c>
      <c r="DL237" s="72">
        <v>0</v>
      </c>
      <c r="DM237" s="72">
        <v>0</v>
      </c>
      <c r="DN237" s="72">
        <v>0</v>
      </c>
      <c r="DO237" s="72">
        <v>0</v>
      </c>
      <c r="DP237" s="72">
        <v>0</v>
      </c>
      <c r="DQ237" s="72">
        <v>0</v>
      </c>
      <c r="DR237" s="72">
        <v>0</v>
      </c>
      <c r="DS237" s="72">
        <v>0</v>
      </c>
      <c r="DT237" s="72">
        <v>0</v>
      </c>
      <c r="DU237" s="72">
        <v>0</v>
      </c>
      <c r="DV237" s="72">
        <v>0</v>
      </c>
      <c r="DW237" s="72">
        <v>0</v>
      </c>
      <c r="DX237" s="72">
        <v>0</v>
      </c>
      <c r="DY237" s="72">
        <v>0</v>
      </c>
      <c r="DZ237" s="72">
        <v>0</v>
      </c>
      <c r="EA237" s="72">
        <v>0</v>
      </c>
      <c r="EB237" s="72">
        <v>0</v>
      </c>
      <c r="EC237" s="72">
        <v>0</v>
      </c>
      <c r="ED237" s="72">
        <v>0</v>
      </c>
      <c r="EE237" s="72">
        <v>0</v>
      </c>
      <c r="EF237" s="72">
        <v>0</v>
      </c>
      <c r="EG237" s="72">
        <v>0</v>
      </c>
      <c r="EH237" s="72">
        <v>0</v>
      </c>
      <c r="EI237" s="72">
        <v>0</v>
      </c>
      <c r="EJ237" s="72">
        <v>0</v>
      </c>
      <c r="EK237" s="72">
        <v>0</v>
      </c>
      <c r="EL237" s="72">
        <v>0</v>
      </c>
    </row>
    <row r="238" spans="1:142" s="6" customFormat="1" x14ac:dyDescent="0.35">
      <c r="A238" s="59">
        <f>Данные!A238</f>
        <v>5791</v>
      </c>
      <c r="B238" s="59">
        <f>Данные!B238</f>
        <v>2018</v>
      </c>
      <c r="C238" s="59" t="str">
        <f>Данные!C238</f>
        <v>компьютерных технологий и электронного обучения</v>
      </c>
      <c r="D238" s="59" t="str">
        <f>Данные!D238</f>
        <v>Ильина Татьяна Сергеевна</v>
      </c>
      <c r="E238" s="59" t="str">
        <f>Данные!E238</f>
        <v>нет</v>
      </c>
      <c r="F238" s="59" t="str">
        <f>Данные!F238</f>
        <v>старший преподаватель</v>
      </c>
      <c r="G238" s="59">
        <f>Данные!G238</f>
        <v>1</v>
      </c>
      <c r="H238" s="59">
        <f>Данные!H238</f>
        <v>17236</v>
      </c>
      <c r="I238" s="59" t="str">
        <f>Данные!I238</f>
        <v>Модуль "Естественно-математический". Математика</v>
      </c>
      <c r="J238" s="59">
        <f>Данные!J238</f>
        <v>36</v>
      </c>
      <c r="K238" s="59">
        <f>Данные!K238</f>
        <v>36</v>
      </c>
      <c r="L238" s="59">
        <f>Данные!L238</f>
        <v>0</v>
      </c>
      <c r="M238" s="60">
        <f t="shared" si="27"/>
        <v>7.2</v>
      </c>
      <c r="N238" s="60">
        <f t="shared" ca="1" si="28"/>
        <v>11.57</v>
      </c>
      <c r="O238" s="60">
        <f t="shared" ca="1" si="29"/>
        <v>7.25</v>
      </c>
      <c r="P238" s="60">
        <f t="shared" ca="1" si="30"/>
        <v>7.25</v>
      </c>
      <c r="Q238" s="54">
        <f>Данные!Q238</f>
        <v>0</v>
      </c>
      <c r="R238" s="54">
        <f>Данные!R238</f>
        <v>0</v>
      </c>
      <c r="S238" s="54">
        <f>Данные!S238</f>
        <v>0</v>
      </c>
      <c r="T238" s="54">
        <f>Данные!T238</f>
        <v>0</v>
      </c>
      <c r="U238" s="54">
        <f>Данные!U238</f>
        <v>0</v>
      </c>
      <c r="V238" s="54">
        <f>Данные!V238</f>
        <v>0</v>
      </c>
      <c r="W238" s="54">
        <f ca="1">Данные!W238</f>
        <v>29</v>
      </c>
      <c r="X238" s="54" t="str">
        <f ca="1">Данные!X238</f>
        <v>1</v>
      </c>
      <c r="Y238" s="54" t="str">
        <f ca="1">Данные!Y238</f>
        <v>2</v>
      </c>
      <c r="Z238" s="54">
        <f>Данные!Z238</f>
        <v>0</v>
      </c>
      <c r="AA238" s="54" t="str">
        <f>Данные!AA238</f>
        <v>осн</v>
      </c>
      <c r="AB238" s="101">
        <f t="shared" si="31"/>
        <v>850</v>
      </c>
      <c r="AC238" s="101" t="str">
        <f t="shared" si="32"/>
        <v>ИВТ (бак)</v>
      </c>
      <c r="AD238" s="101" t="str">
        <f t="shared" si="33"/>
        <v/>
      </c>
      <c r="AE238" s="102">
        <f t="shared" ca="1" si="34"/>
        <v>105.27000000000001</v>
      </c>
      <c r="AF238" s="103">
        <f t="shared" ca="1" si="35"/>
        <v>0.12384705882352942</v>
      </c>
      <c r="AG238" s="101"/>
      <c r="AH238" s="101"/>
      <c r="AI238"/>
      <c r="BQ238" s="72">
        <v>0</v>
      </c>
      <c r="BR238" s="72">
        <v>0</v>
      </c>
      <c r="BS238" s="72">
        <v>0</v>
      </c>
      <c r="BT238" s="72">
        <v>0</v>
      </c>
      <c r="BU238" s="72">
        <v>0</v>
      </c>
      <c r="BV238" s="72">
        <v>0</v>
      </c>
      <c r="BW238" s="72">
        <v>0</v>
      </c>
      <c r="BX238" s="72">
        <v>0</v>
      </c>
      <c r="BY238" s="72">
        <v>0</v>
      </c>
      <c r="BZ238" s="72">
        <v>0</v>
      </c>
      <c r="CA238" s="72">
        <v>0</v>
      </c>
      <c r="CB238" s="72">
        <v>0</v>
      </c>
      <c r="CC238" s="72">
        <v>0</v>
      </c>
      <c r="CD238" s="72">
        <v>0</v>
      </c>
      <c r="CE238" s="72">
        <v>0</v>
      </c>
      <c r="CF238" s="72">
        <v>0</v>
      </c>
      <c r="CG238" s="72">
        <v>0</v>
      </c>
      <c r="CH238" s="72">
        <v>0</v>
      </c>
      <c r="CI238" s="72">
        <v>0</v>
      </c>
      <c r="CJ238" s="72">
        <v>0</v>
      </c>
      <c r="CK238" s="72">
        <v>0</v>
      </c>
      <c r="CL238" s="72">
        <v>0</v>
      </c>
      <c r="CM238" s="72">
        <v>0</v>
      </c>
      <c r="CN238" s="72">
        <v>0</v>
      </c>
      <c r="CO238" s="72">
        <v>0</v>
      </c>
      <c r="CP238" s="72">
        <v>0</v>
      </c>
      <c r="CQ238" s="72">
        <v>0</v>
      </c>
      <c r="CR238" s="72">
        <v>0</v>
      </c>
      <c r="CS238" s="72">
        <v>0</v>
      </c>
      <c r="CT238" s="72">
        <v>0</v>
      </c>
      <c r="CU238" s="72">
        <v>0</v>
      </c>
      <c r="CV238" s="72">
        <v>0</v>
      </c>
      <c r="CW238" s="72">
        <v>0</v>
      </c>
      <c r="CX238" s="72">
        <v>0</v>
      </c>
      <c r="CY238" s="72">
        <v>0</v>
      </c>
      <c r="CZ238" s="72">
        <v>0</v>
      </c>
      <c r="DA238" s="72">
        <v>0</v>
      </c>
      <c r="DB238" s="72">
        <v>0</v>
      </c>
      <c r="DC238" s="72">
        <v>0</v>
      </c>
      <c r="DD238" s="72">
        <v>0</v>
      </c>
      <c r="DE238" s="72">
        <v>0</v>
      </c>
      <c r="DF238" s="72">
        <v>0</v>
      </c>
      <c r="DG238" s="72">
        <v>0</v>
      </c>
      <c r="DH238" s="72">
        <v>0</v>
      </c>
      <c r="DI238" s="72">
        <v>0</v>
      </c>
      <c r="DJ238" s="72">
        <v>0</v>
      </c>
      <c r="DK238" s="72">
        <v>0</v>
      </c>
      <c r="DL238" s="72">
        <v>0</v>
      </c>
      <c r="DM238" s="72">
        <v>0</v>
      </c>
      <c r="DN238" s="72">
        <v>0</v>
      </c>
      <c r="DO238" s="72">
        <v>0</v>
      </c>
      <c r="DP238" s="72">
        <v>0</v>
      </c>
      <c r="DQ238" s="72">
        <v>0</v>
      </c>
      <c r="DR238" s="72">
        <v>0</v>
      </c>
      <c r="DS238" s="72">
        <v>0</v>
      </c>
      <c r="DT238" s="72">
        <v>0</v>
      </c>
      <c r="DU238" s="72">
        <v>0</v>
      </c>
      <c r="DV238" s="72">
        <v>0</v>
      </c>
      <c r="DW238" s="72">
        <v>0</v>
      </c>
      <c r="DX238" s="72">
        <v>0</v>
      </c>
      <c r="DY238" s="72">
        <v>0</v>
      </c>
      <c r="DZ238" s="72">
        <v>0</v>
      </c>
      <c r="EA238" s="72">
        <v>0</v>
      </c>
      <c r="EB238" s="72">
        <v>0</v>
      </c>
      <c r="EC238" s="72">
        <v>0</v>
      </c>
      <c r="ED238" s="72">
        <v>0</v>
      </c>
      <c r="EE238" s="72">
        <v>0</v>
      </c>
      <c r="EF238" s="72">
        <v>0</v>
      </c>
      <c r="EG238" s="72">
        <v>0</v>
      </c>
      <c r="EH238" s="72">
        <v>0</v>
      </c>
      <c r="EI238" s="72">
        <v>0</v>
      </c>
      <c r="EJ238" s="72">
        <v>0</v>
      </c>
      <c r="EK238" s="72">
        <v>0</v>
      </c>
      <c r="EL238" s="72">
        <v>0</v>
      </c>
    </row>
    <row r="239" spans="1:142" s="6" customFormat="1" x14ac:dyDescent="0.35">
      <c r="A239" s="59">
        <f>Данные!A239</f>
        <v>5791</v>
      </c>
      <c r="B239" s="59">
        <f>Данные!B239</f>
        <v>2018</v>
      </c>
      <c r="C239" s="59" t="str">
        <f>Данные!C239</f>
        <v>компьютерных технологий и электронного обучения</v>
      </c>
      <c r="D239" s="59" t="str">
        <f>Данные!D239</f>
        <v>Ильина Татьяна Сергеевна</v>
      </c>
      <c r="E239" s="59" t="str">
        <f>Данные!E239</f>
        <v>нет</v>
      </c>
      <c r="F239" s="59" t="str">
        <f>Данные!F239</f>
        <v>старший преподаватель</v>
      </c>
      <c r="G239" s="59">
        <f>Данные!G239</f>
        <v>1</v>
      </c>
      <c r="H239" s="59">
        <f>Данные!H239</f>
        <v>17236</v>
      </c>
      <c r="I239" s="59" t="str">
        <f>Данные!I239</f>
        <v>Модуль "Информационные технологии в математике и физике". Дисциплины и курсы по выбору. Основы компьютерной алгебры</v>
      </c>
      <c r="J239" s="59">
        <f>Данные!J239</f>
        <v>0</v>
      </c>
      <c r="K239" s="59">
        <f>Данные!K239</f>
        <v>0</v>
      </c>
      <c r="L239" s="59">
        <f>Данные!L239</f>
        <v>36</v>
      </c>
      <c r="M239" s="60">
        <f t="shared" si="27"/>
        <v>3.6</v>
      </c>
      <c r="N239" s="60">
        <f t="shared" ca="1" si="28"/>
        <v>11.57</v>
      </c>
      <c r="O239" s="60">
        <f t="shared" ca="1" si="29"/>
        <v>7.25</v>
      </c>
      <c r="P239" s="60">
        <f t="shared" ca="1" si="30"/>
        <v>7.25</v>
      </c>
      <c r="Q239" s="54">
        <f>Данные!Q239</f>
        <v>0</v>
      </c>
      <c r="R239" s="54">
        <f>Данные!R239</f>
        <v>0</v>
      </c>
      <c r="S239" s="54">
        <f>Данные!S239</f>
        <v>0</v>
      </c>
      <c r="T239" s="54">
        <f>Данные!T239</f>
        <v>0</v>
      </c>
      <c r="U239" s="54">
        <f>Данные!U239</f>
        <v>0</v>
      </c>
      <c r="V239" s="54">
        <f>Данные!V239</f>
        <v>0</v>
      </c>
      <c r="W239" s="54">
        <f ca="1">Данные!W239</f>
        <v>29</v>
      </c>
      <c r="X239" s="54" t="str">
        <f ca="1">Данные!X239</f>
        <v>1</v>
      </c>
      <c r="Y239" s="54" t="str">
        <f ca="1">Данные!Y239</f>
        <v>2</v>
      </c>
      <c r="Z239" s="54">
        <f>Данные!Z239</f>
        <v>0</v>
      </c>
      <c r="AA239" s="54" t="str">
        <f>Данные!AA239</f>
        <v>осн</v>
      </c>
      <c r="AB239" s="101">
        <f t="shared" si="31"/>
        <v>850</v>
      </c>
      <c r="AC239" s="101" t="str">
        <f t="shared" si="32"/>
        <v>ИВТ (бак)</v>
      </c>
      <c r="AD239" s="101" t="str">
        <f t="shared" si="33"/>
        <v/>
      </c>
      <c r="AE239" s="102">
        <f t="shared" ca="1" si="34"/>
        <v>65.67</v>
      </c>
      <c r="AF239" s="103">
        <f t="shared" ca="1" si="35"/>
        <v>7.7258823529411769E-2</v>
      </c>
      <c r="AG239" s="101"/>
      <c r="AH239" s="101"/>
      <c r="AI239"/>
      <c r="BQ239" s="72">
        <v>0</v>
      </c>
      <c r="BR239" s="72">
        <v>0</v>
      </c>
      <c r="BS239" s="72">
        <v>0</v>
      </c>
      <c r="BT239" s="72">
        <v>0</v>
      </c>
      <c r="BU239" s="72">
        <v>0</v>
      </c>
      <c r="BV239" s="72">
        <v>0</v>
      </c>
      <c r="BW239" s="72">
        <v>0</v>
      </c>
      <c r="BX239" s="72">
        <v>0</v>
      </c>
      <c r="BY239" s="72">
        <v>0</v>
      </c>
      <c r="BZ239" s="72">
        <v>0</v>
      </c>
      <c r="CA239" s="72">
        <v>0</v>
      </c>
      <c r="CB239" s="72">
        <v>0</v>
      </c>
      <c r="CC239" s="72">
        <v>0</v>
      </c>
      <c r="CD239" s="72">
        <v>0</v>
      </c>
      <c r="CE239" s="72">
        <v>0</v>
      </c>
      <c r="CF239" s="72">
        <v>0</v>
      </c>
      <c r="CG239" s="72">
        <v>0</v>
      </c>
      <c r="CH239" s="72">
        <v>0</v>
      </c>
      <c r="CI239" s="72">
        <v>0</v>
      </c>
      <c r="CJ239" s="72">
        <v>0</v>
      </c>
      <c r="CK239" s="72">
        <v>0</v>
      </c>
      <c r="CL239" s="72">
        <v>0</v>
      </c>
      <c r="CM239" s="72">
        <v>0</v>
      </c>
      <c r="CN239" s="72">
        <v>0</v>
      </c>
      <c r="CO239" s="72">
        <v>0</v>
      </c>
      <c r="CP239" s="72">
        <v>0</v>
      </c>
      <c r="CQ239" s="72">
        <v>0</v>
      </c>
      <c r="CR239" s="72">
        <v>0</v>
      </c>
      <c r="CS239" s="72">
        <v>0</v>
      </c>
      <c r="CT239" s="72">
        <v>0</v>
      </c>
      <c r="CU239" s="72">
        <v>0</v>
      </c>
      <c r="CV239" s="72">
        <v>0</v>
      </c>
      <c r="CW239" s="72">
        <v>0</v>
      </c>
      <c r="CX239" s="72">
        <v>0</v>
      </c>
      <c r="CY239" s="72">
        <v>0</v>
      </c>
      <c r="CZ239" s="72">
        <v>0</v>
      </c>
      <c r="DA239" s="72">
        <v>0</v>
      </c>
      <c r="DB239" s="72">
        <v>0</v>
      </c>
      <c r="DC239" s="72">
        <v>0</v>
      </c>
      <c r="DD239" s="72">
        <v>0</v>
      </c>
      <c r="DE239" s="72">
        <v>0</v>
      </c>
      <c r="DF239" s="72">
        <v>0</v>
      </c>
      <c r="DG239" s="72">
        <v>0</v>
      </c>
      <c r="DH239" s="72">
        <v>0</v>
      </c>
      <c r="DI239" s="72">
        <v>0</v>
      </c>
      <c r="DJ239" s="72">
        <v>0</v>
      </c>
      <c r="DK239" s="72">
        <v>0</v>
      </c>
      <c r="DL239" s="72">
        <v>0</v>
      </c>
      <c r="DM239" s="72">
        <v>0</v>
      </c>
      <c r="DN239" s="72">
        <v>0</v>
      </c>
      <c r="DO239" s="72">
        <v>0</v>
      </c>
      <c r="DP239" s="72">
        <v>0</v>
      </c>
      <c r="DQ239" s="72">
        <v>0</v>
      </c>
      <c r="DR239" s="72">
        <v>0</v>
      </c>
      <c r="DS239" s="72">
        <v>0</v>
      </c>
      <c r="DT239" s="72">
        <v>0</v>
      </c>
      <c r="DU239" s="72">
        <v>0</v>
      </c>
      <c r="DV239" s="72">
        <v>0</v>
      </c>
      <c r="DW239" s="72">
        <v>0</v>
      </c>
      <c r="DX239" s="72">
        <v>0</v>
      </c>
      <c r="DY239" s="72">
        <v>0</v>
      </c>
      <c r="DZ239" s="72">
        <v>0</v>
      </c>
      <c r="EA239" s="72">
        <v>0</v>
      </c>
      <c r="EB239" s="72">
        <v>0</v>
      </c>
      <c r="EC239" s="72">
        <v>0</v>
      </c>
      <c r="ED239" s="72">
        <v>0</v>
      </c>
      <c r="EE239" s="72">
        <v>0</v>
      </c>
      <c r="EF239" s="72">
        <v>0</v>
      </c>
      <c r="EG239" s="72">
        <v>0</v>
      </c>
      <c r="EH239" s="72">
        <v>0</v>
      </c>
      <c r="EI239" s="72">
        <v>0</v>
      </c>
      <c r="EJ239" s="72">
        <v>0</v>
      </c>
      <c r="EK239" s="72">
        <v>0</v>
      </c>
      <c r="EL239" s="72">
        <v>0</v>
      </c>
    </row>
    <row r="240" spans="1:142" s="6" customFormat="1" x14ac:dyDescent="0.35">
      <c r="A240" s="59">
        <f>Данные!A240</f>
        <v>5791</v>
      </c>
      <c r="B240" s="59">
        <f>Данные!B240</f>
        <v>2018</v>
      </c>
      <c r="C240" s="59" t="str">
        <f>Данные!C240</f>
        <v>компьютерных технологий и электронного обучения</v>
      </c>
      <c r="D240" s="59" t="str">
        <f>Данные!D240</f>
        <v>Шалденкова Анна Владимировна</v>
      </c>
      <c r="E240" s="59" t="str">
        <f>Данные!E240</f>
        <v>кандидат физ.-мат. наук</v>
      </c>
      <c r="F240" s="59" t="str">
        <f>Данные!F240</f>
        <v>доцент</v>
      </c>
      <c r="G240" s="59">
        <f>Данные!G240</f>
        <v>1</v>
      </c>
      <c r="H240" s="59">
        <f>Данные!H240</f>
        <v>17236</v>
      </c>
      <c r="I240" s="59" t="str">
        <f>Данные!I240</f>
        <v>Модуль "Естественно-математический". Математические основы компьютерной графики</v>
      </c>
      <c r="J240" s="59">
        <f>Данные!J240</f>
        <v>0</v>
      </c>
      <c r="K240" s="59">
        <f>Данные!K240</f>
        <v>0</v>
      </c>
      <c r="L240" s="59">
        <f>Данные!L240</f>
        <v>20</v>
      </c>
      <c r="M240" s="60">
        <f t="shared" si="27"/>
        <v>2</v>
      </c>
      <c r="N240" s="60">
        <f t="shared" ca="1" si="28"/>
        <v>11.57</v>
      </c>
      <c r="O240" s="60">
        <f t="shared" ca="1" si="29"/>
        <v>7.25</v>
      </c>
      <c r="P240" s="60">
        <f t="shared" ca="1" si="30"/>
        <v>7.25</v>
      </c>
      <c r="Q240" s="54">
        <f>Данные!Q240</f>
        <v>0</v>
      </c>
      <c r="R240" s="54">
        <f>Данные!R240</f>
        <v>0</v>
      </c>
      <c r="S240" s="54">
        <f>Данные!S240</f>
        <v>0</v>
      </c>
      <c r="T240" s="54">
        <f>Данные!T240</f>
        <v>0</v>
      </c>
      <c r="U240" s="54">
        <f>Данные!U240</f>
        <v>0</v>
      </c>
      <c r="V240" s="54">
        <f>Данные!V240</f>
        <v>0</v>
      </c>
      <c r="W240" s="54">
        <f ca="1">Данные!W240</f>
        <v>29</v>
      </c>
      <c r="X240" s="54" t="str">
        <f ca="1">Данные!X240</f>
        <v>1</v>
      </c>
      <c r="Y240" s="54" t="str">
        <f ca="1">Данные!Y240</f>
        <v>2</v>
      </c>
      <c r="Z240" s="54">
        <f>Данные!Z240</f>
        <v>0</v>
      </c>
      <c r="AA240" s="54" t="str">
        <f>Данные!AA240</f>
        <v>доп</v>
      </c>
      <c r="AB240" s="101">
        <f t="shared" si="31"/>
        <v>800</v>
      </c>
      <c r="AC240" s="101" t="str">
        <f t="shared" si="32"/>
        <v>ИВТ (бак)</v>
      </c>
      <c r="AD240" s="101" t="str">
        <f t="shared" si="33"/>
        <v/>
      </c>
      <c r="AE240" s="102">
        <f t="shared" ca="1" si="34"/>
        <v>48.07</v>
      </c>
      <c r="AF240" s="103">
        <f t="shared" ca="1" si="35"/>
        <v>6.0087500000000002E-2</v>
      </c>
      <c r="AG240" s="101"/>
      <c r="AH240" s="101"/>
      <c r="AI240"/>
      <c r="BQ240" s="72">
        <v>0</v>
      </c>
      <c r="BR240" s="72">
        <v>0</v>
      </c>
      <c r="BS240" s="72">
        <v>0</v>
      </c>
      <c r="BT240" s="72">
        <v>0</v>
      </c>
      <c r="BU240" s="72">
        <v>0</v>
      </c>
      <c r="BV240" s="72">
        <v>0</v>
      </c>
      <c r="BW240" s="72">
        <v>0</v>
      </c>
      <c r="BX240" s="72">
        <v>0</v>
      </c>
      <c r="BY240" s="72">
        <v>0</v>
      </c>
      <c r="BZ240" s="72">
        <v>0</v>
      </c>
      <c r="CA240" s="72">
        <v>0</v>
      </c>
      <c r="CB240" s="72">
        <v>0</v>
      </c>
      <c r="CC240" s="72">
        <v>0</v>
      </c>
      <c r="CD240" s="72">
        <v>0</v>
      </c>
      <c r="CE240" s="72">
        <v>0</v>
      </c>
      <c r="CF240" s="72">
        <v>0</v>
      </c>
      <c r="CG240" s="72">
        <v>0</v>
      </c>
      <c r="CH240" s="72">
        <v>0</v>
      </c>
      <c r="CI240" s="72">
        <v>0</v>
      </c>
      <c r="CJ240" s="72">
        <v>0</v>
      </c>
      <c r="CK240" s="72">
        <v>0</v>
      </c>
      <c r="CL240" s="72">
        <v>0</v>
      </c>
      <c r="CM240" s="72">
        <v>0</v>
      </c>
      <c r="CN240" s="72">
        <v>0</v>
      </c>
      <c r="CO240" s="72">
        <v>0</v>
      </c>
      <c r="CP240" s="72">
        <v>0</v>
      </c>
      <c r="CQ240" s="72">
        <v>0</v>
      </c>
      <c r="CR240" s="72">
        <v>0</v>
      </c>
      <c r="CS240" s="72">
        <v>0</v>
      </c>
      <c r="CT240" s="72">
        <v>0</v>
      </c>
      <c r="CU240" s="72">
        <v>0</v>
      </c>
      <c r="CV240" s="72">
        <v>0</v>
      </c>
      <c r="CW240" s="72">
        <v>0</v>
      </c>
      <c r="CX240" s="72">
        <v>0</v>
      </c>
      <c r="CY240" s="72">
        <v>0</v>
      </c>
      <c r="CZ240" s="72">
        <v>0</v>
      </c>
      <c r="DA240" s="72">
        <v>0</v>
      </c>
      <c r="DB240" s="72">
        <v>0</v>
      </c>
      <c r="DC240" s="72">
        <v>0</v>
      </c>
      <c r="DD240" s="72">
        <v>0</v>
      </c>
      <c r="DE240" s="72">
        <v>0</v>
      </c>
      <c r="DF240" s="72">
        <v>0</v>
      </c>
      <c r="DG240" s="72">
        <v>0</v>
      </c>
      <c r="DH240" s="72">
        <v>0</v>
      </c>
      <c r="DI240" s="72">
        <v>0</v>
      </c>
      <c r="DJ240" s="72">
        <v>0</v>
      </c>
      <c r="DK240" s="72">
        <v>0</v>
      </c>
      <c r="DL240" s="72">
        <v>0</v>
      </c>
      <c r="DM240" s="72">
        <v>0</v>
      </c>
      <c r="DN240" s="72">
        <v>0</v>
      </c>
      <c r="DO240" s="72">
        <v>0</v>
      </c>
      <c r="DP240" s="72">
        <v>0</v>
      </c>
      <c r="DQ240" s="72">
        <v>0</v>
      </c>
      <c r="DR240" s="72">
        <v>0</v>
      </c>
      <c r="DS240" s="72">
        <v>0</v>
      </c>
      <c r="DT240" s="72">
        <v>0</v>
      </c>
      <c r="DU240" s="72">
        <v>0</v>
      </c>
      <c r="DV240" s="72">
        <v>0</v>
      </c>
      <c r="DW240" s="72">
        <v>0</v>
      </c>
      <c r="DX240" s="72">
        <v>0</v>
      </c>
      <c r="DY240" s="72">
        <v>0</v>
      </c>
      <c r="DZ240" s="72">
        <v>0</v>
      </c>
      <c r="EA240" s="72">
        <v>0</v>
      </c>
      <c r="EB240" s="72">
        <v>0</v>
      </c>
      <c r="EC240" s="72">
        <v>0</v>
      </c>
      <c r="ED240" s="72">
        <v>0</v>
      </c>
      <c r="EE240" s="72">
        <v>0</v>
      </c>
      <c r="EF240" s="72">
        <v>0</v>
      </c>
      <c r="EG240" s="72">
        <v>0</v>
      </c>
      <c r="EH240" s="72">
        <v>0</v>
      </c>
      <c r="EI240" s="72">
        <v>0</v>
      </c>
      <c r="EJ240" s="72">
        <v>0</v>
      </c>
      <c r="EK240" s="72">
        <v>0</v>
      </c>
      <c r="EL240" s="72">
        <v>0</v>
      </c>
    </row>
    <row r="241" spans="1:142" s="6" customFormat="1" x14ac:dyDescent="0.35">
      <c r="A241" s="59">
        <f>Данные!A241</f>
        <v>5791</v>
      </c>
      <c r="B241" s="59">
        <f>Данные!B241</f>
        <v>2018</v>
      </c>
      <c r="C241" s="59" t="str">
        <f>Данные!C241</f>
        <v>компьютерных технологий и электронного обучения</v>
      </c>
      <c r="D241" s="59" t="str">
        <f>Данные!D241</f>
        <v>Шалденкова Анна Владимировна</v>
      </c>
      <c r="E241" s="59" t="str">
        <f>Данные!E241</f>
        <v>кандидат физ.-мат. наук</v>
      </c>
      <c r="F241" s="59" t="str">
        <f>Данные!F241</f>
        <v>доцент</v>
      </c>
      <c r="G241" s="59">
        <f>Данные!G241</f>
        <v>1</v>
      </c>
      <c r="H241" s="59">
        <f>Данные!H241</f>
        <v>17236</v>
      </c>
      <c r="I241" s="59" t="str">
        <f>Данные!I241</f>
        <v>Модуль "Системное и прикладное программное обеспечение". Базы данных</v>
      </c>
      <c r="J241" s="59">
        <f>Данные!J241</f>
        <v>36</v>
      </c>
      <c r="K241" s="59">
        <f>Данные!K241</f>
        <v>0</v>
      </c>
      <c r="L241" s="59">
        <f>Данные!L241</f>
        <v>108</v>
      </c>
      <c r="M241" s="60">
        <f t="shared" si="27"/>
        <v>14.4</v>
      </c>
      <c r="N241" s="60">
        <f t="shared" ca="1" si="28"/>
        <v>11.57</v>
      </c>
      <c r="O241" s="60">
        <f t="shared" ca="1" si="29"/>
        <v>7.25</v>
      </c>
      <c r="P241" s="60">
        <f t="shared" ca="1" si="30"/>
        <v>7.25</v>
      </c>
      <c r="Q241" s="54">
        <f>Данные!Q241</f>
        <v>0</v>
      </c>
      <c r="R241" s="54">
        <f>Данные!R241</f>
        <v>0</v>
      </c>
      <c r="S241" s="54">
        <f>Данные!S241</f>
        <v>0</v>
      </c>
      <c r="T241" s="54">
        <f>Данные!T241</f>
        <v>0</v>
      </c>
      <c r="U241" s="54">
        <f>Данные!U241</f>
        <v>0</v>
      </c>
      <c r="V241" s="54">
        <f>Данные!V241</f>
        <v>0</v>
      </c>
      <c r="W241" s="54">
        <f ca="1">Данные!W241</f>
        <v>29</v>
      </c>
      <c r="X241" s="54" t="str">
        <f ca="1">Данные!X241</f>
        <v>1</v>
      </c>
      <c r="Y241" s="54" t="str">
        <f ca="1">Данные!Y241</f>
        <v>2</v>
      </c>
      <c r="Z241" s="54">
        <f>Данные!Z241</f>
        <v>0</v>
      </c>
      <c r="AA241" s="54" t="str">
        <f>Данные!AA241</f>
        <v>доп</v>
      </c>
      <c r="AB241" s="101">
        <f t="shared" si="31"/>
        <v>800</v>
      </c>
      <c r="AC241" s="101" t="str">
        <f t="shared" si="32"/>
        <v>ИВТ (бак)</v>
      </c>
      <c r="AD241" s="101" t="str">
        <f t="shared" si="33"/>
        <v/>
      </c>
      <c r="AE241" s="102">
        <f t="shared" ca="1" si="34"/>
        <v>184.47</v>
      </c>
      <c r="AF241" s="103">
        <f t="shared" ca="1" si="35"/>
        <v>0.2305875</v>
      </c>
      <c r="AG241" s="101"/>
      <c r="AH241" s="101"/>
      <c r="AI241"/>
      <c r="BQ241" s="72">
        <v>0</v>
      </c>
      <c r="BR241" s="72">
        <v>0</v>
      </c>
      <c r="BS241" s="72">
        <v>0</v>
      </c>
      <c r="BT241" s="72">
        <v>0</v>
      </c>
      <c r="BU241" s="72">
        <v>0</v>
      </c>
      <c r="BV241" s="72">
        <v>0</v>
      </c>
      <c r="BW241" s="72">
        <v>0</v>
      </c>
      <c r="BX241" s="72">
        <v>0</v>
      </c>
      <c r="BY241" s="72">
        <v>0</v>
      </c>
      <c r="BZ241" s="72">
        <v>0</v>
      </c>
      <c r="CA241" s="72">
        <v>0</v>
      </c>
      <c r="CB241" s="72">
        <v>0</v>
      </c>
      <c r="CC241" s="72">
        <v>0</v>
      </c>
      <c r="CD241" s="72">
        <v>0</v>
      </c>
      <c r="CE241" s="72">
        <v>0</v>
      </c>
      <c r="CF241" s="72">
        <v>0</v>
      </c>
      <c r="CG241" s="72">
        <v>0</v>
      </c>
      <c r="CH241" s="72">
        <v>0</v>
      </c>
      <c r="CI241" s="72">
        <v>0</v>
      </c>
      <c r="CJ241" s="72">
        <v>0</v>
      </c>
      <c r="CK241" s="72">
        <v>0</v>
      </c>
      <c r="CL241" s="72">
        <v>0</v>
      </c>
      <c r="CM241" s="72">
        <v>0</v>
      </c>
      <c r="CN241" s="72">
        <v>0</v>
      </c>
      <c r="CO241" s="72">
        <v>0</v>
      </c>
      <c r="CP241" s="72">
        <v>0</v>
      </c>
      <c r="CQ241" s="72">
        <v>0</v>
      </c>
      <c r="CR241" s="72">
        <v>0</v>
      </c>
      <c r="CS241" s="72">
        <v>0</v>
      </c>
      <c r="CT241" s="72">
        <v>0</v>
      </c>
      <c r="CU241" s="72">
        <v>0</v>
      </c>
      <c r="CV241" s="72">
        <v>0</v>
      </c>
      <c r="CW241" s="72">
        <v>0</v>
      </c>
      <c r="CX241" s="72">
        <v>0</v>
      </c>
      <c r="CY241" s="72">
        <v>0</v>
      </c>
      <c r="CZ241" s="72">
        <v>0</v>
      </c>
      <c r="DA241" s="72">
        <v>0</v>
      </c>
      <c r="DB241" s="72">
        <v>0</v>
      </c>
      <c r="DC241" s="72">
        <v>0</v>
      </c>
      <c r="DD241" s="72">
        <v>0</v>
      </c>
      <c r="DE241" s="72">
        <v>0</v>
      </c>
      <c r="DF241" s="72">
        <v>0</v>
      </c>
      <c r="DG241" s="72">
        <v>0</v>
      </c>
      <c r="DH241" s="72">
        <v>0</v>
      </c>
      <c r="DI241" s="72">
        <v>0</v>
      </c>
      <c r="DJ241" s="72">
        <v>0</v>
      </c>
      <c r="DK241" s="72">
        <v>0</v>
      </c>
      <c r="DL241" s="72">
        <v>0</v>
      </c>
      <c r="DM241" s="72">
        <v>0</v>
      </c>
      <c r="DN241" s="72">
        <v>0</v>
      </c>
      <c r="DO241" s="72">
        <v>0</v>
      </c>
      <c r="DP241" s="72">
        <v>0</v>
      </c>
      <c r="DQ241" s="72">
        <v>0</v>
      </c>
      <c r="DR241" s="72">
        <v>0</v>
      </c>
      <c r="DS241" s="72">
        <v>0</v>
      </c>
      <c r="DT241" s="72">
        <v>0</v>
      </c>
      <c r="DU241" s="72">
        <v>0</v>
      </c>
      <c r="DV241" s="72">
        <v>0</v>
      </c>
      <c r="DW241" s="72">
        <v>0</v>
      </c>
      <c r="DX241" s="72">
        <v>0</v>
      </c>
      <c r="DY241" s="72">
        <v>0</v>
      </c>
      <c r="DZ241" s="72">
        <v>0</v>
      </c>
      <c r="EA241" s="72">
        <v>0</v>
      </c>
      <c r="EB241" s="72">
        <v>0</v>
      </c>
      <c r="EC241" s="72">
        <v>0</v>
      </c>
      <c r="ED241" s="72">
        <v>0</v>
      </c>
      <c r="EE241" s="72">
        <v>0</v>
      </c>
      <c r="EF241" s="72">
        <v>0</v>
      </c>
      <c r="EG241" s="72">
        <v>0</v>
      </c>
      <c r="EH241" s="72">
        <v>0</v>
      </c>
      <c r="EI241" s="72">
        <v>0</v>
      </c>
      <c r="EJ241" s="72">
        <v>0</v>
      </c>
      <c r="EK241" s="72">
        <v>0</v>
      </c>
      <c r="EL241" s="72">
        <v>0</v>
      </c>
    </row>
    <row r="242" spans="1:142" s="6" customFormat="1" x14ac:dyDescent="0.35">
      <c r="A242" s="59">
        <f>Данные!A242</f>
        <v>5792</v>
      </c>
      <c r="B242" s="59">
        <f>Данные!B242</f>
        <v>2017</v>
      </c>
      <c r="C242" s="59" t="str">
        <f>Данные!C242</f>
        <v>компьютерных технологий и электронного обучения</v>
      </c>
      <c r="D242" s="59" t="str">
        <f>Данные!D242</f>
        <v>Аксютин Павел Александрович</v>
      </c>
      <c r="E242" s="59" t="str">
        <f>Данные!E242</f>
        <v>нет</v>
      </c>
      <c r="F242" s="59" t="str">
        <f>Данные!F242</f>
        <v>ассистент</v>
      </c>
      <c r="G242" s="59">
        <f>Данные!G242</f>
        <v>0.5</v>
      </c>
      <c r="H242" s="59">
        <f>Данные!H242</f>
        <v>16561</v>
      </c>
      <c r="I242" s="59" t="str">
        <f>Данные!I242</f>
        <v>Модуль "Введение в информационные технологии". Информационные технологии</v>
      </c>
      <c r="J242" s="59">
        <f>Данные!J242</f>
        <v>16</v>
      </c>
      <c r="K242" s="59">
        <f>Данные!K242</f>
        <v>0</v>
      </c>
      <c r="L242" s="59">
        <f>Данные!L242</f>
        <v>64</v>
      </c>
      <c r="M242" s="60">
        <f t="shared" si="27"/>
        <v>8</v>
      </c>
      <c r="N242" s="60">
        <f t="shared" ca="1" si="28"/>
        <v>4.6400000000000006</v>
      </c>
      <c r="O242" s="60">
        <f t="shared" ca="1" si="29"/>
        <v>2</v>
      </c>
      <c r="P242" s="60">
        <f t="shared" ca="1" si="30"/>
        <v>2</v>
      </c>
      <c r="Q242" s="54">
        <f>Данные!Q242</f>
        <v>0</v>
      </c>
      <c r="R242" s="54">
        <f>Данные!R242</f>
        <v>0</v>
      </c>
      <c r="S242" s="54">
        <f>Данные!S242</f>
        <v>0</v>
      </c>
      <c r="T242" s="54">
        <f>Данные!T242</f>
        <v>16</v>
      </c>
      <c r="U242" s="54">
        <f>Данные!U242</f>
        <v>0</v>
      </c>
      <c r="V242" s="54">
        <f>Данные!V242</f>
        <v>0</v>
      </c>
      <c r="W242" s="54">
        <f ca="1">Данные!W242</f>
        <v>8</v>
      </c>
      <c r="X242" s="54" t="str">
        <f ca="1">Данные!X242</f>
        <v>1</v>
      </c>
      <c r="Y242" s="54" t="str">
        <f ca="1">Данные!Y242</f>
        <v>1</v>
      </c>
      <c r="Z242" s="54">
        <f>Данные!Z242</f>
        <v>0</v>
      </c>
      <c r="AA242" s="54" t="str">
        <f>Данные!AA242</f>
        <v>осн</v>
      </c>
      <c r="AB242" s="101">
        <f t="shared" si="31"/>
        <v>900</v>
      </c>
      <c r="AC242" s="101" t="str">
        <f t="shared" si="32"/>
        <v/>
      </c>
      <c r="AD242" s="101" t="str">
        <f t="shared" si="33"/>
        <v/>
      </c>
      <c r="AE242" s="102">
        <f t="shared" ca="1" si="34"/>
        <v>112.64</v>
      </c>
      <c r="AF242" s="103">
        <f t="shared" ca="1" si="35"/>
        <v>0.12515555555555555</v>
      </c>
      <c r="AG242" s="101"/>
      <c r="AH242" s="101"/>
      <c r="AI242"/>
      <c r="BQ242" s="72">
        <v>0</v>
      </c>
      <c r="BR242" s="72">
        <v>0</v>
      </c>
      <c r="BS242" s="72">
        <v>0</v>
      </c>
      <c r="BT242" s="72">
        <v>0</v>
      </c>
      <c r="BU242" s="72">
        <v>0</v>
      </c>
      <c r="BV242" s="72">
        <v>0</v>
      </c>
      <c r="BW242" s="72">
        <v>0</v>
      </c>
      <c r="BX242" s="72">
        <v>0</v>
      </c>
      <c r="BY242" s="72">
        <v>0</v>
      </c>
      <c r="BZ242" s="72">
        <v>0</v>
      </c>
      <c r="CA242" s="72">
        <v>0</v>
      </c>
      <c r="CB242" s="72">
        <v>0</v>
      </c>
      <c r="CC242" s="72">
        <v>0</v>
      </c>
      <c r="CD242" s="72">
        <v>0</v>
      </c>
      <c r="CE242" s="72">
        <v>0</v>
      </c>
      <c r="CF242" s="72">
        <v>0</v>
      </c>
      <c r="CG242" s="72">
        <v>0</v>
      </c>
      <c r="CH242" s="72">
        <v>0</v>
      </c>
      <c r="CI242" s="72">
        <v>0</v>
      </c>
      <c r="CJ242" s="72">
        <v>0</v>
      </c>
      <c r="CK242" s="72">
        <v>0</v>
      </c>
      <c r="CL242" s="72">
        <v>0</v>
      </c>
      <c r="CM242" s="72">
        <v>0</v>
      </c>
      <c r="CN242" s="72">
        <v>0</v>
      </c>
      <c r="CO242" s="72">
        <v>0</v>
      </c>
      <c r="CP242" s="72">
        <v>0</v>
      </c>
      <c r="CQ242" s="72">
        <v>0</v>
      </c>
      <c r="CR242" s="72">
        <v>0</v>
      </c>
      <c r="CS242" s="72">
        <v>0</v>
      </c>
      <c r="CT242" s="72">
        <v>0</v>
      </c>
      <c r="CU242" s="72">
        <v>0</v>
      </c>
      <c r="CV242" s="72">
        <v>0</v>
      </c>
      <c r="CW242" s="72">
        <v>0</v>
      </c>
      <c r="CX242" s="72">
        <v>0</v>
      </c>
      <c r="CY242" s="72">
        <v>0</v>
      </c>
      <c r="CZ242" s="72">
        <v>0</v>
      </c>
      <c r="DA242" s="72">
        <v>0</v>
      </c>
      <c r="DB242" s="72">
        <v>0</v>
      </c>
      <c r="DC242" s="72">
        <v>0</v>
      </c>
      <c r="DD242" s="72">
        <v>0</v>
      </c>
      <c r="DE242" s="72">
        <v>0</v>
      </c>
      <c r="DF242" s="72">
        <v>0</v>
      </c>
      <c r="DG242" s="72">
        <v>0</v>
      </c>
      <c r="DH242" s="72">
        <v>0</v>
      </c>
      <c r="DI242" s="72">
        <v>0</v>
      </c>
      <c r="DJ242" s="72">
        <v>0</v>
      </c>
      <c r="DK242" s="72">
        <v>0</v>
      </c>
      <c r="DL242" s="72">
        <v>0</v>
      </c>
      <c r="DM242" s="72">
        <v>0</v>
      </c>
      <c r="DN242" s="72">
        <v>0</v>
      </c>
      <c r="DO242" s="72">
        <v>0</v>
      </c>
      <c r="DP242" s="72">
        <v>0</v>
      </c>
      <c r="DQ242" s="72">
        <v>0</v>
      </c>
      <c r="DR242" s="72">
        <v>0</v>
      </c>
      <c r="DS242" s="72">
        <v>0</v>
      </c>
      <c r="DT242" s="72">
        <v>0</v>
      </c>
      <c r="DU242" s="72">
        <v>0</v>
      </c>
      <c r="DV242" s="72">
        <v>0</v>
      </c>
      <c r="DW242" s="72">
        <v>0</v>
      </c>
      <c r="DX242" s="72">
        <v>0</v>
      </c>
      <c r="DY242" s="72">
        <v>0</v>
      </c>
      <c r="DZ242" s="72">
        <v>0</v>
      </c>
      <c r="EA242" s="72">
        <v>0</v>
      </c>
      <c r="EB242" s="72">
        <v>0</v>
      </c>
      <c r="EC242" s="72">
        <v>0</v>
      </c>
      <c r="ED242" s="72">
        <v>0</v>
      </c>
      <c r="EE242" s="72">
        <v>0</v>
      </c>
      <c r="EF242" s="72">
        <v>0</v>
      </c>
      <c r="EG242" s="72">
        <v>0</v>
      </c>
      <c r="EH242" s="72">
        <v>0</v>
      </c>
      <c r="EI242" s="72">
        <v>0</v>
      </c>
      <c r="EJ242" s="72">
        <v>0</v>
      </c>
      <c r="EK242" s="72">
        <v>0</v>
      </c>
      <c r="EL242" s="72">
        <v>0</v>
      </c>
    </row>
    <row r="243" spans="1:142" s="6" customFormat="1" x14ac:dyDescent="0.35">
      <c r="A243" s="59">
        <f>Данные!A243</f>
        <v>5792</v>
      </c>
      <c r="B243" s="59">
        <f>Данные!B243</f>
        <v>2017</v>
      </c>
      <c r="C243" s="59" t="str">
        <f>Данные!C243</f>
        <v>компьютерных технологий и электронного обучения</v>
      </c>
      <c r="D243" s="59" t="str">
        <f>Данные!D243</f>
        <v>Власова Елена Зотиковна</v>
      </c>
      <c r="E243" s="59" t="str">
        <f>Данные!E243</f>
        <v>доктор педагогических наук</v>
      </c>
      <c r="F243" s="59" t="str">
        <f>Данные!F243</f>
        <v>заведующий кафедрой</v>
      </c>
      <c r="G243" s="59">
        <f>Данные!G243</f>
        <v>1</v>
      </c>
      <c r="H243" s="59">
        <f>Данные!H243</f>
        <v>16561</v>
      </c>
      <c r="I243" s="59" t="str">
        <f>Данные!I243</f>
        <v>Модуль "Введение в информационные технологии". Информатика</v>
      </c>
      <c r="J243" s="59">
        <f>Данные!J243</f>
        <v>0</v>
      </c>
      <c r="K243" s="59">
        <f>Данные!K243</f>
        <v>0</v>
      </c>
      <c r="L243" s="59">
        <f>Данные!L243</f>
        <v>8</v>
      </c>
      <c r="M243" s="60">
        <f t="shared" si="27"/>
        <v>0.8</v>
      </c>
      <c r="N243" s="60">
        <f t="shared" ca="1" si="28"/>
        <v>4.6400000000000006</v>
      </c>
      <c r="O243" s="60">
        <f t="shared" ca="1" si="29"/>
        <v>2</v>
      </c>
      <c r="P243" s="60">
        <f t="shared" ca="1" si="30"/>
        <v>2</v>
      </c>
      <c r="Q243" s="54">
        <f>Данные!Q243</f>
        <v>0</v>
      </c>
      <c r="R243" s="54">
        <f>Данные!R243</f>
        <v>0</v>
      </c>
      <c r="S243" s="54">
        <f>Данные!S243</f>
        <v>0</v>
      </c>
      <c r="T243" s="54">
        <f>Данные!T243</f>
        <v>0</v>
      </c>
      <c r="U243" s="54">
        <f>Данные!U243</f>
        <v>0</v>
      </c>
      <c r="V243" s="54">
        <f>Данные!V243</f>
        <v>0</v>
      </c>
      <c r="W243" s="54">
        <f ca="1">Данные!W243</f>
        <v>8</v>
      </c>
      <c r="X243" s="54" t="str">
        <f ca="1">Данные!X243</f>
        <v>1</v>
      </c>
      <c r="Y243" s="54" t="str">
        <f ca="1">Данные!Y243</f>
        <v>1</v>
      </c>
      <c r="Z243" s="54">
        <f>Данные!Z243</f>
        <v>0</v>
      </c>
      <c r="AA243" s="54" t="str">
        <f>Данные!AA243</f>
        <v>осн</v>
      </c>
      <c r="AB243" s="101">
        <f t="shared" si="31"/>
        <v>700</v>
      </c>
      <c r="AC243" s="101" t="str">
        <f t="shared" si="32"/>
        <v/>
      </c>
      <c r="AD243" s="101" t="str">
        <f t="shared" si="33"/>
        <v/>
      </c>
      <c r="AE243" s="102">
        <f t="shared" ca="1" si="34"/>
        <v>17.440000000000001</v>
      </c>
      <c r="AF243" s="103">
        <f t="shared" ca="1" si="35"/>
        <v>2.4914285714285715E-2</v>
      </c>
      <c r="AG243" s="101"/>
      <c r="AH243" s="101"/>
      <c r="AI243"/>
      <c r="BQ243" s="72">
        <v>0</v>
      </c>
      <c r="BR243" s="72">
        <v>0</v>
      </c>
      <c r="BS243" s="72">
        <v>0</v>
      </c>
      <c r="BT243" s="72">
        <v>0</v>
      </c>
      <c r="BU243" s="72">
        <v>0</v>
      </c>
      <c r="BV243" s="72">
        <v>0</v>
      </c>
      <c r="BW243" s="72">
        <v>0</v>
      </c>
      <c r="BX243" s="72">
        <v>0</v>
      </c>
      <c r="BY243" s="72">
        <v>0</v>
      </c>
      <c r="BZ243" s="72">
        <v>0</v>
      </c>
      <c r="CA243" s="72">
        <v>0</v>
      </c>
      <c r="CB243" s="72">
        <v>0</v>
      </c>
      <c r="CC243" s="72">
        <v>0</v>
      </c>
      <c r="CD243" s="72">
        <v>0</v>
      </c>
      <c r="CE243" s="72">
        <v>0</v>
      </c>
      <c r="CF243" s="72">
        <v>0</v>
      </c>
      <c r="CG243" s="72">
        <v>0</v>
      </c>
      <c r="CH243" s="72">
        <v>0</v>
      </c>
      <c r="CI243" s="72">
        <v>0</v>
      </c>
      <c r="CJ243" s="72">
        <v>0</v>
      </c>
      <c r="CK243" s="72">
        <v>0</v>
      </c>
      <c r="CL243" s="72">
        <v>0</v>
      </c>
      <c r="CM243" s="72">
        <v>0</v>
      </c>
      <c r="CN243" s="72">
        <v>0</v>
      </c>
      <c r="CO243" s="72">
        <v>0</v>
      </c>
      <c r="CP243" s="72">
        <v>0</v>
      </c>
      <c r="CQ243" s="72">
        <v>0</v>
      </c>
      <c r="CR243" s="72">
        <v>0</v>
      </c>
      <c r="CS243" s="72">
        <v>0</v>
      </c>
      <c r="CT243" s="72">
        <v>0</v>
      </c>
      <c r="CU243" s="72">
        <v>0</v>
      </c>
      <c r="CV243" s="72">
        <v>0</v>
      </c>
      <c r="CW243" s="72">
        <v>0</v>
      </c>
      <c r="CX243" s="72">
        <v>0</v>
      </c>
      <c r="CY243" s="72">
        <v>0</v>
      </c>
      <c r="CZ243" s="72">
        <v>0</v>
      </c>
      <c r="DA243" s="72">
        <v>0</v>
      </c>
      <c r="DB243" s="72">
        <v>0</v>
      </c>
      <c r="DC243" s="72">
        <v>0</v>
      </c>
      <c r="DD243" s="72">
        <v>0</v>
      </c>
      <c r="DE243" s="72">
        <v>0</v>
      </c>
      <c r="DF243" s="72">
        <v>0</v>
      </c>
      <c r="DG243" s="72">
        <v>0</v>
      </c>
      <c r="DH243" s="72">
        <v>0</v>
      </c>
      <c r="DI243" s="72">
        <v>0</v>
      </c>
      <c r="DJ243" s="72">
        <v>0</v>
      </c>
      <c r="DK243" s="72">
        <v>0</v>
      </c>
      <c r="DL243" s="72">
        <v>0</v>
      </c>
      <c r="DM243" s="72">
        <v>0</v>
      </c>
      <c r="DN243" s="72">
        <v>0</v>
      </c>
      <c r="DO243" s="72">
        <v>0</v>
      </c>
      <c r="DP243" s="72">
        <v>0</v>
      </c>
      <c r="DQ243" s="72">
        <v>0</v>
      </c>
      <c r="DR243" s="72">
        <v>0</v>
      </c>
      <c r="DS243" s="72">
        <v>0</v>
      </c>
      <c r="DT243" s="72">
        <v>0</v>
      </c>
      <c r="DU243" s="72">
        <v>0</v>
      </c>
      <c r="DV243" s="72">
        <v>0</v>
      </c>
      <c r="DW243" s="72">
        <v>0</v>
      </c>
      <c r="DX243" s="72">
        <v>0</v>
      </c>
      <c r="DY243" s="72">
        <v>0</v>
      </c>
      <c r="DZ243" s="72">
        <v>0</v>
      </c>
      <c r="EA243" s="72">
        <v>0</v>
      </c>
      <c r="EB243" s="72">
        <v>0</v>
      </c>
      <c r="EC243" s="72">
        <v>0</v>
      </c>
      <c r="ED243" s="72">
        <v>0</v>
      </c>
      <c r="EE243" s="72">
        <v>0</v>
      </c>
      <c r="EF243" s="72">
        <v>0</v>
      </c>
      <c r="EG243" s="72">
        <v>0</v>
      </c>
      <c r="EH243" s="72">
        <v>0</v>
      </c>
      <c r="EI243" s="72">
        <v>0</v>
      </c>
      <c r="EJ243" s="72">
        <v>0</v>
      </c>
      <c r="EK243" s="72">
        <v>0</v>
      </c>
      <c r="EL243" s="72">
        <v>0</v>
      </c>
    </row>
    <row r="244" spans="1:142" s="6" customFormat="1" x14ac:dyDescent="0.35">
      <c r="A244" s="59">
        <f>Данные!A244</f>
        <v>5792</v>
      </c>
      <c r="B244" s="59">
        <f>Данные!B244</f>
        <v>2017</v>
      </c>
      <c r="C244" s="59" t="str">
        <f>Данные!C244</f>
        <v>компьютерных технологий и электронного обучения</v>
      </c>
      <c r="D244" s="59" t="str">
        <f>Данные!D244</f>
        <v>Власова Елена Зотиковна</v>
      </c>
      <c r="E244" s="59" t="str">
        <f>Данные!E244</f>
        <v>доктор педагогических наук</v>
      </c>
      <c r="F244" s="59" t="str">
        <f>Данные!F244</f>
        <v>заведующий кафедрой</v>
      </c>
      <c r="G244" s="59">
        <f>Данные!G244</f>
        <v>1</v>
      </c>
      <c r="H244" s="59">
        <f>Данные!H244</f>
        <v>16561</v>
      </c>
      <c r="I244" s="59" t="str">
        <f>Данные!I244</f>
        <v>Модуль "Введение в информационные технологии". Информационные технологии</v>
      </c>
      <c r="J244" s="59">
        <f>Данные!J244</f>
        <v>0</v>
      </c>
      <c r="K244" s="59">
        <f>Данные!K244</f>
        <v>0</v>
      </c>
      <c r="L244" s="59">
        <f>Данные!L244</f>
        <v>0</v>
      </c>
      <c r="M244" s="60">
        <f t="shared" si="27"/>
        <v>0</v>
      </c>
      <c r="N244" s="60">
        <f t="shared" ca="1" si="28"/>
        <v>4.6400000000000006</v>
      </c>
      <c r="O244" s="60">
        <f t="shared" ca="1" si="29"/>
        <v>2</v>
      </c>
      <c r="P244" s="60">
        <f t="shared" ca="1" si="30"/>
        <v>2</v>
      </c>
      <c r="Q244" s="54">
        <f>Данные!Q244</f>
        <v>0</v>
      </c>
      <c r="R244" s="54">
        <f>Данные!R244</f>
        <v>0</v>
      </c>
      <c r="S244" s="54">
        <f>Данные!S244</f>
        <v>0</v>
      </c>
      <c r="T244" s="54">
        <f>Данные!T244</f>
        <v>2</v>
      </c>
      <c r="U244" s="54">
        <f>Данные!U244</f>
        <v>0</v>
      </c>
      <c r="V244" s="54">
        <f>Данные!V244</f>
        <v>0</v>
      </c>
      <c r="W244" s="54">
        <f ca="1">Данные!W244</f>
        <v>8</v>
      </c>
      <c r="X244" s="54" t="str">
        <f ca="1">Данные!X244</f>
        <v>1</v>
      </c>
      <c r="Y244" s="54" t="str">
        <f ca="1">Данные!Y244</f>
        <v>1</v>
      </c>
      <c r="Z244" s="54">
        <f>Данные!Z244</f>
        <v>0</v>
      </c>
      <c r="AA244" s="54" t="str">
        <f>Данные!AA244</f>
        <v>осн</v>
      </c>
      <c r="AB244" s="101">
        <f t="shared" si="31"/>
        <v>700</v>
      </c>
      <c r="AC244" s="101" t="str">
        <f t="shared" si="32"/>
        <v/>
      </c>
      <c r="AD244" s="101" t="str">
        <f t="shared" si="33"/>
        <v/>
      </c>
      <c r="AE244" s="102">
        <f t="shared" ca="1" si="34"/>
        <v>10.64</v>
      </c>
      <c r="AF244" s="103">
        <f t="shared" ca="1" si="35"/>
        <v>1.52E-2</v>
      </c>
      <c r="AG244" s="101"/>
      <c r="AH244" s="101"/>
      <c r="AI244"/>
      <c r="BQ244" s="72">
        <v>0</v>
      </c>
      <c r="BR244" s="72">
        <v>0</v>
      </c>
      <c r="BS244" s="72">
        <v>0</v>
      </c>
      <c r="BT244" s="72">
        <v>0</v>
      </c>
      <c r="BU244" s="72">
        <v>0</v>
      </c>
      <c r="BV244" s="72">
        <v>0</v>
      </c>
      <c r="BW244" s="72">
        <v>0</v>
      </c>
      <c r="BX244" s="72">
        <v>0</v>
      </c>
      <c r="BY244" s="72">
        <v>0</v>
      </c>
      <c r="BZ244" s="72">
        <v>0</v>
      </c>
      <c r="CA244" s="72">
        <v>0</v>
      </c>
      <c r="CB244" s="72">
        <v>0</v>
      </c>
      <c r="CC244" s="72">
        <v>0</v>
      </c>
      <c r="CD244" s="72">
        <v>0</v>
      </c>
      <c r="CE244" s="72">
        <v>0</v>
      </c>
      <c r="CF244" s="72">
        <v>0</v>
      </c>
      <c r="CG244" s="72">
        <v>0</v>
      </c>
      <c r="CH244" s="72">
        <v>0</v>
      </c>
      <c r="CI244" s="72">
        <v>0</v>
      </c>
      <c r="CJ244" s="72">
        <v>0</v>
      </c>
      <c r="CK244" s="72">
        <v>0</v>
      </c>
      <c r="CL244" s="72">
        <v>0</v>
      </c>
      <c r="CM244" s="72">
        <v>0</v>
      </c>
      <c r="CN244" s="72">
        <v>0</v>
      </c>
      <c r="CO244" s="72">
        <v>0</v>
      </c>
      <c r="CP244" s="72">
        <v>0</v>
      </c>
      <c r="CQ244" s="72">
        <v>0</v>
      </c>
      <c r="CR244" s="72">
        <v>0</v>
      </c>
      <c r="CS244" s="72">
        <v>0</v>
      </c>
      <c r="CT244" s="72">
        <v>0</v>
      </c>
      <c r="CU244" s="72">
        <v>0</v>
      </c>
      <c r="CV244" s="72">
        <v>0</v>
      </c>
      <c r="CW244" s="72">
        <v>0</v>
      </c>
      <c r="CX244" s="72">
        <v>0</v>
      </c>
      <c r="CY244" s="72">
        <v>0</v>
      </c>
      <c r="CZ244" s="72">
        <v>0</v>
      </c>
      <c r="DA244" s="72">
        <v>0</v>
      </c>
      <c r="DB244" s="72">
        <v>0</v>
      </c>
      <c r="DC244" s="72">
        <v>0</v>
      </c>
      <c r="DD244" s="72">
        <v>0</v>
      </c>
      <c r="DE244" s="72">
        <v>0</v>
      </c>
      <c r="DF244" s="72">
        <v>0</v>
      </c>
      <c r="DG244" s="72">
        <v>0</v>
      </c>
      <c r="DH244" s="72">
        <v>0</v>
      </c>
      <c r="DI244" s="72">
        <v>0</v>
      </c>
      <c r="DJ244" s="72">
        <v>0</v>
      </c>
      <c r="DK244" s="72">
        <v>0</v>
      </c>
      <c r="DL244" s="72">
        <v>0</v>
      </c>
      <c r="DM244" s="72">
        <v>0</v>
      </c>
      <c r="DN244" s="72">
        <v>0</v>
      </c>
      <c r="DO244" s="72">
        <v>0</v>
      </c>
      <c r="DP244" s="72">
        <v>0</v>
      </c>
      <c r="DQ244" s="72">
        <v>0</v>
      </c>
      <c r="DR244" s="72">
        <v>0</v>
      </c>
      <c r="DS244" s="72">
        <v>0</v>
      </c>
      <c r="DT244" s="72">
        <v>0</v>
      </c>
      <c r="DU244" s="72">
        <v>0</v>
      </c>
      <c r="DV244" s="72">
        <v>0</v>
      </c>
      <c r="DW244" s="72">
        <v>0</v>
      </c>
      <c r="DX244" s="72">
        <v>0</v>
      </c>
      <c r="DY244" s="72">
        <v>0</v>
      </c>
      <c r="DZ244" s="72">
        <v>0</v>
      </c>
      <c r="EA244" s="72">
        <v>0</v>
      </c>
      <c r="EB244" s="72">
        <v>0</v>
      </c>
      <c r="EC244" s="72">
        <v>0</v>
      </c>
      <c r="ED244" s="72">
        <v>0</v>
      </c>
      <c r="EE244" s="72">
        <v>0</v>
      </c>
      <c r="EF244" s="72">
        <v>0</v>
      </c>
      <c r="EG244" s="72">
        <v>0</v>
      </c>
      <c r="EH244" s="72">
        <v>0</v>
      </c>
      <c r="EI244" s="72">
        <v>0</v>
      </c>
      <c r="EJ244" s="72">
        <v>0</v>
      </c>
      <c r="EK244" s="72">
        <v>0</v>
      </c>
      <c r="EL244" s="72">
        <v>0</v>
      </c>
    </row>
    <row r="245" spans="1:142" s="6" customFormat="1" x14ac:dyDescent="0.35">
      <c r="A245" s="59">
        <f>Данные!A245</f>
        <v>5792</v>
      </c>
      <c r="B245" s="59">
        <f>Данные!B245</f>
        <v>2017</v>
      </c>
      <c r="C245" s="59" t="str">
        <f>Данные!C245</f>
        <v>компьютерных технологий и электронного обучения</v>
      </c>
      <c r="D245" s="59" t="str">
        <f>Данные!D245</f>
        <v>Гончарова Светлана Викторовна</v>
      </c>
      <c r="E245" s="59" t="str">
        <f>Данные!E245</f>
        <v>кандидат педагогических наук</v>
      </c>
      <c r="F245" s="59" t="str">
        <f>Данные!F245</f>
        <v>доцент</v>
      </c>
      <c r="G245" s="59">
        <f>Данные!G245</f>
        <v>1</v>
      </c>
      <c r="H245" s="59">
        <f>Данные!H245</f>
        <v>16561</v>
      </c>
      <c r="I245" s="59" t="str">
        <f>Данные!I245</f>
        <v>Модуль "Введение в информационные технологии". Информатика</v>
      </c>
      <c r="J245" s="59">
        <f>Данные!J245</f>
        <v>20</v>
      </c>
      <c r="K245" s="59">
        <f>Данные!K245</f>
        <v>0</v>
      </c>
      <c r="L245" s="59">
        <f>Данные!L245</f>
        <v>34</v>
      </c>
      <c r="M245" s="60">
        <f t="shared" si="27"/>
        <v>5.4</v>
      </c>
      <c r="N245" s="60">
        <f t="shared" ca="1" si="28"/>
        <v>4.6400000000000006</v>
      </c>
      <c r="O245" s="60">
        <f t="shared" ca="1" si="29"/>
        <v>2</v>
      </c>
      <c r="P245" s="60">
        <f t="shared" ca="1" si="30"/>
        <v>2</v>
      </c>
      <c r="Q245" s="54">
        <f>Данные!Q245</f>
        <v>0</v>
      </c>
      <c r="R245" s="54">
        <f>Данные!R245</f>
        <v>0</v>
      </c>
      <c r="S245" s="54">
        <f>Данные!S245</f>
        <v>0</v>
      </c>
      <c r="T245" s="54">
        <f>Данные!T245</f>
        <v>2</v>
      </c>
      <c r="U245" s="54">
        <f>Данные!U245</f>
        <v>0</v>
      </c>
      <c r="V245" s="54">
        <f>Данные!V245</f>
        <v>0</v>
      </c>
      <c r="W245" s="54">
        <f ca="1">Данные!W245</f>
        <v>8</v>
      </c>
      <c r="X245" s="54" t="str">
        <f ca="1">Данные!X245</f>
        <v>1</v>
      </c>
      <c r="Y245" s="54" t="str">
        <f ca="1">Данные!Y245</f>
        <v>1</v>
      </c>
      <c r="Z245" s="54">
        <f>Данные!Z245</f>
        <v>0</v>
      </c>
      <c r="AA245" s="54" t="str">
        <f>Данные!AA245</f>
        <v>доп</v>
      </c>
      <c r="AB245" s="101">
        <f t="shared" si="31"/>
        <v>800</v>
      </c>
      <c r="AC245" s="101" t="str">
        <f t="shared" si="32"/>
        <v/>
      </c>
      <c r="AD245" s="101" t="str">
        <f t="shared" si="33"/>
        <v/>
      </c>
      <c r="AE245" s="102">
        <f t="shared" ca="1" si="34"/>
        <v>70.039999999999992</v>
      </c>
      <c r="AF245" s="103">
        <f t="shared" ca="1" si="35"/>
        <v>8.7549999999999989E-2</v>
      </c>
      <c r="AG245" s="101"/>
      <c r="AH245" s="101"/>
      <c r="AI245"/>
      <c r="BQ245" s="72">
        <v>0</v>
      </c>
      <c r="BR245" s="72">
        <v>0</v>
      </c>
      <c r="BS245" s="72">
        <v>0</v>
      </c>
      <c r="BT245" s="72">
        <v>0</v>
      </c>
      <c r="BU245" s="72">
        <v>0</v>
      </c>
      <c r="BV245" s="72">
        <v>0</v>
      </c>
      <c r="BW245" s="72">
        <v>0</v>
      </c>
      <c r="BX245" s="72">
        <v>0</v>
      </c>
      <c r="BY245" s="72">
        <v>0</v>
      </c>
      <c r="BZ245" s="72">
        <v>0</v>
      </c>
      <c r="CA245" s="72">
        <v>0</v>
      </c>
      <c r="CB245" s="72">
        <v>0</v>
      </c>
      <c r="CC245" s="72">
        <v>0</v>
      </c>
      <c r="CD245" s="72">
        <v>0</v>
      </c>
      <c r="CE245" s="72">
        <v>0</v>
      </c>
      <c r="CF245" s="72">
        <v>0</v>
      </c>
      <c r="CG245" s="72">
        <v>0</v>
      </c>
      <c r="CH245" s="72">
        <v>0</v>
      </c>
      <c r="CI245" s="72">
        <v>0</v>
      </c>
      <c r="CJ245" s="72">
        <v>0</v>
      </c>
      <c r="CK245" s="72">
        <v>0</v>
      </c>
      <c r="CL245" s="72">
        <v>0</v>
      </c>
      <c r="CM245" s="72">
        <v>0</v>
      </c>
      <c r="CN245" s="72">
        <v>0</v>
      </c>
      <c r="CO245" s="72">
        <v>0</v>
      </c>
      <c r="CP245" s="72">
        <v>0</v>
      </c>
      <c r="CQ245" s="72">
        <v>0</v>
      </c>
      <c r="CR245" s="72">
        <v>0</v>
      </c>
      <c r="CS245" s="72">
        <v>0</v>
      </c>
      <c r="CT245" s="72">
        <v>0</v>
      </c>
      <c r="CU245" s="72">
        <v>0</v>
      </c>
      <c r="CV245" s="72">
        <v>0</v>
      </c>
      <c r="CW245" s="72">
        <v>0</v>
      </c>
      <c r="CX245" s="72">
        <v>0</v>
      </c>
      <c r="CY245" s="72">
        <v>0</v>
      </c>
      <c r="CZ245" s="72">
        <v>0</v>
      </c>
      <c r="DA245" s="72">
        <v>0</v>
      </c>
      <c r="DB245" s="72">
        <v>0</v>
      </c>
      <c r="DC245" s="72">
        <v>0</v>
      </c>
      <c r="DD245" s="72">
        <v>0</v>
      </c>
      <c r="DE245" s="72">
        <v>0</v>
      </c>
      <c r="DF245" s="72">
        <v>0</v>
      </c>
      <c r="DG245" s="72">
        <v>0</v>
      </c>
      <c r="DH245" s="72">
        <v>0</v>
      </c>
      <c r="DI245" s="72">
        <v>0</v>
      </c>
      <c r="DJ245" s="72">
        <v>0</v>
      </c>
      <c r="DK245" s="72">
        <v>0</v>
      </c>
      <c r="DL245" s="72">
        <v>0</v>
      </c>
      <c r="DM245" s="72">
        <v>0</v>
      </c>
      <c r="DN245" s="72">
        <v>0</v>
      </c>
      <c r="DO245" s="72">
        <v>0</v>
      </c>
      <c r="DP245" s="72">
        <v>0</v>
      </c>
      <c r="DQ245" s="72">
        <v>0</v>
      </c>
      <c r="DR245" s="72">
        <v>0</v>
      </c>
      <c r="DS245" s="72">
        <v>0</v>
      </c>
      <c r="DT245" s="72">
        <v>0</v>
      </c>
      <c r="DU245" s="72">
        <v>0</v>
      </c>
      <c r="DV245" s="72">
        <v>0</v>
      </c>
      <c r="DW245" s="72">
        <v>0</v>
      </c>
      <c r="DX245" s="72">
        <v>0</v>
      </c>
      <c r="DY245" s="72">
        <v>0</v>
      </c>
      <c r="DZ245" s="72">
        <v>0</v>
      </c>
      <c r="EA245" s="72">
        <v>0</v>
      </c>
      <c r="EB245" s="72">
        <v>0</v>
      </c>
      <c r="EC245" s="72">
        <v>0</v>
      </c>
      <c r="ED245" s="72">
        <v>0</v>
      </c>
      <c r="EE245" s="72">
        <v>0</v>
      </c>
      <c r="EF245" s="72">
        <v>0</v>
      </c>
      <c r="EG245" s="72">
        <v>0</v>
      </c>
      <c r="EH245" s="72">
        <v>0</v>
      </c>
      <c r="EI245" s="72">
        <v>0</v>
      </c>
      <c r="EJ245" s="72">
        <v>0</v>
      </c>
      <c r="EK245" s="72">
        <v>0</v>
      </c>
      <c r="EL245" s="72">
        <v>0</v>
      </c>
    </row>
    <row r="246" spans="1:142" s="6" customFormat="1" x14ac:dyDescent="0.35">
      <c r="A246" s="59">
        <f>Данные!A246</f>
        <v>5792</v>
      </c>
      <c r="B246" s="59">
        <f>Данные!B246</f>
        <v>2017</v>
      </c>
      <c r="C246" s="59" t="str">
        <f>Данные!C246</f>
        <v>компьютерных технологий и электронного обучения</v>
      </c>
      <c r="D246" s="59" t="str">
        <f>Данные!D246</f>
        <v>Шалденкова Анна Владимировна</v>
      </c>
      <c r="E246" s="59" t="str">
        <f>Данные!E246</f>
        <v>кандидат физ.-мат. наук</v>
      </c>
      <c r="F246" s="59" t="str">
        <f>Данные!F246</f>
        <v>ассистент</v>
      </c>
      <c r="G246" s="59">
        <f>Данные!G246</f>
        <v>1</v>
      </c>
      <c r="H246" s="59">
        <f>Данные!H246</f>
        <v>16561</v>
      </c>
      <c r="I246" s="59" t="str">
        <f>Данные!I246</f>
        <v>Модуль "Введение в информационные технологии". Информатика</v>
      </c>
      <c r="J246" s="59">
        <f>Данные!J246</f>
        <v>0</v>
      </c>
      <c r="K246" s="59">
        <f>Данные!K246</f>
        <v>0</v>
      </c>
      <c r="L246" s="59">
        <f>Данные!L246</f>
        <v>26</v>
      </c>
      <c r="M246" s="60">
        <f t="shared" si="27"/>
        <v>2.6</v>
      </c>
      <c r="N246" s="60">
        <f t="shared" ca="1" si="28"/>
        <v>4.6400000000000006</v>
      </c>
      <c r="O246" s="60">
        <f t="shared" ca="1" si="29"/>
        <v>2</v>
      </c>
      <c r="P246" s="60">
        <f t="shared" ca="1" si="30"/>
        <v>2</v>
      </c>
      <c r="Q246" s="54">
        <f>Данные!Q246</f>
        <v>0</v>
      </c>
      <c r="R246" s="54">
        <f>Данные!R246</f>
        <v>0</v>
      </c>
      <c r="S246" s="54">
        <f>Данные!S246</f>
        <v>0</v>
      </c>
      <c r="T246" s="54">
        <f>Данные!T246</f>
        <v>16</v>
      </c>
      <c r="U246" s="54">
        <f>Данные!U246</f>
        <v>0</v>
      </c>
      <c r="V246" s="54">
        <f>Данные!V246</f>
        <v>0</v>
      </c>
      <c r="W246" s="54">
        <f ca="1">Данные!W246</f>
        <v>8</v>
      </c>
      <c r="X246" s="54" t="str">
        <f ca="1">Данные!X246</f>
        <v>1</v>
      </c>
      <c r="Y246" s="54" t="str">
        <f ca="1">Данные!Y246</f>
        <v>1</v>
      </c>
      <c r="Z246" s="54">
        <f>Данные!Z246</f>
        <v>0</v>
      </c>
      <c r="AA246" s="54" t="str">
        <f>Данные!AA246</f>
        <v>доп</v>
      </c>
      <c r="AB246" s="101">
        <f t="shared" si="31"/>
        <v>900</v>
      </c>
      <c r="AC246" s="101" t="str">
        <f t="shared" si="32"/>
        <v/>
      </c>
      <c r="AD246" s="101" t="str">
        <f t="shared" si="33"/>
        <v/>
      </c>
      <c r="AE246" s="102">
        <f t="shared" ca="1" si="34"/>
        <v>53.24</v>
      </c>
      <c r="AF246" s="103">
        <f t="shared" ca="1" si="35"/>
        <v>5.9155555555555558E-2</v>
      </c>
      <c r="AG246" s="101"/>
      <c r="AH246" s="101"/>
      <c r="AI246"/>
      <c r="BQ246" s="72">
        <v>0</v>
      </c>
      <c r="BR246" s="72">
        <v>0</v>
      </c>
      <c r="BS246" s="72">
        <v>0</v>
      </c>
      <c r="BT246" s="72">
        <v>0</v>
      </c>
      <c r="BU246" s="72">
        <v>0</v>
      </c>
      <c r="BV246" s="72">
        <v>0</v>
      </c>
      <c r="BW246" s="72">
        <v>0</v>
      </c>
      <c r="BX246" s="72">
        <v>0</v>
      </c>
      <c r="BY246" s="72">
        <v>0</v>
      </c>
      <c r="BZ246" s="72">
        <v>0</v>
      </c>
      <c r="CA246" s="72">
        <v>0</v>
      </c>
      <c r="CB246" s="72">
        <v>0</v>
      </c>
      <c r="CC246" s="72">
        <v>0</v>
      </c>
      <c r="CD246" s="72">
        <v>0</v>
      </c>
      <c r="CE246" s="72">
        <v>0</v>
      </c>
      <c r="CF246" s="72">
        <v>0</v>
      </c>
      <c r="CG246" s="72">
        <v>0</v>
      </c>
      <c r="CH246" s="72">
        <v>0</v>
      </c>
      <c r="CI246" s="72">
        <v>0</v>
      </c>
      <c r="CJ246" s="72">
        <v>0</v>
      </c>
      <c r="CK246" s="72">
        <v>0</v>
      </c>
      <c r="CL246" s="72">
        <v>0</v>
      </c>
      <c r="CM246" s="72">
        <v>0</v>
      </c>
      <c r="CN246" s="72">
        <v>0</v>
      </c>
      <c r="CO246" s="72">
        <v>0</v>
      </c>
      <c r="CP246" s="72">
        <v>0</v>
      </c>
      <c r="CQ246" s="72">
        <v>0</v>
      </c>
      <c r="CR246" s="72">
        <v>0</v>
      </c>
      <c r="CS246" s="72">
        <v>0</v>
      </c>
      <c r="CT246" s="72">
        <v>0</v>
      </c>
      <c r="CU246" s="72">
        <v>0</v>
      </c>
      <c r="CV246" s="72">
        <v>0</v>
      </c>
      <c r="CW246" s="72">
        <v>0</v>
      </c>
      <c r="CX246" s="72">
        <v>0</v>
      </c>
      <c r="CY246" s="72">
        <v>0</v>
      </c>
      <c r="CZ246" s="72">
        <v>0</v>
      </c>
      <c r="DA246" s="72">
        <v>0</v>
      </c>
      <c r="DB246" s="72">
        <v>0</v>
      </c>
      <c r="DC246" s="72">
        <v>0</v>
      </c>
      <c r="DD246" s="72">
        <v>0</v>
      </c>
      <c r="DE246" s="72">
        <v>0</v>
      </c>
      <c r="DF246" s="72">
        <v>0</v>
      </c>
      <c r="DG246" s="72">
        <v>0</v>
      </c>
      <c r="DH246" s="72">
        <v>0</v>
      </c>
      <c r="DI246" s="72">
        <v>0</v>
      </c>
      <c r="DJ246" s="72">
        <v>0</v>
      </c>
      <c r="DK246" s="72">
        <v>0</v>
      </c>
      <c r="DL246" s="72">
        <v>0</v>
      </c>
      <c r="DM246" s="72">
        <v>0</v>
      </c>
      <c r="DN246" s="72">
        <v>0</v>
      </c>
      <c r="DO246" s="72">
        <v>0</v>
      </c>
      <c r="DP246" s="72">
        <v>0</v>
      </c>
      <c r="DQ246" s="72">
        <v>0</v>
      </c>
      <c r="DR246" s="72">
        <v>0</v>
      </c>
      <c r="DS246" s="72">
        <v>0</v>
      </c>
      <c r="DT246" s="72">
        <v>0</v>
      </c>
      <c r="DU246" s="72">
        <v>0</v>
      </c>
      <c r="DV246" s="72">
        <v>0</v>
      </c>
      <c r="DW246" s="72">
        <v>0</v>
      </c>
      <c r="DX246" s="72">
        <v>0</v>
      </c>
      <c r="DY246" s="72">
        <v>0</v>
      </c>
      <c r="DZ246" s="72">
        <v>0</v>
      </c>
      <c r="EA246" s="72">
        <v>0</v>
      </c>
      <c r="EB246" s="72">
        <v>0</v>
      </c>
      <c r="EC246" s="72">
        <v>0</v>
      </c>
      <c r="ED246" s="72">
        <v>0</v>
      </c>
      <c r="EE246" s="72">
        <v>0</v>
      </c>
      <c r="EF246" s="72">
        <v>0</v>
      </c>
      <c r="EG246" s="72">
        <v>0</v>
      </c>
      <c r="EH246" s="72">
        <v>0</v>
      </c>
      <c r="EI246" s="72">
        <v>0</v>
      </c>
      <c r="EJ246" s="72">
        <v>0</v>
      </c>
      <c r="EK246" s="72">
        <v>0</v>
      </c>
      <c r="EL246" s="72">
        <v>0</v>
      </c>
    </row>
    <row r="247" spans="1:142" s="6" customFormat="1" x14ac:dyDescent="0.35">
      <c r="A247" s="59">
        <f>Данные!A247</f>
        <v>6368</v>
      </c>
      <c r="B247" s="59">
        <f>Данные!B247</f>
        <v>2018</v>
      </c>
      <c r="C247" s="59" t="str">
        <f>Данные!C247</f>
        <v>компьютерных технологий и электронного обучения</v>
      </c>
      <c r="D247" s="59" t="str">
        <f>Данные!D247</f>
        <v>Абрамян Геннадий Владимирович</v>
      </c>
      <c r="E247" s="59" t="str">
        <f>Данные!E247</f>
        <v>доктор педагогических наук</v>
      </c>
      <c r="F247" s="59" t="str">
        <f>Данные!F247</f>
        <v>профессор</v>
      </c>
      <c r="G247" s="59">
        <f>Данные!G247</f>
        <v>1</v>
      </c>
      <c r="H247" s="59">
        <f>Данные!H247</f>
        <v>17043</v>
      </c>
      <c r="I247" s="59" t="str">
        <f>Данные!I247</f>
        <v>Модуль "Организация ЭВМ". ЭВМ и периферийные устройства</v>
      </c>
      <c r="J247" s="59">
        <f>Данные!J247</f>
        <v>18</v>
      </c>
      <c r="K247" s="59">
        <f>Данные!K247</f>
        <v>0</v>
      </c>
      <c r="L247" s="59">
        <f>Данные!L247</f>
        <v>108</v>
      </c>
      <c r="M247" s="60">
        <f t="shared" si="27"/>
        <v>12.6</v>
      </c>
      <c r="N247" s="60">
        <f t="shared" ca="1" si="28"/>
        <v>14.870000000000001</v>
      </c>
      <c r="O247" s="60">
        <f t="shared" ca="1" si="29"/>
        <v>9.75</v>
      </c>
      <c r="P247" s="60">
        <f t="shared" ca="1" si="30"/>
        <v>9.75</v>
      </c>
      <c r="Q247" s="54">
        <f>Данные!Q247</f>
        <v>0</v>
      </c>
      <c r="R247" s="54">
        <f>Данные!R247</f>
        <v>0</v>
      </c>
      <c r="S247" s="54">
        <f>Данные!S247</f>
        <v>0</v>
      </c>
      <c r="T247" s="54">
        <f>Данные!T247</f>
        <v>0</v>
      </c>
      <c r="U247" s="54">
        <f>Данные!U247</f>
        <v>0</v>
      </c>
      <c r="V247" s="54">
        <f>Данные!V247</f>
        <v>0</v>
      </c>
      <c r="W247" s="54">
        <f ca="1">Данные!W247</f>
        <v>39</v>
      </c>
      <c r="X247" s="54" t="str">
        <f ca="1">Данные!X247</f>
        <v>2</v>
      </c>
      <c r="Y247" s="54" t="str">
        <f ca="1">Данные!Y247</f>
        <v>3</v>
      </c>
      <c r="Z247" s="54">
        <f>Данные!Z247</f>
        <v>0</v>
      </c>
      <c r="AA247" s="54" t="str">
        <f>Данные!AA247</f>
        <v>осн</v>
      </c>
      <c r="AB247" s="101">
        <f t="shared" si="31"/>
        <v>750</v>
      </c>
      <c r="AC247" s="101" t="str">
        <f t="shared" si="32"/>
        <v>ИВТ (бак)</v>
      </c>
      <c r="AD247" s="101" t="str">
        <f t="shared" si="33"/>
        <v>2018–2019</v>
      </c>
      <c r="AE247" s="102">
        <f t="shared" ca="1" si="34"/>
        <v>172.97</v>
      </c>
      <c r="AF247" s="103">
        <f t="shared" ca="1" si="35"/>
        <v>0.23062666666666667</v>
      </c>
      <c r="AG247" s="101"/>
      <c r="AH247" s="101"/>
      <c r="AI247"/>
      <c r="BQ247" s="72">
        <v>0</v>
      </c>
      <c r="BR247" s="72">
        <v>0</v>
      </c>
      <c r="BS247" s="72">
        <v>0</v>
      </c>
      <c r="BT247" s="72">
        <v>0</v>
      </c>
      <c r="BU247" s="72">
        <v>0</v>
      </c>
      <c r="BV247" s="72">
        <v>0</v>
      </c>
      <c r="BW247" s="72">
        <v>0</v>
      </c>
      <c r="BX247" s="72">
        <v>0</v>
      </c>
      <c r="BY247" s="72">
        <v>0</v>
      </c>
      <c r="BZ247" s="72">
        <v>0</v>
      </c>
      <c r="CA247" s="72">
        <v>0</v>
      </c>
      <c r="CB247" s="72">
        <v>0</v>
      </c>
      <c r="CC247" s="72">
        <v>0</v>
      </c>
      <c r="CD247" s="72">
        <v>0</v>
      </c>
      <c r="CE247" s="72">
        <v>0</v>
      </c>
      <c r="CF247" s="72">
        <v>0</v>
      </c>
      <c r="CG247" s="72">
        <v>0</v>
      </c>
      <c r="CH247" s="72">
        <v>0</v>
      </c>
      <c r="CI247" s="72">
        <v>0</v>
      </c>
      <c r="CJ247" s="72">
        <v>0</v>
      </c>
      <c r="CK247" s="72">
        <v>0</v>
      </c>
      <c r="CL247" s="72">
        <v>0</v>
      </c>
      <c r="CM247" s="72">
        <v>0</v>
      </c>
      <c r="CN247" s="72">
        <v>0</v>
      </c>
      <c r="CO247" s="72">
        <v>0</v>
      </c>
      <c r="CP247" s="72">
        <v>0</v>
      </c>
      <c r="CQ247" s="72">
        <v>0</v>
      </c>
      <c r="CR247" s="72">
        <v>0</v>
      </c>
      <c r="CS247" s="72">
        <v>0</v>
      </c>
      <c r="CT247" s="72">
        <v>0</v>
      </c>
      <c r="CU247" s="72">
        <v>0</v>
      </c>
      <c r="CV247" s="72">
        <v>0</v>
      </c>
      <c r="CW247" s="72">
        <v>0</v>
      </c>
      <c r="CX247" s="72">
        <v>0</v>
      </c>
      <c r="CY247" s="72">
        <v>0</v>
      </c>
      <c r="CZ247" s="72">
        <v>0</v>
      </c>
      <c r="DA247" s="72">
        <v>0</v>
      </c>
      <c r="DB247" s="72">
        <v>0</v>
      </c>
      <c r="DC247" s="72">
        <v>0</v>
      </c>
      <c r="DD247" s="72">
        <v>0</v>
      </c>
      <c r="DE247" s="72">
        <v>0</v>
      </c>
      <c r="DF247" s="72">
        <v>0</v>
      </c>
      <c r="DG247" s="72">
        <v>0</v>
      </c>
      <c r="DH247" s="72">
        <v>0</v>
      </c>
      <c r="DI247" s="72">
        <v>0</v>
      </c>
      <c r="DJ247" s="72">
        <v>0</v>
      </c>
      <c r="DK247" s="72">
        <v>0</v>
      </c>
      <c r="DL247" s="72">
        <v>0</v>
      </c>
      <c r="DM247" s="72">
        <v>0</v>
      </c>
      <c r="DN247" s="72">
        <v>0</v>
      </c>
      <c r="DO247" s="72">
        <v>0</v>
      </c>
      <c r="DP247" s="72">
        <v>0</v>
      </c>
      <c r="DQ247" s="72">
        <v>0</v>
      </c>
      <c r="DR247" s="72">
        <v>0</v>
      </c>
      <c r="DS247" s="72">
        <v>0</v>
      </c>
      <c r="DT247" s="72">
        <v>0</v>
      </c>
      <c r="DU247" s="72">
        <v>0</v>
      </c>
      <c r="DV247" s="72">
        <v>0</v>
      </c>
      <c r="DW247" s="72">
        <v>0</v>
      </c>
      <c r="DX247" s="72">
        <v>0</v>
      </c>
      <c r="DY247" s="72">
        <v>0</v>
      </c>
      <c r="DZ247" s="72">
        <v>0</v>
      </c>
      <c r="EA247" s="72">
        <v>0</v>
      </c>
      <c r="EB247" s="72">
        <v>0</v>
      </c>
      <c r="EC247" s="72">
        <v>0</v>
      </c>
      <c r="ED247" s="72">
        <v>0</v>
      </c>
      <c r="EE247" s="72">
        <v>0</v>
      </c>
      <c r="EF247" s="72">
        <v>0</v>
      </c>
      <c r="EG247" s="72">
        <v>0</v>
      </c>
      <c r="EH247" s="72">
        <v>0</v>
      </c>
      <c r="EI247" s="72">
        <v>0</v>
      </c>
      <c r="EJ247" s="72">
        <v>0</v>
      </c>
      <c r="EK247" s="72">
        <v>0</v>
      </c>
      <c r="EL247" s="72">
        <v>0</v>
      </c>
    </row>
    <row r="248" spans="1:142" s="6" customFormat="1" x14ac:dyDescent="0.35">
      <c r="A248" s="59">
        <f>Данные!A248</f>
        <v>6368</v>
      </c>
      <c r="B248" s="59">
        <f>Данные!B248</f>
        <v>2018</v>
      </c>
      <c r="C248" s="59" t="str">
        <f>Данные!C248</f>
        <v>компьютерных технологий и электронного обучения</v>
      </c>
      <c r="D248" s="59" t="str">
        <f>Данные!D248</f>
        <v>Аксютин Павел Александрович</v>
      </c>
      <c r="E248" s="59" t="str">
        <f>Данные!E248</f>
        <v>нет</v>
      </c>
      <c r="F248" s="59" t="str">
        <f>Данные!F248</f>
        <v>ассистент</v>
      </c>
      <c r="G248" s="59">
        <f>Данные!G248</f>
        <v>1</v>
      </c>
      <c r="H248" s="59">
        <f>Данные!H248</f>
        <v>17043</v>
      </c>
      <c r="I248" s="59" t="str">
        <f>Данные!I248</f>
        <v>Модуль "Информационные технологии в математике и физике". Информационные технологии</v>
      </c>
      <c r="J248" s="59">
        <f>Данные!J248</f>
        <v>0</v>
      </c>
      <c r="K248" s="59">
        <f>Данные!K248</f>
        <v>0</v>
      </c>
      <c r="L248" s="59">
        <f>Данные!L248</f>
        <v>162</v>
      </c>
      <c r="M248" s="60">
        <f t="shared" si="27"/>
        <v>16.2</v>
      </c>
      <c r="N248" s="60">
        <f t="shared" ca="1" si="28"/>
        <v>14.870000000000001</v>
      </c>
      <c r="O248" s="60">
        <f t="shared" ca="1" si="29"/>
        <v>9.75</v>
      </c>
      <c r="P248" s="60">
        <f t="shared" ca="1" si="30"/>
        <v>9.75</v>
      </c>
      <c r="Q248" s="54">
        <f>Данные!Q248</f>
        <v>0</v>
      </c>
      <c r="R248" s="54">
        <f>Данные!R248</f>
        <v>0</v>
      </c>
      <c r="S248" s="54">
        <f>Данные!S248</f>
        <v>0</v>
      </c>
      <c r="T248" s="54">
        <f>Данные!T248</f>
        <v>0</v>
      </c>
      <c r="U248" s="54">
        <f>Данные!U248</f>
        <v>0</v>
      </c>
      <c r="V248" s="54">
        <f>Данные!V248</f>
        <v>0</v>
      </c>
      <c r="W248" s="54">
        <f ca="1">Данные!W248</f>
        <v>39</v>
      </c>
      <c r="X248" s="54" t="str">
        <f ca="1">Данные!X248</f>
        <v>2</v>
      </c>
      <c r="Y248" s="54" t="str">
        <f ca="1">Данные!Y248</f>
        <v>3</v>
      </c>
      <c r="Z248" s="54">
        <f>Данные!Z248</f>
        <v>0</v>
      </c>
      <c r="AA248" s="54" t="str">
        <f>Данные!AA248</f>
        <v>осн</v>
      </c>
      <c r="AB248" s="101">
        <f t="shared" si="31"/>
        <v>900</v>
      </c>
      <c r="AC248" s="101" t="str">
        <f t="shared" si="32"/>
        <v>ИВТ (бак)</v>
      </c>
      <c r="AD248" s="101" t="str">
        <f t="shared" si="33"/>
        <v>2018–2019</v>
      </c>
      <c r="AE248" s="102">
        <f t="shared" ca="1" si="34"/>
        <v>212.57</v>
      </c>
      <c r="AF248" s="103">
        <f t="shared" ca="1" si="35"/>
        <v>0.23618888888888889</v>
      </c>
      <c r="AG248" s="101"/>
      <c r="AH248" s="101"/>
      <c r="AI248"/>
      <c r="BQ248" s="72">
        <v>0</v>
      </c>
      <c r="BR248" s="72">
        <v>0</v>
      </c>
      <c r="BS248" s="72">
        <v>0</v>
      </c>
      <c r="BT248" s="72">
        <v>0</v>
      </c>
      <c r="BU248" s="72">
        <v>0</v>
      </c>
      <c r="BV248" s="72">
        <v>0</v>
      </c>
      <c r="BW248" s="72">
        <v>0</v>
      </c>
      <c r="BX248" s="72">
        <v>0</v>
      </c>
      <c r="BY248" s="72">
        <v>0</v>
      </c>
      <c r="BZ248" s="72">
        <v>0</v>
      </c>
      <c r="CA248" s="72">
        <v>0</v>
      </c>
      <c r="CB248" s="72">
        <v>0</v>
      </c>
      <c r="CC248" s="72">
        <v>0</v>
      </c>
      <c r="CD248" s="72">
        <v>0</v>
      </c>
      <c r="CE248" s="72">
        <v>0</v>
      </c>
      <c r="CF248" s="72">
        <v>0</v>
      </c>
      <c r="CG248" s="72">
        <v>0</v>
      </c>
      <c r="CH248" s="72">
        <v>0</v>
      </c>
      <c r="CI248" s="72">
        <v>0</v>
      </c>
      <c r="CJ248" s="72">
        <v>0</v>
      </c>
      <c r="CK248" s="72">
        <v>0</v>
      </c>
      <c r="CL248" s="72">
        <v>0</v>
      </c>
      <c r="CM248" s="72">
        <v>0</v>
      </c>
      <c r="CN248" s="72">
        <v>0</v>
      </c>
      <c r="CO248" s="72">
        <v>0</v>
      </c>
      <c r="CP248" s="72">
        <v>0</v>
      </c>
      <c r="CQ248" s="72">
        <v>0</v>
      </c>
      <c r="CR248" s="72">
        <v>0</v>
      </c>
      <c r="CS248" s="72">
        <v>0</v>
      </c>
      <c r="CT248" s="72">
        <v>0</v>
      </c>
      <c r="CU248" s="72">
        <v>0</v>
      </c>
      <c r="CV248" s="72">
        <v>0</v>
      </c>
      <c r="CW248" s="72">
        <v>0</v>
      </c>
      <c r="CX248" s="72">
        <v>0</v>
      </c>
      <c r="CY248" s="72">
        <v>0</v>
      </c>
      <c r="CZ248" s="72">
        <v>0</v>
      </c>
      <c r="DA248" s="72">
        <v>0</v>
      </c>
      <c r="DB248" s="72">
        <v>0</v>
      </c>
      <c r="DC248" s="72">
        <v>0</v>
      </c>
      <c r="DD248" s="72">
        <v>0</v>
      </c>
      <c r="DE248" s="72">
        <v>0</v>
      </c>
      <c r="DF248" s="72">
        <v>0</v>
      </c>
      <c r="DG248" s="72">
        <v>0</v>
      </c>
      <c r="DH248" s="72">
        <v>0</v>
      </c>
      <c r="DI248" s="72">
        <v>0</v>
      </c>
      <c r="DJ248" s="72">
        <v>0</v>
      </c>
      <c r="DK248" s="72">
        <v>0</v>
      </c>
      <c r="DL248" s="72">
        <v>0</v>
      </c>
      <c r="DM248" s="72">
        <v>0</v>
      </c>
      <c r="DN248" s="72">
        <v>0</v>
      </c>
      <c r="DO248" s="72">
        <v>0</v>
      </c>
      <c r="DP248" s="72">
        <v>0</v>
      </c>
      <c r="DQ248" s="72">
        <v>0</v>
      </c>
      <c r="DR248" s="72">
        <v>0</v>
      </c>
      <c r="DS248" s="72">
        <v>0</v>
      </c>
      <c r="DT248" s="72">
        <v>0</v>
      </c>
      <c r="DU248" s="72">
        <v>0</v>
      </c>
      <c r="DV248" s="72">
        <v>0</v>
      </c>
      <c r="DW248" s="72">
        <v>0</v>
      </c>
      <c r="DX248" s="72">
        <v>0</v>
      </c>
      <c r="DY248" s="72">
        <v>0</v>
      </c>
      <c r="DZ248" s="72">
        <v>0</v>
      </c>
      <c r="EA248" s="72">
        <v>0</v>
      </c>
      <c r="EB248" s="72">
        <v>0</v>
      </c>
      <c r="EC248" s="72">
        <v>0</v>
      </c>
      <c r="ED248" s="72">
        <v>0</v>
      </c>
      <c r="EE248" s="72">
        <v>0</v>
      </c>
      <c r="EF248" s="72">
        <v>0</v>
      </c>
      <c r="EG248" s="72">
        <v>0</v>
      </c>
      <c r="EH248" s="72">
        <v>0</v>
      </c>
      <c r="EI248" s="72">
        <v>0</v>
      </c>
      <c r="EJ248" s="72">
        <v>0</v>
      </c>
      <c r="EK248" s="72">
        <v>0</v>
      </c>
      <c r="EL248" s="72">
        <v>0</v>
      </c>
    </row>
    <row r="249" spans="1:142" s="6" customFormat="1" x14ac:dyDescent="0.35">
      <c r="A249" s="59">
        <f>Данные!A249</f>
        <v>6368</v>
      </c>
      <c r="B249" s="59">
        <f>Данные!B249</f>
        <v>2018</v>
      </c>
      <c r="C249" s="59" t="str">
        <f>Данные!C249</f>
        <v>компьютерных технологий и электронного обучения</v>
      </c>
      <c r="D249" s="59" t="str">
        <f>Данные!D249</f>
        <v>Власов Дмитрий Викторович</v>
      </c>
      <c r="E249" s="59" t="str">
        <f>Данные!E249</f>
        <v>нет</v>
      </c>
      <c r="F249" s="59" t="str">
        <f>Данные!F249</f>
        <v>эксперт-программист</v>
      </c>
      <c r="G249" s="59">
        <f>Данные!G249</f>
        <v>1</v>
      </c>
      <c r="H249" s="59">
        <f>Данные!H249</f>
        <v>17043</v>
      </c>
      <c r="I249" s="59" t="str">
        <f>Данные!I249</f>
        <v>Модуль "Системное и прикладное программное обеспечение". Программирование</v>
      </c>
      <c r="J249" s="59">
        <f>Данные!J249</f>
        <v>0</v>
      </c>
      <c r="K249" s="59">
        <f>Данные!K249</f>
        <v>0</v>
      </c>
      <c r="L249" s="59">
        <f>Данные!L249</f>
        <v>108</v>
      </c>
      <c r="M249" s="60">
        <f t="shared" si="27"/>
        <v>10.8</v>
      </c>
      <c r="N249" s="60">
        <f t="shared" ca="1" si="28"/>
        <v>14.870000000000001</v>
      </c>
      <c r="O249" s="60">
        <f t="shared" ca="1" si="29"/>
        <v>9.75</v>
      </c>
      <c r="P249" s="60">
        <f t="shared" ca="1" si="30"/>
        <v>9.75</v>
      </c>
      <c r="Q249" s="54">
        <f>Данные!Q249</f>
        <v>0</v>
      </c>
      <c r="R249" s="54">
        <f>Данные!R249</f>
        <v>0</v>
      </c>
      <c r="S249" s="54">
        <f>Данные!S249</f>
        <v>0</v>
      </c>
      <c r="T249" s="54">
        <f>Данные!T249</f>
        <v>0</v>
      </c>
      <c r="U249" s="54">
        <f>Данные!U249</f>
        <v>0</v>
      </c>
      <c r="V249" s="54">
        <f>Данные!V249</f>
        <v>0</v>
      </c>
      <c r="W249" s="54">
        <f ca="1">Данные!W249</f>
        <v>39</v>
      </c>
      <c r="X249" s="54" t="str">
        <f ca="1">Данные!X249</f>
        <v>2</v>
      </c>
      <c r="Y249" s="54" t="str">
        <f ca="1">Данные!Y249</f>
        <v>3</v>
      </c>
      <c r="Z249" s="54">
        <f>Данные!Z249</f>
        <v>0</v>
      </c>
      <c r="AA249" s="54" t="str">
        <f>Данные!AA249</f>
        <v>осн</v>
      </c>
      <c r="AB249" s="101">
        <f t="shared" si="31"/>
        <v>900</v>
      </c>
      <c r="AC249" s="101" t="str">
        <f t="shared" si="32"/>
        <v>ИВТ (бак)</v>
      </c>
      <c r="AD249" s="101" t="str">
        <f t="shared" si="33"/>
        <v>2018–2019</v>
      </c>
      <c r="AE249" s="102">
        <f t="shared" ca="1" si="34"/>
        <v>153.16999999999999</v>
      </c>
      <c r="AF249" s="103">
        <f t="shared" ca="1" si="35"/>
        <v>0.17018888888888886</v>
      </c>
      <c r="AG249" s="101"/>
      <c r="AH249" s="101"/>
      <c r="AI249"/>
      <c r="BQ249" s="72">
        <v>0</v>
      </c>
      <c r="BR249" s="72">
        <v>0</v>
      </c>
      <c r="BS249" s="72">
        <v>0</v>
      </c>
      <c r="BT249" s="72">
        <v>0</v>
      </c>
      <c r="BU249" s="72">
        <v>0</v>
      </c>
      <c r="BV249" s="72">
        <v>0</v>
      </c>
      <c r="BW249" s="72">
        <v>0</v>
      </c>
      <c r="BX249" s="72">
        <v>0</v>
      </c>
      <c r="BY249" s="72">
        <v>0</v>
      </c>
      <c r="BZ249" s="72">
        <v>0</v>
      </c>
      <c r="CA249" s="72">
        <v>0</v>
      </c>
      <c r="CB249" s="72">
        <v>0</v>
      </c>
      <c r="CC249" s="72">
        <v>0</v>
      </c>
      <c r="CD249" s="72">
        <v>0</v>
      </c>
      <c r="CE249" s="72">
        <v>0</v>
      </c>
      <c r="CF249" s="72">
        <v>0</v>
      </c>
      <c r="CG249" s="72">
        <v>0</v>
      </c>
      <c r="CH249" s="72">
        <v>0</v>
      </c>
      <c r="CI249" s="72">
        <v>0</v>
      </c>
      <c r="CJ249" s="72">
        <v>0</v>
      </c>
      <c r="CK249" s="72">
        <v>0</v>
      </c>
      <c r="CL249" s="72">
        <v>0</v>
      </c>
      <c r="CM249" s="72">
        <v>0</v>
      </c>
      <c r="CN249" s="72">
        <v>0</v>
      </c>
      <c r="CO249" s="72">
        <v>0</v>
      </c>
      <c r="CP249" s="72">
        <v>0</v>
      </c>
      <c r="CQ249" s="72">
        <v>0</v>
      </c>
      <c r="CR249" s="72">
        <v>0</v>
      </c>
      <c r="CS249" s="72">
        <v>0</v>
      </c>
      <c r="CT249" s="72">
        <v>0</v>
      </c>
      <c r="CU249" s="72">
        <v>0</v>
      </c>
      <c r="CV249" s="72">
        <v>0</v>
      </c>
      <c r="CW249" s="72">
        <v>0</v>
      </c>
      <c r="CX249" s="72">
        <v>0</v>
      </c>
      <c r="CY249" s="72">
        <v>0</v>
      </c>
      <c r="CZ249" s="72">
        <v>0</v>
      </c>
      <c r="DA249" s="72">
        <v>0</v>
      </c>
      <c r="DB249" s="72">
        <v>0</v>
      </c>
      <c r="DC249" s="72">
        <v>0</v>
      </c>
      <c r="DD249" s="72">
        <v>0</v>
      </c>
      <c r="DE249" s="72">
        <v>0</v>
      </c>
      <c r="DF249" s="72">
        <v>0</v>
      </c>
      <c r="DG249" s="72">
        <v>0</v>
      </c>
      <c r="DH249" s="72">
        <v>0</v>
      </c>
      <c r="DI249" s="72">
        <v>0</v>
      </c>
      <c r="DJ249" s="72">
        <v>0</v>
      </c>
      <c r="DK249" s="72">
        <v>0</v>
      </c>
      <c r="DL249" s="72">
        <v>0</v>
      </c>
      <c r="DM249" s="72">
        <v>0</v>
      </c>
      <c r="DN249" s="72">
        <v>0</v>
      </c>
      <c r="DO249" s="72">
        <v>0</v>
      </c>
      <c r="DP249" s="72">
        <v>0</v>
      </c>
      <c r="DQ249" s="72">
        <v>0</v>
      </c>
      <c r="DR249" s="72">
        <v>0</v>
      </c>
      <c r="DS249" s="72">
        <v>0</v>
      </c>
      <c r="DT249" s="72">
        <v>0</v>
      </c>
      <c r="DU249" s="72">
        <v>0</v>
      </c>
      <c r="DV249" s="72">
        <v>0</v>
      </c>
      <c r="DW249" s="72">
        <v>0</v>
      </c>
      <c r="DX249" s="72">
        <v>0</v>
      </c>
      <c r="DY249" s="72">
        <v>0</v>
      </c>
      <c r="DZ249" s="72">
        <v>0</v>
      </c>
      <c r="EA249" s="72">
        <v>0</v>
      </c>
      <c r="EB249" s="72">
        <v>0</v>
      </c>
      <c r="EC249" s="72">
        <v>0</v>
      </c>
      <c r="ED249" s="72">
        <v>0</v>
      </c>
      <c r="EE249" s="72">
        <v>0</v>
      </c>
      <c r="EF249" s="72">
        <v>0</v>
      </c>
      <c r="EG249" s="72">
        <v>0</v>
      </c>
      <c r="EH249" s="72">
        <v>0</v>
      </c>
      <c r="EI249" s="72">
        <v>0</v>
      </c>
      <c r="EJ249" s="72">
        <v>0</v>
      </c>
      <c r="EK249" s="72">
        <v>0</v>
      </c>
      <c r="EL249" s="72">
        <v>0</v>
      </c>
    </row>
    <row r="250" spans="1:142" s="6" customFormat="1" x14ac:dyDescent="0.35">
      <c r="A250" s="59">
        <f>Данные!A250</f>
        <v>6368</v>
      </c>
      <c r="B250" s="59">
        <f>Данные!B250</f>
        <v>2018</v>
      </c>
      <c r="C250" s="59" t="str">
        <f>Данные!C250</f>
        <v>компьютерных технологий и электронного обучения</v>
      </c>
      <c r="D250" s="59" t="str">
        <f>Данные!D250</f>
        <v>Власова Елена Зотиковна</v>
      </c>
      <c r="E250" s="59" t="str">
        <f>Данные!E250</f>
        <v>доктор педагогических наук</v>
      </c>
      <c r="F250" s="59" t="str">
        <f>Данные!F250</f>
        <v>заведующий кафедрой</v>
      </c>
      <c r="G250" s="59">
        <f>Данные!G250</f>
        <v>1</v>
      </c>
      <c r="H250" s="59">
        <f>Данные!H250</f>
        <v>17043</v>
      </c>
      <c r="I250" s="59" t="str">
        <f>Данные!I250</f>
        <v>Модуль "Естественно-математический". Информатика</v>
      </c>
      <c r="J250" s="59">
        <f>Данные!J250</f>
        <v>36</v>
      </c>
      <c r="K250" s="59">
        <f>Данные!K250</f>
        <v>0</v>
      </c>
      <c r="L250" s="59">
        <f>Данные!L250</f>
        <v>0</v>
      </c>
      <c r="M250" s="60">
        <f t="shared" si="27"/>
        <v>3.6</v>
      </c>
      <c r="N250" s="60">
        <f t="shared" ca="1" si="28"/>
        <v>14.870000000000001</v>
      </c>
      <c r="O250" s="60">
        <f t="shared" ca="1" si="29"/>
        <v>9.75</v>
      </c>
      <c r="P250" s="60">
        <f t="shared" ca="1" si="30"/>
        <v>9.75</v>
      </c>
      <c r="Q250" s="54">
        <f>Данные!Q250</f>
        <v>0</v>
      </c>
      <c r="R250" s="54">
        <f>Данные!R250</f>
        <v>0</v>
      </c>
      <c r="S250" s="54">
        <f>Данные!S250</f>
        <v>0</v>
      </c>
      <c r="T250" s="54">
        <f>Данные!T250</f>
        <v>0</v>
      </c>
      <c r="U250" s="54">
        <f>Данные!U250</f>
        <v>0</v>
      </c>
      <c r="V250" s="54">
        <f>Данные!V250</f>
        <v>0</v>
      </c>
      <c r="W250" s="54">
        <f ca="1">Данные!W250</f>
        <v>39</v>
      </c>
      <c r="X250" s="54" t="str">
        <f ca="1">Данные!X250</f>
        <v>2</v>
      </c>
      <c r="Y250" s="54" t="str">
        <f ca="1">Данные!Y250</f>
        <v>3</v>
      </c>
      <c r="Z250" s="54">
        <f>Данные!Z250</f>
        <v>0</v>
      </c>
      <c r="AA250" s="54" t="str">
        <f>Данные!AA250</f>
        <v>осн</v>
      </c>
      <c r="AB250" s="101">
        <f t="shared" si="31"/>
        <v>700</v>
      </c>
      <c r="AC250" s="101" t="str">
        <f t="shared" si="32"/>
        <v>ИВТ (бак)</v>
      </c>
      <c r="AD250" s="101" t="str">
        <f t="shared" si="33"/>
        <v>2018–2019</v>
      </c>
      <c r="AE250" s="102">
        <f t="shared" ca="1" si="34"/>
        <v>73.97</v>
      </c>
      <c r="AF250" s="103">
        <f t="shared" ca="1" si="35"/>
        <v>0.10567142857142857</v>
      </c>
      <c r="AG250" s="101"/>
      <c r="AH250" s="101"/>
      <c r="AI250"/>
      <c r="BQ250" s="72">
        <v>0</v>
      </c>
      <c r="BR250" s="72">
        <v>0</v>
      </c>
      <c r="BS250" s="72">
        <v>0</v>
      </c>
      <c r="BT250" s="72">
        <v>0</v>
      </c>
      <c r="BU250" s="72">
        <v>0</v>
      </c>
      <c r="BV250" s="72">
        <v>0</v>
      </c>
      <c r="BW250" s="72">
        <v>0</v>
      </c>
      <c r="BX250" s="72">
        <v>0</v>
      </c>
      <c r="BY250" s="72">
        <v>0</v>
      </c>
      <c r="BZ250" s="72">
        <v>0</v>
      </c>
      <c r="CA250" s="72">
        <v>0</v>
      </c>
      <c r="CB250" s="72">
        <v>0</v>
      </c>
      <c r="CC250" s="72">
        <v>0</v>
      </c>
      <c r="CD250" s="72">
        <v>0</v>
      </c>
      <c r="CE250" s="72">
        <v>0</v>
      </c>
      <c r="CF250" s="72">
        <v>0</v>
      </c>
      <c r="CG250" s="72">
        <v>0</v>
      </c>
      <c r="CH250" s="72">
        <v>0</v>
      </c>
      <c r="CI250" s="72">
        <v>0</v>
      </c>
      <c r="CJ250" s="72">
        <v>0</v>
      </c>
      <c r="CK250" s="72">
        <v>0</v>
      </c>
      <c r="CL250" s="72">
        <v>0</v>
      </c>
      <c r="CM250" s="72">
        <v>0</v>
      </c>
      <c r="CN250" s="72">
        <v>0</v>
      </c>
      <c r="CO250" s="72">
        <v>0</v>
      </c>
      <c r="CP250" s="72">
        <v>0</v>
      </c>
      <c r="CQ250" s="72">
        <v>0</v>
      </c>
      <c r="CR250" s="72">
        <v>0</v>
      </c>
      <c r="CS250" s="72">
        <v>0</v>
      </c>
      <c r="CT250" s="72">
        <v>0</v>
      </c>
      <c r="CU250" s="72">
        <v>0</v>
      </c>
      <c r="CV250" s="72">
        <v>0</v>
      </c>
      <c r="CW250" s="72">
        <v>0</v>
      </c>
      <c r="CX250" s="72">
        <v>0</v>
      </c>
      <c r="CY250" s="72">
        <v>0</v>
      </c>
      <c r="CZ250" s="72">
        <v>0</v>
      </c>
      <c r="DA250" s="72">
        <v>0</v>
      </c>
      <c r="DB250" s="72">
        <v>0</v>
      </c>
      <c r="DC250" s="72">
        <v>0</v>
      </c>
      <c r="DD250" s="72">
        <v>0</v>
      </c>
      <c r="DE250" s="72">
        <v>0</v>
      </c>
      <c r="DF250" s="72">
        <v>0</v>
      </c>
      <c r="DG250" s="72">
        <v>0</v>
      </c>
      <c r="DH250" s="72">
        <v>0</v>
      </c>
      <c r="DI250" s="72">
        <v>0</v>
      </c>
      <c r="DJ250" s="72">
        <v>0</v>
      </c>
      <c r="DK250" s="72">
        <v>0</v>
      </c>
      <c r="DL250" s="72">
        <v>0</v>
      </c>
      <c r="DM250" s="72">
        <v>0</v>
      </c>
      <c r="DN250" s="72">
        <v>0</v>
      </c>
      <c r="DO250" s="72">
        <v>0</v>
      </c>
      <c r="DP250" s="72">
        <v>0</v>
      </c>
      <c r="DQ250" s="72">
        <v>0</v>
      </c>
      <c r="DR250" s="72">
        <v>0</v>
      </c>
      <c r="DS250" s="72">
        <v>0</v>
      </c>
      <c r="DT250" s="72">
        <v>0</v>
      </c>
      <c r="DU250" s="72">
        <v>0</v>
      </c>
      <c r="DV250" s="72">
        <v>0</v>
      </c>
      <c r="DW250" s="72">
        <v>0</v>
      </c>
      <c r="DX250" s="72">
        <v>0</v>
      </c>
      <c r="DY250" s="72">
        <v>0</v>
      </c>
      <c r="DZ250" s="72">
        <v>0</v>
      </c>
      <c r="EA250" s="72">
        <v>0</v>
      </c>
      <c r="EB250" s="72">
        <v>0</v>
      </c>
      <c r="EC250" s="72">
        <v>0</v>
      </c>
      <c r="ED250" s="72">
        <v>0</v>
      </c>
      <c r="EE250" s="72">
        <v>0</v>
      </c>
      <c r="EF250" s="72">
        <v>0</v>
      </c>
      <c r="EG250" s="72">
        <v>0</v>
      </c>
      <c r="EH250" s="72">
        <v>0</v>
      </c>
      <c r="EI250" s="72">
        <v>0</v>
      </c>
      <c r="EJ250" s="72">
        <v>0</v>
      </c>
      <c r="EK250" s="72">
        <v>0</v>
      </c>
      <c r="EL250" s="72">
        <v>0</v>
      </c>
    </row>
    <row r="251" spans="1:142" s="6" customFormat="1" x14ac:dyDescent="0.35">
      <c r="A251" s="59">
        <f>Данные!A251</f>
        <v>6368</v>
      </c>
      <c r="B251" s="59">
        <f>Данные!B251</f>
        <v>2018</v>
      </c>
      <c r="C251" s="59" t="str">
        <f>Данные!C251</f>
        <v>компьютерных технологий и электронного обучения</v>
      </c>
      <c r="D251" s="59" t="str">
        <f>Данные!D251</f>
        <v>Власова Елена Зотиковна</v>
      </c>
      <c r="E251" s="59" t="str">
        <f>Данные!E251</f>
        <v>доктор педагогических наук</v>
      </c>
      <c r="F251" s="59" t="str">
        <f>Данные!F251</f>
        <v>заведующий кафедрой</v>
      </c>
      <c r="G251" s="59">
        <f>Данные!G251</f>
        <v>1</v>
      </c>
      <c r="H251" s="59">
        <f>Данные!H251</f>
        <v>17043</v>
      </c>
      <c r="I251" s="59" t="str">
        <f>Данные!I251</f>
        <v>Модуль "Информационные технологии в математике и физике". Информационные технологии</v>
      </c>
      <c r="J251" s="59">
        <f>Данные!J251</f>
        <v>0</v>
      </c>
      <c r="K251" s="59">
        <f>Данные!K251</f>
        <v>0</v>
      </c>
      <c r="L251" s="59">
        <f>Данные!L251</f>
        <v>0</v>
      </c>
      <c r="M251" s="60">
        <f t="shared" si="27"/>
        <v>0</v>
      </c>
      <c r="N251" s="60">
        <f t="shared" ca="1" si="28"/>
        <v>14.870000000000001</v>
      </c>
      <c r="O251" s="60">
        <f t="shared" ca="1" si="29"/>
        <v>9.75</v>
      </c>
      <c r="P251" s="60">
        <f t="shared" ca="1" si="30"/>
        <v>9.75</v>
      </c>
      <c r="Q251" s="54">
        <f>Данные!Q251</f>
        <v>0</v>
      </c>
      <c r="R251" s="54">
        <f>Данные!R251</f>
        <v>0</v>
      </c>
      <c r="S251" s="54">
        <f>Данные!S251</f>
        <v>0</v>
      </c>
      <c r="T251" s="54">
        <f>Данные!T251</f>
        <v>0</v>
      </c>
      <c r="U251" s="54">
        <f>Данные!U251</f>
        <v>0</v>
      </c>
      <c r="V251" s="54">
        <f>Данные!V251</f>
        <v>0</v>
      </c>
      <c r="W251" s="54">
        <f ca="1">Данные!W251</f>
        <v>39</v>
      </c>
      <c r="X251" s="54" t="str">
        <f ca="1">Данные!X251</f>
        <v>2</v>
      </c>
      <c r="Y251" s="54" t="str">
        <f ca="1">Данные!Y251</f>
        <v>3</v>
      </c>
      <c r="Z251" s="54">
        <f>Данные!Z251</f>
        <v>0</v>
      </c>
      <c r="AA251" s="54" t="str">
        <f>Данные!AA251</f>
        <v>доп</v>
      </c>
      <c r="AB251" s="101">
        <f t="shared" si="31"/>
        <v>700</v>
      </c>
      <c r="AC251" s="101" t="str">
        <f t="shared" si="32"/>
        <v>ИВТ (бак)</v>
      </c>
      <c r="AD251" s="101" t="str">
        <f t="shared" si="33"/>
        <v>2018–2019</v>
      </c>
      <c r="AE251" s="102">
        <f t="shared" ca="1" si="34"/>
        <v>34.370000000000005</v>
      </c>
      <c r="AF251" s="103">
        <f t="shared" ca="1" si="35"/>
        <v>4.9100000000000005E-2</v>
      </c>
      <c r="AG251" s="101"/>
      <c r="AH251" s="101"/>
      <c r="AI251"/>
      <c r="BM251"/>
      <c r="BN251"/>
      <c r="BO251"/>
      <c r="BQ251" s="72">
        <v>0</v>
      </c>
      <c r="BR251" s="72">
        <v>0</v>
      </c>
      <c r="BS251" s="72">
        <v>0</v>
      </c>
      <c r="BT251" s="72">
        <v>0</v>
      </c>
      <c r="BU251" s="72">
        <v>0</v>
      </c>
      <c r="BV251" s="72">
        <v>0</v>
      </c>
      <c r="BW251" s="72">
        <v>0</v>
      </c>
      <c r="BX251" s="72">
        <v>0</v>
      </c>
      <c r="BY251" s="72">
        <v>0</v>
      </c>
      <c r="BZ251" s="72">
        <v>0</v>
      </c>
      <c r="CA251" s="72">
        <v>0</v>
      </c>
      <c r="CB251" s="72">
        <v>0</v>
      </c>
      <c r="CC251" s="72">
        <v>0</v>
      </c>
      <c r="CD251" s="72">
        <v>0</v>
      </c>
      <c r="CE251" s="72">
        <v>0</v>
      </c>
      <c r="CF251" s="72">
        <v>0</v>
      </c>
      <c r="CG251" s="72">
        <v>0</v>
      </c>
      <c r="CH251" s="72">
        <v>0</v>
      </c>
      <c r="CI251" s="72">
        <v>0</v>
      </c>
      <c r="CJ251" s="72">
        <v>0</v>
      </c>
      <c r="CK251" s="72">
        <v>0</v>
      </c>
      <c r="CL251" s="72">
        <v>0</v>
      </c>
      <c r="CM251" s="72">
        <v>0</v>
      </c>
      <c r="CN251" s="72">
        <v>0</v>
      </c>
      <c r="CO251" s="72">
        <v>0</v>
      </c>
      <c r="CP251" s="72">
        <v>0</v>
      </c>
      <c r="CQ251" s="72">
        <v>0</v>
      </c>
      <c r="CR251" s="72">
        <v>0</v>
      </c>
      <c r="CS251" s="72">
        <v>0</v>
      </c>
      <c r="CT251" s="72">
        <v>0</v>
      </c>
      <c r="CU251" s="72">
        <v>0</v>
      </c>
      <c r="CV251" s="72">
        <v>0</v>
      </c>
      <c r="CW251" s="72">
        <v>0</v>
      </c>
      <c r="CX251" s="72">
        <v>0</v>
      </c>
      <c r="CY251" s="72">
        <v>0</v>
      </c>
      <c r="CZ251" s="72">
        <v>0</v>
      </c>
      <c r="DA251" s="72">
        <v>0</v>
      </c>
      <c r="DB251" s="72">
        <v>0</v>
      </c>
      <c r="DC251" s="72">
        <v>0</v>
      </c>
      <c r="DD251" s="72">
        <v>0</v>
      </c>
      <c r="DE251" s="72">
        <v>0</v>
      </c>
      <c r="DF251" s="72">
        <v>0</v>
      </c>
      <c r="DG251" s="72">
        <v>0</v>
      </c>
      <c r="DH251" s="72">
        <v>0</v>
      </c>
      <c r="DI251" s="72">
        <v>0</v>
      </c>
      <c r="DJ251" s="72">
        <v>0</v>
      </c>
      <c r="DK251" s="72">
        <v>0</v>
      </c>
      <c r="DL251" s="72">
        <v>0</v>
      </c>
      <c r="DM251" s="72">
        <v>0</v>
      </c>
      <c r="DN251" s="72">
        <v>0</v>
      </c>
      <c r="DO251" s="72">
        <v>0</v>
      </c>
      <c r="DP251" s="72">
        <v>0</v>
      </c>
      <c r="DQ251" s="72">
        <v>0</v>
      </c>
      <c r="DR251" s="72">
        <v>0</v>
      </c>
      <c r="DS251" s="72">
        <v>0</v>
      </c>
      <c r="DT251" s="72">
        <v>0</v>
      </c>
      <c r="DU251" s="72">
        <v>0</v>
      </c>
      <c r="DV251" s="72">
        <v>0</v>
      </c>
      <c r="DW251" s="72">
        <v>0</v>
      </c>
      <c r="DX251" s="72">
        <v>0</v>
      </c>
      <c r="DY251" s="72">
        <v>0</v>
      </c>
      <c r="DZ251" s="72">
        <v>0</v>
      </c>
      <c r="EA251" s="72">
        <v>0</v>
      </c>
      <c r="EB251" s="72">
        <v>0</v>
      </c>
      <c r="EC251" s="72">
        <v>0</v>
      </c>
      <c r="ED251" s="72">
        <v>0</v>
      </c>
      <c r="EE251" s="72">
        <v>0</v>
      </c>
      <c r="EF251" s="72">
        <v>0</v>
      </c>
      <c r="EG251" s="72">
        <v>0</v>
      </c>
      <c r="EH251" s="72">
        <v>0</v>
      </c>
      <c r="EI251" s="72">
        <v>0</v>
      </c>
      <c r="EJ251" s="72">
        <v>0</v>
      </c>
      <c r="EK251" s="72">
        <v>0</v>
      </c>
      <c r="EL251" s="72">
        <v>0</v>
      </c>
    </row>
    <row r="252" spans="1:142" s="6" customFormat="1" x14ac:dyDescent="0.35">
      <c r="A252" s="59">
        <f>Данные!A252</f>
        <v>6368</v>
      </c>
      <c r="B252" s="59">
        <f>Данные!B252</f>
        <v>2018</v>
      </c>
      <c r="C252" s="59" t="str">
        <f>Данные!C252</f>
        <v>компьютерных технологий и электронного обучения</v>
      </c>
      <c r="D252" s="59" t="str">
        <f>Данные!D252</f>
        <v>Власова Елена Зотиковна</v>
      </c>
      <c r="E252" s="59" t="str">
        <f>Данные!E252</f>
        <v>доктор педагогических наук</v>
      </c>
      <c r="F252" s="59" t="str">
        <f>Данные!F252</f>
        <v>заведующий кафедрой</v>
      </c>
      <c r="G252" s="59">
        <f>Данные!G252</f>
        <v>1</v>
      </c>
      <c r="H252" s="59">
        <f>Данные!H252</f>
        <v>17043</v>
      </c>
      <c r="I252" s="59" t="str">
        <f>Данные!I252</f>
        <v>Модуль "Информационные технологии в математике и физике". Информационные технологии в физике</v>
      </c>
      <c r="J252" s="59">
        <f>Данные!J252</f>
        <v>12</v>
      </c>
      <c r="K252" s="59">
        <f>Данные!K252</f>
        <v>0</v>
      </c>
      <c r="L252" s="59">
        <f>Данные!L252</f>
        <v>0</v>
      </c>
      <c r="M252" s="60">
        <f t="shared" si="27"/>
        <v>1.2</v>
      </c>
      <c r="N252" s="60">
        <f t="shared" ca="1" si="28"/>
        <v>14.870000000000001</v>
      </c>
      <c r="O252" s="60">
        <f t="shared" ca="1" si="29"/>
        <v>9.75</v>
      </c>
      <c r="P252" s="60">
        <f t="shared" ca="1" si="30"/>
        <v>9.75</v>
      </c>
      <c r="Q252" s="54">
        <f>Данные!Q252</f>
        <v>39</v>
      </c>
      <c r="R252" s="54">
        <f>Данные!R252</f>
        <v>0</v>
      </c>
      <c r="S252" s="54">
        <f>Данные!S252</f>
        <v>0</v>
      </c>
      <c r="T252" s="54">
        <f>Данные!T252</f>
        <v>0</v>
      </c>
      <c r="U252" s="54">
        <f>Данные!U252</f>
        <v>0</v>
      </c>
      <c r="V252" s="54">
        <f>Данные!V252</f>
        <v>0</v>
      </c>
      <c r="W252" s="54">
        <f ca="1">Данные!W252</f>
        <v>39</v>
      </c>
      <c r="X252" s="54" t="str">
        <f ca="1">Данные!X252</f>
        <v>2</v>
      </c>
      <c r="Y252" s="54" t="str">
        <f ca="1">Данные!Y252</f>
        <v>3</v>
      </c>
      <c r="Z252" s="54">
        <f>Данные!Z252</f>
        <v>0</v>
      </c>
      <c r="AA252" s="54" t="str">
        <f>Данные!AA252</f>
        <v>осн</v>
      </c>
      <c r="AB252" s="101">
        <f t="shared" si="31"/>
        <v>700</v>
      </c>
      <c r="AC252" s="101" t="str">
        <f t="shared" si="32"/>
        <v>ИВТ (бак)</v>
      </c>
      <c r="AD252" s="101" t="str">
        <f t="shared" si="33"/>
        <v>2018–2019</v>
      </c>
      <c r="AE252" s="102">
        <f t="shared" ca="1" si="34"/>
        <v>86.57</v>
      </c>
      <c r="AF252" s="103">
        <f t="shared" ca="1" si="35"/>
        <v>0.12367142857142856</v>
      </c>
      <c r="AG252" s="101"/>
      <c r="AH252" s="101"/>
      <c r="AI252"/>
      <c r="BM252"/>
      <c r="BN252"/>
      <c r="BO252"/>
      <c r="BQ252" s="72">
        <v>0</v>
      </c>
      <c r="BR252" s="72">
        <v>0</v>
      </c>
      <c r="BS252" s="72">
        <v>0</v>
      </c>
      <c r="BT252" s="72">
        <v>0</v>
      </c>
      <c r="BU252" s="72">
        <v>0</v>
      </c>
      <c r="BV252" s="72">
        <v>0</v>
      </c>
      <c r="BW252" s="72">
        <v>0</v>
      </c>
      <c r="BX252" s="72">
        <v>0</v>
      </c>
      <c r="BY252" s="72">
        <v>0</v>
      </c>
      <c r="BZ252" s="72">
        <v>0</v>
      </c>
      <c r="CA252" s="72">
        <v>0</v>
      </c>
      <c r="CB252" s="72">
        <v>0</v>
      </c>
      <c r="CC252" s="72">
        <v>0</v>
      </c>
      <c r="CD252" s="72">
        <v>0</v>
      </c>
      <c r="CE252" s="72">
        <v>0</v>
      </c>
      <c r="CF252" s="72">
        <v>0</v>
      </c>
      <c r="CG252" s="72">
        <v>0</v>
      </c>
      <c r="CH252" s="72">
        <v>0</v>
      </c>
      <c r="CI252" s="72">
        <v>0</v>
      </c>
      <c r="CJ252" s="72">
        <v>0</v>
      </c>
      <c r="CK252" s="72">
        <v>0</v>
      </c>
      <c r="CL252" s="72">
        <v>0</v>
      </c>
      <c r="CM252" s="72">
        <v>0</v>
      </c>
      <c r="CN252" s="72">
        <v>0</v>
      </c>
      <c r="CO252" s="72">
        <v>0</v>
      </c>
      <c r="CP252" s="72">
        <v>0</v>
      </c>
      <c r="CQ252" s="72">
        <v>0</v>
      </c>
      <c r="CR252" s="72">
        <v>0</v>
      </c>
      <c r="CS252" s="72">
        <v>0</v>
      </c>
      <c r="CT252" s="72">
        <v>0</v>
      </c>
      <c r="CU252" s="72">
        <v>0</v>
      </c>
      <c r="CV252" s="72">
        <v>0</v>
      </c>
      <c r="CW252" s="72">
        <v>0</v>
      </c>
      <c r="CX252" s="72">
        <v>0</v>
      </c>
      <c r="CY252" s="72">
        <v>0</v>
      </c>
      <c r="CZ252" s="72">
        <v>0</v>
      </c>
      <c r="DA252" s="72">
        <v>0</v>
      </c>
      <c r="DB252" s="72">
        <v>0</v>
      </c>
      <c r="DC252" s="72">
        <v>0</v>
      </c>
      <c r="DD252" s="72">
        <v>0</v>
      </c>
      <c r="DE252" s="72">
        <v>0</v>
      </c>
      <c r="DF252" s="72">
        <v>0</v>
      </c>
      <c r="DG252" s="72">
        <v>0</v>
      </c>
      <c r="DH252" s="72">
        <v>0</v>
      </c>
      <c r="DI252" s="72">
        <v>0</v>
      </c>
      <c r="DJ252" s="72">
        <v>0</v>
      </c>
      <c r="DK252" s="72">
        <v>0</v>
      </c>
      <c r="DL252" s="72">
        <v>0</v>
      </c>
      <c r="DM252" s="72">
        <v>0</v>
      </c>
      <c r="DN252" s="72">
        <v>0</v>
      </c>
      <c r="DO252" s="72">
        <v>0</v>
      </c>
      <c r="DP252" s="72">
        <v>0</v>
      </c>
      <c r="DQ252" s="72">
        <v>0</v>
      </c>
      <c r="DR252" s="72">
        <v>0</v>
      </c>
      <c r="DS252" s="72">
        <v>0</v>
      </c>
      <c r="DT252" s="72">
        <v>0</v>
      </c>
      <c r="DU252" s="72">
        <v>0</v>
      </c>
      <c r="DV252" s="72">
        <v>0</v>
      </c>
      <c r="DW252" s="72">
        <v>0</v>
      </c>
      <c r="DX252" s="72">
        <v>0</v>
      </c>
      <c r="DY252" s="72">
        <v>0</v>
      </c>
      <c r="DZ252" s="72">
        <v>0</v>
      </c>
      <c r="EA252" s="72">
        <v>0</v>
      </c>
      <c r="EB252" s="72">
        <v>0</v>
      </c>
      <c r="EC252" s="72">
        <v>0</v>
      </c>
      <c r="ED252" s="72">
        <v>0</v>
      </c>
      <c r="EE252" s="72">
        <v>0</v>
      </c>
      <c r="EF252" s="72">
        <v>0</v>
      </c>
      <c r="EG252" s="72">
        <v>0</v>
      </c>
      <c r="EH252" s="72">
        <v>0</v>
      </c>
      <c r="EI252" s="72">
        <v>0</v>
      </c>
      <c r="EJ252" s="72">
        <v>0</v>
      </c>
      <c r="EK252" s="72">
        <v>0</v>
      </c>
      <c r="EL252" s="72">
        <v>0</v>
      </c>
    </row>
    <row r="253" spans="1:142" s="6" customFormat="1" x14ac:dyDescent="0.35">
      <c r="A253" s="59">
        <f>Данные!A253</f>
        <v>6368</v>
      </c>
      <c r="B253" s="59">
        <f>Данные!B253</f>
        <v>2018</v>
      </c>
      <c r="C253" s="59" t="str">
        <f>Данные!C253</f>
        <v>компьютерных технологий и электронного обучения</v>
      </c>
      <c r="D253" s="59" t="str">
        <f>Данные!D253</f>
        <v>Власова Елена Зотиковна</v>
      </c>
      <c r="E253" s="59" t="str">
        <f>Данные!E253</f>
        <v>доктор педагогических наук</v>
      </c>
      <c r="F253" s="59" t="str">
        <f>Данные!F253</f>
        <v>заведующий кафедрой</v>
      </c>
      <c r="G253" s="59">
        <f>Данные!G253</f>
        <v>1</v>
      </c>
      <c r="H253" s="59">
        <f>Данные!H253</f>
        <v>17043</v>
      </c>
      <c r="I253" s="59" t="str">
        <f>Данные!I253</f>
        <v>Модуль "Системное и прикладное программное обеспечение". Программирование</v>
      </c>
      <c r="J253" s="59">
        <f>Данные!J253</f>
        <v>18</v>
      </c>
      <c r="K253" s="59">
        <f>Данные!K253</f>
        <v>0</v>
      </c>
      <c r="L253" s="59">
        <f>Данные!L253</f>
        <v>0</v>
      </c>
      <c r="M253" s="60">
        <f t="shared" si="27"/>
        <v>1.8</v>
      </c>
      <c r="N253" s="60">
        <f t="shared" ca="1" si="28"/>
        <v>14.870000000000001</v>
      </c>
      <c r="O253" s="60">
        <f t="shared" ca="1" si="29"/>
        <v>9.75</v>
      </c>
      <c r="P253" s="60">
        <f t="shared" ca="1" si="30"/>
        <v>9.75</v>
      </c>
      <c r="Q253" s="54">
        <f>Данные!Q253</f>
        <v>0</v>
      </c>
      <c r="R253" s="54">
        <f>Данные!R253</f>
        <v>0</v>
      </c>
      <c r="S253" s="54">
        <f>Данные!S253</f>
        <v>0</v>
      </c>
      <c r="T253" s="54">
        <f>Данные!T253</f>
        <v>0</v>
      </c>
      <c r="U253" s="54">
        <f>Данные!U253</f>
        <v>0</v>
      </c>
      <c r="V253" s="54">
        <f>Данные!V253</f>
        <v>0</v>
      </c>
      <c r="W253" s="54">
        <f ca="1">Данные!W253</f>
        <v>39</v>
      </c>
      <c r="X253" s="54" t="str">
        <f ca="1">Данные!X253</f>
        <v>2</v>
      </c>
      <c r="Y253" s="54" t="str">
        <f ca="1">Данные!Y253</f>
        <v>3</v>
      </c>
      <c r="Z253" s="54">
        <f>Данные!Z253</f>
        <v>0</v>
      </c>
      <c r="AA253" s="54" t="str">
        <f>Данные!AA253</f>
        <v>осн</v>
      </c>
      <c r="AB253" s="101">
        <f t="shared" si="31"/>
        <v>700</v>
      </c>
      <c r="AC253" s="101" t="str">
        <f t="shared" si="32"/>
        <v>ИВТ (бак)</v>
      </c>
      <c r="AD253" s="101" t="str">
        <f t="shared" si="33"/>
        <v>2018–2019</v>
      </c>
      <c r="AE253" s="102">
        <f t="shared" ca="1" si="34"/>
        <v>54.17</v>
      </c>
      <c r="AF253" s="103">
        <f t="shared" ca="1" si="35"/>
        <v>7.7385714285714294E-2</v>
      </c>
      <c r="AG253" s="101"/>
      <c r="AH253" s="101"/>
      <c r="AI253"/>
      <c r="BM253"/>
      <c r="BN253"/>
      <c r="BO253"/>
      <c r="BQ253" s="72">
        <v>0</v>
      </c>
      <c r="BR253" s="72">
        <v>0</v>
      </c>
      <c r="BS253" s="72">
        <v>0</v>
      </c>
      <c r="BT253" s="72">
        <v>0</v>
      </c>
      <c r="BU253" s="72">
        <v>0</v>
      </c>
      <c r="BV253" s="72">
        <v>0</v>
      </c>
      <c r="BW253" s="72">
        <v>0</v>
      </c>
      <c r="BX253" s="72">
        <v>0</v>
      </c>
      <c r="BY253" s="72">
        <v>0</v>
      </c>
      <c r="BZ253" s="72">
        <v>0</v>
      </c>
      <c r="CA253" s="72">
        <v>0</v>
      </c>
      <c r="CB253" s="72">
        <v>0</v>
      </c>
      <c r="CC253" s="72">
        <v>0</v>
      </c>
      <c r="CD253" s="72">
        <v>0</v>
      </c>
      <c r="CE253" s="72">
        <v>0</v>
      </c>
      <c r="CF253" s="72">
        <v>0</v>
      </c>
      <c r="CG253" s="72">
        <v>0</v>
      </c>
      <c r="CH253" s="72">
        <v>0</v>
      </c>
      <c r="CI253" s="72">
        <v>0</v>
      </c>
      <c r="CJ253" s="72">
        <v>0</v>
      </c>
      <c r="CK253" s="72">
        <v>0</v>
      </c>
      <c r="CL253" s="72">
        <v>0</v>
      </c>
      <c r="CM253" s="72">
        <v>0</v>
      </c>
      <c r="CN253" s="72">
        <v>0</v>
      </c>
      <c r="CO253" s="72">
        <v>0</v>
      </c>
      <c r="CP253" s="72">
        <v>0</v>
      </c>
      <c r="CQ253" s="72">
        <v>0</v>
      </c>
      <c r="CR253" s="72">
        <v>0</v>
      </c>
      <c r="CS253" s="72">
        <v>0</v>
      </c>
      <c r="CT253" s="72">
        <v>0</v>
      </c>
      <c r="CU253" s="72">
        <v>0</v>
      </c>
      <c r="CV253" s="72">
        <v>0</v>
      </c>
      <c r="CW253" s="72">
        <v>0</v>
      </c>
      <c r="CX253" s="72">
        <v>0</v>
      </c>
      <c r="CY253" s="72">
        <v>0</v>
      </c>
      <c r="CZ253" s="72">
        <v>0</v>
      </c>
      <c r="DA253" s="72">
        <v>0</v>
      </c>
      <c r="DB253" s="72">
        <v>0</v>
      </c>
      <c r="DC253" s="72">
        <v>0</v>
      </c>
      <c r="DD253" s="72">
        <v>0</v>
      </c>
      <c r="DE253" s="72">
        <v>0</v>
      </c>
      <c r="DF253" s="72">
        <v>0</v>
      </c>
      <c r="DG253" s="72">
        <v>0</v>
      </c>
      <c r="DH253" s="72">
        <v>0</v>
      </c>
      <c r="DI253" s="72">
        <v>0</v>
      </c>
      <c r="DJ253" s="72">
        <v>0</v>
      </c>
      <c r="DK253" s="72">
        <v>0</v>
      </c>
      <c r="DL253" s="72">
        <v>0</v>
      </c>
      <c r="DM253" s="72">
        <v>0</v>
      </c>
      <c r="DN253" s="72">
        <v>0</v>
      </c>
      <c r="DO253" s="72">
        <v>0</v>
      </c>
      <c r="DP253" s="72">
        <v>0</v>
      </c>
      <c r="DQ253" s="72">
        <v>0</v>
      </c>
      <c r="DR253" s="72">
        <v>0</v>
      </c>
      <c r="DS253" s="72">
        <v>0</v>
      </c>
      <c r="DT253" s="72">
        <v>0</v>
      </c>
      <c r="DU253" s="72">
        <v>0</v>
      </c>
      <c r="DV253" s="72">
        <v>0</v>
      </c>
      <c r="DW253" s="72">
        <v>0</v>
      </c>
      <c r="DX253" s="72">
        <v>0</v>
      </c>
      <c r="DY253" s="72">
        <v>0</v>
      </c>
      <c r="DZ253" s="72">
        <v>0</v>
      </c>
      <c r="EA253" s="72">
        <v>0</v>
      </c>
      <c r="EB253" s="72">
        <v>0</v>
      </c>
      <c r="EC253" s="72">
        <v>0</v>
      </c>
      <c r="ED253" s="72">
        <v>0</v>
      </c>
      <c r="EE253" s="72">
        <v>0</v>
      </c>
      <c r="EF253" s="72">
        <v>0</v>
      </c>
      <c r="EG253" s="72">
        <v>0</v>
      </c>
      <c r="EH253" s="72">
        <v>0</v>
      </c>
      <c r="EI253" s="72">
        <v>0</v>
      </c>
      <c r="EJ253" s="72">
        <v>0</v>
      </c>
      <c r="EK253" s="72">
        <v>0</v>
      </c>
      <c r="EL253" s="72">
        <v>0</v>
      </c>
    </row>
    <row r="254" spans="1:142" s="6" customFormat="1" x14ac:dyDescent="0.35">
      <c r="A254" s="59">
        <f>Данные!A254</f>
        <v>6368</v>
      </c>
      <c r="B254" s="59">
        <f>Данные!B254</f>
        <v>2018</v>
      </c>
      <c r="C254" s="59" t="str">
        <f>Данные!C254</f>
        <v>компьютерных технологий и электронного обучения</v>
      </c>
      <c r="D254" s="59" t="str">
        <f>Данные!D254</f>
        <v>Гончарова Светлана Викторовна</v>
      </c>
      <c r="E254" s="59" t="str">
        <f>Данные!E254</f>
        <v>кандидат педагогических наук</v>
      </c>
      <c r="F254" s="59" t="str">
        <f>Данные!F254</f>
        <v>доцент</v>
      </c>
      <c r="G254" s="59">
        <f>Данные!G254</f>
        <v>1</v>
      </c>
      <c r="H254" s="59">
        <f>Данные!H254</f>
        <v>17043</v>
      </c>
      <c r="I254" s="59" t="str">
        <f>Данные!I254</f>
        <v>Модуль "Естественно-математический". Информатика</v>
      </c>
      <c r="J254" s="59">
        <f>Данные!J254</f>
        <v>0</v>
      </c>
      <c r="K254" s="59">
        <f>Данные!K254</f>
        <v>0</v>
      </c>
      <c r="L254" s="59">
        <f>Данные!L254</f>
        <v>36</v>
      </c>
      <c r="M254" s="60">
        <f t="shared" si="27"/>
        <v>3.6</v>
      </c>
      <c r="N254" s="60">
        <f t="shared" ca="1" si="28"/>
        <v>14.870000000000001</v>
      </c>
      <c r="O254" s="60">
        <f t="shared" ca="1" si="29"/>
        <v>9.75</v>
      </c>
      <c r="P254" s="60">
        <f t="shared" ca="1" si="30"/>
        <v>9.75</v>
      </c>
      <c r="Q254" s="54">
        <f>Данные!Q254</f>
        <v>0</v>
      </c>
      <c r="R254" s="54">
        <f>Данные!R254</f>
        <v>0</v>
      </c>
      <c r="S254" s="54">
        <f>Данные!S254</f>
        <v>0</v>
      </c>
      <c r="T254" s="54">
        <f>Данные!T254</f>
        <v>0</v>
      </c>
      <c r="U254" s="54">
        <f>Данные!U254</f>
        <v>0</v>
      </c>
      <c r="V254" s="54">
        <f>Данные!V254</f>
        <v>0</v>
      </c>
      <c r="W254" s="54">
        <f ca="1">Данные!W254</f>
        <v>39</v>
      </c>
      <c r="X254" s="54" t="str">
        <f ca="1">Данные!X254</f>
        <v>2</v>
      </c>
      <c r="Y254" s="54" t="str">
        <f ca="1">Данные!Y254</f>
        <v>3</v>
      </c>
      <c r="Z254" s="54">
        <f>Данные!Z254</f>
        <v>0</v>
      </c>
      <c r="AA254" s="54" t="str">
        <f>Данные!AA254</f>
        <v>осн</v>
      </c>
      <c r="AB254" s="101">
        <f t="shared" si="31"/>
        <v>800</v>
      </c>
      <c r="AC254" s="101" t="str">
        <f t="shared" si="32"/>
        <v>ИВТ (бак)</v>
      </c>
      <c r="AD254" s="101" t="str">
        <f t="shared" si="33"/>
        <v>2018–2019</v>
      </c>
      <c r="AE254" s="102">
        <f t="shared" ca="1" si="34"/>
        <v>73.97</v>
      </c>
      <c r="AF254" s="103">
        <f t="shared" ca="1" si="35"/>
        <v>9.2462500000000003E-2</v>
      </c>
      <c r="AG254" s="101"/>
      <c r="AH254" s="101"/>
      <c r="AI254"/>
      <c r="BM254"/>
      <c r="BN254"/>
      <c r="BO254"/>
      <c r="BQ254" s="72">
        <v>0</v>
      </c>
      <c r="BR254" s="72">
        <v>0</v>
      </c>
      <c r="BS254" s="72">
        <v>0</v>
      </c>
      <c r="BT254" s="72">
        <v>0</v>
      </c>
      <c r="BU254" s="72">
        <v>0</v>
      </c>
      <c r="BV254" s="72">
        <v>0</v>
      </c>
      <c r="BW254" s="72">
        <v>0</v>
      </c>
      <c r="BX254" s="72">
        <v>0</v>
      </c>
      <c r="BY254" s="72">
        <v>0</v>
      </c>
      <c r="BZ254" s="72">
        <v>0</v>
      </c>
      <c r="CA254" s="72">
        <v>0</v>
      </c>
      <c r="CB254" s="72">
        <v>0</v>
      </c>
      <c r="CC254" s="72">
        <v>0</v>
      </c>
      <c r="CD254" s="72">
        <v>0</v>
      </c>
      <c r="CE254" s="72">
        <v>0</v>
      </c>
      <c r="CF254" s="72">
        <v>0</v>
      </c>
      <c r="CG254" s="72">
        <v>0</v>
      </c>
      <c r="CH254" s="72">
        <v>0</v>
      </c>
      <c r="CI254" s="72">
        <v>0</v>
      </c>
      <c r="CJ254" s="72">
        <v>0</v>
      </c>
      <c r="CK254" s="72">
        <v>0</v>
      </c>
      <c r="CL254" s="72">
        <v>0</v>
      </c>
      <c r="CM254" s="72">
        <v>0</v>
      </c>
      <c r="CN254" s="72">
        <v>0</v>
      </c>
      <c r="CO254" s="72">
        <v>0</v>
      </c>
      <c r="CP254" s="72">
        <v>0</v>
      </c>
      <c r="CQ254" s="72">
        <v>0</v>
      </c>
      <c r="CR254" s="72">
        <v>0</v>
      </c>
      <c r="CS254" s="72">
        <v>0</v>
      </c>
      <c r="CT254" s="72">
        <v>0</v>
      </c>
      <c r="CU254" s="72">
        <v>0</v>
      </c>
      <c r="CV254" s="72">
        <v>0</v>
      </c>
      <c r="CW254" s="72">
        <v>0</v>
      </c>
      <c r="CX254" s="72">
        <v>0</v>
      </c>
      <c r="CY254" s="72">
        <v>0</v>
      </c>
      <c r="CZ254" s="72">
        <v>0</v>
      </c>
      <c r="DA254" s="72">
        <v>0</v>
      </c>
      <c r="DB254" s="72">
        <v>0</v>
      </c>
      <c r="DC254" s="72">
        <v>0</v>
      </c>
      <c r="DD254" s="72">
        <v>0</v>
      </c>
      <c r="DE254" s="72">
        <v>0</v>
      </c>
      <c r="DF254" s="72">
        <v>0</v>
      </c>
      <c r="DG254" s="72">
        <v>0</v>
      </c>
      <c r="DH254" s="72">
        <v>0</v>
      </c>
      <c r="DI254" s="72">
        <v>0</v>
      </c>
      <c r="DJ254" s="72">
        <v>0</v>
      </c>
      <c r="DK254" s="72">
        <v>0</v>
      </c>
      <c r="DL254" s="72">
        <v>0</v>
      </c>
      <c r="DM254" s="72">
        <v>0</v>
      </c>
      <c r="DN254" s="72">
        <v>0</v>
      </c>
      <c r="DO254" s="72">
        <v>0</v>
      </c>
      <c r="DP254" s="72">
        <v>0</v>
      </c>
      <c r="DQ254" s="72">
        <v>0</v>
      </c>
      <c r="DR254" s="72">
        <v>0</v>
      </c>
      <c r="DS254" s="72">
        <v>0</v>
      </c>
      <c r="DT254" s="72">
        <v>0</v>
      </c>
      <c r="DU254" s="72">
        <v>0</v>
      </c>
      <c r="DV254" s="72">
        <v>0</v>
      </c>
      <c r="DW254" s="72">
        <v>0</v>
      </c>
      <c r="DX254" s="72">
        <v>0</v>
      </c>
      <c r="DY254" s="72">
        <v>0</v>
      </c>
      <c r="DZ254" s="72">
        <v>0</v>
      </c>
      <c r="EA254" s="72">
        <v>0</v>
      </c>
      <c r="EB254" s="72">
        <v>0</v>
      </c>
      <c r="EC254" s="72">
        <v>0</v>
      </c>
      <c r="ED254" s="72">
        <v>0</v>
      </c>
      <c r="EE254" s="72">
        <v>0</v>
      </c>
      <c r="EF254" s="72">
        <v>0</v>
      </c>
      <c r="EG254" s="72">
        <v>0</v>
      </c>
      <c r="EH254" s="72">
        <v>0</v>
      </c>
      <c r="EI254" s="72">
        <v>0</v>
      </c>
      <c r="EJ254" s="72">
        <v>0</v>
      </c>
      <c r="EK254" s="72">
        <v>0</v>
      </c>
      <c r="EL254" s="72">
        <v>0</v>
      </c>
    </row>
    <row r="255" spans="1:142" s="6" customFormat="1" x14ac:dyDescent="0.35">
      <c r="A255" s="59">
        <f>Данные!A255</f>
        <v>6368</v>
      </c>
      <c r="B255" s="59">
        <f>Данные!B255</f>
        <v>2018</v>
      </c>
      <c r="C255" s="59" t="str">
        <f>Данные!C255</f>
        <v>компьютерных технологий и электронного обучения</v>
      </c>
      <c r="D255" s="59" t="str">
        <f>Данные!D255</f>
        <v>Гончарова Светлана Викторовна</v>
      </c>
      <c r="E255" s="59" t="str">
        <f>Данные!E255</f>
        <v>кандидат педагогических наук</v>
      </c>
      <c r="F255" s="59" t="str">
        <f>Данные!F255</f>
        <v>доцент</v>
      </c>
      <c r="G255" s="59">
        <f>Данные!G255</f>
        <v>1</v>
      </c>
      <c r="H255" s="59">
        <f>Данные!H255</f>
        <v>17043</v>
      </c>
      <c r="I255" s="59" t="str">
        <f>Данные!I255</f>
        <v>Модуль "Естественно-математический". Информатика</v>
      </c>
      <c r="J255" s="59">
        <f>Данные!J255</f>
        <v>0</v>
      </c>
      <c r="K255" s="59">
        <f>Данные!K255</f>
        <v>0</v>
      </c>
      <c r="L255" s="59">
        <f>Данные!L255</f>
        <v>36</v>
      </c>
      <c r="M255" s="60">
        <f t="shared" si="27"/>
        <v>3.6</v>
      </c>
      <c r="N255" s="60">
        <f t="shared" ca="1" si="28"/>
        <v>14.870000000000001</v>
      </c>
      <c r="O255" s="60">
        <f t="shared" ca="1" si="29"/>
        <v>9.75</v>
      </c>
      <c r="P255" s="60">
        <f t="shared" ca="1" si="30"/>
        <v>9.75</v>
      </c>
      <c r="Q255" s="54">
        <f>Данные!Q255</f>
        <v>0</v>
      </c>
      <c r="R255" s="54">
        <f>Данные!R255</f>
        <v>0</v>
      </c>
      <c r="S255" s="54">
        <f>Данные!S255</f>
        <v>0</v>
      </c>
      <c r="T255" s="54">
        <f>Данные!T255</f>
        <v>0</v>
      </c>
      <c r="U255" s="54">
        <f>Данные!U255</f>
        <v>0</v>
      </c>
      <c r="V255" s="54">
        <f>Данные!V255</f>
        <v>0</v>
      </c>
      <c r="W255" s="54">
        <f ca="1">Данные!W255</f>
        <v>39</v>
      </c>
      <c r="X255" s="54" t="str">
        <f ca="1">Данные!X255</f>
        <v>2</v>
      </c>
      <c r="Y255" s="54" t="str">
        <f ca="1">Данные!Y255</f>
        <v>3</v>
      </c>
      <c r="Z255" s="54">
        <f>Данные!Z255</f>
        <v>0</v>
      </c>
      <c r="AA255" s="54" t="str">
        <f>Данные!AA255</f>
        <v>доп</v>
      </c>
      <c r="AB255" s="101">
        <f t="shared" si="31"/>
        <v>800</v>
      </c>
      <c r="AC255" s="101" t="str">
        <f t="shared" si="32"/>
        <v>ИВТ (бак)</v>
      </c>
      <c r="AD255" s="101" t="str">
        <f t="shared" si="33"/>
        <v>2018–2019</v>
      </c>
      <c r="AE255" s="102">
        <f t="shared" ca="1" si="34"/>
        <v>73.97</v>
      </c>
      <c r="AF255" s="103">
        <f t="shared" ca="1" si="35"/>
        <v>9.2462500000000003E-2</v>
      </c>
      <c r="AG255" s="101"/>
      <c r="AH255" s="101"/>
      <c r="AI255"/>
      <c r="BM255"/>
      <c r="BN255"/>
      <c r="BO255"/>
      <c r="BQ255" s="72">
        <v>0</v>
      </c>
      <c r="BR255" s="72">
        <v>0</v>
      </c>
      <c r="BS255" s="72">
        <v>0</v>
      </c>
      <c r="BT255" s="72">
        <v>0</v>
      </c>
      <c r="BU255" s="72">
        <v>0</v>
      </c>
      <c r="BV255" s="72">
        <v>0</v>
      </c>
      <c r="BW255" s="72">
        <v>0</v>
      </c>
      <c r="BX255" s="72">
        <v>0</v>
      </c>
      <c r="BY255" s="72">
        <v>0</v>
      </c>
      <c r="BZ255" s="72">
        <v>0</v>
      </c>
      <c r="CA255" s="72">
        <v>0</v>
      </c>
      <c r="CB255" s="72">
        <v>0</v>
      </c>
      <c r="CC255" s="72">
        <v>0</v>
      </c>
      <c r="CD255" s="72">
        <v>0</v>
      </c>
      <c r="CE255" s="72">
        <v>0</v>
      </c>
      <c r="CF255" s="72">
        <v>0</v>
      </c>
      <c r="CG255" s="72">
        <v>0</v>
      </c>
      <c r="CH255" s="72">
        <v>0</v>
      </c>
      <c r="CI255" s="72">
        <v>0</v>
      </c>
      <c r="CJ255" s="72">
        <v>0</v>
      </c>
      <c r="CK255" s="72">
        <v>0</v>
      </c>
      <c r="CL255" s="72">
        <v>0</v>
      </c>
      <c r="CM255" s="72">
        <v>0</v>
      </c>
      <c r="CN255" s="72">
        <v>0</v>
      </c>
      <c r="CO255" s="72">
        <v>0</v>
      </c>
      <c r="CP255" s="72">
        <v>0</v>
      </c>
      <c r="CQ255" s="72">
        <v>0</v>
      </c>
      <c r="CR255" s="72">
        <v>0</v>
      </c>
      <c r="CS255" s="72">
        <v>0</v>
      </c>
      <c r="CT255" s="72">
        <v>0</v>
      </c>
      <c r="CU255" s="72">
        <v>0</v>
      </c>
      <c r="CV255" s="72">
        <v>0</v>
      </c>
      <c r="CW255" s="72">
        <v>0</v>
      </c>
      <c r="CX255" s="72">
        <v>0</v>
      </c>
      <c r="CY255" s="72">
        <v>0</v>
      </c>
      <c r="CZ255" s="72">
        <v>0</v>
      </c>
      <c r="DA255" s="72">
        <v>0</v>
      </c>
      <c r="DB255" s="72">
        <v>0</v>
      </c>
      <c r="DC255" s="72">
        <v>0</v>
      </c>
      <c r="DD255" s="72">
        <v>0</v>
      </c>
      <c r="DE255" s="72">
        <v>0</v>
      </c>
      <c r="DF255" s="72">
        <v>0</v>
      </c>
      <c r="DG255" s="72">
        <v>0</v>
      </c>
      <c r="DH255" s="72">
        <v>0</v>
      </c>
      <c r="DI255" s="72">
        <v>0</v>
      </c>
      <c r="DJ255" s="72">
        <v>0</v>
      </c>
      <c r="DK255" s="72">
        <v>0</v>
      </c>
      <c r="DL255" s="72">
        <v>0</v>
      </c>
      <c r="DM255" s="72">
        <v>0</v>
      </c>
      <c r="DN255" s="72">
        <v>0</v>
      </c>
      <c r="DO255" s="72">
        <v>0</v>
      </c>
      <c r="DP255" s="72">
        <v>0</v>
      </c>
      <c r="DQ255" s="72">
        <v>0</v>
      </c>
      <c r="DR255" s="72">
        <v>0</v>
      </c>
      <c r="DS255" s="72">
        <v>0</v>
      </c>
      <c r="DT255" s="72">
        <v>0</v>
      </c>
      <c r="DU255" s="72">
        <v>0</v>
      </c>
      <c r="DV255" s="72">
        <v>0</v>
      </c>
      <c r="DW255" s="72">
        <v>0</v>
      </c>
      <c r="DX255" s="72">
        <v>0</v>
      </c>
      <c r="DY255" s="72">
        <v>0</v>
      </c>
      <c r="DZ255" s="72">
        <v>0</v>
      </c>
      <c r="EA255" s="72">
        <v>0</v>
      </c>
      <c r="EB255" s="72">
        <v>0</v>
      </c>
      <c r="EC255" s="72">
        <v>0</v>
      </c>
      <c r="ED255" s="72">
        <v>0</v>
      </c>
      <c r="EE255" s="72">
        <v>0</v>
      </c>
      <c r="EF255" s="72">
        <v>0</v>
      </c>
      <c r="EG255" s="72">
        <v>0</v>
      </c>
      <c r="EH255" s="72">
        <v>0</v>
      </c>
      <c r="EI255" s="72">
        <v>0</v>
      </c>
      <c r="EJ255" s="72">
        <v>0</v>
      </c>
      <c r="EK255" s="72">
        <v>0</v>
      </c>
      <c r="EL255" s="72">
        <v>0</v>
      </c>
    </row>
    <row r="256" spans="1:142" s="6" customFormat="1" x14ac:dyDescent="0.35">
      <c r="A256" s="59">
        <f>Данные!A256</f>
        <v>6368</v>
      </c>
      <c r="B256" s="59">
        <f>Данные!B256</f>
        <v>2018</v>
      </c>
      <c r="C256" s="59" t="str">
        <f>Данные!C256</f>
        <v>компьютерных технологий и электронного обучения</v>
      </c>
      <c r="D256" s="59" t="str">
        <f>Данные!D256</f>
        <v>Гончарова Светлана Викторовна</v>
      </c>
      <c r="E256" s="59" t="str">
        <f>Данные!E256</f>
        <v>кандидат педагогических наук</v>
      </c>
      <c r="F256" s="59" t="str">
        <f>Данные!F256</f>
        <v>доцент</v>
      </c>
      <c r="G256" s="59">
        <f>Данные!G256</f>
        <v>1</v>
      </c>
      <c r="H256" s="59">
        <f>Данные!H256</f>
        <v>17043</v>
      </c>
      <c r="I256" s="59" t="str">
        <f>Данные!I256</f>
        <v>Модуль "Информационные технологии в математике и физике". Информационные технологии в физике</v>
      </c>
      <c r="J256" s="59">
        <f>Данные!J256</f>
        <v>0</v>
      </c>
      <c r="K256" s="59">
        <f>Данные!K256</f>
        <v>0</v>
      </c>
      <c r="L256" s="59">
        <f>Данные!L256</f>
        <v>72</v>
      </c>
      <c r="M256" s="60">
        <f t="shared" si="27"/>
        <v>7.2</v>
      </c>
      <c r="N256" s="60">
        <f t="shared" ca="1" si="28"/>
        <v>14.870000000000001</v>
      </c>
      <c r="O256" s="60">
        <f t="shared" ca="1" si="29"/>
        <v>9.75</v>
      </c>
      <c r="P256" s="60">
        <f t="shared" ca="1" si="30"/>
        <v>9.75</v>
      </c>
      <c r="Q256" s="54">
        <f>Данные!Q256</f>
        <v>39</v>
      </c>
      <c r="R256" s="54">
        <f>Данные!R256</f>
        <v>0</v>
      </c>
      <c r="S256" s="54">
        <f>Данные!S256</f>
        <v>0</v>
      </c>
      <c r="T256" s="54">
        <f>Данные!T256</f>
        <v>0</v>
      </c>
      <c r="U256" s="54">
        <f>Данные!U256</f>
        <v>0</v>
      </c>
      <c r="V256" s="54">
        <f>Данные!V256</f>
        <v>0</v>
      </c>
      <c r="W256" s="54">
        <f ca="1">Данные!W256</f>
        <v>39</v>
      </c>
      <c r="X256" s="54" t="str">
        <f ca="1">Данные!X256</f>
        <v>2</v>
      </c>
      <c r="Y256" s="54" t="str">
        <f ca="1">Данные!Y256</f>
        <v>3</v>
      </c>
      <c r="Z256" s="54">
        <f>Данные!Z256</f>
        <v>0</v>
      </c>
      <c r="AA256" s="54" t="str">
        <f>Данные!AA256</f>
        <v>осн</v>
      </c>
      <c r="AB256" s="101">
        <f t="shared" si="31"/>
        <v>800</v>
      </c>
      <c r="AC256" s="101" t="str">
        <f t="shared" si="32"/>
        <v>ИВТ (бак)</v>
      </c>
      <c r="AD256" s="101" t="str">
        <f t="shared" si="33"/>
        <v>2018–2019</v>
      </c>
      <c r="AE256" s="102">
        <f t="shared" ca="1" si="34"/>
        <v>152.57</v>
      </c>
      <c r="AF256" s="103">
        <f t="shared" ca="1" si="35"/>
        <v>0.19071249999999998</v>
      </c>
      <c r="AG256" s="101"/>
      <c r="AH256" s="101"/>
      <c r="AI256"/>
      <c r="BM256"/>
      <c r="BN256"/>
      <c r="BO256"/>
      <c r="BQ256" s="72">
        <v>0</v>
      </c>
      <c r="BR256" s="72">
        <v>0</v>
      </c>
      <c r="BS256" s="72">
        <v>0</v>
      </c>
      <c r="BT256" s="72">
        <v>0</v>
      </c>
      <c r="BU256" s="72">
        <v>0</v>
      </c>
      <c r="BV256" s="72">
        <v>0</v>
      </c>
      <c r="BW256" s="72">
        <v>0</v>
      </c>
      <c r="BX256" s="72">
        <v>0</v>
      </c>
      <c r="BY256" s="72">
        <v>0</v>
      </c>
      <c r="BZ256" s="72">
        <v>0</v>
      </c>
      <c r="CA256" s="72">
        <v>0</v>
      </c>
      <c r="CB256" s="72">
        <v>0</v>
      </c>
      <c r="CC256" s="72">
        <v>0</v>
      </c>
      <c r="CD256" s="72">
        <v>0</v>
      </c>
      <c r="CE256" s="72">
        <v>0</v>
      </c>
      <c r="CF256" s="72">
        <v>0</v>
      </c>
      <c r="CG256" s="72">
        <v>0</v>
      </c>
      <c r="CH256" s="72">
        <v>0</v>
      </c>
      <c r="CI256" s="72">
        <v>0</v>
      </c>
      <c r="CJ256" s="72">
        <v>0</v>
      </c>
      <c r="CK256" s="72">
        <v>0</v>
      </c>
      <c r="CL256" s="72">
        <v>0</v>
      </c>
      <c r="CM256" s="72">
        <v>0</v>
      </c>
      <c r="CN256" s="72">
        <v>0</v>
      </c>
      <c r="CO256" s="72">
        <v>0</v>
      </c>
      <c r="CP256" s="72">
        <v>0</v>
      </c>
      <c r="CQ256" s="72">
        <v>0</v>
      </c>
      <c r="CR256" s="72">
        <v>0</v>
      </c>
      <c r="CS256" s="72">
        <v>0</v>
      </c>
      <c r="CT256" s="72">
        <v>0</v>
      </c>
      <c r="CU256" s="72">
        <v>0</v>
      </c>
      <c r="CV256" s="72">
        <v>0</v>
      </c>
      <c r="CW256" s="72">
        <v>0</v>
      </c>
      <c r="CX256" s="72">
        <v>0</v>
      </c>
      <c r="CY256" s="72">
        <v>0</v>
      </c>
      <c r="CZ256" s="72">
        <v>0</v>
      </c>
      <c r="DA256" s="72">
        <v>0</v>
      </c>
      <c r="DB256" s="72">
        <v>0</v>
      </c>
      <c r="DC256" s="72">
        <v>0</v>
      </c>
      <c r="DD256" s="72">
        <v>0</v>
      </c>
      <c r="DE256" s="72">
        <v>0</v>
      </c>
      <c r="DF256" s="72">
        <v>0</v>
      </c>
      <c r="DG256" s="72">
        <v>0</v>
      </c>
      <c r="DH256" s="72">
        <v>0</v>
      </c>
      <c r="DI256" s="72">
        <v>0</v>
      </c>
      <c r="DJ256" s="72">
        <v>0</v>
      </c>
      <c r="DK256" s="72">
        <v>0</v>
      </c>
      <c r="DL256" s="72">
        <v>0</v>
      </c>
      <c r="DM256" s="72">
        <v>0</v>
      </c>
      <c r="DN256" s="72">
        <v>0</v>
      </c>
      <c r="DO256" s="72">
        <v>0</v>
      </c>
      <c r="DP256" s="72">
        <v>0</v>
      </c>
      <c r="DQ256" s="72">
        <v>0</v>
      </c>
      <c r="DR256" s="72">
        <v>0</v>
      </c>
      <c r="DS256" s="72">
        <v>0</v>
      </c>
      <c r="DT256" s="72">
        <v>0</v>
      </c>
      <c r="DU256" s="72">
        <v>0</v>
      </c>
      <c r="DV256" s="72">
        <v>0</v>
      </c>
      <c r="DW256" s="72">
        <v>0</v>
      </c>
      <c r="DX256" s="72">
        <v>0</v>
      </c>
      <c r="DY256" s="72">
        <v>0</v>
      </c>
      <c r="DZ256" s="72">
        <v>0</v>
      </c>
      <c r="EA256" s="72">
        <v>0</v>
      </c>
      <c r="EB256" s="72">
        <v>0</v>
      </c>
      <c r="EC256" s="72">
        <v>0</v>
      </c>
      <c r="ED256" s="72">
        <v>0</v>
      </c>
      <c r="EE256" s="72">
        <v>0</v>
      </c>
      <c r="EF256" s="72">
        <v>0</v>
      </c>
      <c r="EG256" s="72">
        <v>0</v>
      </c>
      <c r="EH256" s="72">
        <v>0</v>
      </c>
      <c r="EI256" s="72">
        <v>0</v>
      </c>
      <c r="EJ256" s="72">
        <v>0</v>
      </c>
      <c r="EK256" s="72">
        <v>0</v>
      </c>
      <c r="EL256" s="72">
        <v>0</v>
      </c>
    </row>
    <row r="257" spans="1:142" x14ac:dyDescent="0.35">
      <c r="A257" s="59">
        <f>Данные!A257</f>
        <v>6368</v>
      </c>
      <c r="B257" s="59">
        <f>Данные!B257</f>
        <v>2018</v>
      </c>
      <c r="C257" s="59" t="str">
        <f>Данные!C257</f>
        <v>компьютерных технологий и электронного обучения</v>
      </c>
      <c r="D257" s="59" t="str">
        <f>Данные!D257</f>
        <v>Ильина Татьяна Сергеевна</v>
      </c>
      <c r="E257" s="59" t="str">
        <f>Данные!E257</f>
        <v>нет</v>
      </c>
      <c r="F257" s="59" t="str">
        <f>Данные!F257</f>
        <v>старший преподаватель</v>
      </c>
      <c r="G257" s="59">
        <f>Данные!G257</f>
        <v>1</v>
      </c>
      <c r="H257" s="59">
        <f>Данные!H257</f>
        <v>17043</v>
      </c>
      <c r="I257" s="59" t="str">
        <f>Данные!I257</f>
        <v>Модуль "Естественно-математический". Математика</v>
      </c>
      <c r="J257" s="59">
        <f>Данные!J257</f>
        <v>44</v>
      </c>
      <c r="K257" s="59">
        <f>Данные!K257</f>
        <v>128</v>
      </c>
      <c r="L257" s="59">
        <f>Данные!L257</f>
        <v>0</v>
      </c>
      <c r="M257" s="60">
        <f t="shared" si="27"/>
        <v>17.2</v>
      </c>
      <c r="N257" s="60">
        <f t="shared" ca="1" si="28"/>
        <v>14.870000000000001</v>
      </c>
      <c r="O257" s="60">
        <f t="shared" ca="1" si="29"/>
        <v>9.75</v>
      </c>
      <c r="P257" s="60">
        <f t="shared" ca="1" si="30"/>
        <v>9.75</v>
      </c>
      <c r="Q257" s="54">
        <f>Данные!Q257</f>
        <v>0</v>
      </c>
      <c r="R257" s="54">
        <f>Данные!R257</f>
        <v>0</v>
      </c>
      <c r="S257" s="54">
        <f>Данные!S257</f>
        <v>0</v>
      </c>
      <c r="T257" s="54">
        <f>Данные!T257</f>
        <v>0</v>
      </c>
      <c r="U257" s="54">
        <f>Данные!U257</f>
        <v>0</v>
      </c>
      <c r="V257" s="54">
        <f>Данные!V257</f>
        <v>0</v>
      </c>
      <c r="W257" s="54">
        <f ca="1">Данные!W257</f>
        <v>39</v>
      </c>
      <c r="X257" s="54" t="str">
        <f ca="1">Данные!X257</f>
        <v>2</v>
      </c>
      <c r="Y257" s="54" t="str">
        <f ca="1">Данные!Y257</f>
        <v>3</v>
      </c>
      <c r="Z257" s="54">
        <f>Данные!Z257</f>
        <v>0</v>
      </c>
      <c r="AA257" s="54" t="str">
        <f>Данные!AA257</f>
        <v>осн</v>
      </c>
      <c r="AB257" s="101">
        <f t="shared" si="31"/>
        <v>850</v>
      </c>
      <c r="AC257" s="101" t="str">
        <f t="shared" si="32"/>
        <v>ИВТ (бак)</v>
      </c>
      <c r="AD257" s="101" t="str">
        <f t="shared" si="33"/>
        <v>2018–2019</v>
      </c>
      <c r="AE257" s="102">
        <f t="shared" ca="1" si="34"/>
        <v>223.57</v>
      </c>
      <c r="AF257" s="103">
        <f t="shared" ca="1" si="35"/>
        <v>0.26302352941176471</v>
      </c>
      <c r="AG257" s="101"/>
      <c r="AH257" s="101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Q257" s="72">
        <v>0</v>
      </c>
      <c r="BR257" s="72">
        <v>0</v>
      </c>
      <c r="BS257" s="72">
        <v>0</v>
      </c>
      <c r="BT257" s="72">
        <v>0</v>
      </c>
      <c r="BU257" s="72">
        <v>0</v>
      </c>
      <c r="BV257" s="72">
        <v>0</v>
      </c>
      <c r="BW257" s="72">
        <v>0</v>
      </c>
      <c r="BX257" s="72">
        <v>0</v>
      </c>
      <c r="BY257" s="72">
        <v>0</v>
      </c>
      <c r="BZ257" s="72">
        <v>0</v>
      </c>
      <c r="CA257" s="72">
        <v>0</v>
      </c>
      <c r="CB257" s="72">
        <v>0</v>
      </c>
      <c r="CC257" s="72">
        <v>0</v>
      </c>
      <c r="CD257" s="72">
        <v>0</v>
      </c>
      <c r="CE257" s="72">
        <v>0</v>
      </c>
      <c r="CF257" s="72">
        <v>0</v>
      </c>
      <c r="CG257" s="72">
        <v>0</v>
      </c>
      <c r="CH257" s="72">
        <v>0</v>
      </c>
      <c r="CI257" s="72">
        <v>0</v>
      </c>
      <c r="CJ257" s="72">
        <v>0</v>
      </c>
      <c r="CK257" s="72">
        <v>0</v>
      </c>
      <c r="CL257" s="72">
        <v>0</v>
      </c>
      <c r="CM257" s="72">
        <v>0</v>
      </c>
      <c r="CN257" s="72">
        <v>0</v>
      </c>
      <c r="CO257" s="72">
        <v>0</v>
      </c>
      <c r="CP257" s="72">
        <v>0</v>
      </c>
      <c r="CQ257" s="72">
        <v>0</v>
      </c>
      <c r="CR257" s="72">
        <v>0</v>
      </c>
      <c r="CS257" s="72">
        <v>0</v>
      </c>
      <c r="CT257" s="72">
        <v>0</v>
      </c>
      <c r="CU257" s="72">
        <v>0</v>
      </c>
      <c r="CV257" s="72">
        <v>0</v>
      </c>
      <c r="CW257" s="72">
        <v>0</v>
      </c>
      <c r="CX257" s="72">
        <v>0</v>
      </c>
      <c r="CY257" s="72">
        <v>0</v>
      </c>
      <c r="CZ257" s="72">
        <v>0</v>
      </c>
      <c r="DA257" s="72">
        <v>0</v>
      </c>
      <c r="DB257" s="72">
        <v>0</v>
      </c>
      <c r="DC257" s="72">
        <v>0</v>
      </c>
      <c r="DD257" s="72">
        <v>0</v>
      </c>
      <c r="DE257" s="72">
        <v>0</v>
      </c>
      <c r="DF257" s="72">
        <v>0</v>
      </c>
      <c r="DG257" s="72">
        <v>0</v>
      </c>
      <c r="DH257" s="72">
        <v>0</v>
      </c>
      <c r="DI257" s="72">
        <v>0</v>
      </c>
      <c r="DJ257" s="72">
        <v>0</v>
      </c>
      <c r="DK257" s="72">
        <v>0</v>
      </c>
      <c r="DL257" s="72">
        <v>0</v>
      </c>
      <c r="DM257" s="72">
        <v>0</v>
      </c>
      <c r="DN257" s="72">
        <v>0</v>
      </c>
      <c r="DO257" s="72">
        <v>0</v>
      </c>
      <c r="DP257" s="72">
        <v>0</v>
      </c>
      <c r="DQ257" s="72">
        <v>0</v>
      </c>
      <c r="DR257" s="72">
        <v>0</v>
      </c>
      <c r="DS257" s="72">
        <v>0</v>
      </c>
      <c r="DT257" s="72">
        <v>0</v>
      </c>
      <c r="DU257" s="72">
        <v>0</v>
      </c>
      <c r="DV257" s="72">
        <v>0</v>
      </c>
      <c r="DW257" s="72">
        <v>0</v>
      </c>
      <c r="DX257" s="72">
        <v>0</v>
      </c>
      <c r="DY257" s="72">
        <v>0</v>
      </c>
      <c r="DZ257" s="72">
        <v>0</v>
      </c>
      <c r="EA257" s="72">
        <v>0</v>
      </c>
      <c r="EB257" s="72">
        <v>0</v>
      </c>
      <c r="EC257" s="72">
        <v>0</v>
      </c>
      <c r="ED257" s="72">
        <v>0</v>
      </c>
      <c r="EE257" s="72">
        <v>0</v>
      </c>
      <c r="EF257" s="72">
        <v>0</v>
      </c>
      <c r="EG257" s="72">
        <v>0</v>
      </c>
      <c r="EH257" s="72">
        <v>0</v>
      </c>
      <c r="EI257" s="72">
        <v>0</v>
      </c>
      <c r="EJ257" s="72">
        <v>0</v>
      </c>
      <c r="EK257" s="72">
        <v>0</v>
      </c>
      <c r="EL257" s="72">
        <v>0</v>
      </c>
    </row>
    <row r="258" spans="1:142" x14ac:dyDescent="0.35">
      <c r="A258" s="59">
        <f>Данные!A258</f>
        <v>6368</v>
      </c>
      <c r="B258" s="59">
        <f>Данные!B258</f>
        <v>2018</v>
      </c>
      <c r="C258" s="59" t="str">
        <f>Данные!C258</f>
        <v>компьютерных технологий и электронного обучения</v>
      </c>
      <c r="D258" s="59" t="str">
        <f>Данные!D258</f>
        <v>Ильина Татьяна Сергеевна</v>
      </c>
      <c r="E258" s="59" t="str">
        <f>Данные!E258</f>
        <v>нет</v>
      </c>
      <c r="F258" s="59" t="str">
        <f>Данные!F258</f>
        <v>старший преподаватель</v>
      </c>
      <c r="G258" s="59">
        <f>Данные!G258</f>
        <v>1</v>
      </c>
      <c r="H258" s="59">
        <f>Данные!H258</f>
        <v>17043</v>
      </c>
      <c r="I258" s="59" t="str">
        <f>Данные!I258</f>
        <v>Модуль "Информационные технологии в математике и физике". Информационные технологии в математике</v>
      </c>
      <c r="J258" s="59">
        <f>Данные!J258</f>
        <v>0</v>
      </c>
      <c r="K258" s="59">
        <f>Данные!K258</f>
        <v>0</v>
      </c>
      <c r="L258" s="59">
        <f>Данные!L258</f>
        <v>108</v>
      </c>
      <c r="M258" s="60">
        <f t="shared" si="27"/>
        <v>10.8</v>
      </c>
      <c r="N258" s="60">
        <f t="shared" ca="1" si="28"/>
        <v>14.870000000000001</v>
      </c>
      <c r="O258" s="60">
        <f t="shared" ca="1" si="29"/>
        <v>9.75</v>
      </c>
      <c r="P258" s="60">
        <f t="shared" ca="1" si="30"/>
        <v>9.75</v>
      </c>
      <c r="Q258" s="54">
        <f>Данные!Q258</f>
        <v>0</v>
      </c>
      <c r="R258" s="54">
        <f>Данные!R258</f>
        <v>0</v>
      </c>
      <c r="S258" s="54">
        <f>Данные!S258</f>
        <v>0</v>
      </c>
      <c r="T258" s="54">
        <f>Данные!T258</f>
        <v>0</v>
      </c>
      <c r="U258" s="54">
        <f>Данные!U258</f>
        <v>0</v>
      </c>
      <c r="V258" s="54">
        <f>Данные!V258</f>
        <v>0</v>
      </c>
      <c r="W258" s="54">
        <f ca="1">Данные!W258</f>
        <v>39</v>
      </c>
      <c r="X258" s="54" t="str">
        <f ca="1">Данные!X258</f>
        <v>2</v>
      </c>
      <c r="Y258" s="54" t="str">
        <f ca="1">Данные!Y258</f>
        <v>3</v>
      </c>
      <c r="Z258" s="54">
        <f>Данные!Z258</f>
        <v>0</v>
      </c>
      <c r="AA258" s="54" t="str">
        <f>Данные!AA258</f>
        <v>доп</v>
      </c>
      <c r="AB258" s="101">
        <f t="shared" si="31"/>
        <v>850</v>
      </c>
      <c r="AC258" s="101" t="str">
        <f t="shared" si="32"/>
        <v>ИВТ (бак)</v>
      </c>
      <c r="AD258" s="101" t="str">
        <f t="shared" si="33"/>
        <v>2018–2019</v>
      </c>
      <c r="AE258" s="102">
        <f t="shared" ca="1" si="34"/>
        <v>153.16999999999999</v>
      </c>
      <c r="AF258" s="103">
        <f t="shared" ca="1" si="35"/>
        <v>0.1802</v>
      </c>
      <c r="AG258" s="101"/>
      <c r="AH258" s="101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Q258" s="72">
        <v>0</v>
      </c>
      <c r="BR258" s="72">
        <v>0</v>
      </c>
      <c r="BS258" s="72">
        <v>0</v>
      </c>
      <c r="BT258" s="72">
        <v>0</v>
      </c>
      <c r="BU258" s="72">
        <v>0</v>
      </c>
      <c r="BV258" s="72">
        <v>0</v>
      </c>
      <c r="BW258" s="72">
        <v>0</v>
      </c>
      <c r="BX258" s="72">
        <v>0</v>
      </c>
      <c r="BY258" s="72">
        <v>0</v>
      </c>
      <c r="BZ258" s="72">
        <v>0</v>
      </c>
      <c r="CA258" s="72">
        <v>0</v>
      </c>
      <c r="CB258" s="72">
        <v>0</v>
      </c>
      <c r="CC258" s="72">
        <v>0</v>
      </c>
      <c r="CD258" s="72">
        <v>0</v>
      </c>
      <c r="CE258" s="72">
        <v>0</v>
      </c>
      <c r="CF258" s="72">
        <v>0</v>
      </c>
      <c r="CG258" s="72">
        <v>0</v>
      </c>
      <c r="CH258" s="72">
        <v>0</v>
      </c>
      <c r="CI258" s="72">
        <v>0</v>
      </c>
      <c r="CJ258" s="72">
        <v>0</v>
      </c>
      <c r="CK258" s="72">
        <v>0</v>
      </c>
      <c r="CL258" s="72">
        <v>0</v>
      </c>
      <c r="CM258" s="72">
        <v>0</v>
      </c>
      <c r="CN258" s="72">
        <v>0</v>
      </c>
      <c r="CO258" s="72">
        <v>0</v>
      </c>
      <c r="CP258" s="72">
        <v>0</v>
      </c>
      <c r="CQ258" s="72">
        <v>0</v>
      </c>
      <c r="CR258" s="72">
        <v>0</v>
      </c>
      <c r="CS258" s="72">
        <v>0</v>
      </c>
      <c r="CT258" s="72">
        <v>0</v>
      </c>
      <c r="CU258" s="72">
        <v>0</v>
      </c>
      <c r="CV258" s="72">
        <v>0</v>
      </c>
      <c r="CW258" s="72">
        <v>0</v>
      </c>
      <c r="CX258" s="72">
        <v>0</v>
      </c>
      <c r="CY258" s="72">
        <v>0</v>
      </c>
      <c r="CZ258" s="72">
        <v>0</v>
      </c>
      <c r="DA258" s="72">
        <v>0</v>
      </c>
      <c r="DB258" s="72">
        <v>0</v>
      </c>
      <c r="DC258" s="72">
        <v>0</v>
      </c>
      <c r="DD258" s="72">
        <v>0</v>
      </c>
      <c r="DE258" s="72">
        <v>0</v>
      </c>
      <c r="DF258" s="72">
        <v>0</v>
      </c>
      <c r="DG258" s="72">
        <v>0</v>
      </c>
      <c r="DH258" s="72">
        <v>0</v>
      </c>
      <c r="DI258" s="72">
        <v>0</v>
      </c>
      <c r="DJ258" s="72">
        <v>0</v>
      </c>
      <c r="DK258" s="72">
        <v>0</v>
      </c>
      <c r="DL258" s="72">
        <v>0</v>
      </c>
      <c r="DM258" s="72">
        <v>0</v>
      </c>
      <c r="DN258" s="72">
        <v>0</v>
      </c>
      <c r="DO258" s="72">
        <v>0</v>
      </c>
      <c r="DP258" s="72">
        <v>0</v>
      </c>
      <c r="DQ258" s="72">
        <v>0</v>
      </c>
      <c r="DR258" s="72">
        <v>0</v>
      </c>
      <c r="DS258" s="72">
        <v>0</v>
      </c>
      <c r="DT258" s="72">
        <v>0</v>
      </c>
      <c r="DU258" s="72">
        <v>0</v>
      </c>
      <c r="DV258" s="72">
        <v>0</v>
      </c>
      <c r="DW258" s="72">
        <v>0</v>
      </c>
      <c r="DX258" s="72">
        <v>0</v>
      </c>
      <c r="DY258" s="72">
        <v>0</v>
      </c>
      <c r="DZ258" s="72">
        <v>0</v>
      </c>
      <c r="EA258" s="72">
        <v>0</v>
      </c>
      <c r="EB258" s="72">
        <v>0</v>
      </c>
      <c r="EC258" s="72">
        <v>0</v>
      </c>
      <c r="ED258" s="72">
        <v>0</v>
      </c>
      <c r="EE258" s="72">
        <v>0</v>
      </c>
      <c r="EF258" s="72">
        <v>0</v>
      </c>
      <c r="EG258" s="72">
        <v>0</v>
      </c>
      <c r="EH258" s="72">
        <v>0</v>
      </c>
      <c r="EI258" s="72">
        <v>0</v>
      </c>
      <c r="EJ258" s="72">
        <v>0</v>
      </c>
      <c r="EK258" s="72">
        <v>0</v>
      </c>
      <c r="EL258" s="72">
        <v>0</v>
      </c>
    </row>
    <row r="259" spans="1:142" x14ac:dyDescent="0.35">
      <c r="A259" s="59">
        <f>Данные!A259</f>
        <v>6368</v>
      </c>
      <c r="B259" s="59">
        <f>Данные!B259</f>
        <v>2018</v>
      </c>
      <c r="C259" s="59" t="str">
        <f>Данные!C259</f>
        <v>компьютерных технологий и электронного обучения</v>
      </c>
      <c r="D259" s="59" t="str">
        <f>Данные!D259</f>
        <v>Копыльцов Александр Васильевич</v>
      </c>
      <c r="E259" s="59" t="str">
        <f>Данные!E259</f>
        <v>доктор технических наук</v>
      </c>
      <c r="F259" s="59" t="str">
        <f>Данные!F259</f>
        <v>внешний</v>
      </c>
      <c r="G259" s="59">
        <f>Данные!G259</f>
        <v>1</v>
      </c>
      <c r="H259" s="59">
        <f>Данные!H259</f>
        <v>17043</v>
      </c>
      <c r="I259" s="59" t="str">
        <f>Данные!I259</f>
        <v>Модуль "Дискретные структуры". Дискретная математика для программистов</v>
      </c>
      <c r="J259" s="59">
        <f>Данные!J259</f>
        <v>18</v>
      </c>
      <c r="K259" s="59">
        <f>Данные!K259</f>
        <v>36</v>
      </c>
      <c r="L259" s="59">
        <f>Данные!L259</f>
        <v>0</v>
      </c>
      <c r="M259" s="60">
        <f t="shared" si="27"/>
        <v>5.4</v>
      </c>
      <c r="N259" s="60">
        <f t="shared" ca="1" si="28"/>
        <v>14.870000000000001</v>
      </c>
      <c r="O259" s="60">
        <f t="shared" ca="1" si="29"/>
        <v>9.75</v>
      </c>
      <c r="P259" s="60">
        <f t="shared" ca="1" si="30"/>
        <v>9.75</v>
      </c>
      <c r="Q259" s="54">
        <f>Данные!Q259</f>
        <v>0</v>
      </c>
      <c r="R259" s="54">
        <f>Данные!R259</f>
        <v>0</v>
      </c>
      <c r="S259" s="54">
        <f>Данные!S259</f>
        <v>0</v>
      </c>
      <c r="T259" s="54">
        <f>Данные!T259</f>
        <v>0</v>
      </c>
      <c r="U259" s="54">
        <f>Данные!U259</f>
        <v>0</v>
      </c>
      <c r="V259" s="54">
        <f>Данные!V259</f>
        <v>0</v>
      </c>
      <c r="W259" s="54">
        <f ca="1">Данные!W259</f>
        <v>39</v>
      </c>
      <c r="X259" s="54" t="str">
        <f ca="1">Данные!X259</f>
        <v>2</v>
      </c>
      <c r="Y259" s="54" t="str">
        <f ca="1">Данные!Y259</f>
        <v>3</v>
      </c>
      <c r="Z259" s="54">
        <f>Данные!Z259</f>
        <v>0</v>
      </c>
      <c r="AA259" s="54" t="str">
        <f>Данные!AA259</f>
        <v>осн</v>
      </c>
      <c r="AB259" s="101">
        <f t="shared" si="31"/>
        <v>900</v>
      </c>
      <c r="AC259" s="101" t="str">
        <f t="shared" si="32"/>
        <v>ИВТ (бак)</v>
      </c>
      <c r="AD259" s="101" t="str">
        <f t="shared" si="33"/>
        <v>2018–2019</v>
      </c>
      <c r="AE259" s="102">
        <f t="shared" ca="1" si="34"/>
        <v>93.77</v>
      </c>
      <c r="AF259" s="103">
        <f t="shared" ca="1" si="35"/>
        <v>0.10418888888888889</v>
      </c>
      <c r="AG259" s="101"/>
      <c r="AH259" s="101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Q259" s="72">
        <v>0</v>
      </c>
      <c r="BR259" s="72">
        <v>0</v>
      </c>
      <c r="BS259" s="72">
        <v>0</v>
      </c>
      <c r="BT259" s="72">
        <v>0</v>
      </c>
      <c r="BU259" s="72">
        <v>0</v>
      </c>
      <c r="BV259" s="72">
        <v>0</v>
      </c>
      <c r="BW259" s="72">
        <v>0</v>
      </c>
      <c r="BX259" s="72">
        <v>0</v>
      </c>
      <c r="BY259" s="72">
        <v>0</v>
      </c>
      <c r="BZ259" s="72">
        <v>0</v>
      </c>
      <c r="CA259" s="72">
        <v>0</v>
      </c>
      <c r="CB259" s="72">
        <v>0</v>
      </c>
      <c r="CC259" s="72">
        <v>0</v>
      </c>
      <c r="CD259" s="72">
        <v>0</v>
      </c>
      <c r="CE259" s="72">
        <v>0</v>
      </c>
      <c r="CF259" s="72">
        <v>0</v>
      </c>
      <c r="CG259" s="72">
        <v>0</v>
      </c>
      <c r="CH259" s="72">
        <v>0</v>
      </c>
      <c r="CI259" s="72">
        <v>0</v>
      </c>
      <c r="CJ259" s="72">
        <v>0</v>
      </c>
      <c r="CK259" s="72">
        <v>0</v>
      </c>
      <c r="CL259" s="72">
        <v>0</v>
      </c>
      <c r="CM259" s="72">
        <v>0</v>
      </c>
      <c r="CN259" s="72">
        <v>0</v>
      </c>
      <c r="CO259" s="72">
        <v>0</v>
      </c>
      <c r="CP259" s="72">
        <v>0</v>
      </c>
      <c r="CQ259" s="72">
        <v>0</v>
      </c>
      <c r="CR259" s="72">
        <v>0</v>
      </c>
      <c r="CS259" s="72">
        <v>0</v>
      </c>
      <c r="CT259" s="72">
        <v>0</v>
      </c>
      <c r="CU259" s="72">
        <v>0</v>
      </c>
      <c r="CV259" s="72">
        <v>0</v>
      </c>
      <c r="CW259" s="72">
        <v>0</v>
      </c>
      <c r="CX259" s="72">
        <v>0</v>
      </c>
      <c r="CY259" s="72">
        <v>0</v>
      </c>
      <c r="CZ259" s="72">
        <v>0</v>
      </c>
      <c r="DA259" s="72">
        <v>0</v>
      </c>
      <c r="DB259" s="72">
        <v>0</v>
      </c>
      <c r="DC259" s="72">
        <v>0</v>
      </c>
      <c r="DD259" s="72">
        <v>0</v>
      </c>
      <c r="DE259" s="72">
        <v>0</v>
      </c>
      <c r="DF259" s="72">
        <v>0</v>
      </c>
      <c r="DG259" s="72">
        <v>0</v>
      </c>
      <c r="DH259" s="72">
        <v>0</v>
      </c>
      <c r="DI259" s="72">
        <v>0</v>
      </c>
      <c r="DJ259" s="72">
        <v>0</v>
      </c>
      <c r="DK259" s="72">
        <v>0</v>
      </c>
      <c r="DL259" s="72">
        <v>0</v>
      </c>
      <c r="DM259" s="72">
        <v>0</v>
      </c>
      <c r="DN259" s="72">
        <v>0</v>
      </c>
      <c r="DO259" s="72">
        <v>0</v>
      </c>
      <c r="DP259" s="72">
        <v>0</v>
      </c>
      <c r="DQ259" s="72">
        <v>0</v>
      </c>
      <c r="DR259" s="72">
        <v>0</v>
      </c>
      <c r="DS259" s="72">
        <v>0</v>
      </c>
      <c r="DT259" s="72">
        <v>0</v>
      </c>
      <c r="DU259" s="72">
        <v>0</v>
      </c>
      <c r="DV259" s="72">
        <v>0</v>
      </c>
      <c r="DW259" s="72">
        <v>0</v>
      </c>
      <c r="DX259" s="72">
        <v>0</v>
      </c>
      <c r="DY259" s="72">
        <v>0</v>
      </c>
      <c r="DZ259" s="72">
        <v>0</v>
      </c>
      <c r="EA259" s="72">
        <v>0</v>
      </c>
      <c r="EB259" s="72">
        <v>0</v>
      </c>
      <c r="EC259" s="72">
        <v>0</v>
      </c>
      <c r="ED259" s="72">
        <v>0</v>
      </c>
      <c r="EE259" s="72">
        <v>0</v>
      </c>
      <c r="EF259" s="72">
        <v>0</v>
      </c>
      <c r="EG259" s="72">
        <v>0</v>
      </c>
      <c r="EH259" s="72">
        <v>0</v>
      </c>
      <c r="EI259" s="72">
        <v>0</v>
      </c>
      <c r="EJ259" s="72">
        <v>0</v>
      </c>
      <c r="EK259" s="72">
        <v>0</v>
      </c>
      <c r="EL259" s="72">
        <v>0</v>
      </c>
    </row>
    <row r="260" spans="1:142" x14ac:dyDescent="0.35">
      <c r="A260" s="59">
        <f>Данные!A260</f>
        <v>6368</v>
      </c>
      <c r="B260" s="59">
        <f>Данные!B260</f>
        <v>2018</v>
      </c>
      <c r="C260" s="59" t="str">
        <f>Данные!C260</f>
        <v>компьютерных технологий и электронного обучения</v>
      </c>
      <c r="D260" s="59" t="str">
        <f>Данные!D260</f>
        <v>Шалденкова Анна Владимировна</v>
      </c>
      <c r="E260" s="59" t="str">
        <f>Данные!E260</f>
        <v>кандидат физ.-мат. наук</v>
      </c>
      <c r="F260" s="59" t="str">
        <f>Данные!F260</f>
        <v>доцент</v>
      </c>
      <c r="G260" s="59">
        <f>Данные!G260</f>
        <v>1</v>
      </c>
      <c r="H260" s="59">
        <f>Данные!H260</f>
        <v>17043</v>
      </c>
      <c r="I260" s="59" t="str">
        <f>Данные!I260</f>
        <v>Модуль "Естественно-математический". Информатика</v>
      </c>
      <c r="J260" s="59">
        <f>Данные!J260</f>
        <v>0</v>
      </c>
      <c r="K260" s="59">
        <f>Данные!K260</f>
        <v>0</v>
      </c>
      <c r="L260" s="59">
        <f>Данные!L260</f>
        <v>36</v>
      </c>
      <c r="M260" s="60">
        <f t="shared" ref="M260:M323" si="36">SUM(J260:L260)/10</f>
        <v>3.6</v>
      </c>
      <c r="N260" s="60">
        <f t="shared" ref="N260:N323" ca="1" si="37">2+(0.33*W260)</f>
        <v>14.870000000000001</v>
      </c>
      <c r="O260" s="60">
        <f t="shared" ref="O260:O323" ca="1" si="38">0.25*W260</f>
        <v>9.75</v>
      </c>
      <c r="P260" s="60">
        <f t="shared" ref="P260:P323" ca="1" si="39">0.25*W260</f>
        <v>9.75</v>
      </c>
      <c r="Q260" s="54">
        <f>Данные!Q260</f>
        <v>0</v>
      </c>
      <c r="R260" s="54">
        <f>Данные!R260</f>
        <v>0</v>
      </c>
      <c r="S260" s="54">
        <f>Данные!S260</f>
        <v>0</v>
      </c>
      <c r="T260" s="54">
        <f>Данные!T260</f>
        <v>0</v>
      </c>
      <c r="U260" s="54">
        <f>Данные!U260</f>
        <v>0</v>
      </c>
      <c r="V260" s="54">
        <f>Данные!V260</f>
        <v>0</v>
      </c>
      <c r="W260" s="54">
        <f ca="1">Данные!W260</f>
        <v>39</v>
      </c>
      <c r="X260" s="54" t="str">
        <f ca="1">Данные!X260</f>
        <v>2</v>
      </c>
      <c r="Y260" s="54" t="str">
        <f ca="1">Данные!Y260</f>
        <v>3</v>
      </c>
      <c r="Z260" s="54">
        <f>Данные!Z260</f>
        <v>0</v>
      </c>
      <c r="AA260" s="54" t="str">
        <f>Данные!AA260</f>
        <v>осн</v>
      </c>
      <c r="AB260" s="101">
        <f t="shared" ref="AB260:AB323" si="40">VLOOKUP(F260, $BN$3:$BO$15, 2, 0)</f>
        <v>800</v>
      </c>
      <c r="AC260" s="101" t="str">
        <f t="shared" ref="AC260:AC323" si="41">IF(IFERROR(MATCH(H260, $AK$4:$BL$4, 0), 0)&gt;=1, "ИВТ (бак)", IF(IFERROR(MATCH(H260, $AK$5:$BL$5, 0), 0)&gt;=1, "КЭО (маг)", ""))</f>
        <v>ИВТ (бак)</v>
      </c>
      <c r="AD260" s="101" t="str">
        <f t="shared" ref="AD260:AD323" si="42">IF(IFERROR(MATCH(H260, $AK$4:$AN$4, 0), 0)=1, "2015–2016", IF(IFERROR(MATCH(H260, $AO$4:$AR$4, 0), 0)=1, "2016–2017", IF(IFERROR(MATCH(H260, $AS$4:$AV$4, 0), 0)=1, "2017–2018", IF(IFERROR(MATCH(H260, $AW$4:$AZ$4, 0), 0)=1, "2018–2019", IF(IFERROR(MATCH(H260, $BA$4:$BD$4, 0), 0)=1, "2019–2020", IF(IFERROR(MATCH(H260, $BE$4:$BH$4, 0), 0)=1, "2020–2021", IF(IFERROR(MATCH(H260, $BI$4:$BL$4, 0), 0)=1, "2021–2022", "")))))))</f>
        <v>2018–2019</v>
      </c>
      <c r="AE260" s="102">
        <f t="shared" ref="AE260:AE323" ca="1" si="43">SUM(J260:V260)</f>
        <v>73.97</v>
      </c>
      <c r="AF260" s="103">
        <f t="shared" ca="1" si="35"/>
        <v>9.2462500000000003E-2</v>
      </c>
      <c r="AG260" s="101"/>
      <c r="AH260" s="101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Q260" s="72">
        <v>0</v>
      </c>
      <c r="BR260" s="72">
        <v>0</v>
      </c>
      <c r="BS260" s="72">
        <v>0</v>
      </c>
      <c r="BT260" s="72">
        <v>0</v>
      </c>
      <c r="BU260" s="72">
        <v>0</v>
      </c>
      <c r="BV260" s="72">
        <v>0</v>
      </c>
      <c r="BW260" s="72">
        <v>0</v>
      </c>
      <c r="BX260" s="72">
        <v>0</v>
      </c>
      <c r="BY260" s="72">
        <v>0</v>
      </c>
      <c r="BZ260" s="72">
        <v>0</v>
      </c>
      <c r="CA260" s="72">
        <v>0</v>
      </c>
      <c r="CB260" s="72">
        <v>0</v>
      </c>
      <c r="CC260" s="72">
        <v>0</v>
      </c>
      <c r="CD260" s="72">
        <v>0</v>
      </c>
      <c r="CE260" s="72">
        <v>0</v>
      </c>
      <c r="CF260" s="72">
        <v>0</v>
      </c>
      <c r="CG260" s="72">
        <v>0</v>
      </c>
      <c r="CH260" s="72">
        <v>0</v>
      </c>
      <c r="CI260" s="72">
        <v>0</v>
      </c>
      <c r="CJ260" s="72">
        <v>0</v>
      </c>
      <c r="CK260" s="72">
        <v>0</v>
      </c>
      <c r="CL260" s="72">
        <v>0</v>
      </c>
      <c r="CM260" s="72">
        <v>0</v>
      </c>
      <c r="CN260" s="72">
        <v>0</v>
      </c>
      <c r="CO260" s="72">
        <v>0</v>
      </c>
      <c r="CP260" s="72">
        <v>0</v>
      </c>
      <c r="CQ260" s="72">
        <v>0</v>
      </c>
      <c r="CR260" s="72">
        <v>0</v>
      </c>
      <c r="CS260" s="72">
        <v>0</v>
      </c>
      <c r="CT260" s="72">
        <v>0</v>
      </c>
      <c r="CU260" s="72">
        <v>0</v>
      </c>
      <c r="CV260" s="72">
        <v>0</v>
      </c>
      <c r="CW260" s="72">
        <v>0</v>
      </c>
      <c r="CX260" s="72">
        <v>0</v>
      </c>
      <c r="CY260" s="72">
        <v>0</v>
      </c>
      <c r="CZ260" s="72">
        <v>0</v>
      </c>
      <c r="DA260" s="72">
        <v>0</v>
      </c>
      <c r="DB260" s="72">
        <v>0</v>
      </c>
      <c r="DC260" s="72">
        <v>0</v>
      </c>
      <c r="DD260" s="72">
        <v>0</v>
      </c>
      <c r="DE260" s="72">
        <v>0</v>
      </c>
      <c r="DF260" s="72">
        <v>0</v>
      </c>
      <c r="DG260" s="72">
        <v>0</v>
      </c>
      <c r="DH260" s="72">
        <v>0</v>
      </c>
      <c r="DI260" s="72">
        <v>0</v>
      </c>
      <c r="DJ260" s="72">
        <v>0</v>
      </c>
      <c r="DK260" s="72">
        <v>0</v>
      </c>
      <c r="DL260" s="72">
        <v>0</v>
      </c>
      <c r="DM260" s="72">
        <v>0</v>
      </c>
      <c r="DN260" s="72">
        <v>0</v>
      </c>
      <c r="DO260" s="72">
        <v>0</v>
      </c>
      <c r="DP260" s="72">
        <v>0</v>
      </c>
      <c r="DQ260" s="72">
        <v>0</v>
      </c>
      <c r="DR260" s="72">
        <v>0</v>
      </c>
      <c r="DS260" s="72">
        <v>0</v>
      </c>
      <c r="DT260" s="72">
        <v>0</v>
      </c>
      <c r="DU260" s="72">
        <v>0</v>
      </c>
      <c r="DV260" s="72">
        <v>0</v>
      </c>
      <c r="DW260" s="72">
        <v>0</v>
      </c>
      <c r="DX260" s="72">
        <v>0</v>
      </c>
      <c r="DY260" s="72">
        <v>0</v>
      </c>
      <c r="DZ260" s="72">
        <v>0</v>
      </c>
      <c r="EA260" s="72">
        <v>0</v>
      </c>
      <c r="EB260" s="72">
        <v>0</v>
      </c>
      <c r="EC260" s="72">
        <v>0</v>
      </c>
      <c r="ED260" s="72">
        <v>0</v>
      </c>
      <c r="EE260" s="72">
        <v>0</v>
      </c>
      <c r="EF260" s="72">
        <v>0</v>
      </c>
      <c r="EG260" s="72">
        <v>0</v>
      </c>
      <c r="EH260" s="72">
        <v>0</v>
      </c>
      <c r="EI260" s="72">
        <v>0</v>
      </c>
      <c r="EJ260" s="72">
        <v>0</v>
      </c>
      <c r="EK260" s="72">
        <v>0</v>
      </c>
      <c r="EL260" s="72">
        <v>0</v>
      </c>
    </row>
    <row r="261" spans="1:142" x14ac:dyDescent="0.35">
      <c r="A261" s="59">
        <f>Данные!A261</f>
        <v>6372</v>
      </c>
      <c r="B261" s="59">
        <f>Данные!B261</f>
        <v>2018</v>
      </c>
      <c r="C261" s="59" t="str">
        <f>Данные!C261</f>
        <v>компьютерных технологий и электронного обучения</v>
      </c>
      <c r="D261" s="59" t="str">
        <f>Данные!D261</f>
        <v>Гончарова Светлана Викторовна</v>
      </c>
      <c r="E261" s="59" t="str">
        <f>Данные!E261</f>
        <v>кандидат педагогических наук</v>
      </c>
      <c r="F261" s="59" t="str">
        <f>Данные!F261</f>
        <v>доцент</v>
      </c>
      <c r="G261" s="59">
        <f>Данные!G261</f>
        <v>1</v>
      </c>
      <c r="H261" s="59">
        <f>Данные!H261</f>
        <v>17044</v>
      </c>
      <c r="I261" s="59" t="str">
        <f>Данные!I261</f>
        <v>Модуль "Естественнонаучный". Информационные технологии</v>
      </c>
      <c r="J261" s="59">
        <f>Данные!J261</f>
        <v>9</v>
      </c>
      <c r="K261" s="59">
        <f>Данные!K261</f>
        <v>32</v>
      </c>
      <c r="L261" s="59">
        <f>Данные!L261</f>
        <v>0</v>
      </c>
      <c r="M261" s="60">
        <f t="shared" si="36"/>
        <v>4.0999999999999996</v>
      </c>
      <c r="N261" s="60">
        <f t="shared" ca="1" si="37"/>
        <v>5.6300000000000008</v>
      </c>
      <c r="O261" s="60">
        <f t="shared" ca="1" si="38"/>
        <v>2.75</v>
      </c>
      <c r="P261" s="60">
        <f t="shared" ca="1" si="39"/>
        <v>2.75</v>
      </c>
      <c r="Q261" s="54">
        <f>Данные!Q261</f>
        <v>0</v>
      </c>
      <c r="R261" s="54">
        <f>Данные!R261</f>
        <v>0</v>
      </c>
      <c r="S261" s="54">
        <f>Данные!S261</f>
        <v>0</v>
      </c>
      <c r="T261" s="54">
        <f>Данные!T261</f>
        <v>9</v>
      </c>
      <c r="U261" s="54">
        <f>Данные!U261</f>
        <v>0</v>
      </c>
      <c r="V261" s="54">
        <f>Данные!V261</f>
        <v>0</v>
      </c>
      <c r="W261" s="54">
        <f ca="1">Данные!W261</f>
        <v>11</v>
      </c>
      <c r="X261" s="54" t="str">
        <f ca="1">Данные!X261</f>
        <v>1</v>
      </c>
      <c r="Y261" s="54" t="str">
        <f ca="1">Данные!Y261</f>
        <v>1</v>
      </c>
      <c r="Z261" s="54">
        <f>Данные!Z261</f>
        <v>0</v>
      </c>
      <c r="AA261" s="54" t="str">
        <f>Данные!AA261</f>
        <v>осн</v>
      </c>
      <c r="AB261" s="101">
        <f t="shared" si="40"/>
        <v>800</v>
      </c>
      <c r="AC261" s="101" t="str">
        <f t="shared" si="41"/>
        <v/>
      </c>
      <c r="AD261" s="101" t="str">
        <f t="shared" si="42"/>
        <v/>
      </c>
      <c r="AE261" s="102">
        <f t="shared" ca="1" si="43"/>
        <v>65.23</v>
      </c>
      <c r="AF261" s="103">
        <f t="shared" ref="AF261:AF324" ca="1" si="44">AE261/AB261</f>
        <v>8.1537499999999999E-2</v>
      </c>
      <c r="AG261" s="101"/>
      <c r="AH261" s="10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Q261" s="72">
        <v>0</v>
      </c>
      <c r="BR261" s="72">
        <v>0</v>
      </c>
      <c r="BS261" s="72">
        <v>0</v>
      </c>
      <c r="BT261" s="72">
        <v>0</v>
      </c>
      <c r="BU261" s="72">
        <v>0</v>
      </c>
      <c r="BV261" s="72">
        <v>0</v>
      </c>
      <c r="BW261" s="72">
        <v>0</v>
      </c>
      <c r="BX261" s="72">
        <v>0</v>
      </c>
      <c r="BY261" s="72">
        <v>0</v>
      </c>
      <c r="BZ261" s="72">
        <v>0</v>
      </c>
      <c r="CA261" s="72">
        <v>0</v>
      </c>
      <c r="CB261" s="72">
        <v>0</v>
      </c>
      <c r="CC261" s="72">
        <v>0</v>
      </c>
      <c r="CD261" s="72">
        <v>0</v>
      </c>
      <c r="CE261" s="72">
        <v>0</v>
      </c>
      <c r="CF261" s="72">
        <v>0</v>
      </c>
      <c r="CG261" s="72">
        <v>0</v>
      </c>
      <c r="CH261" s="72">
        <v>0</v>
      </c>
      <c r="CI261" s="72">
        <v>0</v>
      </c>
      <c r="CJ261" s="72">
        <v>0</v>
      </c>
      <c r="CK261" s="72">
        <v>0</v>
      </c>
      <c r="CL261" s="72">
        <v>0</v>
      </c>
      <c r="CM261" s="72">
        <v>0</v>
      </c>
      <c r="CN261" s="72">
        <v>0</v>
      </c>
      <c r="CO261" s="72">
        <v>0</v>
      </c>
      <c r="CP261" s="72">
        <v>0</v>
      </c>
      <c r="CQ261" s="72">
        <v>0</v>
      </c>
      <c r="CR261" s="72">
        <v>0</v>
      </c>
      <c r="CS261" s="72">
        <v>0</v>
      </c>
      <c r="CT261" s="72">
        <v>0</v>
      </c>
      <c r="CU261" s="72">
        <v>0</v>
      </c>
      <c r="CV261" s="72">
        <v>0</v>
      </c>
      <c r="CW261" s="72">
        <v>0</v>
      </c>
      <c r="CX261" s="72">
        <v>0</v>
      </c>
      <c r="CY261" s="72">
        <v>0</v>
      </c>
      <c r="CZ261" s="72">
        <v>0</v>
      </c>
      <c r="DA261" s="72">
        <v>0</v>
      </c>
      <c r="DB261" s="72">
        <v>0</v>
      </c>
      <c r="DC261" s="72">
        <v>0</v>
      </c>
      <c r="DD261" s="72">
        <v>0</v>
      </c>
      <c r="DE261" s="72">
        <v>0</v>
      </c>
      <c r="DF261" s="72">
        <v>0</v>
      </c>
      <c r="DG261" s="72">
        <v>0</v>
      </c>
      <c r="DH261" s="72">
        <v>0</v>
      </c>
      <c r="DI261" s="72">
        <v>0</v>
      </c>
      <c r="DJ261" s="72">
        <v>0</v>
      </c>
      <c r="DK261" s="72">
        <v>0</v>
      </c>
      <c r="DL261" s="72">
        <v>0</v>
      </c>
      <c r="DM261" s="72">
        <v>0</v>
      </c>
      <c r="DN261" s="72">
        <v>0</v>
      </c>
      <c r="DO261" s="72">
        <v>0</v>
      </c>
      <c r="DP261" s="72">
        <v>0</v>
      </c>
      <c r="DQ261" s="72">
        <v>0</v>
      </c>
      <c r="DR261" s="72">
        <v>0</v>
      </c>
      <c r="DS261" s="72">
        <v>0</v>
      </c>
      <c r="DT261" s="72">
        <v>0</v>
      </c>
      <c r="DU261" s="72">
        <v>0</v>
      </c>
      <c r="DV261" s="72">
        <v>0</v>
      </c>
      <c r="DW261" s="72">
        <v>0</v>
      </c>
      <c r="DX261" s="72">
        <v>0</v>
      </c>
      <c r="DY261" s="72">
        <v>0</v>
      </c>
      <c r="DZ261" s="72">
        <v>0</v>
      </c>
      <c r="EA261" s="72">
        <v>0</v>
      </c>
      <c r="EB261" s="72">
        <v>0</v>
      </c>
      <c r="EC261" s="72">
        <v>0</v>
      </c>
      <c r="ED261" s="72">
        <v>0</v>
      </c>
      <c r="EE261" s="72">
        <v>0</v>
      </c>
      <c r="EF261" s="72">
        <v>0</v>
      </c>
      <c r="EG261" s="72">
        <v>0</v>
      </c>
      <c r="EH261" s="72">
        <v>0</v>
      </c>
      <c r="EI261" s="72">
        <v>0</v>
      </c>
      <c r="EJ261" s="72">
        <v>0</v>
      </c>
      <c r="EK261" s="72">
        <v>0</v>
      </c>
      <c r="EL261" s="72">
        <v>0</v>
      </c>
    </row>
    <row r="262" spans="1:142" x14ac:dyDescent="0.35">
      <c r="A262" s="59">
        <f>Данные!A262</f>
        <v>6373</v>
      </c>
      <c r="B262" s="59">
        <f>Данные!B262</f>
        <v>2018</v>
      </c>
      <c r="C262" s="59" t="str">
        <f>Данные!C262</f>
        <v>компьютерных технологий и электронного обучения</v>
      </c>
      <c r="D262" s="59" t="str">
        <f>Данные!D262</f>
        <v>Гончарова Светлана Викторовна</v>
      </c>
      <c r="E262" s="59" t="str">
        <f>Данные!E262</f>
        <v>кандидат педагогических наук</v>
      </c>
      <c r="F262" s="59" t="str">
        <f>Данные!F262</f>
        <v>доцент</v>
      </c>
      <c r="G262" s="59">
        <f>Данные!G262</f>
        <v>1</v>
      </c>
      <c r="H262" s="59">
        <f>Данные!H262</f>
        <v>17045</v>
      </c>
      <c r="I262" s="59" t="str">
        <f>Данные!I262</f>
        <v>Модуль "Введение в информационные технологии". Информатика</v>
      </c>
      <c r="J262" s="59">
        <f>Данные!J262</f>
        <v>20</v>
      </c>
      <c r="K262" s="59">
        <f>Данные!K262</f>
        <v>0</v>
      </c>
      <c r="L262" s="59">
        <f>Данные!L262</f>
        <v>34</v>
      </c>
      <c r="M262" s="60">
        <f t="shared" si="36"/>
        <v>5.4</v>
      </c>
      <c r="N262" s="60">
        <f t="shared" ca="1" si="37"/>
        <v>5.96</v>
      </c>
      <c r="O262" s="60">
        <f t="shared" ca="1" si="38"/>
        <v>3</v>
      </c>
      <c r="P262" s="60">
        <f t="shared" ca="1" si="39"/>
        <v>3</v>
      </c>
      <c r="Q262" s="54">
        <f>Данные!Q262</f>
        <v>0</v>
      </c>
      <c r="R262" s="54">
        <f>Данные!R262</f>
        <v>0</v>
      </c>
      <c r="S262" s="54">
        <f>Данные!S262</f>
        <v>0</v>
      </c>
      <c r="T262" s="54">
        <f>Данные!T262</f>
        <v>10</v>
      </c>
      <c r="U262" s="54">
        <f>Данные!U262</f>
        <v>0</v>
      </c>
      <c r="V262" s="54">
        <f>Данные!V262</f>
        <v>0</v>
      </c>
      <c r="W262" s="54">
        <f ca="1">Данные!W262</f>
        <v>12</v>
      </c>
      <c r="X262" s="54" t="str">
        <f ca="1">Данные!X262</f>
        <v>1</v>
      </c>
      <c r="Y262" s="54" t="str">
        <f ca="1">Данные!Y262</f>
        <v>1</v>
      </c>
      <c r="Z262" s="54">
        <f>Данные!Z262</f>
        <v>0</v>
      </c>
      <c r="AA262" s="54" t="str">
        <f>Данные!AA262</f>
        <v>осн</v>
      </c>
      <c r="AB262" s="101">
        <f t="shared" si="40"/>
        <v>800</v>
      </c>
      <c r="AC262" s="101" t="str">
        <f t="shared" si="41"/>
        <v/>
      </c>
      <c r="AD262" s="101" t="str">
        <f t="shared" si="42"/>
        <v/>
      </c>
      <c r="AE262" s="102">
        <f t="shared" ca="1" si="43"/>
        <v>81.36</v>
      </c>
      <c r="AF262" s="103">
        <f t="shared" ca="1" si="44"/>
        <v>0.1017</v>
      </c>
      <c r="AG262" s="101"/>
      <c r="AH262" s="101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Q262" s="72">
        <v>0</v>
      </c>
      <c r="BR262" s="72">
        <v>0</v>
      </c>
      <c r="BS262" s="72">
        <v>0</v>
      </c>
      <c r="BT262" s="72">
        <v>0</v>
      </c>
      <c r="BU262" s="72">
        <v>0</v>
      </c>
      <c r="BV262" s="72">
        <v>0</v>
      </c>
      <c r="BW262" s="72">
        <v>0</v>
      </c>
      <c r="BX262" s="72">
        <v>0</v>
      </c>
      <c r="BY262" s="72">
        <v>0</v>
      </c>
      <c r="BZ262" s="72">
        <v>0</v>
      </c>
      <c r="CA262" s="72">
        <v>0</v>
      </c>
      <c r="CB262" s="72">
        <v>0</v>
      </c>
      <c r="CC262" s="72">
        <v>0</v>
      </c>
      <c r="CD262" s="72">
        <v>0</v>
      </c>
      <c r="CE262" s="72">
        <v>0</v>
      </c>
      <c r="CF262" s="72">
        <v>0</v>
      </c>
      <c r="CG262" s="72">
        <v>0</v>
      </c>
      <c r="CH262" s="72">
        <v>0</v>
      </c>
      <c r="CI262" s="72">
        <v>0</v>
      </c>
      <c r="CJ262" s="72">
        <v>0</v>
      </c>
      <c r="CK262" s="72">
        <v>0</v>
      </c>
      <c r="CL262" s="72">
        <v>0</v>
      </c>
      <c r="CM262" s="72">
        <v>0</v>
      </c>
      <c r="CN262" s="72">
        <v>0</v>
      </c>
      <c r="CO262" s="72">
        <v>0</v>
      </c>
      <c r="CP262" s="72">
        <v>0</v>
      </c>
      <c r="CQ262" s="72">
        <v>0</v>
      </c>
      <c r="CR262" s="72">
        <v>0</v>
      </c>
      <c r="CS262" s="72">
        <v>0</v>
      </c>
      <c r="CT262" s="72">
        <v>0</v>
      </c>
      <c r="CU262" s="72">
        <v>0</v>
      </c>
      <c r="CV262" s="72">
        <v>0</v>
      </c>
      <c r="CW262" s="72">
        <v>0</v>
      </c>
      <c r="CX262" s="72">
        <v>0</v>
      </c>
      <c r="CY262" s="72">
        <v>0</v>
      </c>
      <c r="CZ262" s="72">
        <v>0</v>
      </c>
      <c r="DA262" s="72">
        <v>0</v>
      </c>
      <c r="DB262" s="72">
        <v>0</v>
      </c>
      <c r="DC262" s="72">
        <v>0</v>
      </c>
      <c r="DD262" s="72">
        <v>0</v>
      </c>
      <c r="DE262" s="72">
        <v>0</v>
      </c>
      <c r="DF262" s="72">
        <v>0</v>
      </c>
      <c r="DG262" s="72">
        <v>0</v>
      </c>
      <c r="DH262" s="72">
        <v>0</v>
      </c>
      <c r="DI262" s="72">
        <v>0</v>
      </c>
      <c r="DJ262" s="72">
        <v>0</v>
      </c>
      <c r="DK262" s="72">
        <v>0</v>
      </c>
      <c r="DL262" s="72">
        <v>0</v>
      </c>
      <c r="DM262" s="72">
        <v>0</v>
      </c>
      <c r="DN262" s="72">
        <v>0</v>
      </c>
      <c r="DO262" s="72">
        <v>0</v>
      </c>
      <c r="DP262" s="72">
        <v>0</v>
      </c>
      <c r="DQ262" s="72">
        <v>0</v>
      </c>
      <c r="DR262" s="72">
        <v>0</v>
      </c>
      <c r="DS262" s="72">
        <v>0</v>
      </c>
      <c r="DT262" s="72">
        <v>0</v>
      </c>
      <c r="DU262" s="72">
        <v>0</v>
      </c>
      <c r="DV262" s="72">
        <v>0</v>
      </c>
      <c r="DW262" s="72">
        <v>0</v>
      </c>
      <c r="DX262" s="72">
        <v>0</v>
      </c>
      <c r="DY262" s="72">
        <v>0</v>
      </c>
      <c r="DZ262" s="72">
        <v>0</v>
      </c>
      <c r="EA262" s="72">
        <v>0</v>
      </c>
      <c r="EB262" s="72">
        <v>0</v>
      </c>
      <c r="EC262" s="72">
        <v>0</v>
      </c>
      <c r="ED262" s="72">
        <v>0</v>
      </c>
      <c r="EE262" s="72">
        <v>0</v>
      </c>
      <c r="EF262" s="72">
        <v>0</v>
      </c>
      <c r="EG262" s="72">
        <v>0</v>
      </c>
      <c r="EH262" s="72">
        <v>0</v>
      </c>
      <c r="EI262" s="72">
        <v>0</v>
      </c>
      <c r="EJ262" s="72">
        <v>0</v>
      </c>
      <c r="EK262" s="72">
        <v>0</v>
      </c>
      <c r="EL262" s="72">
        <v>0</v>
      </c>
    </row>
    <row r="263" spans="1:142" x14ac:dyDescent="0.35">
      <c r="A263" s="59">
        <f>Данные!A263</f>
        <v>6373</v>
      </c>
      <c r="B263" s="59">
        <f>Данные!B263</f>
        <v>2018</v>
      </c>
      <c r="C263" s="59" t="str">
        <f>Данные!C263</f>
        <v>компьютерных технологий и электронного обучения</v>
      </c>
      <c r="D263" s="59" t="str">
        <f>Данные!D263</f>
        <v>Гончарова Светлана Викторовна</v>
      </c>
      <c r="E263" s="59" t="str">
        <f>Данные!E263</f>
        <v>кандидат педагогических наук</v>
      </c>
      <c r="F263" s="59" t="str">
        <f>Данные!F263</f>
        <v>доцент</v>
      </c>
      <c r="G263" s="59">
        <f>Данные!G263</f>
        <v>1</v>
      </c>
      <c r="H263" s="59">
        <f>Данные!H263</f>
        <v>17045</v>
      </c>
      <c r="I263" s="59" t="str">
        <f>Данные!I263</f>
        <v>Модуль "Введение в информационные технологии". Информационные технологии</v>
      </c>
      <c r="J263" s="59">
        <f>Данные!J263</f>
        <v>16</v>
      </c>
      <c r="K263" s="59">
        <f>Данные!K263</f>
        <v>0</v>
      </c>
      <c r="L263" s="59">
        <f>Данные!L263</f>
        <v>0</v>
      </c>
      <c r="M263" s="60">
        <f t="shared" si="36"/>
        <v>1.6</v>
      </c>
      <c r="N263" s="60">
        <f t="shared" ca="1" si="37"/>
        <v>5.96</v>
      </c>
      <c r="O263" s="60">
        <f t="shared" ca="1" si="38"/>
        <v>3</v>
      </c>
      <c r="P263" s="60">
        <f t="shared" ca="1" si="39"/>
        <v>3</v>
      </c>
      <c r="Q263" s="54">
        <f>Данные!Q263</f>
        <v>0</v>
      </c>
      <c r="R263" s="54">
        <f>Данные!R263</f>
        <v>0</v>
      </c>
      <c r="S263" s="54">
        <f>Данные!S263</f>
        <v>0</v>
      </c>
      <c r="T263" s="54">
        <f>Данные!T263</f>
        <v>13</v>
      </c>
      <c r="U263" s="54">
        <f>Данные!U263</f>
        <v>0</v>
      </c>
      <c r="V263" s="54">
        <f>Данные!V263</f>
        <v>0</v>
      </c>
      <c r="W263" s="54">
        <f ca="1">Данные!W263</f>
        <v>12</v>
      </c>
      <c r="X263" s="54" t="str">
        <f ca="1">Данные!X263</f>
        <v>1</v>
      </c>
      <c r="Y263" s="54" t="str">
        <f ca="1">Данные!Y263</f>
        <v>1</v>
      </c>
      <c r="Z263" s="54">
        <f>Данные!Z263</f>
        <v>0</v>
      </c>
      <c r="AA263" s="54" t="str">
        <f>Данные!AA263</f>
        <v>доп</v>
      </c>
      <c r="AB263" s="101">
        <f t="shared" si="40"/>
        <v>800</v>
      </c>
      <c r="AC263" s="101" t="str">
        <f t="shared" si="41"/>
        <v/>
      </c>
      <c r="AD263" s="101" t="str">
        <f t="shared" si="42"/>
        <v/>
      </c>
      <c r="AE263" s="102">
        <f t="shared" ca="1" si="43"/>
        <v>42.56</v>
      </c>
      <c r="AF263" s="103">
        <f t="shared" ca="1" si="44"/>
        <v>5.3200000000000004E-2</v>
      </c>
      <c r="AG263" s="101"/>
      <c r="AH263" s="101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Q263" s="72">
        <v>0</v>
      </c>
      <c r="BR263" s="72">
        <v>0</v>
      </c>
      <c r="BS263" s="72">
        <v>0</v>
      </c>
      <c r="BT263" s="72">
        <v>0</v>
      </c>
      <c r="BU263" s="72">
        <v>0</v>
      </c>
      <c r="BV263" s="72">
        <v>0</v>
      </c>
      <c r="BW263" s="72">
        <v>0</v>
      </c>
      <c r="BX263" s="72">
        <v>0</v>
      </c>
      <c r="BY263" s="72">
        <v>0</v>
      </c>
      <c r="BZ263" s="72">
        <v>0</v>
      </c>
      <c r="CA263" s="72">
        <v>0</v>
      </c>
      <c r="CB263" s="72">
        <v>0</v>
      </c>
      <c r="CC263" s="72">
        <v>0</v>
      </c>
      <c r="CD263" s="72">
        <v>0</v>
      </c>
      <c r="CE263" s="72">
        <v>0</v>
      </c>
      <c r="CF263" s="72">
        <v>0</v>
      </c>
      <c r="CG263" s="72">
        <v>0</v>
      </c>
      <c r="CH263" s="72">
        <v>0</v>
      </c>
      <c r="CI263" s="72">
        <v>0</v>
      </c>
      <c r="CJ263" s="72">
        <v>0</v>
      </c>
      <c r="CK263" s="72">
        <v>0</v>
      </c>
      <c r="CL263" s="72">
        <v>0</v>
      </c>
      <c r="CM263" s="72">
        <v>0</v>
      </c>
      <c r="CN263" s="72">
        <v>0</v>
      </c>
      <c r="CO263" s="72">
        <v>0</v>
      </c>
      <c r="CP263" s="72">
        <v>0</v>
      </c>
      <c r="CQ263" s="72">
        <v>0</v>
      </c>
      <c r="CR263" s="72">
        <v>0</v>
      </c>
      <c r="CS263" s="72">
        <v>0</v>
      </c>
      <c r="CT263" s="72">
        <v>0</v>
      </c>
      <c r="CU263" s="72">
        <v>0</v>
      </c>
      <c r="CV263" s="72">
        <v>0</v>
      </c>
      <c r="CW263" s="72">
        <v>0</v>
      </c>
      <c r="CX263" s="72">
        <v>0</v>
      </c>
      <c r="CY263" s="72">
        <v>0</v>
      </c>
      <c r="CZ263" s="72">
        <v>0</v>
      </c>
      <c r="DA263" s="72">
        <v>0</v>
      </c>
      <c r="DB263" s="72">
        <v>0</v>
      </c>
      <c r="DC263" s="72">
        <v>0</v>
      </c>
      <c r="DD263" s="72">
        <v>0</v>
      </c>
      <c r="DE263" s="72">
        <v>0</v>
      </c>
      <c r="DF263" s="72">
        <v>0</v>
      </c>
      <c r="DG263" s="72">
        <v>0</v>
      </c>
      <c r="DH263" s="72">
        <v>0</v>
      </c>
      <c r="DI263" s="72">
        <v>0</v>
      </c>
      <c r="DJ263" s="72">
        <v>0</v>
      </c>
      <c r="DK263" s="72">
        <v>0</v>
      </c>
      <c r="DL263" s="72">
        <v>0</v>
      </c>
      <c r="DM263" s="72">
        <v>0</v>
      </c>
      <c r="DN263" s="72">
        <v>0</v>
      </c>
      <c r="DO263" s="72">
        <v>0</v>
      </c>
      <c r="DP263" s="72">
        <v>0</v>
      </c>
      <c r="DQ263" s="72">
        <v>0</v>
      </c>
      <c r="DR263" s="72">
        <v>0</v>
      </c>
      <c r="DS263" s="72">
        <v>0</v>
      </c>
      <c r="DT263" s="72">
        <v>0</v>
      </c>
      <c r="DU263" s="72">
        <v>0</v>
      </c>
      <c r="DV263" s="72">
        <v>0</v>
      </c>
      <c r="DW263" s="72">
        <v>0</v>
      </c>
      <c r="DX263" s="72">
        <v>0</v>
      </c>
      <c r="DY263" s="72">
        <v>0</v>
      </c>
      <c r="DZ263" s="72">
        <v>0</v>
      </c>
      <c r="EA263" s="72">
        <v>0</v>
      </c>
      <c r="EB263" s="72">
        <v>0</v>
      </c>
      <c r="EC263" s="72">
        <v>0</v>
      </c>
      <c r="ED263" s="72">
        <v>0</v>
      </c>
      <c r="EE263" s="72">
        <v>0</v>
      </c>
      <c r="EF263" s="72">
        <v>0</v>
      </c>
      <c r="EG263" s="72">
        <v>0</v>
      </c>
      <c r="EH263" s="72">
        <v>0</v>
      </c>
      <c r="EI263" s="72">
        <v>0</v>
      </c>
      <c r="EJ263" s="72">
        <v>0</v>
      </c>
      <c r="EK263" s="72">
        <v>0</v>
      </c>
      <c r="EL263" s="72">
        <v>0</v>
      </c>
    </row>
    <row r="264" spans="1:142" x14ac:dyDescent="0.35">
      <c r="A264" s="59">
        <f>Данные!A264</f>
        <v>6373</v>
      </c>
      <c r="B264" s="59">
        <f>Данные!B264</f>
        <v>2018</v>
      </c>
      <c r="C264" s="59" t="str">
        <f>Данные!C264</f>
        <v>компьютерных технологий и электронного обучения</v>
      </c>
      <c r="D264" s="59" t="str">
        <f>Данные!D264</f>
        <v>Шалденкова Анна Владимировна</v>
      </c>
      <c r="E264" s="59" t="str">
        <f>Данные!E264</f>
        <v>кандидат физ.-мат. наук</v>
      </c>
      <c r="F264" s="59" t="str">
        <f>Данные!F264</f>
        <v>доцент</v>
      </c>
      <c r="G264" s="59">
        <f>Данные!G264</f>
        <v>1</v>
      </c>
      <c r="H264" s="59">
        <f>Данные!H264</f>
        <v>17045</v>
      </c>
      <c r="I264" s="59" t="str">
        <f>Данные!I264</f>
        <v>Модуль "Введение в информационные технологии". Информатика</v>
      </c>
      <c r="J264" s="59">
        <f>Данные!J264</f>
        <v>0</v>
      </c>
      <c r="K264" s="59">
        <f>Данные!K264</f>
        <v>0</v>
      </c>
      <c r="L264" s="59">
        <f>Данные!L264</f>
        <v>68</v>
      </c>
      <c r="M264" s="60">
        <f t="shared" si="36"/>
        <v>6.8</v>
      </c>
      <c r="N264" s="60">
        <f t="shared" ca="1" si="37"/>
        <v>5.96</v>
      </c>
      <c r="O264" s="60">
        <f t="shared" ca="1" si="38"/>
        <v>3</v>
      </c>
      <c r="P264" s="60">
        <f t="shared" ca="1" si="39"/>
        <v>3</v>
      </c>
      <c r="Q264" s="54">
        <f>Данные!Q264</f>
        <v>0</v>
      </c>
      <c r="R264" s="54">
        <f>Данные!R264</f>
        <v>0</v>
      </c>
      <c r="S264" s="54">
        <f>Данные!S264</f>
        <v>0</v>
      </c>
      <c r="T264" s="54">
        <f>Данные!T264</f>
        <v>8</v>
      </c>
      <c r="U264" s="54">
        <f>Данные!U264</f>
        <v>0</v>
      </c>
      <c r="V264" s="54">
        <f>Данные!V264</f>
        <v>0</v>
      </c>
      <c r="W264" s="54">
        <f ca="1">Данные!W264</f>
        <v>12</v>
      </c>
      <c r="X264" s="54" t="str">
        <f ca="1">Данные!X264</f>
        <v>1</v>
      </c>
      <c r="Y264" s="54" t="str">
        <f ca="1">Данные!Y264</f>
        <v>1</v>
      </c>
      <c r="Z264" s="54">
        <f>Данные!Z264</f>
        <v>0</v>
      </c>
      <c r="AA264" s="54" t="str">
        <f>Данные!AA264</f>
        <v>осн</v>
      </c>
      <c r="AB264" s="101">
        <f t="shared" si="40"/>
        <v>800</v>
      </c>
      <c r="AC264" s="101" t="str">
        <f t="shared" si="41"/>
        <v/>
      </c>
      <c r="AD264" s="101" t="str">
        <f t="shared" si="42"/>
        <v/>
      </c>
      <c r="AE264" s="102">
        <f t="shared" ca="1" si="43"/>
        <v>94.759999999999991</v>
      </c>
      <c r="AF264" s="103">
        <f t="shared" ca="1" si="44"/>
        <v>0.11844999999999999</v>
      </c>
      <c r="AG264" s="101"/>
      <c r="AH264" s="101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Q264" s="72">
        <v>0</v>
      </c>
      <c r="BR264" s="72">
        <v>0</v>
      </c>
      <c r="BS264" s="72">
        <v>0</v>
      </c>
      <c r="BT264" s="72">
        <v>0</v>
      </c>
      <c r="BU264" s="72">
        <v>0</v>
      </c>
      <c r="BV264" s="72">
        <v>0</v>
      </c>
      <c r="BW264" s="72">
        <v>0</v>
      </c>
      <c r="BX264" s="72">
        <v>0</v>
      </c>
      <c r="BY264" s="72">
        <v>0</v>
      </c>
      <c r="BZ264" s="72">
        <v>0</v>
      </c>
      <c r="CA264" s="72">
        <v>0</v>
      </c>
      <c r="CB264" s="72">
        <v>0</v>
      </c>
      <c r="CC264" s="72">
        <v>0</v>
      </c>
      <c r="CD264" s="72">
        <v>0</v>
      </c>
      <c r="CE264" s="72">
        <v>0</v>
      </c>
      <c r="CF264" s="72">
        <v>0</v>
      </c>
      <c r="CG264" s="72">
        <v>0</v>
      </c>
      <c r="CH264" s="72">
        <v>0</v>
      </c>
      <c r="CI264" s="72">
        <v>0</v>
      </c>
      <c r="CJ264" s="72">
        <v>0</v>
      </c>
      <c r="CK264" s="72">
        <v>0</v>
      </c>
      <c r="CL264" s="72">
        <v>0</v>
      </c>
      <c r="CM264" s="72">
        <v>0</v>
      </c>
      <c r="CN264" s="72">
        <v>0</v>
      </c>
      <c r="CO264" s="72">
        <v>0</v>
      </c>
      <c r="CP264" s="72">
        <v>0</v>
      </c>
      <c r="CQ264" s="72">
        <v>0</v>
      </c>
      <c r="CR264" s="72">
        <v>0</v>
      </c>
      <c r="CS264" s="72">
        <v>0</v>
      </c>
      <c r="CT264" s="72">
        <v>0</v>
      </c>
      <c r="CU264" s="72">
        <v>0</v>
      </c>
      <c r="CV264" s="72">
        <v>0</v>
      </c>
      <c r="CW264" s="72">
        <v>0</v>
      </c>
      <c r="CX264" s="72">
        <v>0</v>
      </c>
      <c r="CY264" s="72">
        <v>0</v>
      </c>
      <c r="CZ264" s="72">
        <v>0</v>
      </c>
      <c r="DA264" s="72">
        <v>0</v>
      </c>
      <c r="DB264" s="72">
        <v>0</v>
      </c>
      <c r="DC264" s="72">
        <v>0</v>
      </c>
      <c r="DD264" s="72">
        <v>0</v>
      </c>
      <c r="DE264" s="72">
        <v>0</v>
      </c>
      <c r="DF264" s="72">
        <v>0</v>
      </c>
      <c r="DG264" s="72">
        <v>0</v>
      </c>
      <c r="DH264" s="72">
        <v>0</v>
      </c>
      <c r="DI264" s="72">
        <v>0</v>
      </c>
      <c r="DJ264" s="72">
        <v>0</v>
      </c>
      <c r="DK264" s="72">
        <v>0</v>
      </c>
      <c r="DL264" s="72">
        <v>0</v>
      </c>
      <c r="DM264" s="72">
        <v>0</v>
      </c>
      <c r="DN264" s="72">
        <v>0</v>
      </c>
      <c r="DO264" s="72">
        <v>0</v>
      </c>
      <c r="DP264" s="72">
        <v>0</v>
      </c>
      <c r="DQ264" s="72">
        <v>0</v>
      </c>
      <c r="DR264" s="72">
        <v>0</v>
      </c>
      <c r="DS264" s="72">
        <v>0</v>
      </c>
      <c r="DT264" s="72">
        <v>0</v>
      </c>
      <c r="DU264" s="72">
        <v>0</v>
      </c>
      <c r="DV264" s="72">
        <v>0</v>
      </c>
      <c r="DW264" s="72">
        <v>0</v>
      </c>
      <c r="DX264" s="72">
        <v>0</v>
      </c>
      <c r="DY264" s="72">
        <v>0</v>
      </c>
      <c r="DZ264" s="72">
        <v>0</v>
      </c>
      <c r="EA264" s="72">
        <v>0</v>
      </c>
      <c r="EB264" s="72">
        <v>0</v>
      </c>
      <c r="EC264" s="72">
        <v>0</v>
      </c>
      <c r="ED264" s="72">
        <v>0</v>
      </c>
      <c r="EE264" s="72">
        <v>0</v>
      </c>
      <c r="EF264" s="72">
        <v>0</v>
      </c>
      <c r="EG264" s="72">
        <v>0</v>
      </c>
      <c r="EH264" s="72">
        <v>0</v>
      </c>
      <c r="EI264" s="72">
        <v>0</v>
      </c>
      <c r="EJ264" s="72">
        <v>0</v>
      </c>
      <c r="EK264" s="72">
        <v>0</v>
      </c>
      <c r="EL264" s="72">
        <v>0</v>
      </c>
    </row>
    <row r="265" spans="1:142" x14ac:dyDescent="0.35">
      <c r="A265" s="59">
        <f>Данные!A265</f>
        <v>6380</v>
      </c>
      <c r="B265" s="59">
        <f>Данные!B265</f>
        <v>2018</v>
      </c>
      <c r="C265" s="59" t="str">
        <f>Данные!C265</f>
        <v>компьютерных технологий и электронного обучения</v>
      </c>
      <c r="D265" s="59" t="str">
        <f>Данные!D265</f>
        <v>Аксютин Павел Александрович</v>
      </c>
      <c r="E265" s="59" t="str">
        <f>Данные!E265</f>
        <v>нет</v>
      </c>
      <c r="F265" s="59" t="str">
        <f>Данные!F265</f>
        <v>ассистент</v>
      </c>
      <c r="G265" s="59">
        <f>Данные!G265</f>
        <v>0.25</v>
      </c>
      <c r="H265" s="59">
        <f>Данные!H265</f>
        <v>17577</v>
      </c>
      <c r="I265" s="59" t="str">
        <f>Данные!I265</f>
        <v>Модуль "Естественнонаучный". Информационные технологии</v>
      </c>
      <c r="J265" s="59">
        <f>Данные!J265</f>
        <v>0</v>
      </c>
      <c r="K265" s="59">
        <f>Данные!K265</f>
        <v>32</v>
      </c>
      <c r="L265" s="59">
        <f>Данные!L265</f>
        <v>0</v>
      </c>
      <c r="M265" s="60">
        <f t="shared" si="36"/>
        <v>3.2</v>
      </c>
      <c r="N265" s="60">
        <f t="shared" ca="1" si="37"/>
        <v>9.92</v>
      </c>
      <c r="O265" s="60">
        <f t="shared" ca="1" si="38"/>
        <v>6</v>
      </c>
      <c r="P265" s="60">
        <f t="shared" ca="1" si="39"/>
        <v>6</v>
      </c>
      <c r="Q265" s="54">
        <f>Данные!Q265</f>
        <v>0</v>
      </c>
      <c r="R265" s="54">
        <f>Данные!R265</f>
        <v>0</v>
      </c>
      <c r="S265" s="54">
        <f>Данные!S265</f>
        <v>0</v>
      </c>
      <c r="T265" s="54">
        <f>Данные!T265</f>
        <v>14</v>
      </c>
      <c r="U265" s="54">
        <f>Данные!U265</f>
        <v>0</v>
      </c>
      <c r="V265" s="54">
        <f>Данные!V265</f>
        <v>0</v>
      </c>
      <c r="W265" s="54">
        <f ca="1">Данные!W265</f>
        <v>24</v>
      </c>
      <c r="X265" s="54" t="str">
        <f ca="1">Данные!X265</f>
        <v>1</v>
      </c>
      <c r="Y265" s="54" t="str">
        <f ca="1">Данные!Y265</f>
        <v>2</v>
      </c>
      <c r="Z265" s="54">
        <f>Данные!Z265</f>
        <v>0</v>
      </c>
      <c r="AA265" s="54" t="str">
        <f>Данные!AA265</f>
        <v>осн</v>
      </c>
      <c r="AB265" s="101">
        <f t="shared" si="40"/>
        <v>900</v>
      </c>
      <c r="AC265" s="101" t="str">
        <f t="shared" si="41"/>
        <v/>
      </c>
      <c r="AD265" s="101" t="str">
        <f t="shared" si="42"/>
        <v/>
      </c>
      <c r="AE265" s="102">
        <f t="shared" ca="1" si="43"/>
        <v>71.12</v>
      </c>
      <c r="AF265" s="103">
        <f t="shared" ca="1" si="44"/>
        <v>7.902222222222223E-2</v>
      </c>
      <c r="AG265" s="101"/>
      <c r="AH265" s="101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Q265" s="72">
        <v>0</v>
      </c>
      <c r="BR265" s="72">
        <v>0</v>
      </c>
      <c r="BS265" s="72">
        <v>0</v>
      </c>
      <c r="BT265" s="72">
        <v>0</v>
      </c>
      <c r="BU265" s="72">
        <v>0</v>
      </c>
      <c r="BV265" s="72">
        <v>0</v>
      </c>
      <c r="BW265" s="72">
        <v>0</v>
      </c>
      <c r="BX265" s="72">
        <v>0</v>
      </c>
      <c r="BY265" s="72">
        <v>0</v>
      </c>
      <c r="BZ265" s="72">
        <v>0</v>
      </c>
      <c r="CA265" s="72">
        <v>0</v>
      </c>
      <c r="CB265" s="72">
        <v>0</v>
      </c>
      <c r="CC265" s="72">
        <v>0</v>
      </c>
      <c r="CD265" s="72">
        <v>0</v>
      </c>
      <c r="CE265" s="72">
        <v>0</v>
      </c>
      <c r="CF265" s="72">
        <v>0</v>
      </c>
      <c r="CG265" s="72">
        <v>0</v>
      </c>
      <c r="CH265" s="72">
        <v>0</v>
      </c>
      <c r="CI265" s="72">
        <v>0</v>
      </c>
      <c r="CJ265" s="72">
        <v>0</v>
      </c>
      <c r="CK265" s="72">
        <v>0</v>
      </c>
      <c r="CL265" s="72">
        <v>0</v>
      </c>
      <c r="CM265" s="72">
        <v>0</v>
      </c>
      <c r="CN265" s="72">
        <v>0</v>
      </c>
      <c r="CO265" s="72">
        <v>0</v>
      </c>
      <c r="CP265" s="72">
        <v>0</v>
      </c>
      <c r="CQ265" s="72">
        <v>0</v>
      </c>
      <c r="CR265" s="72">
        <v>0</v>
      </c>
      <c r="CS265" s="72">
        <v>0</v>
      </c>
      <c r="CT265" s="72">
        <v>0</v>
      </c>
      <c r="CU265" s="72">
        <v>0</v>
      </c>
      <c r="CV265" s="72">
        <v>0</v>
      </c>
      <c r="CW265" s="72">
        <v>0</v>
      </c>
      <c r="CX265" s="72">
        <v>0</v>
      </c>
      <c r="CY265" s="72">
        <v>0</v>
      </c>
      <c r="CZ265" s="72">
        <v>0</v>
      </c>
      <c r="DA265" s="72">
        <v>0</v>
      </c>
      <c r="DB265" s="72">
        <v>0</v>
      </c>
      <c r="DC265" s="72">
        <v>0</v>
      </c>
      <c r="DD265" s="72">
        <v>0</v>
      </c>
      <c r="DE265" s="72">
        <v>0</v>
      </c>
      <c r="DF265" s="72">
        <v>0</v>
      </c>
      <c r="DG265" s="72">
        <v>0</v>
      </c>
      <c r="DH265" s="72">
        <v>0</v>
      </c>
      <c r="DI265" s="72">
        <v>0</v>
      </c>
      <c r="DJ265" s="72">
        <v>0</v>
      </c>
      <c r="DK265" s="72">
        <v>0</v>
      </c>
      <c r="DL265" s="72">
        <v>0</v>
      </c>
      <c r="DM265" s="72">
        <v>0</v>
      </c>
      <c r="DN265" s="72">
        <v>0</v>
      </c>
      <c r="DO265" s="72">
        <v>0</v>
      </c>
      <c r="DP265" s="72">
        <v>0</v>
      </c>
      <c r="DQ265" s="72">
        <v>0</v>
      </c>
      <c r="DR265" s="72">
        <v>0</v>
      </c>
      <c r="DS265" s="72">
        <v>0</v>
      </c>
      <c r="DT265" s="72">
        <v>0</v>
      </c>
      <c r="DU265" s="72">
        <v>0</v>
      </c>
      <c r="DV265" s="72">
        <v>0</v>
      </c>
      <c r="DW265" s="72">
        <v>0</v>
      </c>
      <c r="DX265" s="72">
        <v>0</v>
      </c>
      <c r="DY265" s="72">
        <v>0</v>
      </c>
      <c r="DZ265" s="72">
        <v>0</v>
      </c>
      <c r="EA265" s="72">
        <v>0</v>
      </c>
      <c r="EB265" s="72">
        <v>0</v>
      </c>
      <c r="EC265" s="72">
        <v>0</v>
      </c>
      <c r="ED265" s="72">
        <v>0</v>
      </c>
      <c r="EE265" s="72">
        <v>0</v>
      </c>
      <c r="EF265" s="72">
        <v>0</v>
      </c>
      <c r="EG265" s="72">
        <v>0</v>
      </c>
      <c r="EH265" s="72">
        <v>0</v>
      </c>
      <c r="EI265" s="72">
        <v>0</v>
      </c>
      <c r="EJ265" s="72">
        <v>0</v>
      </c>
      <c r="EK265" s="72">
        <v>0</v>
      </c>
      <c r="EL265" s="72">
        <v>0</v>
      </c>
    </row>
    <row r="266" spans="1:142" x14ac:dyDescent="0.35">
      <c r="A266" s="59">
        <f>Данные!A266</f>
        <v>6380</v>
      </c>
      <c r="B266" s="59">
        <f>Данные!B266</f>
        <v>2018</v>
      </c>
      <c r="C266" s="59" t="str">
        <f>Данные!C266</f>
        <v>компьютерных технологий и электронного обучения</v>
      </c>
      <c r="D266" s="59" t="str">
        <f>Данные!D266</f>
        <v>Гончарова Светлана Викторовна</v>
      </c>
      <c r="E266" s="59" t="str">
        <f>Данные!E266</f>
        <v>кандидат педагогических наук</v>
      </c>
      <c r="F266" s="59" t="str">
        <f>Данные!F266</f>
        <v>доцент</v>
      </c>
      <c r="G266" s="59">
        <f>Данные!G266</f>
        <v>1</v>
      </c>
      <c r="H266" s="59">
        <f>Данные!H266</f>
        <v>17577</v>
      </c>
      <c r="I266" s="59" t="str">
        <f>Данные!I266</f>
        <v>Модуль "Естественнонаучный". Информационные технологии</v>
      </c>
      <c r="J266" s="59">
        <f>Данные!J266</f>
        <v>9</v>
      </c>
      <c r="K266" s="59">
        <f>Данные!K266</f>
        <v>0</v>
      </c>
      <c r="L266" s="59">
        <f>Данные!L266</f>
        <v>0</v>
      </c>
      <c r="M266" s="60">
        <f t="shared" si="36"/>
        <v>0.9</v>
      </c>
      <c r="N266" s="60">
        <f t="shared" ca="1" si="37"/>
        <v>9.92</v>
      </c>
      <c r="O266" s="60">
        <f t="shared" ca="1" si="38"/>
        <v>6</v>
      </c>
      <c r="P266" s="60">
        <f t="shared" ca="1" si="39"/>
        <v>6</v>
      </c>
      <c r="Q266" s="54">
        <f>Данные!Q266</f>
        <v>0</v>
      </c>
      <c r="R266" s="54">
        <f>Данные!R266</f>
        <v>0</v>
      </c>
      <c r="S266" s="54">
        <f>Данные!S266</f>
        <v>0</v>
      </c>
      <c r="T266" s="54">
        <f>Данные!T266</f>
        <v>0</v>
      </c>
      <c r="U266" s="54">
        <f>Данные!U266</f>
        <v>0</v>
      </c>
      <c r="V266" s="54">
        <f>Данные!V266</f>
        <v>0</v>
      </c>
      <c r="W266" s="54">
        <f ca="1">Данные!W266</f>
        <v>24</v>
      </c>
      <c r="X266" s="54" t="str">
        <f ca="1">Данные!X266</f>
        <v>1</v>
      </c>
      <c r="Y266" s="54" t="str">
        <f ca="1">Данные!Y266</f>
        <v>2</v>
      </c>
      <c r="Z266" s="54">
        <f>Данные!Z266</f>
        <v>0</v>
      </c>
      <c r="AA266" s="54" t="str">
        <f>Данные!AA266</f>
        <v>осн</v>
      </c>
      <c r="AB266" s="101">
        <f t="shared" si="40"/>
        <v>800</v>
      </c>
      <c r="AC266" s="101" t="str">
        <f t="shared" si="41"/>
        <v/>
      </c>
      <c r="AD266" s="101" t="str">
        <f t="shared" si="42"/>
        <v/>
      </c>
      <c r="AE266" s="102">
        <f t="shared" ca="1" si="43"/>
        <v>31.82</v>
      </c>
      <c r="AF266" s="103">
        <f t="shared" ca="1" si="44"/>
        <v>3.9774999999999998E-2</v>
      </c>
      <c r="AG266" s="101"/>
      <c r="AH266" s="101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Q266" s="72">
        <v>0</v>
      </c>
      <c r="BR266" s="72">
        <v>0</v>
      </c>
      <c r="BS266" s="72">
        <v>0</v>
      </c>
      <c r="BT266" s="72">
        <v>0</v>
      </c>
      <c r="BU266" s="72">
        <v>0</v>
      </c>
      <c r="BV266" s="72">
        <v>0</v>
      </c>
      <c r="BW266" s="72">
        <v>0</v>
      </c>
      <c r="BX266" s="72">
        <v>0</v>
      </c>
      <c r="BY266" s="72">
        <v>0</v>
      </c>
      <c r="BZ266" s="72">
        <v>0</v>
      </c>
      <c r="CA266" s="72">
        <v>0</v>
      </c>
      <c r="CB266" s="72">
        <v>0</v>
      </c>
      <c r="CC266" s="72">
        <v>0</v>
      </c>
      <c r="CD266" s="72">
        <v>0</v>
      </c>
      <c r="CE266" s="72">
        <v>0</v>
      </c>
      <c r="CF266" s="72">
        <v>0</v>
      </c>
      <c r="CG266" s="72">
        <v>0</v>
      </c>
      <c r="CH266" s="72">
        <v>0</v>
      </c>
      <c r="CI266" s="72">
        <v>0</v>
      </c>
      <c r="CJ266" s="72">
        <v>0</v>
      </c>
      <c r="CK266" s="72">
        <v>0</v>
      </c>
      <c r="CL266" s="72">
        <v>0</v>
      </c>
      <c r="CM266" s="72">
        <v>0</v>
      </c>
      <c r="CN266" s="72">
        <v>0</v>
      </c>
      <c r="CO266" s="72">
        <v>0</v>
      </c>
      <c r="CP266" s="72">
        <v>0</v>
      </c>
      <c r="CQ266" s="72">
        <v>0</v>
      </c>
      <c r="CR266" s="72">
        <v>0</v>
      </c>
      <c r="CS266" s="72">
        <v>0</v>
      </c>
      <c r="CT266" s="72">
        <v>0</v>
      </c>
      <c r="CU266" s="72">
        <v>0</v>
      </c>
      <c r="CV266" s="72">
        <v>0</v>
      </c>
      <c r="CW266" s="72">
        <v>0</v>
      </c>
      <c r="CX266" s="72">
        <v>0</v>
      </c>
      <c r="CY266" s="72">
        <v>0</v>
      </c>
      <c r="CZ266" s="72">
        <v>0</v>
      </c>
      <c r="DA266" s="72">
        <v>0</v>
      </c>
      <c r="DB266" s="72">
        <v>0</v>
      </c>
      <c r="DC266" s="72">
        <v>0</v>
      </c>
      <c r="DD266" s="72">
        <v>0</v>
      </c>
      <c r="DE266" s="72">
        <v>0</v>
      </c>
      <c r="DF266" s="72">
        <v>0</v>
      </c>
      <c r="DG266" s="72">
        <v>0</v>
      </c>
      <c r="DH266" s="72">
        <v>0</v>
      </c>
      <c r="DI266" s="72">
        <v>0</v>
      </c>
      <c r="DJ266" s="72">
        <v>0</v>
      </c>
      <c r="DK266" s="72">
        <v>0</v>
      </c>
      <c r="DL266" s="72">
        <v>0</v>
      </c>
      <c r="DM266" s="72">
        <v>0</v>
      </c>
      <c r="DN266" s="72">
        <v>0</v>
      </c>
      <c r="DO266" s="72">
        <v>0</v>
      </c>
      <c r="DP266" s="72">
        <v>0</v>
      </c>
      <c r="DQ266" s="72">
        <v>0</v>
      </c>
      <c r="DR266" s="72">
        <v>0</v>
      </c>
      <c r="DS266" s="72">
        <v>0</v>
      </c>
      <c r="DT266" s="72">
        <v>0</v>
      </c>
      <c r="DU266" s="72">
        <v>0</v>
      </c>
      <c r="DV266" s="72">
        <v>0</v>
      </c>
      <c r="DW266" s="72">
        <v>0</v>
      </c>
      <c r="DX266" s="72">
        <v>0</v>
      </c>
      <c r="DY266" s="72">
        <v>0</v>
      </c>
      <c r="DZ266" s="72">
        <v>0</v>
      </c>
      <c r="EA266" s="72">
        <v>0</v>
      </c>
      <c r="EB266" s="72">
        <v>0</v>
      </c>
      <c r="EC266" s="72">
        <v>0</v>
      </c>
      <c r="ED266" s="72">
        <v>0</v>
      </c>
      <c r="EE266" s="72">
        <v>0</v>
      </c>
      <c r="EF266" s="72">
        <v>0</v>
      </c>
      <c r="EG266" s="72">
        <v>0</v>
      </c>
      <c r="EH266" s="72">
        <v>0</v>
      </c>
      <c r="EI266" s="72">
        <v>0</v>
      </c>
      <c r="EJ266" s="72">
        <v>0</v>
      </c>
      <c r="EK266" s="72">
        <v>0</v>
      </c>
      <c r="EL266" s="72">
        <v>0</v>
      </c>
    </row>
    <row r="267" spans="1:142" x14ac:dyDescent="0.35">
      <c r="A267" s="59">
        <f>Данные!A267</f>
        <v>6380</v>
      </c>
      <c r="B267" s="59">
        <f>Данные!B267</f>
        <v>2018</v>
      </c>
      <c r="C267" s="59" t="str">
        <f>Данные!C267</f>
        <v>компьютерных технологий и электронного обучения</v>
      </c>
      <c r="D267" s="59" t="str">
        <f>Данные!D267</f>
        <v>Иванова Екатерина Алексеевна</v>
      </c>
      <c r="E267" s="59" t="str">
        <f>Данные!E267</f>
        <v>нет</v>
      </c>
      <c r="F267" s="59" t="str">
        <f>Данные!F267</f>
        <v>ассистент</v>
      </c>
      <c r="G267" s="59">
        <f>Данные!G267</f>
        <v>0.25</v>
      </c>
      <c r="H267" s="59">
        <f>Данные!H267</f>
        <v>17577</v>
      </c>
      <c r="I267" s="59" t="str">
        <f>Данные!I267</f>
        <v>Модуль "Естественнонаучный". Информационные технологии</v>
      </c>
      <c r="J267" s="59">
        <f>Данные!J267</f>
        <v>0</v>
      </c>
      <c r="K267" s="59">
        <f>Данные!K267</f>
        <v>32</v>
      </c>
      <c r="L267" s="59">
        <f>Данные!L267</f>
        <v>0</v>
      </c>
      <c r="M267" s="60">
        <f t="shared" si="36"/>
        <v>3.2</v>
      </c>
      <c r="N267" s="60">
        <f t="shared" ca="1" si="37"/>
        <v>9.92</v>
      </c>
      <c r="O267" s="60">
        <f t="shared" ca="1" si="38"/>
        <v>6</v>
      </c>
      <c r="P267" s="60">
        <f t="shared" ca="1" si="39"/>
        <v>6</v>
      </c>
      <c r="Q267" s="54">
        <f>Данные!Q267</f>
        <v>0</v>
      </c>
      <c r="R267" s="54">
        <f>Данные!R267</f>
        <v>0</v>
      </c>
      <c r="S267" s="54">
        <f>Данные!S267</f>
        <v>0</v>
      </c>
      <c r="T267" s="54">
        <f>Данные!T267</f>
        <v>0</v>
      </c>
      <c r="U267" s="54">
        <f>Данные!U267</f>
        <v>0</v>
      </c>
      <c r="V267" s="54">
        <f>Данные!V267</f>
        <v>0</v>
      </c>
      <c r="W267" s="54">
        <f ca="1">Данные!W267</f>
        <v>24</v>
      </c>
      <c r="X267" s="54" t="str">
        <f ca="1">Данные!X267</f>
        <v>1</v>
      </c>
      <c r="Y267" s="54" t="str">
        <f ca="1">Данные!Y267</f>
        <v>2</v>
      </c>
      <c r="Z267" s="54">
        <f>Данные!Z267</f>
        <v>0</v>
      </c>
      <c r="AA267" s="54" t="str">
        <f>Данные!AA267</f>
        <v>осн</v>
      </c>
      <c r="AB267" s="101">
        <f t="shared" si="40"/>
        <v>900</v>
      </c>
      <c r="AC267" s="101" t="str">
        <f t="shared" si="41"/>
        <v/>
      </c>
      <c r="AD267" s="101" t="str">
        <f t="shared" si="42"/>
        <v/>
      </c>
      <c r="AE267" s="102">
        <f t="shared" ca="1" si="43"/>
        <v>57.120000000000005</v>
      </c>
      <c r="AF267" s="103">
        <f t="shared" ca="1" si="44"/>
        <v>6.3466666666666671E-2</v>
      </c>
      <c r="AG267" s="101"/>
      <c r="AH267" s="101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Q267" s="72">
        <v>0</v>
      </c>
      <c r="BR267" s="72">
        <v>0</v>
      </c>
      <c r="BS267" s="72">
        <v>0</v>
      </c>
      <c r="BT267" s="72">
        <v>0</v>
      </c>
      <c r="BU267" s="72">
        <v>0</v>
      </c>
      <c r="BV267" s="72">
        <v>0</v>
      </c>
      <c r="BW267" s="72">
        <v>0</v>
      </c>
      <c r="BX267" s="72">
        <v>0</v>
      </c>
      <c r="BY267" s="72">
        <v>0</v>
      </c>
      <c r="BZ267" s="72">
        <v>0</v>
      </c>
      <c r="CA267" s="72">
        <v>0</v>
      </c>
      <c r="CB267" s="72">
        <v>0</v>
      </c>
      <c r="CC267" s="72">
        <v>0</v>
      </c>
      <c r="CD267" s="72">
        <v>0</v>
      </c>
      <c r="CE267" s="72">
        <v>0</v>
      </c>
      <c r="CF267" s="72">
        <v>0</v>
      </c>
      <c r="CG267" s="72">
        <v>0</v>
      </c>
      <c r="CH267" s="72">
        <v>0</v>
      </c>
      <c r="CI267" s="72">
        <v>0</v>
      </c>
      <c r="CJ267" s="72">
        <v>0</v>
      </c>
      <c r="CK267" s="72">
        <v>0</v>
      </c>
      <c r="CL267" s="72">
        <v>0</v>
      </c>
      <c r="CM267" s="72">
        <v>0</v>
      </c>
      <c r="CN267" s="72">
        <v>0</v>
      </c>
      <c r="CO267" s="72">
        <v>0</v>
      </c>
      <c r="CP267" s="72">
        <v>0</v>
      </c>
      <c r="CQ267" s="72">
        <v>0</v>
      </c>
      <c r="CR267" s="72">
        <v>0</v>
      </c>
      <c r="CS267" s="72">
        <v>0</v>
      </c>
      <c r="CT267" s="72">
        <v>0</v>
      </c>
      <c r="CU267" s="72">
        <v>0</v>
      </c>
      <c r="CV267" s="72">
        <v>0</v>
      </c>
      <c r="CW267" s="72">
        <v>0</v>
      </c>
      <c r="CX267" s="72">
        <v>0</v>
      </c>
      <c r="CY267" s="72">
        <v>0</v>
      </c>
      <c r="CZ267" s="72">
        <v>0</v>
      </c>
      <c r="DA267" s="72">
        <v>0</v>
      </c>
      <c r="DB267" s="72">
        <v>0</v>
      </c>
      <c r="DC267" s="72">
        <v>0</v>
      </c>
      <c r="DD267" s="72">
        <v>0</v>
      </c>
      <c r="DE267" s="72">
        <v>0</v>
      </c>
      <c r="DF267" s="72">
        <v>0</v>
      </c>
      <c r="DG267" s="72">
        <v>0</v>
      </c>
      <c r="DH267" s="72">
        <v>0</v>
      </c>
      <c r="DI267" s="72">
        <v>0</v>
      </c>
      <c r="DJ267" s="72">
        <v>0</v>
      </c>
      <c r="DK267" s="72">
        <v>0</v>
      </c>
      <c r="DL267" s="72">
        <v>0</v>
      </c>
      <c r="DM267" s="72">
        <v>0</v>
      </c>
      <c r="DN267" s="72">
        <v>0</v>
      </c>
      <c r="DO267" s="72">
        <v>0</v>
      </c>
      <c r="DP267" s="72">
        <v>0</v>
      </c>
      <c r="DQ267" s="72">
        <v>0</v>
      </c>
      <c r="DR267" s="72">
        <v>0</v>
      </c>
      <c r="DS267" s="72">
        <v>0</v>
      </c>
      <c r="DT267" s="72">
        <v>0</v>
      </c>
      <c r="DU267" s="72">
        <v>0</v>
      </c>
      <c r="DV267" s="72">
        <v>0</v>
      </c>
      <c r="DW267" s="72">
        <v>0</v>
      </c>
      <c r="DX267" s="72">
        <v>0</v>
      </c>
      <c r="DY267" s="72">
        <v>0</v>
      </c>
      <c r="DZ267" s="72">
        <v>0</v>
      </c>
      <c r="EA267" s="72">
        <v>0</v>
      </c>
      <c r="EB267" s="72">
        <v>0</v>
      </c>
      <c r="EC267" s="72">
        <v>0</v>
      </c>
      <c r="ED267" s="72">
        <v>0</v>
      </c>
      <c r="EE267" s="72">
        <v>0</v>
      </c>
      <c r="EF267" s="72">
        <v>0</v>
      </c>
      <c r="EG267" s="72">
        <v>0</v>
      </c>
      <c r="EH267" s="72">
        <v>0</v>
      </c>
      <c r="EI267" s="72">
        <v>0</v>
      </c>
      <c r="EJ267" s="72">
        <v>0</v>
      </c>
      <c r="EK267" s="72">
        <v>0</v>
      </c>
      <c r="EL267" s="72">
        <v>0</v>
      </c>
    </row>
    <row r="268" spans="1:142" x14ac:dyDescent="0.35">
      <c r="A268" s="59">
        <f>Данные!A268</f>
        <v>6380</v>
      </c>
      <c r="B268" s="59">
        <f>Данные!B268</f>
        <v>2018</v>
      </c>
      <c r="C268" s="59" t="str">
        <f>Данные!C268</f>
        <v>компьютерных технологий и электронного обучения</v>
      </c>
      <c r="D268" s="59" t="str">
        <f>Данные!D268</f>
        <v>Шалденкова Анна Владимировна</v>
      </c>
      <c r="E268" s="59" t="str">
        <f>Данные!E268</f>
        <v>кандидат физ.-мат. наук</v>
      </c>
      <c r="F268" s="59" t="str">
        <f>Данные!F268</f>
        <v>доцент</v>
      </c>
      <c r="G268" s="59">
        <f>Данные!G268</f>
        <v>1</v>
      </c>
      <c r="H268" s="59">
        <f>Данные!H268</f>
        <v>17577</v>
      </c>
      <c r="I268" s="59" t="str">
        <f>Данные!I268</f>
        <v>Модуль "Естественнонаучный". Информационные технологии</v>
      </c>
      <c r="J268" s="59">
        <f>Данные!J268</f>
        <v>0</v>
      </c>
      <c r="K268" s="59">
        <f>Данные!K268</f>
        <v>0</v>
      </c>
      <c r="L268" s="59">
        <f>Данные!L268</f>
        <v>0</v>
      </c>
      <c r="M268" s="60">
        <f t="shared" si="36"/>
        <v>0</v>
      </c>
      <c r="N268" s="60">
        <f t="shared" ca="1" si="37"/>
        <v>9.92</v>
      </c>
      <c r="O268" s="60">
        <f t="shared" ca="1" si="38"/>
        <v>6</v>
      </c>
      <c r="P268" s="60">
        <f t="shared" ca="1" si="39"/>
        <v>6</v>
      </c>
      <c r="Q268" s="54">
        <f>Данные!Q268</f>
        <v>0</v>
      </c>
      <c r="R268" s="54">
        <f>Данные!R268</f>
        <v>0</v>
      </c>
      <c r="S268" s="54">
        <f>Данные!S268</f>
        <v>0</v>
      </c>
      <c r="T268" s="54">
        <f>Данные!T268</f>
        <v>0</v>
      </c>
      <c r="U268" s="54">
        <f>Данные!U268</f>
        <v>0</v>
      </c>
      <c r="V268" s="54">
        <f>Данные!V268</f>
        <v>0</v>
      </c>
      <c r="W268" s="54">
        <f ca="1">Данные!W268</f>
        <v>24</v>
      </c>
      <c r="X268" s="54" t="str">
        <f ca="1">Данные!X268</f>
        <v>1</v>
      </c>
      <c r="Y268" s="54" t="str">
        <f ca="1">Данные!Y268</f>
        <v>2</v>
      </c>
      <c r="Z268" s="54">
        <f>Данные!Z268</f>
        <v>0</v>
      </c>
      <c r="AA268" s="54" t="str">
        <f>Данные!AA268</f>
        <v>осн</v>
      </c>
      <c r="AB268" s="101">
        <f t="shared" si="40"/>
        <v>800</v>
      </c>
      <c r="AC268" s="101" t="str">
        <f t="shared" si="41"/>
        <v/>
      </c>
      <c r="AD268" s="101" t="str">
        <f t="shared" si="42"/>
        <v/>
      </c>
      <c r="AE268" s="102">
        <f t="shared" ca="1" si="43"/>
        <v>21.92</v>
      </c>
      <c r="AF268" s="103">
        <f t="shared" ca="1" si="44"/>
        <v>2.7400000000000001E-2</v>
      </c>
      <c r="AG268" s="101"/>
      <c r="AH268" s="101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Q268" s="72">
        <v>0</v>
      </c>
      <c r="BR268" s="72">
        <v>0</v>
      </c>
      <c r="BS268" s="72">
        <v>0</v>
      </c>
      <c r="BT268" s="72">
        <v>0</v>
      </c>
      <c r="BU268" s="72">
        <v>0</v>
      </c>
      <c r="BV268" s="72">
        <v>0</v>
      </c>
      <c r="BW268" s="72">
        <v>0</v>
      </c>
      <c r="BX268" s="72">
        <v>0</v>
      </c>
      <c r="BY268" s="72">
        <v>0</v>
      </c>
      <c r="BZ268" s="72">
        <v>0</v>
      </c>
      <c r="CA268" s="72">
        <v>0</v>
      </c>
      <c r="CB268" s="72">
        <v>0</v>
      </c>
      <c r="CC268" s="72">
        <v>0</v>
      </c>
      <c r="CD268" s="72">
        <v>0</v>
      </c>
      <c r="CE268" s="72">
        <v>0</v>
      </c>
      <c r="CF268" s="72">
        <v>0</v>
      </c>
      <c r="CG268" s="72">
        <v>0</v>
      </c>
      <c r="CH268" s="72">
        <v>0</v>
      </c>
      <c r="CI268" s="72">
        <v>0</v>
      </c>
      <c r="CJ268" s="72">
        <v>0</v>
      </c>
      <c r="CK268" s="72">
        <v>0</v>
      </c>
      <c r="CL268" s="72">
        <v>0</v>
      </c>
      <c r="CM268" s="72">
        <v>0</v>
      </c>
      <c r="CN268" s="72">
        <v>0</v>
      </c>
      <c r="CO268" s="72">
        <v>0</v>
      </c>
      <c r="CP268" s="72">
        <v>0</v>
      </c>
      <c r="CQ268" s="72">
        <v>0</v>
      </c>
      <c r="CR268" s="72">
        <v>0</v>
      </c>
      <c r="CS268" s="72">
        <v>0</v>
      </c>
      <c r="CT268" s="72">
        <v>0</v>
      </c>
      <c r="CU268" s="72">
        <v>0</v>
      </c>
      <c r="CV268" s="72">
        <v>0</v>
      </c>
      <c r="CW268" s="72">
        <v>0</v>
      </c>
      <c r="CX268" s="72">
        <v>0</v>
      </c>
      <c r="CY268" s="72">
        <v>0</v>
      </c>
      <c r="CZ268" s="72">
        <v>0</v>
      </c>
      <c r="DA268" s="72">
        <v>0</v>
      </c>
      <c r="DB268" s="72">
        <v>0</v>
      </c>
      <c r="DC268" s="72">
        <v>0</v>
      </c>
      <c r="DD268" s="72">
        <v>0</v>
      </c>
      <c r="DE268" s="72">
        <v>0</v>
      </c>
      <c r="DF268" s="72">
        <v>0</v>
      </c>
      <c r="DG268" s="72">
        <v>0</v>
      </c>
      <c r="DH268" s="72">
        <v>0</v>
      </c>
      <c r="DI268" s="72">
        <v>0</v>
      </c>
      <c r="DJ268" s="72">
        <v>0</v>
      </c>
      <c r="DK268" s="72">
        <v>0</v>
      </c>
      <c r="DL268" s="72">
        <v>0</v>
      </c>
      <c r="DM268" s="72">
        <v>0</v>
      </c>
      <c r="DN268" s="72">
        <v>0</v>
      </c>
      <c r="DO268" s="72">
        <v>0</v>
      </c>
      <c r="DP268" s="72">
        <v>0</v>
      </c>
      <c r="DQ268" s="72">
        <v>0</v>
      </c>
      <c r="DR268" s="72">
        <v>0</v>
      </c>
      <c r="DS268" s="72">
        <v>0</v>
      </c>
      <c r="DT268" s="72">
        <v>0</v>
      </c>
      <c r="DU268" s="72">
        <v>0</v>
      </c>
      <c r="DV268" s="72">
        <v>0</v>
      </c>
      <c r="DW268" s="72">
        <v>0</v>
      </c>
      <c r="DX268" s="72">
        <v>0</v>
      </c>
      <c r="DY268" s="72">
        <v>0</v>
      </c>
      <c r="DZ268" s="72">
        <v>0</v>
      </c>
      <c r="EA268" s="72">
        <v>0</v>
      </c>
      <c r="EB268" s="72">
        <v>0</v>
      </c>
      <c r="EC268" s="72">
        <v>0</v>
      </c>
      <c r="ED268" s="72">
        <v>0</v>
      </c>
      <c r="EE268" s="72">
        <v>0</v>
      </c>
      <c r="EF268" s="72">
        <v>0</v>
      </c>
      <c r="EG268" s="72">
        <v>0</v>
      </c>
      <c r="EH268" s="72">
        <v>0</v>
      </c>
      <c r="EI268" s="72">
        <v>0</v>
      </c>
      <c r="EJ268" s="72">
        <v>0</v>
      </c>
      <c r="EK268" s="72">
        <v>0</v>
      </c>
      <c r="EL268" s="72">
        <v>0</v>
      </c>
    </row>
    <row r="269" spans="1:142" x14ac:dyDescent="0.35">
      <c r="A269" s="59">
        <f>Данные!A269</f>
        <v>4848</v>
      </c>
      <c r="B269" s="59">
        <f>Данные!B269</f>
        <v>2019</v>
      </c>
      <c r="C269" s="59" t="str">
        <f>Данные!C269</f>
        <v>компьютерных технологий и электронного обучения</v>
      </c>
      <c r="D269" s="59" t="str">
        <f>Данные!D269</f>
        <v>Абрамян Геннадий Владимирович</v>
      </c>
      <c r="E269" s="59" t="str">
        <f>Данные!E269</f>
        <v>доктор педагогических наук</v>
      </c>
      <c r="F269" s="59" t="str">
        <f>Данные!F269</f>
        <v>профессор</v>
      </c>
      <c r="G269" s="59">
        <f>Данные!G269</f>
        <v>1</v>
      </c>
      <c r="H269" s="59" t="str">
        <f>Данные!H269</f>
        <v>4 курс 2016 год/пост</v>
      </c>
      <c r="I269" s="59" t="str">
        <f>Данные!I269</f>
        <v>Модуль "Информационные системы". Теория информационных процессов и систем</v>
      </c>
      <c r="J269" s="59">
        <f>Данные!J269</f>
        <v>8</v>
      </c>
      <c r="K269" s="59">
        <f>Данные!K269</f>
        <v>14</v>
      </c>
      <c r="L269" s="59">
        <f>Данные!L269</f>
        <v>28</v>
      </c>
      <c r="M269" s="60">
        <f t="shared" si="36"/>
        <v>5</v>
      </c>
      <c r="N269" s="60">
        <f t="shared" ca="1" si="37"/>
        <v>10.91</v>
      </c>
      <c r="O269" s="60">
        <f t="shared" ca="1" si="38"/>
        <v>6.75</v>
      </c>
      <c r="P269" s="60">
        <f t="shared" ca="1" si="39"/>
        <v>6.75</v>
      </c>
      <c r="Q269" s="54">
        <f>Данные!Q269</f>
        <v>0</v>
      </c>
      <c r="R269" s="54">
        <f>Данные!R269</f>
        <v>0</v>
      </c>
      <c r="S269" s="54">
        <f>Данные!S269</f>
        <v>0</v>
      </c>
      <c r="T269" s="54">
        <f>Данные!T269</f>
        <v>0</v>
      </c>
      <c r="U269" s="54">
        <f>Данные!U269</f>
        <v>0</v>
      </c>
      <c r="V269" s="54">
        <f>Данные!V269</f>
        <v>0</v>
      </c>
      <c r="W269" s="54">
        <f ca="1">Данные!W269</f>
        <v>27</v>
      </c>
      <c r="X269" s="54" t="str">
        <f ca="1">Данные!X269</f>
        <v>1</v>
      </c>
      <c r="Y269" s="54" t="str">
        <f ca="1">Данные!Y269</f>
        <v>2</v>
      </c>
      <c r="Z269" s="54">
        <f>Данные!Z269</f>
        <v>0</v>
      </c>
      <c r="AA269" s="54" t="str">
        <f>Данные!AA269</f>
        <v>осн</v>
      </c>
      <c r="AB269" s="101">
        <f t="shared" si="40"/>
        <v>750</v>
      </c>
      <c r="AC269" s="101" t="str">
        <f t="shared" si="41"/>
        <v>ИВТ (бак)</v>
      </c>
      <c r="AD269" s="101" t="str">
        <f t="shared" si="42"/>
        <v/>
      </c>
      <c r="AE269" s="102">
        <f t="shared" ca="1" si="43"/>
        <v>79.41</v>
      </c>
      <c r="AF269" s="103">
        <f t="shared" ca="1" si="44"/>
        <v>0.10588</v>
      </c>
      <c r="AG269" s="101"/>
      <c r="AH269" s="101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Q269" s="72">
        <v>0</v>
      </c>
      <c r="BR269" s="72">
        <v>0</v>
      </c>
      <c r="BS269" s="72">
        <v>0</v>
      </c>
      <c r="BT269" s="72">
        <v>0</v>
      </c>
      <c r="BU269" s="72">
        <v>0</v>
      </c>
      <c r="BV269" s="72">
        <v>0</v>
      </c>
      <c r="BW269" s="72">
        <v>0</v>
      </c>
      <c r="BX269" s="72">
        <v>0</v>
      </c>
      <c r="BY269" s="72">
        <v>0</v>
      </c>
      <c r="BZ269" s="72">
        <v>0</v>
      </c>
      <c r="CA269" s="72">
        <v>0</v>
      </c>
      <c r="CB269" s="72">
        <v>0</v>
      </c>
      <c r="CC269" s="72">
        <v>0</v>
      </c>
      <c r="CD269" s="72">
        <v>0</v>
      </c>
      <c r="CE269" s="72">
        <v>0</v>
      </c>
      <c r="CF269" s="72">
        <v>0</v>
      </c>
      <c r="CG269" s="72">
        <v>0</v>
      </c>
      <c r="CH269" s="72">
        <v>0</v>
      </c>
      <c r="CI269" s="72">
        <v>0</v>
      </c>
      <c r="CJ269" s="72">
        <v>0</v>
      </c>
      <c r="CK269" s="72">
        <v>0</v>
      </c>
      <c r="CL269" s="72">
        <v>0</v>
      </c>
      <c r="CM269" s="72">
        <v>0</v>
      </c>
      <c r="CN269" s="72">
        <v>0</v>
      </c>
      <c r="CO269" s="72">
        <v>0</v>
      </c>
      <c r="CP269" s="72">
        <v>0</v>
      </c>
      <c r="CQ269" s="72">
        <v>0</v>
      </c>
      <c r="CR269" s="72">
        <v>0</v>
      </c>
      <c r="CS269" s="72">
        <v>0</v>
      </c>
      <c r="CT269" s="72">
        <v>0</v>
      </c>
      <c r="CU269" s="72">
        <v>0</v>
      </c>
      <c r="CV269" s="72">
        <v>0</v>
      </c>
      <c r="CW269" s="72">
        <v>0</v>
      </c>
      <c r="CX269" s="72">
        <v>0</v>
      </c>
      <c r="CY269" s="72">
        <v>0</v>
      </c>
      <c r="CZ269" s="72">
        <v>0</v>
      </c>
      <c r="DA269" s="72">
        <v>0</v>
      </c>
      <c r="DB269" s="72">
        <v>0</v>
      </c>
      <c r="DC269" s="72">
        <v>0</v>
      </c>
      <c r="DD269" s="72">
        <v>0</v>
      </c>
      <c r="DE269" s="72">
        <v>0</v>
      </c>
      <c r="DF269" s="72">
        <v>0</v>
      </c>
      <c r="DG269" s="72">
        <v>0</v>
      </c>
      <c r="DH269" s="72">
        <v>0</v>
      </c>
      <c r="DI269" s="72">
        <v>0</v>
      </c>
      <c r="DJ269" s="72">
        <v>0</v>
      </c>
      <c r="DK269" s="72">
        <v>0</v>
      </c>
      <c r="DL269" s="72">
        <v>0</v>
      </c>
      <c r="DM269" s="72">
        <v>0</v>
      </c>
      <c r="DN269" s="72">
        <v>0</v>
      </c>
      <c r="DO269" s="72">
        <v>0</v>
      </c>
      <c r="DP269" s="72">
        <v>0</v>
      </c>
      <c r="DQ269" s="72">
        <v>0</v>
      </c>
      <c r="DR269" s="72">
        <v>0</v>
      </c>
      <c r="DS269" s="72">
        <v>0</v>
      </c>
      <c r="DT269" s="72">
        <v>0</v>
      </c>
      <c r="DU269" s="72">
        <v>0</v>
      </c>
      <c r="DV269" s="72">
        <v>0</v>
      </c>
      <c r="DW269" s="72">
        <v>0</v>
      </c>
      <c r="DX269" s="72">
        <v>0</v>
      </c>
      <c r="DY269" s="72">
        <v>0</v>
      </c>
      <c r="DZ269" s="72">
        <v>0</v>
      </c>
      <c r="EA269" s="72">
        <v>0</v>
      </c>
      <c r="EB269" s="72">
        <v>0</v>
      </c>
      <c r="EC269" s="72">
        <v>0</v>
      </c>
      <c r="ED269" s="72">
        <v>0</v>
      </c>
      <c r="EE269" s="72">
        <v>0</v>
      </c>
      <c r="EF269" s="72">
        <v>0</v>
      </c>
      <c r="EG269" s="72">
        <v>0</v>
      </c>
      <c r="EH269" s="72">
        <v>0</v>
      </c>
      <c r="EI269" s="72">
        <v>0</v>
      </c>
      <c r="EJ269" s="72">
        <v>0</v>
      </c>
      <c r="EK269" s="72">
        <v>0</v>
      </c>
      <c r="EL269" s="72">
        <v>0</v>
      </c>
    </row>
    <row r="270" spans="1:142" x14ac:dyDescent="0.35">
      <c r="A270" s="59">
        <f>Данные!A270</f>
        <v>4848</v>
      </c>
      <c r="B270" s="59">
        <f>Данные!B270</f>
        <v>2019</v>
      </c>
      <c r="C270" s="59" t="str">
        <f>Данные!C270</f>
        <v>компьютерных технологий и электронного обучения</v>
      </c>
      <c r="D270" s="59" t="str">
        <f>Данные!D270</f>
        <v>Авксентьева Елена Юрьевна</v>
      </c>
      <c r="E270" s="59" t="str">
        <f>Данные!E270</f>
        <v>кандидат педагогических наук</v>
      </c>
      <c r="F270" s="59" t="str">
        <f>Данные!F270</f>
        <v>доцент</v>
      </c>
      <c r="G270" s="59">
        <f>Данные!G270</f>
        <v>1</v>
      </c>
      <c r="H270" s="59" t="str">
        <f>Данные!H270</f>
        <v>4 курс 2016 год/пост</v>
      </c>
      <c r="I270" s="59" t="str">
        <f>Данные!I270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270" s="59">
        <f>Данные!J270</f>
        <v>12</v>
      </c>
      <c r="K270" s="59">
        <f>Данные!K270</f>
        <v>0</v>
      </c>
      <c r="L270" s="59">
        <f>Данные!L270</f>
        <v>0</v>
      </c>
      <c r="M270" s="60">
        <f t="shared" si="36"/>
        <v>1.2</v>
      </c>
      <c r="N270" s="60">
        <f t="shared" ca="1" si="37"/>
        <v>10.91</v>
      </c>
      <c r="O270" s="60">
        <f t="shared" ca="1" si="38"/>
        <v>6.75</v>
      </c>
      <c r="P270" s="60">
        <f t="shared" ca="1" si="39"/>
        <v>6.75</v>
      </c>
      <c r="Q270" s="54">
        <f>Данные!Q270</f>
        <v>0</v>
      </c>
      <c r="R270" s="54">
        <f>Данные!R270</f>
        <v>0</v>
      </c>
      <c r="S270" s="54">
        <f>Данные!S270</f>
        <v>0</v>
      </c>
      <c r="T270" s="54">
        <f>Данные!T270</f>
        <v>0</v>
      </c>
      <c r="U270" s="54">
        <f>Данные!U270</f>
        <v>0</v>
      </c>
      <c r="V270" s="54">
        <f>Данные!V270</f>
        <v>0</v>
      </c>
      <c r="W270" s="54">
        <f ca="1">Данные!W270</f>
        <v>27</v>
      </c>
      <c r="X270" s="54" t="str">
        <f ca="1">Данные!X270</f>
        <v>1</v>
      </c>
      <c r="Y270" s="54" t="str">
        <f ca="1">Данные!Y270</f>
        <v>2</v>
      </c>
      <c r="Z270" s="54">
        <f>Данные!Z270</f>
        <v>0</v>
      </c>
      <c r="AA270" s="54">
        <f>Данные!AA270</f>
        <v>0</v>
      </c>
      <c r="AB270" s="101">
        <f t="shared" si="40"/>
        <v>800</v>
      </c>
      <c r="AC270" s="101" t="str">
        <f t="shared" si="41"/>
        <v>ИВТ (бак)</v>
      </c>
      <c r="AD270" s="101" t="str">
        <f t="shared" si="42"/>
        <v/>
      </c>
      <c r="AE270" s="102">
        <f t="shared" ca="1" si="43"/>
        <v>37.61</v>
      </c>
      <c r="AF270" s="103">
        <f t="shared" ca="1" si="44"/>
        <v>4.7012499999999999E-2</v>
      </c>
      <c r="AG270" s="101"/>
      <c r="AH270" s="101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Q270" s="72">
        <v>0</v>
      </c>
      <c r="BR270" s="72">
        <v>0</v>
      </c>
      <c r="BS270" s="72">
        <v>0</v>
      </c>
      <c r="BT270" s="72">
        <v>0</v>
      </c>
      <c r="BU270" s="72">
        <v>0</v>
      </c>
      <c r="BV270" s="72">
        <v>0</v>
      </c>
      <c r="BW270" s="72">
        <v>0</v>
      </c>
      <c r="BX270" s="72">
        <v>0</v>
      </c>
      <c r="BY270" s="72">
        <v>0</v>
      </c>
      <c r="BZ270" s="72">
        <v>0</v>
      </c>
      <c r="CA270" s="72">
        <v>0</v>
      </c>
      <c r="CB270" s="72">
        <v>0</v>
      </c>
      <c r="CC270" s="72">
        <v>0</v>
      </c>
      <c r="CD270" s="72">
        <v>0</v>
      </c>
      <c r="CE270" s="72">
        <v>0</v>
      </c>
      <c r="CF270" s="72">
        <v>0</v>
      </c>
      <c r="CG270" s="72">
        <v>0</v>
      </c>
      <c r="CH270" s="72">
        <v>0</v>
      </c>
      <c r="CI270" s="72">
        <v>0</v>
      </c>
      <c r="CJ270" s="72">
        <v>0</v>
      </c>
      <c r="CK270" s="72">
        <v>0</v>
      </c>
      <c r="CL270" s="72">
        <v>0</v>
      </c>
      <c r="CM270" s="72">
        <v>0</v>
      </c>
      <c r="CN270" s="72">
        <v>0</v>
      </c>
      <c r="CO270" s="72">
        <v>0</v>
      </c>
      <c r="CP270" s="72">
        <v>0</v>
      </c>
      <c r="CQ270" s="72">
        <v>0</v>
      </c>
      <c r="CR270" s="72">
        <v>0</v>
      </c>
      <c r="CS270" s="72">
        <v>0</v>
      </c>
      <c r="CT270" s="72">
        <v>0</v>
      </c>
      <c r="CU270" s="72">
        <v>0</v>
      </c>
      <c r="CV270" s="72">
        <v>0</v>
      </c>
      <c r="CW270" s="72">
        <v>0</v>
      </c>
      <c r="CX270" s="72">
        <v>0</v>
      </c>
      <c r="CY270" s="72">
        <v>0</v>
      </c>
      <c r="CZ270" s="72">
        <v>0</v>
      </c>
      <c r="DA270" s="72">
        <v>0</v>
      </c>
      <c r="DB270" s="72">
        <v>0</v>
      </c>
      <c r="DC270" s="72">
        <v>0</v>
      </c>
      <c r="DD270" s="72">
        <v>0</v>
      </c>
      <c r="DE270" s="72">
        <v>0</v>
      </c>
      <c r="DF270" s="72">
        <v>0</v>
      </c>
      <c r="DG270" s="72">
        <v>0</v>
      </c>
      <c r="DH270" s="72">
        <v>0</v>
      </c>
      <c r="DI270" s="72">
        <v>0</v>
      </c>
      <c r="DJ270" s="72">
        <v>0</v>
      </c>
      <c r="DK270" s="72">
        <v>0</v>
      </c>
      <c r="DL270" s="72">
        <v>0</v>
      </c>
      <c r="DM270" s="72">
        <v>0</v>
      </c>
      <c r="DN270" s="72">
        <v>0</v>
      </c>
      <c r="DO270" s="72">
        <v>0</v>
      </c>
      <c r="DP270" s="72">
        <v>0</v>
      </c>
      <c r="DQ270" s="72">
        <v>0</v>
      </c>
      <c r="DR270" s="72">
        <v>0</v>
      </c>
      <c r="DS270" s="72">
        <v>0</v>
      </c>
      <c r="DT270" s="72">
        <v>0</v>
      </c>
      <c r="DU270" s="72">
        <v>0</v>
      </c>
      <c r="DV270" s="72">
        <v>0</v>
      </c>
      <c r="DW270" s="72">
        <v>0</v>
      </c>
      <c r="DX270" s="72">
        <v>0</v>
      </c>
      <c r="DY270" s="72">
        <v>0</v>
      </c>
      <c r="DZ270" s="72">
        <v>0</v>
      </c>
      <c r="EA270" s="72">
        <v>0</v>
      </c>
      <c r="EB270" s="72">
        <v>0</v>
      </c>
      <c r="EC270" s="72">
        <v>0</v>
      </c>
      <c r="ED270" s="72">
        <v>0</v>
      </c>
      <c r="EE270" s="72">
        <v>0</v>
      </c>
      <c r="EF270" s="72">
        <v>0</v>
      </c>
      <c r="EG270" s="72">
        <v>0</v>
      </c>
      <c r="EH270" s="72">
        <v>0</v>
      </c>
      <c r="EI270" s="72">
        <v>0</v>
      </c>
      <c r="EJ270" s="72">
        <v>0</v>
      </c>
      <c r="EK270" s="72">
        <v>0</v>
      </c>
      <c r="EL270" s="72">
        <v>0</v>
      </c>
    </row>
    <row r="271" spans="1:142" x14ac:dyDescent="0.35">
      <c r="A271" s="59">
        <f>Данные!A271</f>
        <v>4848</v>
      </c>
      <c r="B271" s="59">
        <f>Данные!B271</f>
        <v>2019</v>
      </c>
      <c r="C271" s="59" t="str">
        <f>Данные!C271</f>
        <v>компьютерных технологий и электронного обучения</v>
      </c>
      <c r="D271" s="59" t="str">
        <f>Данные!D271</f>
        <v>Авксентьева Елена Юрьевна</v>
      </c>
      <c r="E271" s="59" t="str">
        <f>Данные!E271</f>
        <v>кандидат педагогических наук</v>
      </c>
      <c r="F271" s="59" t="str">
        <f>Данные!F271</f>
        <v>доцент</v>
      </c>
      <c r="G271" s="59">
        <f>Данные!G271</f>
        <v>1</v>
      </c>
      <c r="H271" s="59" t="str">
        <f>Данные!H271</f>
        <v>4 курс 2016 год/пост</v>
      </c>
      <c r="I271" s="59" t="str">
        <f>Данные!I271</f>
        <v>Модуль "Информационные ресурсы и средства профессиональной деятельности инженера". Информационные средства и технологии инженерных и научных расчетов</v>
      </c>
      <c r="J271" s="59">
        <f>Данные!J271</f>
        <v>12</v>
      </c>
      <c r="K271" s="59">
        <f>Данные!K271</f>
        <v>0</v>
      </c>
      <c r="L271" s="59">
        <f>Данные!L271</f>
        <v>48</v>
      </c>
      <c r="M271" s="60">
        <f t="shared" si="36"/>
        <v>6</v>
      </c>
      <c r="N271" s="60">
        <f t="shared" ca="1" si="37"/>
        <v>10.91</v>
      </c>
      <c r="O271" s="60">
        <f t="shared" ca="1" si="38"/>
        <v>6.75</v>
      </c>
      <c r="P271" s="60">
        <f t="shared" ca="1" si="39"/>
        <v>6.75</v>
      </c>
      <c r="Q271" s="54">
        <f>Данные!Q271</f>
        <v>0</v>
      </c>
      <c r="R271" s="54">
        <f>Данные!R271</f>
        <v>0</v>
      </c>
      <c r="S271" s="54">
        <f>Данные!S271</f>
        <v>0</v>
      </c>
      <c r="T271" s="54">
        <f>Данные!T271</f>
        <v>0</v>
      </c>
      <c r="U271" s="54">
        <f>Данные!U271</f>
        <v>0</v>
      </c>
      <c r="V271" s="54">
        <f>Данные!V271</f>
        <v>0</v>
      </c>
      <c r="W271" s="54">
        <f ca="1">Данные!W271</f>
        <v>27</v>
      </c>
      <c r="X271" s="54" t="str">
        <f ca="1">Данные!X271</f>
        <v>1</v>
      </c>
      <c r="Y271" s="54" t="str">
        <f ca="1">Данные!Y271</f>
        <v>2</v>
      </c>
      <c r="Z271" s="54">
        <f>Данные!Z271</f>
        <v>0</v>
      </c>
      <c r="AA271" s="54" t="str">
        <f>Данные!AA271</f>
        <v>доп</v>
      </c>
      <c r="AB271" s="101">
        <f t="shared" si="40"/>
        <v>800</v>
      </c>
      <c r="AC271" s="101" t="str">
        <f t="shared" si="41"/>
        <v>ИВТ (бак)</v>
      </c>
      <c r="AD271" s="101" t="str">
        <f t="shared" si="42"/>
        <v/>
      </c>
      <c r="AE271" s="102">
        <f t="shared" ca="1" si="43"/>
        <v>90.41</v>
      </c>
      <c r="AF271" s="103">
        <f t="shared" ca="1" si="44"/>
        <v>0.1130125</v>
      </c>
      <c r="AG271" s="101"/>
      <c r="AH271" s="10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Q271" s="72">
        <v>0</v>
      </c>
      <c r="BR271" s="72">
        <v>0</v>
      </c>
      <c r="BS271" s="72">
        <v>0</v>
      </c>
      <c r="BT271" s="72">
        <v>0</v>
      </c>
      <c r="BU271" s="72">
        <v>0</v>
      </c>
      <c r="BV271" s="72">
        <v>0</v>
      </c>
      <c r="BW271" s="72">
        <v>0</v>
      </c>
      <c r="BX271" s="72">
        <v>0</v>
      </c>
      <c r="BY271" s="72">
        <v>0</v>
      </c>
      <c r="BZ271" s="72">
        <v>0</v>
      </c>
      <c r="CA271" s="72">
        <v>0</v>
      </c>
      <c r="CB271" s="72">
        <v>0</v>
      </c>
      <c r="CC271" s="72">
        <v>0</v>
      </c>
      <c r="CD271" s="72">
        <v>0</v>
      </c>
      <c r="CE271" s="72">
        <v>0</v>
      </c>
      <c r="CF271" s="72">
        <v>0</v>
      </c>
      <c r="CG271" s="72">
        <v>0</v>
      </c>
      <c r="CH271" s="72">
        <v>0</v>
      </c>
      <c r="CI271" s="72">
        <v>0</v>
      </c>
      <c r="CJ271" s="72">
        <v>0</v>
      </c>
      <c r="CK271" s="72">
        <v>0</v>
      </c>
      <c r="CL271" s="72">
        <v>0</v>
      </c>
      <c r="CM271" s="72">
        <v>0</v>
      </c>
      <c r="CN271" s="72">
        <v>0</v>
      </c>
      <c r="CO271" s="72">
        <v>0</v>
      </c>
      <c r="CP271" s="72">
        <v>0</v>
      </c>
      <c r="CQ271" s="72">
        <v>0</v>
      </c>
      <c r="CR271" s="72">
        <v>0</v>
      </c>
      <c r="CS271" s="72">
        <v>0</v>
      </c>
      <c r="CT271" s="72">
        <v>0</v>
      </c>
      <c r="CU271" s="72">
        <v>0</v>
      </c>
      <c r="CV271" s="72">
        <v>0</v>
      </c>
      <c r="CW271" s="72">
        <v>0</v>
      </c>
      <c r="CX271" s="72">
        <v>0</v>
      </c>
      <c r="CY271" s="72">
        <v>0</v>
      </c>
      <c r="CZ271" s="72">
        <v>0</v>
      </c>
      <c r="DA271" s="72">
        <v>0</v>
      </c>
      <c r="DB271" s="72">
        <v>0</v>
      </c>
      <c r="DC271" s="72">
        <v>0</v>
      </c>
      <c r="DD271" s="72">
        <v>0</v>
      </c>
      <c r="DE271" s="72">
        <v>0</v>
      </c>
      <c r="DF271" s="72">
        <v>0</v>
      </c>
      <c r="DG271" s="72">
        <v>0</v>
      </c>
      <c r="DH271" s="72">
        <v>0</v>
      </c>
      <c r="DI271" s="72">
        <v>0</v>
      </c>
      <c r="DJ271" s="72">
        <v>0</v>
      </c>
      <c r="DK271" s="72">
        <v>0</v>
      </c>
      <c r="DL271" s="72">
        <v>0</v>
      </c>
      <c r="DM271" s="72">
        <v>0</v>
      </c>
      <c r="DN271" s="72">
        <v>0</v>
      </c>
      <c r="DO271" s="72">
        <v>0</v>
      </c>
      <c r="DP271" s="72">
        <v>0</v>
      </c>
      <c r="DQ271" s="72">
        <v>0</v>
      </c>
      <c r="DR271" s="72">
        <v>0</v>
      </c>
      <c r="DS271" s="72">
        <v>0</v>
      </c>
      <c r="DT271" s="72">
        <v>0</v>
      </c>
      <c r="DU271" s="72">
        <v>0</v>
      </c>
      <c r="DV271" s="72">
        <v>0</v>
      </c>
      <c r="DW271" s="72">
        <v>0</v>
      </c>
      <c r="DX271" s="72">
        <v>0</v>
      </c>
      <c r="DY271" s="72">
        <v>0</v>
      </c>
      <c r="DZ271" s="72">
        <v>0</v>
      </c>
      <c r="EA271" s="72">
        <v>0</v>
      </c>
      <c r="EB271" s="72">
        <v>0</v>
      </c>
      <c r="EC271" s="72">
        <v>0</v>
      </c>
      <c r="ED271" s="72">
        <v>0</v>
      </c>
      <c r="EE271" s="72">
        <v>0</v>
      </c>
      <c r="EF271" s="72">
        <v>0</v>
      </c>
      <c r="EG271" s="72">
        <v>0</v>
      </c>
      <c r="EH271" s="72">
        <v>0</v>
      </c>
      <c r="EI271" s="72">
        <v>0</v>
      </c>
      <c r="EJ271" s="72">
        <v>0</v>
      </c>
      <c r="EK271" s="72">
        <v>0</v>
      </c>
      <c r="EL271" s="72">
        <v>0</v>
      </c>
    </row>
    <row r="272" spans="1:142" x14ac:dyDescent="0.35">
      <c r="A272" s="59">
        <f>Данные!A272</f>
        <v>4848</v>
      </c>
      <c r="B272" s="59">
        <f>Данные!B272</f>
        <v>2019</v>
      </c>
      <c r="C272" s="59" t="str">
        <f>Данные!C272</f>
        <v>компьютерных технологий и электронного обучения</v>
      </c>
      <c r="D272" s="59" t="str">
        <f>Данные!D272</f>
        <v>Авксентьева Елена Юрьевна</v>
      </c>
      <c r="E272" s="59" t="str">
        <f>Данные!E272</f>
        <v>кандидат педагогических наук</v>
      </c>
      <c r="F272" s="59" t="str">
        <f>Данные!F272</f>
        <v>доцент</v>
      </c>
      <c r="G272" s="59">
        <f>Данные!G272</f>
        <v>1</v>
      </c>
      <c r="H272" s="59" t="str">
        <f>Данные!H272</f>
        <v>4 курс 2016 год/пост</v>
      </c>
      <c r="I272" s="59" t="str">
        <f>Данные!I272</f>
        <v>Модуль "Информационные системы"</v>
      </c>
      <c r="J272" s="59">
        <f>Данные!J272</f>
        <v>0</v>
      </c>
      <c r="K272" s="59">
        <f>Данные!K272</f>
        <v>0</v>
      </c>
      <c r="L272" s="59">
        <f>Данные!L272</f>
        <v>0</v>
      </c>
      <c r="M272" s="60">
        <f t="shared" si="36"/>
        <v>0</v>
      </c>
      <c r="N272" s="60">
        <f t="shared" ca="1" si="37"/>
        <v>10.91</v>
      </c>
      <c r="O272" s="60">
        <f t="shared" ca="1" si="38"/>
        <v>6.75</v>
      </c>
      <c r="P272" s="60">
        <f t="shared" ca="1" si="39"/>
        <v>6.75</v>
      </c>
      <c r="Q272" s="54">
        <f>Данные!Q272</f>
        <v>0</v>
      </c>
      <c r="R272" s="54">
        <f>Данные!R272</f>
        <v>0</v>
      </c>
      <c r="S272" s="54">
        <f>Данные!S272</f>
        <v>0</v>
      </c>
      <c r="T272" s="54">
        <f>Данные!T272</f>
        <v>0</v>
      </c>
      <c r="U272" s="54">
        <f>Данные!U272</f>
        <v>0</v>
      </c>
      <c r="V272" s="54">
        <f>Данные!V272</f>
        <v>0</v>
      </c>
      <c r="W272" s="54">
        <f ca="1">Данные!W272</f>
        <v>27</v>
      </c>
      <c r="X272" s="54" t="str">
        <f ca="1">Данные!X272</f>
        <v>1</v>
      </c>
      <c r="Y272" s="54" t="str">
        <f ca="1">Данные!Y272</f>
        <v>2</v>
      </c>
      <c r="Z272" s="54">
        <f>Данные!Z272</f>
        <v>0</v>
      </c>
      <c r="AA272" s="54" t="str">
        <f>Данные!AA272</f>
        <v>осн</v>
      </c>
      <c r="AB272" s="101">
        <f t="shared" si="40"/>
        <v>800</v>
      </c>
      <c r="AC272" s="101" t="str">
        <f t="shared" si="41"/>
        <v>ИВТ (бак)</v>
      </c>
      <c r="AD272" s="101" t="str">
        <f t="shared" si="42"/>
        <v/>
      </c>
      <c r="AE272" s="102">
        <f t="shared" ca="1" si="43"/>
        <v>24.41</v>
      </c>
      <c r="AF272" s="103">
        <f t="shared" ca="1" si="44"/>
        <v>3.0512500000000001E-2</v>
      </c>
      <c r="AG272" s="101"/>
      <c r="AH272" s="101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Q272" s="72">
        <v>0</v>
      </c>
      <c r="BR272" s="72">
        <v>0</v>
      </c>
      <c r="BS272" s="72">
        <v>0</v>
      </c>
      <c r="BT272" s="72">
        <v>0</v>
      </c>
      <c r="BU272" s="72">
        <v>0</v>
      </c>
      <c r="BV272" s="72">
        <v>0</v>
      </c>
      <c r="BW272" s="72">
        <v>0</v>
      </c>
      <c r="BX272" s="72">
        <v>0</v>
      </c>
      <c r="BY272" s="72">
        <v>0</v>
      </c>
      <c r="BZ272" s="72">
        <v>0</v>
      </c>
      <c r="CA272" s="72">
        <v>0</v>
      </c>
      <c r="CB272" s="72">
        <v>0</v>
      </c>
      <c r="CC272" s="72">
        <v>0</v>
      </c>
      <c r="CD272" s="72">
        <v>0</v>
      </c>
      <c r="CE272" s="72">
        <v>0</v>
      </c>
      <c r="CF272" s="72">
        <v>0</v>
      </c>
      <c r="CG272" s="72">
        <v>0</v>
      </c>
      <c r="CH272" s="72">
        <v>0</v>
      </c>
      <c r="CI272" s="72">
        <v>0</v>
      </c>
      <c r="CJ272" s="72">
        <v>0</v>
      </c>
      <c r="CK272" s="72">
        <v>0</v>
      </c>
      <c r="CL272" s="72">
        <v>0</v>
      </c>
      <c r="CM272" s="72">
        <v>0</v>
      </c>
      <c r="CN272" s="72">
        <v>0</v>
      </c>
      <c r="CO272" s="72">
        <v>0</v>
      </c>
      <c r="CP272" s="72">
        <v>0</v>
      </c>
      <c r="CQ272" s="72">
        <v>0</v>
      </c>
      <c r="CR272" s="72">
        <v>0</v>
      </c>
      <c r="CS272" s="72">
        <v>0</v>
      </c>
      <c r="CT272" s="72">
        <v>0</v>
      </c>
      <c r="CU272" s="72">
        <v>0</v>
      </c>
      <c r="CV272" s="72">
        <v>0</v>
      </c>
      <c r="CW272" s="72">
        <v>0</v>
      </c>
      <c r="CX272" s="72">
        <v>0</v>
      </c>
      <c r="CY272" s="72">
        <v>0</v>
      </c>
      <c r="CZ272" s="72">
        <v>0</v>
      </c>
      <c r="DA272" s="72">
        <v>0</v>
      </c>
      <c r="DB272" s="72">
        <v>0</v>
      </c>
      <c r="DC272" s="72">
        <v>0</v>
      </c>
      <c r="DD272" s="72">
        <v>0</v>
      </c>
      <c r="DE272" s="72">
        <v>0</v>
      </c>
      <c r="DF272" s="72">
        <v>0</v>
      </c>
      <c r="DG272" s="72">
        <v>0</v>
      </c>
      <c r="DH272" s="72">
        <v>0</v>
      </c>
      <c r="DI272" s="72">
        <v>0</v>
      </c>
      <c r="DJ272" s="72">
        <v>0</v>
      </c>
      <c r="DK272" s="72">
        <v>0</v>
      </c>
      <c r="DL272" s="72">
        <v>0</v>
      </c>
      <c r="DM272" s="72">
        <v>0</v>
      </c>
      <c r="DN272" s="72">
        <v>0</v>
      </c>
      <c r="DO272" s="72">
        <v>0</v>
      </c>
      <c r="DP272" s="72">
        <v>0</v>
      </c>
      <c r="DQ272" s="72">
        <v>0</v>
      </c>
      <c r="DR272" s="72">
        <v>0</v>
      </c>
      <c r="DS272" s="72">
        <v>0</v>
      </c>
      <c r="DT272" s="72">
        <v>0</v>
      </c>
      <c r="DU272" s="72">
        <v>0</v>
      </c>
      <c r="DV272" s="72">
        <v>0</v>
      </c>
      <c r="DW272" s="72">
        <v>0</v>
      </c>
      <c r="DX272" s="72">
        <v>0</v>
      </c>
      <c r="DY272" s="72">
        <v>0</v>
      </c>
      <c r="DZ272" s="72">
        <v>0</v>
      </c>
      <c r="EA272" s="72">
        <v>0</v>
      </c>
      <c r="EB272" s="72">
        <v>0</v>
      </c>
      <c r="EC272" s="72">
        <v>0</v>
      </c>
      <c r="ED272" s="72">
        <v>0</v>
      </c>
      <c r="EE272" s="72">
        <v>0</v>
      </c>
      <c r="EF272" s="72">
        <v>0</v>
      </c>
      <c r="EG272" s="72">
        <v>0</v>
      </c>
      <c r="EH272" s="72">
        <v>0</v>
      </c>
      <c r="EI272" s="72">
        <v>0</v>
      </c>
      <c r="EJ272" s="72">
        <v>0</v>
      </c>
      <c r="EK272" s="72">
        <v>0</v>
      </c>
      <c r="EL272" s="72">
        <v>0</v>
      </c>
    </row>
    <row r="273" spans="1:142" x14ac:dyDescent="0.35">
      <c r="A273" s="59">
        <f>Данные!A273</f>
        <v>4848</v>
      </c>
      <c r="B273" s="59">
        <f>Данные!B273</f>
        <v>2019</v>
      </c>
      <c r="C273" s="59" t="str">
        <f>Данные!C273</f>
        <v>компьютерных технологий и электронного обучения</v>
      </c>
      <c r="D273" s="59" t="str">
        <f>Данные!D273</f>
        <v>Копыльцов Александр Васильевич</v>
      </c>
      <c r="E273" s="59" t="str">
        <f>Данные!E273</f>
        <v>доктор технических наук</v>
      </c>
      <c r="F273" s="59" t="str">
        <f>Данные!F273</f>
        <v>внешний</v>
      </c>
      <c r="G273" s="59">
        <f>Данные!G273</f>
        <v>1</v>
      </c>
      <c r="H273" s="59" t="str">
        <f>Данные!H273</f>
        <v>4 курс 2016 год/пост</v>
      </c>
      <c r="I273" s="59" t="str">
        <f>Данные!I273</f>
        <v>Модуль "Информационные системы". Интеллектуальные системы</v>
      </c>
      <c r="J273" s="59">
        <f>Данные!J273</f>
        <v>9</v>
      </c>
      <c r="K273" s="59">
        <f>Данные!K273</f>
        <v>0</v>
      </c>
      <c r="L273" s="59">
        <f>Данные!L273</f>
        <v>54</v>
      </c>
      <c r="M273" s="60">
        <f t="shared" si="36"/>
        <v>6.3</v>
      </c>
      <c r="N273" s="60">
        <f t="shared" ca="1" si="37"/>
        <v>10.91</v>
      </c>
      <c r="O273" s="60">
        <f t="shared" ca="1" si="38"/>
        <v>6.75</v>
      </c>
      <c r="P273" s="60">
        <f t="shared" ca="1" si="39"/>
        <v>6.75</v>
      </c>
      <c r="Q273" s="54">
        <f>Данные!Q273</f>
        <v>0</v>
      </c>
      <c r="R273" s="54">
        <f>Данные!R273</f>
        <v>0</v>
      </c>
      <c r="S273" s="54">
        <f>Данные!S273</f>
        <v>0</v>
      </c>
      <c r="T273" s="54">
        <f>Данные!T273</f>
        <v>0</v>
      </c>
      <c r="U273" s="54">
        <f>Данные!U273</f>
        <v>0</v>
      </c>
      <c r="V273" s="54">
        <f>Данные!V273</f>
        <v>0</v>
      </c>
      <c r="W273" s="54">
        <f ca="1">Данные!W273</f>
        <v>27</v>
      </c>
      <c r="X273" s="54" t="str">
        <f ca="1">Данные!X273</f>
        <v>1</v>
      </c>
      <c r="Y273" s="54" t="str">
        <f ca="1">Данные!Y273</f>
        <v>2</v>
      </c>
      <c r="Z273" s="54">
        <f>Данные!Z273</f>
        <v>0</v>
      </c>
      <c r="AA273" s="54">
        <f>Данные!AA273</f>
        <v>0</v>
      </c>
      <c r="AB273" s="101">
        <f t="shared" si="40"/>
        <v>900</v>
      </c>
      <c r="AC273" s="101" t="str">
        <f t="shared" si="41"/>
        <v>ИВТ (бак)</v>
      </c>
      <c r="AD273" s="101" t="str">
        <f t="shared" si="42"/>
        <v/>
      </c>
      <c r="AE273" s="102">
        <f t="shared" ca="1" si="43"/>
        <v>93.71</v>
      </c>
      <c r="AF273" s="103">
        <f t="shared" ca="1" si="44"/>
        <v>0.10412222222222221</v>
      </c>
      <c r="AG273" s="101"/>
      <c r="AH273" s="101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Q273" s="72">
        <v>0</v>
      </c>
      <c r="BR273" s="72">
        <v>0</v>
      </c>
      <c r="BS273" s="72">
        <v>0</v>
      </c>
      <c r="BT273" s="72">
        <v>0</v>
      </c>
      <c r="BU273" s="72">
        <v>0</v>
      </c>
      <c r="BV273" s="72">
        <v>0</v>
      </c>
      <c r="BW273" s="72">
        <v>0</v>
      </c>
      <c r="BX273" s="72">
        <v>0</v>
      </c>
      <c r="BY273" s="72">
        <v>0</v>
      </c>
      <c r="BZ273" s="72">
        <v>0</v>
      </c>
      <c r="CA273" s="72">
        <v>0</v>
      </c>
      <c r="CB273" s="72">
        <v>0</v>
      </c>
      <c r="CC273" s="72">
        <v>0</v>
      </c>
      <c r="CD273" s="72">
        <v>0</v>
      </c>
      <c r="CE273" s="72">
        <v>0</v>
      </c>
      <c r="CF273" s="72">
        <v>0</v>
      </c>
      <c r="CG273" s="72">
        <v>0</v>
      </c>
      <c r="CH273" s="72">
        <v>0</v>
      </c>
      <c r="CI273" s="72">
        <v>0</v>
      </c>
      <c r="CJ273" s="72">
        <v>0</v>
      </c>
      <c r="CK273" s="72">
        <v>0</v>
      </c>
      <c r="CL273" s="72">
        <v>0</v>
      </c>
      <c r="CM273" s="72">
        <v>0</v>
      </c>
      <c r="CN273" s="72">
        <v>0</v>
      </c>
      <c r="CO273" s="72">
        <v>0</v>
      </c>
      <c r="CP273" s="72">
        <v>0</v>
      </c>
      <c r="CQ273" s="72">
        <v>0</v>
      </c>
      <c r="CR273" s="72">
        <v>0</v>
      </c>
      <c r="CS273" s="72">
        <v>0</v>
      </c>
      <c r="CT273" s="72">
        <v>0</v>
      </c>
      <c r="CU273" s="72">
        <v>0</v>
      </c>
      <c r="CV273" s="72">
        <v>0</v>
      </c>
      <c r="CW273" s="72">
        <v>0</v>
      </c>
      <c r="CX273" s="72">
        <v>0</v>
      </c>
      <c r="CY273" s="72">
        <v>0</v>
      </c>
      <c r="CZ273" s="72">
        <v>0</v>
      </c>
      <c r="DA273" s="72">
        <v>0</v>
      </c>
      <c r="DB273" s="72">
        <v>0</v>
      </c>
      <c r="DC273" s="72">
        <v>0</v>
      </c>
      <c r="DD273" s="72">
        <v>0</v>
      </c>
      <c r="DE273" s="72">
        <v>0</v>
      </c>
      <c r="DF273" s="72">
        <v>0</v>
      </c>
      <c r="DG273" s="72">
        <v>0</v>
      </c>
      <c r="DH273" s="72">
        <v>0</v>
      </c>
      <c r="DI273" s="72">
        <v>0</v>
      </c>
      <c r="DJ273" s="72">
        <v>0</v>
      </c>
      <c r="DK273" s="72">
        <v>0</v>
      </c>
      <c r="DL273" s="72">
        <v>0</v>
      </c>
      <c r="DM273" s="72">
        <v>0</v>
      </c>
      <c r="DN273" s="72">
        <v>0</v>
      </c>
      <c r="DO273" s="72">
        <v>0</v>
      </c>
      <c r="DP273" s="72">
        <v>0</v>
      </c>
      <c r="DQ273" s="72">
        <v>0</v>
      </c>
      <c r="DR273" s="72">
        <v>0</v>
      </c>
      <c r="DS273" s="72">
        <v>0</v>
      </c>
      <c r="DT273" s="72">
        <v>0</v>
      </c>
      <c r="DU273" s="72">
        <v>0</v>
      </c>
      <c r="DV273" s="72">
        <v>0</v>
      </c>
      <c r="DW273" s="72">
        <v>0</v>
      </c>
      <c r="DX273" s="72">
        <v>0</v>
      </c>
      <c r="DY273" s="72">
        <v>0</v>
      </c>
      <c r="DZ273" s="72">
        <v>0</v>
      </c>
      <c r="EA273" s="72">
        <v>0</v>
      </c>
      <c r="EB273" s="72">
        <v>0</v>
      </c>
      <c r="EC273" s="72">
        <v>0</v>
      </c>
      <c r="ED273" s="72">
        <v>0</v>
      </c>
      <c r="EE273" s="72">
        <v>0</v>
      </c>
      <c r="EF273" s="72">
        <v>0</v>
      </c>
      <c r="EG273" s="72">
        <v>0</v>
      </c>
      <c r="EH273" s="72">
        <v>0</v>
      </c>
      <c r="EI273" s="72">
        <v>0</v>
      </c>
      <c r="EJ273" s="72">
        <v>0</v>
      </c>
      <c r="EK273" s="72">
        <v>0</v>
      </c>
      <c r="EL273" s="72">
        <v>0</v>
      </c>
    </row>
    <row r="274" spans="1:142" x14ac:dyDescent="0.35">
      <c r="A274" s="59">
        <f>Данные!A274</f>
        <v>4848</v>
      </c>
      <c r="B274" s="59">
        <f>Данные!B274</f>
        <v>2019</v>
      </c>
      <c r="C274" s="59" t="str">
        <f>Данные!C274</f>
        <v>компьютерных технологий и электронного обучения</v>
      </c>
      <c r="D274" s="59" t="str">
        <f>Данные!D274</f>
        <v>Авксентьева Елена Юрьевна</v>
      </c>
      <c r="E274" s="59" t="str">
        <f>Данные!E274</f>
        <v>кандидат педагогических наук</v>
      </c>
      <c r="F274" s="59" t="str">
        <f>Данные!F274</f>
        <v>доцент</v>
      </c>
      <c r="G274" s="59">
        <f>Данные!G274</f>
        <v>1</v>
      </c>
      <c r="H274" s="59" t="str">
        <f>Данные!H274</f>
        <v>4 курс 2016 год/пост</v>
      </c>
      <c r="I274" s="59" t="str">
        <f>Данные!I274</f>
        <v>Руководство ВКР</v>
      </c>
      <c r="J274" s="59">
        <f>Данные!J274</f>
        <v>0</v>
      </c>
      <c r="K274" s="59">
        <f>Данные!K274</f>
        <v>0</v>
      </c>
      <c r="L274" s="59">
        <f>Данные!L274</f>
        <v>0</v>
      </c>
      <c r="M274" s="60">
        <f t="shared" si="36"/>
        <v>0</v>
      </c>
      <c r="N274" s="60">
        <f t="shared" ca="1" si="37"/>
        <v>10.91</v>
      </c>
      <c r="O274" s="60">
        <f t="shared" ca="1" si="38"/>
        <v>6.75</v>
      </c>
      <c r="P274" s="60">
        <f t="shared" ca="1" si="39"/>
        <v>6.75</v>
      </c>
      <c r="Q274" s="54">
        <f>Данные!Q274</f>
        <v>0</v>
      </c>
      <c r="R274" s="54">
        <f>Данные!R274</f>
        <v>0</v>
      </c>
      <c r="S274" s="54">
        <f>Данные!S274</f>
        <v>0</v>
      </c>
      <c r="T274" s="54">
        <f>Данные!T274</f>
        <v>0</v>
      </c>
      <c r="U274" s="54">
        <f>Данные!U274</f>
        <v>0</v>
      </c>
      <c r="V274" s="54">
        <f>Данные!V274</f>
        <v>60</v>
      </c>
      <c r="W274" s="54">
        <f ca="1">Данные!W274</f>
        <v>27</v>
      </c>
      <c r="X274" s="54" t="str">
        <f ca="1">Данные!X274</f>
        <v>1</v>
      </c>
      <c r="Y274" s="54" t="str">
        <f ca="1">Данные!Y274</f>
        <v>2</v>
      </c>
      <c r="Z274" s="54">
        <f>Данные!Z274</f>
        <v>0</v>
      </c>
      <c r="AA274" s="54" t="str">
        <f>Данные!AA274</f>
        <v>осн</v>
      </c>
      <c r="AB274" s="101">
        <f t="shared" si="40"/>
        <v>800</v>
      </c>
      <c r="AC274" s="101" t="str">
        <f t="shared" si="41"/>
        <v>ИВТ (бак)</v>
      </c>
      <c r="AD274" s="101" t="str">
        <f t="shared" si="42"/>
        <v/>
      </c>
      <c r="AE274" s="102">
        <f t="shared" ca="1" si="43"/>
        <v>84.41</v>
      </c>
      <c r="AF274" s="103">
        <f t="shared" ca="1" si="44"/>
        <v>0.1055125</v>
      </c>
      <c r="AG274" s="101"/>
      <c r="AH274" s="101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Q274" s="72">
        <v>0</v>
      </c>
      <c r="BR274" s="72">
        <v>0</v>
      </c>
      <c r="BS274" s="72">
        <v>0</v>
      </c>
      <c r="BT274" s="72">
        <v>0</v>
      </c>
      <c r="BU274" s="72">
        <v>0</v>
      </c>
      <c r="BV274" s="72">
        <v>0</v>
      </c>
      <c r="BW274" s="72">
        <v>0</v>
      </c>
      <c r="BX274" s="72">
        <v>0</v>
      </c>
      <c r="BY274" s="72">
        <v>0</v>
      </c>
      <c r="BZ274" s="72">
        <v>0</v>
      </c>
      <c r="CA274" s="72">
        <v>0</v>
      </c>
      <c r="CB274" s="72">
        <v>0</v>
      </c>
      <c r="CC274" s="72">
        <v>0</v>
      </c>
      <c r="CD274" s="72">
        <v>0</v>
      </c>
      <c r="CE274" s="72">
        <v>0</v>
      </c>
      <c r="CF274" s="72">
        <v>0</v>
      </c>
      <c r="CG274" s="72">
        <v>0</v>
      </c>
      <c r="CH274" s="72">
        <v>0</v>
      </c>
      <c r="CI274" s="72">
        <v>0</v>
      </c>
      <c r="CJ274" s="72">
        <v>0</v>
      </c>
      <c r="CK274" s="72">
        <v>0</v>
      </c>
      <c r="CL274" s="72">
        <v>0</v>
      </c>
      <c r="CM274" s="72">
        <v>0</v>
      </c>
      <c r="CN274" s="72">
        <v>0</v>
      </c>
      <c r="CO274" s="72">
        <v>0</v>
      </c>
      <c r="CP274" s="72">
        <v>0</v>
      </c>
      <c r="CQ274" s="72">
        <v>0</v>
      </c>
      <c r="CR274" s="72">
        <v>0</v>
      </c>
      <c r="CS274" s="72">
        <v>0</v>
      </c>
      <c r="CT274" s="72">
        <v>0</v>
      </c>
      <c r="CU274" s="72">
        <v>0</v>
      </c>
      <c r="CV274" s="72">
        <v>0</v>
      </c>
      <c r="CW274" s="72">
        <v>0</v>
      </c>
      <c r="CX274" s="72">
        <v>0</v>
      </c>
      <c r="CY274" s="72">
        <v>0</v>
      </c>
      <c r="CZ274" s="72">
        <v>0</v>
      </c>
      <c r="DA274" s="72">
        <v>0</v>
      </c>
      <c r="DB274" s="72">
        <v>0</v>
      </c>
      <c r="DC274" s="72">
        <v>0</v>
      </c>
      <c r="DD274" s="72">
        <v>0</v>
      </c>
      <c r="DE274" s="72">
        <v>0</v>
      </c>
      <c r="DF274" s="72">
        <v>0</v>
      </c>
      <c r="DG274" s="72">
        <v>0</v>
      </c>
      <c r="DH274" s="72">
        <v>0</v>
      </c>
      <c r="DI274" s="72">
        <v>0</v>
      </c>
      <c r="DJ274" s="72">
        <v>0</v>
      </c>
      <c r="DK274" s="72">
        <v>0</v>
      </c>
      <c r="DL274" s="72">
        <v>0</v>
      </c>
      <c r="DM274" s="72">
        <v>0</v>
      </c>
      <c r="DN274" s="72">
        <v>0</v>
      </c>
      <c r="DO274" s="72">
        <v>0</v>
      </c>
      <c r="DP274" s="72">
        <v>0</v>
      </c>
      <c r="DQ274" s="72">
        <v>0</v>
      </c>
      <c r="DR274" s="72">
        <v>0</v>
      </c>
      <c r="DS274" s="72">
        <v>0</v>
      </c>
      <c r="DT274" s="72">
        <v>0</v>
      </c>
      <c r="DU274" s="72">
        <v>0</v>
      </c>
      <c r="DV274" s="72">
        <v>0</v>
      </c>
      <c r="DW274" s="72">
        <v>0</v>
      </c>
      <c r="DX274" s="72">
        <v>0</v>
      </c>
      <c r="DY274" s="72">
        <v>0</v>
      </c>
      <c r="DZ274" s="72">
        <v>0</v>
      </c>
      <c r="EA274" s="72">
        <v>0</v>
      </c>
      <c r="EB274" s="72">
        <v>0</v>
      </c>
      <c r="EC274" s="72">
        <v>0</v>
      </c>
      <c r="ED274" s="72">
        <v>0</v>
      </c>
      <c r="EE274" s="72">
        <v>0</v>
      </c>
      <c r="EF274" s="72">
        <v>0</v>
      </c>
      <c r="EG274" s="72">
        <v>0</v>
      </c>
      <c r="EH274" s="72">
        <v>0</v>
      </c>
      <c r="EI274" s="72">
        <v>0</v>
      </c>
      <c r="EJ274" s="72">
        <v>0</v>
      </c>
      <c r="EK274" s="72">
        <v>0</v>
      </c>
      <c r="EL274" s="72">
        <v>0</v>
      </c>
    </row>
    <row r="275" spans="1:142" x14ac:dyDescent="0.35">
      <c r="A275" s="59">
        <f>Данные!A275</f>
        <v>4848</v>
      </c>
      <c r="B275" s="59">
        <f>Данные!B275</f>
        <v>2019</v>
      </c>
      <c r="C275" s="59" t="str">
        <f>Данные!C275</f>
        <v>компьютерных технологий и электронного обучения</v>
      </c>
      <c r="D275" s="59" t="str">
        <f>Данные!D275</f>
        <v>Авксентьева Елена Юрьевна</v>
      </c>
      <c r="E275" s="59" t="str">
        <f>Данные!E275</f>
        <v>кандидат педагогических наук</v>
      </c>
      <c r="F275" s="59" t="str">
        <f>Данные!F275</f>
        <v>доцент</v>
      </c>
      <c r="G275" s="59">
        <f>Данные!G275</f>
        <v>1</v>
      </c>
      <c r="H275" s="59" t="str">
        <f>Данные!H275</f>
        <v>4 курс 2016 год/пост</v>
      </c>
      <c r="I275" s="59" t="str">
        <f>Данные!I275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75" s="59">
        <f>Данные!J275</f>
        <v>0</v>
      </c>
      <c r="K275" s="59">
        <f>Данные!K275</f>
        <v>0</v>
      </c>
      <c r="L275" s="59">
        <f>Данные!L275</f>
        <v>0</v>
      </c>
      <c r="M275" s="60">
        <f t="shared" si="36"/>
        <v>0</v>
      </c>
      <c r="N275" s="60">
        <f t="shared" ca="1" si="37"/>
        <v>10.91</v>
      </c>
      <c r="O275" s="60">
        <f t="shared" ca="1" si="38"/>
        <v>6.75</v>
      </c>
      <c r="P275" s="60">
        <f t="shared" ca="1" si="39"/>
        <v>6.75</v>
      </c>
      <c r="Q275" s="54">
        <f>Данные!Q275</f>
        <v>0</v>
      </c>
      <c r="R275" s="54">
        <f>Данные!R275</f>
        <v>0</v>
      </c>
      <c r="S275" s="54">
        <f>Данные!S275</f>
        <v>0</v>
      </c>
      <c r="T275" s="54">
        <f>Данные!T275</f>
        <v>0</v>
      </c>
      <c r="U275" s="54">
        <f>Данные!U275</f>
        <v>6</v>
      </c>
      <c r="V275" s="54">
        <f>Данные!V275</f>
        <v>0</v>
      </c>
      <c r="W275" s="54">
        <f ca="1">Данные!W275</f>
        <v>27</v>
      </c>
      <c r="X275" s="54" t="str">
        <f ca="1">Данные!X275</f>
        <v>1</v>
      </c>
      <c r="Y275" s="54" t="str">
        <f ca="1">Данные!Y275</f>
        <v>2</v>
      </c>
      <c r="Z275" s="54">
        <f>Данные!Z275</f>
        <v>0</v>
      </c>
      <c r="AA275" s="54">
        <f>Данные!AA275</f>
        <v>0</v>
      </c>
      <c r="AB275" s="101">
        <f t="shared" si="40"/>
        <v>800</v>
      </c>
      <c r="AC275" s="101" t="str">
        <f t="shared" si="41"/>
        <v>ИВТ (бак)</v>
      </c>
      <c r="AD275" s="101" t="str">
        <f t="shared" si="42"/>
        <v/>
      </c>
      <c r="AE275" s="102">
        <f t="shared" ca="1" si="43"/>
        <v>30.41</v>
      </c>
      <c r="AF275" s="103">
        <f t="shared" ca="1" si="44"/>
        <v>3.8012499999999998E-2</v>
      </c>
      <c r="AG275" s="101"/>
      <c r="AH275" s="101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Q275" s="72">
        <v>0</v>
      </c>
      <c r="BR275" s="72">
        <v>0</v>
      </c>
      <c r="BS275" s="72">
        <v>0</v>
      </c>
      <c r="BT275" s="72">
        <v>0</v>
      </c>
      <c r="BU275" s="72">
        <v>0</v>
      </c>
      <c r="BV275" s="72">
        <v>0</v>
      </c>
      <c r="BW275" s="72">
        <v>0</v>
      </c>
      <c r="BX275" s="72">
        <v>0</v>
      </c>
      <c r="BY275" s="72">
        <v>0</v>
      </c>
      <c r="BZ275" s="72">
        <v>0</v>
      </c>
      <c r="CA275" s="72">
        <v>0</v>
      </c>
      <c r="CB275" s="72">
        <v>0</v>
      </c>
      <c r="CC275" s="72">
        <v>0</v>
      </c>
      <c r="CD275" s="72">
        <v>0</v>
      </c>
      <c r="CE275" s="72">
        <v>0</v>
      </c>
      <c r="CF275" s="72">
        <v>0</v>
      </c>
      <c r="CG275" s="72">
        <v>0</v>
      </c>
      <c r="CH275" s="72">
        <v>0</v>
      </c>
      <c r="CI275" s="72">
        <v>0</v>
      </c>
      <c r="CJ275" s="72">
        <v>0</v>
      </c>
      <c r="CK275" s="72">
        <v>0</v>
      </c>
      <c r="CL275" s="72">
        <v>0</v>
      </c>
      <c r="CM275" s="72">
        <v>0</v>
      </c>
      <c r="CN275" s="72">
        <v>0</v>
      </c>
      <c r="CO275" s="72">
        <v>0</v>
      </c>
      <c r="CP275" s="72">
        <v>0</v>
      </c>
      <c r="CQ275" s="72">
        <v>0</v>
      </c>
      <c r="CR275" s="72">
        <v>0</v>
      </c>
      <c r="CS275" s="72">
        <v>0</v>
      </c>
      <c r="CT275" s="72">
        <v>0</v>
      </c>
      <c r="CU275" s="72">
        <v>0</v>
      </c>
      <c r="CV275" s="72">
        <v>0</v>
      </c>
      <c r="CW275" s="72">
        <v>0</v>
      </c>
      <c r="CX275" s="72">
        <v>0</v>
      </c>
      <c r="CY275" s="72">
        <v>0</v>
      </c>
      <c r="CZ275" s="72">
        <v>0</v>
      </c>
      <c r="DA275" s="72">
        <v>0</v>
      </c>
      <c r="DB275" s="72">
        <v>0</v>
      </c>
      <c r="DC275" s="72">
        <v>0</v>
      </c>
      <c r="DD275" s="72">
        <v>0</v>
      </c>
      <c r="DE275" s="72">
        <v>0</v>
      </c>
      <c r="DF275" s="72">
        <v>0</v>
      </c>
      <c r="DG275" s="72">
        <v>0</v>
      </c>
      <c r="DH275" s="72">
        <v>0</v>
      </c>
      <c r="DI275" s="72">
        <v>0</v>
      </c>
      <c r="DJ275" s="72">
        <v>0</v>
      </c>
      <c r="DK275" s="72">
        <v>0</v>
      </c>
      <c r="DL275" s="72">
        <v>0</v>
      </c>
      <c r="DM275" s="72">
        <v>0</v>
      </c>
      <c r="DN275" s="72">
        <v>0</v>
      </c>
      <c r="DO275" s="72">
        <v>0</v>
      </c>
      <c r="DP275" s="72">
        <v>0</v>
      </c>
      <c r="DQ275" s="72">
        <v>0</v>
      </c>
      <c r="DR275" s="72">
        <v>0</v>
      </c>
      <c r="DS275" s="72">
        <v>0</v>
      </c>
      <c r="DT275" s="72">
        <v>0</v>
      </c>
      <c r="DU275" s="72">
        <v>0</v>
      </c>
      <c r="DV275" s="72">
        <v>0</v>
      </c>
      <c r="DW275" s="72">
        <v>0</v>
      </c>
      <c r="DX275" s="72">
        <v>0</v>
      </c>
      <c r="DY275" s="72">
        <v>0</v>
      </c>
      <c r="DZ275" s="72">
        <v>0</v>
      </c>
      <c r="EA275" s="72">
        <v>0</v>
      </c>
      <c r="EB275" s="72">
        <v>0</v>
      </c>
      <c r="EC275" s="72">
        <v>0</v>
      </c>
      <c r="ED275" s="72">
        <v>0</v>
      </c>
      <c r="EE275" s="72">
        <v>0</v>
      </c>
      <c r="EF275" s="72">
        <v>0</v>
      </c>
      <c r="EG275" s="72">
        <v>0</v>
      </c>
      <c r="EH275" s="72">
        <v>0</v>
      </c>
      <c r="EI275" s="72">
        <v>0</v>
      </c>
      <c r="EJ275" s="72">
        <v>0</v>
      </c>
      <c r="EK275" s="72">
        <v>0</v>
      </c>
      <c r="EL275" s="72">
        <v>0</v>
      </c>
    </row>
    <row r="276" spans="1:142" x14ac:dyDescent="0.35">
      <c r="A276" s="59">
        <f>Данные!A276</f>
        <v>4848</v>
      </c>
      <c r="B276" s="59">
        <f>Данные!B276</f>
        <v>2019</v>
      </c>
      <c r="C276" s="59" t="str">
        <f>Данные!C276</f>
        <v>компьютерных технологий и электронного обучения</v>
      </c>
      <c r="D276" s="59" t="str">
        <f>Данные!D276</f>
        <v>Авксентьева Елена Юрьевна</v>
      </c>
      <c r="E276" s="59" t="str">
        <f>Данные!E276</f>
        <v>кандидат педагогических наук</v>
      </c>
      <c r="F276" s="59" t="str">
        <f>Данные!F276</f>
        <v>доцент</v>
      </c>
      <c r="G276" s="59">
        <f>Данные!G276</f>
        <v>1</v>
      </c>
      <c r="H276" s="59" t="str">
        <f>Данные!H276</f>
        <v>4 курс 2016 год/пост</v>
      </c>
      <c r="I276" s="59" t="str">
        <f>Данные!I276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76" s="59">
        <f>Данные!J276</f>
        <v>0</v>
      </c>
      <c r="K276" s="59">
        <f>Данные!K276</f>
        <v>0</v>
      </c>
      <c r="L276" s="59">
        <f>Данные!L276</f>
        <v>0</v>
      </c>
      <c r="M276" s="60">
        <f t="shared" si="36"/>
        <v>0</v>
      </c>
      <c r="N276" s="60">
        <f t="shared" ca="1" si="37"/>
        <v>10.91</v>
      </c>
      <c r="O276" s="60">
        <f t="shared" ca="1" si="38"/>
        <v>6.75</v>
      </c>
      <c r="P276" s="60">
        <f t="shared" ca="1" si="39"/>
        <v>6.75</v>
      </c>
      <c r="Q276" s="54">
        <f>Данные!Q276</f>
        <v>0</v>
      </c>
      <c r="R276" s="54">
        <f>Данные!R276</f>
        <v>0</v>
      </c>
      <c r="S276" s="54">
        <f>Данные!S276</f>
        <v>0</v>
      </c>
      <c r="T276" s="54">
        <f>Данные!T276</f>
        <v>0</v>
      </c>
      <c r="U276" s="54">
        <f>Данные!U276</f>
        <v>6</v>
      </c>
      <c r="V276" s="54">
        <f>Данные!V276</f>
        <v>0</v>
      </c>
      <c r="W276" s="54">
        <f ca="1">Данные!W276</f>
        <v>27</v>
      </c>
      <c r="X276" s="54" t="str">
        <f ca="1">Данные!X276</f>
        <v>1</v>
      </c>
      <c r="Y276" s="54" t="str">
        <f ca="1">Данные!Y276</f>
        <v>2</v>
      </c>
      <c r="Z276" s="54">
        <f>Данные!Z276</f>
        <v>0</v>
      </c>
      <c r="AA276" s="54">
        <f>Данные!AA276</f>
        <v>0</v>
      </c>
      <c r="AB276" s="101">
        <f t="shared" si="40"/>
        <v>800</v>
      </c>
      <c r="AC276" s="101" t="str">
        <f t="shared" si="41"/>
        <v>ИВТ (бак)</v>
      </c>
      <c r="AD276" s="101" t="str">
        <f t="shared" si="42"/>
        <v/>
      </c>
      <c r="AE276" s="102">
        <f t="shared" ca="1" si="43"/>
        <v>30.41</v>
      </c>
      <c r="AF276" s="103">
        <f t="shared" ca="1" si="44"/>
        <v>3.8012499999999998E-2</v>
      </c>
      <c r="AG276" s="101"/>
      <c r="AH276" s="101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Q276" s="72">
        <v>0</v>
      </c>
      <c r="BR276" s="72">
        <v>0</v>
      </c>
      <c r="BS276" s="72">
        <v>0</v>
      </c>
      <c r="BT276" s="72">
        <v>0</v>
      </c>
      <c r="BU276" s="72">
        <v>0</v>
      </c>
      <c r="BV276" s="72">
        <v>0</v>
      </c>
      <c r="BW276" s="72">
        <v>0</v>
      </c>
      <c r="BX276" s="72">
        <v>0</v>
      </c>
      <c r="BY276" s="72">
        <v>0</v>
      </c>
      <c r="BZ276" s="72">
        <v>0</v>
      </c>
      <c r="CA276" s="72">
        <v>0</v>
      </c>
      <c r="CB276" s="72">
        <v>0</v>
      </c>
      <c r="CC276" s="72">
        <v>0</v>
      </c>
      <c r="CD276" s="72">
        <v>0</v>
      </c>
      <c r="CE276" s="72">
        <v>0</v>
      </c>
      <c r="CF276" s="72">
        <v>0</v>
      </c>
      <c r="CG276" s="72">
        <v>0</v>
      </c>
      <c r="CH276" s="72">
        <v>0</v>
      </c>
      <c r="CI276" s="72">
        <v>0</v>
      </c>
      <c r="CJ276" s="72">
        <v>0</v>
      </c>
      <c r="CK276" s="72">
        <v>0</v>
      </c>
      <c r="CL276" s="72">
        <v>0</v>
      </c>
      <c r="CM276" s="72">
        <v>0</v>
      </c>
      <c r="CN276" s="72">
        <v>0</v>
      </c>
      <c r="CO276" s="72">
        <v>0</v>
      </c>
      <c r="CP276" s="72">
        <v>0</v>
      </c>
      <c r="CQ276" s="72">
        <v>0</v>
      </c>
      <c r="CR276" s="72">
        <v>0</v>
      </c>
      <c r="CS276" s="72">
        <v>0</v>
      </c>
      <c r="CT276" s="72">
        <v>0</v>
      </c>
      <c r="CU276" s="72">
        <v>0</v>
      </c>
      <c r="CV276" s="72">
        <v>0</v>
      </c>
      <c r="CW276" s="72">
        <v>0</v>
      </c>
      <c r="CX276" s="72">
        <v>0</v>
      </c>
      <c r="CY276" s="72">
        <v>0</v>
      </c>
      <c r="CZ276" s="72">
        <v>0</v>
      </c>
      <c r="DA276" s="72">
        <v>0</v>
      </c>
      <c r="DB276" s="72">
        <v>0</v>
      </c>
      <c r="DC276" s="72">
        <v>0</v>
      </c>
      <c r="DD276" s="72">
        <v>0</v>
      </c>
      <c r="DE276" s="72">
        <v>0</v>
      </c>
      <c r="DF276" s="72">
        <v>0</v>
      </c>
      <c r="DG276" s="72">
        <v>0</v>
      </c>
      <c r="DH276" s="72">
        <v>0</v>
      </c>
      <c r="DI276" s="72">
        <v>0</v>
      </c>
      <c r="DJ276" s="72">
        <v>0</v>
      </c>
      <c r="DK276" s="72">
        <v>0</v>
      </c>
      <c r="DL276" s="72">
        <v>0</v>
      </c>
      <c r="DM276" s="72">
        <v>0</v>
      </c>
      <c r="DN276" s="72">
        <v>0</v>
      </c>
      <c r="DO276" s="72">
        <v>0</v>
      </c>
      <c r="DP276" s="72">
        <v>0</v>
      </c>
      <c r="DQ276" s="72">
        <v>0</v>
      </c>
      <c r="DR276" s="72">
        <v>0</v>
      </c>
      <c r="DS276" s="72">
        <v>0</v>
      </c>
      <c r="DT276" s="72">
        <v>0</v>
      </c>
      <c r="DU276" s="72">
        <v>0</v>
      </c>
      <c r="DV276" s="72">
        <v>0</v>
      </c>
      <c r="DW276" s="72">
        <v>0</v>
      </c>
      <c r="DX276" s="72">
        <v>0</v>
      </c>
      <c r="DY276" s="72">
        <v>0</v>
      </c>
      <c r="DZ276" s="72">
        <v>0</v>
      </c>
      <c r="EA276" s="72">
        <v>0</v>
      </c>
      <c r="EB276" s="72">
        <v>0</v>
      </c>
      <c r="EC276" s="72">
        <v>0</v>
      </c>
      <c r="ED276" s="72">
        <v>0</v>
      </c>
      <c r="EE276" s="72">
        <v>0</v>
      </c>
      <c r="EF276" s="72">
        <v>0</v>
      </c>
      <c r="EG276" s="72">
        <v>0</v>
      </c>
      <c r="EH276" s="72">
        <v>0</v>
      </c>
      <c r="EI276" s="72">
        <v>0</v>
      </c>
      <c r="EJ276" s="72">
        <v>0</v>
      </c>
      <c r="EK276" s="72">
        <v>0</v>
      </c>
      <c r="EL276" s="72">
        <v>0</v>
      </c>
    </row>
    <row r="277" spans="1:142" x14ac:dyDescent="0.35">
      <c r="A277" s="59">
        <f>Данные!A277</f>
        <v>4848</v>
      </c>
      <c r="B277" s="59">
        <f>Данные!B277</f>
        <v>2019</v>
      </c>
      <c r="C277" s="59" t="str">
        <f>Данные!C277</f>
        <v>компьютерных технологий и электронного обучения</v>
      </c>
      <c r="D277" s="59" t="str">
        <f>Данные!D277</f>
        <v>Атаян Ануш Михайловна</v>
      </c>
      <c r="E277" s="59" t="str">
        <f>Данные!E277</f>
        <v>кандидат педагогических наук</v>
      </c>
      <c r="F277" s="59" t="str">
        <f>Данные!F277</f>
        <v>доцент</v>
      </c>
      <c r="G277" s="59">
        <f>Данные!G277</f>
        <v>1</v>
      </c>
      <c r="H277" s="59" t="str">
        <f>Данные!H277</f>
        <v>4 курс 2016 год/пост</v>
      </c>
      <c r="I277" s="59" t="str">
        <f>Данные!I277</f>
        <v>Дисциплины (модули) по выбору. IT-менеджмент</v>
      </c>
      <c r="J277" s="59">
        <f>Данные!J277</f>
        <v>18</v>
      </c>
      <c r="K277" s="59">
        <f>Данные!K277</f>
        <v>0</v>
      </c>
      <c r="L277" s="59">
        <f>Данные!L277</f>
        <v>0</v>
      </c>
      <c r="M277" s="60">
        <f t="shared" si="36"/>
        <v>1.8</v>
      </c>
      <c r="N277" s="60">
        <f t="shared" ca="1" si="37"/>
        <v>10.91</v>
      </c>
      <c r="O277" s="60">
        <f t="shared" ca="1" si="38"/>
        <v>6.75</v>
      </c>
      <c r="P277" s="60">
        <f t="shared" ca="1" si="39"/>
        <v>6.75</v>
      </c>
      <c r="Q277" s="54">
        <f>Данные!Q277</f>
        <v>0</v>
      </c>
      <c r="R277" s="54">
        <f>Данные!R277</f>
        <v>0</v>
      </c>
      <c r="S277" s="54">
        <f>Данные!S277</f>
        <v>0</v>
      </c>
      <c r="T277" s="54">
        <f>Данные!T277</f>
        <v>0</v>
      </c>
      <c r="U277" s="54">
        <f>Данные!U277</f>
        <v>0</v>
      </c>
      <c r="V277" s="54">
        <f>Данные!V277</f>
        <v>0</v>
      </c>
      <c r="W277" s="54">
        <f ca="1">Данные!W277</f>
        <v>27</v>
      </c>
      <c r="X277" s="54" t="str">
        <f ca="1">Данные!X277</f>
        <v>1</v>
      </c>
      <c r="Y277" s="54" t="str">
        <f ca="1">Данные!Y277</f>
        <v>2</v>
      </c>
      <c r="Z277" s="54">
        <f>Данные!Z277</f>
        <v>0</v>
      </c>
      <c r="AA277" s="54">
        <f>Данные!AA277</f>
        <v>0</v>
      </c>
      <c r="AB277" s="101">
        <f t="shared" si="40"/>
        <v>800</v>
      </c>
      <c r="AC277" s="101" t="str">
        <f t="shared" si="41"/>
        <v>ИВТ (бак)</v>
      </c>
      <c r="AD277" s="101" t="str">
        <f t="shared" si="42"/>
        <v/>
      </c>
      <c r="AE277" s="102">
        <f t="shared" ca="1" si="43"/>
        <v>44.21</v>
      </c>
      <c r="AF277" s="103">
        <f t="shared" ca="1" si="44"/>
        <v>5.5262499999999999E-2</v>
      </c>
      <c r="AG277" s="101"/>
      <c r="AH277" s="101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Q277" s="72">
        <v>0</v>
      </c>
      <c r="BR277" s="72">
        <v>0</v>
      </c>
      <c r="BS277" s="72">
        <v>0</v>
      </c>
      <c r="BT277" s="72">
        <v>0</v>
      </c>
      <c r="BU277" s="72">
        <v>0</v>
      </c>
      <c r="BV277" s="72">
        <v>0</v>
      </c>
      <c r="BW277" s="72">
        <v>0</v>
      </c>
      <c r="BX277" s="72">
        <v>0</v>
      </c>
      <c r="BY277" s="72">
        <v>0</v>
      </c>
      <c r="BZ277" s="72">
        <v>0</v>
      </c>
      <c r="CA277" s="72">
        <v>0</v>
      </c>
      <c r="CB277" s="72">
        <v>0</v>
      </c>
      <c r="CC277" s="72">
        <v>0</v>
      </c>
      <c r="CD277" s="72">
        <v>0</v>
      </c>
      <c r="CE277" s="72">
        <v>0</v>
      </c>
      <c r="CF277" s="72">
        <v>0</v>
      </c>
      <c r="CG277" s="72">
        <v>0</v>
      </c>
      <c r="CH277" s="72">
        <v>0</v>
      </c>
      <c r="CI277" s="72">
        <v>0</v>
      </c>
      <c r="CJ277" s="72">
        <v>0</v>
      </c>
      <c r="CK277" s="72">
        <v>0</v>
      </c>
      <c r="CL277" s="72">
        <v>0</v>
      </c>
      <c r="CM277" s="72">
        <v>0</v>
      </c>
      <c r="CN277" s="72">
        <v>0</v>
      </c>
      <c r="CO277" s="72">
        <v>0</v>
      </c>
      <c r="CP277" s="72">
        <v>0</v>
      </c>
      <c r="CQ277" s="72">
        <v>0</v>
      </c>
      <c r="CR277" s="72">
        <v>0</v>
      </c>
      <c r="CS277" s="72">
        <v>0</v>
      </c>
      <c r="CT277" s="72">
        <v>0</v>
      </c>
      <c r="CU277" s="72">
        <v>0</v>
      </c>
      <c r="CV277" s="72">
        <v>0</v>
      </c>
      <c r="CW277" s="72">
        <v>0</v>
      </c>
      <c r="CX277" s="72">
        <v>0</v>
      </c>
      <c r="CY277" s="72">
        <v>0</v>
      </c>
      <c r="CZ277" s="72">
        <v>0</v>
      </c>
      <c r="DA277" s="72">
        <v>0</v>
      </c>
      <c r="DB277" s="72">
        <v>0</v>
      </c>
      <c r="DC277" s="72">
        <v>0</v>
      </c>
      <c r="DD277" s="72">
        <v>0</v>
      </c>
      <c r="DE277" s="72">
        <v>0</v>
      </c>
      <c r="DF277" s="72">
        <v>0</v>
      </c>
      <c r="DG277" s="72">
        <v>0</v>
      </c>
      <c r="DH277" s="72">
        <v>0</v>
      </c>
      <c r="DI277" s="72">
        <v>0</v>
      </c>
      <c r="DJ277" s="72">
        <v>0</v>
      </c>
      <c r="DK277" s="72">
        <v>0</v>
      </c>
      <c r="DL277" s="72">
        <v>0</v>
      </c>
      <c r="DM277" s="72">
        <v>0</v>
      </c>
      <c r="DN277" s="72">
        <v>0</v>
      </c>
      <c r="DO277" s="72">
        <v>0</v>
      </c>
      <c r="DP277" s="72">
        <v>0</v>
      </c>
      <c r="DQ277" s="72">
        <v>0</v>
      </c>
      <c r="DR277" s="72">
        <v>0</v>
      </c>
      <c r="DS277" s="72">
        <v>0</v>
      </c>
      <c r="DT277" s="72">
        <v>0</v>
      </c>
      <c r="DU277" s="72">
        <v>0</v>
      </c>
      <c r="DV277" s="72">
        <v>0</v>
      </c>
      <c r="DW277" s="72">
        <v>0</v>
      </c>
      <c r="DX277" s="72">
        <v>0</v>
      </c>
      <c r="DY277" s="72">
        <v>0</v>
      </c>
      <c r="DZ277" s="72">
        <v>0</v>
      </c>
      <c r="EA277" s="72">
        <v>0</v>
      </c>
      <c r="EB277" s="72">
        <v>0</v>
      </c>
      <c r="EC277" s="72">
        <v>0</v>
      </c>
      <c r="ED277" s="72">
        <v>0</v>
      </c>
      <c r="EE277" s="72">
        <v>0</v>
      </c>
      <c r="EF277" s="72">
        <v>0</v>
      </c>
      <c r="EG277" s="72">
        <v>0</v>
      </c>
      <c r="EH277" s="72">
        <v>0</v>
      </c>
      <c r="EI277" s="72">
        <v>0</v>
      </c>
      <c r="EJ277" s="72">
        <v>0</v>
      </c>
      <c r="EK277" s="72">
        <v>0</v>
      </c>
      <c r="EL277" s="72">
        <v>0</v>
      </c>
    </row>
    <row r="278" spans="1:142" x14ac:dyDescent="0.35">
      <c r="A278" s="59">
        <f>Данные!A278</f>
        <v>4848</v>
      </c>
      <c r="B278" s="59">
        <f>Данные!B278</f>
        <v>2019</v>
      </c>
      <c r="C278" s="59" t="str">
        <f>Данные!C278</f>
        <v>компьютерных технологий и электронного обучения</v>
      </c>
      <c r="D278" s="59" t="str">
        <f>Данные!D278</f>
        <v>Власова Елена Зотиковна</v>
      </c>
      <c r="E278" s="59" t="str">
        <f>Данные!E278</f>
        <v>доктор педагогических наук</v>
      </c>
      <c r="F278" s="59" t="str">
        <f>Данные!F278</f>
        <v>заведующий кафедрой</v>
      </c>
      <c r="G278" s="59">
        <f>Данные!G278</f>
        <v>1</v>
      </c>
      <c r="H278" s="59" t="str">
        <f>Данные!H278</f>
        <v>4 курс 2016 год/пост</v>
      </c>
      <c r="I278" s="59" t="str">
        <f>Данные!I278</f>
        <v>Модуль "Информационные ресурсы и средства профессиональной деятельности инженера". Инфографика</v>
      </c>
      <c r="J278" s="59">
        <f>Данные!J278</f>
        <v>9</v>
      </c>
      <c r="K278" s="59">
        <f>Данные!K278</f>
        <v>0</v>
      </c>
      <c r="L278" s="59">
        <f>Данные!L278</f>
        <v>0</v>
      </c>
      <c r="M278" s="60">
        <f t="shared" si="36"/>
        <v>0.9</v>
      </c>
      <c r="N278" s="60">
        <f t="shared" ca="1" si="37"/>
        <v>10.91</v>
      </c>
      <c r="O278" s="60">
        <f t="shared" ca="1" si="38"/>
        <v>6.75</v>
      </c>
      <c r="P278" s="60">
        <f t="shared" ca="1" si="39"/>
        <v>6.75</v>
      </c>
      <c r="Q278" s="54">
        <f>Данные!Q278</f>
        <v>0</v>
      </c>
      <c r="R278" s="54">
        <f>Данные!R278</f>
        <v>0</v>
      </c>
      <c r="S278" s="54">
        <f>Данные!S278</f>
        <v>0</v>
      </c>
      <c r="T278" s="54">
        <f>Данные!T278</f>
        <v>0</v>
      </c>
      <c r="U278" s="54">
        <f>Данные!U278</f>
        <v>0</v>
      </c>
      <c r="V278" s="54">
        <f>Данные!V278</f>
        <v>0</v>
      </c>
      <c r="W278" s="54">
        <f ca="1">Данные!W278</f>
        <v>27</v>
      </c>
      <c r="X278" s="54" t="str">
        <f ca="1">Данные!X278</f>
        <v>1</v>
      </c>
      <c r="Y278" s="54" t="str">
        <f ca="1">Данные!Y278</f>
        <v>2</v>
      </c>
      <c r="Z278" s="54">
        <f>Данные!Z278</f>
        <v>0</v>
      </c>
      <c r="AA278" s="54" t="str">
        <f>Данные!AA278</f>
        <v>осн</v>
      </c>
      <c r="AB278" s="101">
        <f t="shared" si="40"/>
        <v>700</v>
      </c>
      <c r="AC278" s="101" t="str">
        <f t="shared" si="41"/>
        <v>ИВТ (бак)</v>
      </c>
      <c r="AD278" s="101" t="str">
        <f t="shared" si="42"/>
        <v/>
      </c>
      <c r="AE278" s="102">
        <f t="shared" ca="1" si="43"/>
        <v>34.31</v>
      </c>
      <c r="AF278" s="103">
        <f t="shared" ca="1" si="44"/>
        <v>4.9014285714285719E-2</v>
      </c>
      <c r="AG278" s="101"/>
      <c r="AH278" s="101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Q278" s="72">
        <v>0</v>
      </c>
      <c r="BR278" s="72">
        <v>0</v>
      </c>
      <c r="BS278" s="72">
        <v>0</v>
      </c>
      <c r="BT278" s="72">
        <v>0</v>
      </c>
      <c r="BU278" s="72">
        <v>0</v>
      </c>
      <c r="BV278" s="72">
        <v>0</v>
      </c>
      <c r="BW278" s="72">
        <v>0</v>
      </c>
      <c r="BX278" s="72">
        <v>0</v>
      </c>
      <c r="BY278" s="72">
        <v>0</v>
      </c>
      <c r="BZ278" s="72">
        <v>0</v>
      </c>
      <c r="CA278" s="72">
        <v>0</v>
      </c>
      <c r="CB278" s="72">
        <v>0</v>
      </c>
      <c r="CC278" s="72">
        <v>0</v>
      </c>
      <c r="CD278" s="72">
        <v>0</v>
      </c>
      <c r="CE278" s="72">
        <v>0</v>
      </c>
      <c r="CF278" s="72">
        <v>0</v>
      </c>
      <c r="CG278" s="72">
        <v>0</v>
      </c>
      <c r="CH278" s="72">
        <v>0</v>
      </c>
      <c r="CI278" s="72">
        <v>0</v>
      </c>
      <c r="CJ278" s="72">
        <v>0</v>
      </c>
      <c r="CK278" s="72">
        <v>0</v>
      </c>
      <c r="CL278" s="72">
        <v>0</v>
      </c>
      <c r="CM278" s="72">
        <v>0</v>
      </c>
      <c r="CN278" s="72">
        <v>0</v>
      </c>
      <c r="CO278" s="72">
        <v>0</v>
      </c>
      <c r="CP278" s="72">
        <v>0</v>
      </c>
      <c r="CQ278" s="72">
        <v>0</v>
      </c>
      <c r="CR278" s="72">
        <v>0</v>
      </c>
      <c r="CS278" s="72">
        <v>0</v>
      </c>
      <c r="CT278" s="72">
        <v>0</v>
      </c>
      <c r="CU278" s="72">
        <v>0</v>
      </c>
      <c r="CV278" s="72">
        <v>0</v>
      </c>
      <c r="CW278" s="72">
        <v>0</v>
      </c>
      <c r="CX278" s="72">
        <v>0</v>
      </c>
      <c r="CY278" s="72">
        <v>0</v>
      </c>
      <c r="CZ278" s="72">
        <v>0</v>
      </c>
      <c r="DA278" s="72">
        <v>0</v>
      </c>
      <c r="DB278" s="72">
        <v>0</v>
      </c>
      <c r="DC278" s="72">
        <v>0</v>
      </c>
      <c r="DD278" s="72">
        <v>0</v>
      </c>
      <c r="DE278" s="72">
        <v>0</v>
      </c>
      <c r="DF278" s="72">
        <v>0</v>
      </c>
      <c r="DG278" s="72">
        <v>0</v>
      </c>
      <c r="DH278" s="72">
        <v>0</v>
      </c>
      <c r="DI278" s="72">
        <v>0</v>
      </c>
      <c r="DJ278" s="72">
        <v>0</v>
      </c>
      <c r="DK278" s="72">
        <v>0</v>
      </c>
      <c r="DL278" s="72">
        <v>0</v>
      </c>
      <c r="DM278" s="72">
        <v>0</v>
      </c>
      <c r="DN278" s="72">
        <v>0</v>
      </c>
      <c r="DO278" s="72">
        <v>0</v>
      </c>
      <c r="DP278" s="72">
        <v>0</v>
      </c>
      <c r="DQ278" s="72">
        <v>0</v>
      </c>
      <c r="DR278" s="72">
        <v>0</v>
      </c>
      <c r="DS278" s="72">
        <v>0</v>
      </c>
      <c r="DT278" s="72">
        <v>0</v>
      </c>
      <c r="DU278" s="72">
        <v>0</v>
      </c>
      <c r="DV278" s="72">
        <v>0</v>
      </c>
      <c r="DW278" s="72">
        <v>0</v>
      </c>
      <c r="DX278" s="72">
        <v>0</v>
      </c>
      <c r="DY278" s="72">
        <v>0</v>
      </c>
      <c r="DZ278" s="72">
        <v>0</v>
      </c>
      <c r="EA278" s="72">
        <v>0</v>
      </c>
      <c r="EB278" s="72">
        <v>0</v>
      </c>
      <c r="EC278" s="72">
        <v>0</v>
      </c>
      <c r="ED278" s="72">
        <v>0</v>
      </c>
      <c r="EE278" s="72">
        <v>0</v>
      </c>
      <c r="EF278" s="72">
        <v>0</v>
      </c>
      <c r="EG278" s="72">
        <v>0</v>
      </c>
      <c r="EH278" s="72">
        <v>0</v>
      </c>
      <c r="EI278" s="72">
        <v>0</v>
      </c>
      <c r="EJ278" s="72">
        <v>0</v>
      </c>
      <c r="EK278" s="72">
        <v>0</v>
      </c>
      <c r="EL278" s="72">
        <v>0</v>
      </c>
    </row>
    <row r="279" spans="1:142" x14ac:dyDescent="0.35">
      <c r="A279" s="59">
        <f>Данные!A279</f>
        <v>4848</v>
      </c>
      <c r="B279" s="59">
        <f>Данные!B279</f>
        <v>2019</v>
      </c>
      <c r="C279" s="59" t="str">
        <f>Данные!C279</f>
        <v>компьютерных технологий и электронного обучения</v>
      </c>
      <c r="D279" s="59" t="str">
        <f>Данные!D279</f>
        <v>Власова Елена Зотиковна</v>
      </c>
      <c r="E279" s="59" t="str">
        <f>Данные!E279</f>
        <v>доктор педагогических наук</v>
      </c>
      <c r="F279" s="59" t="str">
        <f>Данные!F279</f>
        <v>заведующий кафедрой</v>
      </c>
      <c r="G279" s="59">
        <f>Данные!G279</f>
        <v>1</v>
      </c>
      <c r="H279" s="59" t="str">
        <f>Данные!H279</f>
        <v>4 курс 2016 год/пост</v>
      </c>
      <c r="I279" s="59" t="str">
        <f>Данные!I279</f>
        <v>Руководство ВКР</v>
      </c>
      <c r="J279" s="59">
        <f>Данные!J279</f>
        <v>0</v>
      </c>
      <c r="K279" s="59">
        <f>Данные!K279</f>
        <v>0</v>
      </c>
      <c r="L279" s="59">
        <f>Данные!L279</f>
        <v>0</v>
      </c>
      <c r="M279" s="60">
        <f t="shared" si="36"/>
        <v>0</v>
      </c>
      <c r="N279" s="60">
        <f t="shared" ca="1" si="37"/>
        <v>10.91</v>
      </c>
      <c r="O279" s="60">
        <f t="shared" ca="1" si="38"/>
        <v>6.75</v>
      </c>
      <c r="P279" s="60">
        <f t="shared" ca="1" si="39"/>
        <v>6.75</v>
      </c>
      <c r="Q279" s="54">
        <f>Данные!Q279</f>
        <v>0</v>
      </c>
      <c r="R279" s="54">
        <f>Данные!R279</f>
        <v>0</v>
      </c>
      <c r="S279" s="54">
        <f>Данные!S279</f>
        <v>0</v>
      </c>
      <c r="T279" s="54">
        <f>Данные!T279</f>
        <v>0</v>
      </c>
      <c r="U279" s="54">
        <f>Данные!U279</f>
        <v>0</v>
      </c>
      <c r="V279" s="54">
        <f>Данные!V279</f>
        <v>0</v>
      </c>
      <c r="W279" s="54">
        <f ca="1">Данные!W279</f>
        <v>27</v>
      </c>
      <c r="X279" s="54" t="str">
        <f ca="1">Данные!X279</f>
        <v>1</v>
      </c>
      <c r="Y279" s="54" t="str">
        <f ca="1">Данные!Y279</f>
        <v>2</v>
      </c>
      <c r="Z279" s="54">
        <f>Данные!Z279</f>
        <v>0</v>
      </c>
      <c r="AA279" s="54" t="str">
        <f>Данные!AA279</f>
        <v>осн</v>
      </c>
      <c r="AB279" s="101">
        <f t="shared" si="40"/>
        <v>700</v>
      </c>
      <c r="AC279" s="101" t="str">
        <f t="shared" si="41"/>
        <v>ИВТ (бак)</v>
      </c>
      <c r="AD279" s="101" t="str">
        <f t="shared" si="42"/>
        <v/>
      </c>
      <c r="AE279" s="102">
        <f t="shared" ca="1" si="43"/>
        <v>24.41</v>
      </c>
      <c r="AF279" s="103">
        <f t="shared" ca="1" si="44"/>
        <v>3.4871428571428574E-2</v>
      </c>
      <c r="AG279" s="101"/>
      <c r="AH279" s="101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Q279" s="72">
        <v>0</v>
      </c>
      <c r="BR279" s="72">
        <v>0</v>
      </c>
      <c r="BS279" s="72">
        <v>0</v>
      </c>
      <c r="BT279" s="72">
        <v>0</v>
      </c>
      <c r="BU279" s="72">
        <v>0</v>
      </c>
      <c r="BV279" s="72">
        <v>0</v>
      </c>
      <c r="BW279" s="72">
        <v>0</v>
      </c>
      <c r="BX279" s="72">
        <v>0</v>
      </c>
      <c r="BY279" s="72">
        <v>0</v>
      </c>
      <c r="BZ279" s="72">
        <v>0</v>
      </c>
      <c r="CA279" s="72">
        <v>0</v>
      </c>
      <c r="CB279" s="72">
        <v>0</v>
      </c>
      <c r="CC279" s="72">
        <v>0</v>
      </c>
      <c r="CD279" s="72">
        <v>0</v>
      </c>
      <c r="CE279" s="72">
        <v>0</v>
      </c>
      <c r="CF279" s="72">
        <v>0</v>
      </c>
      <c r="CG279" s="72">
        <v>0</v>
      </c>
      <c r="CH279" s="72">
        <v>0</v>
      </c>
      <c r="CI279" s="72">
        <v>0</v>
      </c>
      <c r="CJ279" s="72">
        <v>0</v>
      </c>
      <c r="CK279" s="72">
        <v>0</v>
      </c>
      <c r="CL279" s="72">
        <v>0</v>
      </c>
      <c r="CM279" s="72">
        <v>0</v>
      </c>
      <c r="CN279" s="72">
        <v>0</v>
      </c>
      <c r="CO279" s="72">
        <v>0</v>
      </c>
      <c r="CP279" s="72">
        <v>0</v>
      </c>
      <c r="CQ279" s="72">
        <v>0</v>
      </c>
      <c r="CR279" s="72">
        <v>0</v>
      </c>
      <c r="CS279" s="72">
        <v>0</v>
      </c>
      <c r="CT279" s="72">
        <v>0</v>
      </c>
      <c r="CU279" s="72">
        <v>0</v>
      </c>
      <c r="CV279" s="72">
        <v>0</v>
      </c>
      <c r="CW279" s="72">
        <v>0</v>
      </c>
      <c r="CX279" s="72">
        <v>0</v>
      </c>
      <c r="CY279" s="72">
        <v>0</v>
      </c>
      <c r="CZ279" s="72">
        <v>0</v>
      </c>
      <c r="DA279" s="72">
        <v>0</v>
      </c>
      <c r="DB279" s="72">
        <v>0</v>
      </c>
      <c r="DC279" s="72">
        <v>0</v>
      </c>
      <c r="DD279" s="72">
        <v>0</v>
      </c>
      <c r="DE279" s="72">
        <v>0</v>
      </c>
      <c r="DF279" s="72">
        <v>0</v>
      </c>
      <c r="DG279" s="72">
        <v>0</v>
      </c>
      <c r="DH279" s="72">
        <v>0</v>
      </c>
      <c r="DI279" s="72">
        <v>0</v>
      </c>
      <c r="DJ279" s="72">
        <v>0</v>
      </c>
      <c r="DK279" s="72">
        <v>0</v>
      </c>
      <c r="DL279" s="72">
        <v>0</v>
      </c>
      <c r="DM279" s="72">
        <v>0</v>
      </c>
      <c r="DN279" s="72">
        <v>0</v>
      </c>
      <c r="DO279" s="72">
        <v>0</v>
      </c>
      <c r="DP279" s="72">
        <v>0</v>
      </c>
      <c r="DQ279" s="72">
        <v>0</v>
      </c>
      <c r="DR279" s="72">
        <v>0</v>
      </c>
      <c r="DS279" s="72">
        <v>0</v>
      </c>
      <c r="DT279" s="72">
        <v>0</v>
      </c>
      <c r="DU279" s="72">
        <v>0</v>
      </c>
      <c r="DV279" s="72">
        <v>0</v>
      </c>
      <c r="DW279" s="72">
        <v>0</v>
      </c>
      <c r="DX279" s="72">
        <v>0</v>
      </c>
      <c r="DY279" s="72">
        <v>0</v>
      </c>
      <c r="DZ279" s="72">
        <v>0</v>
      </c>
      <c r="EA279" s="72">
        <v>0</v>
      </c>
      <c r="EB279" s="72">
        <v>0</v>
      </c>
      <c r="EC279" s="72">
        <v>0</v>
      </c>
      <c r="ED279" s="72">
        <v>0</v>
      </c>
      <c r="EE279" s="72">
        <v>0</v>
      </c>
      <c r="EF279" s="72">
        <v>0</v>
      </c>
      <c r="EG279" s="72">
        <v>0</v>
      </c>
      <c r="EH279" s="72">
        <v>0</v>
      </c>
      <c r="EI279" s="72">
        <v>0</v>
      </c>
      <c r="EJ279" s="72">
        <v>0</v>
      </c>
      <c r="EK279" s="72">
        <v>0</v>
      </c>
      <c r="EL279" s="72">
        <v>0</v>
      </c>
    </row>
    <row r="280" spans="1:142" x14ac:dyDescent="0.35">
      <c r="A280" s="59">
        <f>Данные!A280</f>
        <v>4848</v>
      </c>
      <c r="B280" s="59">
        <f>Данные!B280</f>
        <v>2019</v>
      </c>
      <c r="C280" s="59" t="str">
        <f>Данные!C280</f>
        <v>компьютерных технологий и электронного обучения</v>
      </c>
      <c r="D280" s="59" t="str">
        <f>Данные!D280</f>
        <v>Власова Елена Зотиковна</v>
      </c>
      <c r="E280" s="59" t="str">
        <f>Данные!E280</f>
        <v>доктор педагогических наук</v>
      </c>
      <c r="F280" s="59" t="str">
        <f>Данные!F280</f>
        <v>заведующий кафедрой</v>
      </c>
      <c r="G280" s="59">
        <f>Данные!G280</f>
        <v>1</v>
      </c>
      <c r="H280" s="59" t="str">
        <f>Данные!H280</f>
        <v>4 курс 2016 год/пост</v>
      </c>
      <c r="I280" s="59" t="str">
        <f>Данные!I280</f>
        <v>Участие в ГЭК (защита, экзамен)</v>
      </c>
      <c r="J280" s="59">
        <f>Данные!J280</f>
        <v>0</v>
      </c>
      <c r="K280" s="59">
        <f>Данные!K280</f>
        <v>0</v>
      </c>
      <c r="L280" s="59">
        <f>Данные!L280</f>
        <v>0</v>
      </c>
      <c r="M280" s="60">
        <f t="shared" si="36"/>
        <v>0</v>
      </c>
      <c r="N280" s="60">
        <f t="shared" ca="1" si="37"/>
        <v>10.91</v>
      </c>
      <c r="O280" s="60">
        <f t="shared" ca="1" si="38"/>
        <v>6.75</v>
      </c>
      <c r="P280" s="60">
        <f t="shared" ca="1" si="39"/>
        <v>6.75</v>
      </c>
      <c r="Q280" s="54">
        <f>Данные!Q280</f>
        <v>0</v>
      </c>
      <c r="R280" s="54">
        <f>Данные!R280</f>
        <v>7</v>
      </c>
      <c r="S280" s="54">
        <f>Данные!S280</f>
        <v>10</v>
      </c>
      <c r="T280" s="54">
        <f>Данные!T280</f>
        <v>0</v>
      </c>
      <c r="U280" s="54">
        <f>Данные!U280</f>
        <v>0</v>
      </c>
      <c r="V280" s="54">
        <f>Данные!V280</f>
        <v>0</v>
      </c>
      <c r="W280" s="54">
        <f ca="1">Данные!W280</f>
        <v>27</v>
      </c>
      <c r="X280" s="54" t="str">
        <f ca="1">Данные!X280</f>
        <v>1</v>
      </c>
      <c r="Y280" s="54" t="str">
        <f ca="1">Данные!Y280</f>
        <v>2</v>
      </c>
      <c r="Z280" s="54">
        <f>Данные!Z280</f>
        <v>0</v>
      </c>
      <c r="AA280" s="54" t="str">
        <f>Данные!AA280</f>
        <v>осн</v>
      </c>
      <c r="AB280" s="101">
        <f t="shared" si="40"/>
        <v>700</v>
      </c>
      <c r="AC280" s="101" t="str">
        <f t="shared" si="41"/>
        <v>ИВТ (бак)</v>
      </c>
      <c r="AD280" s="101" t="str">
        <f t="shared" si="42"/>
        <v/>
      </c>
      <c r="AE280" s="102">
        <f t="shared" ca="1" si="43"/>
        <v>41.41</v>
      </c>
      <c r="AF280" s="103">
        <f t="shared" ca="1" si="44"/>
        <v>5.9157142857142853E-2</v>
      </c>
      <c r="AG280" s="101"/>
      <c r="AH280" s="101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Q280" s="72">
        <v>0</v>
      </c>
      <c r="BR280" s="72">
        <v>0</v>
      </c>
      <c r="BS280" s="72">
        <v>0</v>
      </c>
      <c r="BT280" s="72">
        <v>0</v>
      </c>
      <c r="BU280" s="72">
        <v>0</v>
      </c>
      <c r="BV280" s="72">
        <v>0</v>
      </c>
      <c r="BW280" s="72">
        <v>0</v>
      </c>
      <c r="BX280" s="72">
        <v>0</v>
      </c>
      <c r="BY280" s="72">
        <v>0</v>
      </c>
      <c r="BZ280" s="72">
        <v>0</v>
      </c>
      <c r="CA280" s="72">
        <v>0</v>
      </c>
      <c r="CB280" s="72">
        <v>0</v>
      </c>
      <c r="CC280" s="72">
        <v>0</v>
      </c>
      <c r="CD280" s="72">
        <v>0</v>
      </c>
      <c r="CE280" s="72">
        <v>0</v>
      </c>
      <c r="CF280" s="72">
        <v>0</v>
      </c>
      <c r="CG280" s="72">
        <v>0</v>
      </c>
      <c r="CH280" s="72">
        <v>0</v>
      </c>
      <c r="CI280" s="72">
        <v>0</v>
      </c>
      <c r="CJ280" s="72">
        <v>0</v>
      </c>
      <c r="CK280" s="72">
        <v>0</v>
      </c>
      <c r="CL280" s="72">
        <v>0</v>
      </c>
      <c r="CM280" s="72">
        <v>0</v>
      </c>
      <c r="CN280" s="72">
        <v>0</v>
      </c>
      <c r="CO280" s="72">
        <v>0</v>
      </c>
      <c r="CP280" s="72">
        <v>0</v>
      </c>
      <c r="CQ280" s="72">
        <v>0</v>
      </c>
      <c r="CR280" s="72">
        <v>0</v>
      </c>
      <c r="CS280" s="72">
        <v>0</v>
      </c>
      <c r="CT280" s="72">
        <v>0</v>
      </c>
      <c r="CU280" s="72">
        <v>0</v>
      </c>
      <c r="CV280" s="72">
        <v>0</v>
      </c>
      <c r="CW280" s="72">
        <v>0</v>
      </c>
      <c r="CX280" s="72">
        <v>0</v>
      </c>
      <c r="CY280" s="72">
        <v>0</v>
      </c>
      <c r="CZ280" s="72">
        <v>0</v>
      </c>
      <c r="DA280" s="72">
        <v>0</v>
      </c>
      <c r="DB280" s="72">
        <v>0</v>
      </c>
      <c r="DC280" s="72">
        <v>0</v>
      </c>
      <c r="DD280" s="72">
        <v>0</v>
      </c>
      <c r="DE280" s="72">
        <v>0</v>
      </c>
      <c r="DF280" s="72">
        <v>0</v>
      </c>
      <c r="DG280" s="72">
        <v>0</v>
      </c>
      <c r="DH280" s="72">
        <v>0</v>
      </c>
      <c r="DI280" s="72">
        <v>0</v>
      </c>
      <c r="DJ280" s="72">
        <v>0</v>
      </c>
      <c r="DK280" s="72">
        <v>0</v>
      </c>
      <c r="DL280" s="72">
        <v>0</v>
      </c>
      <c r="DM280" s="72">
        <v>0</v>
      </c>
      <c r="DN280" s="72">
        <v>0</v>
      </c>
      <c r="DO280" s="72">
        <v>0</v>
      </c>
      <c r="DP280" s="72">
        <v>0</v>
      </c>
      <c r="DQ280" s="72">
        <v>0</v>
      </c>
      <c r="DR280" s="72">
        <v>0</v>
      </c>
      <c r="DS280" s="72">
        <v>0</v>
      </c>
      <c r="DT280" s="72">
        <v>0</v>
      </c>
      <c r="DU280" s="72">
        <v>0</v>
      </c>
      <c r="DV280" s="72">
        <v>0</v>
      </c>
      <c r="DW280" s="72">
        <v>0</v>
      </c>
      <c r="DX280" s="72">
        <v>0</v>
      </c>
      <c r="DY280" s="72">
        <v>0</v>
      </c>
      <c r="DZ280" s="72">
        <v>0</v>
      </c>
      <c r="EA280" s="72">
        <v>0</v>
      </c>
      <c r="EB280" s="72">
        <v>0</v>
      </c>
      <c r="EC280" s="72">
        <v>0</v>
      </c>
      <c r="ED280" s="72">
        <v>0</v>
      </c>
      <c r="EE280" s="72">
        <v>0</v>
      </c>
      <c r="EF280" s="72">
        <v>0</v>
      </c>
      <c r="EG280" s="72">
        <v>0</v>
      </c>
      <c r="EH280" s="72">
        <v>0</v>
      </c>
      <c r="EI280" s="72">
        <v>0</v>
      </c>
      <c r="EJ280" s="72">
        <v>0</v>
      </c>
      <c r="EK280" s="72">
        <v>0</v>
      </c>
      <c r="EL280" s="72">
        <v>0</v>
      </c>
    </row>
    <row r="281" spans="1:142" x14ac:dyDescent="0.35">
      <c r="A281" s="59">
        <f>Данные!A281</f>
        <v>4848</v>
      </c>
      <c r="B281" s="59">
        <f>Данные!B281</f>
        <v>2019</v>
      </c>
      <c r="C281" s="59" t="str">
        <f>Данные!C281</f>
        <v>компьютерных технологий и электронного обучения</v>
      </c>
      <c r="D281" s="59" t="str">
        <f>Данные!D281</f>
        <v>Власова Елена Зотиковна</v>
      </c>
      <c r="E281" s="59" t="str">
        <f>Данные!E281</f>
        <v>доктор педагогических наук</v>
      </c>
      <c r="F281" s="59" t="str">
        <f>Данные!F281</f>
        <v>заведующий кафедрой</v>
      </c>
      <c r="G281" s="59">
        <f>Данные!G281</f>
        <v>1</v>
      </c>
      <c r="H281" s="59" t="str">
        <f>Данные!H281</f>
        <v>4 курс 2016 год/пост</v>
      </c>
      <c r="I281" s="59" t="str">
        <f>Данные!I281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81" s="59">
        <f>Данные!J281</f>
        <v>0</v>
      </c>
      <c r="K281" s="59">
        <f>Данные!K281</f>
        <v>0</v>
      </c>
      <c r="L281" s="59">
        <f>Данные!L281</f>
        <v>0</v>
      </c>
      <c r="M281" s="60">
        <f t="shared" si="36"/>
        <v>0</v>
      </c>
      <c r="N281" s="60">
        <f t="shared" ca="1" si="37"/>
        <v>10.91</v>
      </c>
      <c r="O281" s="60">
        <f t="shared" ca="1" si="38"/>
        <v>6.75</v>
      </c>
      <c r="P281" s="60">
        <f t="shared" ca="1" si="39"/>
        <v>6.75</v>
      </c>
      <c r="Q281" s="54">
        <f>Данные!Q281</f>
        <v>0</v>
      </c>
      <c r="R281" s="54">
        <f>Данные!R281</f>
        <v>0</v>
      </c>
      <c r="S281" s="54">
        <f>Данные!S281</f>
        <v>0</v>
      </c>
      <c r="T281" s="54">
        <f>Данные!T281</f>
        <v>0</v>
      </c>
      <c r="U281" s="54">
        <f>Данные!U281</f>
        <v>0</v>
      </c>
      <c r="V281" s="54">
        <f>Данные!V281</f>
        <v>0</v>
      </c>
      <c r="W281" s="54">
        <f ca="1">Данные!W281</f>
        <v>27</v>
      </c>
      <c r="X281" s="54" t="str">
        <f ca="1">Данные!X281</f>
        <v>1</v>
      </c>
      <c r="Y281" s="54" t="str">
        <f ca="1">Данные!Y281</f>
        <v>2</v>
      </c>
      <c r="Z281" s="54">
        <f>Данные!Z281</f>
        <v>0</v>
      </c>
      <c r="AA281" s="54" t="str">
        <f>Данные!AA281</f>
        <v>осн</v>
      </c>
      <c r="AB281" s="101">
        <f t="shared" si="40"/>
        <v>700</v>
      </c>
      <c r="AC281" s="101" t="str">
        <f t="shared" si="41"/>
        <v>ИВТ (бак)</v>
      </c>
      <c r="AD281" s="101" t="str">
        <f t="shared" si="42"/>
        <v/>
      </c>
      <c r="AE281" s="102">
        <f t="shared" ca="1" si="43"/>
        <v>24.41</v>
      </c>
      <c r="AF281" s="103">
        <f t="shared" ca="1" si="44"/>
        <v>3.4871428571428574E-2</v>
      </c>
      <c r="AG281" s="101"/>
      <c r="AH281" s="10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Q281" s="72">
        <v>0</v>
      </c>
      <c r="BR281" s="72">
        <v>0</v>
      </c>
      <c r="BS281" s="72">
        <v>0</v>
      </c>
      <c r="BT281" s="72">
        <v>0</v>
      </c>
      <c r="BU281" s="72">
        <v>0</v>
      </c>
      <c r="BV281" s="72">
        <v>0</v>
      </c>
      <c r="BW281" s="72">
        <v>0</v>
      </c>
      <c r="BX281" s="72">
        <v>0</v>
      </c>
      <c r="BY281" s="72">
        <v>0</v>
      </c>
      <c r="BZ281" s="72">
        <v>0</v>
      </c>
      <c r="CA281" s="72">
        <v>0</v>
      </c>
      <c r="CB281" s="72">
        <v>0</v>
      </c>
      <c r="CC281" s="72">
        <v>0</v>
      </c>
      <c r="CD281" s="72">
        <v>0</v>
      </c>
      <c r="CE281" s="72">
        <v>0</v>
      </c>
      <c r="CF281" s="72">
        <v>0</v>
      </c>
      <c r="CG281" s="72">
        <v>0</v>
      </c>
      <c r="CH281" s="72">
        <v>0</v>
      </c>
      <c r="CI281" s="72">
        <v>0</v>
      </c>
      <c r="CJ281" s="72">
        <v>0</v>
      </c>
      <c r="CK281" s="72">
        <v>0</v>
      </c>
      <c r="CL281" s="72">
        <v>0</v>
      </c>
      <c r="CM281" s="72">
        <v>0</v>
      </c>
      <c r="CN281" s="72">
        <v>0</v>
      </c>
      <c r="CO281" s="72">
        <v>0</v>
      </c>
      <c r="CP281" s="72">
        <v>0</v>
      </c>
      <c r="CQ281" s="72">
        <v>0</v>
      </c>
      <c r="CR281" s="72">
        <v>0</v>
      </c>
      <c r="CS281" s="72">
        <v>0</v>
      </c>
      <c r="CT281" s="72">
        <v>0</v>
      </c>
      <c r="CU281" s="72">
        <v>0</v>
      </c>
      <c r="CV281" s="72">
        <v>0</v>
      </c>
      <c r="CW281" s="72">
        <v>0</v>
      </c>
      <c r="CX281" s="72">
        <v>0</v>
      </c>
      <c r="CY281" s="72">
        <v>0</v>
      </c>
      <c r="CZ281" s="72">
        <v>0</v>
      </c>
      <c r="DA281" s="72">
        <v>0</v>
      </c>
      <c r="DB281" s="72">
        <v>0</v>
      </c>
      <c r="DC281" s="72">
        <v>0</v>
      </c>
      <c r="DD281" s="72">
        <v>0</v>
      </c>
      <c r="DE281" s="72">
        <v>0</v>
      </c>
      <c r="DF281" s="72">
        <v>0</v>
      </c>
      <c r="DG281" s="72">
        <v>0</v>
      </c>
      <c r="DH281" s="72">
        <v>0</v>
      </c>
      <c r="DI281" s="72">
        <v>0</v>
      </c>
      <c r="DJ281" s="72">
        <v>0</v>
      </c>
      <c r="DK281" s="72">
        <v>0</v>
      </c>
      <c r="DL281" s="72">
        <v>0</v>
      </c>
      <c r="DM281" s="72">
        <v>0</v>
      </c>
      <c r="DN281" s="72">
        <v>0</v>
      </c>
      <c r="DO281" s="72">
        <v>0</v>
      </c>
      <c r="DP281" s="72">
        <v>0</v>
      </c>
      <c r="DQ281" s="72">
        <v>0</v>
      </c>
      <c r="DR281" s="72">
        <v>0</v>
      </c>
      <c r="DS281" s="72">
        <v>0</v>
      </c>
      <c r="DT281" s="72">
        <v>0</v>
      </c>
      <c r="DU281" s="72">
        <v>0</v>
      </c>
      <c r="DV281" s="72">
        <v>0</v>
      </c>
      <c r="DW281" s="72">
        <v>0</v>
      </c>
      <c r="DX281" s="72">
        <v>0</v>
      </c>
      <c r="DY281" s="72">
        <v>0</v>
      </c>
      <c r="DZ281" s="72">
        <v>0</v>
      </c>
      <c r="EA281" s="72">
        <v>0</v>
      </c>
      <c r="EB281" s="72">
        <v>0</v>
      </c>
      <c r="EC281" s="72">
        <v>0</v>
      </c>
      <c r="ED281" s="72">
        <v>0</v>
      </c>
      <c r="EE281" s="72">
        <v>0</v>
      </c>
      <c r="EF281" s="72">
        <v>0</v>
      </c>
      <c r="EG281" s="72">
        <v>0</v>
      </c>
      <c r="EH281" s="72">
        <v>0</v>
      </c>
      <c r="EI281" s="72">
        <v>0</v>
      </c>
      <c r="EJ281" s="72">
        <v>0</v>
      </c>
      <c r="EK281" s="72">
        <v>0</v>
      </c>
      <c r="EL281" s="72">
        <v>0</v>
      </c>
    </row>
    <row r="282" spans="1:142" x14ac:dyDescent="0.35">
      <c r="A282" s="59">
        <f>Данные!A282</f>
        <v>4848</v>
      </c>
      <c r="B282" s="59">
        <f>Данные!B282</f>
        <v>2019</v>
      </c>
      <c r="C282" s="59" t="str">
        <f>Данные!C282</f>
        <v>компьютерных технологий и электронного обучения</v>
      </c>
      <c r="D282" s="59" t="str">
        <f>Данные!D282</f>
        <v>Власова Елена Зотиковна</v>
      </c>
      <c r="E282" s="59" t="str">
        <f>Данные!E282</f>
        <v>доктор педагогических наук</v>
      </c>
      <c r="F282" s="59" t="str">
        <f>Данные!F282</f>
        <v>заведующий кафедрой</v>
      </c>
      <c r="G282" s="59">
        <f>Данные!G282</f>
        <v>1</v>
      </c>
      <c r="H282" s="59" t="str">
        <f>Данные!H282</f>
        <v>4 курс 2016 год/пост</v>
      </c>
      <c r="I282" s="59" t="str">
        <f>Данные!I282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82" s="59">
        <f>Данные!J282</f>
        <v>0</v>
      </c>
      <c r="K282" s="59">
        <f>Данные!K282</f>
        <v>0</v>
      </c>
      <c r="L282" s="59">
        <f>Данные!L282</f>
        <v>0</v>
      </c>
      <c r="M282" s="60">
        <f t="shared" si="36"/>
        <v>0</v>
      </c>
      <c r="N282" s="60">
        <f t="shared" ca="1" si="37"/>
        <v>10.91</v>
      </c>
      <c r="O282" s="60">
        <f t="shared" ca="1" si="38"/>
        <v>6.75</v>
      </c>
      <c r="P282" s="60">
        <f t="shared" ca="1" si="39"/>
        <v>6.75</v>
      </c>
      <c r="Q282" s="54">
        <f>Данные!Q282</f>
        <v>0</v>
      </c>
      <c r="R282" s="54">
        <f>Данные!R282</f>
        <v>0</v>
      </c>
      <c r="S282" s="54">
        <f>Данные!S282</f>
        <v>0</v>
      </c>
      <c r="T282" s="54">
        <f>Данные!T282</f>
        <v>0</v>
      </c>
      <c r="U282" s="54">
        <f>Данные!U282</f>
        <v>0</v>
      </c>
      <c r="V282" s="54">
        <f>Данные!V282</f>
        <v>0</v>
      </c>
      <c r="W282" s="54">
        <f ca="1">Данные!W282</f>
        <v>27</v>
      </c>
      <c r="X282" s="54" t="str">
        <f ca="1">Данные!X282</f>
        <v>1</v>
      </c>
      <c r="Y282" s="54" t="str">
        <f ca="1">Данные!Y282</f>
        <v>2</v>
      </c>
      <c r="Z282" s="54">
        <f>Данные!Z282</f>
        <v>0</v>
      </c>
      <c r="AA282" s="54" t="str">
        <f>Данные!AA282</f>
        <v>осн</v>
      </c>
      <c r="AB282" s="101">
        <f t="shared" si="40"/>
        <v>700</v>
      </c>
      <c r="AC282" s="101" t="str">
        <f t="shared" si="41"/>
        <v>ИВТ (бак)</v>
      </c>
      <c r="AD282" s="101" t="str">
        <f t="shared" si="42"/>
        <v/>
      </c>
      <c r="AE282" s="102">
        <f t="shared" ca="1" si="43"/>
        <v>24.41</v>
      </c>
      <c r="AF282" s="103">
        <f t="shared" ca="1" si="44"/>
        <v>3.4871428571428574E-2</v>
      </c>
      <c r="AG282" s="101"/>
      <c r="AH282" s="101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Q282" s="72">
        <v>0</v>
      </c>
      <c r="BR282" s="72">
        <v>0</v>
      </c>
      <c r="BS282" s="72">
        <v>0</v>
      </c>
      <c r="BT282" s="72">
        <v>0</v>
      </c>
      <c r="BU282" s="72">
        <v>0</v>
      </c>
      <c r="BV282" s="72">
        <v>0</v>
      </c>
      <c r="BW282" s="72">
        <v>0</v>
      </c>
      <c r="BX282" s="72">
        <v>0</v>
      </c>
      <c r="BY282" s="72">
        <v>0</v>
      </c>
      <c r="BZ282" s="72">
        <v>0</v>
      </c>
      <c r="CA282" s="72">
        <v>0</v>
      </c>
      <c r="CB282" s="72">
        <v>0</v>
      </c>
      <c r="CC282" s="72">
        <v>0</v>
      </c>
      <c r="CD282" s="72">
        <v>0</v>
      </c>
      <c r="CE282" s="72">
        <v>0</v>
      </c>
      <c r="CF282" s="72">
        <v>0</v>
      </c>
      <c r="CG282" s="72">
        <v>0</v>
      </c>
      <c r="CH282" s="72">
        <v>0</v>
      </c>
      <c r="CI282" s="72">
        <v>0</v>
      </c>
      <c r="CJ282" s="72">
        <v>0</v>
      </c>
      <c r="CK282" s="72">
        <v>0</v>
      </c>
      <c r="CL282" s="72">
        <v>0</v>
      </c>
      <c r="CM282" s="72">
        <v>0</v>
      </c>
      <c r="CN282" s="72">
        <v>0</v>
      </c>
      <c r="CO282" s="72">
        <v>0</v>
      </c>
      <c r="CP282" s="72">
        <v>0</v>
      </c>
      <c r="CQ282" s="72">
        <v>0</v>
      </c>
      <c r="CR282" s="72">
        <v>0</v>
      </c>
      <c r="CS282" s="72">
        <v>0</v>
      </c>
      <c r="CT282" s="72">
        <v>0</v>
      </c>
      <c r="CU282" s="72">
        <v>0</v>
      </c>
      <c r="CV282" s="72">
        <v>0</v>
      </c>
      <c r="CW282" s="72">
        <v>0</v>
      </c>
      <c r="CX282" s="72">
        <v>0</v>
      </c>
      <c r="CY282" s="72">
        <v>0</v>
      </c>
      <c r="CZ282" s="72">
        <v>0</v>
      </c>
      <c r="DA282" s="72">
        <v>0</v>
      </c>
      <c r="DB282" s="72">
        <v>0</v>
      </c>
      <c r="DC282" s="72">
        <v>0</v>
      </c>
      <c r="DD282" s="72">
        <v>0</v>
      </c>
      <c r="DE282" s="72">
        <v>0</v>
      </c>
      <c r="DF282" s="72">
        <v>0</v>
      </c>
      <c r="DG282" s="72">
        <v>0</v>
      </c>
      <c r="DH282" s="72">
        <v>0</v>
      </c>
      <c r="DI282" s="72">
        <v>0</v>
      </c>
      <c r="DJ282" s="72">
        <v>0</v>
      </c>
      <c r="DK282" s="72">
        <v>0</v>
      </c>
      <c r="DL282" s="72">
        <v>0</v>
      </c>
      <c r="DM282" s="72">
        <v>0</v>
      </c>
      <c r="DN282" s="72">
        <v>0</v>
      </c>
      <c r="DO282" s="72">
        <v>0</v>
      </c>
      <c r="DP282" s="72">
        <v>0</v>
      </c>
      <c r="DQ282" s="72">
        <v>0</v>
      </c>
      <c r="DR282" s="72">
        <v>0</v>
      </c>
      <c r="DS282" s="72">
        <v>0</v>
      </c>
      <c r="DT282" s="72">
        <v>0</v>
      </c>
      <c r="DU282" s="72">
        <v>0</v>
      </c>
      <c r="DV282" s="72">
        <v>0</v>
      </c>
      <c r="DW282" s="72">
        <v>0</v>
      </c>
      <c r="DX282" s="72">
        <v>0</v>
      </c>
      <c r="DY282" s="72">
        <v>0</v>
      </c>
      <c r="DZ282" s="72">
        <v>0</v>
      </c>
      <c r="EA282" s="72">
        <v>0</v>
      </c>
      <c r="EB282" s="72">
        <v>0</v>
      </c>
      <c r="EC282" s="72">
        <v>0</v>
      </c>
      <c r="ED282" s="72">
        <v>0</v>
      </c>
      <c r="EE282" s="72">
        <v>0</v>
      </c>
      <c r="EF282" s="72">
        <v>0</v>
      </c>
      <c r="EG282" s="72">
        <v>0</v>
      </c>
      <c r="EH282" s="72">
        <v>0</v>
      </c>
      <c r="EI282" s="72">
        <v>0</v>
      </c>
      <c r="EJ282" s="72">
        <v>0</v>
      </c>
      <c r="EK282" s="72">
        <v>0</v>
      </c>
      <c r="EL282" s="72">
        <v>0</v>
      </c>
    </row>
    <row r="283" spans="1:142" x14ac:dyDescent="0.35">
      <c r="A283" s="59">
        <f>Данные!A283</f>
        <v>4848</v>
      </c>
      <c r="B283" s="59">
        <f>Данные!B283</f>
        <v>2019</v>
      </c>
      <c r="C283" s="59" t="str">
        <f>Данные!C283</f>
        <v>компьютерных технологий и электронного обучения</v>
      </c>
      <c r="D283" s="59" t="str">
        <f>Данные!D283</f>
        <v>Воробьев Владимир Иванович</v>
      </c>
      <c r="E283" s="59" t="str">
        <f>Данные!E283</f>
        <v>доктор технических наук</v>
      </c>
      <c r="F283" s="59" t="str">
        <f>Данные!F283</f>
        <v>внешний</v>
      </c>
      <c r="G283" s="59">
        <f>Данные!G283</f>
        <v>1</v>
      </c>
      <c r="H283" s="59" t="str">
        <f>Данные!H283</f>
        <v>4 курс 2016 год/пост</v>
      </c>
      <c r="I283" s="59" t="str">
        <f>Данные!I283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83" s="59">
        <f>Данные!J283</f>
        <v>0</v>
      </c>
      <c r="K283" s="59">
        <f>Данные!K283</f>
        <v>0</v>
      </c>
      <c r="L283" s="59">
        <f>Данные!L283</f>
        <v>0</v>
      </c>
      <c r="M283" s="60">
        <f t="shared" si="36"/>
        <v>0</v>
      </c>
      <c r="N283" s="60">
        <f t="shared" ca="1" si="37"/>
        <v>10.91</v>
      </c>
      <c r="O283" s="60">
        <f t="shared" ca="1" si="38"/>
        <v>6.75</v>
      </c>
      <c r="P283" s="60">
        <f t="shared" ca="1" si="39"/>
        <v>6.75</v>
      </c>
      <c r="Q283" s="54">
        <f>Данные!Q283</f>
        <v>0</v>
      </c>
      <c r="R283" s="54">
        <f>Данные!R283</f>
        <v>0</v>
      </c>
      <c r="S283" s="54">
        <f>Данные!S283</f>
        <v>0</v>
      </c>
      <c r="T283" s="54">
        <f>Данные!T283</f>
        <v>0</v>
      </c>
      <c r="U283" s="54">
        <f>Данные!U283</f>
        <v>14</v>
      </c>
      <c r="V283" s="54">
        <f>Данные!V283</f>
        <v>0</v>
      </c>
      <c r="W283" s="54">
        <f ca="1">Данные!W283</f>
        <v>27</v>
      </c>
      <c r="X283" s="54" t="str">
        <f ca="1">Данные!X283</f>
        <v>1</v>
      </c>
      <c r="Y283" s="54" t="str">
        <f ca="1">Данные!Y283</f>
        <v>2</v>
      </c>
      <c r="Z283" s="54">
        <f>Данные!Z283</f>
        <v>0</v>
      </c>
      <c r="AA283" s="54" t="str">
        <f>Данные!AA283</f>
        <v>осн</v>
      </c>
      <c r="AB283" s="101">
        <f t="shared" si="40"/>
        <v>900</v>
      </c>
      <c r="AC283" s="101" t="str">
        <f t="shared" si="41"/>
        <v>ИВТ (бак)</v>
      </c>
      <c r="AD283" s="101" t="str">
        <f t="shared" si="42"/>
        <v/>
      </c>
      <c r="AE283" s="102">
        <f t="shared" ca="1" si="43"/>
        <v>38.409999999999997</v>
      </c>
      <c r="AF283" s="103">
        <f t="shared" ca="1" si="44"/>
        <v>4.2677777777777773E-2</v>
      </c>
      <c r="AG283" s="101"/>
      <c r="AH283" s="101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Q283" s="72">
        <v>0</v>
      </c>
      <c r="BR283" s="72">
        <v>0</v>
      </c>
      <c r="BS283" s="72">
        <v>0</v>
      </c>
      <c r="BT283" s="72">
        <v>0</v>
      </c>
      <c r="BU283" s="72">
        <v>0</v>
      </c>
      <c r="BV283" s="72">
        <v>0</v>
      </c>
      <c r="BW283" s="72">
        <v>0</v>
      </c>
      <c r="BX283" s="72">
        <v>0</v>
      </c>
      <c r="BY283" s="72">
        <v>0</v>
      </c>
      <c r="BZ283" s="72">
        <v>0</v>
      </c>
      <c r="CA283" s="72">
        <v>0</v>
      </c>
      <c r="CB283" s="72">
        <v>0</v>
      </c>
      <c r="CC283" s="72">
        <v>0</v>
      </c>
      <c r="CD283" s="72">
        <v>0</v>
      </c>
      <c r="CE283" s="72">
        <v>0</v>
      </c>
      <c r="CF283" s="72">
        <v>0</v>
      </c>
      <c r="CG283" s="72">
        <v>0</v>
      </c>
      <c r="CH283" s="72">
        <v>0</v>
      </c>
      <c r="CI283" s="72">
        <v>0</v>
      </c>
      <c r="CJ283" s="72">
        <v>0</v>
      </c>
      <c r="CK283" s="72">
        <v>0</v>
      </c>
      <c r="CL283" s="72">
        <v>0</v>
      </c>
      <c r="CM283" s="72">
        <v>0</v>
      </c>
      <c r="CN283" s="72">
        <v>0</v>
      </c>
      <c r="CO283" s="72">
        <v>0</v>
      </c>
      <c r="CP283" s="72">
        <v>0</v>
      </c>
      <c r="CQ283" s="72">
        <v>0</v>
      </c>
      <c r="CR283" s="72">
        <v>0</v>
      </c>
      <c r="CS283" s="72">
        <v>0</v>
      </c>
      <c r="CT283" s="72">
        <v>0</v>
      </c>
      <c r="CU283" s="72">
        <v>0</v>
      </c>
      <c r="CV283" s="72">
        <v>0</v>
      </c>
      <c r="CW283" s="72">
        <v>0</v>
      </c>
      <c r="CX283" s="72">
        <v>0</v>
      </c>
      <c r="CY283" s="72">
        <v>0</v>
      </c>
      <c r="CZ283" s="72">
        <v>0</v>
      </c>
      <c r="DA283" s="72">
        <v>0</v>
      </c>
      <c r="DB283" s="72">
        <v>0</v>
      </c>
      <c r="DC283" s="72">
        <v>0</v>
      </c>
      <c r="DD283" s="72">
        <v>0</v>
      </c>
      <c r="DE283" s="72">
        <v>0</v>
      </c>
      <c r="DF283" s="72">
        <v>0</v>
      </c>
      <c r="DG283" s="72">
        <v>0</v>
      </c>
      <c r="DH283" s="72">
        <v>0</v>
      </c>
      <c r="DI283" s="72">
        <v>0</v>
      </c>
      <c r="DJ283" s="72">
        <v>0</v>
      </c>
      <c r="DK283" s="72">
        <v>0</v>
      </c>
      <c r="DL283" s="72">
        <v>0</v>
      </c>
      <c r="DM283" s="72">
        <v>0</v>
      </c>
      <c r="DN283" s="72">
        <v>0</v>
      </c>
      <c r="DO283" s="72">
        <v>0</v>
      </c>
      <c r="DP283" s="72">
        <v>0</v>
      </c>
      <c r="DQ283" s="72">
        <v>0</v>
      </c>
      <c r="DR283" s="72">
        <v>0</v>
      </c>
      <c r="DS283" s="72">
        <v>0</v>
      </c>
      <c r="DT283" s="72">
        <v>0</v>
      </c>
      <c r="DU283" s="72">
        <v>0</v>
      </c>
      <c r="DV283" s="72">
        <v>0</v>
      </c>
      <c r="DW283" s="72">
        <v>0</v>
      </c>
      <c r="DX283" s="72">
        <v>0</v>
      </c>
      <c r="DY283" s="72">
        <v>0</v>
      </c>
      <c r="DZ283" s="72">
        <v>0</v>
      </c>
      <c r="EA283" s="72">
        <v>0</v>
      </c>
      <c r="EB283" s="72">
        <v>0</v>
      </c>
      <c r="EC283" s="72">
        <v>0</v>
      </c>
      <c r="ED283" s="72">
        <v>0</v>
      </c>
      <c r="EE283" s="72">
        <v>0</v>
      </c>
      <c r="EF283" s="72">
        <v>0</v>
      </c>
      <c r="EG283" s="72">
        <v>0</v>
      </c>
      <c r="EH283" s="72">
        <v>0</v>
      </c>
      <c r="EI283" s="72">
        <v>0</v>
      </c>
      <c r="EJ283" s="72">
        <v>0</v>
      </c>
      <c r="EK283" s="72">
        <v>0</v>
      </c>
      <c r="EL283" s="72">
        <v>0</v>
      </c>
    </row>
    <row r="284" spans="1:142" x14ac:dyDescent="0.35">
      <c r="A284" s="59">
        <f>Данные!A284</f>
        <v>4848</v>
      </c>
      <c r="B284" s="59">
        <f>Данные!B284</f>
        <v>2019</v>
      </c>
      <c r="C284" s="59" t="str">
        <f>Данные!C284</f>
        <v>компьютерных технологий и электронного обучения</v>
      </c>
      <c r="D284" s="59" t="str">
        <f>Данные!D284</f>
        <v>Воробьев Владимир Иванович</v>
      </c>
      <c r="E284" s="59" t="str">
        <f>Данные!E284</f>
        <v>доктор технических наук</v>
      </c>
      <c r="F284" s="59" t="str">
        <f>Данные!F284</f>
        <v>внешний</v>
      </c>
      <c r="G284" s="59">
        <f>Данные!G284</f>
        <v>1</v>
      </c>
      <c r="H284" s="59" t="str">
        <f>Данные!H284</f>
        <v>4 курс 2016 год/пост</v>
      </c>
      <c r="I284" s="59" t="str">
        <f>Данные!I284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84" s="59">
        <f>Данные!J284</f>
        <v>0</v>
      </c>
      <c r="K284" s="59">
        <f>Данные!K284</f>
        <v>0</v>
      </c>
      <c r="L284" s="59">
        <f>Данные!L284</f>
        <v>0</v>
      </c>
      <c r="M284" s="60">
        <f t="shared" si="36"/>
        <v>0</v>
      </c>
      <c r="N284" s="60">
        <f t="shared" ca="1" si="37"/>
        <v>10.91</v>
      </c>
      <c r="O284" s="60">
        <f t="shared" ca="1" si="38"/>
        <v>6.75</v>
      </c>
      <c r="P284" s="60">
        <f t="shared" ca="1" si="39"/>
        <v>6.75</v>
      </c>
      <c r="Q284" s="54">
        <f>Данные!Q284</f>
        <v>0</v>
      </c>
      <c r="R284" s="54">
        <f>Данные!R284</f>
        <v>0</v>
      </c>
      <c r="S284" s="54">
        <f>Данные!S284</f>
        <v>0</v>
      </c>
      <c r="T284" s="54">
        <f>Данные!T284</f>
        <v>0</v>
      </c>
      <c r="U284" s="54">
        <f>Данные!U284</f>
        <v>14</v>
      </c>
      <c r="V284" s="54">
        <f>Данные!V284</f>
        <v>0</v>
      </c>
      <c r="W284" s="54">
        <f ca="1">Данные!W284</f>
        <v>27</v>
      </c>
      <c r="X284" s="54" t="str">
        <f ca="1">Данные!X284</f>
        <v>1</v>
      </c>
      <c r="Y284" s="54" t="str">
        <f ca="1">Данные!Y284</f>
        <v>2</v>
      </c>
      <c r="Z284" s="54">
        <f>Данные!Z284</f>
        <v>0</v>
      </c>
      <c r="AA284" s="54" t="str">
        <f>Данные!AA284</f>
        <v>осн</v>
      </c>
      <c r="AB284" s="101">
        <f t="shared" si="40"/>
        <v>900</v>
      </c>
      <c r="AC284" s="101" t="str">
        <f t="shared" si="41"/>
        <v>ИВТ (бак)</v>
      </c>
      <c r="AD284" s="101" t="str">
        <f t="shared" si="42"/>
        <v/>
      </c>
      <c r="AE284" s="102">
        <f t="shared" ca="1" si="43"/>
        <v>38.409999999999997</v>
      </c>
      <c r="AF284" s="103">
        <f t="shared" ca="1" si="44"/>
        <v>4.2677777777777773E-2</v>
      </c>
      <c r="AG284" s="101"/>
      <c r="AH284" s="101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Q284" s="72">
        <v>0</v>
      </c>
      <c r="BR284" s="72">
        <v>0</v>
      </c>
      <c r="BS284" s="72">
        <v>0</v>
      </c>
      <c r="BT284" s="72">
        <v>0</v>
      </c>
      <c r="BU284" s="72">
        <v>0</v>
      </c>
      <c r="BV284" s="72">
        <v>0</v>
      </c>
      <c r="BW284" s="72">
        <v>0</v>
      </c>
      <c r="BX284" s="72">
        <v>0</v>
      </c>
      <c r="BY284" s="72">
        <v>0</v>
      </c>
      <c r="BZ284" s="72">
        <v>0</v>
      </c>
      <c r="CA284" s="72">
        <v>0</v>
      </c>
      <c r="CB284" s="72">
        <v>0</v>
      </c>
      <c r="CC284" s="72">
        <v>0</v>
      </c>
      <c r="CD284" s="72">
        <v>0</v>
      </c>
      <c r="CE284" s="72">
        <v>0</v>
      </c>
      <c r="CF284" s="72">
        <v>0</v>
      </c>
      <c r="CG284" s="72">
        <v>0</v>
      </c>
      <c r="CH284" s="72">
        <v>0</v>
      </c>
      <c r="CI284" s="72">
        <v>0</v>
      </c>
      <c r="CJ284" s="72">
        <v>0</v>
      </c>
      <c r="CK284" s="72">
        <v>0</v>
      </c>
      <c r="CL284" s="72">
        <v>0</v>
      </c>
      <c r="CM284" s="72">
        <v>0</v>
      </c>
      <c r="CN284" s="72">
        <v>0</v>
      </c>
      <c r="CO284" s="72">
        <v>0</v>
      </c>
      <c r="CP284" s="72">
        <v>0</v>
      </c>
      <c r="CQ284" s="72">
        <v>0</v>
      </c>
      <c r="CR284" s="72">
        <v>0</v>
      </c>
      <c r="CS284" s="72">
        <v>0</v>
      </c>
      <c r="CT284" s="72">
        <v>0</v>
      </c>
      <c r="CU284" s="72">
        <v>0</v>
      </c>
      <c r="CV284" s="72">
        <v>0</v>
      </c>
      <c r="CW284" s="72">
        <v>0</v>
      </c>
      <c r="CX284" s="72">
        <v>0</v>
      </c>
      <c r="CY284" s="72">
        <v>0</v>
      </c>
      <c r="CZ284" s="72">
        <v>0</v>
      </c>
      <c r="DA284" s="72">
        <v>0</v>
      </c>
      <c r="DB284" s="72">
        <v>0</v>
      </c>
      <c r="DC284" s="72">
        <v>0</v>
      </c>
      <c r="DD284" s="72">
        <v>0</v>
      </c>
      <c r="DE284" s="72">
        <v>0</v>
      </c>
      <c r="DF284" s="72">
        <v>0</v>
      </c>
      <c r="DG284" s="72">
        <v>0</v>
      </c>
      <c r="DH284" s="72">
        <v>0</v>
      </c>
      <c r="DI284" s="72">
        <v>0</v>
      </c>
      <c r="DJ284" s="72">
        <v>0</v>
      </c>
      <c r="DK284" s="72">
        <v>0</v>
      </c>
      <c r="DL284" s="72">
        <v>0</v>
      </c>
      <c r="DM284" s="72">
        <v>0</v>
      </c>
      <c r="DN284" s="72">
        <v>0</v>
      </c>
      <c r="DO284" s="72">
        <v>0</v>
      </c>
      <c r="DP284" s="72">
        <v>0</v>
      </c>
      <c r="DQ284" s="72">
        <v>0</v>
      </c>
      <c r="DR284" s="72">
        <v>0</v>
      </c>
      <c r="DS284" s="72">
        <v>0</v>
      </c>
      <c r="DT284" s="72">
        <v>0</v>
      </c>
      <c r="DU284" s="72">
        <v>0</v>
      </c>
      <c r="DV284" s="72">
        <v>0</v>
      </c>
      <c r="DW284" s="72">
        <v>0</v>
      </c>
      <c r="DX284" s="72">
        <v>0</v>
      </c>
      <c r="DY284" s="72">
        <v>0</v>
      </c>
      <c r="DZ284" s="72">
        <v>0</v>
      </c>
      <c r="EA284" s="72">
        <v>0</v>
      </c>
      <c r="EB284" s="72">
        <v>0</v>
      </c>
      <c r="EC284" s="72">
        <v>0</v>
      </c>
      <c r="ED284" s="72">
        <v>0</v>
      </c>
      <c r="EE284" s="72">
        <v>0</v>
      </c>
      <c r="EF284" s="72">
        <v>0</v>
      </c>
      <c r="EG284" s="72">
        <v>0</v>
      </c>
      <c r="EH284" s="72">
        <v>0</v>
      </c>
      <c r="EI284" s="72">
        <v>0</v>
      </c>
      <c r="EJ284" s="72">
        <v>0</v>
      </c>
      <c r="EK284" s="72">
        <v>0</v>
      </c>
      <c r="EL284" s="72">
        <v>0</v>
      </c>
    </row>
    <row r="285" spans="1:142" x14ac:dyDescent="0.35">
      <c r="A285" s="59">
        <f>Данные!A285</f>
        <v>4848</v>
      </c>
      <c r="B285" s="59">
        <f>Данные!B285</f>
        <v>2019</v>
      </c>
      <c r="C285" s="59" t="str">
        <f>Данные!C285</f>
        <v>компьютерных технологий и электронного обучения</v>
      </c>
      <c r="D285" s="59" t="str">
        <f>Данные!D285</f>
        <v>Воробьев Владимир Иванович</v>
      </c>
      <c r="E285" s="59" t="str">
        <f>Данные!E285</f>
        <v>доктор технических наук</v>
      </c>
      <c r="F285" s="59" t="str">
        <f>Данные!F285</f>
        <v>внешний</v>
      </c>
      <c r="G285" s="59">
        <f>Данные!G285</f>
        <v>1</v>
      </c>
      <c r="H285" s="59" t="str">
        <f>Данные!H285</f>
        <v>4 курс 2016 год/пост</v>
      </c>
      <c r="I285" s="59" t="str">
        <f>Данные!I285</f>
        <v>Руководство ВКР</v>
      </c>
      <c r="J285" s="59">
        <f>Данные!J285</f>
        <v>0</v>
      </c>
      <c r="K285" s="59">
        <f>Данные!K285</f>
        <v>0</v>
      </c>
      <c r="L285" s="59">
        <f>Данные!L285</f>
        <v>0</v>
      </c>
      <c r="M285" s="60">
        <f t="shared" si="36"/>
        <v>0</v>
      </c>
      <c r="N285" s="60">
        <f t="shared" ca="1" si="37"/>
        <v>10.91</v>
      </c>
      <c r="O285" s="60">
        <f t="shared" ca="1" si="38"/>
        <v>6.75</v>
      </c>
      <c r="P285" s="60">
        <f t="shared" ca="1" si="39"/>
        <v>6.75</v>
      </c>
      <c r="Q285" s="54">
        <f>Данные!Q285</f>
        <v>0</v>
      </c>
      <c r="R285" s="54">
        <f>Данные!R285</f>
        <v>0</v>
      </c>
      <c r="S285" s="54">
        <f>Данные!S285</f>
        <v>0</v>
      </c>
      <c r="T285" s="54">
        <f>Данные!T285</f>
        <v>0</v>
      </c>
      <c r="U285" s="54">
        <f>Данные!U285</f>
        <v>0</v>
      </c>
      <c r="V285" s="54">
        <f>Данные!V285</f>
        <v>140</v>
      </c>
      <c r="W285" s="54">
        <f ca="1">Данные!W285</f>
        <v>27</v>
      </c>
      <c r="X285" s="54" t="str">
        <f ca="1">Данные!X285</f>
        <v>1</v>
      </c>
      <c r="Y285" s="54" t="str">
        <f ca="1">Данные!Y285</f>
        <v>2</v>
      </c>
      <c r="Z285" s="54">
        <f>Данные!Z285</f>
        <v>0</v>
      </c>
      <c r="AA285" s="54">
        <f>Данные!AA285</f>
        <v>0</v>
      </c>
      <c r="AB285" s="101">
        <f t="shared" si="40"/>
        <v>900</v>
      </c>
      <c r="AC285" s="101" t="str">
        <f t="shared" si="41"/>
        <v>ИВТ (бак)</v>
      </c>
      <c r="AD285" s="101" t="str">
        <f t="shared" si="42"/>
        <v/>
      </c>
      <c r="AE285" s="102">
        <f t="shared" ca="1" si="43"/>
        <v>164.41</v>
      </c>
      <c r="AF285" s="103">
        <f t="shared" ca="1" si="44"/>
        <v>0.18267777777777777</v>
      </c>
      <c r="AG285" s="101"/>
      <c r="AH285" s="101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Q285" s="72">
        <v>0</v>
      </c>
      <c r="BR285" s="72">
        <v>0</v>
      </c>
      <c r="BS285" s="72">
        <v>0</v>
      </c>
      <c r="BT285" s="72">
        <v>0</v>
      </c>
      <c r="BU285" s="72">
        <v>0</v>
      </c>
      <c r="BV285" s="72">
        <v>0</v>
      </c>
      <c r="BW285" s="72">
        <v>0</v>
      </c>
      <c r="BX285" s="72">
        <v>0</v>
      </c>
      <c r="BY285" s="72">
        <v>0</v>
      </c>
      <c r="BZ285" s="72">
        <v>0</v>
      </c>
      <c r="CA285" s="72">
        <v>0</v>
      </c>
      <c r="CB285" s="72">
        <v>0</v>
      </c>
      <c r="CC285" s="72">
        <v>0</v>
      </c>
      <c r="CD285" s="72">
        <v>0</v>
      </c>
      <c r="CE285" s="72">
        <v>0</v>
      </c>
      <c r="CF285" s="72">
        <v>0</v>
      </c>
      <c r="CG285" s="72">
        <v>0</v>
      </c>
      <c r="CH285" s="72">
        <v>0</v>
      </c>
      <c r="CI285" s="72">
        <v>0</v>
      </c>
      <c r="CJ285" s="72">
        <v>0</v>
      </c>
      <c r="CK285" s="72">
        <v>0</v>
      </c>
      <c r="CL285" s="72">
        <v>0</v>
      </c>
      <c r="CM285" s="72">
        <v>0</v>
      </c>
      <c r="CN285" s="72">
        <v>0</v>
      </c>
      <c r="CO285" s="72">
        <v>0</v>
      </c>
      <c r="CP285" s="72">
        <v>0</v>
      </c>
      <c r="CQ285" s="72">
        <v>0</v>
      </c>
      <c r="CR285" s="72">
        <v>0</v>
      </c>
      <c r="CS285" s="72">
        <v>0</v>
      </c>
      <c r="CT285" s="72">
        <v>0</v>
      </c>
      <c r="CU285" s="72">
        <v>0</v>
      </c>
      <c r="CV285" s="72">
        <v>0</v>
      </c>
      <c r="CW285" s="72">
        <v>0</v>
      </c>
      <c r="CX285" s="72">
        <v>0</v>
      </c>
      <c r="CY285" s="72">
        <v>0</v>
      </c>
      <c r="CZ285" s="72">
        <v>0</v>
      </c>
      <c r="DA285" s="72">
        <v>0</v>
      </c>
      <c r="DB285" s="72">
        <v>0</v>
      </c>
      <c r="DC285" s="72">
        <v>0</v>
      </c>
      <c r="DD285" s="72">
        <v>0</v>
      </c>
      <c r="DE285" s="72">
        <v>0</v>
      </c>
      <c r="DF285" s="72">
        <v>0</v>
      </c>
      <c r="DG285" s="72">
        <v>0</v>
      </c>
      <c r="DH285" s="72">
        <v>0</v>
      </c>
      <c r="DI285" s="72">
        <v>0</v>
      </c>
      <c r="DJ285" s="72">
        <v>0</v>
      </c>
      <c r="DK285" s="72">
        <v>0</v>
      </c>
      <c r="DL285" s="72">
        <v>0</v>
      </c>
      <c r="DM285" s="72">
        <v>0</v>
      </c>
      <c r="DN285" s="72">
        <v>0</v>
      </c>
      <c r="DO285" s="72">
        <v>0</v>
      </c>
      <c r="DP285" s="72">
        <v>0</v>
      </c>
      <c r="DQ285" s="72">
        <v>0</v>
      </c>
      <c r="DR285" s="72">
        <v>0</v>
      </c>
      <c r="DS285" s="72">
        <v>0</v>
      </c>
      <c r="DT285" s="72">
        <v>0</v>
      </c>
      <c r="DU285" s="72">
        <v>0</v>
      </c>
      <c r="DV285" s="72">
        <v>0</v>
      </c>
      <c r="DW285" s="72">
        <v>0</v>
      </c>
      <c r="DX285" s="72">
        <v>0</v>
      </c>
      <c r="DY285" s="72">
        <v>0</v>
      </c>
      <c r="DZ285" s="72">
        <v>0</v>
      </c>
      <c r="EA285" s="72">
        <v>0</v>
      </c>
      <c r="EB285" s="72">
        <v>0</v>
      </c>
      <c r="EC285" s="72">
        <v>0</v>
      </c>
      <c r="ED285" s="72">
        <v>0</v>
      </c>
      <c r="EE285" s="72">
        <v>0</v>
      </c>
      <c r="EF285" s="72">
        <v>0</v>
      </c>
      <c r="EG285" s="72">
        <v>0</v>
      </c>
      <c r="EH285" s="72">
        <v>0</v>
      </c>
      <c r="EI285" s="72">
        <v>0</v>
      </c>
      <c r="EJ285" s="72">
        <v>0</v>
      </c>
      <c r="EK285" s="72">
        <v>0</v>
      </c>
      <c r="EL285" s="72">
        <v>0</v>
      </c>
    </row>
    <row r="286" spans="1:142" x14ac:dyDescent="0.35">
      <c r="A286" s="59">
        <f>Данные!A286</f>
        <v>4848</v>
      </c>
      <c r="B286" s="59">
        <f>Данные!B286</f>
        <v>2019</v>
      </c>
      <c r="C286" s="59" t="str">
        <f>Данные!C286</f>
        <v>компьютерных технологий и электронного обучения</v>
      </c>
      <c r="D286" s="59" t="str">
        <f>Данные!D286</f>
        <v>Гончарова Светлана Викторовна</v>
      </c>
      <c r="E286" s="59" t="str">
        <f>Данные!E286</f>
        <v>кандидат педагогических наук</v>
      </c>
      <c r="F286" s="59" t="str">
        <f>Данные!F286</f>
        <v>доцент</v>
      </c>
      <c r="G286" s="59">
        <f>Данные!G286</f>
        <v>1</v>
      </c>
      <c r="H286" s="59" t="str">
        <f>Данные!H286</f>
        <v>4 курс 2016 год/пост</v>
      </c>
      <c r="I286" s="59" t="str">
        <f>Данные!I286</f>
        <v>Участие в ГЭК (защита, экзамен)</v>
      </c>
      <c r="J286" s="59">
        <f>Данные!J286</f>
        <v>0</v>
      </c>
      <c r="K286" s="59">
        <f>Данные!K286</f>
        <v>0</v>
      </c>
      <c r="L286" s="59">
        <f>Данные!L286</f>
        <v>0</v>
      </c>
      <c r="M286" s="60">
        <f t="shared" si="36"/>
        <v>0</v>
      </c>
      <c r="N286" s="60">
        <f t="shared" ca="1" si="37"/>
        <v>10.91</v>
      </c>
      <c r="O286" s="60">
        <f t="shared" ca="1" si="38"/>
        <v>6.75</v>
      </c>
      <c r="P286" s="60">
        <f t="shared" ca="1" si="39"/>
        <v>6.75</v>
      </c>
      <c r="Q286" s="54">
        <f>Данные!Q286</f>
        <v>0</v>
      </c>
      <c r="R286" s="54">
        <f>Данные!R286</f>
        <v>5</v>
      </c>
      <c r="S286" s="54">
        <f>Данные!S286</f>
        <v>8</v>
      </c>
      <c r="T286" s="54">
        <f>Данные!T286</f>
        <v>0</v>
      </c>
      <c r="U286" s="54">
        <f>Данные!U286</f>
        <v>0</v>
      </c>
      <c r="V286" s="54">
        <f>Данные!V286</f>
        <v>0</v>
      </c>
      <c r="W286" s="54">
        <f ca="1">Данные!W286</f>
        <v>27</v>
      </c>
      <c r="X286" s="54" t="str">
        <f ca="1">Данные!X286</f>
        <v>1</v>
      </c>
      <c r="Y286" s="54" t="str">
        <f ca="1">Данные!Y286</f>
        <v>2</v>
      </c>
      <c r="Z286" s="54">
        <f>Данные!Z286</f>
        <v>0</v>
      </c>
      <c r="AA286" s="54" t="str">
        <f>Данные!AA286</f>
        <v>осн</v>
      </c>
      <c r="AB286" s="101">
        <f t="shared" si="40"/>
        <v>800</v>
      </c>
      <c r="AC286" s="101" t="str">
        <f t="shared" si="41"/>
        <v>ИВТ (бак)</v>
      </c>
      <c r="AD286" s="101" t="str">
        <f t="shared" si="42"/>
        <v/>
      </c>
      <c r="AE286" s="102">
        <f t="shared" ca="1" si="43"/>
        <v>37.409999999999997</v>
      </c>
      <c r="AF286" s="103">
        <f t="shared" ca="1" si="44"/>
        <v>4.6762499999999999E-2</v>
      </c>
      <c r="AG286" s="101"/>
      <c r="AH286" s="101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Q286" s="72">
        <v>0</v>
      </c>
      <c r="BR286" s="72">
        <v>0</v>
      </c>
      <c r="BS286" s="72">
        <v>0</v>
      </c>
      <c r="BT286" s="72">
        <v>0</v>
      </c>
      <c r="BU286" s="72">
        <v>0</v>
      </c>
      <c r="BV286" s="72">
        <v>0</v>
      </c>
      <c r="BW286" s="72">
        <v>0</v>
      </c>
      <c r="BX286" s="72">
        <v>0</v>
      </c>
      <c r="BY286" s="72">
        <v>0</v>
      </c>
      <c r="BZ286" s="72">
        <v>0</v>
      </c>
      <c r="CA286" s="72">
        <v>0</v>
      </c>
      <c r="CB286" s="72">
        <v>0</v>
      </c>
      <c r="CC286" s="72">
        <v>0</v>
      </c>
      <c r="CD286" s="72">
        <v>0</v>
      </c>
      <c r="CE286" s="72">
        <v>0</v>
      </c>
      <c r="CF286" s="72">
        <v>0</v>
      </c>
      <c r="CG286" s="72">
        <v>0</v>
      </c>
      <c r="CH286" s="72">
        <v>0</v>
      </c>
      <c r="CI286" s="72">
        <v>0</v>
      </c>
      <c r="CJ286" s="72">
        <v>0</v>
      </c>
      <c r="CK286" s="72">
        <v>0</v>
      </c>
      <c r="CL286" s="72">
        <v>0</v>
      </c>
      <c r="CM286" s="72">
        <v>0</v>
      </c>
      <c r="CN286" s="72">
        <v>0</v>
      </c>
      <c r="CO286" s="72">
        <v>0</v>
      </c>
      <c r="CP286" s="72">
        <v>0</v>
      </c>
      <c r="CQ286" s="72">
        <v>0</v>
      </c>
      <c r="CR286" s="72">
        <v>0</v>
      </c>
      <c r="CS286" s="72">
        <v>0</v>
      </c>
      <c r="CT286" s="72">
        <v>0</v>
      </c>
      <c r="CU286" s="72">
        <v>0</v>
      </c>
      <c r="CV286" s="72">
        <v>0</v>
      </c>
      <c r="CW286" s="72">
        <v>0</v>
      </c>
      <c r="CX286" s="72">
        <v>0</v>
      </c>
      <c r="CY286" s="72">
        <v>0</v>
      </c>
      <c r="CZ286" s="72">
        <v>0</v>
      </c>
      <c r="DA286" s="72">
        <v>0</v>
      </c>
      <c r="DB286" s="72">
        <v>0</v>
      </c>
      <c r="DC286" s="72">
        <v>0</v>
      </c>
      <c r="DD286" s="72">
        <v>0</v>
      </c>
      <c r="DE286" s="72">
        <v>0</v>
      </c>
      <c r="DF286" s="72">
        <v>0</v>
      </c>
      <c r="DG286" s="72">
        <v>0</v>
      </c>
      <c r="DH286" s="72">
        <v>0</v>
      </c>
      <c r="DI286" s="72">
        <v>0</v>
      </c>
      <c r="DJ286" s="72">
        <v>0</v>
      </c>
      <c r="DK286" s="72">
        <v>0</v>
      </c>
      <c r="DL286" s="72">
        <v>0</v>
      </c>
      <c r="DM286" s="72">
        <v>0</v>
      </c>
      <c r="DN286" s="72">
        <v>0</v>
      </c>
      <c r="DO286" s="72">
        <v>0</v>
      </c>
      <c r="DP286" s="72">
        <v>0</v>
      </c>
      <c r="DQ286" s="72">
        <v>0</v>
      </c>
      <c r="DR286" s="72">
        <v>0</v>
      </c>
      <c r="DS286" s="72">
        <v>0</v>
      </c>
      <c r="DT286" s="72">
        <v>0</v>
      </c>
      <c r="DU286" s="72">
        <v>0</v>
      </c>
      <c r="DV286" s="72">
        <v>0</v>
      </c>
      <c r="DW286" s="72">
        <v>0</v>
      </c>
      <c r="DX286" s="72">
        <v>0</v>
      </c>
      <c r="DY286" s="72">
        <v>0</v>
      </c>
      <c r="DZ286" s="72">
        <v>0</v>
      </c>
      <c r="EA286" s="72">
        <v>0</v>
      </c>
      <c r="EB286" s="72">
        <v>0</v>
      </c>
      <c r="EC286" s="72">
        <v>0</v>
      </c>
      <c r="ED286" s="72">
        <v>0</v>
      </c>
      <c r="EE286" s="72">
        <v>0</v>
      </c>
      <c r="EF286" s="72">
        <v>0</v>
      </c>
      <c r="EG286" s="72">
        <v>0</v>
      </c>
      <c r="EH286" s="72">
        <v>0</v>
      </c>
      <c r="EI286" s="72">
        <v>0</v>
      </c>
      <c r="EJ286" s="72">
        <v>0</v>
      </c>
      <c r="EK286" s="72">
        <v>0</v>
      </c>
      <c r="EL286" s="72">
        <v>0</v>
      </c>
    </row>
    <row r="287" spans="1:142" x14ac:dyDescent="0.35">
      <c r="A287" s="59">
        <f>Данные!A287</f>
        <v>4848</v>
      </c>
      <c r="B287" s="59">
        <f>Данные!B287</f>
        <v>2019</v>
      </c>
      <c r="C287" s="59" t="str">
        <f>Данные!C287</f>
        <v>компьютерных технологий и электронного обучения</v>
      </c>
      <c r="D287" s="59" t="str">
        <f>Данные!D287</f>
        <v>Государев Илья Борисович</v>
      </c>
      <c r="E287" s="59" t="str">
        <f>Данные!E287</f>
        <v>кандидат педагогических наук</v>
      </c>
      <c r="F287" s="59" t="str">
        <f>Данные!F287</f>
        <v>доцент</v>
      </c>
      <c r="G287" s="59">
        <f>Данные!G287</f>
        <v>1</v>
      </c>
      <c r="H287" s="59" t="str">
        <f>Данные!H287</f>
        <v>4 курс 2016 год/пост</v>
      </c>
      <c r="I287" s="59" t="str">
        <f>Данные!I287</f>
        <v>Модуль "Информационные ресурсы и средства профессиональной деятельности инженера"</v>
      </c>
      <c r="J287" s="59">
        <f>Данные!J287</f>
        <v>0</v>
      </c>
      <c r="K287" s="59">
        <f>Данные!K287</f>
        <v>0</v>
      </c>
      <c r="L287" s="59">
        <f>Данные!L287</f>
        <v>0</v>
      </c>
      <c r="M287" s="60">
        <f t="shared" si="36"/>
        <v>0</v>
      </c>
      <c r="N287" s="60">
        <f t="shared" ca="1" si="37"/>
        <v>10.91</v>
      </c>
      <c r="O287" s="60">
        <f t="shared" ca="1" si="38"/>
        <v>6.75</v>
      </c>
      <c r="P287" s="60">
        <f t="shared" ca="1" si="39"/>
        <v>6.75</v>
      </c>
      <c r="Q287" s="54">
        <f>Данные!Q287</f>
        <v>0</v>
      </c>
      <c r="R287" s="54">
        <f>Данные!R287</f>
        <v>0</v>
      </c>
      <c r="S287" s="54">
        <f>Данные!S287</f>
        <v>0</v>
      </c>
      <c r="T287" s="54">
        <f>Данные!T287</f>
        <v>0</v>
      </c>
      <c r="U287" s="54">
        <f>Данные!U287</f>
        <v>0</v>
      </c>
      <c r="V287" s="54">
        <f>Данные!V287</f>
        <v>0</v>
      </c>
      <c r="W287" s="54">
        <f ca="1">Данные!W287</f>
        <v>27</v>
      </c>
      <c r="X287" s="54" t="str">
        <f ca="1">Данные!X287</f>
        <v>1</v>
      </c>
      <c r="Y287" s="54" t="str">
        <f ca="1">Данные!Y287</f>
        <v>2</v>
      </c>
      <c r="Z287" s="54">
        <f>Данные!Z287</f>
        <v>0</v>
      </c>
      <c r="AA287" s="54" t="str">
        <f>Данные!AA287</f>
        <v>осн</v>
      </c>
      <c r="AB287" s="101">
        <f t="shared" si="40"/>
        <v>800</v>
      </c>
      <c r="AC287" s="101" t="str">
        <f t="shared" si="41"/>
        <v>ИВТ (бак)</v>
      </c>
      <c r="AD287" s="101" t="str">
        <f t="shared" si="42"/>
        <v/>
      </c>
      <c r="AE287" s="102">
        <f t="shared" ca="1" si="43"/>
        <v>24.41</v>
      </c>
      <c r="AF287" s="103">
        <f t="shared" ca="1" si="44"/>
        <v>3.0512500000000001E-2</v>
      </c>
      <c r="AG287" s="101"/>
      <c r="AH287" s="101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Q287" s="72">
        <v>0</v>
      </c>
      <c r="BR287" s="72">
        <v>0</v>
      </c>
      <c r="BS287" s="72">
        <v>0</v>
      </c>
      <c r="BT287" s="72">
        <v>0</v>
      </c>
      <c r="BU287" s="72">
        <v>0</v>
      </c>
      <c r="BV287" s="72">
        <v>0</v>
      </c>
      <c r="BW287" s="72">
        <v>0</v>
      </c>
      <c r="BX287" s="72">
        <v>0</v>
      </c>
      <c r="BY287" s="72">
        <v>0</v>
      </c>
      <c r="BZ287" s="72">
        <v>0</v>
      </c>
      <c r="CA287" s="72">
        <v>0</v>
      </c>
      <c r="CB287" s="72">
        <v>0</v>
      </c>
      <c r="CC287" s="72">
        <v>0</v>
      </c>
      <c r="CD287" s="72">
        <v>0</v>
      </c>
      <c r="CE287" s="72">
        <v>0</v>
      </c>
      <c r="CF287" s="72">
        <v>0</v>
      </c>
      <c r="CG287" s="72">
        <v>0</v>
      </c>
      <c r="CH287" s="72">
        <v>0</v>
      </c>
      <c r="CI287" s="72">
        <v>0</v>
      </c>
      <c r="CJ287" s="72">
        <v>0</v>
      </c>
      <c r="CK287" s="72">
        <v>0</v>
      </c>
      <c r="CL287" s="72">
        <v>0</v>
      </c>
      <c r="CM287" s="72">
        <v>0</v>
      </c>
      <c r="CN287" s="72">
        <v>0</v>
      </c>
      <c r="CO287" s="72">
        <v>0</v>
      </c>
      <c r="CP287" s="72">
        <v>0</v>
      </c>
      <c r="CQ287" s="72">
        <v>0</v>
      </c>
      <c r="CR287" s="72">
        <v>0</v>
      </c>
      <c r="CS287" s="72">
        <v>0</v>
      </c>
      <c r="CT287" s="72">
        <v>0</v>
      </c>
      <c r="CU287" s="72">
        <v>0</v>
      </c>
      <c r="CV287" s="72">
        <v>0</v>
      </c>
      <c r="CW287" s="72">
        <v>0</v>
      </c>
      <c r="CX287" s="72">
        <v>0</v>
      </c>
      <c r="CY287" s="72">
        <v>0</v>
      </c>
      <c r="CZ287" s="72">
        <v>0</v>
      </c>
      <c r="DA287" s="72">
        <v>0</v>
      </c>
      <c r="DB287" s="72">
        <v>0</v>
      </c>
      <c r="DC287" s="72">
        <v>0</v>
      </c>
      <c r="DD287" s="72">
        <v>0</v>
      </c>
      <c r="DE287" s="72">
        <v>0</v>
      </c>
      <c r="DF287" s="72">
        <v>0</v>
      </c>
      <c r="DG287" s="72">
        <v>0</v>
      </c>
      <c r="DH287" s="72">
        <v>0</v>
      </c>
      <c r="DI287" s="72">
        <v>0</v>
      </c>
      <c r="DJ287" s="72">
        <v>0</v>
      </c>
      <c r="DK287" s="72">
        <v>0</v>
      </c>
      <c r="DL287" s="72">
        <v>0</v>
      </c>
      <c r="DM287" s="72">
        <v>0</v>
      </c>
      <c r="DN287" s="72">
        <v>0</v>
      </c>
      <c r="DO287" s="72">
        <v>0</v>
      </c>
      <c r="DP287" s="72">
        <v>0</v>
      </c>
      <c r="DQ287" s="72">
        <v>0</v>
      </c>
      <c r="DR287" s="72">
        <v>0</v>
      </c>
      <c r="DS287" s="72">
        <v>0</v>
      </c>
      <c r="DT287" s="72">
        <v>0</v>
      </c>
      <c r="DU287" s="72">
        <v>0</v>
      </c>
      <c r="DV287" s="72">
        <v>0</v>
      </c>
      <c r="DW287" s="72">
        <v>0</v>
      </c>
      <c r="DX287" s="72">
        <v>0</v>
      </c>
      <c r="DY287" s="72">
        <v>0</v>
      </c>
      <c r="DZ287" s="72">
        <v>0</v>
      </c>
      <c r="EA287" s="72">
        <v>0</v>
      </c>
      <c r="EB287" s="72">
        <v>0</v>
      </c>
      <c r="EC287" s="72">
        <v>0</v>
      </c>
      <c r="ED287" s="72">
        <v>0</v>
      </c>
      <c r="EE287" s="72">
        <v>0</v>
      </c>
      <c r="EF287" s="72">
        <v>0</v>
      </c>
      <c r="EG287" s="72">
        <v>0</v>
      </c>
      <c r="EH287" s="72">
        <v>0</v>
      </c>
      <c r="EI287" s="72">
        <v>0</v>
      </c>
      <c r="EJ287" s="72">
        <v>0</v>
      </c>
      <c r="EK287" s="72">
        <v>0</v>
      </c>
      <c r="EL287" s="72">
        <v>0</v>
      </c>
    </row>
    <row r="288" spans="1:142" x14ac:dyDescent="0.35">
      <c r="A288" s="59">
        <f>Данные!A288</f>
        <v>4848</v>
      </c>
      <c r="B288" s="59">
        <f>Данные!B288</f>
        <v>2019</v>
      </c>
      <c r="C288" s="59" t="str">
        <f>Данные!C288</f>
        <v>компьютерных технологий и электронного обучения</v>
      </c>
      <c r="D288" s="59" t="str">
        <f>Данные!D288</f>
        <v>Аксютин Павел Александрович</v>
      </c>
      <c r="E288" s="59" t="str">
        <f>Данные!E288</f>
        <v>нет</v>
      </c>
      <c r="F288" s="59" t="str">
        <f>Данные!F288</f>
        <v>внешний</v>
      </c>
      <c r="G288" s="59">
        <f>Данные!G288</f>
        <v>1</v>
      </c>
      <c r="H288" s="59" t="str">
        <f>Данные!H288</f>
        <v>4 курс 2016 год/пост</v>
      </c>
      <c r="I288" s="59" t="str">
        <f>Данные!I288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288" s="59">
        <f>Данные!J288</f>
        <v>0</v>
      </c>
      <c r="K288" s="59">
        <f>Данные!K288</f>
        <v>6</v>
      </c>
      <c r="L288" s="59">
        <f>Данные!L288</f>
        <v>48</v>
      </c>
      <c r="M288" s="60">
        <f t="shared" si="36"/>
        <v>5.4</v>
      </c>
      <c r="N288" s="60">
        <f t="shared" ca="1" si="37"/>
        <v>10.91</v>
      </c>
      <c r="O288" s="60">
        <f t="shared" ca="1" si="38"/>
        <v>6.75</v>
      </c>
      <c r="P288" s="60">
        <f t="shared" ca="1" si="39"/>
        <v>6.75</v>
      </c>
      <c r="Q288" s="54">
        <f>Данные!Q288</f>
        <v>0</v>
      </c>
      <c r="R288" s="54">
        <f>Данные!R288</f>
        <v>0</v>
      </c>
      <c r="S288" s="54">
        <f>Данные!S288</f>
        <v>0</v>
      </c>
      <c r="T288" s="54">
        <f>Данные!T288</f>
        <v>0</v>
      </c>
      <c r="U288" s="54">
        <f>Данные!U288</f>
        <v>0</v>
      </c>
      <c r="V288" s="54">
        <f>Данные!V288</f>
        <v>0</v>
      </c>
      <c r="W288" s="54">
        <f ca="1">Данные!W288</f>
        <v>27</v>
      </c>
      <c r="X288" s="54" t="str">
        <f ca="1">Данные!X288</f>
        <v>1</v>
      </c>
      <c r="Y288" s="54" t="str">
        <f ca="1">Данные!Y288</f>
        <v>2</v>
      </c>
      <c r="Z288" s="54">
        <f>Данные!Z288</f>
        <v>0</v>
      </c>
      <c r="AA288" s="54" t="str">
        <f>Данные!AA288</f>
        <v>осн</v>
      </c>
      <c r="AB288" s="101">
        <f t="shared" si="40"/>
        <v>900</v>
      </c>
      <c r="AC288" s="101" t="str">
        <f t="shared" si="41"/>
        <v>ИВТ (бак)</v>
      </c>
      <c r="AD288" s="101" t="str">
        <f t="shared" si="42"/>
        <v/>
      </c>
      <c r="AE288" s="102">
        <f t="shared" ca="1" si="43"/>
        <v>83.81</v>
      </c>
      <c r="AF288" s="103">
        <f t="shared" ca="1" si="44"/>
        <v>9.3122222222222231E-2</v>
      </c>
      <c r="AG288" s="101"/>
      <c r="AH288" s="101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Q288" s="72">
        <v>0</v>
      </c>
      <c r="BR288" s="72">
        <v>0</v>
      </c>
      <c r="BS288" s="72">
        <v>0</v>
      </c>
      <c r="BT288" s="72">
        <v>0</v>
      </c>
      <c r="BU288" s="72">
        <v>0</v>
      </c>
      <c r="BV288" s="72">
        <v>0</v>
      </c>
      <c r="BW288" s="72">
        <v>0</v>
      </c>
      <c r="BX288" s="72">
        <v>0</v>
      </c>
      <c r="BY288" s="72">
        <v>0</v>
      </c>
      <c r="BZ288" s="72">
        <v>0</v>
      </c>
      <c r="CA288" s="72">
        <v>0</v>
      </c>
      <c r="CB288" s="72">
        <v>0</v>
      </c>
      <c r="CC288" s="72">
        <v>0</v>
      </c>
      <c r="CD288" s="72">
        <v>0</v>
      </c>
      <c r="CE288" s="72">
        <v>0</v>
      </c>
      <c r="CF288" s="72">
        <v>0</v>
      </c>
      <c r="CG288" s="72">
        <v>0</v>
      </c>
      <c r="CH288" s="72">
        <v>0</v>
      </c>
      <c r="CI288" s="72">
        <v>0</v>
      </c>
      <c r="CJ288" s="72">
        <v>0</v>
      </c>
      <c r="CK288" s="72">
        <v>0</v>
      </c>
      <c r="CL288" s="72">
        <v>0</v>
      </c>
      <c r="CM288" s="72">
        <v>0</v>
      </c>
      <c r="CN288" s="72">
        <v>0</v>
      </c>
      <c r="CO288" s="72">
        <v>0</v>
      </c>
      <c r="CP288" s="72">
        <v>0</v>
      </c>
      <c r="CQ288" s="72">
        <v>0</v>
      </c>
      <c r="CR288" s="72">
        <v>0</v>
      </c>
      <c r="CS288" s="72">
        <v>0</v>
      </c>
      <c r="CT288" s="72">
        <v>0</v>
      </c>
      <c r="CU288" s="72">
        <v>0</v>
      </c>
      <c r="CV288" s="72">
        <v>0</v>
      </c>
      <c r="CW288" s="72">
        <v>0</v>
      </c>
      <c r="CX288" s="72">
        <v>0</v>
      </c>
      <c r="CY288" s="72">
        <v>0</v>
      </c>
      <c r="CZ288" s="72">
        <v>0</v>
      </c>
      <c r="DA288" s="72">
        <v>0</v>
      </c>
      <c r="DB288" s="72">
        <v>0</v>
      </c>
      <c r="DC288" s="72">
        <v>0</v>
      </c>
      <c r="DD288" s="72">
        <v>0</v>
      </c>
      <c r="DE288" s="72">
        <v>0</v>
      </c>
      <c r="DF288" s="72">
        <v>0</v>
      </c>
      <c r="DG288" s="72">
        <v>0</v>
      </c>
      <c r="DH288" s="72">
        <v>0</v>
      </c>
      <c r="DI288" s="72">
        <v>0</v>
      </c>
      <c r="DJ288" s="72">
        <v>0</v>
      </c>
      <c r="DK288" s="72">
        <v>0</v>
      </c>
      <c r="DL288" s="72">
        <v>0</v>
      </c>
      <c r="DM288" s="72">
        <v>0</v>
      </c>
      <c r="DN288" s="72">
        <v>0</v>
      </c>
      <c r="DO288" s="72">
        <v>0</v>
      </c>
      <c r="DP288" s="72">
        <v>0</v>
      </c>
      <c r="DQ288" s="72">
        <v>0</v>
      </c>
      <c r="DR288" s="72">
        <v>0</v>
      </c>
      <c r="DS288" s="72">
        <v>0</v>
      </c>
      <c r="DT288" s="72">
        <v>0</v>
      </c>
      <c r="DU288" s="72">
        <v>0</v>
      </c>
      <c r="DV288" s="72">
        <v>0</v>
      </c>
      <c r="DW288" s="72">
        <v>0</v>
      </c>
      <c r="DX288" s="72">
        <v>0</v>
      </c>
      <c r="DY288" s="72">
        <v>0</v>
      </c>
      <c r="DZ288" s="72">
        <v>0</v>
      </c>
      <c r="EA288" s="72">
        <v>0</v>
      </c>
      <c r="EB288" s="72">
        <v>0</v>
      </c>
      <c r="EC288" s="72">
        <v>0</v>
      </c>
      <c r="ED288" s="72">
        <v>0</v>
      </c>
      <c r="EE288" s="72">
        <v>0</v>
      </c>
      <c r="EF288" s="72">
        <v>0</v>
      </c>
      <c r="EG288" s="72">
        <v>0</v>
      </c>
      <c r="EH288" s="72">
        <v>0</v>
      </c>
      <c r="EI288" s="72">
        <v>0</v>
      </c>
      <c r="EJ288" s="72">
        <v>0</v>
      </c>
      <c r="EK288" s="72">
        <v>0</v>
      </c>
      <c r="EL288" s="72">
        <v>0</v>
      </c>
    </row>
    <row r="289" spans="1:142" x14ac:dyDescent="0.35">
      <c r="A289" s="59">
        <f>Данные!A289</f>
        <v>4848</v>
      </c>
      <c r="B289" s="59">
        <f>Данные!B289</f>
        <v>2019</v>
      </c>
      <c r="C289" s="59" t="str">
        <f>Данные!C289</f>
        <v>компьютерных технологий и электронного обучения</v>
      </c>
      <c r="D289" s="59" t="str">
        <f>Данные!D289</f>
        <v>Государев Илья Борисович</v>
      </c>
      <c r="E289" s="59" t="str">
        <f>Данные!E289</f>
        <v>кандидат педагогических наук</v>
      </c>
      <c r="F289" s="59" t="str">
        <f>Данные!F289</f>
        <v>доцент</v>
      </c>
      <c r="G289" s="59">
        <f>Данные!G289</f>
        <v>1</v>
      </c>
      <c r="H289" s="59" t="str">
        <f>Данные!H289</f>
        <v>4 курс 2016 год/пост</v>
      </c>
      <c r="I289" s="59" t="str">
        <f>Данные!I289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289" s="59">
        <f>Данные!J289</f>
        <v>6</v>
      </c>
      <c r="K289" s="59">
        <f>Данные!K289</f>
        <v>0</v>
      </c>
      <c r="L289" s="59">
        <f>Данные!L289</f>
        <v>0</v>
      </c>
      <c r="M289" s="60">
        <f t="shared" si="36"/>
        <v>0.6</v>
      </c>
      <c r="N289" s="60">
        <f t="shared" ca="1" si="37"/>
        <v>10.91</v>
      </c>
      <c r="O289" s="60">
        <f t="shared" ca="1" si="38"/>
        <v>6.75</v>
      </c>
      <c r="P289" s="60">
        <f t="shared" ca="1" si="39"/>
        <v>6.75</v>
      </c>
      <c r="Q289" s="54">
        <f>Данные!Q289</f>
        <v>0</v>
      </c>
      <c r="R289" s="54">
        <f>Данные!R289</f>
        <v>0</v>
      </c>
      <c r="S289" s="54">
        <f>Данные!S289</f>
        <v>0</v>
      </c>
      <c r="T289" s="54">
        <f>Данные!T289</f>
        <v>0</v>
      </c>
      <c r="U289" s="54">
        <f>Данные!U289</f>
        <v>0</v>
      </c>
      <c r="V289" s="54">
        <f>Данные!V289</f>
        <v>0</v>
      </c>
      <c r="W289" s="54">
        <f ca="1">Данные!W289</f>
        <v>27</v>
      </c>
      <c r="X289" s="54" t="str">
        <f ca="1">Данные!X289</f>
        <v>1</v>
      </c>
      <c r="Y289" s="54" t="str">
        <f ca="1">Данные!Y289</f>
        <v>2</v>
      </c>
      <c r="Z289" s="54">
        <f>Данные!Z289</f>
        <v>0</v>
      </c>
      <c r="AA289" s="54" t="str">
        <f>Данные!AA289</f>
        <v>доп</v>
      </c>
      <c r="AB289" s="101">
        <f t="shared" si="40"/>
        <v>800</v>
      </c>
      <c r="AC289" s="101" t="str">
        <f t="shared" si="41"/>
        <v>ИВТ (бак)</v>
      </c>
      <c r="AD289" s="101" t="str">
        <f t="shared" si="42"/>
        <v/>
      </c>
      <c r="AE289" s="102">
        <f t="shared" ca="1" si="43"/>
        <v>31.009999999999998</v>
      </c>
      <c r="AF289" s="103">
        <f t="shared" ca="1" si="44"/>
        <v>3.8762499999999998E-2</v>
      </c>
      <c r="AG289" s="101"/>
      <c r="AH289" s="101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Q289" s="72">
        <v>0</v>
      </c>
      <c r="BR289" s="72">
        <v>0</v>
      </c>
      <c r="BS289" s="72">
        <v>0</v>
      </c>
      <c r="BT289" s="72">
        <v>0</v>
      </c>
      <c r="BU289" s="72">
        <v>0</v>
      </c>
      <c r="BV289" s="72">
        <v>0</v>
      </c>
      <c r="BW289" s="72">
        <v>0</v>
      </c>
      <c r="BX289" s="72">
        <v>0</v>
      </c>
      <c r="BY289" s="72">
        <v>0</v>
      </c>
      <c r="BZ289" s="72">
        <v>0</v>
      </c>
      <c r="CA289" s="72">
        <v>0</v>
      </c>
      <c r="CB289" s="72">
        <v>0</v>
      </c>
      <c r="CC289" s="72">
        <v>0</v>
      </c>
      <c r="CD289" s="72">
        <v>0</v>
      </c>
      <c r="CE289" s="72">
        <v>0</v>
      </c>
      <c r="CF289" s="72">
        <v>0</v>
      </c>
      <c r="CG289" s="72">
        <v>0</v>
      </c>
      <c r="CH289" s="72">
        <v>0</v>
      </c>
      <c r="CI289" s="72">
        <v>0</v>
      </c>
      <c r="CJ289" s="72">
        <v>0</v>
      </c>
      <c r="CK289" s="72">
        <v>0</v>
      </c>
      <c r="CL289" s="72">
        <v>0</v>
      </c>
      <c r="CM289" s="72">
        <v>0</v>
      </c>
      <c r="CN289" s="72">
        <v>0</v>
      </c>
      <c r="CO289" s="72">
        <v>0</v>
      </c>
      <c r="CP289" s="72">
        <v>0</v>
      </c>
      <c r="CQ289" s="72">
        <v>0</v>
      </c>
      <c r="CR289" s="72">
        <v>0</v>
      </c>
      <c r="CS289" s="72">
        <v>0</v>
      </c>
      <c r="CT289" s="72">
        <v>0</v>
      </c>
      <c r="CU289" s="72">
        <v>0</v>
      </c>
      <c r="CV289" s="72">
        <v>0</v>
      </c>
      <c r="CW289" s="72">
        <v>0</v>
      </c>
      <c r="CX289" s="72">
        <v>0</v>
      </c>
      <c r="CY289" s="72">
        <v>0</v>
      </c>
      <c r="CZ289" s="72">
        <v>0</v>
      </c>
      <c r="DA289" s="72">
        <v>0</v>
      </c>
      <c r="DB289" s="72">
        <v>0</v>
      </c>
      <c r="DC289" s="72">
        <v>0</v>
      </c>
      <c r="DD289" s="72">
        <v>0</v>
      </c>
      <c r="DE289" s="72">
        <v>0</v>
      </c>
      <c r="DF289" s="72">
        <v>0</v>
      </c>
      <c r="DG289" s="72">
        <v>0</v>
      </c>
      <c r="DH289" s="72">
        <v>0</v>
      </c>
      <c r="DI289" s="72">
        <v>0</v>
      </c>
      <c r="DJ289" s="72">
        <v>0</v>
      </c>
      <c r="DK289" s="72">
        <v>0</v>
      </c>
      <c r="DL289" s="72">
        <v>0</v>
      </c>
      <c r="DM289" s="72">
        <v>0</v>
      </c>
      <c r="DN289" s="72">
        <v>0</v>
      </c>
      <c r="DO289" s="72">
        <v>0</v>
      </c>
      <c r="DP289" s="72">
        <v>0</v>
      </c>
      <c r="DQ289" s="72">
        <v>0</v>
      </c>
      <c r="DR289" s="72">
        <v>0</v>
      </c>
      <c r="DS289" s="72">
        <v>0</v>
      </c>
      <c r="DT289" s="72">
        <v>0</v>
      </c>
      <c r="DU289" s="72">
        <v>0</v>
      </c>
      <c r="DV289" s="72">
        <v>0</v>
      </c>
      <c r="DW289" s="72">
        <v>0</v>
      </c>
      <c r="DX289" s="72">
        <v>0</v>
      </c>
      <c r="DY289" s="72">
        <v>0</v>
      </c>
      <c r="DZ289" s="72">
        <v>0</v>
      </c>
      <c r="EA289" s="72">
        <v>0</v>
      </c>
      <c r="EB289" s="72">
        <v>0</v>
      </c>
      <c r="EC289" s="72">
        <v>0</v>
      </c>
      <c r="ED289" s="72">
        <v>0</v>
      </c>
      <c r="EE289" s="72">
        <v>0</v>
      </c>
      <c r="EF289" s="72">
        <v>0</v>
      </c>
      <c r="EG289" s="72">
        <v>0</v>
      </c>
      <c r="EH289" s="72">
        <v>0</v>
      </c>
      <c r="EI289" s="72">
        <v>0</v>
      </c>
      <c r="EJ289" s="72">
        <v>0</v>
      </c>
      <c r="EK289" s="72">
        <v>0</v>
      </c>
      <c r="EL289" s="72">
        <v>0</v>
      </c>
    </row>
    <row r="290" spans="1:142" x14ac:dyDescent="0.35">
      <c r="A290" s="59">
        <f>Данные!A290</f>
        <v>4848</v>
      </c>
      <c r="B290" s="59">
        <f>Данные!B290</f>
        <v>2019</v>
      </c>
      <c r="C290" s="59" t="str">
        <f>Данные!C290</f>
        <v>компьютерных технологий и электронного обучения</v>
      </c>
      <c r="D290" s="59" t="str">
        <f>Данные!D290</f>
        <v>Серегин Александр Николаевич</v>
      </c>
      <c r="E290" s="59" t="str">
        <f>Данные!E290</f>
        <v>кандидат технических наук</v>
      </c>
      <c r="F290" s="59" t="str">
        <f>Данные!F290</f>
        <v>внешний</v>
      </c>
      <c r="G290" s="59">
        <f>Данные!G290</f>
        <v>1</v>
      </c>
      <c r="H290" s="59" t="str">
        <f>Данные!H290</f>
        <v>4 курс 2016 год/пост</v>
      </c>
      <c r="I290" s="59" t="str">
        <f>Данные!I290</f>
        <v>Модуль "Информационные ресурсы и средства профессиональной деятельности инженера". Учебно-технологический практикум</v>
      </c>
      <c r="J290" s="59">
        <f>Данные!J290</f>
        <v>0</v>
      </c>
      <c r="K290" s="59">
        <f>Данные!K290</f>
        <v>0</v>
      </c>
      <c r="L290" s="59">
        <f>Данные!L290</f>
        <v>72</v>
      </c>
      <c r="M290" s="60">
        <f t="shared" si="36"/>
        <v>7.2</v>
      </c>
      <c r="N290" s="60">
        <f t="shared" ca="1" si="37"/>
        <v>10.91</v>
      </c>
      <c r="O290" s="60">
        <f t="shared" ca="1" si="38"/>
        <v>6.75</v>
      </c>
      <c r="P290" s="60">
        <f t="shared" ca="1" si="39"/>
        <v>6.75</v>
      </c>
      <c r="Q290" s="54">
        <f>Данные!Q290</f>
        <v>0</v>
      </c>
      <c r="R290" s="54">
        <f>Данные!R290</f>
        <v>0</v>
      </c>
      <c r="S290" s="54">
        <f>Данные!S290</f>
        <v>0</v>
      </c>
      <c r="T290" s="54">
        <f>Данные!T290</f>
        <v>0</v>
      </c>
      <c r="U290" s="54">
        <f>Данные!U290</f>
        <v>0</v>
      </c>
      <c r="V290" s="54">
        <f>Данные!V290</f>
        <v>0</v>
      </c>
      <c r="W290" s="54">
        <f ca="1">Данные!W290</f>
        <v>27</v>
      </c>
      <c r="X290" s="54" t="str">
        <f ca="1">Данные!X290</f>
        <v>1</v>
      </c>
      <c r="Y290" s="54" t="str">
        <f ca="1">Данные!Y290</f>
        <v>2</v>
      </c>
      <c r="Z290" s="54">
        <f>Данные!Z290</f>
        <v>0</v>
      </c>
      <c r="AA290" s="54">
        <f>Данные!AA290</f>
        <v>0</v>
      </c>
      <c r="AB290" s="101">
        <f t="shared" si="40"/>
        <v>900</v>
      </c>
      <c r="AC290" s="101" t="str">
        <f t="shared" si="41"/>
        <v>ИВТ (бак)</v>
      </c>
      <c r="AD290" s="101" t="str">
        <f t="shared" si="42"/>
        <v/>
      </c>
      <c r="AE290" s="102">
        <f t="shared" ca="1" si="43"/>
        <v>103.61</v>
      </c>
      <c r="AF290" s="103">
        <f t="shared" ca="1" si="44"/>
        <v>0.11512222222222222</v>
      </c>
      <c r="AG290" s="101"/>
      <c r="AH290" s="101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Q290" s="72">
        <v>0</v>
      </c>
      <c r="BR290" s="72">
        <v>0</v>
      </c>
      <c r="BS290" s="72">
        <v>0</v>
      </c>
      <c r="BT290" s="72">
        <v>0</v>
      </c>
      <c r="BU290" s="72">
        <v>0</v>
      </c>
      <c r="BV290" s="72">
        <v>0</v>
      </c>
      <c r="BW290" s="72">
        <v>0</v>
      </c>
      <c r="BX290" s="72">
        <v>0</v>
      </c>
      <c r="BY290" s="72">
        <v>0</v>
      </c>
      <c r="BZ290" s="72">
        <v>0</v>
      </c>
      <c r="CA290" s="72">
        <v>0</v>
      </c>
      <c r="CB290" s="72">
        <v>0</v>
      </c>
      <c r="CC290" s="72">
        <v>0</v>
      </c>
      <c r="CD290" s="72">
        <v>0</v>
      </c>
      <c r="CE290" s="72">
        <v>0</v>
      </c>
      <c r="CF290" s="72">
        <v>0</v>
      </c>
      <c r="CG290" s="72">
        <v>0</v>
      </c>
      <c r="CH290" s="72">
        <v>0</v>
      </c>
      <c r="CI290" s="72">
        <v>0</v>
      </c>
      <c r="CJ290" s="72">
        <v>0</v>
      </c>
      <c r="CK290" s="72">
        <v>0</v>
      </c>
      <c r="CL290" s="72">
        <v>0</v>
      </c>
      <c r="CM290" s="72">
        <v>0</v>
      </c>
      <c r="CN290" s="72">
        <v>0</v>
      </c>
      <c r="CO290" s="72">
        <v>0</v>
      </c>
      <c r="CP290" s="72">
        <v>0</v>
      </c>
      <c r="CQ290" s="72">
        <v>0</v>
      </c>
      <c r="CR290" s="72">
        <v>0</v>
      </c>
      <c r="CS290" s="72">
        <v>0</v>
      </c>
      <c r="CT290" s="72">
        <v>0</v>
      </c>
      <c r="CU290" s="72">
        <v>0</v>
      </c>
      <c r="CV290" s="72">
        <v>0</v>
      </c>
      <c r="CW290" s="72">
        <v>0</v>
      </c>
      <c r="CX290" s="72">
        <v>0</v>
      </c>
      <c r="CY290" s="72">
        <v>0</v>
      </c>
      <c r="CZ290" s="72">
        <v>0</v>
      </c>
      <c r="DA290" s="72">
        <v>0</v>
      </c>
      <c r="DB290" s="72">
        <v>0</v>
      </c>
      <c r="DC290" s="72">
        <v>0</v>
      </c>
      <c r="DD290" s="72">
        <v>0</v>
      </c>
      <c r="DE290" s="72">
        <v>0</v>
      </c>
      <c r="DF290" s="72">
        <v>0</v>
      </c>
      <c r="DG290" s="72">
        <v>0</v>
      </c>
      <c r="DH290" s="72">
        <v>0</v>
      </c>
      <c r="DI290" s="72">
        <v>0</v>
      </c>
      <c r="DJ290" s="72">
        <v>0</v>
      </c>
      <c r="DK290" s="72">
        <v>0</v>
      </c>
      <c r="DL290" s="72">
        <v>0</v>
      </c>
      <c r="DM290" s="72">
        <v>0</v>
      </c>
      <c r="DN290" s="72">
        <v>0</v>
      </c>
      <c r="DO290" s="72">
        <v>0</v>
      </c>
      <c r="DP290" s="72">
        <v>0</v>
      </c>
      <c r="DQ290" s="72">
        <v>0</v>
      </c>
      <c r="DR290" s="72">
        <v>0</v>
      </c>
      <c r="DS290" s="72">
        <v>0</v>
      </c>
      <c r="DT290" s="72">
        <v>0</v>
      </c>
      <c r="DU290" s="72">
        <v>0</v>
      </c>
      <c r="DV290" s="72">
        <v>0</v>
      </c>
      <c r="DW290" s="72">
        <v>0</v>
      </c>
      <c r="DX290" s="72">
        <v>0</v>
      </c>
      <c r="DY290" s="72">
        <v>0</v>
      </c>
      <c r="DZ290" s="72">
        <v>0</v>
      </c>
      <c r="EA290" s="72">
        <v>0</v>
      </c>
      <c r="EB290" s="72">
        <v>0</v>
      </c>
      <c r="EC290" s="72">
        <v>0</v>
      </c>
      <c r="ED290" s="72">
        <v>0</v>
      </c>
      <c r="EE290" s="72">
        <v>0</v>
      </c>
      <c r="EF290" s="72">
        <v>0</v>
      </c>
      <c r="EG290" s="72">
        <v>0</v>
      </c>
      <c r="EH290" s="72">
        <v>0</v>
      </c>
      <c r="EI290" s="72">
        <v>0</v>
      </c>
      <c r="EJ290" s="72">
        <v>0</v>
      </c>
      <c r="EK290" s="72">
        <v>0</v>
      </c>
      <c r="EL290" s="72">
        <v>0</v>
      </c>
    </row>
    <row r="291" spans="1:142" x14ac:dyDescent="0.35">
      <c r="A291" s="59">
        <f>Данные!A291</f>
        <v>4848</v>
      </c>
      <c r="B291" s="59">
        <f>Данные!B291</f>
        <v>2019</v>
      </c>
      <c r="C291" s="59" t="str">
        <f>Данные!C291</f>
        <v>компьютерных технологий и электронного обучения</v>
      </c>
      <c r="D291" s="59" t="str">
        <f>Данные!D291</f>
        <v>Государев Илья Борисович</v>
      </c>
      <c r="E291" s="59" t="str">
        <f>Данные!E291</f>
        <v>кандидат педагогических наук</v>
      </c>
      <c r="F291" s="59" t="str">
        <f>Данные!F291</f>
        <v>доцент</v>
      </c>
      <c r="G291" s="59">
        <f>Данные!G291</f>
        <v>1</v>
      </c>
      <c r="H291" s="59" t="str">
        <f>Данные!H291</f>
        <v>4 курс 2016 год/пост</v>
      </c>
      <c r="I291" s="59" t="str">
        <f>Данные!I291</f>
        <v>Руководство ВКР</v>
      </c>
      <c r="J291" s="59">
        <f>Данные!J291</f>
        <v>0</v>
      </c>
      <c r="K291" s="59">
        <f>Данные!K291</f>
        <v>0</v>
      </c>
      <c r="L291" s="59">
        <f>Данные!L291</f>
        <v>0</v>
      </c>
      <c r="M291" s="60">
        <f t="shared" si="36"/>
        <v>0</v>
      </c>
      <c r="N291" s="60">
        <f t="shared" ca="1" si="37"/>
        <v>10.91</v>
      </c>
      <c r="O291" s="60">
        <f t="shared" ca="1" si="38"/>
        <v>6.75</v>
      </c>
      <c r="P291" s="60">
        <f t="shared" ca="1" si="39"/>
        <v>6.75</v>
      </c>
      <c r="Q291" s="54">
        <f>Данные!Q291</f>
        <v>0</v>
      </c>
      <c r="R291" s="54">
        <f>Данные!R291</f>
        <v>0</v>
      </c>
      <c r="S291" s="54">
        <f>Данные!S291</f>
        <v>0</v>
      </c>
      <c r="T291" s="54">
        <f>Данные!T291</f>
        <v>0</v>
      </c>
      <c r="U291" s="54">
        <f>Данные!U291</f>
        <v>0</v>
      </c>
      <c r="V291" s="54">
        <f>Данные!V291</f>
        <v>60</v>
      </c>
      <c r="W291" s="54">
        <f ca="1">Данные!W291</f>
        <v>27</v>
      </c>
      <c r="X291" s="54" t="str">
        <f ca="1">Данные!X291</f>
        <v>1</v>
      </c>
      <c r="Y291" s="54" t="str">
        <f ca="1">Данные!Y291</f>
        <v>2</v>
      </c>
      <c r="Z291" s="54">
        <f>Данные!Z291</f>
        <v>0</v>
      </c>
      <c r="AA291" s="54">
        <f>Данные!AA291</f>
        <v>0</v>
      </c>
      <c r="AB291" s="101">
        <f t="shared" si="40"/>
        <v>800</v>
      </c>
      <c r="AC291" s="101" t="str">
        <f t="shared" si="41"/>
        <v>ИВТ (бак)</v>
      </c>
      <c r="AD291" s="101" t="str">
        <f t="shared" si="42"/>
        <v/>
      </c>
      <c r="AE291" s="102">
        <f t="shared" ca="1" si="43"/>
        <v>84.41</v>
      </c>
      <c r="AF291" s="103">
        <f t="shared" ca="1" si="44"/>
        <v>0.1055125</v>
      </c>
      <c r="AG291" s="101"/>
      <c r="AH291" s="10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Q291" s="72">
        <v>0</v>
      </c>
      <c r="BR291" s="72">
        <v>0</v>
      </c>
      <c r="BS291" s="72">
        <v>0</v>
      </c>
      <c r="BT291" s="72">
        <v>0</v>
      </c>
      <c r="BU291" s="72">
        <v>0</v>
      </c>
      <c r="BV291" s="72">
        <v>0</v>
      </c>
      <c r="BW291" s="72">
        <v>0</v>
      </c>
      <c r="BX291" s="72">
        <v>0</v>
      </c>
      <c r="BY291" s="72">
        <v>0</v>
      </c>
      <c r="BZ291" s="72">
        <v>0</v>
      </c>
      <c r="CA291" s="72">
        <v>0</v>
      </c>
      <c r="CB291" s="72">
        <v>0</v>
      </c>
      <c r="CC291" s="72">
        <v>0</v>
      </c>
      <c r="CD291" s="72">
        <v>0</v>
      </c>
      <c r="CE291" s="72">
        <v>0</v>
      </c>
      <c r="CF291" s="72">
        <v>0</v>
      </c>
      <c r="CG291" s="72">
        <v>0</v>
      </c>
      <c r="CH291" s="72">
        <v>0</v>
      </c>
      <c r="CI291" s="72">
        <v>0</v>
      </c>
      <c r="CJ291" s="72">
        <v>0</v>
      </c>
      <c r="CK291" s="72">
        <v>0</v>
      </c>
      <c r="CL291" s="72">
        <v>0</v>
      </c>
      <c r="CM291" s="72">
        <v>0</v>
      </c>
      <c r="CN291" s="72">
        <v>0</v>
      </c>
      <c r="CO291" s="72">
        <v>0</v>
      </c>
      <c r="CP291" s="72">
        <v>0</v>
      </c>
      <c r="CQ291" s="72">
        <v>0</v>
      </c>
      <c r="CR291" s="72">
        <v>0</v>
      </c>
      <c r="CS291" s="72">
        <v>0</v>
      </c>
      <c r="CT291" s="72">
        <v>0</v>
      </c>
      <c r="CU291" s="72">
        <v>0</v>
      </c>
      <c r="CV291" s="72">
        <v>0</v>
      </c>
      <c r="CW291" s="72">
        <v>0</v>
      </c>
      <c r="CX291" s="72">
        <v>0</v>
      </c>
      <c r="CY291" s="72">
        <v>0</v>
      </c>
      <c r="CZ291" s="72">
        <v>0</v>
      </c>
      <c r="DA291" s="72">
        <v>0</v>
      </c>
      <c r="DB291" s="72">
        <v>0</v>
      </c>
      <c r="DC291" s="72">
        <v>0</v>
      </c>
      <c r="DD291" s="72">
        <v>0</v>
      </c>
      <c r="DE291" s="72">
        <v>0</v>
      </c>
      <c r="DF291" s="72">
        <v>0</v>
      </c>
      <c r="DG291" s="72">
        <v>0</v>
      </c>
      <c r="DH291" s="72">
        <v>0</v>
      </c>
      <c r="DI291" s="72">
        <v>0</v>
      </c>
      <c r="DJ291" s="72">
        <v>0</v>
      </c>
      <c r="DK291" s="72">
        <v>0</v>
      </c>
      <c r="DL291" s="72">
        <v>0</v>
      </c>
      <c r="DM291" s="72">
        <v>0</v>
      </c>
      <c r="DN291" s="72">
        <v>0</v>
      </c>
      <c r="DO291" s="72">
        <v>0</v>
      </c>
      <c r="DP291" s="72">
        <v>0</v>
      </c>
      <c r="DQ291" s="72">
        <v>0</v>
      </c>
      <c r="DR291" s="72">
        <v>0</v>
      </c>
      <c r="DS291" s="72">
        <v>0</v>
      </c>
      <c r="DT291" s="72">
        <v>0</v>
      </c>
      <c r="DU291" s="72">
        <v>0</v>
      </c>
      <c r="DV291" s="72">
        <v>0</v>
      </c>
      <c r="DW291" s="72">
        <v>0</v>
      </c>
      <c r="DX291" s="72">
        <v>0</v>
      </c>
      <c r="DY291" s="72">
        <v>0</v>
      </c>
      <c r="DZ291" s="72">
        <v>0</v>
      </c>
      <c r="EA291" s="72">
        <v>0</v>
      </c>
      <c r="EB291" s="72">
        <v>0</v>
      </c>
      <c r="EC291" s="72">
        <v>0</v>
      </c>
      <c r="ED291" s="72">
        <v>0</v>
      </c>
      <c r="EE291" s="72">
        <v>0</v>
      </c>
      <c r="EF291" s="72">
        <v>0</v>
      </c>
      <c r="EG291" s="72">
        <v>0</v>
      </c>
      <c r="EH291" s="72">
        <v>0</v>
      </c>
      <c r="EI291" s="72">
        <v>0</v>
      </c>
      <c r="EJ291" s="72">
        <v>0</v>
      </c>
      <c r="EK291" s="72">
        <v>0</v>
      </c>
      <c r="EL291" s="72">
        <v>0</v>
      </c>
    </row>
    <row r="292" spans="1:142" x14ac:dyDescent="0.35">
      <c r="A292" s="59">
        <f>Данные!A292</f>
        <v>4848</v>
      </c>
      <c r="B292" s="59">
        <f>Данные!B292</f>
        <v>2019</v>
      </c>
      <c r="C292" s="59" t="str">
        <f>Данные!C292</f>
        <v>компьютерных технологий и электронного обучения</v>
      </c>
      <c r="D292" s="59" t="str">
        <f>Данные!D292</f>
        <v>Государев Илья Борисович</v>
      </c>
      <c r="E292" s="59" t="str">
        <f>Данные!E292</f>
        <v>кандидат педагогических наук</v>
      </c>
      <c r="F292" s="59" t="str">
        <f>Данные!F292</f>
        <v>доцент</v>
      </c>
      <c r="G292" s="59">
        <f>Данные!G292</f>
        <v>1</v>
      </c>
      <c r="H292" s="59" t="str">
        <f>Данные!H292</f>
        <v>4 курс 2016 год/пост</v>
      </c>
      <c r="I292" s="59" t="str">
        <f>Данные!I292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92" s="59">
        <f>Данные!J292</f>
        <v>0</v>
      </c>
      <c r="K292" s="59">
        <f>Данные!K292</f>
        <v>0</v>
      </c>
      <c r="L292" s="59">
        <f>Данные!L292</f>
        <v>0</v>
      </c>
      <c r="M292" s="60">
        <f t="shared" si="36"/>
        <v>0</v>
      </c>
      <c r="N292" s="60">
        <f t="shared" ca="1" si="37"/>
        <v>10.91</v>
      </c>
      <c r="O292" s="60">
        <f t="shared" ca="1" si="38"/>
        <v>6.75</v>
      </c>
      <c r="P292" s="60">
        <f t="shared" ca="1" si="39"/>
        <v>6.75</v>
      </c>
      <c r="Q292" s="54">
        <f>Данные!Q292</f>
        <v>0</v>
      </c>
      <c r="R292" s="54">
        <f>Данные!R292</f>
        <v>0</v>
      </c>
      <c r="S292" s="54">
        <f>Данные!S292</f>
        <v>0</v>
      </c>
      <c r="T292" s="54">
        <f>Данные!T292</f>
        <v>0</v>
      </c>
      <c r="U292" s="54">
        <f>Данные!U292</f>
        <v>6</v>
      </c>
      <c r="V292" s="54">
        <f>Данные!V292</f>
        <v>0</v>
      </c>
      <c r="W292" s="54">
        <f ca="1">Данные!W292</f>
        <v>27</v>
      </c>
      <c r="X292" s="54" t="str">
        <f ca="1">Данные!X292</f>
        <v>1</v>
      </c>
      <c r="Y292" s="54" t="str">
        <f ca="1">Данные!Y292</f>
        <v>2</v>
      </c>
      <c r="Z292" s="54">
        <f>Данные!Z292</f>
        <v>0</v>
      </c>
      <c r="AA292" s="54">
        <f>Данные!AA292</f>
        <v>0</v>
      </c>
      <c r="AB292" s="101">
        <f t="shared" si="40"/>
        <v>800</v>
      </c>
      <c r="AC292" s="101" t="str">
        <f t="shared" si="41"/>
        <v>ИВТ (бак)</v>
      </c>
      <c r="AD292" s="101" t="str">
        <f t="shared" si="42"/>
        <v/>
      </c>
      <c r="AE292" s="102">
        <f t="shared" ca="1" si="43"/>
        <v>30.41</v>
      </c>
      <c r="AF292" s="103">
        <f t="shared" ca="1" si="44"/>
        <v>3.8012499999999998E-2</v>
      </c>
      <c r="AG292" s="101"/>
      <c r="AH292" s="101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Q292" s="72">
        <v>0</v>
      </c>
      <c r="BR292" s="72">
        <v>0</v>
      </c>
      <c r="BS292" s="72">
        <v>0</v>
      </c>
      <c r="BT292" s="72">
        <v>0</v>
      </c>
      <c r="BU292" s="72">
        <v>0</v>
      </c>
      <c r="BV292" s="72">
        <v>0</v>
      </c>
      <c r="BW292" s="72">
        <v>0</v>
      </c>
      <c r="BX292" s="72">
        <v>0</v>
      </c>
      <c r="BY292" s="72">
        <v>0</v>
      </c>
      <c r="BZ292" s="72">
        <v>0</v>
      </c>
      <c r="CA292" s="72">
        <v>0</v>
      </c>
      <c r="CB292" s="72">
        <v>0</v>
      </c>
      <c r="CC292" s="72">
        <v>0</v>
      </c>
      <c r="CD292" s="72">
        <v>0</v>
      </c>
      <c r="CE292" s="72">
        <v>0</v>
      </c>
      <c r="CF292" s="72">
        <v>0</v>
      </c>
      <c r="CG292" s="72">
        <v>0</v>
      </c>
      <c r="CH292" s="72">
        <v>0</v>
      </c>
      <c r="CI292" s="72">
        <v>0</v>
      </c>
      <c r="CJ292" s="72">
        <v>0</v>
      </c>
      <c r="CK292" s="72">
        <v>0</v>
      </c>
      <c r="CL292" s="72">
        <v>0</v>
      </c>
      <c r="CM292" s="72">
        <v>0</v>
      </c>
      <c r="CN292" s="72">
        <v>0</v>
      </c>
      <c r="CO292" s="72">
        <v>0</v>
      </c>
      <c r="CP292" s="72">
        <v>0</v>
      </c>
      <c r="CQ292" s="72">
        <v>0</v>
      </c>
      <c r="CR292" s="72">
        <v>0</v>
      </c>
      <c r="CS292" s="72">
        <v>0</v>
      </c>
      <c r="CT292" s="72">
        <v>0</v>
      </c>
      <c r="CU292" s="72">
        <v>0</v>
      </c>
      <c r="CV292" s="72">
        <v>0</v>
      </c>
      <c r="CW292" s="72">
        <v>0</v>
      </c>
      <c r="CX292" s="72">
        <v>0</v>
      </c>
      <c r="CY292" s="72">
        <v>0</v>
      </c>
      <c r="CZ292" s="72">
        <v>0</v>
      </c>
      <c r="DA292" s="72">
        <v>0</v>
      </c>
      <c r="DB292" s="72">
        <v>0</v>
      </c>
      <c r="DC292" s="72">
        <v>0</v>
      </c>
      <c r="DD292" s="72">
        <v>0</v>
      </c>
      <c r="DE292" s="72">
        <v>0</v>
      </c>
      <c r="DF292" s="72">
        <v>0</v>
      </c>
      <c r="DG292" s="72">
        <v>0</v>
      </c>
      <c r="DH292" s="72">
        <v>0</v>
      </c>
      <c r="DI292" s="72">
        <v>0</v>
      </c>
      <c r="DJ292" s="72">
        <v>0</v>
      </c>
      <c r="DK292" s="72">
        <v>0</v>
      </c>
      <c r="DL292" s="72">
        <v>0</v>
      </c>
      <c r="DM292" s="72">
        <v>0</v>
      </c>
      <c r="DN292" s="72">
        <v>0</v>
      </c>
      <c r="DO292" s="72">
        <v>0</v>
      </c>
      <c r="DP292" s="72">
        <v>0</v>
      </c>
      <c r="DQ292" s="72">
        <v>0</v>
      </c>
      <c r="DR292" s="72">
        <v>0</v>
      </c>
      <c r="DS292" s="72">
        <v>0</v>
      </c>
      <c r="DT292" s="72">
        <v>0</v>
      </c>
      <c r="DU292" s="72">
        <v>0</v>
      </c>
      <c r="DV292" s="72">
        <v>0</v>
      </c>
      <c r="DW292" s="72">
        <v>0</v>
      </c>
      <c r="DX292" s="72">
        <v>0</v>
      </c>
      <c r="DY292" s="72">
        <v>0</v>
      </c>
      <c r="DZ292" s="72">
        <v>0</v>
      </c>
      <c r="EA292" s="72">
        <v>0</v>
      </c>
      <c r="EB292" s="72">
        <v>0</v>
      </c>
      <c r="EC292" s="72">
        <v>0</v>
      </c>
      <c r="ED292" s="72">
        <v>0</v>
      </c>
      <c r="EE292" s="72">
        <v>0</v>
      </c>
      <c r="EF292" s="72">
        <v>0</v>
      </c>
      <c r="EG292" s="72">
        <v>0</v>
      </c>
      <c r="EH292" s="72">
        <v>0</v>
      </c>
      <c r="EI292" s="72">
        <v>0</v>
      </c>
      <c r="EJ292" s="72">
        <v>0</v>
      </c>
      <c r="EK292" s="72">
        <v>0</v>
      </c>
      <c r="EL292" s="72">
        <v>0</v>
      </c>
    </row>
    <row r="293" spans="1:142" x14ac:dyDescent="0.35">
      <c r="A293" s="59">
        <f>Данные!A293</f>
        <v>4848</v>
      </c>
      <c r="B293" s="59">
        <f>Данные!B293</f>
        <v>2019</v>
      </c>
      <c r="C293" s="59" t="str">
        <f>Данные!C293</f>
        <v>компьютерных технологий и электронного обучения</v>
      </c>
      <c r="D293" s="59" t="str">
        <f>Данные!D293</f>
        <v>Государев Илья Борисович</v>
      </c>
      <c r="E293" s="59" t="str">
        <f>Данные!E293</f>
        <v>кандидат педагогических наук</v>
      </c>
      <c r="F293" s="59" t="str">
        <f>Данные!F293</f>
        <v>доцент</v>
      </c>
      <c r="G293" s="59">
        <f>Данные!G293</f>
        <v>1</v>
      </c>
      <c r="H293" s="59" t="str">
        <f>Данные!H293</f>
        <v>4 курс 2016 год/пост</v>
      </c>
      <c r="I293" s="59" t="str">
        <f>Данные!I293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93" s="59">
        <f>Данные!J293</f>
        <v>0</v>
      </c>
      <c r="K293" s="59">
        <f>Данные!K293</f>
        <v>0</v>
      </c>
      <c r="L293" s="59">
        <f>Данные!L293</f>
        <v>0</v>
      </c>
      <c r="M293" s="60">
        <f t="shared" si="36"/>
        <v>0</v>
      </c>
      <c r="N293" s="60">
        <f t="shared" ca="1" si="37"/>
        <v>10.91</v>
      </c>
      <c r="O293" s="60">
        <f t="shared" ca="1" si="38"/>
        <v>6.75</v>
      </c>
      <c r="P293" s="60">
        <f t="shared" ca="1" si="39"/>
        <v>6.75</v>
      </c>
      <c r="Q293" s="54">
        <f>Данные!Q293</f>
        <v>0</v>
      </c>
      <c r="R293" s="54">
        <f>Данные!R293</f>
        <v>0</v>
      </c>
      <c r="S293" s="54">
        <f>Данные!S293</f>
        <v>0</v>
      </c>
      <c r="T293" s="54">
        <f>Данные!T293</f>
        <v>0</v>
      </c>
      <c r="U293" s="54">
        <f>Данные!U293</f>
        <v>6</v>
      </c>
      <c r="V293" s="54">
        <f>Данные!V293</f>
        <v>0</v>
      </c>
      <c r="W293" s="54">
        <f ca="1">Данные!W293</f>
        <v>27</v>
      </c>
      <c r="X293" s="54" t="str">
        <f ca="1">Данные!X293</f>
        <v>1</v>
      </c>
      <c r="Y293" s="54" t="str">
        <f ca="1">Данные!Y293</f>
        <v>2</v>
      </c>
      <c r="Z293" s="54">
        <f>Данные!Z293</f>
        <v>0</v>
      </c>
      <c r="AA293" s="54" t="str">
        <f>Данные!AA293</f>
        <v>осн</v>
      </c>
      <c r="AB293" s="101">
        <f t="shared" si="40"/>
        <v>800</v>
      </c>
      <c r="AC293" s="101" t="str">
        <f t="shared" si="41"/>
        <v>ИВТ (бак)</v>
      </c>
      <c r="AD293" s="101" t="str">
        <f t="shared" si="42"/>
        <v/>
      </c>
      <c r="AE293" s="102">
        <f t="shared" ca="1" si="43"/>
        <v>30.41</v>
      </c>
      <c r="AF293" s="103">
        <f t="shared" ca="1" si="44"/>
        <v>3.8012499999999998E-2</v>
      </c>
      <c r="AG293" s="101"/>
      <c r="AH293" s="101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Q293" s="72">
        <v>0</v>
      </c>
      <c r="BR293" s="72">
        <v>0</v>
      </c>
      <c r="BS293" s="72">
        <v>0</v>
      </c>
      <c r="BT293" s="72">
        <v>0</v>
      </c>
      <c r="BU293" s="72">
        <v>0</v>
      </c>
      <c r="BV293" s="72">
        <v>0</v>
      </c>
      <c r="BW293" s="72">
        <v>0</v>
      </c>
      <c r="BX293" s="72">
        <v>0</v>
      </c>
      <c r="BY293" s="72">
        <v>0</v>
      </c>
      <c r="BZ293" s="72">
        <v>0</v>
      </c>
      <c r="CA293" s="72">
        <v>0</v>
      </c>
      <c r="CB293" s="72">
        <v>0</v>
      </c>
      <c r="CC293" s="72">
        <v>0</v>
      </c>
      <c r="CD293" s="72">
        <v>0</v>
      </c>
      <c r="CE293" s="72">
        <v>0</v>
      </c>
      <c r="CF293" s="72">
        <v>0</v>
      </c>
      <c r="CG293" s="72">
        <v>0</v>
      </c>
      <c r="CH293" s="72">
        <v>0</v>
      </c>
      <c r="CI293" s="72">
        <v>0</v>
      </c>
      <c r="CJ293" s="72">
        <v>0</v>
      </c>
      <c r="CK293" s="72">
        <v>0</v>
      </c>
      <c r="CL293" s="72">
        <v>0</v>
      </c>
      <c r="CM293" s="72">
        <v>0</v>
      </c>
      <c r="CN293" s="72">
        <v>0</v>
      </c>
      <c r="CO293" s="72">
        <v>0</v>
      </c>
      <c r="CP293" s="72">
        <v>0</v>
      </c>
      <c r="CQ293" s="72">
        <v>0</v>
      </c>
      <c r="CR293" s="72">
        <v>0</v>
      </c>
      <c r="CS293" s="72">
        <v>0</v>
      </c>
      <c r="CT293" s="72">
        <v>0</v>
      </c>
      <c r="CU293" s="72">
        <v>0</v>
      </c>
      <c r="CV293" s="72">
        <v>0</v>
      </c>
      <c r="CW293" s="72">
        <v>0</v>
      </c>
      <c r="CX293" s="72">
        <v>0</v>
      </c>
      <c r="CY293" s="72">
        <v>0</v>
      </c>
      <c r="CZ293" s="72">
        <v>0</v>
      </c>
      <c r="DA293" s="72">
        <v>0</v>
      </c>
      <c r="DB293" s="72">
        <v>0</v>
      </c>
      <c r="DC293" s="72">
        <v>0</v>
      </c>
      <c r="DD293" s="72">
        <v>0</v>
      </c>
      <c r="DE293" s="72">
        <v>0</v>
      </c>
      <c r="DF293" s="72">
        <v>0</v>
      </c>
      <c r="DG293" s="72">
        <v>0</v>
      </c>
      <c r="DH293" s="72">
        <v>0</v>
      </c>
      <c r="DI293" s="72">
        <v>0</v>
      </c>
      <c r="DJ293" s="72">
        <v>0</v>
      </c>
      <c r="DK293" s="72">
        <v>0</v>
      </c>
      <c r="DL293" s="72">
        <v>0</v>
      </c>
      <c r="DM293" s="72">
        <v>0</v>
      </c>
      <c r="DN293" s="72">
        <v>0</v>
      </c>
      <c r="DO293" s="72">
        <v>0</v>
      </c>
      <c r="DP293" s="72">
        <v>0</v>
      </c>
      <c r="DQ293" s="72">
        <v>0</v>
      </c>
      <c r="DR293" s="72">
        <v>0</v>
      </c>
      <c r="DS293" s="72">
        <v>0</v>
      </c>
      <c r="DT293" s="72">
        <v>0</v>
      </c>
      <c r="DU293" s="72">
        <v>0</v>
      </c>
      <c r="DV293" s="72">
        <v>0</v>
      </c>
      <c r="DW293" s="72">
        <v>0</v>
      </c>
      <c r="DX293" s="72">
        <v>0</v>
      </c>
      <c r="DY293" s="72">
        <v>0</v>
      </c>
      <c r="DZ293" s="72">
        <v>0</v>
      </c>
      <c r="EA293" s="72">
        <v>0</v>
      </c>
      <c r="EB293" s="72">
        <v>0</v>
      </c>
      <c r="EC293" s="72">
        <v>0</v>
      </c>
      <c r="ED293" s="72">
        <v>0</v>
      </c>
      <c r="EE293" s="72">
        <v>0</v>
      </c>
      <c r="EF293" s="72">
        <v>0</v>
      </c>
      <c r="EG293" s="72">
        <v>0</v>
      </c>
      <c r="EH293" s="72">
        <v>0</v>
      </c>
      <c r="EI293" s="72">
        <v>0</v>
      </c>
      <c r="EJ293" s="72">
        <v>0</v>
      </c>
      <c r="EK293" s="72">
        <v>0</v>
      </c>
      <c r="EL293" s="72">
        <v>0</v>
      </c>
    </row>
    <row r="294" spans="1:142" x14ac:dyDescent="0.35">
      <c r="A294" s="59">
        <f>Данные!A294</f>
        <v>4848</v>
      </c>
      <c r="B294" s="59">
        <f>Данные!B294</f>
        <v>2019</v>
      </c>
      <c r="C294" s="59" t="str">
        <f>Данные!C294</f>
        <v>компьютерных технологий и электронного обучения</v>
      </c>
      <c r="D294" s="59" t="str">
        <f>Данные!D294</f>
        <v>Серегин Александр Николаевич</v>
      </c>
      <c r="E294" s="59" t="str">
        <f>Данные!E294</f>
        <v>кандидат технических наук</v>
      </c>
      <c r="F294" s="59" t="str">
        <f>Данные!F294</f>
        <v>внешний</v>
      </c>
      <c r="G294" s="59">
        <f>Данные!G294</f>
        <v>0</v>
      </c>
      <c r="H294" s="59" t="str">
        <f>Данные!H294</f>
        <v>4 курс 2016 год/пост</v>
      </c>
      <c r="I294" s="59" t="str">
        <f>Данные!I294</f>
        <v>Руководство ВКР</v>
      </c>
      <c r="J294" s="59">
        <f>Данные!J294</f>
        <v>0</v>
      </c>
      <c r="K294" s="59">
        <f>Данные!K294</f>
        <v>0</v>
      </c>
      <c r="L294" s="59">
        <f>Данные!L294</f>
        <v>0</v>
      </c>
      <c r="M294" s="60">
        <f t="shared" si="36"/>
        <v>0</v>
      </c>
      <c r="N294" s="60">
        <f t="shared" ca="1" si="37"/>
        <v>10.91</v>
      </c>
      <c r="O294" s="60">
        <f t="shared" ca="1" si="38"/>
        <v>6.75</v>
      </c>
      <c r="P294" s="60">
        <f t="shared" ca="1" si="39"/>
        <v>6.75</v>
      </c>
      <c r="Q294" s="54">
        <f>Данные!Q294</f>
        <v>0</v>
      </c>
      <c r="R294" s="54">
        <f>Данные!R294</f>
        <v>0</v>
      </c>
      <c r="S294" s="54">
        <f>Данные!S294</f>
        <v>0</v>
      </c>
      <c r="T294" s="54">
        <f>Данные!T294</f>
        <v>0</v>
      </c>
      <c r="U294" s="54">
        <f>Данные!U294</f>
        <v>0</v>
      </c>
      <c r="V294" s="54">
        <f>Данные!V294</f>
        <v>80</v>
      </c>
      <c r="W294" s="54">
        <f ca="1">Данные!W294</f>
        <v>27</v>
      </c>
      <c r="X294" s="54" t="str">
        <f ca="1">Данные!X294</f>
        <v>1</v>
      </c>
      <c r="Y294" s="54" t="str">
        <f ca="1">Данные!Y294</f>
        <v>2</v>
      </c>
      <c r="Z294" s="54">
        <f>Данные!Z294</f>
        <v>0</v>
      </c>
      <c r="AA294" s="54" t="str">
        <f>Данные!AA294</f>
        <v>осн</v>
      </c>
      <c r="AB294" s="101">
        <f t="shared" si="40"/>
        <v>900</v>
      </c>
      <c r="AC294" s="101" t="str">
        <f t="shared" si="41"/>
        <v>ИВТ (бак)</v>
      </c>
      <c r="AD294" s="101" t="str">
        <f t="shared" si="42"/>
        <v/>
      </c>
      <c r="AE294" s="102">
        <f t="shared" ca="1" si="43"/>
        <v>104.41</v>
      </c>
      <c r="AF294" s="103">
        <f t="shared" ca="1" si="44"/>
        <v>0.11601111111111111</v>
      </c>
      <c r="AG294" s="101"/>
      <c r="AH294" s="101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Q294" s="72">
        <v>0</v>
      </c>
      <c r="BR294" s="72">
        <v>0</v>
      </c>
      <c r="BS294" s="72">
        <v>0</v>
      </c>
      <c r="BT294" s="72">
        <v>0</v>
      </c>
      <c r="BU294" s="72">
        <v>0</v>
      </c>
      <c r="BV294" s="72">
        <v>0</v>
      </c>
      <c r="BW294" s="72">
        <v>0</v>
      </c>
      <c r="BX294" s="72">
        <v>0</v>
      </c>
      <c r="BY294" s="72">
        <v>0</v>
      </c>
      <c r="BZ294" s="72">
        <v>0</v>
      </c>
      <c r="CA294" s="72">
        <v>0</v>
      </c>
      <c r="CB294" s="72">
        <v>0</v>
      </c>
      <c r="CC294" s="72">
        <v>0</v>
      </c>
      <c r="CD294" s="72">
        <v>0</v>
      </c>
      <c r="CE294" s="72">
        <v>0</v>
      </c>
      <c r="CF294" s="72">
        <v>0</v>
      </c>
      <c r="CG294" s="72">
        <v>0</v>
      </c>
      <c r="CH294" s="72">
        <v>0</v>
      </c>
      <c r="CI294" s="72">
        <v>0</v>
      </c>
      <c r="CJ294" s="72">
        <v>0</v>
      </c>
      <c r="CK294" s="72">
        <v>0</v>
      </c>
      <c r="CL294" s="72">
        <v>0</v>
      </c>
      <c r="CM294" s="72">
        <v>0</v>
      </c>
      <c r="CN294" s="72">
        <v>0</v>
      </c>
      <c r="CO294" s="72">
        <v>0</v>
      </c>
      <c r="CP294" s="72">
        <v>0</v>
      </c>
      <c r="CQ294" s="72">
        <v>0</v>
      </c>
      <c r="CR294" s="72">
        <v>0</v>
      </c>
      <c r="CS294" s="72">
        <v>0</v>
      </c>
      <c r="CT294" s="72">
        <v>0</v>
      </c>
      <c r="CU294" s="72">
        <v>0</v>
      </c>
      <c r="CV294" s="72">
        <v>0</v>
      </c>
      <c r="CW294" s="72">
        <v>0</v>
      </c>
      <c r="CX294" s="72">
        <v>0</v>
      </c>
      <c r="CY294" s="72">
        <v>0</v>
      </c>
      <c r="CZ294" s="72">
        <v>0</v>
      </c>
      <c r="DA294" s="72">
        <v>0</v>
      </c>
      <c r="DB294" s="72">
        <v>0</v>
      </c>
      <c r="DC294" s="72">
        <v>0</v>
      </c>
      <c r="DD294" s="72">
        <v>0</v>
      </c>
      <c r="DE294" s="72">
        <v>0</v>
      </c>
      <c r="DF294" s="72">
        <v>0</v>
      </c>
      <c r="DG294" s="72">
        <v>0</v>
      </c>
      <c r="DH294" s="72">
        <v>0</v>
      </c>
      <c r="DI294" s="72">
        <v>0</v>
      </c>
      <c r="DJ294" s="72">
        <v>0</v>
      </c>
      <c r="DK294" s="72">
        <v>0</v>
      </c>
      <c r="DL294" s="72">
        <v>0</v>
      </c>
      <c r="DM294" s="72">
        <v>0</v>
      </c>
      <c r="DN294" s="72">
        <v>0</v>
      </c>
      <c r="DO294" s="72">
        <v>0</v>
      </c>
      <c r="DP294" s="72">
        <v>0</v>
      </c>
      <c r="DQ294" s="72">
        <v>0</v>
      </c>
      <c r="DR294" s="72">
        <v>0</v>
      </c>
      <c r="DS294" s="72">
        <v>0</v>
      </c>
      <c r="DT294" s="72">
        <v>0</v>
      </c>
      <c r="DU294" s="72">
        <v>0</v>
      </c>
      <c r="DV294" s="72">
        <v>0</v>
      </c>
      <c r="DW294" s="72">
        <v>0</v>
      </c>
      <c r="DX294" s="72">
        <v>0</v>
      </c>
      <c r="DY294" s="72">
        <v>0</v>
      </c>
      <c r="DZ294" s="72">
        <v>0</v>
      </c>
      <c r="EA294" s="72">
        <v>0</v>
      </c>
      <c r="EB294" s="72">
        <v>0</v>
      </c>
      <c r="EC294" s="72">
        <v>0</v>
      </c>
      <c r="ED294" s="72">
        <v>0</v>
      </c>
      <c r="EE294" s="72">
        <v>0</v>
      </c>
      <c r="EF294" s="72">
        <v>0</v>
      </c>
      <c r="EG294" s="72">
        <v>0</v>
      </c>
      <c r="EH294" s="72">
        <v>0</v>
      </c>
      <c r="EI294" s="72">
        <v>0</v>
      </c>
      <c r="EJ294" s="72">
        <v>0</v>
      </c>
      <c r="EK294" s="72">
        <v>0</v>
      </c>
      <c r="EL294" s="72">
        <v>0</v>
      </c>
    </row>
    <row r="295" spans="1:142" x14ac:dyDescent="0.35">
      <c r="A295" s="59">
        <f>Данные!A295</f>
        <v>4848</v>
      </c>
      <c r="B295" s="59">
        <f>Данные!B295</f>
        <v>2019</v>
      </c>
      <c r="C295" s="59" t="str">
        <f>Данные!C295</f>
        <v>компьютерных технологий и электронного обучения</v>
      </c>
      <c r="D295" s="59" t="str">
        <f>Данные!D295</f>
        <v>Жуков Николай Николаевич</v>
      </c>
      <c r="E295" s="59" t="str">
        <f>Данные!E295</f>
        <v>нет</v>
      </c>
      <c r="F295" s="59" t="str">
        <f>Данные!F295</f>
        <v>ассистент</v>
      </c>
      <c r="G295" s="59">
        <f>Данные!G295</f>
        <v>1</v>
      </c>
      <c r="H295" s="59" t="str">
        <f>Данные!H295</f>
        <v>4 курс 2016 год/пост</v>
      </c>
      <c r="I295" s="59" t="str">
        <f>Данные!I295</f>
        <v>Руководство ВКР</v>
      </c>
      <c r="J295" s="59">
        <f>Данные!J295</f>
        <v>0</v>
      </c>
      <c r="K295" s="59">
        <f>Данные!K295</f>
        <v>0</v>
      </c>
      <c r="L295" s="59">
        <f>Данные!L295</f>
        <v>0</v>
      </c>
      <c r="M295" s="60">
        <f t="shared" si="36"/>
        <v>0</v>
      </c>
      <c r="N295" s="60">
        <f t="shared" ca="1" si="37"/>
        <v>10.91</v>
      </c>
      <c r="O295" s="60">
        <f t="shared" ca="1" si="38"/>
        <v>6.75</v>
      </c>
      <c r="P295" s="60">
        <f t="shared" ca="1" si="39"/>
        <v>6.75</v>
      </c>
      <c r="Q295" s="54">
        <f>Данные!Q295</f>
        <v>0</v>
      </c>
      <c r="R295" s="54">
        <f>Данные!R295</f>
        <v>0</v>
      </c>
      <c r="S295" s="54">
        <f>Данные!S295</f>
        <v>0</v>
      </c>
      <c r="T295" s="54">
        <f>Данные!T295</f>
        <v>0</v>
      </c>
      <c r="U295" s="54">
        <f>Данные!U295</f>
        <v>0</v>
      </c>
      <c r="V295" s="54">
        <f>Данные!V295</f>
        <v>20</v>
      </c>
      <c r="W295" s="54">
        <f ca="1">Данные!W295</f>
        <v>27</v>
      </c>
      <c r="X295" s="54" t="str">
        <f ca="1">Данные!X295</f>
        <v>1</v>
      </c>
      <c r="Y295" s="54" t="str">
        <f ca="1">Данные!Y295</f>
        <v>2</v>
      </c>
      <c r="Z295" s="54">
        <f>Данные!Z295</f>
        <v>0</v>
      </c>
      <c r="AA295" s="54" t="str">
        <f>Данные!AA295</f>
        <v>осн</v>
      </c>
      <c r="AB295" s="101">
        <f t="shared" si="40"/>
        <v>900</v>
      </c>
      <c r="AC295" s="101" t="str">
        <f t="shared" si="41"/>
        <v>ИВТ (бак)</v>
      </c>
      <c r="AD295" s="101" t="str">
        <f t="shared" si="42"/>
        <v/>
      </c>
      <c r="AE295" s="102">
        <f t="shared" ca="1" si="43"/>
        <v>44.41</v>
      </c>
      <c r="AF295" s="103">
        <f t="shared" ca="1" si="44"/>
        <v>4.9344444444444441E-2</v>
      </c>
      <c r="AG295" s="101"/>
      <c r="AH295" s="101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Q295" s="72">
        <v>0</v>
      </c>
      <c r="BR295" s="72">
        <v>0</v>
      </c>
      <c r="BS295" s="72">
        <v>0</v>
      </c>
      <c r="BT295" s="72">
        <v>0</v>
      </c>
      <c r="BU295" s="72">
        <v>0</v>
      </c>
      <c r="BV295" s="72">
        <v>0</v>
      </c>
      <c r="BW295" s="72">
        <v>0</v>
      </c>
      <c r="BX295" s="72">
        <v>0</v>
      </c>
      <c r="BY295" s="72">
        <v>0</v>
      </c>
      <c r="BZ295" s="72">
        <v>0</v>
      </c>
      <c r="CA295" s="72">
        <v>0</v>
      </c>
      <c r="CB295" s="72">
        <v>0</v>
      </c>
      <c r="CC295" s="72">
        <v>0</v>
      </c>
      <c r="CD295" s="72">
        <v>0</v>
      </c>
      <c r="CE295" s="72">
        <v>0</v>
      </c>
      <c r="CF295" s="72">
        <v>0</v>
      </c>
      <c r="CG295" s="72">
        <v>0</v>
      </c>
      <c r="CH295" s="72">
        <v>0</v>
      </c>
      <c r="CI295" s="72">
        <v>0</v>
      </c>
      <c r="CJ295" s="72">
        <v>0</v>
      </c>
      <c r="CK295" s="72">
        <v>0</v>
      </c>
      <c r="CL295" s="72">
        <v>0</v>
      </c>
      <c r="CM295" s="72">
        <v>0</v>
      </c>
      <c r="CN295" s="72">
        <v>0</v>
      </c>
      <c r="CO295" s="72">
        <v>0</v>
      </c>
      <c r="CP295" s="72">
        <v>0</v>
      </c>
      <c r="CQ295" s="72">
        <v>0</v>
      </c>
      <c r="CR295" s="72">
        <v>0</v>
      </c>
      <c r="CS295" s="72">
        <v>0</v>
      </c>
      <c r="CT295" s="72">
        <v>0</v>
      </c>
      <c r="CU295" s="72">
        <v>0</v>
      </c>
      <c r="CV295" s="72">
        <v>0</v>
      </c>
      <c r="CW295" s="72">
        <v>0</v>
      </c>
      <c r="CX295" s="72">
        <v>0</v>
      </c>
      <c r="CY295" s="72">
        <v>0</v>
      </c>
      <c r="CZ295" s="72">
        <v>0</v>
      </c>
      <c r="DA295" s="72">
        <v>0</v>
      </c>
      <c r="DB295" s="72">
        <v>0</v>
      </c>
      <c r="DC295" s="72">
        <v>0</v>
      </c>
      <c r="DD295" s="72">
        <v>0</v>
      </c>
      <c r="DE295" s="72">
        <v>0</v>
      </c>
      <c r="DF295" s="72">
        <v>0</v>
      </c>
      <c r="DG295" s="72">
        <v>0</v>
      </c>
      <c r="DH295" s="72">
        <v>0</v>
      </c>
      <c r="DI295" s="72">
        <v>0</v>
      </c>
      <c r="DJ295" s="72">
        <v>0</v>
      </c>
      <c r="DK295" s="72">
        <v>0</v>
      </c>
      <c r="DL295" s="72">
        <v>0</v>
      </c>
      <c r="DM295" s="72">
        <v>0</v>
      </c>
      <c r="DN295" s="72">
        <v>0</v>
      </c>
      <c r="DO295" s="72">
        <v>0</v>
      </c>
      <c r="DP295" s="72">
        <v>0</v>
      </c>
      <c r="DQ295" s="72">
        <v>0</v>
      </c>
      <c r="DR295" s="72">
        <v>0</v>
      </c>
      <c r="DS295" s="72">
        <v>0</v>
      </c>
      <c r="DT295" s="72">
        <v>0</v>
      </c>
      <c r="DU295" s="72">
        <v>0</v>
      </c>
      <c r="DV295" s="72">
        <v>0</v>
      </c>
      <c r="DW295" s="72">
        <v>0</v>
      </c>
      <c r="DX295" s="72">
        <v>0</v>
      </c>
      <c r="DY295" s="72">
        <v>0</v>
      </c>
      <c r="DZ295" s="72">
        <v>0</v>
      </c>
      <c r="EA295" s="72">
        <v>0</v>
      </c>
      <c r="EB295" s="72">
        <v>0</v>
      </c>
      <c r="EC295" s="72">
        <v>0</v>
      </c>
      <c r="ED295" s="72">
        <v>0</v>
      </c>
      <c r="EE295" s="72">
        <v>0</v>
      </c>
      <c r="EF295" s="72">
        <v>0</v>
      </c>
      <c r="EG295" s="72">
        <v>0</v>
      </c>
      <c r="EH295" s="72">
        <v>0</v>
      </c>
      <c r="EI295" s="72">
        <v>0</v>
      </c>
      <c r="EJ295" s="72">
        <v>0</v>
      </c>
      <c r="EK295" s="72">
        <v>0</v>
      </c>
      <c r="EL295" s="72">
        <v>0</v>
      </c>
    </row>
    <row r="296" spans="1:142" x14ac:dyDescent="0.35">
      <c r="A296" s="59">
        <f>Данные!A296</f>
        <v>4848</v>
      </c>
      <c r="B296" s="59">
        <f>Данные!B296</f>
        <v>2019</v>
      </c>
      <c r="C296" s="59" t="str">
        <f>Данные!C296</f>
        <v>компьютерных технологий и электронного обучения</v>
      </c>
      <c r="D296" s="59" t="str">
        <f>Данные!D296</f>
        <v>Жуков Николай Николаевич</v>
      </c>
      <c r="E296" s="59" t="str">
        <f>Данные!E296</f>
        <v>нет</v>
      </c>
      <c r="F296" s="59" t="str">
        <f>Данные!F296</f>
        <v>ассистент</v>
      </c>
      <c r="G296" s="59">
        <f>Данные!G296</f>
        <v>1</v>
      </c>
      <c r="H296" s="59" t="str">
        <f>Данные!H296</f>
        <v>4 курс 2016 год/пост</v>
      </c>
      <c r="I296" s="59" t="str">
        <f>Данные!I296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296" s="59">
        <f>Данные!J296</f>
        <v>0</v>
      </c>
      <c r="K296" s="59">
        <f>Данные!K296</f>
        <v>24</v>
      </c>
      <c r="L296" s="59">
        <f>Данные!L296</f>
        <v>0</v>
      </c>
      <c r="M296" s="60">
        <f t="shared" si="36"/>
        <v>2.4</v>
      </c>
      <c r="N296" s="60">
        <f t="shared" ca="1" si="37"/>
        <v>10.91</v>
      </c>
      <c r="O296" s="60">
        <f t="shared" ca="1" si="38"/>
        <v>6.75</v>
      </c>
      <c r="P296" s="60">
        <f t="shared" ca="1" si="39"/>
        <v>6.75</v>
      </c>
      <c r="Q296" s="54">
        <f>Данные!Q296</f>
        <v>0</v>
      </c>
      <c r="R296" s="54">
        <f>Данные!R296</f>
        <v>0</v>
      </c>
      <c r="S296" s="54">
        <f>Данные!S296</f>
        <v>0</v>
      </c>
      <c r="T296" s="54">
        <f>Данные!T296</f>
        <v>0</v>
      </c>
      <c r="U296" s="54">
        <f>Данные!U296</f>
        <v>0</v>
      </c>
      <c r="V296" s="54">
        <f>Данные!V296</f>
        <v>0</v>
      </c>
      <c r="W296" s="54">
        <f ca="1">Данные!W296</f>
        <v>27</v>
      </c>
      <c r="X296" s="54" t="str">
        <f ca="1">Данные!X296</f>
        <v>1</v>
      </c>
      <c r="Y296" s="54" t="str">
        <f ca="1">Данные!Y296</f>
        <v>2</v>
      </c>
      <c r="Z296" s="54">
        <f>Данные!Z296</f>
        <v>0</v>
      </c>
      <c r="AA296" s="54" t="str">
        <f>Данные!AA296</f>
        <v>доп</v>
      </c>
      <c r="AB296" s="101">
        <f t="shared" si="40"/>
        <v>900</v>
      </c>
      <c r="AC296" s="101" t="str">
        <f t="shared" si="41"/>
        <v>ИВТ (бак)</v>
      </c>
      <c r="AD296" s="101" t="str">
        <f t="shared" si="42"/>
        <v/>
      </c>
      <c r="AE296" s="102">
        <f t="shared" ca="1" si="43"/>
        <v>50.81</v>
      </c>
      <c r="AF296" s="103">
        <f t="shared" ca="1" si="44"/>
        <v>5.6455555555555557E-2</v>
      </c>
      <c r="AG296" s="101"/>
      <c r="AH296" s="101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Q296" s="72">
        <v>0</v>
      </c>
      <c r="BR296" s="72">
        <v>0</v>
      </c>
      <c r="BS296" s="72">
        <v>0</v>
      </c>
      <c r="BT296" s="72">
        <v>0</v>
      </c>
      <c r="BU296" s="72">
        <v>0</v>
      </c>
      <c r="BV296" s="72">
        <v>0</v>
      </c>
      <c r="BW296" s="72">
        <v>0</v>
      </c>
      <c r="BX296" s="72">
        <v>0</v>
      </c>
      <c r="BY296" s="72">
        <v>0</v>
      </c>
      <c r="BZ296" s="72">
        <v>0</v>
      </c>
      <c r="CA296" s="72">
        <v>0</v>
      </c>
      <c r="CB296" s="72">
        <v>0</v>
      </c>
      <c r="CC296" s="72">
        <v>0</v>
      </c>
      <c r="CD296" s="72">
        <v>0</v>
      </c>
      <c r="CE296" s="72">
        <v>0</v>
      </c>
      <c r="CF296" s="72">
        <v>0</v>
      </c>
      <c r="CG296" s="72">
        <v>0</v>
      </c>
      <c r="CH296" s="72">
        <v>0</v>
      </c>
      <c r="CI296" s="72">
        <v>0</v>
      </c>
      <c r="CJ296" s="72">
        <v>0</v>
      </c>
      <c r="CK296" s="72">
        <v>0</v>
      </c>
      <c r="CL296" s="72">
        <v>0</v>
      </c>
      <c r="CM296" s="72">
        <v>0</v>
      </c>
      <c r="CN296" s="72">
        <v>0</v>
      </c>
      <c r="CO296" s="72">
        <v>0</v>
      </c>
      <c r="CP296" s="72">
        <v>0</v>
      </c>
      <c r="CQ296" s="72">
        <v>0</v>
      </c>
      <c r="CR296" s="72">
        <v>0</v>
      </c>
      <c r="CS296" s="72">
        <v>0</v>
      </c>
      <c r="CT296" s="72">
        <v>0</v>
      </c>
      <c r="CU296" s="72">
        <v>0</v>
      </c>
      <c r="CV296" s="72">
        <v>0</v>
      </c>
      <c r="CW296" s="72">
        <v>0</v>
      </c>
      <c r="CX296" s="72">
        <v>0</v>
      </c>
      <c r="CY296" s="72">
        <v>0</v>
      </c>
      <c r="CZ296" s="72">
        <v>0</v>
      </c>
      <c r="DA296" s="72">
        <v>0</v>
      </c>
      <c r="DB296" s="72">
        <v>0</v>
      </c>
      <c r="DC296" s="72">
        <v>0</v>
      </c>
      <c r="DD296" s="72">
        <v>0</v>
      </c>
      <c r="DE296" s="72">
        <v>0</v>
      </c>
      <c r="DF296" s="72">
        <v>0</v>
      </c>
      <c r="DG296" s="72">
        <v>0</v>
      </c>
      <c r="DH296" s="72">
        <v>0</v>
      </c>
      <c r="DI296" s="72">
        <v>0</v>
      </c>
      <c r="DJ296" s="72">
        <v>0</v>
      </c>
      <c r="DK296" s="72">
        <v>0</v>
      </c>
      <c r="DL296" s="72">
        <v>0</v>
      </c>
      <c r="DM296" s="72">
        <v>0</v>
      </c>
      <c r="DN296" s="72">
        <v>0</v>
      </c>
      <c r="DO296" s="72">
        <v>0</v>
      </c>
      <c r="DP296" s="72">
        <v>0</v>
      </c>
      <c r="DQ296" s="72">
        <v>0</v>
      </c>
      <c r="DR296" s="72">
        <v>0</v>
      </c>
      <c r="DS296" s="72">
        <v>0</v>
      </c>
      <c r="DT296" s="72">
        <v>0</v>
      </c>
      <c r="DU296" s="72">
        <v>0</v>
      </c>
      <c r="DV296" s="72">
        <v>0</v>
      </c>
      <c r="DW296" s="72">
        <v>0</v>
      </c>
      <c r="DX296" s="72">
        <v>0</v>
      </c>
      <c r="DY296" s="72">
        <v>0</v>
      </c>
      <c r="DZ296" s="72">
        <v>0</v>
      </c>
      <c r="EA296" s="72">
        <v>0</v>
      </c>
      <c r="EB296" s="72">
        <v>0</v>
      </c>
      <c r="EC296" s="72">
        <v>0</v>
      </c>
      <c r="ED296" s="72">
        <v>0</v>
      </c>
      <c r="EE296" s="72">
        <v>0</v>
      </c>
      <c r="EF296" s="72">
        <v>0</v>
      </c>
      <c r="EG296" s="72">
        <v>0</v>
      </c>
      <c r="EH296" s="72">
        <v>0</v>
      </c>
      <c r="EI296" s="72">
        <v>0</v>
      </c>
      <c r="EJ296" s="72">
        <v>0</v>
      </c>
      <c r="EK296" s="72">
        <v>0</v>
      </c>
      <c r="EL296" s="72">
        <v>0</v>
      </c>
    </row>
    <row r="297" spans="1:142" x14ac:dyDescent="0.35">
      <c r="A297" s="59">
        <f>Данные!A297</f>
        <v>4848</v>
      </c>
      <c r="B297" s="59">
        <f>Данные!B297</f>
        <v>2019</v>
      </c>
      <c r="C297" s="59" t="str">
        <f>Данные!C297</f>
        <v>компьютерных технологий и электронного обучения</v>
      </c>
      <c r="D297" s="59" t="str">
        <f>Данные!D297</f>
        <v>Серегин Александр Николаевич</v>
      </c>
      <c r="E297" s="59" t="str">
        <f>Данные!E297</f>
        <v>кандидат технических наук</v>
      </c>
      <c r="F297" s="59" t="str">
        <f>Данные!F297</f>
        <v>внешний</v>
      </c>
      <c r="G297" s="59">
        <f>Данные!G297</f>
        <v>0</v>
      </c>
      <c r="H297" s="59" t="str">
        <f>Данные!H297</f>
        <v>4 курс 2016 год/пост</v>
      </c>
      <c r="I297" s="59" t="str">
        <f>Данные!I297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97" s="59">
        <f>Данные!J297</f>
        <v>0</v>
      </c>
      <c r="K297" s="59">
        <f>Данные!K297</f>
        <v>0</v>
      </c>
      <c r="L297" s="59">
        <f>Данные!L297</f>
        <v>0</v>
      </c>
      <c r="M297" s="60">
        <f t="shared" si="36"/>
        <v>0</v>
      </c>
      <c r="N297" s="60">
        <f t="shared" ca="1" si="37"/>
        <v>10.91</v>
      </c>
      <c r="O297" s="60">
        <f t="shared" ca="1" si="38"/>
        <v>6.75</v>
      </c>
      <c r="P297" s="60">
        <f t="shared" ca="1" si="39"/>
        <v>6.75</v>
      </c>
      <c r="Q297" s="54">
        <f>Данные!Q297</f>
        <v>0</v>
      </c>
      <c r="R297" s="54">
        <f>Данные!R297</f>
        <v>0</v>
      </c>
      <c r="S297" s="54">
        <f>Данные!S297</f>
        <v>0</v>
      </c>
      <c r="T297" s="54">
        <f>Данные!T297</f>
        <v>0</v>
      </c>
      <c r="U297" s="54">
        <f>Данные!U297</f>
        <v>8</v>
      </c>
      <c r="V297" s="54">
        <f>Данные!V297</f>
        <v>0</v>
      </c>
      <c r="W297" s="54">
        <f ca="1">Данные!W297</f>
        <v>27</v>
      </c>
      <c r="X297" s="54" t="str">
        <f ca="1">Данные!X297</f>
        <v>1</v>
      </c>
      <c r="Y297" s="54" t="str">
        <f ca="1">Данные!Y297</f>
        <v>2</v>
      </c>
      <c r="Z297" s="54">
        <f>Данные!Z297</f>
        <v>0</v>
      </c>
      <c r="AA297" s="54" t="str">
        <f>Данные!AA297</f>
        <v>осн</v>
      </c>
      <c r="AB297" s="101">
        <f t="shared" si="40"/>
        <v>900</v>
      </c>
      <c r="AC297" s="101" t="str">
        <f t="shared" si="41"/>
        <v>ИВТ (бак)</v>
      </c>
      <c r="AD297" s="101" t="str">
        <f t="shared" si="42"/>
        <v/>
      </c>
      <c r="AE297" s="102">
        <f t="shared" ca="1" si="43"/>
        <v>32.409999999999997</v>
      </c>
      <c r="AF297" s="103">
        <f t="shared" ca="1" si="44"/>
        <v>3.6011111111111105E-2</v>
      </c>
      <c r="AG297" s="101"/>
      <c r="AH297" s="101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Q297" s="72">
        <v>0</v>
      </c>
      <c r="BR297" s="72">
        <v>0</v>
      </c>
      <c r="BS297" s="72">
        <v>0</v>
      </c>
      <c r="BT297" s="72">
        <v>0</v>
      </c>
      <c r="BU297" s="72">
        <v>0</v>
      </c>
      <c r="BV297" s="72">
        <v>0</v>
      </c>
      <c r="BW297" s="72">
        <v>0</v>
      </c>
      <c r="BX297" s="72">
        <v>0</v>
      </c>
      <c r="BY297" s="72">
        <v>0</v>
      </c>
      <c r="BZ297" s="72">
        <v>0</v>
      </c>
      <c r="CA297" s="72">
        <v>0</v>
      </c>
      <c r="CB297" s="72">
        <v>0</v>
      </c>
      <c r="CC297" s="72">
        <v>0</v>
      </c>
      <c r="CD297" s="72">
        <v>0</v>
      </c>
      <c r="CE297" s="72">
        <v>0</v>
      </c>
      <c r="CF297" s="72">
        <v>0</v>
      </c>
      <c r="CG297" s="72">
        <v>0</v>
      </c>
      <c r="CH297" s="72">
        <v>0</v>
      </c>
      <c r="CI297" s="72">
        <v>0</v>
      </c>
      <c r="CJ297" s="72">
        <v>0</v>
      </c>
      <c r="CK297" s="72">
        <v>0</v>
      </c>
      <c r="CL297" s="72">
        <v>0</v>
      </c>
      <c r="CM297" s="72">
        <v>0</v>
      </c>
      <c r="CN297" s="72">
        <v>0</v>
      </c>
      <c r="CO297" s="72">
        <v>0</v>
      </c>
      <c r="CP297" s="72">
        <v>0</v>
      </c>
      <c r="CQ297" s="72">
        <v>0</v>
      </c>
      <c r="CR297" s="72">
        <v>0</v>
      </c>
      <c r="CS297" s="72">
        <v>0</v>
      </c>
      <c r="CT297" s="72">
        <v>0</v>
      </c>
      <c r="CU297" s="72">
        <v>0</v>
      </c>
      <c r="CV297" s="72">
        <v>0</v>
      </c>
      <c r="CW297" s="72">
        <v>0</v>
      </c>
      <c r="CX297" s="72">
        <v>0</v>
      </c>
      <c r="CY297" s="72">
        <v>0</v>
      </c>
      <c r="CZ297" s="72">
        <v>0</v>
      </c>
      <c r="DA297" s="72">
        <v>0</v>
      </c>
      <c r="DB297" s="72">
        <v>0</v>
      </c>
      <c r="DC297" s="72">
        <v>0</v>
      </c>
      <c r="DD297" s="72">
        <v>0</v>
      </c>
      <c r="DE297" s="72">
        <v>0</v>
      </c>
      <c r="DF297" s="72">
        <v>0</v>
      </c>
      <c r="DG297" s="72">
        <v>0</v>
      </c>
      <c r="DH297" s="72">
        <v>0</v>
      </c>
      <c r="DI297" s="72">
        <v>0</v>
      </c>
      <c r="DJ297" s="72">
        <v>0</v>
      </c>
      <c r="DK297" s="72">
        <v>0</v>
      </c>
      <c r="DL297" s="72">
        <v>0</v>
      </c>
      <c r="DM297" s="72">
        <v>0</v>
      </c>
      <c r="DN297" s="72">
        <v>0</v>
      </c>
      <c r="DO297" s="72">
        <v>0</v>
      </c>
      <c r="DP297" s="72">
        <v>0</v>
      </c>
      <c r="DQ297" s="72">
        <v>0</v>
      </c>
      <c r="DR297" s="72">
        <v>0</v>
      </c>
      <c r="DS297" s="72">
        <v>0</v>
      </c>
      <c r="DT297" s="72">
        <v>0</v>
      </c>
      <c r="DU297" s="72">
        <v>0</v>
      </c>
      <c r="DV297" s="72">
        <v>0</v>
      </c>
      <c r="DW297" s="72">
        <v>0</v>
      </c>
      <c r="DX297" s="72">
        <v>0</v>
      </c>
      <c r="DY297" s="72">
        <v>0</v>
      </c>
      <c r="DZ297" s="72">
        <v>0</v>
      </c>
      <c r="EA297" s="72">
        <v>0</v>
      </c>
      <c r="EB297" s="72">
        <v>0</v>
      </c>
      <c r="EC297" s="72">
        <v>0</v>
      </c>
      <c r="ED297" s="72">
        <v>0</v>
      </c>
      <c r="EE297" s="72">
        <v>0</v>
      </c>
      <c r="EF297" s="72">
        <v>0</v>
      </c>
      <c r="EG297" s="72">
        <v>0</v>
      </c>
      <c r="EH297" s="72">
        <v>0</v>
      </c>
      <c r="EI297" s="72">
        <v>0</v>
      </c>
      <c r="EJ297" s="72">
        <v>0</v>
      </c>
      <c r="EK297" s="72">
        <v>0</v>
      </c>
      <c r="EL297" s="72">
        <v>0</v>
      </c>
    </row>
    <row r="298" spans="1:142" x14ac:dyDescent="0.35">
      <c r="A298" s="59">
        <f>Данные!A298</f>
        <v>4848</v>
      </c>
      <c r="B298" s="59">
        <f>Данные!B298</f>
        <v>2019</v>
      </c>
      <c r="C298" s="59" t="str">
        <f>Данные!C298</f>
        <v>компьютерных технологий и электронного обучения</v>
      </c>
      <c r="D298" s="59" t="str">
        <f>Данные!D298</f>
        <v>Жуков Николай Николаевич</v>
      </c>
      <c r="E298" s="59" t="str">
        <f>Данные!E298</f>
        <v>нет</v>
      </c>
      <c r="F298" s="59" t="str">
        <f>Данные!F298</f>
        <v>ассистент</v>
      </c>
      <c r="G298" s="59">
        <f>Данные!G298</f>
        <v>1</v>
      </c>
      <c r="H298" s="59" t="str">
        <f>Данные!H298</f>
        <v>4 курс 2016 год/пост</v>
      </c>
      <c r="I298" s="59" t="str">
        <f>Данные!I298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98" s="59">
        <f>Данные!J298</f>
        <v>0</v>
      </c>
      <c r="K298" s="59">
        <f>Данные!K298</f>
        <v>0</v>
      </c>
      <c r="L298" s="59">
        <f>Данные!L298</f>
        <v>0</v>
      </c>
      <c r="M298" s="60">
        <f t="shared" si="36"/>
        <v>0</v>
      </c>
      <c r="N298" s="60">
        <f t="shared" ca="1" si="37"/>
        <v>10.91</v>
      </c>
      <c r="O298" s="60">
        <f t="shared" ca="1" si="38"/>
        <v>6.75</v>
      </c>
      <c r="P298" s="60">
        <f t="shared" ca="1" si="39"/>
        <v>6.75</v>
      </c>
      <c r="Q298" s="54">
        <f>Данные!Q298</f>
        <v>0</v>
      </c>
      <c r="R298" s="54">
        <f>Данные!R298</f>
        <v>0</v>
      </c>
      <c r="S298" s="54">
        <f>Данные!S298</f>
        <v>0</v>
      </c>
      <c r="T298" s="54">
        <f>Данные!T298</f>
        <v>0</v>
      </c>
      <c r="U298" s="54">
        <f>Данные!U298</f>
        <v>2</v>
      </c>
      <c r="V298" s="54">
        <f>Данные!V298</f>
        <v>0</v>
      </c>
      <c r="W298" s="54">
        <f ca="1">Данные!W298</f>
        <v>27</v>
      </c>
      <c r="X298" s="54" t="str">
        <f ca="1">Данные!X298</f>
        <v>1</v>
      </c>
      <c r="Y298" s="54" t="str">
        <f ca="1">Данные!Y298</f>
        <v>2</v>
      </c>
      <c r="Z298" s="54">
        <f>Данные!Z298</f>
        <v>0</v>
      </c>
      <c r="AA298" s="54" t="str">
        <f>Данные!AA298</f>
        <v>осн</v>
      </c>
      <c r="AB298" s="101">
        <f t="shared" si="40"/>
        <v>900</v>
      </c>
      <c r="AC298" s="101" t="str">
        <f t="shared" si="41"/>
        <v>ИВТ (бак)</v>
      </c>
      <c r="AD298" s="101" t="str">
        <f t="shared" si="42"/>
        <v/>
      </c>
      <c r="AE298" s="102">
        <f t="shared" ca="1" si="43"/>
        <v>26.41</v>
      </c>
      <c r="AF298" s="103">
        <f t="shared" ca="1" si="44"/>
        <v>2.9344444444444444E-2</v>
      </c>
      <c r="AG298" s="101"/>
      <c r="AH298" s="101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Q298" s="72">
        <v>0</v>
      </c>
      <c r="BR298" s="72">
        <v>0</v>
      </c>
      <c r="BS298" s="72">
        <v>0</v>
      </c>
      <c r="BT298" s="72">
        <v>0</v>
      </c>
      <c r="BU298" s="72">
        <v>0</v>
      </c>
      <c r="BV298" s="72">
        <v>0</v>
      </c>
      <c r="BW298" s="72">
        <v>0</v>
      </c>
      <c r="BX298" s="72">
        <v>0</v>
      </c>
      <c r="BY298" s="72">
        <v>0</v>
      </c>
      <c r="BZ298" s="72">
        <v>0</v>
      </c>
      <c r="CA298" s="72">
        <v>0</v>
      </c>
      <c r="CB298" s="72">
        <v>0</v>
      </c>
      <c r="CC298" s="72">
        <v>0</v>
      </c>
      <c r="CD298" s="72">
        <v>0</v>
      </c>
      <c r="CE298" s="72">
        <v>0</v>
      </c>
      <c r="CF298" s="72">
        <v>0</v>
      </c>
      <c r="CG298" s="72">
        <v>0</v>
      </c>
      <c r="CH298" s="72">
        <v>0</v>
      </c>
      <c r="CI298" s="72">
        <v>0</v>
      </c>
      <c r="CJ298" s="72">
        <v>0</v>
      </c>
      <c r="CK298" s="72">
        <v>0</v>
      </c>
      <c r="CL298" s="72">
        <v>0</v>
      </c>
      <c r="CM298" s="72">
        <v>0</v>
      </c>
      <c r="CN298" s="72">
        <v>0</v>
      </c>
      <c r="CO298" s="72">
        <v>0</v>
      </c>
      <c r="CP298" s="72">
        <v>0</v>
      </c>
      <c r="CQ298" s="72">
        <v>0</v>
      </c>
      <c r="CR298" s="72">
        <v>0</v>
      </c>
      <c r="CS298" s="72">
        <v>0</v>
      </c>
      <c r="CT298" s="72">
        <v>0</v>
      </c>
      <c r="CU298" s="72">
        <v>0</v>
      </c>
      <c r="CV298" s="72">
        <v>0</v>
      </c>
      <c r="CW298" s="72">
        <v>0</v>
      </c>
      <c r="CX298" s="72">
        <v>0</v>
      </c>
      <c r="CY298" s="72">
        <v>0</v>
      </c>
      <c r="CZ298" s="72">
        <v>0</v>
      </c>
      <c r="DA298" s="72">
        <v>0</v>
      </c>
      <c r="DB298" s="72">
        <v>0</v>
      </c>
      <c r="DC298" s="72">
        <v>0</v>
      </c>
      <c r="DD298" s="72">
        <v>0</v>
      </c>
      <c r="DE298" s="72">
        <v>0</v>
      </c>
      <c r="DF298" s="72">
        <v>0</v>
      </c>
      <c r="DG298" s="72">
        <v>0</v>
      </c>
      <c r="DH298" s="72">
        <v>0</v>
      </c>
      <c r="DI298" s="72">
        <v>0</v>
      </c>
      <c r="DJ298" s="72">
        <v>0</v>
      </c>
      <c r="DK298" s="72">
        <v>0</v>
      </c>
      <c r="DL298" s="72">
        <v>0</v>
      </c>
      <c r="DM298" s="72">
        <v>0</v>
      </c>
      <c r="DN298" s="72">
        <v>0</v>
      </c>
      <c r="DO298" s="72">
        <v>0</v>
      </c>
      <c r="DP298" s="72">
        <v>0</v>
      </c>
      <c r="DQ298" s="72">
        <v>0</v>
      </c>
      <c r="DR298" s="72">
        <v>0</v>
      </c>
      <c r="DS298" s="72">
        <v>0</v>
      </c>
      <c r="DT298" s="72">
        <v>0</v>
      </c>
      <c r="DU298" s="72">
        <v>0</v>
      </c>
      <c r="DV298" s="72">
        <v>0</v>
      </c>
      <c r="DW298" s="72">
        <v>0</v>
      </c>
      <c r="DX298" s="72">
        <v>0</v>
      </c>
      <c r="DY298" s="72">
        <v>0</v>
      </c>
      <c r="DZ298" s="72">
        <v>0</v>
      </c>
      <c r="EA298" s="72">
        <v>0</v>
      </c>
      <c r="EB298" s="72">
        <v>0</v>
      </c>
      <c r="EC298" s="72">
        <v>0</v>
      </c>
      <c r="ED298" s="72">
        <v>0</v>
      </c>
      <c r="EE298" s="72">
        <v>0</v>
      </c>
      <c r="EF298" s="72">
        <v>0</v>
      </c>
      <c r="EG298" s="72">
        <v>0</v>
      </c>
      <c r="EH298" s="72">
        <v>0</v>
      </c>
      <c r="EI298" s="72">
        <v>0</v>
      </c>
      <c r="EJ298" s="72">
        <v>0</v>
      </c>
      <c r="EK298" s="72">
        <v>0</v>
      </c>
      <c r="EL298" s="72">
        <v>0</v>
      </c>
    </row>
    <row r="299" spans="1:142" x14ac:dyDescent="0.35">
      <c r="A299" s="59">
        <f>Данные!A299</f>
        <v>4848</v>
      </c>
      <c r="B299" s="59">
        <f>Данные!B299</f>
        <v>2019</v>
      </c>
      <c r="C299" s="59" t="str">
        <f>Данные!C299</f>
        <v>компьютерных технологий и электронного обучения</v>
      </c>
      <c r="D299" s="59" t="str">
        <f>Данные!D299</f>
        <v>Серегин Александр Николаевич</v>
      </c>
      <c r="E299" s="59" t="str">
        <f>Данные!E299</f>
        <v>кандидат технических наук</v>
      </c>
      <c r="F299" s="59" t="str">
        <f>Данные!F299</f>
        <v>внешний</v>
      </c>
      <c r="G299" s="59">
        <f>Данные!G299</f>
        <v>0</v>
      </c>
      <c r="H299" s="59" t="str">
        <f>Данные!H299</f>
        <v>4 курс 2016 год/пост</v>
      </c>
      <c r="I299" s="59" t="str">
        <f>Данные!I299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99" s="59">
        <f>Данные!J299</f>
        <v>0</v>
      </c>
      <c r="K299" s="59">
        <f>Данные!K299</f>
        <v>0</v>
      </c>
      <c r="L299" s="59">
        <f>Данные!L299</f>
        <v>0</v>
      </c>
      <c r="M299" s="60">
        <f t="shared" si="36"/>
        <v>0</v>
      </c>
      <c r="N299" s="60">
        <f t="shared" ca="1" si="37"/>
        <v>10.91</v>
      </c>
      <c r="O299" s="60">
        <f t="shared" ca="1" si="38"/>
        <v>6.75</v>
      </c>
      <c r="P299" s="60">
        <f t="shared" ca="1" si="39"/>
        <v>6.75</v>
      </c>
      <c r="Q299" s="54">
        <f>Данные!Q299</f>
        <v>0</v>
      </c>
      <c r="R299" s="54">
        <f>Данные!R299</f>
        <v>0</v>
      </c>
      <c r="S299" s="54">
        <f>Данные!S299</f>
        <v>0</v>
      </c>
      <c r="T299" s="54">
        <f>Данные!T299</f>
        <v>0</v>
      </c>
      <c r="U299" s="54">
        <f>Данные!U299</f>
        <v>8</v>
      </c>
      <c r="V299" s="54">
        <f>Данные!V299</f>
        <v>0</v>
      </c>
      <c r="W299" s="54">
        <f ca="1">Данные!W299</f>
        <v>27</v>
      </c>
      <c r="X299" s="54" t="str">
        <f ca="1">Данные!X299</f>
        <v>1</v>
      </c>
      <c r="Y299" s="54" t="str">
        <f ca="1">Данные!Y299</f>
        <v>2</v>
      </c>
      <c r="Z299" s="54">
        <f>Данные!Z299</f>
        <v>0</v>
      </c>
      <c r="AA299" s="54" t="str">
        <f>Данные!AA299</f>
        <v>осн</v>
      </c>
      <c r="AB299" s="101">
        <f t="shared" si="40"/>
        <v>900</v>
      </c>
      <c r="AC299" s="101" t="str">
        <f t="shared" si="41"/>
        <v>ИВТ (бак)</v>
      </c>
      <c r="AD299" s="101" t="str">
        <f t="shared" si="42"/>
        <v/>
      </c>
      <c r="AE299" s="102">
        <f t="shared" ca="1" si="43"/>
        <v>32.409999999999997</v>
      </c>
      <c r="AF299" s="103">
        <f t="shared" ca="1" si="44"/>
        <v>3.6011111111111105E-2</v>
      </c>
      <c r="AG299" s="101"/>
      <c r="AH299" s="101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Q299" s="72">
        <v>0</v>
      </c>
      <c r="BR299" s="72">
        <v>0</v>
      </c>
      <c r="BS299" s="72">
        <v>0</v>
      </c>
      <c r="BT299" s="72">
        <v>0</v>
      </c>
      <c r="BU299" s="72">
        <v>0</v>
      </c>
      <c r="BV299" s="72">
        <v>0</v>
      </c>
      <c r="BW299" s="72">
        <v>0</v>
      </c>
      <c r="BX299" s="72">
        <v>0</v>
      </c>
      <c r="BY299" s="72">
        <v>0</v>
      </c>
      <c r="BZ299" s="72">
        <v>0</v>
      </c>
      <c r="CA299" s="72">
        <v>0</v>
      </c>
      <c r="CB299" s="72">
        <v>0</v>
      </c>
      <c r="CC299" s="72">
        <v>0</v>
      </c>
      <c r="CD299" s="72">
        <v>0</v>
      </c>
      <c r="CE299" s="72">
        <v>0</v>
      </c>
      <c r="CF299" s="72">
        <v>0</v>
      </c>
      <c r="CG299" s="72">
        <v>0</v>
      </c>
      <c r="CH299" s="72">
        <v>0</v>
      </c>
      <c r="CI299" s="72">
        <v>0</v>
      </c>
      <c r="CJ299" s="72">
        <v>0</v>
      </c>
      <c r="CK299" s="72">
        <v>0</v>
      </c>
      <c r="CL299" s="72">
        <v>0</v>
      </c>
      <c r="CM299" s="72">
        <v>0</v>
      </c>
      <c r="CN299" s="72">
        <v>0</v>
      </c>
      <c r="CO299" s="72">
        <v>0</v>
      </c>
      <c r="CP299" s="72">
        <v>0</v>
      </c>
      <c r="CQ299" s="72">
        <v>0</v>
      </c>
      <c r="CR299" s="72">
        <v>0</v>
      </c>
      <c r="CS299" s="72">
        <v>0</v>
      </c>
      <c r="CT299" s="72">
        <v>0</v>
      </c>
      <c r="CU299" s="72">
        <v>0</v>
      </c>
      <c r="CV299" s="72">
        <v>0</v>
      </c>
      <c r="CW299" s="72">
        <v>0</v>
      </c>
      <c r="CX299" s="72">
        <v>0</v>
      </c>
      <c r="CY299" s="72">
        <v>0</v>
      </c>
      <c r="CZ299" s="72">
        <v>0</v>
      </c>
      <c r="DA299" s="72">
        <v>0</v>
      </c>
      <c r="DB299" s="72">
        <v>0</v>
      </c>
      <c r="DC299" s="72">
        <v>0</v>
      </c>
      <c r="DD299" s="72">
        <v>0</v>
      </c>
      <c r="DE299" s="72">
        <v>0</v>
      </c>
      <c r="DF299" s="72">
        <v>0</v>
      </c>
      <c r="DG299" s="72">
        <v>0</v>
      </c>
      <c r="DH299" s="72">
        <v>0</v>
      </c>
      <c r="DI299" s="72">
        <v>0</v>
      </c>
      <c r="DJ299" s="72">
        <v>0</v>
      </c>
      <c r="DK299" s="72">
        <v>0</v>
      </c>
      <c r="DL299" s="72">
        <v>0</v>
      </c>
      <c r="DM299" s="72">
        <v>0</v>
      </c>
      <c r="DN299" s="72">
        <v>0</v>
      </c>
      <c r="DO299" s="72">
        <v>0</v>
      </c>
      <c r="DP299" s="72">
        <v>0</v>
      </c>
      <c r="DQ299" s="72">
        <v>0</v>
      </c>
      <c r="DR299" s="72">
        <v>0</v>
      </c>
      <c r="DS299" s="72">
        <v>0</v>
      </c>
      <c r="DT299" s="72">
        <v>0</v>
      </c>
      <c r="DU299" s="72">
        <v>0</v>
      </c>
      <c r="DV299" s="72">
        <v>0</v>
      </c>
      <c r="DW299" s="72">
        <v>0</v>
      </c>
      <c r="DX299" s="72">
        <v>0</v>
      </c>
      <c r="DY299" s="72">
        <v>0</v>
      </c>
      <c r="DZ299" s="72">
        <v>0</v>
      </c>
      <c r="EA299" s="72">
        <v>0</v>
      </c>
      <c r="EB299" s="72">
        <v>0</v>
      </c>
      <c r="EC299" s="72">
        <v>0</v>
      </c>
      <c r="ED299" s="72">
        <v>0</v>
      </c>
      <c r="EE299" s="72">
        <v>0</v>
      </c>
      <c r="EF299" s="72">
        <v>0</v>
      </c>
      <c r="EG299" s="72">
        <v>0</v>
      </c>
      <c r="EH299" s="72">
        <v>0</v>
      </c>
      <c r="EI299" s="72">
        <v>0</v>
      </c>
      <c r="EJ299" s="72">
        <v>0</v>
      </c>
      <c r="EK299" s="72">
        <v>0</v>
      </c>
      <c r="EL299" s="72">
        <v>0</v>
      </c>
    </row>
    <row r="300" spans="1:142" x14ac:dyDescent="0.35">
      <c r="A300" s="59">
        <f>Данные!A300</f>
        <v>4848</v>
      </c>
      <c r="B300" s="59">
        <f>Данные!B300</f>
        <v>2019</v>
      </c>
      <c r="C300" s="59" t="str">
        <f>Данные!C300</f>
        <v>компьютерных технологий и электронного обучения</v>
      </c>
      <c r="D300" s="59" t="str">
        <f>Данные!D300</f>
        <v>Жуков Николай Николаевич</v>
      </c>
      <c r="E300" s="59" t="str">
        <f>Данные!E300</f>
        <v>нет</v>
      </c>
      <c r="F300" s="59" t="str">
        <f>Данные!F300</f>
        <v>ассистент</v>
      </c>
      <c r="G300" s="59">
        <f>Данные!G300</f>
        <v>1</v>
      </c>
      <c r="H300" s="59" t="str">
        <f>Данные!H300</f>
        <v>4 курс 2016 год/пост</v>
      </c>
      <c r="I300" s="59" t="str">
        <f>Данные!I300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00" s="59">
        <f>Данные!J300</f>
        <v>0</v>
      </c>
      <c r="K300" s="59">
        <f>Данные!K300</f>
        <v>0</v>
      </c>
      <c r="L300" s="59">
        <f>Данные!L300</f>
        <v>0</v>
      </c>
      <c r="M300" s="60">
        <f t="shared" si="36"/>
        <v>0</v>
      </c>
      <c r="N300" s="60">
        <f t="shared" ca="1" si="37"/>
        <v>10.91</v>
      </c>
      <c r="O300" s="60">
        <f t="shared" ca="1" si="38"/>
        <v>6.75</v>
      </c>
      <c r="P300" s="60">
        <f t="shared" ca="1" si="39"/>
        <v>6.75</v>
      </c>
      <c r="Q300" s="54">
        <f>Данные!Q300</f>
        <v>0</v>
      </c>
      <c r="R300" s="54">
        <f>Данные!R300</f>
        <v>0</v>
      </c>
      <c r="S300" s="54">
        <f>Данные!S300</f>
        <v>0</v>
      </c>
      <c r="T300" s="54">
        <f>Данные!T300</f>
        <v>0</v>
      </c>
      <c r="U300" s="54">
        <f>Данные!U300</f>
        <v>2</v>
      </c>
      <c r="V300" s="54">
        <f>Данные!V300</f>
        <v>0</v>
      </c>
      <c r="W300" s="54">
        <f ca="1">Данные!W300</f>
        <v>27</v>
      </c>
      <c r="X300" s="54" t="str">
        <f ca="1">Данные!X300</f>
        <v>1</v>
      </c>
      <c r="Y300" s="54" t="str">
        <f ca="1">Данные!Y300</f>
        <v>2</v>
      </c>
      <c r="Z300" s="54">
        <f>Данные!Z300</f>
        <v>0</v>
      </c>
      <c r="AA300" s="54" t="str">
        <f>Данные!AA300</f>
        <v>ГПХ</v>
      </c>
      <c r="AB300" s="101">
        <f t="shared" si="40"/>
        <v>900</v>
      </c>
      <c r="AC300" s="101" t="str">
        <f t="shared" si="41"/>
        <v>ИВТ (бак)</v>
      </c>
      <c r="AD300" s="101" t="str">
        <f t="shared" si="42"/>
        <v/>
      </c>
      <c r="AE300" s="102">
        <f t="shared" ca="1" si="43"/>
        <v>26.41</v>
      </c>
      <c r="AF300" s="103">
        <f t="shared" ca="1" si="44"/>
        <v>2.9344444444444444E-2</v>
      </c>
      <c r="AG300" s="101"/>
      <c r="AH300" s="101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Q300" s="72">
        <v>0</v>
      </c>
      <c r="BR300" s="72">
        <v>0</v>
      </c>
      <c r="BS300" s="72">
        <v>0</v>
      </c>
      <c r="BT300" s="72">
        <v>0</v>
      </c>
      <c r="BU300" s="72">
        <v>0</v>
      </c>
      <c r="BV300" s="72">
        <v>0</v>
      </c>
      <c r="BW300" s="72">
        <v>0</v>
      </c>
      <c r="BX300" s="72">
        <v>0</v>
      </c>
      <c r="BY300" s="72">
        <v>0</v>
      </c>
      <c r="BZ300" s="72">
        <v>0</v>
      </c>
      <c r="CA300" s="72">
        <v>0</v>
      </c>
      <c r="CB300" s="72">
        <v>0</v>
      </c>
      <c r="CC300" s="72">
        <v>0</v>
      </c>
      <c r="CD300" s="72">
        <v>0</v>
      </c>
      <c r="CE300" s="72">
        <v>0</v>
      </c>
      <c r="CF300" s="72">
        <v>0</v>
      </c>
      <c r="CG300" s="72">
        <v>0</v>
      </c>
      <c r="CH300" s="72">
        <v>0</v>
      </c>
      <c r="CI300" s="72">
        <v>0</v>
      </c>
      <c r="CJ300" s="72">
        <v>0</v>
      </c>
      <c r="CK300" s="72">
        <v>0</v>
      </c>
      <c r="CL300" s="72">
        <v>0</v>
      </c>
      <c r="CM300" s="72">
        <v>0</v>
      </c>
      <c r="CN300" s="72">
        <v>0</v>
      </c>
      <c r="CO300" s="72">
        <v>0</v>
      </c>
      <c r="CP300" s="72">
        <v>0</v>
      </c>
      <c r="CQ300" s="72">
        <v>0</v>
      </c>
      <c r="CR300" s="72">
        <v>0</v>
      </c>
      <c r="CS300" s="72">
        <v>0</v>
      </c>
      <c r="CT300" s="72">
        <v>0</v>
      </c>
      <c r="CU300" s="72">
        <v>0</v>
      </c>
      <c r="CV300" s="72">
        <v>0</v>
      </c>
      <c r="CW300" s="72">
        <v>0</v>
      </c>
      <c r="CX300" s="72">
        <v>0</v>
      </c>
      <c r="CY300" s="72">
        <v>0</v>
      </c>
      <c r="CZ300" s="72">
        <v>0</v>
      </c>
      <c r="DA300" s="72">
        <v>0</v>
      </c>
      <c r="DB300" s="72">
        <v>0</v>
      </c>
      <c r="DC300" s="72">
        <v>0</v>
      </c>
      <c r="DD300" s="72">
        <v>0</v>
      </c>
      <c r="DE300" s="72">
        <v>0</v>
      </c>
      <c r="DF300" s="72">
        <v>0</v>
      </c>
      <c r="DG300" s="72">
        <v>0</v>
      </c>
      <c r="DH300" s="72">
        <v>0</v>
      </c>
      <c r="DI300" s="72">
        <v>0</v>
      </c>
      <c r="DJ300" s="72">
        <v>0</v>
      </c>
      <c r="DK300" s="72">
        <v>0</v>
      </c>
      <c r="DL300" s="72">
        <v>0</v>
      </c>
      <c r="DM300" s="72">
        <v>0</v>
      </c>
      <c r="DN300" s="72">
        <v>0</v>
      </c>
      <c r="DO300" s="72">
        <v>0</v>
      </c>
      <c r="DP300" s="72">
        <v>0</v>
      </c>
      <c r="DQ300" s="72">
        <v>0</v>
      </c>
      <c r="DR300" s="72">
        <v>0</v>
      </c>
      <c r="DS300" s="72">
        <v>0</v>
      </c>
      <c r="DT300" s="72">
        <v>0</v>
      </c>
      <c r="DU300" s="72">
        <v>0</v>
      </c>
      <c r="DV300" s="72">
        <v>0</v>
      </c>
      <c r="DW300" s="72">
        <v>0</v>
      </c>
      <c r="DX300" s="72">
        <v>0</v>
      </c>
      <c r="DY300" s="72">
        <v>0</v>
      </c>
      <c r="DZ300" s="72">
        <v>0</v>
      </c>
      <c r="EA300" s="72">
        <v>0</v>
      </c>
      <c r="EB300" s="72">
        <v>0</v>
      </c>
      <c r="EC300" s="72">
        <v>0</v>
      </c>
      <c r="ED300" s="72">
        <v>0</v>
      </c>
      <c r="EE300" s="72">
        <v>0</v>
      </c>
      <c r="EF300" s="72">
        <v>0</v>
      </c>
      <c r="EG300" s="72">
        <v>0</v>
      </c>
      <c r="EH300" s="72">
        <v>0</v>
      </c>
      <c r="EI300" s="72">
        <v>0</v>
      </c>
      <c r="EJ300" s="72">
        <v>0</v>
      </c>
      <c r="EK300" s="72">
        <v>0</v>
      </c>
      <c r="EL300" s="72">
        <v>0</v>
      </c>
    </row>
    <row r="301" spans="1:142" x14ac:dyDescent="0.35">
      <c r="A301" s="59">
        <f>Данные!A301</f>
        <v>4848</v>
      </c>
      <c r="B301" s="59">
        <f>Данные!B301</f>
        <v>2019</v>
      </c>
      <c r="C301" s="59" t="str">
        <f>Данные!C301</f>
        <v>компьютерных технологий и электронного обучения</v>
      </c>
      <c r="D301" s="59" t="str">
        <f>Данные!D301</f>
        <v>Иванова Екатерина Алексеевна</v>
      </c>
      <c r="E301" s="59" t="str">
        <f>Данные!E301</f>
        <v>нет</v>
      </c>
      <c r="F301" s="59" t="str">
        <f>Данные!F301</f>
        <v>ассистент</v>
      </c>
      <c r="G301" s="59">
        <f>Данные!G301</f>
        <v>0.25</v>
      </c>
      <c r="H301" s="59" t="str">
        <f>Данные!H301</f>
        <v>4 курс 2016 год/пост</v>
      </c>
      <c r="I301" s="59" t="str">
        <f>Данные!I301</f>
        <v>Модуль "Информационные ресурсы и средства профессиональной деятельности инженера". Инфографика</v>
      </c>
      <c r="J301" s="59">
        <f>Данные!J301</f>
        <v>0</v>
      </c>
      <c r="K301" s="59">
        <f>Данные!K301</f>
        <v>0</v>
      </c>
      <c r="L301" s="59">
        <f>Данные!L301</f>
        <v>18</v>
      </c>
      <c r="M301" s="60">
        <f t="shared" si="36"/>
        <v>1.8</v>
      </c>
      <c r="N301" s="60">
        <f t="shared" ca="1" si="37"/>
        <v>10.91</v>
      </c>
      <c r="O301" s="60">
        <f t="shared" ca="1" si="38"/>
        <v>6.75</v>
      </c>
      <c r="P301" s="60">
        <f t="shared" ca="1" si="39"/>
        <v>6.75</v>
      </c>
      <c r="Q301" s="54">
        <f>Данные!Q301</f>
        <v>0</v>
      </c>
      <c r="R301" s="54">
        <f>Данные!R301</f>
        <v>0</v>
      </c>
      <c r="S301" s="54">
        <f>Данные!S301</f>
        <v>0</v>
      </c>
      <c r="T301" s="54">
        <f>Данные!T301</f>
        <v>0</v>
      </c>
      <c r="U301" s="54">
        <f>Данные!U301</f>
        <v>0</v>
      </c>
      <c r="V301" s="54">
        <f>Данные!V301</f>
        <v>0</v>
      </c>
      <c r="W301" s="54">
        <f ca="1">Данные!W301</f>
        <v>27</v>
      </c>
      <c r="X301" s="54" t="str">
        <f ca="1">Данные!X301</f>
        <v>1</v>
      </c>
      <c r="Y301" s="54" t="str">
        <f ca="1">Данные!Y301</f>
        <v>2</v>
      </c>
      <c r="Z301" s="54">
        <f>Данные!Z301</f>
        <v>0</v>
      </c>
      <c r="AA301" s="54">
        <f>Данные!AA301</f>
        <v>0</v>
      </c>
      <c r="AB301" s="101">
        <f t="shared" si="40"/>
        <v>900</v>
      </c>
      <c r="AC301" s="101" t="str">
        <f t="shared" si="41"/>
        <v>ИВТ (бак)</v>
      </c>
      <c r="AD301" s="101" t="str">
        <f t="shared" si="42"/>
        <v/>
      </c>
      <c r="AE301" s="102">
        <f t="shared" ca="1" si="43"/>
        <v>44.21</v>
      </c>
      <c r="AF301" s="103">
        <f t="shared" ca="1" si="44"/>
        <v>4.912222222222222E-2</v>
      </c>
      <c r="AG301" s="101"/>
      <c r="AH301" s="1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Q301" s="72">
        <v>0</v>
      </c>
      <c r="BR301" s="72">
        <v>0</v>
      </c>
      <c r="BS301" s="72">
        <v>0</v>
      </c>
      <c r="BT301" s="72">
        <v>0</v>
      </c>
      <c r="BU301" s="72">
        <v>0</v>
      </c>
      <c r="BV301" s="72">
        <v>0</v>
      </c>
      <c r="BW301" s="72">
        <v>0</v>
      </c>
      <c r="BX301" s="72">
        <v>0</v>
      </c>
      <c r="BY301" s="72">
        <v>0</v>
      </c>
      <c r="BZ301" s="72">
        <v>0</v>
      </c>
      <c r="CA301" s="72">
        <v>0</v>
      </c>
      <c r="CB301" s="72">
        <v>0</v>
      </c>
      <c r="CC301" s="72">
        <v>0</v>
      </c>
      <c r="CD301" s="72">
        <v>0</v>
      </c>
      <c r="CE301" s="72">
        <v>0</v>
      </c>
      <c r="CF301" s="72">
        <v>0</v>
      </c>
      <c r="CG301" s="72">
        <v>0</v>
      </c>
      <c r="CH301" s="72">
        <v>0</v>
      </c>
      <c r="CI301" s="72">
        <v>0</v>
      </c>
      <c r="CJ301" s="72">
        <v>0</v>
      </c>
      <c r="CK301" s="72">
        <v>0</v>
      </c>
      <c r="CL301" s="72">
        <v>0</v>
      </c>
      <c r="CM301" s="72">
        <v>0</v>
      </c>
      <c r="CN301" s="72">
        <v>0</v>
      </c>
      <c r="CO301" s="72">
        <v>0</v>
      </c>
      <c r="CP301" s="72">
        <v>0</v>
      </c>
      <c r="CQ301" s="72">
        <v>0</v>
      </c>
      <c r="CR301" s="72">
        <v>0</v>
      </c>
      <c r="CS301" s="72">
        <v>0</v>
      </c>
      <c r="CT301" s="72">
        <v>0</v>
      </c>
      <c r="CU301" s="72">
        <v>0</v>
      </c>
      <c r="CV301" s="72">
        <v>0</v>
      </c>
      <c r="CW301" s="72">
        <v>0</v>
      </c>
      <c r="CX301" s="72">
        <v>0</v>
      </c>
      <c r="CY301" s="72">
        <v>0</v>
      </c>
      <c r="CZ301" s="72">
        <v>0</v>
      </c>
      <c r="DA301" s="72">
        <v>0</v>
      </c>
      <c r="DB301" s="72">
        <v>0</v>
      </c>
      <c r="DC301" s="72">
        <v>0</v>
      </c>
      <c r="DD301" s="72">
        <v>0</v>
      </c>
      <c r="DE301" s="72">
        <v>0</v>
      </c>
      <c r="DF301" s="72">
        <v>0</v>
      </c>
      <c r="DG301" s="72">
        <v>0</v>
      </c>
      <c r="DH301" s="72">
        <v>0</v>
      </c>
      <c r="DI301" s="72">
        <v>0</v>
      </c>
      <c r="DJ301" s="72">
        <v>0</v>
      </c>
      <c r="DK301" s="72">
        <v>0</v>
      </c>
      <c r="DL301" s="72">
        <v>0</v>
      </c>
      <c r="DM301" s="72">
        <v>0</v>
      </c>
      <c r="DN301" s="72">
        <v>0</v>
      </c>
      <c r="DO301" s="72">
        <v>0</v>
      </c>
      <c r="DP301" s="72">
        <v>0</v>
      </c>
      <c r="DQ301" s="72">
        <v>0</v>
      </c>
      <c r="DR301" s="72">
        <v>0</v>
      </c>
      <c r="DS301" s="72">
        <v>0</v>
      </c>
      <c r="DT301" s="72">
        <v>0</v>
      </c>
      <c r="DU301" s="72">
        <v>0</v>
      </c>
      <c r="DV301" s="72">
        <v>0</v>
      </c>
      <c r="DW301" s="72">
        <v>0</v>
      </c>
      <c r="DX301" s="72">
        <v>0</v>
      </c>
      <c r="DY301" s="72">
        <v>0</v>
      </c>
      <c r="DZ301" s="72">
        <v>0</v>
      </c>
      <c r="EA301" s="72">
        <v>0</v>
      </c>
      <c r="EB301" s="72">
        <v>0</v>
      </c>
      <c r="EC301" s="72">
        <v>0</v>
      </c>
      <c r="ED301" s="72">
        <v>0</v>
      </c>
      <c r="EE301" s="72">
        <v>0</v>
      </c>
      <c r="EF301" s="72">
        <v>0</v>
      </c>
      <c r="EG301" s="72">
        <v>0</v>
      </c>
      <c r="EH301" s="72">
        <v>0</v>
      </c>
      <c r="EI301" s="72">
        <v>0</v>
      </c>
      <c r="EJ301" s="72">
        <v>0</v>
      </c>
      <c r="EK301" s="72">
        <v>0</v>
      </c>
      <c r="EL301" s="72">
        <v>0</v>
      </c>
    </row>
    <row r="302" spans="1:142" x14ac:dyDescent="0.35">
      <c r="A302" s="59">
        <f>Данные!A302</f>
        <v>4848</v>
      </c>
      <c r="B302" s="59">
        <f>Данные!B302</f>
        <v>2019</v>
      </c>
      <c r="C302" s="59" t="str">
        <f>Данные!C302</f>
        <v>компьютерных технологий и электронного обучения</v>
      </c>
      <c r="D302" s="59" t="str">
        <f>Данные!D302</f>
        <v>Копыльцов Александр Васильевич</v>
      </c>
      <c r="E302" s="59" t="str">
        <f>Данные!E302</f>
        <v>доктор технических наук</v>
      </c>
      <c r="F302" s="59" t="str">
        <f>Данные!F302</f>
        <v>внешний</v>
      </c>
      <c r="G302" s="59">
        <f>Данные!G302</f>
        <v>1</v>
      </c>
      <c r="H302" s="59" t="str">
        <f>Данные!H302</f>
        <v>4 курс 2016 год/пост</v>
      </c>
      <c r="I302" s="59" t="str">
        <f>Данные!I302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02" s="59">
        <f>Данные!J302</f>
        <v>0</v>
      </c>
      <c r="K302" s="59">
        <f>Данные!K302</f>
        <v>0</v>
      </c>
      <c r="L302" s="59">
        <f>Данные!L302</f>
        <v>0</v>
      </c>
      <c r="M302" s="60">
        <f t="shared" si="36"/>
        <v>0</v>
      </c>
      <c r="N302" s="60">
        <f t="shared" ca="1" si="37"/>
        <v>10.91</v>
      </c>
      <c r="O302" s="60">
        <f t="shared" ca="1" si="38"/>
        <v>6.75</v>
      </c>
      <c r="P302" s="60">
        <f t="shared" ca="1" si="39"/>
        <v>6.75</v>
      </c>
      <c r="Q302" s="54">
        <f>Данные!Q302</f>
        <v>0</v>
      </c>
      <c r="R302" s="54">
        <f>Данные!R302</f>
        <v>0</v>
      </c>
      <c r="S302" s="54">
        <f>Данные!S302</f>
        <v>0</v>
      </c>
      <c r="T302" s="54">
        <f>Данные!T302</f>
        <v>0</v>
      </c>
      <c r="U302" s="54">
        <f>Данные!U302</f>
        <v>6</v>
      </c>
      <c r="V302" s="54">
        <f>Данные!V302</f>
        <v>0</v>
      </c>
      <c r="W302" s="54">
        <f ca="1">Данные!W302</f>
        <v>27</v>
      </c>
      <c r="X302" s="54" t="str">
        <f ca="1">Данные!X302</f>
        <v>1</v>
      </c>
      <c r="Y302" s="54" t="str">
        <f ca="1">Данные!Y302</f>
        <v>2</v>
      </c>
      <c r="Z302" s="54">
        <f>Данные!Z302</f>
        <v>0</v>
      </c>
      <c r="AA302" s="54" t="str">
        <f>Данные!AA302</f>
        <v>осн</v>
      </c>
      <c r="AB302" s="101">
        <f t="shared" si="40"/>
        <v>900</v>
      </c>
      <c r="AC302" s="101" t="str">
        <f t="shared" si="41"/>
        <v>ИВТ (бак)</v>
      </c>
      <c r="AD302" s="101" t="str">
        <f t="shared" si="42"/>
        <v/>
      </c>
      <c r="AE302" s="102">
        <f t="shared" ca="1" si="43"/>
        <v>30.41</v>
      </c>
      <c r="AF302" s="103">
        <f t="shared" ca="1" si="44"/>
        <v>3.3788888888888889E-2</v>
      </c>
      <c r="AG302" s="101"/>
      <c r="AH302" s="101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Q302" s="72">
        <v>0</v>
      </c>
      <c r="BR302" s="72">
        <v>0</v>
      </c>
      <c r="BS302" s="72">
        <v>0</v>
      </c>
      <c r="BT302" s="72">
        <v>0</v>
      </c>
      <c r="BU302" s="72">
        <v>0</v>
      </c>
      <c r="BV302" s="72">
        <v>0</v>
      </c>
      <c r="BW302" s="72">
        <v>0</v>
      </c>
      <c r="BX302" s="72">
        <v>0</v>
      </c>
      <c r="BY302" s="72">
        <v>0</v>
      </c>
      <c r="BZ302" s="72">
        <v>0</v>
      </c>
      <c r="CA302" s="72">
        <v>0</v>
      </c>
      <c r="CB302" s="72">
        <v>0</v>
      </c>
      <c r="CC302" s="72">
        <v>0</v>
      </c>
      <c r="CD302" s="72">
        <v>0</v>
      </c>
      <c r="CE302" s="72">
        <v>0</v>
      </c>
      <c r="CF302" s="72">
        <v>0</v>
      </c>
      <c r="CG302" s="72">
        <v>0</v>
      </c>
      <c r="CH302" s="72">
        <v>0</v>
      </c>
      <c r="CI302" s="72">
        <v>0</v>
      </c>
      <c r="CJ302" s="72">
        <v>0</v>
      </c>
      <c r="CK302" s="72">
        <v>0</v>
      </c>
      <c r="CL302" s="72">
        <v>0</v>
      </c>
      <c r="CM302" s="72">
        <v>0</v>
      </c>
      <c r="CN302" s="72">
        <v>0</v>
      </c>
      <c r="CO302" s="72">
        <v>0</v>
      </c>
      <c r="CP302" s="72">
        <v>0</v>
      </c>
      <c r="CQ302" s="72">
        <v>0</v>
      </c>
      <c r="CR302" s="72">
        <v>0</v>
      </c>
      <c r="CS302" s="72">
        <v>0</v>
      </c>
      <c r="CT302" s="72">
        <v>0</v>
      </c>
      <c r="CU302" s="72">
        <v>0</v>
      </c>
      <c r="CV302" s="72">
        <v>0</v>
      </c>
      <c r="CW302" s="72">
        <v>0</v>
      </c>
      <c r="CX302" s="72">
        <v>0</v>
      </c>
      <c r="CY302" s="72">
        <v>0</v>
      </c>
      <c r="CZ302" s="72">
        <v>0</v>
      </c>
      <c r="DA302" s="72">
        <v>0</v>
      </c>
      <c r="DB302" s="72">
        <v>0</v>
      </c>
      <c r="DC302" s="72">
        <v>0</v>
      </c>
      <c r="DD302" s="72">
        <v>0</v>
      </c>
      <c r="DE302" s="72">
        <v>0</v>
      </c>
      <c r="DF302" s="72">
        <v>0</v>
      </c>
      <c r="DG302" s="72">
        <v>0</v>
      </c>
      <c r="DH302" s="72">
        <v>0</v>
      </c>
      <c r="DI302" s="72">
        <v>0</v>
      </c>
      <c r="DJ302" s="72">
        <v>0</v>
      </c>
      <c r="DK302" s="72">
        <v>0</v>
      </c>
      <c r="DL302" s="72">
        <v>0</v>
      </c>
      <c r="DM302" s="72">
        <v>0</v>
      </c>
      <c r="DN302" s="72">
        <v>0</v>
      </c>
      <c r="DO302" s="72">
        <v>0</v>
      </c>
      <c r="DP302" s="72">
        <v>0</v>
      </c>
      <c r="DQ302" s="72">
        <v>0</v>
      </c>
      <c r="DR302" s="72">
        <v>0</v>
      </c>
      <c r="DS302" s="72">
        <v>0</v>
      </c>
      <c r="DT302" s="72">
        <v>0</v>
      </c>
      <c r="DU302" s="72">
        <v>0</v>
      </c>
      <c r="DV302" s="72">
        <v>0</v>
      </c>
      <c r="DW302" s="72">
        <v>0</v>
      </c>
      <c r="DX302" s="72">
        <v>0</v>
      </c>
      <c r="DY302" s="72">
        <v>0</v>
      </c>
      <c r="DZ302" s="72">
        <v>0</v>
      </c>
      <c r="EA302" s="72">
        <v>0</v>
      </c>
      <c r="EB302" s="72">
        <v>0</v>
      </c>
      <c r="EC302" s="72">
        <v>0</v>
      </c>
      <c r="ED302" s="72">
        <v>0</v>
      </c>
      <c r="EE302" s="72">
        <v>0</v>
      </c>
      <c r="EF302" s="72">
        <v>0</v>
      </c>
      <c r="EG302" s="72">
        <v>0</v>
      </c>
      <c r="EH302" s="72">
        <v>0</v>
      </c>
      <c r="EI302" s="72">
        <v>0</v>
      </c>
      <c r="EJ302" s="72">
        <v>0</v>
      </c>
      <c r="EK302" s="72">
        <v>0</v>
      </c>
      <c r="EL302" s="72">
        <v>0</v>
      </c>
    </row>
    <row r="303" spans="1:142" x14ac:dyDescent="0.35">
      <c r="A303" s="59">
        <f>Данные!A303</f>
        <v>4848</v>
      </c>
      <c r="B303" s="59">
        <f>Данные!B303</f>
        <v>2019</v>
      </c>
      <c r="C303" s="59" t="str">
        <f>Данные!C303</f>
        <v>компьютерных технологий и электронного обучения</v>
      </c>
      <c r="D303" s="59" t="str">
        <f>Данные!D303</f>
        <v>Копыльцов Александр Васильевич</v>
      </c>
      <c r="E303" s="59" t="str">
        <f>Данные!E303</f>
        <v>доктор технических наук</v>
      </c>
      <c r="F303" s="59" t="str">
        <f>Данные!F303</f>
        <v>внешний</v>
      </c>
      <c r="G303" s="59">
        <f>Данные!G303</f>
        <v>1</v>
      </c>
      <c r="H303" s="59" t="str">
        <f>Данные!H303</f>
        <v>4 курс 2016 год/пост</v>
      </c>
      <c r="I303" s="59" t="str">
        <f>Данные!I303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03" s="59">
        <f>Данные!J303</f>
        <v>0</v>
      </c>
      <c r="K303" s="59">
        <f>Данные!K303</f>
        <v>0</v>
      </c>
      <c r="L303" s="59">
        <f>Данные!L303</f>
        <v>0</v>
      </c>
      <c r="M303" s="60">
        <f t="shared" si="36"/>
        <v>0</v>
      </c>
      <c r="N303" s="60">
        <f t="shared" ca="1" si="37"/>
        <v>10.91</v>
      </c>
      <c r="O303" s="60">
        <f t="shared" ca="1" si="38"/>
        <v>6.75</v>
      </c>
      <c r="P303" s="60">
        <f t="shared" ca="1" si="39"/>
        <v>6.75</v>
      </c>
      <c r="Q303" s="54">
        <f>Данные!Q303</f>
        <v>0</v>
      </c>
      <c r="R303" s="54">
        <f>Данные!R303</f>
        <v>0</v>
      </c>
      <c r="S303" s="54">
        <f>Данные!S303</f>
        <v>0</v>
      </c>
      <c r="T303" s="54">
        <f>Данные!T303</f>
        <v>0</v>
      </c>
      <c r="U303" s="54">
        <f>Данные!U303</f>
        <v>6</v>
      </c>
      <c r="V303" s="54">
        <f>Данные!V303</f>
        <v>0</v>
      </c>
      <c r="W303" s="54">
        <f ca="1">Данные!W303</f>
        <v>27</v>
      </c>
      <c r="X303" s="54" t="str">
        <f ca="1">Данные!X303</f>
        <v>1</v>
      </c>
      <c r="Y303" s="54" t="str">
        <f ca="1">Данные!Y303</f>
        <v>2</v>
      </c>
      <c r="Z303" s="54">
        <f>Данные!Z303</f>
        <v>0</v>
      </c>
      <c r="AA303" s="54" t="str">
        <f>Данные!AA303</f>
        <v>осн</v>
      </c>
      <c r="AB303" s="101">
        <f t="shared" si="40"/>
        <v>900</v>
      </c>
      <c r="AC303" s="101" t="str">
        <f t="shared" si="41"/>
        <v>ИВТ (бак)</v>
      </c>
      <c r="AD303" s="101" t="str">
        <f t="shared" si="42"/>
        <v/>
      </c>
      <c r="AE303" s="102">
        <f t="shared" ca="1" si="43"/>
        <v>30.41</v>
      </c>
      <c r="AF303" s="103">
        <f t="shared" ca="1" si="44"/>
        <v>3.3788888888888889E-2</v>
      </c>
      <c r="AG303" s="101"/>
      <c r="AH303" s="101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Q303" s="72">
        <v>0</v>
      </c>
      <c r="BR303" s="72">
        <v>0</v>
      </c>
      <c r="BS303" s="72">
        <v>0</v>
      </c>
      <c r="BT303" s="72">
        <v>0</v>
      </c>
      <c r="BU303" s="72">
        <v>0</v>
      </c>
      <c r="BV303" s="72">
        <v>0</v>
      </c>
      <c r="BW303" s="72">
        <v>0</v>
      </c>
      <c r="BX303" s="72">
        <v>0</v>
      </c>
      <c r="BY303" s="72">
        <v>0</v>
      </c>
      <c r="BZ303" s="72">
        <v>0</v>
      </c>
      <c r="CA303" s="72">
        <v>0</v>
      </c>
      <c r="CB303" s="72">
        <v>0</v>
      </c>
      <c r="CC303" s="72">
        <v>0</v>
      </c>
      <c r="CD303" s="72">
        <v>0</v>
      </c>
      <c r="CE303" s="72">
        <v>0</v>
      </c>
      <c r="CF303" s="72">
        <v>0</v>
      </c>
      <c r="CG303" s="72">
        <v>0</v>
      </c>
      <c r="CH303" s="72">
        <v>0</v>
      </c>
      <c r="CI303" s="72">
        <v>0</v>
      </c>
      <c r="CJ303" s="72">
        <v>0</v>
      </c>
      <c r="CK303" s="72">
        <v>0</v>
      </c>
      <c r="CL303" s="72">
        <v>0</v>
      </c>
      <c r="CM303" s="72">
        <v>0</v>
      </c>
      <c r="CN303" s="72">
        <v>0</v>
      </c>
      <c r="CO303" s="72">
        <v>0</v>
      </c>
      <c r="CP303" s="72">
        <v>0</v>
      </c>
      <c r="CQ303" s="72">
        <v>0</v>
      </c>
      <c r="CR303" s="72">
        <v>0</v>
      </c>
      <c r="CS303" s="72">
        <v>0</v>
      </c>
      <c r="CT303" s="72">
        <v>0</v>
      </c>
      <c r="CU303" s="72">
        <v>0</v>
      </c>
      <c r="CV303" s="72">
        <v>0</v>
      </c>
      <c r="CW303" s="72">
        <v>0</v>
      </c>
      <c r="CX303" s="72">
        <v>0</v>
      </c>
      <c r="CY303" s="72">
        <v>0</v>
      </c>
      <c r="CZ303" s="72">
        <v>0</v>
      </c>
      <c r="DA303" s="72">
        <v>0</v>
      </c>
      <c r="DB303" s="72">
        <v>0</v>
      </c>
      <c r="DC303" s="72">
        <v>0</v>
      </c>
      <c r="DD303" s="72">
        <v>0</v>
      </c>
      <c r="DE303" s="72">
        <v>0</v>
      </c>
      <c r="DF303" s="72">
        <v>0</v>
      </c>
      <c r="DG303" s="72">
        <v>0</v>
      </c>
      <c r="DH303" s="72">
        <v>0</v>
      </c>
      <c r="DI303" s="72">
        <v>0</v>
      </c>
      <c r="DJ303" s="72">
        <v>0</v>
      </c>
      <c r="DK303" s="72">
        <v>0</v>
      </c>
      <c r="DL303" s="72">
        <v>0</v>
      </c>
      <c r="DM303" s="72">
        <v>0</v>
      </c>
      <c r="DN303" s="72">
        <v>0</v>
      </c>
      <c r="DO303" s="72">
        <v>0</v>
      </c>
      <c r="DP303" s="72">
        <v>0</v>
      </c>
      <c r="DQ303" s="72">
        <v>0</v>
      </c>
      <c r="DR303" s="72">
        <v>0</v>
      </c>
      <c r="DS303" s="72">
        <v>0</v>
      </c>
      <c r="DT303" s="72">
        <v>0</v>
      </c>
      <c r="DU303" s="72">
        <v>0</v>
      </c>
      <c r="DV303" s="72">
        <v>0</v>
      </c>
      <c r="DW303" s="72">
        <v>0</v>
      </c>
      <c r="DX303" s="72">
        <v>0</v>
      </c>
      <c r="DY303" s="72">
        <v>0</v>
      </c>
      <c r="DZ303" s="72">
        <v>0</v>
      </c>
      <c r="EA303" s="72">
        <v>0</v>
      </c>
      <c r="EB303" s="72">
        <v>0</v>
      </c>
      <c r="EC303" s="72">
        <v>0</v>
      </c>
      <c r="ED303" s="72">
        <v>0</v>
      </c>
      <c r="EE303" s="72">
        <v>0</v>
      </c>
      <c r="EF303" s="72">
        <v>0</v>
      </c>
      <c r="EG303" s="72">
        <v>0</v>
      </c>
      <c r="EH303" s="72">
        <v>0</v>
      </c>
      <c r="EI303" s="72">
        <v>0</v>
      </c>
      <c r="EJ303" s="72">
        <v>0</v>
      </c>
      <c r="EK303" s="72">
        <v>0</v>
      </c>
      <c r="EL303" s="72">
        <v>0</v>
      </c>
    </row>
    <row r="304" spans="1:142" x14ac:dyDescent="0.35">
      <c r="A304" s="59">
        <f>Данные!A304</f>
        <v>4848</v>
      </c>
      <c r="B304" s="59">
        <f>Данные!B304</f>
        <v>2019</v>
      </c>
      <c r="C304" s="59" t="str">
        <f>Данные!C304</f>
        <v>компьютерных технологий и электронного обучения</v>
      </c>
      <c r="D304" s="59" t="str">
        <f>Данные!D304</f>
        <v>Копыльцов Александр Васильевич</v>
      </c>
      <c r="E304" s="59" t="str">
        <f>Данные!E304</f>
        <v>доктор технических наук</v>
      </c>
      <c r="F304" s="59" t="str">
        <f>Данные!F304</f>
        <v>внешний</v>
      </c>
      <c r="G304" s="59">
        <f>Данные!G304</f>
        <v>1</v>
      </c>
      <c r="H304" s="59" t="str">
        <f>Данные!H304</f>
        <v>4 курс 2016 год/пост</v>
      </c>
      <c r="I304" s="59" t="str">
        <f>Данные!I304</f>
        <v>Руководство ВКР</v>
      </c>
      <c r="J304" s="59">
        <f>Данные!J304</f>
        <v>0</v>
      </c>
      <c r="K304" s="59">
        <f>Данные!K304</f>
        <v>0</v>
      </c>
      <c r="L304" s="59">
        <f>Данные!L304</f>
        <v>0</v>
      </c>
      <c r="M304" s="60">
        <f t="shared" si="36"/>
        <v>0</v>
      </c>
      <c r="N304" s="60">
        <f t="shared" ca="1" si="37"/>
        <v>10.91</v>
      </c>
      <c r="O304" s="60">
        <f t="shared" ca="1" si="38"/>
        <v>6.75</v>
      </c>
      <c r="P304" s="60">
        <f t="shared" ca="1" si="39"/>
        <v>6.75</v>
      </c>
      <c r="Q304" s="54">
        <f>Данные!Q304</f>
        <v>0</v>
      </c>
      <c r="R304" s="54">
        <f>Данные!R304</f>
        <v>0</v>
      </c>
      <c r="S304" s="54">
        <f>Данные!S304</f>
        <v>0</v>
      </c>
      <c r="T304" s="54">
        <f>Данные!T304</f>
        <v>0</v>
      </c>
      <c r="U304" s="54">
        <f>Данные!U304</f>
        <v>0</v>
      </c>
      <c r="V304" s="54">
        <f>Данные!V304</f>
        <v>60</v>
      </c>
      <c r="W304" s="54">
        <f ca="1">Данные!W304</f>
        <v>27</v>
      </c>
      <c r="X304" s="54" t="str">
        <f ca="1">Данные!X304</f>
        <v>1</v>
      </c>
      <c r="Y304" s="54" t="str">
        <f ca="1">Данные!Y304</f>
        <v>2</v>
      </c>
      <c r="Z304" s="54">
        <f>Данные!Z304</f>
        <v>0</v>
      </c>
      <c r="AA304" s="54" t="str">
        <f>Данные!AA304</f>
        <v>осн</v>
      </c>
      <c r="AB304" s="101">
        <f t="shared" si="40"/>
        <v>900</v>
      </c>
      <c r="AC304" s="101" t="str">
        <f t="shared" si="41"/>
        <v>ИВТ (бак)</v>
      </c>
      <c r="AD304" s="101" t="str">
        <f t="shared" si="42"/>
        <v/>
      </c>
      <c r="AE304" s="102">
        <f t="shared" ca="1" si="43"/>
        <v>84.41</v>
      </c>
      <c r="AF304" s="103">
        <f t="shared" ca="1" si="44"/>
        <v>9.378888888888888E-2</v>
      </c>
      <c r="AG304" s="101"/>
      <c r="AH304" s="101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Q304" s="72">
        <v>0</v>
      </c>
      <c r="BR304" s="72">
        <v>0</v>
      </c>
      <c r="BS304" s="72">
        <v>0</v>
      </c>
      <c r="BT304" s="72">
        <v>0</v>
      </c>
      <c r="BU304" s="72">
        <v>0</v>
      </c>
      <c r="BV304" s="72">
        <v>0</v>
      </c>
      <c r="BW304" s="72">
        <v>0</v>
      </c>
      <c r="BX304" s="72">
        <v>0</v>
      </c>
      <c r="BY304" s="72">
        <v>0</v>
      </c>
      <c r="BZ304" s="72">
        <v>0</v>
      </c>
      <c r="CA304" s="72">
        <v>0</v>
      </c>
      <c r="CB304" s="72">
        <v>0</v>
      </c>
      <c r="CC304" s="72">
        <v>0</v>
      </c>
      <c r="CD304" s="72">
        <v>0</v>
      </c>
      <c r="CE304" s="72">
        <v>0</v>
      </c>
      <c r="CF304" s="72">
        <v>0</v>
      </c>
      <c r="CG304" s="72">
        <v>0</v>
      </c>
      <c r="CH304" s="72">
        <v>0</v>
      </c>
      <c r="CI304" s="72">
        <v>0</v>
      </c>
      <c r="CJ304" s="72">
        <v>0</v>
      </c>
      <c r="CK304" s="72">
        <v>0</v>
      </c>
      <c r="CL304" s="72">
        <v>0</v>
      </c>
      <c r="CM304" s="72">
        <v>0</v>
      </c>
      <c r="CN304" s="72">
        <v>0</v>
      </c>
      <c r="CO304" s="72">
        <v>0</v>
      </c>
      <c r="CP304" s="72">
        <v>0</v>
      </c>
      <c r="CQ304" s="72">
        <v>0</v>
      </c>
      <c r="CR304" s="72">
        <v>0</v>
      </c>
      <c r="CS304" s="72">
        <v>0</v>
      </c>
      <c r="CT304" s="72">
        <v>0</v>
      </c>
      <c r="CU304" s="72">
        <v>0</v>
      </c>
      <c r="CV304" s="72">
        <v>0</v>
      </c>
      <c r="CW304" s="72">
        <v>0</v>
      </c>
      <c r="CX304" s="72">
        <v>0</v>
      </c>
      <c r="CY304" s="72">
        <v>0</v>
      </c>
      <c r="CZ304" s="72">
        <v>0</v>
      </c>
      <c r="DA304" s="72">
        <v>0</v>
      </c>
      <c r="DB304" s="72">
        <v>0</v>
      </c>
      <c r="DC304" s="72">
        <v>0</v>
      </c>
      <c r="DD304" s="72">
        <v>0</v>
      </c>
      <c r="DE304" s="72">
        <v>0</v>
      </c>
      <c r="DF304" s="72">
        <v>0</v>
      </c>
      <c r="DG304" s="72">
        <v>0</v>
      </c>
      <c r="DH304" s="72">
        <v>0</v>
      </c>
      <c r="DI304" s="72">
        <v>0</v>
      </c>
      <c r="DJ304" s="72">
        <v>0</v>
      </c>
      <c r="DK304" s="72">
        <v>0</v>
      </c>
      <c r="DL304" s="72">
        <v>0</v>
      </c>
      <c r="DM304" s="72">
        <v>0</v>
      </c>
      <c r="DN304" s="72">
        <v>0</v>
      </c>
      <c r="DO304" s="72">
        <v>0</v>
      </c>
      <c r="DP304" s="72">
        <v>0</v>
      </c>
      <c r="DQ304" s="72">
        <v>0</v>
      </c>
      <c r="DR304" s="72">
        <v>0</v>
      </c>
      <c r="DS304" s="72">
        <v>0</v>
      </c>
      <c r="DT304" s="72">
        <v>0</v>
      </c>
      <c r="DU304" s="72">
        <v>0</v>
      </c>
      <c r="DV304" s="72">
        <v>0</v>
      </c>
      <c r="DW304" s="72">
        <v>0</v>
      </c>
      <c r="DX304" s="72">
        <v>0</v>
      </c>
      <c r="DY304" s="72">
        <v>0</v>
      </c>
      <c r="DZ304" s="72">
        <v>0</v>
      </c>
      <c r="EA304" s="72">
        <v>0</v>
      </c>
      <c r="EB304" s="72">
        <v>0</v>
      </c>
      <c r="EC304" s="72">
        <v>0</v>
      </c>
      <c r="ED304" s="72">
        <v>0</v>
      </c>
      <c r="EE304" s="72">
        <v>0</v>
      </c>
      <c r="EF304" s="72">
        <v>0</v>
      </c>
      <c r="EG304" s="72">
        <v>0</v>
      </c>
      <c r="EH304" s="72">
        <v>0</v>
      </c>
      <c r="EI304" s="72">
        <v>0</v>
      </c>
      <c r="EJ304" s="72">
        <v>0</v>
      </c>
      <c r="EK304" s="72">
        <v>0</v>
      </c>
      <c r="EL304" s="72">
        <v>0</v>
      </c>
    </row>
    <row r="305" spans="1:142" x14ac:dyDescent="0.35">
      <c r="A305" s="59">
        <f>Данные!A305</f>
        <v>4848</v>
      </c>
      <c r="B305" s="59">
        <f>Данные!B305</f>
        <v>2019</v>
      </c>
      <c r="C305" s="59" t="str">
        <f>Данные!C305</f>
        <v>компьютерных технологий и электронного обучения</v>
      </c>
      <c r="D305" s="59" t="str">
        <f>Данные!D305</f>
        <v>Карпова Наталья Александровна</v>
      </c>
      <c r="E305" s="59" t="str">
        <f>Данные!E305</f>
        <v>кандидат технических наук</v>
      </c>
      <c r="F305" s="59" t="str">
        <f>Данные!F305</f>
        <v>доцент</v>
      </c>
      <c r="G305" s="59">
        <f>Данные!G305</f>
        <v>0.75</v>
      </c>
      <c r="H305" s="59" t="str">
        <f>Данные!H305</f>
        <v>4 курс 2016 год/пост</v>
      </c>
      <c r="I305" s="59" t="str">
        <f>Данные!I305</f>
        <v>Модуль "Информационные ресурсы и средства профессиональной деятельности инженера"</v>
      </c>
      <c r="J305" s="59">
        <f>Данные!J305</f>
        <v>0</v>
      </c>
      <c r="K305" s="59">
        <f>Данные!K305</f>
        <v>0</v>
      </c>
      <c r="L305" s="59">
        <f>Данные!L305</f>
        <v>0</v>
      </c>
      <c r="M305" s="60">
        <f t="shared" si="36"/>
        <v>0</v>
      </c>
      <c r="N305" s="60">
        <f t="shared" ca="1" si="37"/>
        <v>10.91</v>
      </c>
      <c r="O305" s="60">
        <f t="shared" ca="1" si="38"/>
        <v>6.75</v>
      </c>
      <c r="P305" s="60">
        <f t="shared" ca="1" si="39"/>
        <v>6.75</v>
      </c>
      <c r="Q305" s="54">
        <f>Данные!Q305</f>
        <v>0</v>
      </c>
      <c r="R305" s="54">
        <f>Данные!R305</f>
        <v>0</v>
      </c>
      <c r="S305" s="54">
        <f>Данные!S305</f>
        <v>0</v>
      </c>
      <c r="T305" s="54">
        <f>Данные!T305</f>
        <v>0</v>
      </c>
      <c r="U305" s="54">
        <f>Данные!U305</f>
        <v>0</v>
      </c>
      <c r="V305" s="54">
        <f>Данные!V305</f>
        <v>0</v>
      </c>
      <c r="W305" s="54">
        <f ca="1">Данные!W305</f>
        <v>27</v>
      </c>
      <c r="X305" s="54" t="str">
        <f ca="1">Данные!X305</f>
        <v>1</v>
      </c>
      <c r="Y305" s="54" t="str">
        <f ca="1">Данные!Y305</f>
        <v>2</v>
      </c>
      <c r="Z305" s="54">
        <f>Данные!Z305</f>
        <v>0</v>
      </c>
      <c r="AA305" s="54" t="str">
        <f>Данные!AA305</f>
        <v>ГПХ</v>
      </c>
      <c r="AB305" s="101">
        <f t="shared" si="40"/>
        <v>800</v>
      </c>
      <c r="AC305" s="101" t="str">
        <f t="shared" si="41"/>
        <v>ИВТ (бак)</v>
      </c>
      <c r="AD305" s="101" t="str">
        <f t="shared" si="42"/>
        <v/>
      </c>
      <c r="AE305" s="102">
        <f t="shared" ca="1" si="43"/>
        <v>24.41</v>
      </c>
      <c r="AF305" s="103">
        <f t="shared" ca="1" si="44"/>
        <v>3.0512500000000001E-2</v>
      </c>
      <c r="AG305" s="101"/>
      <c r="AH305" s="101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Q305" s="72">
        <v>0</v>
      </c>
      <c r="BR305" s="72">
        <v>0</v>
      </c>
      <c r="BS305" s="72">
        <v>0</v>
      </c>
      <c r="BT305" s="72">
        <v>0</v>
      </c>
      <c r="BU305" s="72">
        <v>0</v>
      </c>
      <c r="BV305" s="72">
        <v>0</v>
      </c>
      <c r="BW305" s="72">
        <v>0</v>
      </c>
      <c r="BX305" s="72">
        <v>0</v>
      </c>
      <c r="BY305" s="72">
        <v>0</v>
      </c>
      <c r="BZ305" s="72">
        <v>0</v>
      </c>
      <c r="CA305" s="72">
        <v>0</v>
      </c>
      <c r="CB305" s="72">
        <v>0</v>
      </c>
      <c r="CC305" s="72">
        <v>0</v>
      </c>
      <c r="CD305" s="72">
        <v>0</v>
      </c>
      <c r="CE305" s="72">
        <v>0</v>
      </c>
      <c r="CF305" s="72">
        <v>0</v>
      </c>
      <c r="CG305" s="72">
        <v>0</v>
      </c>
      <c r="CH305" s="72">
        <v>0</v>
      </c>
      <c r="CI305" s="72">
        <v>0</v>
      </c>
      <c r="CJ305" s="72">
        <v>0</v>
      </c>
      <c r="CK305" s="72">
        <v>0</v>
      </c>
      <c r="CL305" s="72">
        <v>0</v>
      </c>
      <c r="CM305" s="72">
        <v>0</v>
      </c>
      <c r="CN305" s="72">
        <v>0</v>
      </c>
      <c r="CO305" s="72">
        <v>0</v>
      </c>
      <c r="CP305" s="72">
        <v>0</v>
      </c>
      <c r="CQ305" s="72">
        <v>0</v>
      </c>
      <c r="CR305" s="72">
        <v>0</v>
      </c>
      <c r="CS305" s="72">
        <v>0</v>
      </c>
      <c r="CT305" s="72">
        <v>0</v>
      </c>
      <c r="CU305" s="72">
        <v>0</v>
      </c>
      <c r="CV305" s="72">
        <v>0</v>
      </c>
      <c r="CW305" s="72">
        <v>0</v>
      </c>
      <c r="CX305" s="72">
        <v>0</v>
      </c>
      <c r="CY305" s="72">
        <v>0</v>
      </c>
      <c r="CZ305" s="72">
        <v>0</v>
      </c>
      <c r="DA305" s="72">
        <v>0</v>
      </c>
      <c r="DB305" s="72">
        <v>0</v>
      </c>
      <c r="DC305" s="72">
        <v>0</v>
      </c>
      <c r="DD305" s="72">
        <v>0</v>
      </c>
      <c r="DE305" s="72">
        <v>0</v>
      </c>
      <c r="DF305" s="72">
        <v>0</v>
      </c>
      <c r="DG305" s="72">
        <v>0</v>
      </c>
      <c r="DH305" s="72">
        <v>0</v>
      </c>
      <c r="DI305" s="72">
        <v>0</v>
      </c>
      <c r="DJ305" s="72">
        <v>0</v>
      </c>
      <c r="DK305" s="72">
        <v>0</v>
      </c>
      <c r="DL305" s="72">
        <v>0</v>
      </c>
      <c r="DM305" s="72">
        <v>0</v>
      </c>
      <c r="DN305" s="72">
        <v>0</v>
      </c>
      <c r="DO305" s="72">
        <v>0</v>
      </c>
      <c r="DP305" s="72">
        <v>0</v>
      </c>
      <c r="DQ305" s="72">
        <v>0</v>
      </c>
      <c r="DR305" s="72">
        <v>0</v>
      </c>
      <c r="DS305" s="72">
        <v>0</v>
      </c>
      <c r="DT305" s="72">
        <v>0</v>
      </c>
      <c r="DU305" s="72">
        <v>0</v>
      </c>
      <c r="DV305" s="72">
        <v>0</v>
      </c>
      <c r="DW305" s="72">
        <v>0</v>
      </c>
      <c r="DX305" s="72">
        <v>0</v>
      </c>
      <c r="DY305" s="72">
        <v>0</v>
      </c>
      <c r="DZ305" s="72">
        <v>0</v>
      </c>
      <c r="EA305" s="72">
        <v>0</v>
      </c>
      <c r="EB305" s="72">
        <v>0</v>
      </c>
      <c r="EC305" s="72">
        <v>0</v>
      </c>
      <c r="ED305" s="72">
        <v>0</v>
      </c>
      <c r="EE305" s="72">
        <v>0</v>
      </c>
      <c r="EF305" s="72">
        <v>0</v>
      </c>
      <c r="EG305" s="72">
        <v>0</v>
      </c>
      <c r="EH305" s="72">
        <v>0</v>
      </c>
      <c r="EI305" s="72">
        <v>0</v>
      </c>
      <c r="EJ305" s="72">
        <v>0</v>
      </c>
      <c r="EK305" s="72">
        <v>0</v>
      </c>
      <c r="EL305" s="72">
        <v>0</v>
      </c>
    </row>
    <row r="306" spans="1:142" x14ac:dyDescent="0.35">
      <c r="A306" s="59">
        <f>Данные!A306</f>
        <v>4848</v>
      </c>
      <c r="B306" s="59">
        <f>Данные!B306</f>
        <v>2019</v>
      </c>
      <c r="C306" s="59" t="str">
        <f>Данные!C306</f>
        <v>компьютерных технологий и электронного обучения</v>
      </c>
      <c r="D306" s="59" t="str">
        <f>Данные!D306</f>
        <v>Карпова Наталья Александровна</v>
      </c>
      <c r="E306" s="59" t="str">
        <f>Данные!E306</f>
        <v>кандидат технических наук</v>
      </c>
      <c r="F306" s="59" t="str">
        <f>Данные!F306</f>
        <v>доцент</v>
      </c>
      <c r="G306" s="59">
        <f>Данные!G306</f>
        <v>0.75</v>
      </c>
      <c r="H306" s="59" t="str">
        <f>Данные!H306</f>
        <v>4 курс 2016 год/пост</v>
      </c>
      <c r="I306" s="59" t="str">
        <f>Данные!I306</f>
        <v>Модуль "Информационные ресурсы и средства профессиональной деятельности инженера". Мировые информационные ресурсы и цифровые библиотеки</v>
      </c>
      <c r="J306" s="59">
        <f>Данные!J306</f>
        <v>14</v>
      </c>
      <c r="K306" s="59">
        <f>Данные!K306</f>
        <v>22</v>
      </c>
      <c r="L306" s="59">
        <f>Данные!L306</f>
        <v>0</v>
      </c>
      <c r="M306" s="60">
        <f t="shared" si="36"/>
        <v>3.6</v>
      </c>
      <c r="N306" s="60">
        <f t="shared" ca="1" si="37"/>
        <v>10.91</v>
      </c>
      <c r="O306" s="60">
        <f t="shared" ca="1" si="38"/>
        <v>6.75</v>
      </c>
      <c r="P306" s="60">
        <f t="shared" ca="1" si="39"/>
        <v>6.75</v>
      </c>
      <c r="Q306" s="54">
        <f>Данные!Q306</f>
        <v>0</v>
      </c>
      <c r="R306" s="54">
        <f>Данные!R306</f>
        <v>0</v>
      </c>
      <c r="S306" s="54">
        <f>Данные!S306</f>
        <v>0</v>
      </c>
      <c r="T306" s="54">
        <f>Данные!T306</f>
        <v>0</v>
      </c>
      <c r="U306" s="54">
        <f>Данные!U306</f>
        <v>0</v>
      </c>
      <c r="V306" s="54">
        <f>Данные!V306</f>
        <v>0</v>
      </c>
      <c r="W306" s="54">
        <f ca="1">Данные!W306</f>
        <v>27</v>
      </c>
      <c r="X306" s="54" t="str">
        <f ca="1">Данные!X306</f>
        <v>1</v>
      </c>
      <c r="Y306" s="54" t="str">
        <f ca="1">Данные!Y306</f>
        <v>2</v>
      </c>
      <c r="Z306" s="54">
        <f>Данные!Z306</f>
        <v>0</v>
      </c>
      <c r="AA306" s="54" t="str">
        <f>Данные!AA306</f>
        <v>осн</v>
      </c>
      <c r="AB306" s="101">
        <f t="shared" si="40"/>
        <v>800</v>
      </c>
      <c r="AC306" s="101" t="str">
        <f t="shared" si="41"/>
        <v>ИВТ (бак)</v>
      </c>
      <c r="AD306" s="101" t="str">
        <f t="shared" si="42"/>
        <v/>
      </c>
      <c r="AE306" s="102">
        <f t="shared" ca="1" si="43"/>
        <v>64.010000000000005</v>
      </c>
      <c r="AF306" s="103">
        <f t="shared" ca="1" si="44"/>
        <v>8.00125E-2</v>
      </c>
      <c r="AG306" s="101"/>
      <c r="AH306" s="101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Q306" s="72">
        <v>0</v>
      </c>
      <c r="BR306" s="72">
        <v>0</v>
      </c>
      <c r="BS306" s="72">
        <v>0</v>
      </c>
      <c r="BT306" s="72">
        <v>0</v>
      </c>
      <c r="BU306" s="72">
        <v>0</v>
      </c>
      <c r="BV306" s="72">
        <v>0</v>
      </c>
      <c r="BW306" s="72">
        <v>0</v>
      </c>
      <c r="BX306" s="72">
        <v>0</v>
      </c>
      <c r="BY306" s="72">
        <v>0</v>
      </c>
      <c r="BZ306" s="72">
        <v>0</v>
      </c>
      <c r="CA306" s="72">
        <v>0</v>
      </c>
      <c r="CB306" s="72">
        <v>0</v>
      </c>
      <c r="CC306" s="72">
        <v>0</v>
      </c>
      <c r="CD306" s="72">
        <v>0</v>
      </c>
      <c r="CE306" s="72">
        <v>0</v>
      </c>
      <c r="CF306" s="72">
        <v>0</v>
      </c>
      <c r="CG306" s="72">
        <v>0</v>
      </c>
      <c r="CH306" s="72">
        <v>0</v>
      </c>
      <c r="CI306" s="72">
        <v>0</v>
      </c>
      <c r="CJ306" s="72">
        <v>0</v>
      </c>
      <c r="CK306" s="72">
        <v>0</v>
      </c>
      <c r="CL306" s="72">
        <v>0</v>
      </c>
      <c r="CM306" s="72">
        <v>0</v>
      </c>
      <c r="CN306" s="72">
        <v>0</v>
      </c>
      <c r="CO306" s="72">
        <v>0</v>
      </c>
      <c r="CP306" s="72">
        <v>0</v>
      </c>
      <c r="CQ306" s="72">
        <v>0</v>
      </c>
      <c r="CR306" s="72">
        <v>0</v>
      </c>
      <c r="CS306" s="72">
        <v>0</v>
      </c>
      <c r="CT306" s="72">
        <v>0</v>
      </c>
      <c r="CU306" s="72">
        <v>0</v>
      </c>
      <c r="CV306" s="72">
        <v>0</v>
      </c>
      <c r="CW306" s="72">
        <v>0</v>
      </c>
      <c r="CX306" s="72">
        <v>0</v>
      </c>
      <c r="CY306" s="72">
        <v>0</v>
      </c>
      <c r="CZ306" s="72">
        <v>0</v>
      </c>
      <c r="DA306" s="72">
        <v>0</v>
      </c>
      <c r="DB306" s="72">
        <v>0</v>
      </c>
      <c r="DC306" s="72">
        <v>0</v>
      </c>
      <c r="DD306" s="72">
        <v>0</v>
      </c>
      <c r="DE306" s="72">
        <v>0</v>
      </c>
      <c r="DF306" s="72">
        <v>0</v>
      </c>
      <c r="DG306" s="72">
        <v>0</v>
      </c>
      <c r="DH306" s="72">
        <v>0</v>
      </c>
      <c r="DI306" s="72">
        <v>0</v>
      </c>
      <c r="DJ306" s="72">
        <v>0</v>
      </c>
      <c r="DK306" s="72">
        <v>0</v>
      </c>
      <c r="DL306" s="72">
        <v>0</v>
      </c>
      <c r="DM306" s="72">
        <v>0</v>
      </c>
      <c r="DN306" s="72">
        <v>0</v>
      </c>
      <c r="DO306" s="72">
        <v>0</v>
      </c>
      <c r="DP306" s="72">
        <v>0</v>
      </c>
      <c r="DQ306" s="72">
        <v>0</v>
      </c>
      <c r="DR306" s="72">
        <v>0</v>
      </c>
      <c r="DS306" s="72">
        <v>0</v>
      </c>
      <c r="DT306" s="72">
        <v>0</v>
      </c>
      <c r="DU306" s="72">
        <v>0</v>
      </c>
      <c r="DV306" s="72">
        <v>0</v>
      </c>
      <c r="DW306" s="72">
        <v>0</v>
      </c>
      <c r="DX306" s="72">
        <v>0</v>
      </c>
      <c r="DY306" s="72">
        <v>0</v>
      </c>
      <c r="DZ306" s="72">
        <v>0</v>
      </c>
      <c r="EA306" s="72">
        <v>0</v>
      </c>
      <c r="EB306" s="72">
        <v>0</v>
      </c>
      <c r="EC306" s="72">
        <v>0</v>
      </c>
      <c r="ED306" s="72">
        <v>0</v>
      </c>
      <c r="EE306" s="72">
        <v>0</v>
      </c>
      <c r="EF306" s="72">
        <v>0</v>
      </c>
      <c r="EG306" s="72">
        <v>0</v>
      </c>
      <c r="EH306" s="72">
        <v>0</v>
      </c>
      <c r="EI306" s="72">
        <v>0</v>
      </c>
      <c r="EJ306" s="72">
        <v>0</v>
      </c>
      <c r="EK306" s="72">
        <v>0</v>
      </c>
      <c r="EL306" s="72">
        <v>0</v>
      </c>
    </row>
    <row r="307" spans="1:142" x14ac:dyDescent="0.35">
      <c r="A307" s="59">
        <f>Данные!A307</f>
        <v>4848</v>
      </c>
      <c r="B307" s="59">
        <f>Данные!B307</f>
        <v>2019</v>
      </c>
      <c r="C307" s="59" t="str">
        <f>Данные!C307</f>
        <v>компьютерных технологий и электронного обучения</v>
      </c>
      <c r="D307" s="59" t="str">
        <f>Данные!D307</f>
        <v>Аксютин Павел Александрович</v>
      </c>
      <c r="E307" s="59" t="str">
        <f>Данные!E307</f>
        <v>нет</v>
      </c>
      <c r="F307" s="59" t="str">
        <f>Данные!F307</f>
        <v>внешний</v>
      </c>
      <c r="G307" s="59">
        <f>Данные!G307</f>
        <v>0</v>
      </c>
      <c r="H307" s="59" t="str">
        <f>Данные!H307</f>
        <v>4 курс 2016 год/пост</v>
      </c>
      <c r="I307" s="59" t="str">
        <f>Данные!I307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307" s="59">
        <f>Данные!J307</f>
        <v>0</v>
      </c>
      <c r="K307" s="59">
        <f>Данные!K307</f>
        <v>12</v>
      </c>
      <c r="L307" s="59">
        <f>Данные!L307</f>
        <v>0</v>
      </c>
      <c r="M307" s="60">
        <f t="shared" si="36"/>
        <v>1.2</v>
      </c>
      <c r="N307" s="60">
        <f t="shared" ca="1" si="37"/>
        <v>10.91</v>
      </c>
      <c r="O307" s="60">
        <f t="shared" ca="1" si="38"/>
        <v>6.75</v>
      </c>
      <c r="P307" s="60">
        <f t="shared" ca="1" si="39"/>
        <v>6.75</v>
      </c>
      <c r="Q307" s="54">
        <f>Данные!Q307</f>
        <v>0</v>
      </c>
      <c r="R307" s="54">
        <f>Данные!R307</f>
        <v>0</v>
      </c>
      <c r="S307" s="54">
        <f>Данные!S307</f>
        <v>0</v>
      </c>
      <c r="T307" s="54">
        <f>Данные!T307</f>
        <v>0</v>
      </c>
      <c r="U307" s="54">
        <f>Данные!U307</f>
        <v>0</v>
      </c>
      <c r="V307" s="54">
        <f>Данные!V307</f>
        <v>0</v>
      </c>
      <c r="W307" s="54">
        <f ca="1">Данные!W307</f>
        <v>27</v>
      </c>
      <c r="X307" s="54" t="str">
        <f ca="1">Данные!X307</f>
        <v>1</v>
      </c>
      <c r="Y307" s="54" t="str">
        <f ca="1">Данные!Y307</f>
        <v>2</v>
      </c>
      <c r="Z307" s="54">
        <f>Данные!Z307</f>
        <v>0</v>
      </c>
      <c r="AA307" s="54" t="str">
        <f>Данные!AA307</f>
        <v>доп</v>
      </c>
      <c r="AB307" s="101">
        <f t="shared" si="40"/>
        <v>900</v>
      </c>
      <c r="AC307" s="101" t="str">
        <f t="shared" si="41"/>
        <v>ИВТ (бак)</v>
      </c>
      <c r="AD307" s="101" t="str">
        <f t="shared" si="42"/>
        <v/>
      </c>
      <c r="AE307" s="102">
        <f t="shared" ca="1" si="43"/>
        <v>37.61</v>
      </c>
      <c r="AF307" s="103">
        <f t="shared" ca="1" si="44"/>
        <v>4.1788888888888889E-2</v>
      </c>
      <c r="AG307" s="101"/>
      <c r="AH307" s="101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Q307" s="72">
        <v>0</v>
      </c>
      <c r="BR307" s="72">
        <v>0</v>
      </c>
      <c r="BS307" s="72">
        <v>0</v>
      </c>
      <c r="BT307" s="72">
        <v>0</v>
      </c>
      <c r="BU307" s="72">
        <v>0</v>
      </c>
      <c r="BV307" s="72">
        <v>0</v>
      </c>
      <c r="BW307" s="72">
        <v>0</v>
      </c>
      <c r="BX307" s="72">
        <v>0</v>
      </c>
      <c r="BY307" s="72">
        <v>0</v>
      </c>
      <c r="BZ307" s="72">
        <v>0</v>
      </c>
      <c r="CA307" s="72">
        <v>0</v>
      </c>
      <c r="CB307" s="72">
        <v>0</v>
      </c>
      <c r="CC307" s="72">
        <v>0</v>
      </c>
      <c r="CD307" s="72">
        <v>0</v>
      </c>
      <c r="CE307" s="72">
        <v>0</v>
      </c>
      <c r="CF307" s="72">
        <v>0</v>
      </c>
      <c r="CG307" s="72">
        <v>0</v>
      </c>
      <c r="CH307" s="72">
        <v>0</v>
      </c>
      <c r="CI307" s="72">
        <v>0</v>
      </c>
      <c r="CJ307" s="72">
        <v>0</v>
      </c>
      <c r="CK307" s="72">
        <v>0</v>
      </c>
      <c r="CL307" s="72">
        <v>0</v>
      </c>
      <c r="CM307" s="72">
        <v>0</v>
      </c>
      <c r="CN307" s="72">
        <v>0</v>
      </c>
      <c r="CO307" s="72">
        <v>0</v>
      </c>
      <c r="CP307" s="72">
        <v>0</v>
      </c>
      <c r="CQ307" s="72">
        <v>0</v>
      </c>
      <c r="CR307" s="72">
        <v>0</v>
      </c>
      <c r="CS307" s="72">
        <v>0</v>
      </c>
      <c r="CT307" s="72">
        <v>0</v>
      </c>
      <c r="CU307" s="72">
        <v>0</v>
      </c>
      <c r="CV307" s="72">
        <v>0</v>
      </c>
      <c r="CW307" s="72">
        <v>0</v>
      </c>
      <c r="CX307" s="72">
        <v>0</v>
      </c>
      <c r="CY307" s="72">
        <v>0</v>
      </c>
      <c r="CZ307" s="72">
        <v>0</v>
      </c>
      <c r="DA307" s="72">
        <v>0</v>
      </c>
      <c r="DB307" s="72">
        <v>0</v>
      </c>
      <c r="DC307" s="72">
        <v>0</v>
      </c>
      <c r="DD307" s="72">
        <v>0</v>
      </c>
      <c r="DE307" s="72">
        <v>0</v>
      </c>
      <c r="DF307" s="72">
        <v>0</v>
      </c>
      <c r="DG307" s="72">
        <v>0</v>
      </c>
      <c r="DH307" s="72">
        <v>0</v>
      </c>
      <c r="DI307" s="72">
        <v>0</v>
      </c>
      <c r="DJ307" s="72">
        <v>0</v>
      </c>
      <c r="DK307" s="72">
        <v>0</v>
      </c>
      <c r="DL307" s="72">
        <v>0</v>
      </c>
      <c r="DM307" s="72">
        <v>0</v>
      </c>
      <c r="DN307" s="72">
        <v>0</v>
      </c>
      <c r="DO307" s="72">
        <v>0</v>
      </c>
      <c r="DP307" s="72">
        <v>0</v>
      </c>
      <c r="DQ307" s="72">
        <v>0</v>
      </c>
      <c r="DR307" s="72">
        <v>0</v>
      </c>
      <c r="DS307" s="72">
        <v>0</v>
      </c>
      <c r="DT307" s="72">
        <v>0</v>
      </c>
      <c r="DU307" s="72">
        <v>0</v>
      </c>
      <c r="DV307" s="72">
        <v>0</v>
      </c>
      <c r="DW307" s="72">
        <v>0</v>
      </c>
      <c r="DX307" s="72">
        <v>0</v>
      </c>
      <c r="DY307" s="72">
        <v>0</v>
      </c>
      <c r="DZ307" s="72">
        <v>0</v>
      </c>
      <c r="EA307" s="72">
        <v>0</v>
      </c>
      <c r="EB307" s="72">
        <v>0</v>
      </c>
      <c r="EC307" s="72">
        <v>0</v>
      </c>
      <c r="ED307" s="72">
        <v>0</v>
      </c>
      <c r="EE307" s="72">
        <v>0</v>
      </c>
      <c r="EF307" s="72">
        <v>0</v>
      </c>
      <c r="EG307" s="72">
        <v>0</v>
      </c>
      <c r="EH307" s="72">
        <v>0</v>
      </c>
      <c r="EI307" s="72">
        <v>0</v>
      </c>
      <c r="EJ307" s="72">
        <v>0</v>
      </c>
      <c r="EK307" s="72">
        <v>0</v>
      </c>
      <c r="EL307" s="72">
        <v>0</v>
      </c>
    </row>
    <row r="308" spans="1:142" x14ac:dyDescent="0.35">
      <c r="A308" s="59">
        <f>Данные!A308</f>
        <v>4848</v>
      </c>
      <c r="B308" s="59">
        <f>Данные!B308</f>
        <v>2019</v>
      </c>
      <c r="C308" s="59" t="str">
        <f>Данные!C308</f>
        <v>компьютерных технологий и электронного обучения</v>
      </c>
      <c r="D308" s="59" t="str">
        <f>Данные!D308</f>
        <v>Серегин Александр Николаевич</v>
      </c>
      <c r="E308" s="59" t="str">
        <f>Данные!E308</f>
        <v>кандидат технических наук</v>
      </c>
      <c r="F308" s="59" t="str">
        <f>Данные!F308</f>
        <v>внешний</v>
      </c>
      <c r="G308" s="59">
        <f>Данные!G308</f>
        <v>0</v>
      </c>
      <c r="H308" s="59" t="str">
        <f>Данные!H308</f>
        <v>4 курс 2016 год/пост</v>
      </c>
      <c r="I308" s="59" t="str">
        <f>Данные!I308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308" s="59">
        <f>Данные!J308</f>
        <v>12</v>
      </c>
      <c r="K308" s="59">
        <f>Данные!K308</f>
        <v>0</v>
      </c>
      <c r="L308" s="59">
        <f>Данные!L308</f>
        <v>0</v>
      </c>
      <c r="M308" s="60">
        <f t="shared" si="36"/>
        <v>1.2</v>
      </c>
      <c r="N308" s="60">
        <f t="shared" ca="1" si="37"/>
        <v>10.91</v>
      </c>
      <c r="O308" s="60">
        <f t="shared" ca="1" si="38"/>
        <v>6.75</v>
      </c>
      <c r="P308" s="60">
        <f t="shared" ca="1" si="39"/>
        <v>6.75</v>
      </c>
      <c r="Q308" s="54">
        <f>Данные!Q308</f>
        <v>0</v>
      </c>
      <c r="R308" s="54">
        <f>Данные!R308</f>
        <v>0</v>
      </c>
      <c r="S308" s="54">
        <f>Данные!S308</f>
        <v>0</v>
      </c>
      <c r="T308" s="54">
        <f>Данные!T308</f>
        <v>0</v>
      </c>
      <c r="U308" s="54">
        <f>Данные!U308</f>
        <v>0</v>
      </c>
      <c r="V308" s="54">
        <f>Данные!V308</f>
        <v>0</v>
      </c>
      <c r="W308" s="54">
        <f ca="1">Данные!W308</f>
        <v>27</v>
      </c>
      <c r="X308" s="54" t="str">
        <f ca="1">Данные!X308</f>
        <v>1</v>
      </c>
      <c r="Y308" s="54" t="str">
        <f ca="1">Данные!Y308</f>
        <v>2</v>
      </c>
      <c r="Z308" s="54">
        <f>Данные!Z308</f>
        <v>0</v>
      </c>
      <c r="AA308" s="54" t="str">
        <f>Данные!AA308</f>
        <v>осн</v>
      </c>
      <c r="AB308" s="101">
        <f t="shared" si="40"/>
        <v>900</v>
      </c>
      <c r="AC308" s="101" t="str">
        <f t="shared" si="41"/>
        <v>ИВТ (бак)</v>
      </c>
      <c r="AD308" s="101" t="str">
        <f t="shared" si="42"/>
        <v/>
      </c>
      <c r="AE308" s="102">
        <f t="shared" ca="1" si="43"/>
        <v>37.61</v>
      </c>
      <c r="AF308" s="103">
        <f t="shared" ca="1" si="44"/>
        <v>4.1788888888888889E-2</v>
      </c>
      <c r="AG308" s="101"/>
      <c r="AH308" s="101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Q308" s="72">
        <v>0</v>
      </c>
      <c r="BR308" s="72">
        <v>0</v>
      </c>
      <c r="BS308" s="72">
        <v>0</v>
      </c>
      <c r="BT308" s="72">
        <v>0</v>
      </c>
      <c r="BU308" s="72">
        <v>0</v>
      </c>
      <c r="BV308" s="72">
        <v>0</v>
      </c>
      <c r="BW308" s="72">
        <v>0</v>
      </c>
      <c r="BX308" s="72">
        <v>0</v>
      </c>
      <c r="BY308" s="72">
        <v>0</v>
      </c>
      <c r="BZ308" s="72">
        <v>0</v>
      </c>
      <c r="CA308" s="72">
        <v>0</v>
      </c>
      <c r="CB308" s="72">
        <v>0</v>
      </c>
      <c r="CC308" s="72">
        <v>0</v>
      </c>
      <c r="CD308" s="72">
        <v>0</v>
      </c>
      <c r="CE308" s="72">
        <v>0</v>
      </c>
      <c r="CF308" s="72">
        <v>0</v>
      </c>
      <c r="CG308" s="72">
        <v>0</v>
      </c>
      <c r="CH308" s="72">
        <v>0</v>
      </c>
      <c r="CI308" s="72">
        <v>0</v>
      </c>
      <c r="CJ308" s="72">
        <v>0</v>
      </c>
      <c r="CK308" s="72">
        <v>0</v>
      </c>
      <c r="CL308" s="72">
        <v>0</v>
      </c>
      <c r="CM308" s="72">
        <v>0</v>
      </c>
      <c r="CN308" s="72">
        <v>0</v>
      </c>
      <c r="CO308" s="72">
        <v>0</v>
      </c>
      <c r="CP308" s="72">
        <v>0</v>
      </c>
      <c r="CQ308" s="72">
        <v>0</v>
      </c>
      <c r="CR308" s="72">
        <v>0</v>
      </c>
      <c r="CS308" s="72">
        <v>0</v>
      </c>
      <c r="CT308" s="72">
        <v>0</v>
      </c>
      <c r="CU308" s="72">
        <v>0</v>
      </c>
      <c r="CV308" s="72">
        <v>0</v>
      </c>
      <c r="CW308" s="72">
        <v>0</v>
      </c>
      <c r="CX308" s="72">
        <v>0</v>
      </c>
      <c r="CY308" s="72">
        <v>0</v>
      </c>
      <c r="CZ308" s="72">
        <v>0</v>
      </c>
      <c r="DA308" s="72">
        <v>0</v>
      </c>
      <c r="DB308" s="72">
        <v>0</v>
      </c>
      <c r="DC308" s="72">
        <v>0</v>
      </c>
      <c r="DD308" s="72">
        <v>0</v>
      </c>
      <c r="DE308" s="72">
        <v>0</v>
      </c>
      <c r="DF308" s="72">
        <v>0</v>
      </c>
      <c r="DG308" s="72">
        <v>0</v>
      </c>
      <c r="DH308" s="72">
        <v>0</v>
      </c>
      <c r="DI308" s="72">
        <v>0</v>
      </c>
      <c r="DJ308" s="72">
        <v>0</v>
      </c>
      <c r="DK308" s="72">
        <v>0</v>
      </c>
      <c r="DL308" s="72">
        <v>0</v>
      </c>
      <c r="DM308" s="72">
        <v>0</v>
      </c>
      <c r="DN308" s="72">
        <v>0</v>
      </c>
      <c r="DO308" s="72">
        <v>0</v>
      </c>
      <c r="DP308" s="72">
        <v>0</v>
      </c>
      <c r="DQ308" s="72">
        <v>0</v>
      </c>
      <c r="DR308" s="72">
        <v>0</v>
      </c>
      <c r="DS308" s="72">
        <v>0</v>
      </c>
      <c r="DT308" s="72">
        <v>0</v>
      </c>
      <c r="DU308" s="72">
        <v>0</v>
      </c>
      <c r="DV308" s="72">
        <v>0</v>
      </c>
      <c r="DW308" s="72">
        <v>0</v>
      </c>
      <c r="DX308" s="72">
        <v>0</v>
      </c>
      <c r="DY308" s="72">
        <v>0</v>
      </c>
      <c r="DZ308" s="72">
        <v>0</v>
      </c>
      <c r="EA308" s="72">
        <v>0</v>
      </c>
      <c r="EB308" s="72">
        <v>0</v>
      </c>
      <c r="EC308" s="72">
        <v>0</v>
      </c>
      <c r="ED308" s="72">
        <v>0</v>
      </c>
      <c r="EE308" s="72">
        <v>0</v>
      </c>
      <c r="EF308" s="72">
        <v>0</v>
      </c>
      <c r="EG308" s="72">
        <v>0</v>
      </c>
      <c r="EH308" s="72">
        <v>0</v>
      </c>
      <c r="EI308" s="72">
        <v>0</v>
      </c>
      <c r="EJ308" s="72">
        <v>0</v>
      </c>
      <c r="EK308" s="72">
        <v>0</v>
      </c>
      <c r="EL308" s="72">
        <v>0</v>
      </c>
    </row>
    <row r="309" spans="1:142" x14ac:dyDescent="0.35">
      <c r="A309" s="59">
        <f>Данные!A309</f>
        <v>4848</v>
      </c>
      <c r="B309" s="59">
        <f>Данные!B309</f>
        <v>2019</v>
      </c>
      <c r="C309" s="59" t="str">
        <f>Данные!C309</f>
        <v>компьютерных технологий и электронного обучения</v>
      </c>
      <c r="D309" s="59" t="str">
        <f>Данные!D309</f>
        <v>Власов Дмитрий Викторович</v>
      </c>
      <c r="E309" s="59" t="str">
        <f>Данные!E309</f>
        <v>нет</v>
      </c>
      <c r="F309" s="59" t="str">
        <f>Данные!F309</f>
        <v>внешний</v>
      </c>
      <c r="G309" s="59">
        <f>Данные!G309</f>
        <v>0.75</v>
      </c>
      <c r="H309" s="59" t="str">
        <f>Данные!H309</f>
        <v>4 курс 2016 год/пост</v>
      </c>
      <c r="I309" s="59" t="str">
        <f>Данные!I309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309" s="59">
        <f>Данные!J309</f>
        <v>0</v>
      </c>
      <c r="K309" s="59">
        <f>Данные!K309</f>
        <v>12</v>
      </c>
      <c r="L309" s="59">
        <f>Данные!L309</f>
        <v>0</v>
      </c>
      <c r="M309" s="60">
        <f t="shared" si="36"/>
        <v>1.2</v>
      </c>
      <c r="N309" s="60">
        <f t="shared" ca="1" si="37"/>
        <v>10.91</v>
      </c>
      <c r="O309" s="60">
        <f t="shared" ca="1" si="38"/>
        <v>6.75</v>
      </c>
      <c r="P309" s="60">
        <f t="shared" ca="1" si="39"/>
        <v>6.75</v>
      </c>
      <c r="Q309" s="54">
        <f>Данные!Q309</f>
        <v>0</v>
      </c>
      <c r="R309" s="54">
        <f>Данные!R309</f>
        <v>0</v>
      </c>
      <c r="S309" s="54">
        <f>Данные!S309</f>
        <v>0</v>
      </c>
      <c r="T309" s="54">
        <f>Данные!T309</f>
        <v>0</v>
      </c>
      <c r="U309" s="54">
        <f>Данные!U309</f>
        <v>0</v>
      </c>
      <c r="V309" s="54">
        <f>Данные!V309</f>
        <v>0</v>
      </c>
      <c r="W309" s="54">
        <f ca="1">Данные!W309</f>
        <v>27</v>
      </c>
      <c r="X309" s="54" t="str">
        <f ca="1">Данные!X309</f>
        <v>1</v>
      </c>
      <c r="Y309" s="54" t="str">
        <f ca="1">Данные!Y309</f>
        <v>2</v>
      </c>
      <c r="Z309" s="54">
        <f>Данные!Z309</f>
        <v>0</v>
      </c>
      <c r="AA309" s="54" t="str">
        <f>Данные!AA309</f>
        <v>ГПХ</v>
      </c>
      <c r="AB309" s="101">
        <f t="shared" si="40"/>
        <v>900</v>
      </c>
      <c r="AC309" s="101" t="str">
        <f t="shared" si="41"/>
        <v>ИВТ (бак)</v>
      </c>
      <c r="AD309" s="101" t="str">
        <f t="shared" si="42"/>
        <v/>
      </c>
      <c r="AE309" s="102">
        <f t="shared" ca="1" si="43"/>
        <v>37.61</v>
      </c>
      <c r="AF309" s="103">
        <f t="shared" ca="1" si="44"/>
        <v>4.1788888888888889E-2</v>
      </c>
      <c r="AG309" s="101"/>
      <c r="AH309" s="101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Q309" s="72">
        <v>0</v>
      </c>
      <c r="BR309" s="72">
        <v>0</v>
      </c>
      <c r="BS309" s="72">
        <v>0</v>
      </c>
      <c r="BT309" s="72">
        <v>0</v>
      </c>
      <c r="BU309" s="72">
        <v>0</v>
      </c>
      <c r="BV309" s="72">
        <v>0</v>
      </c>
      <c r="BW309" s="72">
        <v>0</v>
      </c>
      <c r="BX309" s="72">
        <v>0</v>
      </c>
      <c r="BY309" s="72">
        <v>0</v>
      </c>
      <c r="BZ309" s="72">
        <v>0</v>
      </c>
      <c r="CA309" s="72">
        <v>0</v>
      </c>
      <c r="CB309" s="72">
        <v>0</v>
      </c>
      <c r="CC309" s="72">
        <v>0</v>
      </c>
      <c r="CD309" s="72">
        <v>0</v>
      </c>
      <c r="CE309" s="72">
        <v>0</v>
      </c>
      <c r="CF309" s="72">
        <v>0</v>
      </c>
      <c r="CG309" s="72">
        <v>0</v>
      </c>
      <c r="CH309" s="72">
        <v>0</v>
      </c>
      <c r="CI309" s="72">
        <v>0</v>
      </c>
      <c r="CJ309" s="72">
        <v>0</v>
      </c>
      <c r="CK309" s="72">
        <v>0</v>
      </c>
      <c r="CL309" s="72">
        <v>0</v>
      </c>
      <c r="CM309" s="72">
        <v>0</v>
      </c>
      <c r="CN309" s="72">
        <v>0</v>
      </c>
      <c r="CO309" s="72">
        <v>0</v>
      </c>
      <c r="CP309" s="72">
        <v>0</v>
      </c>
      <c r="CQ309" s="72">
        <v>0</v>
      </c>
      <c r="CR309" s="72">
        <v>0</v>
      </c>
      <c r="CS309" s="72">
        <v>0</v>
      </c>
      <c r="CT309" s="72">
        <v>0</v>
      </c>
      <c r="CU309" s="72">
        <v>0</v>
      </c>
      <c r="CV309" s="72">
        <v>0</v>
      </c>
      <c r="CW309" s="72">
        <v>0</v>
      </c>
      <c r="CX309" s="72">
        <v>0</v>
      </c>
      <c r="CY309" s="72">
        <v>0</v>
      </c>
      <c r="CZ309" s="72">
        <v>0</v>
      </c>
      <c r="DA309" s="72">
        <v>0</v>
      </c>
      <c r="DB309" s="72">
        <v>0</v>
      </c>
      <c r="DC309" s="72">
        <v>0</v>
      </c>
      <c r="DD309" s="72">
        <v>0</v>
      </c>
      <c r="DE309" s="72">
        <v>0</v>
      </c>
      <c r="DF309" s="72">
        <v>0</v>
      </c>
      <c r="DG309" s="72">
        <v>0</v>
      </c>
      <c r="DH309" s="72">
        <v>0</v>
      </c>
      <c r="DI309" s="72">
        <v>0</v>
      </c>
      <c r="DJ309" s="72">
        <v>0</v>
      </c>
      <c r="DK309" s="72">
        <v>0</v>
      </c>
      <c r="DL309" s="72">
        <v>0</v>
      </c>
      <c r="DM309" s="72">
        <v>0</v>
      </c>
      <c r="DN309" s="72">
        <v>0</v>
      </c>
      <c r="DO309" s="72">
        <v>0</v>
      </c>
      <c r="DP309" s="72">
        <v>0</v>
      </c>
      <c r="DQ309" s="72">
        <v>0</v>
      </c>
      <c r="DR309" s="72">
        <v>0</v>
      </c>
      <c r="DS309" s="72">
        <v>0</v>
      </c>
      <c r="DT309" s="72">
        <v>0</v>
      </c>
      <c r="DU309" s="72">
        <v>0</v>
      </c>
      <c r="DV309" s="72">
        <v>0</v>
      </c>
      <c r="DW309" s="72">
        <v>0</v>
      </c>
      <c r="DX309" s="72">
        <v>0</v>
      </c>
      <c r="DY309" s="72">
        <v>0</v>
      </c>
      <c r="DZ309" s="72">
        <v>0</v>
      </c>
      <c r="EA309" s="72">
        <v>0</v>
      </c>
      <c r="EB309" s="72">
        <v>0</v>
      </c>
      <c r="EC309" s="72">
        <v>0</v>
      </c>
      <c r="ED309" s="72">
        <v>0</v>
      </c>
      <c r="EE309" s="72">
        <v>0</v>
      </c>
      <c r="EF309" s="72">
        <v>0</v>
      </c>
      <c r="EG309" s="72">
        <v>0</v>
      </c>
      <c r="EH309" s="72">
        <v>0</v>
      </c>
      <c r="EI309" s="72">
        <v>0</v>
      </c>
      <c r="EJ309" s="72">
        <v>0</v>
      </c>
      <c r="EK309" s="72">
        <v>0</v>
      </c>
      <c r="EL309" s="72">
        <v>0</v>
      </c>
    </row>
    <row r="310" spans="1:142" x14ac:dyDescent="0.35">
      <c r="A310" s="59">
        <f>Данные!A310</f>
        <v>4848</v>
      </c>
      <c r="B310" s="59">
        <f>Данные!B310</f>
        <v>2019</v>
      </c>
      <c r="C310" s="59" t="str">
        <f>Данные!C310</f>
        <v>компьютерных технологий и электронного обучения</v>
      </c>
      <c r="D310" s="59" t="str">
        <f>Данные!D310</f>
        <v>Карпова Наталья Александровна</v>
      </c>
      <c r="E310" s="59" t="str">
        <f>Данные!E310</f>
        <v>кандидат технических наук</v>
      </c>
      <c r="F310" s="59" t="str">
        <f>Данные!F310</f>
        <v>доцент</v>
      </c>
      <c r="G310" s="59">
        <f>Данные!G310</f>
        <v>0.75</v>
      </c>
      <c r="H310" s="59" t="str">
        <f>Данные!H310</f>
        <v>4 курс 2016 год/пост</v>
      </c>
      <c r="I310" s="59" t="str">
        <f>Данные!I310</f>
        <v>Участие в ГЭК (защита, экзамен)</v>
      </c>
      <c r="J310" s="59">
        <f>Данные!J310</f>
        <v>0</v>
      </c>
      <c r="K310" s="59">
        <f>Данные!K310</f>
        <v>0</v>
      </c>
      <c r="L310" s="59">
        <f>Данные!L310</f>
        <v>0</v>
      </c>
      <c r="M310" s="60">
        <f t="shared" si="36"/>
        <v>0</v>
      </c>
      <c r="N310" s="60">
        <f t="shared" ca="1" si="37"/>
        <v>10.91</v>
      </c>
      <c r="O310" s="60">
        <f t="shared" ca="1" si="38"/>
        <v>6.75</v>
      </c>
      <c r="P310" s="60">
        <f t="shared" ca="1" si="39"/>
        <v>6.75</v>
      </c>
      <c r="Q310" s="54">
        <f>Данные!Q310</f>
        <v>0</v>
      </c>
      <c r="R310" s="54">
        <f>Данные!R310</f>
        <v>5</v>
      </c>
      <c r="S310" s="54">
        <f>Данные!S310</f>
        <v>8</v>
      </c>
      <c r="T310" s="54">
        <f>Данные!T310</f>
        <v>0</v>
      </c>
      <c r="U310" s="54">
        <f>Данные!U310</f>
        <v>0</v>
      </c>
      <c r="V310" s="54">
        <f>Данные!V310</f>
        <v>0</v>
      </c>
      <c r="W310" s="54">
        <f ca="1">Данные!W310</f>
        <v>27</v>
      </c>
      <c r="X310" s="54" t="str">
        <f ca="1">Данные!X310</f>
        <v>1</v>
      </c>
      <c r="Y310" s="54" t="str">
        <f ca="1">Данные!Y310</f>
        <v>2</v>
      </c>
      <c r="Z310" s="54">
        <f>Данные!Z310</f>
        <v>0</v>
      </c>
      <c r="AA310" s="54">
        <f>Данные!AA310</f>
        <v>0</v>
      </c>
      <c r="AB310" s="101">
        <f t="shared" si="40"/>
        <v>800</v>
      </c>
      <c r="AC310" s="101" t="str">
        <f t="shared" si="41"/>
        <v>ИВТ (бак)</v>
      </c>
      <c r="AD310" s="101" t="str">
        <f t="shared" si="42"/>
        <v/>
      </c>
      <c r="AE310" s="102">
        <f t="shared" ca="1" si="43"/>
        <v>37.409999999999997</v>
      </c>
      <c r="AF310" s="103">
        <f t="shared" ca="1" si="44"/>
        <v>4.6762499999999999E-2</v>
      </c>
      <c r="AG310" s="101"/>
      <c r="AH310" s="101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Q310" s="72">
        <v>0</v>
      </c>
      <c r="BR310" s="72">
        <v>0</v>
      </c>
      <c r="BS310" s="72">
        <v>0</v>
      </c>
      <c r="BT310" s="72">
        <v>0</v>
      </c>
      <c r="BU310" s="72">
        <v>0</v>
      </c>
      <c r="BV310" s="72">
        <v>0</v>
      </c>
      <c r="BW310" s="72">
        <v>0</v>
      </c>
      <c r="BX310" s="72">
        <v>0</v>
      </c>
      <c r="BY310" s="72">
        <v>0</v>
      </c>
      <c r="BZ310" s="72">
        <v>0</v>
      </c>
      <c r="CA310" s="72">
        <v>0</v>
      </c>
      <c r="CB310" s="72">
        <v>0</v>
      </c>
      <c r="CC310" s="72">
        <v>0</v>
      </c>
      <c r="CD310" s="72">
        <v>0</v>
      </c>
      <c r="CE310" s="72">
        <v>0</v>
      </c>
      <c r="CF310" s="72">
        <v>0</v>
      </c>
      <c r="CG310" s="72">
        <v>0</v>
      </c>
      <c r="CH310" s="72">
        <v>0</v>
      </c>
      <c r="CI310" s="72">
        <v>0</v>
      </c>
      <c r="CJ310" s="72">
        <v>0</v>
      </c>
      <c r="CK310" s="72">
        <v>0</v>
      </c>
      <c r="CL310" s="72">
        <v>0</v>
      </c>
      <c r="CM310" s="72">
        <v>0</v>
      </c>
      <c r="CN310" s="72">
        <v>0</v>
      </c>
      <c r="CO310" s="72">
        <v>0</v>
      </c>
      <c r="CP310" s="72">
        <v>0</v>
      </c>
      <c r="CQ310" s="72">
        <v>0</v>
      </c>
      <c r="CR310" s="72">
        <v>0</v>
      </c>
      <c r="CS310" s="72">
        <v>0</v>
      </c>
      <c r="CT310" s="72">
        <v>0</v>
      </c>
      <c r="CU310" s="72">
        <v>0</v>
      </c>
      <c r="CV310" s="72">
        <v>0</v>
      </c>
      <c r="CW310" s="72">
        <v>0</v>
      </c>
      <c r="CX310" s="72">
        <v>0</v>
      </c>
      <c r="CY310" s="72">
        <v>0</v>
      </c>
      <c r="CZ310" s="72">
        <v>0</v>
      </c>
      <c r="DA310" s="72">
        <v>0</v>
      </c>
      <c r="DB310" s="72">
        <v>0</v>
      </c>
      <c r="DC310" s="72">
        <v>0</v>
      </c>
      <c r="DD310" s="72">
        <v>0</v>
      </c>
      <c r="DE310" s="72">
        <v>0</v>
      </c>
      <c r="DF310" s="72">
        <v>0</v>
      </c>
      <c r="DG310" s="72">
        <v>0</v>
      </c>
      <c r="DH310" s="72">
        <v>0</v>
      </c>
      <c r="DI310" s="72">
        <v>0</v>
      </c>
      <c r="DJ310" s="72">
        <v>0</v>
      </c>
      <c r="DK310" s="72">
        <v>0</v>
      </c>
      <c r="DL310" s="72">
        <v>0</v>
      </c>
      <c r="DM310" s="72">
        <v>0</v>
      </c>
      <c r="DN310" s="72">
        <v>0</v>
      </c>
      <c r="DO310" s="72">
        <v>0</v>
      </c>
      <c r="DP310" s="72">
        <v>0</v>
      </c>
      <c r="DQ310" s="72">
        <v>0</v>
      </c>
      <c r="DR310" s="72">
        <v>0</v>
      </c>
      <c r="DS310" s="72">
        <v>0</v>
      </c>
      <c r="DT310" s="72">
        <v>0</v>
      </c>
      <c r="DU310" s="72">
        <v>0</v>
      </c>
      <c r="DV310" s="72">
        <v>0</v>
      </c>
      <c r="DW310" s="72">
        <v>0</v>
      </c>
      <c r="DX310" s="72">
        <v>0</v>
      </c>
      <c r="DY310" s="72">
        <v>0</v>
      </c>
      <c r="DZ310" s="72">
        <v>0</v>
      </c>
      <c r="EA310" s="72">
        <v>0</v>
      </c>
      <c r="EB310" s="72">
        <v>0</v>
      </c>
      <c r="EC310" s="72">
        <v>0</v>
      </c>
      <c r="ED310" s="72">
        <v>0</v>
      </c>
      <c r="EE310" s="72">
        <v>0</v>
      </c>
      <c r="EF310" s="72">
        <v>0</v>
      </c>
      <c r="EG310" s="72">
        <v>0</v>
      </c>
      <c r="EH310" s="72">
        <v>0</v>
      </c>
      <c r="EI310" s="72">
        <v>0</v>
      </c>
      <c r="EJ310" s="72">
        <v>0</v>
      </c>
      <c r="EK310" s="72">
        <v>0</v>
      </c>
      <c r="EL310" s="72">
        <v>0</v>
      </c>
    </row>
    <row r="311" spans="1:142" x14ac:dyDescent="0.35">
      <c r="A311" s="59">
        <f>Данные!A311</f>
        <v>5791</v>
      </c>
      <c r="B311" s="59">
        <f>Данные!B311</f>
        <v>2019</v>
      </c>
      <c r="C311" s="59" t="str">
        <f>Данные!C311</f>
        <v>компьютерных технологий и электронного обучения</v>
      </c>
      <c r="D311" s="59" t="str">
        <f>Данные!D311</f>
        <v>Авксентьева Елена Юрьевна</v>
      </c>
      <c r="E311" s="59" t="str">
        <f>Данные!E311</f>
        <v>кандидат педагогических наук</v>
      </c>
      <c r="F311" s="59" t="str">
        <f>Данные!F311</f>
        <v>доцент</v>
      </c>
      <c r="G311" s="59">
        <f>Данные!G311</f>
        <v>1</v>
      </c>
      <c r="H311" s="59" t="str">
        <f>Данные!H311</f>
        <v>3 курс 2017 год/пост</v>
      </c>
      <c r="I311" s="59" t="str">
        <f>Данные!I311</f>
        <v>Модуль "Системное и прикладное программное обеспечение". Инженерная и компьютерная графика</v>
      </c>
      <c r="J311" s="59">
        <f>Данные!J311</f>
        <v>0</v>
      </c>
      <c r="K311" s="59">
        <f>Данные!K311</f>
        <v>54</v>
      </c>
      <c r="L311" s="59">
        <f>Данные!L311</f>
        <v>144</v>
      </c>
      <c r="M311" s="60">
        <f t="shared" si="36"/>
        <v>19.8</v>
      </c>
      <c r="N311" s="60">
        <f t="shared" ca="1" si="37"/>
        <v>11.57</v>
      </c>
      <c r="O311" s="60">
        <f t="shared" ca="1" si="38"/>
        <v>7.25</v>
      </c>
      <c r="P311" s="60">
        <f t="shared" ca="1" si="39"/>
        <v>7.25</v>
      </c>
      <c r="Q311" s="54">
        <f>Данные!Q311</f>
        <v>0</v>
      </c>
      <c r="R311" s="54">
        <f>Данные!R311</f>
        <v>0</v>
      </c>
      <c r="S311" s="54">
        <f>Данные!S311</f>
        <v>0</v>
      </c>
      <c r="T311" s="54">
        <f>Данные!T311</f>
        <v>0</v>
      </c>
      <c r="U311" s="54">
        <f>Данные!U311</f>
        <v>0</v>
      </c>
      <c r="V311" s="54">
        <f>Данные!V311</f>
        <v>0</v>
      </c>
      <c r="W311" s="54">
        <f ca="1">Данные!W311</f>
        <v>29</v>
      </c>
      <c r="X311" s="54" t="str">
        <f ca="1">Данные!X311</f>
        <v>1</v>
      </c>
      <c r="Y311" s="54" t="str">
        <f ca="1">Данные!Y311</f>
        <v>2</v>
      </c>
      <c r="Z311" s="54">
        <f>Данные!Z311</f>
        <v>0</v>
      </c>
      <c r="AA311" s="54" t="str">
        <f>Данные!AA311</f>
        <v>доп</v>
      </c>
      <c r="AB311" s="101">
        <f t="shared" si="40"/>
        <v>800</v>
      </c>
      <c r="AC311" s="101" t="str">
        <f t="shared" si="41"/>
        <v>ИВТ (бак)</v>
      </c>
      <c r="AD311" s="101" t="str">
        <f t="shared" si="42"/>
        <v/>
      </c>
      <c r="AE311" s="102">
        <f t="shared" ca="1" si="43"/>
        <v>243.87</v>
      </c>
      <c r="AF311" s="103">
        <f t="shared" ca="1" si="44"/>
        <v>0.30483749999999998</v>
      </c>
      <c r="AG311" s="101"/>
      <c r="AH311" s="10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Q311" s="72">
        <v>0</v>
      </c>
      <c r="BR311" s="72">
        <v>0</v>
      </c>
      <c r="BS311" s="72">
        <v>0</v>
      </c>
      <c r="BT311" s="72">
        <v>0</v>
      </c>
      <c r="BU311" s="72">
        <v>0</v>
      </c>
      <c r="BV311" s="72">
        <v>0</v>
      </c>
      <c r="BW311" s="72">
        <v>0</v>
      </c>
      <c r="BX311" s="72">
        <v>0</v>
      </c>
      <c r="BY311" s="72">
        <v>0</v>
      </c>
      <c r="BZ311" s="72">
        <v>0</v>
      </c>
      <c r="CA311" s="72">
        <v>0</v>
      </c>
      <c r="CB311" s="72">
        <v>0</v>
      </c>
      <c r="CC311" s="72">
        <v>0</v>
      </c>
      <c r="CD311" s="72">
        <v>0</v>
      </c>
      <c r="CE311" s="72">
        <v>0</v>
      </c>
      <c r="CF311" s="72">
        <v>0</v>
      </c>
      <c r="CG311" s="72">
        <v>0</v>
      </c>
      <c r="CH311" s="72">
        <v>0</v>
      </c>
      <c r="CI311" s="72">
        <v>0</v>
      </c>
      <c r="CJ311" s="72">
        <v>0</v>
      </c>
      <c r="CK311" s="72">
        <v>0</v>
      </c>
      <c r="CL311" s="72">
        <v>0</v>
      </c>
      <c r="CM311" s="72">
        <v>0</v>
      </c>
      <c r="CN311" s="72">
        <v>0</v>
      </c>
      <c r="CO311" s="72">
        <v>0</v>
      </c>
      <c r="CP311" s="72">
        <v>0</v>
      </c>
      <c r="CQ311" s="72">
        <v>0</v>
      </c>
      <c r="CR311" s="72">
        <v>0</v>
      </c>
      <c r="CS311" s="72">
        <v>0</v>
      </c>
      <c r="CT311" s="72">
        <v>0</v>
      </c>
      <c r="CU311" s="72">
        <v>0</v>
      </c>
      <c r="CV311" s="72">
        <v>0</v>
      </c>
      <c r="CW311" s="72">
        <v>0</v>
      </c>
      <c r="CX311" s="72">
        <v>0</v>
      </c>
      <c r="CY311" s="72">
        <v>0</v>
      </c>
      <c r="CZ311" s="72">
        <v>0</v>
      </c>
      <c r="DA311" s="72">
        <v>0</v>
      </c>
      <c r="DB311" s="72">
        <v>0</v>
      </c>
      <c r="DC311" s="72">
        <v>0</v>
      </c>
      <c r="DD311" s="72">
        <v>0</v>
      </c>
      <c r="DE311" s="72">
        <v>0</v>
      </c>
      <c r="DF311" s="72">
        <v>0</v>
      </c>
      <c r="DG311" s="72">
        <v>0</v>
      </c>
      <c r="DH311" s="72">
        <v>0</v>
      </c>
      <c r="DI311" s="72">
        <v>0</v>
      </c>
      <c r="DJ311" s="72">
        <v>0</v>
      </c>
      <c r="DK311" s="72">
        <v>0</v>
      </c>
      <c r="DL311" s="72">
        <v>0</v>
      </c>
      <c r="DM311" s="72">
        <v>0</v>
      </c>
      <c r="DN311" s="72">
        <v>0</v>
      </c>
      <c r="DO311" s="72">
        <v>0</v>
      </c>
      <c r="DP311" s="72">
        <v>0</v>
      </c>
      <c r="DQ311" s="72">
        <v>0</v>
      </c>
      <c r="DR311" s="72">
        <v>0</v>
      </c>
      <c r="DS311" s="72">
        <v>0</v>
      </c>
      <c r="DT311" s="72">
        <v>0</v>
      </c>
      <c r="DU311" s="72">
        <v>0</v>
      </c>
      <c r="DV311" s="72">
        <v>0</v>
      </c>
      <c r="DW311" s="72">
        <v>0</v>
      </c>
      <c r="DX311" s="72">
        <v>0</v>
      </c>
      <c r="DY311" s="72">
        <v>0</v>
      </c>
      <c r="DZ311" s="72">
        <v>0</v>
      </c>
      <c r="EA311" s="72">
        <v>0</v>
      </c>
      <c r="EB311" s="72">
        <v>0</v>
      </c>
      <c r="EC311" s="72">
        <v>0</v>
      </c>
      <c r="ED311" s="72">
        <v>0</v>
      </c>
      <c r="EE311" s="72">
        <v>0</v>
      </c>
      <c r="EF311" s="72">
        <v>0</v>
      </c>
      <c r="EG311" s="72">
        <v>0</v>
      </c>
      <c r="EH311" s="72">
        <v>0</v>
      </c>
      <c r="EI311" s="72">
        <v>0</v>
      </c>
      <c r="EJ311" s="72">
        <v>0</v>
      </c>
      <c r="EK311" s="72">
        <v>0</v>
      </c>
      <c r="EL311" s="72">
        <v>0</v>
      </c>
    </row>
    <row r="312" spans="1:142" x14ac:dyDescent="0.35">
      <c r="A312" s="59">
        <f>Данные!A312</f>
        <v>5791</v>
      </c>
      <c r="B312" s="59">
        <f>Данные!B312</f>
        <v>2019</v>
      </c>
      <c r="C312" s="59" t="str">
        <f>Данные!C312</f>
        <v>компьютерных технологий и электронного обучения</v>
      </c>
      <c r="D312" s="59" t="str">
        <f>Данные!D312</f>
        <v>Авксентьева Елена Юрьевна</v>
      </c>
      <c r="E312" s="59" t="str">
        <f>Данные!E312</f>
        <v>кандидат педагогических наук</v>
      </c>
      <c r="F312" s="59" t="str">
        <f>Данные!F312</f>
        <v>доцент</v>
      </c>
      <c r="G312" s="59">
        <f>Данные!G312</f>
        <v>1</v>
      </c>
      <c r="H312" s="59" t="str">
        <f>Данные!H312</f>
        <v>3 курс 2017 год/пост</v>
      </c>
      <c r="I312" s="59" t="str">
        <f>Данные!I312</f>
        <v>Модуль "Организация ЭВМ". Сети и телекоммуникации</v>
      </c>
      <c r="J312" s="59">
        <f>Данные!J312</f>
        <v>18</v>
      </c>
      <c r="K312" s="59">
        <f>Данные!K312</f>
        <v>0</v>
      </c>
      <c r="L312" s="59">
        <f>Данные!L312</f>
        <v>72</v>
      </c>
      <c r="M312" s="60">
        <f t="shared" si="36"/>
        <v>9</v>
      </c>
      <c r="N312" s="60">
        <f t="shared" ca="1" si="37"/>
        <v>11.57</v>
      </c>
      <c r="O312" s="60">
        <f t="shared" ca="1" si="38"/>
        <v>7.25</v>
      </c>
      <c r="P312" s="60">
        <f t="shared" ca="1" si="39"/>
        <v>7.25</v>
      </c>
      <c r="Q312" s="54">
        <f>Данные!Q312</f>
        <v>0</v>
      </c>
      <c r="R312" s="54">
        <f>Данные!R312</f>
        <v>0</v>
      </c>
      <c r="S312" s="54">
        <f>Данные!S312</f>
        <v>0</v>
      </c>
      <c r="T312" s="54">
        <f>Данные!T312</f>
        <v>0</v>
      </c>
      <c r="U312" s="54">
        <f>Данные!U312</f>
        <v>0</v>
      </c>
      <c r="V312" s="54">
        <f>Данные!V312</f>
        <v>0</v>
      </c>
      <c r="W312" s="54">
        <f ca="1">Данные!W312</f>
        <v>29</v>
      </c>
      <c r="X312" s="54" t="str">
        <f ca="1">Данные!X312</f>
        <v>1</v>
      </c>
      <c r="Y312" s="54" t="str">
        <f ca="1">Данные!Y312</f>
        <v>2</v>
      </c>
      <c r="Z312" s="54">
        <f>Данные!Z312</f>
        <v>0</v>
      </c>
      <c r="AA312" s="54" t="str">
        <f>Данные!AA312</f>
        <v>осн</v>
      </c>
      <c r="AB312" s="101">
        <f t="shared" si="40"/>
        <v>800</v>
      </c>
      <c r="AC312" s="101" t="str">
        <f t="shared" si="41"/>
        <v>ИВТ (бак)</v>
      </c>
      <c r="AD312" s="101" t="str">
        <f t="shared" si="42"/>
        <v/>
      </c>
      <c r="AE312" s="102">
        <f t="shared" ca="1" si="43"/>
        <v>125.07</v>
      </c>
      <c r="AF312" s="103">
        <f t="shared" ca="1" si="44"/>
        <v>0.15633749999999999</v>
      </c>
      <c r="AG312" s="101"/>
      <c r="AH312" s="101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Q312" s="72">
        <v>0</v>
      </c>
      <c r="BR312" s="72">
        <v>0</v>
      </c>
      <c r="BS312" s="72">
        <v>0</v>
      </c>
      <c r="BT312" s="72">
        <v>0</v>
      </c>
      <c r="BU312" s="72">
        <v>0</v>
      </c>
      <c r="BV312" s="72">
        <v>0</v>
      </c>
      <c r="BW312" s="72">
        <v>0</v>
      </c>
      <c r="BX312" s="72">
        <v>0</v>
      </c>
      <c r="BY312" s="72">
        <v>0</v>
      </c>
      <c r="BZ312" s="72">
        <v>0</v>
      </c>
      <c r="CA312" s="72">
        <v>0</v>
      </c>
      <c r="CB312" s="72">
        <v>0</v>
      </c>
      <c r="CC312" s="72">
        <v>0</v>
      </c>
      <c r="CD312" s="72">
        <v>0</v>
      </c>
      <c r="CE312" s="72">
        <v>0</v>
      </c>
      <c r="CF312" s="72">
        <v>0</v>
      </c>
      <c r="CG312" s="72">
        <v>0</v>
      </c>
      <c r="CH312" s="72">
        <v>0</v>
      </c>
      <c r="CI312" s="72">
        <v>0</v>
      </c>
      <c r="CJ312" s="72">
        <v>0</v>
      </c>
      <c r="CK312" s="72">
        <v>0</v>
      </c>
      <c r="CL312" s="72">
        <v>0</v>
      </c>
      <c r="CM312" s="72">
        <v>0</v>
      </c>
      <c r="CN312" s="72">
        <v>0</v>
      </c>
      <c r="CO312" s="72">
        <v>0</v>
      </c>
      <c r="CP312" s="72">
        <v>0</v>
      </c>
      <c r="CQ312" s="72">
        <v>0</v>
      </c>
      <c r="CR312" s="72">
        <v>0</v>
      </c>
      <c r="CS312" s="72">
        <v>0</v>
      </c>
      <c r="CT312" s="72">
        <v>0</v>
      </c>
      <c r="CU312" s="72">
        <v>0</v>
      </c>
      <c r="CV312" s="72">
        <v>0</v>
      </c>
      <c r="CW312" s="72">
        <v>0</v>
      </c>
      <c r="CX312" s="72">
        <v>0</v>
      </c>
      <c r="CY312" s="72">
        <v>0</v>
      </c>
      <c r="CZ312" s="72">
        <v>0</v>
      </c>
      <c r="DA312" s="72">
        <v>0</v>
      </c>
      <c r="DB312" s="72">
        <v>0</v>
      </c>
      <c r="DC312" s="72">
        <v>0</v>
      </c>
      <c r="DD312" s="72">
        <v>0</v>
      </c>
      <c r="DE312" s="72">
        <v>0</v>
      </c>
      <c r="DF312" s="72">
        <v>0</v>
      </c>
      <c r="DG312" s="72">
        <v>0</v>
      </c>
      <c r="DH312" s="72">
        <v>0</v>
      </c>
      <c r="DI312" s="72">
        <v>0</v>
      </c>
      <c r="DJ312" s="72">
        <v>0</v>
      </c>
      <c r="DK312" s="72">
        <v>0</v>
      </c>
      <c r="DL312" s="72">
        <v>0</v>
      </c>
      <c r="DM312" s="72">
        <v>0</v>
      </c>
      <c r="DN312" s="72">
        <v>0</v>
      </c>
      <c r="DO312" s="72">
        <v>0</v>
      </c>
      <c r="DP312" s="72">
        <v>0</v>
      </c>
      <c r="DQ312" s="72">
        <v>0</v>
      </c>
      <c r="DR312" s="72">
        <v>0</v>
      </c>
      <c r="DS312" s="72">
        <v>0</v>
      </c>
      <c r="DT312" s="72">
        <v>0</v>
      </c>
      <c r="DU312" s="72">
        <v>0</v>
      </c>
      <c r="DV312" s="72">
        <v>0</v>
      </c>
      <c r="DW312" s="72">
        <v>0</v>
      </c>
      <c r="DX312" s="72">
        <v>0</v>
      </c>
      <c r="DY312" s="72">
        <v>0</v>
      </c>
      <c r="DZ312" s="72">
        <v>0</v>
      </c>
      <c r="EA312" s="72">
        <v>0</v>
      </c>
      <c r="EB312" s="72">
        <v>0</v>
      </c>
      <c r="EC312" s="72">
        <v>0</v>
      </c>
      <c r="ED312" s="72">
        <v>0</v>
      </c>
      <c r="EE312" s="72">
        <v>0</v>
      </c>
      <c r="EF312" s="72">
        <v>0</v>
      </c>
      <c r="EG312" s="72">
        <v>0</v>
      </c>
      <c r="EH312" s="72">
        <v>0</v>
      </c>
      <c r="EI312" s="72">
        <v>0</v>
      </c>
      <c r="EJ312" s="72">
        <v>0</v>
      </c>
      <c r="EK312" s="72">
        <v>0</v>
      </c>
      <c r="EL312" s="72">
        <v>0</v>
      </c>
    </row>
    <row r="313" spans="1:142" x14ac:dyDescent="0.35">
      <c r="A313" s="59">
        <f>Данные!A313</f>
        <v>5791</v>
      </c>
      <c r="B313" s="59">
        <f>Данные!B313</f>
        <v>2019</v>
      </c>
      <c r="C313" s="59" t="str">
        <f>Данные!C313</f>
        <v>компьютерных технологий и электронного обучения</v>
      </c>
      <c r="D313" s="59" t="str">
        <f>Данные!D313</f>
        <v>Аксютин Павел Александрович</v>
      </c>
      <c r="E313" s="59" t="str">
        <f>Данные!E313</f>
        <v>нет</v>
      </c>
      <c r="F313" s="59" t="str">
        <f>Данные!F313</f>
        <v>ассистент</v>
      </c>
      <c r="G313" s="59">
        <f>Данные!G313</f>
        <v>0.25</v>
      </c>
      <c r="H313" s="59" t="str">
        <f>Данные!H313</f>
        <v>3 курс 2017 год/пост</v>
      </c>
      <c r="I313" s="59" t="str">
        <f>Данные!I313</f>
        <v>Модуль "Информационные технологии". Дисциплины и курсы по выбору. Прикладные информационные технологии</v>
      </c>
      <c r="J313" s="59">
        <f>Данные!J313</f>
        <v>0</v>
      </c>
      <c r="K313" s="59">
        <f>Данные!K313</f>
        <v>22</v>
      </c>
      <c r="L313" s="59">
        <f>Данные!L313</f>
        <v>44</v>
      </c>
      <c r="M313" s="60">
        <f t="shared" si="36"/>
        <v>6.6</v>
      </c>
      <c r="N313" s="60">
        <f t="shared" ca="1" si="37"/>
        <v>11.57</v>
      </c>
      <c r="O313" s="60">
        <f t="shared" ca="1" si="38"/>
        <v>7.25</v>
      </c>
      <c r="P313" s="60">
        <f t="shared" ca="1" si="39"/>
        <v>7.25</v>
      </c>
      <c r="Q313" s="54">
        <f>Данные!Q313</f>
        <v>0</v>
      </c>
      <c r="R313" s="54">
        <f>Данные!R313</f>
        <v>0</v>
      </c>
      <c r="S313" s="54">
        <f>Данные!S313</f>
        <v>0</v>
      </c>
      <c r="T313" s="54">
        <f>Данные!T313</f>
        <v>0</v>
      </c>
      <c r="U313" s="54">
        <f>Данные!U313</f>
        <v>0</v>
      </c>
      <c r="V313" s="54">
        <f>Данные!V313</f>
        <v>0</v>
      </c>
      <c r="W313" s="54">
        <f ca="1">Данные!W313</f>
        <v>29</v>
      </c>
      <c r="X313" s="54" t="str">
        <f ca="1">Данные!X313</f>
        <v>1</v>
      </c>
      <c r="Y313" s="54" t="str">
        <f ca="1">Данные!Y313</f>
        <v>2</v>
      </c>
      <c r="Z313" s="54">
        <f>Данные!Z313</f>
        <v>0</v>
      </c>
      <c r="AA313" s="54">
        <f>Данные!AA313</f>
        <v>0</v>
      </c>
      <c r="AB313" s="101">
        <f t="shared" si="40"/>
        <v>900</v>
      </c>
      <c r="AC313" s="101" t="str">
        <f t="shared" si="41"/>
        <v>ИВТ (бак)</v>
      </c>
      <c r="AD313" s="101" t="str">
        <f t="shared" si="42"/>
        <v/>
      </c>
      <c r="AE313" s="102">
        <f t="shared" ca="1" si="43"/>
        <v>98.669999999999987</v>
      </c>
      <c r="AF313" s="103">
        <f t="shared" ca="1" si="44"/>
        <v>0.10963333333333332</v>
      </c>
      <c r="AG313" s="101"/>
      <c r="AH313" s="101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Q313" s="72">
        <v>0</v>
      </c>
      <c r="BR313" s="72">
        <v>0</v>
      </c>
      <c r="BS313" s="72">
        <v>0</v>
      </c>
      <c r="BT313" s="72">
        <v>0</v>
      </c>
      <c r="BU313" s="72">
        <v>0</v>
      </c>
      <c r="BV313" s="72">
        <v>0</v>
      </c>
      <c r="BW313" s="72">
        <v>0</v>
      </c>
      <c r="BX313" s="72">
        <v>0</v>
      </c>
      <c r="BY313" s="72">
        <v>0</v>
      </c>
      <c r="BZ313" s="72">
        <v>0</v>
      </c>
      <c r="CA313" s="72">
        <v>0</v>
      </c>
      <c r="CB313" s="72">
        <v>0</v>
      </c>
      <c r="CC313" s="72">
        <v>0</v>
      </c>
      <c r="CD313" s="72">
        <v>0</v>
      </c>
      <c r="CE313" s="72">
        <v>0</v>
      </c>
      <c r="CF313" s="72">
        <v>0</v>
      </c>
      <c r="CG313" s="72">
        <v>0</v>
      </c>
      <c r="CH313" s="72">
        <v>0</v>
      </c>
      <c r="CI313" s="72">
        <v>0</v>
      </c>
      <c r="CJ313" s="72">
        <v>0</v>
      </c>
      <c r="CK313" s="72">
        <v>0</v>
      </c>
      <c r="CL313" s="72">
        <v>0</v>
      </c>
      <c r="CM313" s="72">
        <v>0</v>
      </c>
      <c r="CN313" s="72">
        <v>0</v>
      </c>
      <c r="CO313" s="72">
        <v>0</v>
      </c>
      <c r="CP313" s="72">
        <v>0</v>
      </c>
      <c r="CQ313" s="72">
        <v>0</v>
      </c>
      <c r="CR313" s="72">
        <v>0</v>
      </c>
      <c r="CS313" s="72">
        <v>0</v>
      </c>
      <c r="CT313" s="72">
        <v>0</v>
      </c>
      <c r="CU313" s="72">
        <v>0</v>
      </c>
      <c r="CV313" s="72">
        <v>0</v>
      </c>
      <c r="CW313" s="72">
        <v>0</v>
      </c>
      <c r="CX313" s="72">
        <v>0</v>
      </c>
      <c r="CY313" s="72">
        <v>0</v>
      </c>
      <c r="CZ313" s="72">
        <v>0</v>
      </c>
      <c r="DA313" s="72">
        <v>0</v>
      </c>
      <c r="DB313" s="72">
        <v>0</v>
      </c>
      <c r="DC313" s="72">
        <v>0</v>
      </c>
      <c r="DD313" s="72">
        <v>0</v>
      </c>
      <c r="DE313" s="72">
        <v>0</v>
      </c>
      <c r="DF313" s="72">
        <v>0</v>
      </c>
      <c r="DG313" s="72">
        <v>0</v>
      </c>
      <c r="DH313" s="72">
        <v>0</v>
      </c>
      <c r="DI313" s="72">
        <v>0</v>
      </c>
      <c r="DJ313" s="72">
        <v>0</v>
      </c>
      <c r="DK313" s="72">
        <v>0</v>
      </c>
      <c r="DL313" s="72">
        <v>0</v>
      </c>
      <c r="DM313" s="72">
        <v>0</v>
      </c>
      <c r="DN313" s="72">
        <v>0</v>
      </c>
      <c r="DO313" s="72">
        <v>0</v>
      </c>
      <c r="DP313" s="72">
        <v>0</v>
      </c>
      <c r="DQ313" s="72">
        <v>0</v>
      </c>
      <c r="DR313" s="72">
        <v>0</v>
      </c>
      <c r="DS313" s="72">
        <v>0</v>
      </c>
      <c r="DT313" s="72">
        <v>0</v>
      </c>
      <c r="DU313" s="72">
        <v>0</v>
      </c>
      <c r="DV313" s="72">
        <v>0</v>
      </c>
      <c r="DW313" s="72">
        <v>0</v>
      </c>
      <c r="DX313" s="72">
        <v>0</v>
      </c>
      <c r="DY313" s="72">
        <v>0</v>
      </c>
      <c r="DZ313" s="72">
        <v>0</v>
      </c>
      <c r="EA313" s="72">
        <v>0</v>
      </c>
      <c r="EB313" s="72">
        <v>0</v>
      </c>
      <c r="EC313" s="72">
        <v>0</v>
      </c>
      <c r="ED313" s="72">
        <v>0</v>
      </c>
      <c r="EE313" s="72">
        <v>0</v>
      </c>
      <c r="EF313" s="72">
        <v>0</v>
      </c>
      <c r="EG313" s="72">
        <v>0</v>
      </c>
      <c r="EH313" s="72">
        <v>0</v>
      </c>
      <c r="EI313" s="72">
        <v>0</v>
      </c>
      <c r="EJ313" s="72">
        <v>0</v>
      </c>
      <c r="EK313" s="72">
        <v>0</v>
      </c>
      <c r="EL313" s="72">
        <v>0</v>
      </c>
    </row>
    <row r="314" spans="1:142" x14ac:dyDescent="0.35">
      <c r="A314" s="59">
        <f>Данные!A314</f>
        <v>5791</v>
      </c>
      <c r="B314" s="59">
        <f>Данные!B314</f>
        <v>2019</v>
      </c>
      <c r="C314" s="59" t="str">
        <f>Данные!C314</f>
        <v>компьютерных технологий и электронного обучения</v>
      </c>
      <c r="D314" s="59" t="str">
        <f>Данные!D314</f>
        <v>Аксютин Павел Александрович</v>
      </c>
      <c r="E314" s="59" t="str">
        <f>Данные!E314</f>
        <v>нет</v>
      </c>
      <c r="F314" s="59" t="str">
        <f>Данные!F314</f>
        <v>ассистент</v>
      </c>
      <c r="G314" s="59">
        <f>Данные!G314</f>
        <v>0.25</v>
      </c>
      <c r="H314" s="59" t="str">
        <f>Данные!H314</f>
        <v>3 курс 2017 год/пост</v>
      </c>
      <c r="I314" s="59" t="str">
        <f>Данные!I314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314" s="59">
        <f>Данные!J314</f>
        <v>0</v>
      </c>
      <c r="K314" s="59">
        <f>Данные!K314</f>
        <v>0</v>
      </c>
      <c r="L314" s="59">
        <f>Данные!L314</f>
        <v>0</v>
      </c>
      <c r="M314" s="60">
        <f t="shared" si="36"/>
        <v>0</v>
      </c>
      <c r="N314" s="60">
        <f t="shared" ca="1" si="37"/>
        <v>11.57</v>
      </c>
      <c r="O314" s="60">
        <f t="shared" ca="1" si="38"/>
        <v>7.25</v>
      </c>
      <c r="P314" s="60">
        <f t="shared" ca="1" si="39"/>
        <v>7.25</v>
      </c>
      <c r="Q314" s="54">
        <f>Данные!Q314</f>
        <v>0</v>
      </c>
      <c r="R314" s="54">
        <f>Данные!R314</f>
        <v>0</v>
      </c>
      <c r="S314" s="54">
        <f>Данные!S314</f>
        <v>0</v>
      </c>
      <c r="T314" s="54">
        <f>Данные!T314</f>
        <v>0</v>
      </c>
      <c r="U314" s="54">
        <f>Данные!U314</f>
        <v>40</v>
      </c>
      <c r="V314" s="54">
        <f>Данные!V314</f>
        <v>0</v>
      </c>
      <c r="W314" s="54">
        <f ca="1">Данные!W314</f>
        <v>29</v>
      </c>
      <c r="X314" s="54" t="str">
        <f ca="1">Данные!X314</f>
        <v>1</v>
      </c>
      <c r="Y314" s="54" t="str">
        <f ca="1">Данные!Y314</f>
        <v>2</v>
      </c>
      <c r="Z314" s="54">
        <f>Данные!Z314</f>
        <v>0</v>
      </c>
      <c r="AA314" s="54">
        <f>Данные!AA314</f>
        <v>0</v>
      </c>
      <c r="AB314" s="101">
        <f t="shared" si="40"/>
        <v>900</v>
      </c>
      <c r="AC314" s="101" t="str">
        <f t="shared" si="41"/>
        <v>ИВТ (бак)</v>
      </c>
      <c r="AD314" s="101" t="str">
        <f t="shared" si="42"/>
        <v/>
      </c>
      <c r="AE314" s="102">
        <f t="shared" ca="1" si="43"/>
        <v>66.069999999999993</v>
      </c>
      <c r="AF314" s="103">
        <f t="shared" ca="1" si="44"/>
        <v>7.3411111111111108E-2</v>
      </c>
      <c r="AG314" s="101"/>
      <c r="AH314" s="101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Q314" s="72">
        <v>0</v>
      </c>
      <c r="BR314" s="72">
        <v>0</v>
      </c>
      <c r="BS314" s="72">
        <v>0</v>
      </c>
      <c r="BT314" s="72">
        <v>0</v>
      </c>
      <c r="BU314" s="72">
        <v>0</v>
      </c>
      <c r="BV314" s="72">
        <v>0</v>
      </c>
      <c r="BW314" s="72">
        <v>0</v>
      </c>
      <c r="BX314" s="72">
        <v>0</v>
      </c>
      <c r="BY314" s="72">
        <v>0</v>
      </c>
      <c r="BZ314" s="72">
        <v>0</v>
      </c>
      <c r="CA314" s="72">
        <v>0</v>
      </c>
      <c r="CB314" s="72">
        <v>0</v>
      </c>
      <c r="CC314" s="72">
        <v>0</v>
      </c>
      <c r="CD314" s="72">
        <v>0</v>
      </c>
      <c r="CE314" s="72">
        <v>0</v>
      </c>
      <c r="CF314" s="72">
        <v>0</v>
      </c>
      <c r="CG314" s="72">
        <v>0</v>
      </c>
      <c r="CH314" s="72">
        <v>0</v>
      </c>
      <c r="CI314" s="72">
        <v>0</v>
      </c>
      <c r="CJ314" s="72">
        <v>0</v>
      </c>
      <c r="CK314" s="72">
        <v>0</v>
      </c>
      <c r="CL314" s="72">
        <v>0</v>
      </c>
      <c r="CM314" s="72">
        <v>0</v>
      </c>
      <c r="CN314" s="72">
        <v>0</v>
      </c>
      <c r="CO314" s="72">
        <v>0</v>
      </c>
      <c r="CP314" s="72">
        <v>0</v>
      </c>
      <c r="CQ314" s="72">
        <v>0</v>
      </c>
      <c r="CR314" s="72">
        <v>0</v>
      </c>
      <c r="CS314" s="72">
        <v>0</v>
      </c>
      <c r="CT314" s="72">
        <v>0</v>
      </c>
      <c r="CU314" s="72">
        <v>0</v>
      </c>
      <c r="CV314" s="72">
        <v>0</v>
      </c>
      <c r="CW314" s="72">
        <v>0</v>
      </c>
      <c r="CX314" s="72">
        <v>0</v>
      </c>
      <c r="CY314" s="72">
        <v>0</v>
      </c>
      <c r="CZ314" s="72">
        <v>0</v>
      </c>
      <c r="DA314" s="72">
        <v>0</v>
      </c>
      <c r="DB314" s="72">
        <v>0</v>
      </c>
      <c r="DC314" s="72">
        <v>0</v>
      </c>
      <c r="DD314" s="72">
        <v>0</v>
      </c>
      <c r="DE314" s="72">
        <v>0</v>
      </c>
      <c r="DF314" s="72">
        <v>0</v>
      </c>
      <c r="DG314" s="72">
        <v>0</v>
      </c>
      <c r="DH314" s="72">
        <v>0</v>
      </c>
      <c r="DI314" s="72">
        <v>0</v>
      </c>
      <c r="DJ314" s="72">
        <v>0</v>
      </c>
      <c r="DK314" s="72">
        <v>0</v>
      </c>
      <c r="DL314" s="72">
        <v>0</v>
      </c>
      <c r="DM314" s="72">
        <v>0</v>
      </c>
      <c r="DN314" s="72">
        <v>0</v>
      </c>
      <c r="DO314" s="72">
        <v>0</v>
      </c>
      <c r="DP314" s="72">
        <v>0</v>
      </c>
      <c r="DQ314" s="72">
        <v>0</v>
      </c>
      <c r="DR314" s="72">
        <v>0</v>
      </c>
      <c r="DS314" s="72">
        <v>0</v>
      </c>
      <c r="DT314" s="72">
        <v>0</v>
      </c>
      <c r="DU314" s="72">
        <v>0</v>
      </c>
      <c r="DV314" s="72">
        <v>0</v>
      </c>
      <c r="DW314" s="72">
        <v>0</v>
      </c>
      <c r="DX314" s="72">
        <v>0</v>
      </c>
      <c r="DY314" s="72">
        <v>0</v>
      </c>
      <c r="DZ314" s="72">
        <v>0</v>
      </c>
      <c r="EA314" s="72">
        <v>0</v>
      </c>
      <c r="EB314" s="72">
        <v>0</v>
      </c>
      <c r="EC314" s="72">
        <v>0</v>
      </c>
      <c r="ED314" s="72">
        <v>0</v>
      </c>
      <c r="EE314" s="72">
        <v>0</v>
      </c>
      <c r="EF314" s="72">
        <v>0</v>
      </c>
      <c r="EG314" s="72">
        <v>0</v>
      </c>
      <c r="EH314" s="72">
        <v>0</v>
      </c>
      <c r="EI314" s="72">
        <v>0</v>
      </c>
      <c r="EJ314" s="72">
        <v>0</v>
      </c>
      <c r="EK314" s="72">
        <v>0</v>
      </c>
      <c r="EL314" s="72">
        <v>0</v>
      </c>
    </row>
    <row r="315" spans="1:142" x14ac:dyDescent="0.35">
      <c r="A315" s="59">
        <f>Данные!A315</f>
        <v>5791</v>
      </c>
      <c r="B315" s="59">
        <f>Данные!B315</f>
        <v>2019</v>
      </c>
      <c r="C315" s="59" t="str">
        <f>Данные!C315</f>
        <v>компьютерных технологий и электронного обучения</v>
      </c>
      <c r="D315" s="59" t="str">
        <f>Данные!D315</f>
        <v>Атаян Ануш Михайловна</v>
      </c>
      <c r="E315" s="59" t="str">
        <f>Данные!E315</f>
        <v>кандидат педагогических наук</v>
      </c>
      <c r="F315" s="59" t="str">
        <f>Данные!F315</f>
        <v>доцент</v>
      </c>
      <c r="G315" s="59">
        <f>Данные!G315</f>
        <v>1</v>
      </c>
      <c r="H315" s="59" t="str">
        <f>Данные!H315</f>
        <v>3 курс 2017 год/пост</v>
      </c>
      <c r="I315" s="59" t="str">
        <f>Данные!I315</f>
        <v>Модуль "Информационные технологии". Информационные технологии и системы бизнес-аналитики</v>
      </c>
      <c r="J315" s="59">
        <f>Данные!J315</f>
        <v>18</v>
      </c>
      <c r="K315" s="59">
        <f>Данные!K315</f>
        <v>0</v>
      </c>
      <c r="L315" s="59">
        <f>Данные!L315</f>
        <v>72</v>
      </c>
      <c r="M315" s="60">
        <f t="shared" si="36"/>
        <v>9</v>
      </c>
      <c r="N315" s="60">
        <f t="shared" ca="1" si="37"/>
        <v>11.57</v>
      </c>
      <c r="O315" s="60">
        <f t="shared" ca="1" si="38"/>
        <v>7.25</v>
      </c>
      <c r="P315" s="60">
        <f t="shared" ca="1" si="39"/>
        <v>7.25</v>
      </c>
      <c r="Q315" s="54">
        <f>Данные!Q315</f>
        <v>0</v>
      </c>
      <c r="R315" s="54">
        <f>Данные!R315</f>
        <v>0</v>
      </c>
      <c r="S315" s="54">
        <f>Данные!S315</f>
        <v>0</v>
      </c>
      <c r="T315" s="54">
        <f>Данные!T315</f>
        <v>0</v>
      </c>
      <c r="U315" s="54">
        <f>Данные!U315</f>
        <v>0</v>
      </c>
      <c r="V315" s="54">
        <f>Данные!V315</f>
        <v>0</v>
      </c>
      <c r="W315" s="54">
        <f ca="1">Данные!W315</f>
        <v>29</v>
      </c>
      <c r="X315" s="54" t="str">
        <f ca="1">Данные!X315</f>
        <v>1</v>
      </c>
      <c r="Y315" s="54" t="str">
        <f ca="1">Данные!Y315</f>
        <v>2</v>
      </c>
      <c r="Z315" s="54">
        <f>Данные!Z315</f>
        <v>0</v>
      </c>
      <c r="AA315" s="54" t="str">
        <f>Данные!AA315</f>
        <v>доп</v>
      </c>
      <c r="AB315" s="101">
        <f t="shared" si="40"/>
        <v>800</v>
      </c>
      <c r="AC315" s="101" t="str">
        <f t="shared" si="41"/>
        <v>ИВТ (бак)</v>
      </c>
      <c r="AD315" s="101" t="str">
        <f t="shared" si="42"/>
        <v/>
      </c>
      <c r="AE315" s="102">
        <f t="shared" ca="1" si="43"/>
        <v>125.07</v>
      </c>
      <c r="AF315" s="103">
        <f t="shared" ca="1" si="44"/>
        <v>0.15633749999999999</v>
      </c>
      <c r="AG315" s="101"/>
      <c r="AH315" s="101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Q315" s="72">
        <v>0</v>
      </c>
      <c r="BR315" s="72">
        <v>0</v>
      </c>
      <c r="BS315" s="72">
        <v>0</v>
      </c>
      <c r="BT315" s="72">
        <v>0</v>
      </c>
      <c r="BU315" s="72">
        <v>0</v>
      </c>
      <c r="BV315" s="72">
        <v>0</v>
      </c>
      <c r="BW315" s="72">
        <v>0</v>
      </c>
      <c r="BX315" s="72">
        <v>0</v>
      </c>
      <c r="BY315" s="72">
        <v>0</v>
      </c>
      <c r="BZ315" s="72">
        <v>0</v>
      </c>
      <c r="CA315" s="72">
        <v>0</v>
      </c>
      <c r="CB315" s="72">
        <v>0</v>
      </c>
      <c r="CC315" s="72">
        <v>0</v>
      </c>
      <c r="CD315" s="72">
        <v>0</v>
      </c>
      <c r="CE315" s="72">
        <v>0</v>
      </c>
      <c r="CF315" s="72">
        <v>0</v>
      </c>
      <c r="CG315" s="72">
        <v>0</v>
      </c>
      <c r="CH315" s="72">
        <v>0</v>
      </c>
      <c r="CI315" s="72">
        <v>0</v>
      </c>
      <c r="CJ315" s="72">
        <v>0</v>
      </c>
      <c r="CK315" s="72">
        <v>0</v>
      </c>
      <c r="CL315" s="72">
        <v>0</v>
      </c>
      <c r="CM315" s="72">
        <v>0</v>
      </c>
      <c r="CN315" s="72">
        <v>0</v>
      </c>
      <c r="CO315" s="72">
        <v>0</v>
      </c>
      <c r="CP315" s="72">
        <v>0</v>
      </c>
      <c r="CQ315" s="72">
        <v>0</v>
      </c>
      <c r="CR315" s="72">
        <v>0</v>
      </c>
      <c r="CS315" s="72">
        <v>0</v>
      </c>
      <c r="CT315" s="72">
        <v>0</v>
      </c>
      <c r="CU315" s="72">
        <v>0</v>
      </c>
      <c r="CV315" s="72">
        <v>0</v>
      </c>
      <c r="CW315" s="72">
        <v>0</v>
      </c>
      <c r="CX315" s="72">
        <v>0</v>
      </c>
      <c r="CY315" s="72">
        <v>0</v>
      </c>
      <c r="CZ315" s="72">
        <v>0</v>
      </c>
      <c r="DA315" s="72">
        <v>0</v>
      </c>
      <c r="DB315" s="72">
        <v>0</v>
      </c>
      <c r="DC315" s="72">
        <v>0</v>
      </c>
      <c r="DD315" s="72">
        <v>0</v>
      </c>
      <c r="DE315" s="72">
        <v>0</v>
      </c>
      <c r="DF315" s="72">
        <v>0</v>
      </c>
      <c r="DG315" s="72">
        <v>0</v>
      </c>
      <c r="DH315" s="72">
        <v>0</v>
      </c>
      <c r="DI315" s="72">
        <v>0</v>
      </c>
      <c r="DJ315" s="72">
        <v>0</v>
      </c>
      <c r="DK315" s="72">
        <v>0</v>
      </c>
      <c r="DL315" s="72">
        <v>0</v>
      </c>
      <c r="DM315" s="72">
        <v>0</v>
      </c>
      <c r="DN315" s="72">
        <v>0</v>
      </c>
      <c r="DO315" s="72">
        <v>0</v>
      </c>
      <c r="DP315" s="72">
        <v>0</v>
      </c>
      <c r="DQ315" s="72">
        <v>0</v>
      </c>
      <c r="DR315" s="72">
        <v>0</v>
      </c>
      <c r="DS315" s="72">
        <v>0</v>
      </c>
      <c r="DT315" s="72">
        <v>0</v>
      </c>
      <c r="DU315" s="72">
        <v>0</v>
      </c>
      <c r="DV315" s="72">
        <v>0</v>
      </c>
      <c r="DW315" s="72">
        <v>0</v>
      </c>
      <c r="DX315" s="72">
        <v>0</v>
      </c>
      <c r="DY315" s="72">
        <v>0</v>
      </c>
      <c r="DZ315" s="72">
        <v>0</v>
      </c>
      <c r="EA315" s="72">
        <v>0</v>
      </c>
      <c r="EB315" s="72">
        <v>0</v>
      </c>
      <c r="EC315" s="72">
        <v>0</v>
      </c>
      <c r="ED315" s="72">
        <v>0</v>
      </c>
      <c r="EE315" s="72">
        <v>0</v>
      </c>
      <c r="EF315" s="72">
        <v>0</v>
      </c>
      <c r="EG315" s="72">
        <v>0</v>
      </c>
      <c r="EH315" s="72">
        <v>0</v>
      </c>
      <c r="EI315" s="72">
        <v>0</v>
      </c>
      <c r="EJ315" s="72">
        <v>0</v>
      </c>
      <c r="EK315" s="72">
        <v>0</v>
      </c>
      <c r="EL315" s="72">
        <v>0</v>
      </c>
    </row>
    <row r="316" spans="1:142" x14ac:dyDescent="0.35">
      <c r="A316" s="59">
        <f>Данные!A316</f>
        <v>5791</v>
      </c>
      <c r="B316" s="59">
        <f>Данные!B316</f>
        <v>2019</v>
      </c>
      <c r="C316" s="59" t="str">
        <f>Данные!C316</f>
        <v>компьютерных технологий и электронного обучения</v>
      </c>
      <c r="D316" s="59" t="str">
        <f>Данные!D316</f>
        <v>Атаян Ануш Михайловна</v>
      </c>
      <c r="E316" s="59" t="str">
        <f>Данные!E316</f>
        <v>кандидат педагогических наук</v>
      </c>
      <c r="F316" s="59" t="str">
        <f>Данные!F316</f>
        <v>доцент</v>
      </c>
      <c r="G316" s="59">
        <f>Данные!G316</f>
        <v>1</v>
      </c>
      <c r="H316" s="59" t="str">
        <f>Данные!H316</f>
        <v>3 курс 2017 год/пост</v>
      </c>
      <c r="I316" s="59" t="str">
        <f>Данные!I316</f>
        <v>Модуль "Информационные технологии в управлении в IT-компании".  Основы электронного управления</v>
      </c>
      <c r="J316" s="59">
        <f>Данные!J316</f>
        <v>18</v>
      </c>
      <c r="K316" s="59">
        <f>Данные!K316</f>
        <v>0</v>
      </c>
      <c r="L316" s="59">
        <f>Данные!L316</f>
        <v>36</v>
      </c>
      <c r="M316" s="60">
        <f t="shared" si="36"/>
        <v>5.4</v>
      </c>
      <c r="N316" s="60">
        <f t="shared" ca="1" si="37"/>
        <v>11.57</v>
      </c>
      <c r="O316" s="60">
        <f t="shared" ca="1" si="38"/>
        <v>7.25</v>
      </c>
      <c r="P316" s="60">
        <f t="shared" ca="1" si="39"/>
        <v>7.25</v>
      </c>
      <c r="Q316" s="54">
        <f>Данные!Q316</f>
        <v>0</v>
      </c>
      <c r="R316" s="54">
        <f>Данные!R316</f>
        <v>0</v>
      </c>
      <c r="S316" s="54">
        <f>Данные!S316</f>
        <v>0</v>
      </c>
      <c r="T316" s="54">
        <f>Данные!T316</f>
        <v>0</v>
      </c>
      <c r="U316" s="54">
        <f>Данные!U316</f>
        <v>0</v>
      </c>
      <c r="V316" s="54">
        <f>Данные!V316</f>
        <v>0</v>
      </c>
      <c r="W316" s="54">
        <f ca="1">Данные!W316</f>
        <v>29</v>
      </c>
      <c r="X316" s="54" t="str">
        <f ca="1">Данные!X316</f>
        <v>1</v>
      </c>
      <c r="Y316" s="54" t="str">
        <f ca="1">Данные!Y316</f>
        <v>2</v>
      </c>
      <c r="Z316" s="54">
        <f>Данные!Z316</f>
        <v>0</v>
      </c>
      <c r="AA316" s="54" t="str">
        <f>Данные!AA316</f>
        <v>осн</v>
      </c>
      <c r="AB316" s="101">
        <f t="shared" si="40"/>
        <v>800</v>
      </c>
      <c r="AC316" s="101" t="str">
        <f t="shared" si="41"/>
        <v>ИВТ (бак)</v>
      </c>
      <c r="AD316" s="101" t="str">
        <f t="shared" si="42"/>
        <v/>
      </c>
      <c r="AE316" s="102">
        <f t="shared" ca="1" si="43"/>
        <v>85.47</v>
      </c>
      <c r="AF316" s="103">
        <f t="shared" ca="1" si="44"/>
        <v>0.1068375</v>
      </c>
      <c r="AG316" s="101"/>
      <c r="AH316" s="101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Q316" s="72">
        <v>0</v>
      </c>
      <c r="BR316" s="72">
        <v>0</v>
      </c>
      <c r="BS316" s="72">
        <v>0</v>
      </c>
      <c r="BT316" s="72">
        <v>0</v>
      </c>
      <c r="BU316" s="72">
        <v>0</v>
      </c>
      <c r="BV316" s="72">
        <v>0</v>
      </c>
      <c r="BW316" s="72">
        <v>0</v>
      </c>
      <c r="BX316" s="72">
        <v>0</v>
      </c>
      <c r="BY316" s="72">
        <v>0</v>
      </c>
      <c r="BZ316" s="72">
        <v>0</v>
      </c>
      <c r="CA316" s="72">
        <v>0</v>
      </c>
      <c r="CB316" s="72">
        <v>0</v>
      </c>
      <c r="CC316" s="72">
        <v>0</v>
      </c>
      <c r="CD316" s="72">
        <v>0</v>
      </c>
      <c r="CE316" s="72">
        <v>0</v>
      </c>
      <c r="CF316" s="72">
        <v>0</v>
      </c>
      <c r="CG316" s="72">
        <v>0</v>
      </c>
      <c r="CH316" s="72">
        <v>0</v>
      </c>
      <c r="CI316" s="72">
        <v>0</v>
      </c>
      <c r="CJ316" s="72">
        <v>0</v>
      </c>
      <c r="CK316" s="72">
        <v>0</v>
      </c>
      <c r="CL316" s="72">
        <v>0</v>
      </c>
      <c r="CM316" s="72">
        <v>0</v>
      </c>
      <c r="CN316" s="72">
        <v>0</v>
      </c>
      <c r="CO316" s="72">
        <v>0</v>
      </c>
      <c r="CP316" s="72">
        <v>0</v>
      </c>
      <c r="CQ316" s="72">
        <v>0</v>
      </c>
      <c r="CR316" s="72">
        <v>0</v>
      </c>
      <c r="CS316" s="72">
        <v>0</v>
      </c>
      <c r="CT316" s="72">
        <v>0</v>
      </c>
      <c r="CU316" s="72">
        <v>0</v>
      </c>
      <c r="CV316" s="72">
        <v>0</v>
      </c>
      <c r="CW316" s="72">
        <v>0</v>
      </c>
      <c r="CX316" s="72">
        <v>0</v>
      </c>
      <c r="CY316" s="72">
        <v>0</v>
      </c>
      <c r="CZ316" s="72">
        <v>0</v>
      </c>
      <c r="DA316" s="72">
        <v>0</v>
      </c>
      <c r="DB316" s="72">
        <v>0</v>
      </c>
      <c r="DC316" s="72">
        <v>0</v>
      </c>
      <c r="DD316" s="72">
        <v>0</v>
      </c>
      <c r="DE316" s="72">
        <v>0</v>
      </c>
      <c r="DF316" s="72">
        <v>0</v>
      </c>
      <c r="DG316" s="72">
        <v>0</v>
      </c>
      <c r="DH316" s="72">
        <v>0</v>
      </c>
      <c r="DI316" s="72">
        <v>0</v>
      </c>
      <c r="DJ316" s="72">
        <v>0</v>
      </c>
      <c r="DK316" s="72">
        <v>0</v>
      </c>
      <c r="DL316" s="72">
        <v>0</v>
      </c>
      <c r="DM316" s="72">
        <v>0</v>
      </c>
      <c r="DN316" s="72">
        <v>0</v>
      </c>
      <c r="DO316" s="72">
        <v>0</v>
      </c>
      <c r="DP316" s="72">
        <v>0</v>
      </c>
      <c r="DQ316" s="72">
        <v>0</v>
      </c>
      <c r="DR316" s="72">
        <v>0</v>
      </c>
      <c r="DS316" s="72">
        <v>0</v>
      </c>
      <c r="DT316" s="72">
        <v>0</v>
      </c>
      <c r="DU316" s="72">
        <v>0</v>
      </c>
      <c r="DV316" s="72">
        <v>0</v>
      </c>
      <c r="DW316" s="72">
        <v>0</v>
      </c>
      <c r="DX316" s="72">
        <v>0</v>
      </c>
      <c r="DY316" s="72">
        <v>0</v>
      </c>
      <c r="DZ316" s="72">
        <v>0</v>
      </c>
      <c r="EA316" s="72">
        <v>0</v>
      </c>
      <c r="EB316" s="72">
        <v>0</v>
      </c>
      <c r="EC316" s="72">
        <v>0</v>
      </c>
      <c r="ED316" s="72">
        <v>0</v>
      </c>
      <c r="EE316" s="72">
        <v>0</v>
      </c>
      <c r="EF316" s="72">
        <v>0</v>
      </c>
      <c r="EG316" s="72">
        <v>0</v>
      </c>
      <c r="EH316" s="72">
        <v>0</v>
      </c>
      <c r="EI316" s="72">
        <v>0</v>
      </c>
      <c r="EJ316" s="72">
        <v>0</v>
      </c>
      <c r="EK316" s="72">
        <v>0</v>
      </c>
      <c r="EL316" s="72">
        <v>0</v>
      </c>
    </row>
    <row r="317" spans="1:142" x14ac:dyDescent="0.35">
      <c r="A317" s="59">
        <f>Данные!A317</f>
        <v>5791</v>
      </c>
      <c r="B317" s="59">
        <f>Данные!B317</f>
        <v>2019</v>
      </c>
      <c r="C317" s="59" t="str">
        <f>Данные!C317</f>
        <v>компьютерных технологий и электронного обучения</v>
      </c>
      <c r="D317" s="59" t="str">
        <f>Данные!D317</f>
        <v>Атаян Ануш Михайловна</v>
      </c>
      <c r="E317" s="59" t="str">
        <f>Данные!E317</f>
        <v>кандидат педагогических наук</v>
      </c>
      <c r="F317" s="59" t="str">
        <f>Данные!F317</f>
        <v>доцент</v>
      </c>
      <c r="G317" s="59">
        <f>Данные!G317</f>
        <v>1</v>
      </c>
      <c r="H317" s="59" t="str">
        <f>Данные!H317</f>
        <v>3 курс 2017 год/пост</v>
      </c>
      <c r="I317" s="59" t="str">
        <f>Данные!I317</f>
        <v>Модуль "Информационные технологии в управлении в IT-компании".  IT-менеджмент</v>
      </c>
      <c r="J317" s="59">
        <f>Данные!J317</f>
        <v>0</v>
      </c>
      <c r="K317" s="59">
        <f>Данные!K317</f>
        <v>18</v>
      </c>
      <c r="L317" s="59">
        <f>Данные!L317</f>
        <v>0</v>
      </c>
      <c r="M317" s="60">
        <f t="shared" si="36"/>
        <v>1.8</v>
      </c>
      <c r="N317" s="60">
        <f t="shared" ca="1" si="37"/>
        <v>11.57</v>
      </c>
      <c r="O317" s="60">
        <f t="shared" ca="1" si="38"/>
        <v>7.25</v>
      </c>
      <c r="P317" s="60">
        <f t="shared" ca="1" si="39"/>
        <v>7.25</v>
      </c>
      <c r="Q317" s="54">
        <f>Данные!Q317</f>
        <v>0</v>
      </c>
      <c r="R317" s="54">
        <f>Данные!R317</f>
        <v>0</v>
      </c>
      <c r="S317" s="54">
        <f>Данные!S317</f>
        <v>0</v>
      </c>
      <c r="T317" s="54">
        <f>Данные!T317</f>
        <v>0</v>
      </c>
      <c r="U317" s="54">
        <f>Данные!U317</f>
        <v>0</v>
      </c>
      <c r="V317" s="54">
        <f>Данные!V317</f>
        <v>0</v>
      </c>
      <c r="W317" s="54">
        <f ca="1">Данные!W317</f>
        <v>29</v>
      </c>
      <c r="X317" s="54" t="str">
        <f ca="1">Данные!X317</f>
        <v>1</v>
      </c>
      <c r="Y317" s="54" t="str">
        <f ca="1">Данные!Y317</f>
        <v>2</v>
      </c>
      <c r="Z317" s="54">
        <f>Данные!Z317</f>
        <v>0</v>
      </c>
      <c r="AA317" s="54">
        <f>Данные!AA317</f>
        <v>0</v>
      </c>
      <c r="AB317" s="101">
        <f t="shared" si="40"/>
        <v>800</v>
      </c>
      <c r="AC317" s="101" t="str">
        <f t="shared" si="41"/>
        <v>ИВТ (бак)</v>
      </c>
      <c r="AD317" s="101" t="str">
        <f t="shared" si="42"/>
        <v/>
      </c>
      <c r="AE317" s="102">
        <f t="shared" ca="1" si="43"/>
        <v>45.870000000000005</v>
      </c>
      <c r="AF317" s="103">
        <f t="shared" ca="1" si="44"/>
        <v>5.7337500000000007E-2</v>
      </c>
      <c r="AG317" s="101"/>
      <c r="AH317" s="101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Q317" s="72">
        <v>0</v>
      </c>
      <c r="BR317" s="72">
        <v>0</v>
      </c>
      <c r="BS317" s="72">
        <v>0</v>
      </c>
      <c r="BT317" s="72">
        <v>0</v>
      </c>
      <c r="BU317" s="72">
        <v>0</v>
      </c>
      <c r="BV317" s="72">
        <v>0</v>
      </c>
      <c r="BW317" s="72">
        <v>0</v>
      </c>
      <c r="BX317" s="72">
        <v>0</v>
      </c>
      <c r="BY317" s="72">
        <v>0</v>
      </c>
      <c r="BZ317" s="72">
        <v>0</v>
      </c>
      <c r="CA317" s="72">
        <v>0</v>
      </c>
      <c r="CB317" s="72">
        <v>0</v>
      </c>
      <c r="CC317" s="72">
        <v>0</v>
      </c>
      <c r="CD317" s="72">
        <v>0</v>
      </c>
      <c r="CE317" s="72">
        <v>0</v>
      </c>
      <c r="CF317" s="72">
        <v>0</v>
      </c>
      <c r="CG317" s="72">
        <v>0</v>
      </c>
      <c r="CH317" s="72">
        <v>0</v>
      </c>
      <c r="CI317" s="72">
        <v>0</v>
      </c>
      <c r="CJ317" s="72">
        <v>0</v>
      </c>
      <c r="CK317" s="72">
        <v>0</v>
      </c>
      <c r="CL317" s="72">
        <v>0</v>
      </c>
      <c r="CM317" s="72">
        <v>0</v>
      </c>
      <c r="CN317" s="72">
        <v>0</v>
      </c>
      <c r="CO317" s="72">
        <v>0</v>
      </c>
      <c r="CP317" s="72">
        <v>0</v>
      </c>
      <c r="CQ317" s="72">
        <v>0</v>
      </c>
      <c r="CR317" s="72">
        <v>0</v>
      </c>
      <c r="CS317" s="72">
        <v>0</v>
      </c>
      <c r="CT317" s="72">
        <v>0</v>
      </c>
      <c r="CU317" s="72">
        <v>0</v>
      </c>
      <c r="CV317" s="72">
        <v>0</v>
      </c>
      <c r="CW317" s="72">
        <v>0</v>
      </c>
      <c r="CX317" s="72">
        <v>0</v>
      </c>
      <c r="CY317" s="72">
        <v>0</v>
      </c>
      <c r="CZ317" s="72">
        <v>0</v>
      </c>
      <c r="DA317" s="72">
        <v>0</v>
      </c>
      <c r="DB317" s="72">
        <v>0</v>
      </c>
      <c r="DC317" s="72">
        <v>0</v>
      </c>
      <c r="DD317" s="72">
        <v>0</v>
      </c>
      <c r="DE317" s="72">
        <v>0</v>
      </c>
      <c r="DF317" s="72">
        <v>0</v>
      </c>
      <c r="DG317" s="72">
        <v>0</v>
      </c>
      <c r="DH317" s="72">
        <v>0</v>
      </c>
      <c r="DI317" s="72">
        <v>0</v>
      </c>
      <c r="DJ317" s="72">
        <v>0</v>
      </c>
      <c r="DK317" s="72">
        <v>0</v>
      </c>
      <c r="DL317" s="72">
        <v>0</v>
      </c>
      <c r="DM317" s="72">
        <v>0</v>
      </c>
      <c r="DN317" s="72">
        <v>0</v>
      </c>
      <c r="DO317" s="72">
        <v>0</v>
      </c>
      <c r="DP317" s="72">
        <v>0</v>
      </c>
      <c r="DQ317" s="72">
        <v>0</v>
      </c>
      <c r="DR317" s="72">
        <v>0</v>
      </c>
      <c r="DS317" s="72">
        <v>0</v>
      </c>
      <c r="DT317" s="72">
        <v>0</v>
      </c>
      <c r="DU317" s="72">
        <v>0</v>
      </c>
      <c r="DV317" s="72">
        <v>0</v>
      </c>
      <c r="DW317" s="72">
        <v>0</v>
      </c>
      <c r="DX317" s="72">
        <v>0</v>
      </c>
      <c r="DY317" s="72">
        <v>0</v>
      </c>
      <c r="DZ317" s="72">
        <v>0</v>
      </c>
      <c r="EA317" s="72">
        <v>0</v>
      </c>
      <c r="EB317" s="72">
        <v>0</v>
      </c>
      <c r="EC317" s="72">
        <v>0</v>
      </c>
      <c r="ED317" s="72">
        <v>0</v>
      </c>
      <c r="EE317" s="72">
        <v>0</v>
      </c>
      <c r="EF317" s="72">
        <v>0</v>
      </c>
      <c r="EG317" s="72">
        <v>0</v>
      </c>
      <c r="EH317" s="72">
        <v>0</v>
      </c>
      <c r="EI317" s="72">
        <v>0</v>
      </c>
      <c r="EJ317" s="72">
        <v>0</v>
      </c>
      <c r="EK317" s="72">
        <v>0</v>
      </c>
      <c r="EL317" s="72">
        <v>0</v>
      </c>
    </row>
    <row r="318" spans="1:142" x14ac:dyDescent="0.35">
      <c r="A318" s="59">
        <f>Данные!A318</f>
        <v>5791</v>
      </c>
      <c r="B318" s="59">
        <f>Данные!B318</f>
        <v>2019</v>
      </c>
      <c r="C318" s="59" t="str">
        <f>Данные!C318</f>
        <v>компьютерных технологий и электронного обучения</v>
      </c>
      <c r="D318" s="59" t="str">
        <f>Данные!D318</f>
        <v>Атаян Ануш Михайловна</v>
      </c>
      <c r="E318" s="59" t="str">
        <f>Данные!E318</f>
        <v>кандидат педагогических наук</v>
      </c>
      <c r="F318" s="59" t="str">
        <f>Данные!F318</f>
        <v>доцент</v>
      </c>
      <c r="G318" s="59">
        <f>Данные!G318</f>
        <v>1</v>
      </c>
      <c r="H318" s="59" t="str">
        <f>Данные!H318</f>
        <v>3 курс 2017 год/пост</v>
      </c>
      <c r="I318" s="59" t="str">
        <f>Данные!I318</f>
        <v>Модуль "Информационные технологии". Дисциплины и курсы по выбору. Прикладные информационные технологии</v>
      </c>
      <c r="J318" s="59">
        <f>Данные!J318</f>
        <v>0</v>
      </c>
      <c r="K318" s="59">
        <f>Данные!K318</f>
        <v>0</v>
      </c>
      <c r="L318" s="59">
        <f>Данные!L318</f>
        <v>0</v>
      </c>
      <c r="M318" s="60">
        <f t="shared" si="36"/>
        <v>0</v>
      </c>
      <c r="N318" s="60">
        <f t="shared" ca="1" si="37"/>
        <v>11.57</v>
      </c>
      <c r="O318" s="60">
        <f t="shared" ca="1" si="38"/>
        <v>7.25</v>
      </c>
      <c r="P318" s="60">
        <f t="shared" ca="1" si="39"/>
        <v>7.25</v>
      </c>
      <c r="Q318" s="54">
        <f>Данные!Q318</f>
        <v>0</v>
      </c>
      <c r="R318" s="54">
        <f>Данные!R318</f>
        <v>0</v>
      </c>
      <c r="S318" s="54">
        <f>Данные!S318</f>
        <v>0</v>
      </c>
      <c r="T318" s="54">
        <f>Данные!T318</f>
        <v>0</v>
      </c>
      <c r="U318" s="54">
        <f>Данные!U318</f>
        <v>0</v>
      </c>
      <c r="V318" s="54">
        <f>Данные!V318</f>
        <v>0</v>
      </c>
      <c r="W318" s="54">
        <f ca="1">Данные!W318</f>
        <v>29</v>
      </c>
      <c r="X318" s="54" t="str">
        <f ca="1">Данные!X318</f>
        <v>1</v>
      </c>
      <c r="Y318" s="54" t="str">
        <f ca="1">Данные!Y318</f>
        <v>2</v>
      </c>
      <c r="Z318" s="54">
        <f>Данные!Z318</f>
        <v>0</v>
      </c>
      <c r="AA318" s="54" t="str">
        <f>Данные!AA318</f>
        <v>доп</v>
      </c>
      <c r="AB318" s="101">
        <f t="shared" si="40"/>
        <v>800</v>
      </c>
      <c r="AC318" s="101" t="str">
        <f t="shared" si="41"/>
        <v>ИВТ (бак)</v>
      </c>
      <c r="AD318" s="101" t="str">
        <f t="shared" si="42"/>
        <v/>
      </c>
      <c r="AE318" s="102">
        <f t="shared" ca="1" si="43"/>
        <v>26.07</v>
      </c>
      <c r="AF318" s="103">
        <f t="shared" ca="1" si="44"/>
        <v>3.2587499999999998E-2</v>
      </c>
      <c r="AG318" s="101"/>
      <c r="AH318" s="101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Q318" s="72">
        <v>0</v>
      </c>
      <c r="BR318" s="72">
        <v>0</v>
      </c>
      <c r="BS318" s="72">
        <v>0</v>
      </c>
      <c r="BT318" s="72">
        <v>0</v>
      </c>
      <c r="BU318" s="72">
        <v>0</v>
      </c>
      <c r="BV318" s="72">
        <v>0</v>
      </c>
      <c r="BW318" s="72">
        <v>0</v>
      </c>
      <c r="BX318" s="72">
        <v>0</v>
      </c>
      <c r="BY318" s="72">
        <v>0</v>
      </c>
      <c r="BZ318" s="72">
        <v>0</v>
      </c>
      <c r="CA318" s="72">
        <v>0</v>
      </c>
      <c r="CB318" s="72">
        <v>0</v>
      </c>
      <c r="CC318" s="72">
        <v>0</v>
      </c>
      <c r="CD318" s="72">
        <v>0</v>
      </c>
      <c r="CE318" s="72">
        <v>0</v>
      </c>
      <c r="CF318" s="72">
        <v>0</v>
      </c>
      <c r="CG318" s="72">
        <v>0</v>
      </c>
      <c r="CH318" s="72">
        <v>0</v>
      </c>
      <c r="CI318" s="72">
        <v>0</v>
      </c>
      <c r="CJ318" s="72">
        <v>0</v>
      </c>
      <c r="CK318" s="72">
        <v>0</v>
      </c>
      <c r="CL318" s="72">
        <v>0</v>
      </c>
      <c r="CM318" s="72">
        <v>0</v>
      </c>
      <c r="CN318" s="72">
        <v>0</v>
      </c>
      <c r="CO318" s="72">
        <v>0</v>
      </c>
      <c r="CP318" s="72">
        <v>0</v>
      </c>
      <c r="CQ318" s="72">
        <v>0</v>
      </c>
      <c r="CR318" s="72">
        <v>0</v>
      </c>
      <c r="CS318" s="72">
        <v>0</v>
      </c>
      <c r="CT318" s="72">
        <v>0</v>
      </c>
      <c r="CU318" s="72">
        <v>0</v>
      </c>
      <c r="CV318" s="72">
        <v>0</v>
      </c>
      <c r="CW318" s="72">
        <v>0</v>
      </c>
      <c r="CX318" s="72">
        <v>0</v>
      </c>
      <c r="CY318" s="72">
        <v>0</v>
      </c>
      <c r="CZ318" s="72">
        <v>0</v>
      </c>
      <c r="DA318" s="72">
        <v>0</v>
      </c>
      <c r="DB318" s="72">
        <v>0</v>
      </c>
      <c r="DC318" s="72">
        <v>0</v>
      </c>
      <c r="DD318" s="72">
        <v>0</v>
      </c>
      <c r="DE318" s="72">
        <v>0</v>
      </c>
      <c r="DF318" s="72">
        <v>0</v>
      </c>
      <c r="DG318" s="72">
        <v>0</v>
      </c>
      <c r="DH318" s="72">
        <v>0</v>
      </c>
      <c r="DI318" s="72">
        <v>0</v>
      </c>
      <c r="DJ318" s="72">
        <v>0</v>
      </c>
      <c r="DK318" s="72">
        <v>0</v>
      </c>
      <c r="DL318" s="72">
        <v>0</v>
      </c>
      <c r="DM318" s="72">
        <v>0</v>
      </c>
      <c r="DN318" s="72">
        <v>0</v>
      </c>
      <c r="DO318" s="72">
        <v>0</v>
      </c>
      <c r="DP318" s="72">
        <v>0</v>
      </c>
      <c r="DQ318" s="72">
        <v>0</v>
      </c>
      <c r="DR318" s="72">
        <v>0</v>
      </c>
      <c r="DS318" s="72">
        <v>0</v>
      </c>
      <c r="DT318" s="72">
        <v>0</v>
      </c>
      <c r="DU318" s="72">
        <v>0</v>
      </c>
      <c r="DV318" s="72">
        <v>0</v>
      </c>
      <c r="DW318" s="72">
        <v>0</v>
      </c>
      <c r="DX318" s="72">
        <v>0</v>
      </c>
      <c r="DY318" s="72">
        <v>0</v>
      </c>
      <c r="DZ318" s="72">
        <v>0</v>
      </c>
      <c r="EA318" s="72">
        <v>0</v>
      </c>
      <c r="EB318" s="72">
        <v>0</v>
      </c>
      <c r="EC318" s="72">
        <v>0</v>
      </c>
      <c r="ED318" s="72">
        <v>0</v>
      </c>
      <c r="EE318" s="72">
        <v>0</v>
      </c>
      <c r="EF318" s="72">
        <v>0</v>
      </c>
      <c r="EG318" s="72">
        <v>0</v>
      </c>
      <c r="EH318" s="72">
        <v>0</v>
      </c>
      <c r="EI318" s="72">
        <v>0</v>
      </c>
      <c r="EJ318" s="72">
        <v>0</v>
      </c>
      <c r="EK318" s="72">
        <v>0</v>
      </c>
      <c r="EL318" s="72">
        <v>0</v>
      </c>
    </row>
    <row r="319" spans="1:142" x14ac:dyDescent="0.35">
      <c r="A319" s="59">
        <f>Данные!A319</f>
        <v>5791</v>
      </c>
      <c r="B319" s="59">
        <f>Данные!B319</f>
        <v>2019</v>
      </c>
      <c r="C319" s="59" t="str">
        <f>Данные!C319</f>
        <v>компьютерных технологий и электронного обучения</v>
      </c>
      <c r="D319" s="59" t="str">
        <f>Данные!D319</f>
        <v>Власов Дмитрий Викторович</v>
      </c>
      <c r="E319" s="59" t="str">
        <f>Данные!E319</f>
        <v>нет</v>
      </c>
      <c r="F319" s="59" t="str">
        <f>Данные!F319</f>
        <v>эксперт-программист</v>
      </c>
      <c r="G319" s="59">
        <f>Данные!G319</f>
        <v>1</v>
      </c>
      <c r="H319" s="59" t="str">
        <f>Данные!H319</f>
        <v>3 курс 2017 год/пост</v>
      </c>
      <c r="I319" s="59" t="str">
        <f>Данные!I319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319" s="59">
        <f>Данные!J319</f>
        <v>0</v>
      </c>
      <c r="K319" s="59">
        <f>Данные!K319</f>
        <v>0</v>
      </c>
      <c r="L319" s="59">
        <f>Данные!L319</f>
        <v>0</v>
      </c>
      <c r="M319" s="60">
        <f t="shared" si="36"/>
        <v>0</v>
      </c>
      <c r="N319" s="60">
        <f t="shared" ca="1" si="37"/>
        <v>11.57</v>
      </c>
      <c r="O319" s="60">
        <f t="shared" ca="1" si="38"/>
        <v>7.25</v>
      </c>
      <c r="P319" s="60">
        <f t="shared" ca="1" si="39"/>
        <v>7.25</v>
      </c>
      <c r="Q319" s="54">
        <f>Данные!Q319</f>
        <v>0</v>
      </c>
      <c r="R319" s="54">
        <f>Данные!R319</f>
        <v>0</v>
      </c>
      <c r="S319" s="54">
        <f>Данные!S319</f>
        <v>0</v>
      </c>
      <c r="T319" s="54">
        <f>Данные!T319</f>
        <v>0</v>
      </c>
      <c r="U319" s="54">
        <f>Данные!U319</f>
        <v>40</v>
      </c>
      <c r="V319" s="54">
        <f>Данные!V319</f>
        <v>0</v>
      </c>
      <c r="W319" s="54">
        <f ca="1">Данные!W319</f>
        <v>29</v>
      </c>
      <c r="X319" s="54" t="str">
        <f ca="1">Данные!X319</f>
        <v>1</v>
      </c>
      <c r="Y319" s="54" t="str">
        <f ca="1">Данные!Y319</f>
        <v>2</v>
      </c>
      <c r="Z319" s="54">
        <f>Данные!Z319</f>
        <v>0</v>
      </c>
      <c r="AA319" s="54" t="str">
        <f>Данные!AA319</f>
        <v>доп</v>
      </c>
      <c r="AB319" s="101">
        <f t="shared" si="40"/>
        <v>900</v>
      </c>
      <c r="AC319" s="101" t="str">
        <f t="shared" si="41"/>
        <v>ИВТ (бак)</v>
      </c>
      <c r="AD319" s="101" t="str">
        <f t="shared" si="42"/>
        <v/>
      </c>
      <c r="AE319" s="102">
        <f t="shared" ca="1" si="43"/>
        <v>66.069999999999993</v>
      </c>
      <c r="AF319" s="103">
        <f t="shared" ca="1" si="44"/>
        <v>7.3411111111111108E-2</v>
      </c>
      <c r="AG319" s="101"/>
      <c r="AH319" s="101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Q319" s="72">
        <v>0</v>
      </c>
      <c r="BR319" s="72">
        <v>0</v>
      </c>
      <c r="BS319" s="72">
        <v>0</v>
      </c>
      <c r="BT319" s="72">
        <v>0</v>
      </c>
      <c r="BU319" s="72">
        <v>0</v>
      </c>
      <c r="BV319" s="72">
        <v>0</v>
      </c>
      <c r="BW319" s="72">
        <v>0</v>
      </c>
      <c r="BX319" s="72">
        <v>0</v>
      </c>
      <c r="BY319" s="72">
        <v>0</v>
      </c>
      <c r="BZ319" s="72">
        <v>0</v>
      </c>
      <c r="CA319" s="72">
        <v>0</v>
      </c>
      <c r="CB319" s="72">
        <v>0</v>
      </c>
      <c r="CC319" s="72">
        <v>0</v>
      </c>
      <c r="CD319" s="72">
        <v>0</v>
      </c>
      <c r="CE319" s="72">
        <v>0</v>
      </c>
      <c r="CF319" s="72">
        <v>0</v>
      </c>
      <c r="CG319" s="72">
        <v>0</v>
      </c>
      <c r="CH319" s="72">
        <v>0</v>
      </c>
      <c r="CI319" s="72">
        <v>0</v>
      </c>
      <c r="CJ319" s="72">
        <v>0</v>
      </c>
      <c r="CK319" s="72">
        <v>0</v>
      </c>
      <c r="CL319" s="72">
        <v>0</v>
      </c>
      <c r="CM319" s="72">
        <v>0</v>
      </c>
      <c r="CN319" s="72">
        <v>0</v>
      </c>
      <c r="CO319" s="72">
        <v>0</v>
      </c>
      <c r="CP319" s="72">
        <v>0</v>
      </c>
      <c r="CQ319" s="72">
        <v>0</v>
      </c>
      <c r="CR319" s="72">
        <v>0</v>
      </c>
      <c r="CS319" s="72">
        <v>0</v>
      </c>
      <c r="CT319" s="72">
        <v>0</v>
      </c>
      <c r="CU319" s="72">
        <v>0</v>
      </c>
      <c r="CV319" s="72">
        <v>0</v>
      </c>
      <c r="CW319" s="72">
        <v>0</v>
      </c>
      <c r="CX319" s="72">
        <v>0</v>
      </c>
      <c r="CY319" s="72">
        <v>0</v>
      </c>
      <c r="CZ319" s="72">
        <v>0</v>
      </c>
      <c r="DA319" s="72">
        <v>0</v>
      </c>
      <c r="DB319" s="72">
        <v>0</v>
      </c>
      <c r="DC319" s="72">
        <v>0</v>
      </c>
      <c r="DD319" s="72">
        <v>0</v>
      </c>
      <c r="DE319" s="72">
        <v>0</v>
      </c>
      <c r="DF319" s="72">
        <v>0</v>
      </c>
      <c r="DG319" s="72">
        <v>0</v>
      </c>
      <c r="DH319" s="72">
        <v>0</v>
      </c>
      <c r="DI319" s="72">
        <v>0</v>
      </c>
      <c r="DJ319" s="72">
        <v>0</v>
      </c>
      <c r="DK319" s="72">
        <v>0</v>
      </c>
      <c r="DL319" s="72">
        <v>0</v>
      </c>
      <c r="DM319" s="72">
        <v>0</v>
      </c>
      <c r="DN319" s="72">
        <v>0</v>
      </c>
      <c r="DO319" s="72">
        <v>0</v>
      </c>
      <c r="DP319" s="72">
        <v>0</v>
      </c>
      <c r="DQ319" s="72">
        <v>0</v>
      </c>
      <c r="DR319" s="72">
        <v>0</v>
      </c>
      <c r="DS319" s="72">
        <v>0</v>
      </c>
      <c r="DT319" s="72">
        <v>0</v>
      </c>
      <c r="DU319" s="72">
        <v>0</v>
      </c>
      <c r="DV319" s="72">
        <v>0</v>
      </c>
      <c r="DW319" s="72">
        <v>0</v>
      </c>
      <c r="DX319" s="72">
        <v>0</v>
      </c>
      <c r="DY319" s="72">
        <v>0</v>
      </c>
      <c r="DZ319" s="72">
        <v>0</v>
      </c>
      <c r="EA319" s="72">
        <v>0</v>
      </c>
      <c r="EB319" s="72">
        <v>0</v>
      </c>
      <c r="EC319" s="72">
        <v>0</v>
      </c>
      <c r="ED319" s="72">
        <v>0</v>
      </c>
      <c r="EE319" s="72">
        <v>0</v>
      </c>
      <c r="EF319" s="72">
        <v>0</v>
      </c>
      <c r="EG319" s="72">
        <v>0</v>
      </c>
      <c r="EH319" s="72">
        <v>0</v>
      </c>
      <c r="EI319" s="72">
        <v>0</v>
      </c>
      <c r="EJ319" s="72">
        <v>0</v>
      </c>
      <c r="EK319" s="72">
        <v>0</v>
      </c>
      <c r="EL319" s="72">
        <v>0</v>
      </c>
    </row>
    <row r="320" spans="1:142" x14ac:dyDescent="0.35">
      <c r="A320" s="59">
        <f>Данные!A320</f>
        <v>5791</v>
      </c>
      <c r="B320" s="59">
        <f>Данные!B320</f>
        <v>2019</v>
      </c>
      <c r="C320" s="59" t="str">
        <f>Данные!C320</f>
        <v>компьютерных технологий и электронного обучения</v>
      </c>
      <c r="D320" s="59" t="str">
        <f>Данные!D320</f>
        <v>Власова Елена Зотиковна</v>
      </c>
      <c r="E320" s="59" t="str">
        <f>Данные!E320</f>
        <v>доктор педагогических наук</v>
      </c>
      <c r="F320" s="59" t="str">
        <f>Данные!F320</f>
        <v>заведующий кафедрой</v>
      </c>
      <c r="G320" s="59">
        <f>Данные!G320</f>
        <v>1</v>
      </c>
      <c r="H320" s="59" t="str">
        <f>Данные!H320</f>
        <v>3 курс 2017 год/пост</v>
      </c>
      <c r="I320" s="59" t="str">
        <f>Данные!I320</f>
        <v>Модуль "Информационные технологии"</v>
      </c>
      <c r="J320" s="59">
        <f>Данные!J320</f>
        <v>0</v>
      </c>
      <c r="K320" s="59">
        <f>Данные!K320</f>
        <v>0</v>
      </c>
      <c r="L320" s="59">
        <f>Данные!L320</f>
        <v>0</v>
      </c>
      <c r="M320" s="60">
        <f t="shared" si="36"/>
        <v>0</v>
      </c>
      <c r="N320" s="60">
        <f t="shared" ca="1" si="37"/>
        <v>11.57</v>
      </c>
      <c r="O320" s="60">
        <f t="shared" ca="1" si="38"/>
        <v>7.25</v>
      </c>
      <c r="P320" s="60">
        <f t="shared" ca="1" si="39"/>
        <v>7.25</v>
      </c>
      <c r="Q320" s="54">
        <f>Данные!Q320</f>
        <v>0</v>
      </c>
      <c r="R320" s="54">
        <f>Данные!R320</f>
        <v>0</v>
      </c>
      <c r="S320" s="54">
        <f>Данные!S320</f>
        <v>0</v>
      </c>
      <c r="T320" s="54">
        <f>Данные!T320</f>
        <v>0</v>
      </c>
      <c r="U320" s="54">
        <f>Данные!U320</f>
        <v>0</v>
      </c>
      <c r="V320" s="54">
        <f>Данные!V320</f>
        <v>0</v>
      </c>
      <c r="W320" s="54">
        <f ca="1">Данные!W320</f>
        <v>29</v>
      </c>
      <c r="X320" s="54" t="str">
        <f ca="1">Данные!X320</f>
        <v>1</v>
      </c>
      <c r="Y320" s="54" t="str">
        <f ca="1">Данные!Y320</f>
        <v>2</v>
      </c>
      <c r="Z320" s="54">
        <f>Данные!Z320</f>
        <v>0</v>
      </c>
      <c r="AA320" s="54" t="str">
        <f>Данные!AA320</f>
        <v>осн</v>
      </c>
      <c r="AB320" s="101">
        <f t="shared" si="40"/>
        <v>700</v>
      </c>
      <c r="AC320" s="101" t="str">
        <f t="shared" si="41"/>
        <v>ИВТ (бак)</v>
      </c>
      <c r="AD320" s="101" t="str">
        <f t="shared" si="42"/>
        <v/>
      </c>
      <c r="AE320" s="102">
        <f t="shared" ca="1" si="43"/>
        <v>26.07</v>
      </c>
      <c r="AF320" s="103">
        <f t="shared" ca="1" si="44"/>
        <v>3.724285714285714E-2</v>
      </c>
      <c r="AG320" s="101"/>
      <c r="AH320" s="101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Q320" s="72">
        <v>0</v>
      </c>
      <c r="BR320" s="72">
        <v>0</v>
      </c>
      <c r="BS320" s="72">
        <v>0</v>
      </c>
      <c r="BT320" s="72">
        <v>0</v>
      </c>
      <c r="BU320" s="72">
        <v>0</v>
      </c>
      <c r="BV320" s="72">
        <v>0</v>
      </c>
      <c r="BW320" s="72">
        <v>0</v>
      </c>
      <c r="BX320" s="72">
        <v>0</v>
      </c>
      <c r="BY320" s="72">
        <v>0</v>
      </c>
      <c r="BZ320" s="72">
        <v>0</v>
      </c>
      <c r="CA320" s="72">
        <v>0</v>
      </c>
      <c r="CB320" s="72">
        <v>0</v>
      </c>
      <c r="CC320" s="72">
        <v>0</v>
      </c>
      <c r="CD320" s="72">
        <v>0</v>
      </c>
      <c r="CE320" s="72">
        <v>0</v>
      </c>
      <c r="CF320" s="72">
        <v>0</v>
      </c>
      <c r="CG320" s="72">
        <v>0</v>
      </c>
      <c r="CH320" s="72">
        <v>0</v>
      </c>
      <c r="CI320" s="72">
        <v>0</v>
      </c>
      <c r="CJ320" s="72">
        <v>0</v>
      </c>
      <c r="CK320" s="72">
        <v>0</v>
      </c>
      <c r="CL320" s="72">
        <v>0</v>
      </c>
      <c r="CM320" s="72">
        <v>0</v>
      </c>
      <c r="CN320" s="72">
        <v>0</v>
      </c>
      <c r="CO320" s="72">
        <v>0</v>
      </c>
      <c r="CP320" s="72">
        <v>0</v>
      </c>
      <c r="CQ320" s="72">
        <v>0</v>
      </c>
      <c r="CR320" s="72">
        <v>0</v>
      </c>
      <c r="CS320" s="72">
        <v>0</v>
      </c>
      <c r="CT320" s="72">
        <v>0</v>
      </c>
      <c r="CU320" s="72">
        <v>0</v>
      </c>
      <c r="CV320" s="72">
        <v>0</v>
      </c>
      <c r="CW320" s="72">
        <v>0</v>
      </c>
      <c r="CX320" s="72">
        <v>0</v>
      </c>
      <c r="CY320" s="72">
        <v>0</v>
      </c>
      <c r="CZ320" s="72">
        <v>0</v>
      </c>
      <c r="DA320" s="72">
        <v>0</v>
      </c>
      <c r="DB320" s="72">
        <v>0</v>
      </c>
      <c r="DC320" s="72">
        <v>0</v>
      </c>
      <c r="DD320" s="72">
        <v>0</v>
      </c>
      <c r="DE320" s="72">
        <v>0</v>
      </c>
      <c r="DF320" s="72">
        <v>0</v>
      </c>
      <c r="DG320" s="72">
        <v>0</v>
      </c>
      <c r="DH320" s="72">
        <v>0</v>
      </c>
      <c r="DI320" s="72">
        <v>0</v>
      </c>
      <c r="DJ320" s="72">
        <v>0</v>
      </c>
      <c r="DK320" s="72">
        <v>0</v>
      </c>
      <c r="DL320" s="72">
        <v>0</v>
      </c>
      <c r="DM320" s="72">
        <v>0</v>
      </c>
      <c r="DN320" s="72">
        <v>0</v>
      </c>
      <c r="DO320" s="72">
        <v>0</v>
      </c>
      <c r="DP320" s="72">
        <v>0</v>
      </c>
      <c r="DQ320" s="72">
        <v>0</v>
      </c>
      <c r="DR320" s="72">
        <v>0</v>
      </c>
      <c r="DS320" s="72">
        <v>0</v>
      </c>
      <c r="DT320" s="72">
        <v>0</v>
      </c>
      <c r="DU320" s="72">
        <v>0</v>
      </c>
      <c r="DV320" s="72">
        <v>0</v>
      </c>
      <c r="DW320" s="72">
        <v>0</v>
      </c>
      <c r="DX320" s="72">
        <v>0</v>
      </c>
      <c r="DY320" s="72">
        <v>0</v>
      </c>
      <c r="DZ320" s="72">
        <v>0</v>
      </c>
      <c r="EA320" s="72">
        <v>0</v>
      </c>
      <c r="EB320" s="72">
        <v>0</v>
      </c>
      <c r="EC320" s="72">
        <v>0</v>
      </c>
      <c r="ED320" s="72">
        <v>0</v>
      </c>
      <c r="EE320" s="72">
        <v>0</v>
      </c>
      <c r="EF320" s="72">
        <v>0</v>
      </c>
      <c r="EG320" s="72">
        <v>0</v>
      </c>
      <c r="EH320" s="72">
        <v>0</v>
      </c>
      <c r="EI320" s="72">
        <v>0</v>
      </c>
      <c r="EJ320" s="72">
        <v>0</v>
      </c>
      <c r="EK320" s="72">
        <v>0</v>
      </c>
      <c r="EL320" s="72">
        <v>0</v>
      </c>
    </row>
    <row r="321" spans="1:142" x14ac:dyDescent="0.35">
      <c r="A321" s="59">
        <f>Данные!A321</f>
        <v>5791</v>
      </c>
      <c r="B321" s="59">
        <f>Данные!B321</f>
        <v>2019</v>
      </c>
      <c r="C321" s="59" t="str">
        <f>Данные!C321</f>
        <v>компьютерных технологий и электронного обучения</v>
      </c>
      <c r="D321" s="59" t="str">
        <f>Данные!D321</f>
        <v>Власова Елена Зотиковна</v>
      </c>
      <c r="E321" s="59" t="str">
        <f>Данные!E321</f>
        <v>доктор педагогических наук</v>
      </c>
      <c r="F321" s="59" t="str">
        <f>Данные!F321</f>
        <v>заведующий кафедрой</v>
      </c>
      <c r="G321" s="59">
        <f>Данные!G321</f>
        <v>1</v>
      </c>
      <c r="H321" s="59" t="str">
        <f>Данные!H321</f>
        <v>3 курс 2017 год/пост</v>
      </c>
      <c r="I321" s="59" t="str">
        <f>Данные!I321</f>
        <v>Модуль "Информационные технологии". Дисциплины и курсы по выбору. Прикладные информационные технологии</v>
      </c>
      <c r="J321" s="59">
        <f>Данные!J321</f>
        <v>0</v>
      </c>
      <c r="K321" s="59">
        <f>Данные!K321</f>
        <v>0</v>
      </c>
      <c r="L321" s="59">
        <f>Данные!L321</f>
        <v>0</v>
      </c>
      <c r="M321" s="60">
        <f t="shared" si="36"/>
        <v>0</v>
      </c>
      <c r="N321" s="60">
        <f t="shared" ca="1" si="37"/>
        <v>11.57</v>
      </c>
      <c r="O321" s="60">
        <f t="shared" ca="1" si="38"/>
        <v>7.25</v>
      </c>
      <c r="P321" s="60">
        <f t="shared" ca="1" si="39"/>
        <v>7.25</v>
      </c>
      <c r="Q321" s="54">
        <f>Данные!Q321</f>
        <v>0</v>
      </c>
      <c r="R321" s="54">
        <f>Данные!R321</f>
        <v>0</v>
      </c>
      <c r="S321" s="54">
        <f>Данные!S321</f>
        <v>0</v>
      </c>
      <c r="T321" s="54">
        <f>Данные!T321</f>
        <v>0</v>
      </c>
      <c r="U321" s="54">
        <f>Данные!U321</f>
        <v>0</v>
      </c>
      <c r="V321" s="54">
        <f>Данные!V321</f>
        <v>0</v>
      </c>
      <c r="W321" s="54">
        <f ca="1">Данные!W321</f>
        <v>29</v>
      </c>
      <c r="X321" s="54" t="str">
        <f ca="1">Данные!X321</f>
        <v>1</v>
      </c>
      <c r="Y321" s="54" t="str">
        <f ca="1">Данные!Y321</f>
        <v>2</v>
      </c>
      <c r="Z321" s="54">
        <f>Данные!Z321</f>
        <v>0</v>
      </c>
      <c r="AA321" s="54" t="str">
        <f>Данные!AA321</f>
        <v>осн</v>
      </c>
      <c r="AB321" s="101">
        <f t="shared" si="40"/>
        <v>700</v>
      </c>
      <c r="AC321" s="101" t="str">
        <f t="shared" si="41"/>
        <v>ИВТ (бак)</v>
      </c>
      <c r="AD321" s="101" t="str">
        <f t="shared" si="42"/>
        <v/>
      </c>
      <c r="AE321" s="102">
        <f t="shared" ca="1" si="43"/>
        <v>26.07</v>
      </c>
      <c r="AF321" s="103">
        <f t="shared" ca="1" si="44"/>
        <v>3.724285714285714E-2</v>
      </c>
      <c r="AG321" s="101"/>
      <c r="AH321" s="10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Q321" s="72">
        <v>0</v>
      </c>
      <c r="BR321" s="72">
        <v>0</v>
      </c>
      <c r="BS321" s="72">
        <v>0</v>
      </c>
      <c r="BT321" s="72">
        <v>0</v>
      </c>
      <c r="BU321" s="72">
        <v>0</v>
      </c>
      <c r="BV321" s="72">
        <v>0</v>
      </c>
      <c r="BW321" s="72">
        <v>0</v>
      </c>
      <c r="BX321" s="72">
        <v>0</v>
      </c>
      <c r="BY321" s="72">
        <v>0</v>
      </c>
      <c r="BZ321" s="72">
        <v>0</v>
      </c>
      <c r="CA321" s="72">
        <v>0</v>
      </c>
      <c r="CB321" s="72">
        <v>0</v>
      </c>
      <c r="CC321" s="72">
        <v>0</v>
      </c>
      <c r="CD321" s="72">
        <v>0</v>
      </c>
      <c r="CE321" s="72">
        <v>0</v>
      </c>
      <c r="CF321" s="72">
        <v>0</v>
      </c>
      <c r="CG321" s="72">
        <v>0</v>
      </c>
      <c r="CH321" s="72">
        <v>0</v>
      </c>
      <c r="CI321" s="72">
        <v>0</v>
      </c>
      <c r="CJ321" s="72">
        <v>0</v>
      </c>
      <c r="CK321" s="72">
        <v>0</v>
      </c>
      <c r="CL321" s="72">
        <v>0</v>
      </c>
      <c r="CM321" s="72">
        <v>0</v>
      </c>
      <c r="CN321" s="72">
        <v>0</v>
      </c>
      <c r="CO321" s="72">
        <v>0</v>
      </c>
      <c r="CP321" s="72">
        <v>0</v>
      </c>
      <c r="CQ321" s="72">
        <v>0</v>
      </c>
      <c r="CR321" s="72">
        <v>0</v>
      </c>
      <c r="CS321" s="72">
        <v>0</v>
      </c>
      <c r="CT321" s="72">
        <v>0</v>
      </c>
      <c r="CU321" s="72">
        <v>0</v>
      </c>
      <c r="CV321" s="72">
        <v>0</v>
      </c>
      <c r="CW321" s="72">
        <v>0</v>
      </c>
      <c r="CX321" s="72">
        <v>0</v>
      </c>
      <c r="CY321" s="72">
        <v>0</v>
      </c>
      <c r="CZ321" s="72">
        <v>0</v>
      </c>
      <c r="DA321" s="72">
        <v>0</v>
      </c>
      <c r="DB321" s="72">
        <v>0</v>
      </c>
      <c r="DC321" s="72">
        <v>0</v>
      </c>
      <c r="DD321" s="72">
        <v>0</v>
      </c>
      <c r="DE321" s="72">
        <v>0</v>
      </c>
      <c r="DF321" s="72">
        <v>0</v>
      </c>
      <c r="DG321" s="72">
        <v>0</v>
      </c>
      <c r="DH321" s="72">
        <v>0</v>
      </c>
      <c r="DI321" s="72">
        <v>0</v>
      </c>
      <c r="DJ321" s="72">
        <v>0</v>
      </c>
      <c r="DK321" s="72">
        <v>0</v>
      </c>
      <c r="DL321" s="72">
        <v>0</v>
      </c>
      <c r="DM321" s="72">
        <v>0</v>
      </c>
      <c r="DN321" s="72">
        <v>0</v>
      </c>
      <c r="DO321" s="72">
        <v>0</v>
      </c>
      <c r="DP321" s="72">
        <v>0</v>
      </c>
      <c r="DQ321" s="72">
        <v>0</v>
      </c>
      <c r="DR321" s="72">
        <v>0</v>
      </c>
      <c r="DS321" s="72">
        <v>0</v>
      </c>
      <c r="DT321" s="72">
        <v>0</v>
      </c>
      <c r="DU321" s="72">
        <v>0</v>
      </c>
      <c r="DV321" s="72">
        <v>0</v>
      </c>
      <c r="DW321" s="72">
        <v>0</v>
      </c>
      <c r="DX321" s="72">
        <v>0</v>
      </c>
      <c r="DY321" s="72">
        <v>0</v>
      </c>
      <c r="DZ321" s="72">
        <v>0</v>
      </c>
      <c r="EA321" s="72">
        <v>0</v>
      </c>
      <c r="EB321" s="72">
        <v>0</v>
      </c>
      <c r="EC321" s="72">
        <v>0</v>
      </c>
      <c r="ED321" s="72">
        <v>0</v>
      </c>
      <c r="EE321" s="72">
        <v>0</v>
      </c>
      <c r="EF321" s="72">
        <v>0</v>
      </c>
      <c r="EG321" s="72">
        <v>0</v>
      </c>
      <c r="EH321" s="72">
        <v>0</v>
      </c>
      <c r="EI321" s="72">
        <v>0</v>
      </c>
      <c r="EJ321" s="72">
        <v>0</v>
      </c>
      <c r="EK321" s="72">
        <v>0</v>
      </c>
      <c r="EL321" s="72">
        <v>0</v>
      </c>
    </row>
    <row r="322" spans="1:142" x14ac:dyDescent="0.35">
      <c r="A322" s="59">
        <f>Данные!A322</f>
        <v>5791</v>
      </c>
      <c r="B322" s="59">
        <f>Данные!B322</f>
        <v>2019</v>
      </c>
      <c r="C322" s="59" t="str">
        <f>Данные!C322</f>
        <v>компьютерных технологий и электронного обучения</v>
      </c>
      <c r="D322" s="59" t="str">
        <f>Данные!D322</f>
        <v>Власова Елена Зотиковна</v>
      </c>
      <c r="E322" s="59" t="str">
        <f>Данные!E322</f>
        <v>доктор педагогических наук</v>
      </c>
      <c r="F322" s="59" t="str">
        <f>Данные!F322</f>
        <v>заведующий кафедрой</v>
      </c>
      <c r="G322" s="59">
        <f>Данные!G322</f>
        <v>1</v>
      </c>
      <c r="H322" s="59" t="str">
        <f>Данные!H322</f>
        <v>3 курс 2017 год/пост</v>
      </c>
      <c r="I322" s="59" t="str">
        <f>Данные!I322</f>
        <v>Модуль "Информационные технологии". Основы корпоративного электронного обучения</v>
      </c>
      <c r="J322" s="59">
        <f>Данные!J322</f>
        <v>6</v>
      </c>
      <c r="K322" s="59">
        <f>Данные!K322</f>
        <v>0</v>
      </c>
      <c r="L322" s="59">
        <f>Данные!L322</f>
        <v>0</v>
      </c>
      <c r="M322" s="60">
        <f t="shared" si="36"/>
        <v>0.6</v>
      </c>
      <c r="N322" s="60">
        <f t="shared" ca="1" si="37"/>
        <v>11.57</v>
      </c>
      <c r="O322" s="60">
        <f t="shared" ca="1" si="38"/>
        <v>7.25</v>
      </c>
      <c r="P322" s="60">
        <f t="shared" ca="1" si="39"/>
        <v>7.25</v>
      </c>
      <c r="Q322" s="54">
        <f>Данные!Q322</f>
        <v>0</v>
      </c>
      <c r="R322" s="54">
        <f>Данные!R322</f>
        <v>0</v>
      </c>
      <c r="S322" s="54">
        <f>Данные!S322</f>
        <v>0</v>
      </c>
      <c r="T322" s="54">
        <f>Данные!T322</f>
        <v>0</v>
      </c>
      <c r="U322" s="54">
        <f>Данные!U322</f>
        <v>0</v>
      </c>
      <c r="V322" s="54">
        <f>Данные!V322</f>
        <v>0</v>
      </c>
      <c r="W322" s="54">
        <f ca="1">Данные!W322</f>
        <v>29</v>
      </c>
      <c r="X322" s="54" t="str">
        <f ca="1">Данные!X322</f>
        <v>1</v>
      </c>
      <c r="Y322" s="54" t="str">
        <f ca="1">Данные!Y322</f>
        <v>2</v>
      </c>
      <c r="Z322" s="54">
        <f>Данные!Z322</f>
        <v>0</v>
      </c>
      <c r="AA322" s="54" t="str">
        <f>Данные!AA322</f>
        <v>осн</v>
      </c>
      <c r="AB322" s="101">
        <f t="shared" si="40"/>
        <v>700</v>
      </c>
      <c r="AC322" s="101" t="str">
        <f t="shared" si="41"/>
        <v>ИВТ (бак)</v>
      </c>
      <c r="AD322" s="101" t="str">
        <f t="shared" si="42"/>
        <v/>
      </c>
      <c r="AE322" s="102">
        <f t="shared" ca="1" si="43"/>
        <v>32.67</v>
      </c>
      <c r="AF322" s="103">
        <f t="shared" ca="1" si="44"/>
        <v>4.6671428571428572E-2</v>
      </c>
      <c r="AG322" s="101"/>
      <c r="AH322" s="101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Q322" s="72">
        <v>0</v>
      </c>
      <c r="BR322" s="72">
        <v>0</v>
      </c>
      <c r="BS322" s="72">
        <v>0</v>
      </c>
      <c r="BT322" s="72">
        <v>0</v>
      </c>
      <c r="BU322" s="72">
        <v>0</v>
      </c>
      <c r="BV322" s="72">
        <v>0</v>
      </c>
      <c r="BW322" s="72">
        <v>0</v>
      </c>
      <c r="BX322" s="72">
        <v>0</v>
      </c>
      <c r="BY322" s="72">
        <v>0</v>
      </c>
      <c r="BZ322" s="72">
        <v>0</v>
      </c>
      <c r="CA322" s="72">
        <v>0</v>
      </c>
      <c r="CB322" s="72">
        <v>0</v>
      </c>
      <c r="CC322" s="72">
        <v>0</v>
      </c>
      <c r="CD322" s="72">
        <v>0</v>
      </c>
      <c r="CE322" s="72">
        <v>0</v>
      </c>
      <c r="CF322" s="72">
        <v>0</v>
      </c>
      <c r="CG322" s="72">
        <v>0</v>
      </c>
      <c r="CH322" s="72">
        <v>0</v>
      </c>
      <c r="CI322" s="72">
        <v>0</v>
      </c>
      <c r="CJ322" s="72">
        <v>0</v>
      </c>
      <c r="CK322" s="72">
        <v>0</v>
      </c>
      <c r="CL322" s="72">
        <v>0</v>
      </c>
      <c r="CM322" s="72">
        <v>0</v>
      </c>
      <c r="CN322" s="72">
        <v>0</v>
      </c>
      <c r="CO322" s="72">
        <v>0</v>
      </c>
      <c r="CP322" s="72">
        <v>0</v>
      </c>
      <c r="CQ322" s="72">
        <v>0</v>
      </c>
      <c r="CR322" s="72">
        <v>0</v>
      </c>
      <c r="CS322" s="72">
        <v>0</v>
      </c>
      <c r="CT322" s="72">
        <v>0</v>
      </c>
      <c r="CU322" s="72">
        <v>0</v>
      </c>
      <c r="CV322" s="72">
        <v>0</v>
      </c>
      <c r="CW322" s="72">
        <v>0</v>
      </c>
      <c r="CX322" s="72">
        <v>0</v>
      </c>
      <c r="CY322" s="72">
        <v>0</v>
      </c>
      <c r="CZ322" s="72">
        <v>0</v>
      </c>
      <c r="DA322" s="72">
        <v>0</v>
      </c>
      <c r="DB322" s="72">
        <v>0</v>
      </c>
      <c r="DC322" s="72">
        <v>0</v>
      </c>
      <c r="DD322" s="72">
        <v>0</v>
      </c>
      <c r="DE322" s="72">
        <v>0</v>
      </c>
      <c r="DF322" s="72">
        <v>0</v>
      </c>
      <c r="DG322" s="72">
        <v>0</v>
      </c>
      <c r="DH322" s="72">
        <v>0</v>
      </c>
      <c r="DI322" s="72">
        <v>0</v>
      </c>
      <c r="DJ322" s="72">
        <v>0</v>
      </c>
      <c r="DK322" s="72">
        <v>0</v>
      </c>
      <c r="DL322" s="72">
        <v>0</v>
      </c>
      <c r="DM322" s="72">
        <v>0</v>
      </c>
      <c r="DN322" s="72">
        <v>0</v>
      </c>
      <c r="DO322" s="72">
        <v>0</v>
      </c>
      <c r="DP322" s="72">
        <v>0</v>
      </c>
      <c r="DQ322" s="72">
        <v>0</v>
      </c>
      <c r="DR322" s="72">
        <v>0</v>
      </c>
      <c r="DS322" s="72">
        <v>0</v>
      </c>
      <c r="DT322" s="72">
        <v>0</v>
      </c>
      <c r="DU322" s="72">
        <v>0</v>
      </c>
      <c r="DV322" s="72">
        <v>0</v>
      </c>
      <c r="DW322" s="72">
        <v>0</v>
      </c>
      <c r="DX322" s="72">
        <v>0</v>
      </c>
      <c r="DY322" s="72">
        <v>0</v>
      </c>
      <c r="DZ322" s="72">
        <v>0</v>
      </c>
      <c r="EA322" s="72">
        <v>0</v>
      </c>
      <c r="EB322" s="72">
        <v>0</v>
      </c>
      <c r="EC322" s="72">
        <v>0</v>
      </c>
      <c r="ED322" s="72">
        <v>0</v>
      </c>
      <c r="EE322" s="72">
        <v>0</v>
      </c>
      <c r="EF322" s="72">
        <v>0</v>
      </c>
      <c r="EG322" s="72">
        <v>0</v>
      </c>
      <c r="EH322" s="72">
        <v>0</v>
      </c>
      <c r="EI322" s="72">
        <v>0</v>
      </c>
      <c r="EJ322" s="72">
        <v>0</v>
      </c>
      <c r="EK322" s="72">
        <v>0</v>
      </c>
      <c r="EL322" s="72">
        <v>0</v>
      </c>
    </row>
    <row r="323" spans="1:142" x14ac:dyDescent="0.35">
      <c r="A323" s="59">
        <f>Данные!A323</f>
        <v>5791</v>
      </c>
      <c r="B323" s="59">
        <f>Данные!B323</f>
        <v>2019</v>
      </c>
      <c r="C323" s="59" t="str">
        <f>Данные!C323</f>
        <v>компьютерных технологий и электронного обучения</v>
      </c>
      <c r="D323" s="59" t="str">
        <f>Данные!D323</f>
        <v>Воробьев Владимир Иванович</v>
      </c>
      <c r="E323" s="59" t="str">
        <f>Данные!E323</f>
        <v>доктор технических наук</v>
      </c>
      <c r="F323" s="59" t="str">
        <f>Данные!F323</f>
        <v>внешний</v>
      </c>
      <c r="G323" s="59">
        <f>Данные!G323</f>
        <v>1</v>
      </c>
      <c r="H323" s="59" t="str">
        <f>Данные!H323</f>
        <v>3 курс 2017 год/пост</v>
      </c>
      <c r="I323" s="59" t="str">
        <f>Данные!I323</f>
        <v>Модуль "Информационные ресурсы и средства профессиональной деятельности инженера". Управление программными проектами</v>
      </c>
      <c r="J323" s="59">
        <f>Данные!J323</f>
        <v>18</v>
      </c>
      <c r="K323" s="59">
        <f>Данные!K323</f>
        <v>0</v>
      </c>
      <c r="L323" s="59">
        <f>Данные!L323</f>
        <v>0</v>
      </c>
      <c r="M323" s="60">
        <f t="shared" si="36"/>
        <v>1.8</v>
      </c>
      <c r="N323" s="60">
        <f t="shared" ca="1" si="37"/>
        <v>11.57</v>
      </c>
      <c r="O323" s="60">
        <f t="shared" ca="1" si="38"/>
        <v>7.25</v>
      </c>
      <c r="P323" s="60">
        <f t="shared" ca="1" si="39"/>
        <v>7.25</v>
      </c>
      <c r="Q323" s="54">
        <f>Данные!Q323</f>
        <v>30</v>
      </c>
      <c r="R323" s="54">
        <f>Данные!R323</f>
        <v>0</v>
      </c>
      <c r="S323" s="54">
        <f>Данные!S323</f>
        <v>0</v>
      </c>
      <c r="T323" s="54">
        <f>Данные!T323</f>
        <v>0</v>
      </c>
      <c r="U323" s="54">
        <f>Данные!U323</f>
        <v>0</v>
      </c>
      <c r="V323" s="54">
        <f>Данные!V323</f>
        <v>0</v>
      </c>
      <c r="W323" s="54">
        <f ca="1">Данные!W323</f>
        <v>29</v>
      </c>
      <c r="X323" s="54" t="str">
        <f ca="1">Данные!X323</f>
        <v>1</v>
      </c>
      <c r="Y323" s="54" t="str">
        <f ca="1">Данные!Y323</f>
        <v>2</v>
      </c>
      <c r="Z323" s="54">
        <f>Данные!Z323</f>
        <v>0</v>
      </c>
      <c r="AA323" s="54">
        <f>Данные!AA323</f>
        <v>0</v>
      </c>
      <c r="AB323" s="101">
        <f t="shared" si="40"/>
        <v>900</v>
      </c>
      <c r="AC323" s="101" t="str">
        <f t="shared" si="41"/>
        <v>ИВТ (бак)</v>
      </c>
      <c r="AD323" s="101" t="str">
        <f t="shared" si="42"/>
        <v/>
      </c>
      <c r="AE323" s="102">
        <f t="shared" ca="1" si="43"/>
        <v>75.87</v>
      </c>
      <c r="AF323" s="103">
        <f t="shared" ca="1" si="44"/>
        <v>8.43E-2</v>
      </c>
      <c r="AG323" s="101"/>
      <c r="AH323" s="101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Q323" s="72">
        <v>0</v>
      </c>
      <c r="BR323" s="72">
        <v>0</v>
      </c>
      <c r="BS323" s="72">
        <v>0</v>
      </c>
      <c r="BT323" s="72">
        <v>0</v>
      </c>
      <c r="BU323" s="72">
        <v>0</v>
      </c>
      <c r="BV323" s="72">
        <v>0</v>
      </c>
      <c r="BW323" s="72">
        <v>0</v>
      </c>
      <c r="BX323" s="72">
        <v>0</v>
      </c>
      <c r="BY323" s="72">
        <v>0</v>
      </c>
      <c r="BZ323" s="72">
        <v>0</v>
      </c>
      <c r="CA323" s="72">
        <v>0</v>
      </c>
      <c r="CB323" s="72">
        <v>0</v>
      </c>
      <c r="CC323" s="72">
        <v>0</v>
      </c>
      <c r="CD323" s="72">
        <v>0</v>
      </c>
      <c r="CE323" s="72">
        <v>0</v>
      </c>
      <c r="CF323" s="72">
        <v>0</v>
      </c>
      <c r="CG323" s="72">
        <v>0</v>
      </c>
      <c r="CH323" s="72">
        <v>0</v>
      </c>
      <c r="CI323" s="72">
        <v>0</v>
      </c>
      <c r="CJ323" s="72">
        <v>0</v>
      </c>
      <c r="CK323" s="72">
        <v>0</v>
      </c>
      <c r="CL323" s="72">
        <v>0</v>
      </c>
      <c r="CM323" s="72">
        <v>0</v>
      </c>
      <c r="CN323" s="72">
        <v>0</v>
      </c>
      <c r="CO323" s="72">
        <v>0</v>
      </c>
      <c r="CP323" s="72">
        <v>0</v>
      </c>
      <c r="CQ323" s="72">
        <v>0</v>
      </c>
      <c r="CR323" s="72">
        <v>0</v>
      </c>
      <c r="CS323" s="72">
        <v>0</v>
      </c>
      <c r="CT323" s="72">
        <v>0</v>
      </c>
      <c r="CU323" s="72">
        <v>0</v>
      </c>
      <c r="CV323" s="72">
        <v>0</v>
      </c>
      <c r="CW323" s="72">
        <v>0</v>
      </c>
      <c r="CX323" s="72">
        <v>0</v>
      </c>
      <c r="CY323" s="72">
        <v>0</v>
      </c>
      <c r="CZ323" s="72">
        <v>0</v>
      </c>
      <c r="DA323" s="72">
        <v>0</v>
      </c>
      <c r="DB323" s="72">
        <v>0</v>
      </c>
      <c r="DC323" s="72">
        <v>0</v>
      </c>
      <c r="DD323" s="72">
        <v>0</v>
      </c>
      <c r="DE323" s="72">
        <v>0</v>
      </c>
      <c r="DF323" s="72">
        <v>0</v>
      </c>
      <c r="DG323" s="72">
        <v>0</v>
      </c>
      <c r="DH323" s="72">
        <v>0</v>
      </c>
      <c r="DI323" s="72">
        <v>0</v>
      </c>
      <c r="DJ323" s="72">
        <v>0</v>
      </c>
      <c r="DK323" s="72">
        <v>0</v>
      </c>
      <c r="DL323" s="72">
        <v>0</v>
      </c>
      <c r="DM323" s="72">
        <v>0</v>
      </c>
      <c r="DN323" s="72">
        <v>0</v>
      </c>
      <c r="DO323" s="72">
        <v>0</v>
      </c>
      <c r="DP323" s="72">
        <v>0</v>
      </c>
      <c r="DQ323" s="72">
        <v>0</v>
      </c>
      <c r="DR323" s="72">
        <v>0</v>
      </c>
      <c r="DS323" s="72">
        <v>0</v>
      </c>
      <c r="DT323" s="72">
        <v>0</v>
      </c>
      <c r="DU323" s="72">
        <v>0</v>
      </c>
      <c r="DV323" s="72">
        <v>0</v>
      </c>
      <c r="DW323" s="72">
        <v>0</v>
      </c>
      <c r="DX323" s="72">
        <v>0</v>
      </c>
      <c r="DY323" s="72">
        <v>0</v>
      </c>
      <c r="DZ323" s="72">
        <v>0</v>
      </c>
      <c r="EA323" s="72">
        <v>0</v>
      </c>
      <c r="EB323" s="72">
        <v>0</v>
      </c>
      <c r="EC323" s="72">
        <v>0</v>
      </c>
      <c r="ED323" s="72">
        <v>0</v>
      </c>
      <c r="EE323" s="72">
        <v>0</v>
      </c>
      <c r="EF323" s="72">
        <v>0</v>
      </c>
      <c r="EG323" s="72">
        <v>0</v>
      </c>
      <c r="EH323" s="72">
        <v>0</v>
      </c>
      <c r="EI323" s="72">
        <v>0</v>
      </c>
      <c r="EJ323" s="72">
        <v>0</v>
      </c>
      <c r="EK323" s="72">
        <v>0</v>
      </c>
      <c r="EL323" s="72">
        <v>0</v>
      </c>
    </row>
    <row r="324" spans="1:142" x14ac:dyDescent="0.35">
      <c r="A324" s="59">
        <f>Данные!A324</f>
        <v>5791</v>
      </c>
      <c r="B324" s="59">
        <f>Данные!B324</f>
        <v>2019</v>
      </c>
      <c r="C324" s="59" t="str">
        <f>Данные!C324</f>
        <v>компьютерных технологий и электронного обучения</v>
      </c>
      <c r="D324" s="59" t="str">
        <f>Данные!D324</f>
        <v>Государев Илья Борисович</v>
      </c>
      <c r="E324" s="59" t="str">
        <f>Данные!E324</f>
        <v>кандидат педагогических наук</v>
      </c>
      <c r="F324" s="59" t="str">
        <f>Данные!F324</f>
        <v>доцент</v>
      </c>
      <c r="G324" s="59">
        <f>Данные!G324</f>
        <v>1</v>
      </c>
      <c r="H324" s="59" t="str">
        <f>Данные!H324</f>
        <v>3 курс 2017 год/пост</v>
      </c>
      <c r="I324" s="59" t="str">
        <f>Данные!I324</f>
        <v>Модуль "Информационные технологии". Информационные технологии в изучении иностранных языков</v>
      </c>
      <c r="J324" s="59">
        <f>Данные!J324</f>
        <v>0</v>
      </c>
      <c r="K324" s="59">
        <f>Данные!K324</f>
        <v>0</v>
      </c>
      <c r="L324" s="59">
        <f>Данные!L324</f>
        <v>72</v>
      </c>
      <c r="M324" s="60">
        <f t="shared" ref="M324:M387" si="45">SUM(J324:L324)/10</f>
        <v>7.2</v>
      </c>
      <c r="N324" s="60">
        <f t="shared" ref="N324:N387" ca="1" si="46">2+(0.33*W324)</f>
        <v>11.57</v>
      </c>
      <c r="O324" s="60">
        <f t="shared" ref="O324:O387" ca="1" si="47">0.25*W324</f>
        <v>7.25</v>
      </c>
      <c r="P324" s="60">
        <f t="shared" ref="P324:P387" ca="1" si="48">0.25*W324</f>
        <v>7.25</v>
      </c>
      <c r="Q324" s="54">
        <f>Данные!Q324</f>
        <v>0</v>
      </c>
      <c r="R324" s="54">
        <f>Данные!R324</f>
        <v>0</v>
      </c>
      <c r="S324" s="54">
        <f>Данные!S324</f>
        <v>0</v>
      </c>
      <c r="T324" s="54">
        <f>Данные!T324</f>
        <v>0</v>
      </c>
      <c r="U324" s="54">
        <f>Данные!U324</f>
        <v>0</v>
      </c>
      <c r="V324" s="54">
        <f>Данные!V324</f>
        <v>0</v>
      </c>
      <c r="W324" s="54">
        <f ca="1">Данные!W324</f>
        <v>29</v>
      </c>
      <c r="X324" s="54" t="str">
        <f ca="1">Данные!X324</f>
        <v>1</v>
      </c>
      <c r="Y324" s="54" t="str">
        <f ca="1">Данные!Y324</f>
        <v>2</v>
      </c>
      <c r="Z324" s="54">
        <f>Данные!Z324</f>
        <v>0</v>
      </c>
      <c r="AA324" s="54">
        <f>Данные!AA324</f>
        <v>0</v>
      </c>
      <c r="AB324" s="101">
        <f t="shared" ref="AB324:AB387" si="49">VLOOKUP(F324, $BN$3:$BO$15, 2, 0)</f>
        <v>800</v>
      </c>
      <c r="AC324" s="101" t="str">
        <f t="shared" ref="AC324:AC387" si="50">IF(IFERROR(MATCH(H324, $AK$4:$BL$4, 0), 0)&gt;=1, "ИВТ (бак)", IF(IFERROR(MATCH(H324, $AK$5:$BL$5, 0), 0)&gt;=1, "КЭО (маг)", ""))</f>
        <v>ИВТ (бак)</v>
      </c>
      <c r="AD324" s="101" t="str">
        <f t="shared" ref="AD324:AD387" si="51">IF(IFERROR(MATCH(H324, $AK$4:$AN$4, 0), 0)=1, "2015–2016", IF(IFERROR(MATCH(H324, $AO$4:$AR$4, 0), 0)=1, "2016–2017", IF(IFERROR(MATCH(H324, $AS$4:$AV$4, 0), 0)=1, "2017–2018", IF(IFERROR(MATCH(H324, $AW$4:$AZ$4, 0), 0)=1, "2018–2019", IF(IFERROR(MATCH(H324, $BA$4:$BD$4, 0), 0)=1, "2019–2020", IF(IFERROR(MATCH(H324, $BE$4:$BH$4, 0), 0)=1, "2020–2021", IF(IFERROR(MATCH(H324, $BI$4:$BL$4, 0), 0)=1, "2021–2022", "")))))))</f>
        <v/>
      </c>
      <c r="AE324" s="102">
        <f t="shared" ref="AE324:AE387" ca="1" si="52">SUM(J324:V324)</f>
        <v>105.27000000000001</v>
      </c>
      <c r="AF324" s="103">
        <f t="shared" ca="1" si="44"/>
        <v>0.13158750000000002</v>
      </c>
      <c r="AG324" s="101"/>
      <c r="AH324" s="101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Q324" s="72">
        <v>0</v>
      </c>
      <c r="BR324" s="72">
        <v>0</v>
      </c>
      <c r="BS324" s="72">
        <v>0</v>
      </c>
      <c r="BT324" s="72">
        <v>0</v>
      </c>
      <c r="BU324" s="72">
        <v>0</v>
      </c>
      <c r="BV324" s="72">
        <v>0</v>
      </c>
      <c r="BW324" s="72">
        <v>0</v>
      </c>
      <c r="BX324" s="72">
        <v>0</v>
      </c>
      <c r="BY324" s="72">
        <v>0</v>
      </c>
      <c r="BZ324" s="72">
        <v>0</v>
      </c>
      <c r="CA324" s="72">
        <v>0</v>
      </c>
      <c r="CB324" s="72">
        <v>0</v>
      </c>
      <c r="CC324" s="72">
        <v>0</v>
      </c>
      <c r="CD324" s="72">
        <v>0</v>
      </c>
      <c r="CE324" s="72">
        <v>0</v>
      </c>
      <c r="CF324" s="72">
        <v>0</v>
      </c>
      <c r="CG324" s="72">
        <v>0</v>
      </c>
      <c r="CH324" s="72">
        <v>0</v>
      </c>
      <c r="CI324" s="72">
        <v>0</v>
      </c>
      <c r="CJ324" s="72">
        <v>0</v>
      </c>
      <c r="CK324" s="72">
        <v>0</v>
      </c>
      <c r="CL324" s="72">
        <v>0</v>
      </c>
      <c r="CM324" s="72">
        <v>0</v>
      </c>
      <c r="CN324" s="72">
        <v>0</v>
      </c>
      <c r="CO324" s="72">
        <v>0</v>
      </c>
      <c r="CP324" s="72">
        <v>0</v>
      </c>
      <c r="CQ324" s="72">
        <v>0</v>
      </c>
      <c r="CR324" s="72">
        <v>0</v>
      </c>
      <c r="CS324" s="72">
        <v>0</v>
      </c>
      <c r="CT324" s="72">
        <v>0</v>
      </c>
      <c r="CU324" s="72">
        <v>0</v>
      </c>
      <c r="CV324" s="72">
        <v>0</v>
      </c>
      <c r="CW324" s="72">
        <v>0</v>
      </c>
      <c r="CX324" s="72">
        <v>0</v>
      </c>
      <c r="CY324" s="72">
        <v>0</v>
      </c>
      <c r="CZ324" s="72">
        <v>0</v>
      </c>
      <c r="DA324" s="72">
        <v>0</v>
      </c>
      <c r="DB324" s="72">
        <v>0</v>
      </c>
      <c r="DC324" s="72">
        <v>0</v>
      </c>
      <c r="DD324" s="72">
        <v>0</v>
      </c>
      <c r="DE324" s="72">
        <v>0</v>
      </c>
      <c r="DF324" s="72">
        <v>0</v>
      </c>
      <c r="DG324" s="72">
        <v>0</v>
      </c>
      <c r="DH324" s="72">
        <v>0</v>
      </c>
      <c r="DI324" s="72">
        <v>0</v>
      </c>
      <c r="DJ324" s="72">
        <v>0</v>
      </c>
      <c r="DK324" s="72">
        <v>0</v>
      </c>
      <c r="DL324" s="72">
        <v>0</v>
      </c>
      <c r="DM324" s="72">
        <v>0</v>
      </c>
      <c r="DN324" s="72">
        <v>0</v>
      </c>
      <c r="DO324" s="72">
        <v>0</v>
      </c>
      <c r="DP324" s="72">
        <v>0</v>
      </c>
      <c r="DQ324" s="72">
        <v>0</v>
      </c>
      <c r="DR324" s="72">
        <v>0</v>
      </c>
      <c r="DS324" s="72">
        <v>0</v>
      </c>
      <c r="DT324" s="72">
        <v>0</v>
      </c>
      <c r="DU324" s="72">
        <v>0</v>
      </c>
      <c r="DV324" s="72">
        <v>0</v>
      </c>
      <c r="DW324" s="72">
        <v>0</v>
      </c>
      <c r="DX324" s="72">
        <v>0</v>
      </c>
      <c r="DY324" s="72">
        <v>0</v>
      </c>
      <c r="DZ324" s="72">
        <v>0</v>
      </c>
      <c r="EA324" s="72">
        <v>0</v>
      </c>
      <c r="EB324" s="72">
        <v>0</v>
      </c>
      <c r="EC324" s="72">
        <v>0</v>
      </c>
      <c r="ED324" s="72">
        <v>0</v>
      </c>
      <c r="EE324" s="72">
        <v>0</v>
      </c>
      <c r="EF324" s="72">
        <v>0</v>
      </c>
      <c r="EG324" s="72">
        <v>0</v>
      </c>
      <c r="EH324" s="72">
        <v>0</v>
      </c>
      <c r="EI324" s="72">
        <v>0</v>
      </c>
      <c r="EJ324" s="72">
        <v>0</v>
      </c>
      <c r="EK324" s="72">
        <v>0</v>
      </c>
      <c r="EL324" s="72">
        <v>0</v>
      </c>
    </row>
    <row r="325" spans="1:142" x14ac:dyDescent="0.35">
      <c r="A325" s="59">
        <f>Данные!A325</f>
        <v>5791</v>
      </c>
      <c r="B325" s="59">
        <f>Данные!B325</f>
        <v>2019</v>
      </c>
      <c r="C325" s="59" t="str">
        <f>Данные!C325</f>
        <v>компьютерных технологий и электронного обучения</v>
      </c>
      <c r="D325" s="59" t="str">
        <f>Данные!D325</f>
        <v>Государев Илья Борисович</v>
      </c>
      <c r="E325" s="59" t="str">
        <f>Данные!E325</f>
        <v>кандидат педагогических наук</v>
      </c>
      <c r="F325" s="59" t="str">
        <f>Данные!F325</f>
        <v>доцент</v>
      </c>
      <c r="G325" s="59">
        <f>Данные!G325</f>
        <v>1</v>
      </c>
      <c r="H325" s="59" t="str">
        <f>Данные!H325</f>
        <v>3 курс 2017 год/пост</v>
      </c>
      <c r="I325" s="59" t="str">
        <f>Данные!I325</f>
        <v>Модуль "Системное и прикладное программное обеспечение". Программирование</v>
      </c>
      <c r="J325" s="59">
        <f>Данные!J325</f>
        <v>36</v>
      </c>
      <c r="K325" s="59">
        <f>Данные!K325</f>
        <v>0</v>
      </c>
      <c r="L325" s="59">
        <f>Данные!L325</f>
        <v>0</v>
      </c>
      <c r="M325" s="60">
        <f t="shared" si="45"/>
        <v>3.6</v>
      </c>
      <c r="N325" s="60">
        <f t="shared" ca="1" si="46"/>
        <v>11.57</v>
      </c>
      <c r="O325" s="60">
        <f t="shared" ca="1" si="47"/>
        <v>7.25</v>
      </c>
      <c r="P325" s="60">
        <f t="shared" ca="1" si="48"/>
        <v>7.25</v>
      </c>
      <c r="Q325" s="54">
        <f>Данные!Q325</f>
        <v>0</v>
      </c>
      <c r="R325" s="54">
        <f>Данные!R325</f>
        <v>0</v>
      </c>
      <c r="S325" s="54">
        <f>Данные!S325</f>
        <v>0</v>
      </c>
      <c r="T325" s="54">
        <f>Данные!T325</f>
        <v>0</v>
      </c>
      <c r="U325" s="54">
        <f>Данные!U325</f>
        <v>0</v>
      </c>
      <c r="V325" s="54">
        <f>Данные!V325</f>
        <v>0</v>
      </c>
      <c r="W325" s="54">
        <f ca="1">Данные!W325</f>
        <v>29</v>
      </c>
      <c r="X325" s="54" t="str">
        <f ca="1">Данные!X325</f>
        <v>1</v>
      </c>
      <c r="Y325" s="54" t="str">
        <f ca="1">Данные!Y325</f>
        <v>2</v>
      </c>
      <c r="Z325" s="54">
        <f>Данные!Z325</f>
        <v>0</v>
      </c>
      <c r="AA325" s="54">
        <f>Данные!AA325</f>
        <v>0</v>
      </c>
      <c r="AB325" s="101">
        <f t="shared" si="49"/>
        <v>800</v>
      </c>
      <c r="AC325" s="101" t="str">
        <f t="shared" si="50"/>
        <v>ИВТ (бак)</v>
      </c>
      <c r="AD325" s="101" t="str">
        <f t="shared" si="51"/>
        <v/>
      </c>
      <c r="AE325" s="102">
        <f t="shared" ca="1" si="52"/>
        <v>65.67</v>
      </c>
      <c r="AF325" s="103">
        <f t="shared" ref="AF325:AF388" ca="1" si="53">AE325/AB325</f>
        <v>8.2087500000000008E-2</v>
      </c>
      <c r="AG325" s="101"/>
      <c r="AH325" s="101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Q325" s="72">
        <v>0</v>
      </c>
      <c r="BR325" s="72">
        <v>0</v>
      </c>
      <c r="BS325" s="72">
        <v>0</v>
      </c>
      <c r="BT325" s="72">
        <v>0</v>
      </c>
      <c r="BU325" s="72">
        <v>0</v>
      </c>
      <c r="BV325" s="72">
        <v>0</v>
      </c>
      <c r="BW325" s="72">
        <v>0</v>
      </c>
      <c r="BX325" s="72">
        <v>0</v>
      </c>
      <c r="BY325" s="72">
        <v>0</v>
      </c>
      <c r="BZ325" s="72">
        <v>0</v>
      </c>
      <c r="CA325" s="72">
        <v>0</v>
      </c>
      <c r="CB325" s="72">
        <v>0</v>
      </c>
      <c r="CC325" s="72">
        <v>0</v>
      </c>
      <c r="CD325" s="72">
        <v>0</v>
      </c>
      <c r="CE325" s="72">
        <v>0</v>
      </c>
      <c r="CF325" s="72">
        <v>0</v>
      </c>
      <c r="CG325" s="72">
        <v>0</v>
      </c>
      <c r="CH325" s="72">
        <v>0</v>
      </c>
      <c r="CI325" s="72">
        <v>0</v>
      </c>
      <c r="CJ325" s="72">
        <v>0</v>
      </c>
      <c r="CK325" s="72">
        <v>0</v>
      </c>
      <c r="CL325" s="72">
        <v>0</v>
      </c>
      <c r="CM325" s="72">
        <v>0</v>
      </c>
      <c r="CN325" s="72">
        <v>0</v>
      </c>
      <c r="CO325" s="72">
        <v>0</v>
      </c>
      <c r="CP325" s="72">
        <v>0</v>
      </c>
      <c r="CQ325" s="72">
        <v>0</v>
      </c>
      <c r="CR325" s="72">
        <v>0</v>
      </c>
      <c r="CS325" s="72">
        <v>0</v>
      </c>
      <c r="CT325" s="72">
        <v>0</v>
      </c>
      <c r="CU325" s="72">
        <v>0</v>
      </c>
      <c r="CV325" s="72">
        <v>0</v>
      </c>
      <c r="CW325" s="72">
        <v>0</v>
      </c>
      <c r="CX325" s="72">
        <v>0</v>
      </c>
      <c r="CY325" s="72">
        <v>0</v>
      </c>
      <c r="CZ325" s="72">
        <v>0</v>
      </c>
      <c r="DA325" s="72">
        <v>0</v>
      </c>
      <c r="DB325" s="72">
        <v>0</v>
      </c>
      <c r="DC325" s="72">
        <v>0</v>
      </c>
      <c r="DD325" s="72">
        <v>0</v>
      </c>
      <c r="DE325" s="72">
        <v>0</v>
      </c>
      <c r="DF325" s="72">
        <v>0</v>
      </c>
      <c r="DG325" s="72">
        <v>0</v>
      </c>
      <c r="DH325" s="72">
        <v>0</v>
      </c>
      <c r="DI325" s="72">
        <v>0</v>
      </c>
      <c r="DJ325" s="72">
        <v>0</v>
      </c>
      <c r="DK325" s="72">
        <v>0</v>
      </c>
      <c r="DL325" s="72">
        <v>0</v>
      </c>
      <c r="DM325" s="72">
        <v>0</v>
      </c>
      <c r="DN325" s="72">
        <v>0</v>
      </c>
      <c r="DO325" s="72">
        <v>0</v>
      </c>
      <c r="DP325" s="72">
        <v>0</v>
      </c>
      <c r="DQ325" s="72">
        <v>0</v>
      </c>
      <c r="DR325" s="72">
        <v>0</v>
      </c>
      <c r="DS325" s="72">
        <v>0</v>
      </c>
      <c r="DT325" s="72">
        <v>0</v>
      </c>
      <c r="DU325" s="72">
        <v>0</v>
      </c>
      <c r="DV325" s="72">
        <v>0</v>
      </c>
      <c r="DW325" s="72">
        <v>0</v>
      </c>
      <c r="DX325" s="72">
        <v>0</v>
      </c>
      <c r="DY325" s="72">
        <v>0</v>
      </c>
      <c r="DZ325" s="72">
        <v>0</v>
      </c>
      <c r="EA325" s="72">
        <v>0</v>
      </c>
      <c r="EB325" s="72">
        <v>0</v>
      </c>
      <c r="EC325" s="72">
        <v>0</v>
      </c>
      <c r="ED325" s="72">
        <v>0</v>
      </c>
      <c r="EE325" s="72">
        <v>0</v>
      </c>
      <c r="EF325" s="72">
        <v>0</v>
      </c>
      <c r="EG325" s="72">
        <v>0</v>
      </c>
      <c r="EH325" s="72">
        <v>0</v>
      </c>
      <c r="EI325" s="72">
        <v>0</v>
      </c>
      <c r="EJ325" s="72">
        <v>0</v>
      </c>
      <c r="EK325" s="72">
        <v>0</v>
      </c>
      <c r="EL325" s="72">
        <v>0</v>
      </c>
    </row>
    <row r="326" spans="1:142" x14ac:dyDescent="0.35">
      <c r="A326" s="59">
        <f>Данные!A326</f>
        <v>5791</v>
      </c>
      <c r="B326" s="59">
        <f>Данные!B326</f>
        <v>2019</v>
      </c>
      <c r="C326" s="59" t="str">
        <f>Данные!C326</f>
        <v>компьютерных технологий и электронного обучения</v>
      </c>
      <c r="D326" s="59" t="str">
        <f>Данные!D326</f>
        <v>Жуков Николай Николаевич</v>
      </c>
      <c r="E326" s="59" t="str">
        <f>Данные!E326</f>
        <v>нет</v>
      </c>
      <c r="F326" s="59" t="str">
        <f>Данные!F326</f>
        <v>ассистент</v>
      </c>
      <c r="G326" s="59">
        <f>Данные!G326</f>
        <v>1</v>
      </c>
      <c r="H326" s="59" t="str">
        <f>Данные!H326</f>
        <v>3 курс 2017 год/пост</v>
      </c>
      <c r="I326" s="59" t="str">
        <f>Данные!I326</f>
        <v>Модуль "Системное и прикладное программное обеспечение". Программирование</v>
      </c>
      <c r="J326" s="59">
        <f>Данные!J326</f>
        <v>0</v>
      </c>
      <c r="K326" s="59">
        <f>Данные!K326</f>
        <v>0</v>
      </c>
      <c r="L326" s="59">
        <f>Данные!L326</f>
        <v>144</v>
      </c>
      <c r="M326" s="60">
        <f t="shared" si="45"/>
        <v>14.4</v>
      </c>
      <c r="N326" s="60">
        <f t="shared" ca="1" si="46"/>
        <v>11.57</v>
      </c>
      <c r="O326" s="60">
        <f t="shared" ca="1" si="47"/>
        <v>7.25</v>
      </c>
      <c r="P326" s="60">
        <f t="shared" ca="1" si="48"/>
        <v>7.25</v>
      </c>
      <c r="Q326" s="54">
        <f>Данные!Q326</f>
        <v>0</v>
      </c>
      <c r="R326" s="54">
        <f>Данные!R326</f>
        <v>0</v>
      </c>
      <c r="S326" s="54">
        <f>Данные!S326</f>
        <v>0</v>
      </c>
      <c r="T326" s="54">
        <f>Данные!T326</f>
        <v>0</v>
      </c>
      <c r="U326" s="54">
        <f>Данные!U326</f>
        <v>0</v>
      </c>
      <c r="V326" s="54">
        <f>Данные!V326</f>
        <v>0</v>
      </c>
      <c r="W326" s="54">
        <f ca="1">Данные!W326</f>
        <v>29</v>
      </c>
      <c r="X326" s="54" t="str">
        <f ca="1">Данные!X326</f>
        <v>1</v>
      </c>
      <c r="Y326" s="54" t="str">
        <f ca="1">Данные!Y326</f>
        <v>2</v>
      </c>
      <c r="Z326" s="54">
        <f>Данные!Z326</f>
        <v>0</v>
      </c>
      <c r="AA326" s="54">
        <f>Данные!AA326</f>
        <v>0</v>
      </c>
      <c r="AB326" s="101">
        <f t="shared" si="49"/>
        <v>900</v>
      </c>
      <c r="AC326" s="101" t="str">
        <f t="shared" si="50"/>
        <v>ИВТ (бак)</v>
      </c>
      <c r="AD326" s="101" t="str">
        <f t="shared" si="51"/>
        <v/>
      </c>
      <c r="AE326" s="102">
        <f t="shared" ca="1" si="52"/>
        <v>184.47</v>
      </c>
      <c r="AF326" s="103">
        <f t="shared" ca="1" si="53"/>
        <v>0.20496666666666666</v>
      </c>
      <c r="AG326" s="101"/>
      <c r="AH326" s="101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Q326" s="72">
        <v>0</v>
      </c>
      <c r="BR326" s="72">
        <v>0</v>
      </c>
      <c r="BS326" s="72">
        <v>0</v>
      </c>
      <c r="BT326" s="72">
        <v>0</v>
      </c>
      <c r="BU326" s="72">
        <v>0</v>
      </c>
      <c r="BV326" s="72">
        <v>0</v>
      </c>
      <c r="BW326" s="72">
        <v>0</v>
      </c>
      <c r="BX326" s="72">
        <v>0</v>
      </c>
      <c r="BY326" s="72">
        <v>0</v>
      </c>
      <c r="BZ326" s="72">
        <v>0</v>
      </c>
      <c r="CA326" s="72">
        <v>0</v>
      </c>
      <c r="CB326" s="72">
        <v>0</v>
      </c>
      <c r="CC326" s="72">
        <v>0</v>
      </c>
      <c r="CD326" s="72">
        <v>0</v>
      </c>
      <c r="CE326" s="72">
        <v>0</v>
      </c>
      <c r="CF326" s="72">
        <v>0</v>
      </c>
      <c r="CG326" s="72">
        <v>0</v>
      </c>
      <c r="CH326" s="72">
        <v>0</v>
      </c>
      <c r="CI326" s="72">
        <v>0</v>
      </c>
      <c r="CJ326" s="72">
        <v>0</v>
      </c>
      <c r="CK326" s="72">
        <v>0</v>
      </c>
      <c r="CL326" s="72">
        <v>0</v>
      </c>
      <c r="CM326" s="72">
        <v>0</v>
      </c>
      <c r="CN326" s="72">
        <v>0</v>
      </c>
      <c r="CO326" s="72">
        <v>0</v>
      </c>
      <c r="CP326" s="72">
        <v>0</v>
      </c>
      <c r="CQ326" s="72">
        <v>0</v>
      </c>
      <c r="CR326" s="72">
        <v>0</v>
      </c>
      <c r="CS326" s="72">
        <v>0</v>
      </c>
      <c r="CT326" s="72">
        <v>0</v>
      </c>
      <c r="CU326" s="72">
        <v>0</v>
      </c>
      <c r="CV326" s="72">
        <v>0</v>
      </c>
      <c r="CW326" s="72">
        <v>0</v>
      </c>
      <c r="CX326" s="72">
        <v>0</v>
      </c>
      <c r="CY326" s="72">
        <v>0</v>
      </c>
      <c r="CZ326" s="72">
        <v>0</v>
      </c>
      <c r="DA326" s="72">
        <v>0</v>
      </c>
      <c r="DB326" s="72">
        <v>0</v>
      </c>
      <c r="DC326" s="72">
        <v>0</v>
      </c>
      <c r="DD326" s="72">
        <v>0</v>
      </c>
      <c r="DE326" s="72">
        <v>0</v>
      </c>
      <c r="DF326" s="72">
        <v>0</v>
      </c>
      <c r="DG326" s="72">
        <v>0</v>
      </c>
      <c r="DH326" s="72">
        <v>0</v>
      </c>
      <c r="DI326" s="72">
        <v>0</v>
      </c>
      <c r="DJ326" s="72">
        <v>0</v>
      </c>
      <c r="DK326" s="72">
        <v>0</v>
      </c>
      <c r="DL326" s="72">
        <v>0</v>
      </c>
      <c r="DM326" s="72">
        <v>0</v>
      </c>
      <c r="DN326" s="72">
        <v>0</v>
      </c>
      <c r="DO326" s="72">
        <v>0</v>
      </c>
      <c r="DP326" s="72">
        <v>0</v>
      </c>
      <c r="DQ326" s="72">
        <v>0</v>
      </c>
      <c r="DR326" s="72">
        <v>0</v>
      </c>
      <c r="DS326" s="72">
        <v>0</v>
      </c>
      <c r="DT326" s="72">
        <v>0</v>
      </c>
      <c r="DU326" s="72">
        <v>0</v>
      </c>
      <c r="DV326" s="72">
        <v>0</v>
      </c>
      <c r="DW326" s="72">
        <v>0</v>
      </c>
      <c r="DX326" s="72">
        <v>0</v>
      </c>
      <c r="DY326" s="72">
        <v>0</v>
      </c>
      <c r="DZ326" s="72">
        <v>0</v>
      </c>
      <c r="EA326" s="72">
        <v>0</v>
      </c>
      <c r="EB326" s="72">
        <v>0</v>
      </c>
      <c r="EC326" s="72">
        <v>0</v>
      </c>
      <c r="ED326" s="72">
        <v>0</v>
      </c>
      <c r="EE326" s="72">
        <v>0</v>
      </c>
      <c r="EF326" s="72">
        <v>0</v>
      </c>
      <c r="EG326" s="72">
        <v>0</v>
      </c>
      <c r="EH326" s="72">
        <v>0</v>
      </c>
      <c r="EI326" s="72">
        <v>0</v>
      </c>
      <c r="EJ326" s="72">
        <v>0</v>
      </c>
      <c r="EK326" s="72">
        <v>0</v>
      </c>
      <c r="EL326" s="72">
        <v>0</v>
      </c>
    </row>
    <row r="327" spans="1:142" x14ac:dyDescent="0.35">
      <c r="A327" s="59">
        <f>Данные!A327</f>
        <v>5791</v>
      </c>
      <c r="B327" s="59">
        <f>Данные!B327</f>
        <v>2019</v>
      </c>
      <c r="C327" s="59" t="str">
        <f>Данные!C327</f>
        <v>компьютерных технологий и электронного обучения</v>
      </c>
      <c r="D327" s="59" t="str">
        <f>Данные!D327</f>
        <v>Копыльцов Александр Васильевич</v>
      </c>
      <c r="E327" s="59" t="str">
        <f>Данные!E327</f>
        <v>доктор технических наук</v>
      </c>
      <c r="F327" s="59" t="str">
        <f>Данные!F327</f>
        <v>внешний</v>
      </c>
      <c r="G327" s="59">
        <f>Данные!G327</f>
        <v>1</v>
      </c>
      <c r="H327" s="59" t="str">
        <f>Данные!H327</f>
        <v>3 курс 2017 год/пост</v>
      </c>
      <c r="I327" s="59" t="str">
        <f>Данные!I327</f>
        <v>Модуль "Информационные ресурсы и средства профессиональной деятельности инженера". Управление программными проектами</v>
      </c>
      <c r="J327" s="59">
        <f>Данные!J327</f>
        <v>0</v>
      </c>
      <c r="K327" s="59">
        <f>Данные!K327</f>
        <v>0</v>
      </c>
      <c r="L327" s="59">
        <f>Данные!L327</f>
        <v>0</v>
      </c>
      <c r="M327" s="60">
        <f t="shared" si="45"/>
        <v>0</v>
      </c>
      <c r="N327" s="60">
        <f t="shared" ca="1" si="46"/>
        <v>11.57</v>
      </c>
      <c r="O327" s="60">
        <f t="shared" ca="1" si="47"/>
        <v>7.25</v>
      </c>
      <c r="P327" s="60">
        <f t="shared" ca="1" si="48"/>
        <v>7.25</v>
      </c>
      <c r="Q327" s="54">
        <f>Данные!Q327</f>
        <v>20</v>
      </c>
      <c r="R327" s="54">
        <f>Данные!R327</f>
        <v>0</v>
      </c>
      <c r="S327" s="54">
        <f>Данные!S327</f>
        <v>0</v>
      </c>
      <c r="T327" s="54">
        <f>Данные!T327</f>
        <v>0</v>
      </c>
      <c r="U327" s="54">
        <f>Данные!U327</f>
        <v>0</v>
      </c>
      <c r="V327" s="54">
        <f>Данные!V327</f>
        <v>0</v>
      </c>
      <c r="W327" s="54">
        <f ca="1">Данные!W327</f>
        <v>29</v>
      </c>
      <c r="X327" s="54" t="str">
        <f ca="1">Данные!X327</f>
        <v>1</v>
      </c>
      <c r="Y327" s="54" t="str">
        <f ca="1">Данные!Y327</f>
        <v>2</v>
      </c>
      <c r="Z327" s="54">
        <f>Данные!Z327</f>
        <v>0</v>
      </c>
      <c r="AA327" s="54">
        <f>Данные!AA327</f>
        <v>0</v>
      </c>
      <c r="AB327" s="101">
        <f t="shared" si="49"/>
        <v>900</v>
      </c>
      <c r="AC327" s="101" t="str">
        <f t="shared" si="50"/>
        <v>ИВТ (бак)</v>
      </c>
      <c r="AD327" s="101" t="str">
        <f t="shared" si="51"/>
        <v/>
      </c>
      <c r="AE327" s="102">
        <f t="shared" ca="1" si="52"/>
        <v>46.07</v>
      </c>
      <c r="AF327" s="103">
        <f t="shared" ca="1" si="53"/>
        <v>5.1188888888888888E-2</v>
      </c>
      <c r="AG327" s="101"/>
      <c r="AH327" s="101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Q327" s="72">
        <v>0</v>
      </c>
      <c r="BR327" s="72">
        <v>0</v>
      </c>
      <c r="BS327" s="72">
        <v>0</v>
      </c>
      <c r="BT327" s="72">
        <v>0</v>
      </c>
      <c r="BU327" s="72">
        <v>0</v>
      </c>
      <c r="BV327" s="72">
        <v>0</v>
      </c>
      <c r="BW327" s="72">
        <v>0</v>
      </c>
      <c r="BX327" s="72">
        <v>0</v>
      </c>
      <c r="BY327" s="72">
        <v>0</v>
      </c>
      <c r="BZ327" s="72">
        <v>0</v>
      </c>
      <c r="CA327" s="72">
        <v>0</v>
      </c>
      <c r="CB327" s="72">
        <v>0</v>
      </c>
      <c r="CC327" s="72">
        <v>0</v>
      </c>
      <c r="CD327" s="72">
        <v>0</v>
      </c>
      <c r="CE327" s="72">
        <v>0</v>
      </c>
      <c r="CF327" s="72">
        <v>0</v>
      </c>
      <c r="CG327" s="72">
        <v>0</v>
      </c>
      <c r="CH327" s="72">
        <v>0</v>
      </c>
      <c r="CI327" s="72">
        <v>0</v>
      </c>
      <c r="CJ327" s="72">
        <v>0</v>
      </c>
      <c r="CK327" s="72">
        <v>0</v>
      </c>
      <c r="CL327" s="72">
        <v>0</v>
      </c>
      <c r="CM327" s="72">
        <v>0</v>
      </c>
      <c r="CN327" s="72">
        <v>0</v>
      </c>
      <c r="CO327" s="72">
        <v>0</v>
      </c>
      <c r="CP327" s="72">
        <v>0</v>
      </c>
      <c r="CQ327" s="72">
        <v>0</v>
      </c>
      <c r="CR327" s="72">
        <v>0</v>
      </c>
      <c r="CS327" s="72">
        <v>0</v>
      </c>
      <c r="CT327" s="72">
        <v>0</v>
      </c>
      <c r="CU327" s="72">
        <v>0</v>
      </c>
      <c r="CV327" s="72">
        <v>0</v>
      </c>
      <c r="CW327" s="72">
        <v>0</v>
      </c>
      <c r="CX327" s="72">
        <v>0</v>
      </c>
      <c r="CY327" s="72">
        <v>0</v>
      </c>
      <c r="CZ327" s="72">
        <v>0</v>
      </c>
      <c r="DA327" s="72">
        <v>0</v>
      </c>
      <c r="DB327" s="72">
        <v>0</v>
      </c>
      <c r="DC327" s="72">
        <v>0</v>
      </c>
      <c r="DD327" s="72">
        <v>0</v>
      </c>
      <c r="DE327" s="72">
        <v>0</v>
      </c>
      <c r="DF327" s="72">
        <v>0</v>
      </c>
      <c r="DG327" s="72">
        <v>0</v>
      </c>
      <c r="DH327" s="72">
        <v>0</v>
      </c>
      <c r="DI327" s="72">
        <v>0</v>
      </c>
      <c r="DJ327" s="72">
        <v>0</v>
      </c>
      <c r="DK327" s="72">
        <v>0</v>
      </c>
      <c r="DL327" s="72">
        <v>0</v>
      </c>
      <c r="DM327" s="72">
        <v>0</v>
      </c>
      <c r="DN327" s="72">
        <v>0</v>
      </c>
      <c r="DO327" s="72">
        <v>0</v>
      </c>
      <c r="DP327" s="72">
        <v>0</v>
      </c>
      <c r="DQ327" s="72">
        <v>0</v>
      </c>
      <c r="DR327" s="72">
        <v>0</v>
      </c>
      <c r="DS327" s="72">
        <v>0</v>
      </c>
      <c r="DT327" s="72">
        <v>0</v>
      </c>
      <c r="DU327" s="72">
        <v>0</v>
      </c>
      <c r="DV327" s="72">
        <v>0</v>
      </c>
      <c r="DW327" s="72">
        <v>0</v>
      </c>
      <c r="DX327" s="72">
        <v>0</v>
      </c>
      <c r="DY327" s="72">
        <v>0</v>
      </c>
      <c r="DZ327" s="72">
        <v>0</v>
      </c>
      <c r="EA327" s="72">
        <v>0</v>
      </c>
      <c r="EB327" s="72">
        <v>0</v>
      </c>
      <c r="EC327" s="72">
        <v>0</v>
      </c>
      <c r="ED327" s="72">
        <v>0</v>
      </c>
      <c r="EE327" s="72">
        <v>0</v>
      </c>
      <c r="EF327" s="72">
        <v>0</v>
      </c>
      <c r="EG327" s="72">
        <v>0</v>
      </c>
      <c r="EH327" s="72">
        <v>0</v>
      </c>
      <c r="EI327" s="72">
        <v>0</v>
      </c>
      <c r="EJ327" s="72">
        <v>0</v>
      </c>
      <c r="EK327" s="72">
        <v>0</v>
      </c>
      <c r="EL327" s="72">
        <v>0</v>
      </c>
    </row>
    <row r="328" spans="1:142" x14ac:dyDescent="0.35">
      <c r="A328" s="59">
        <f>Данные!A328</f>
        <v>5791</v>
      </c>
      <c r="B328" s="59">
        <f>Данные!B328</f>
        <v>2019</v>
      </c>
      <c r="C328" s="59" t="str">
        <f>Данные!C328</f>
        <v>компьютерных технологий и электронного обучения</v>
      </c>
      <c r="D328" s="59" t="str">
        <f>Данные!D328</f>
        <v>Жуков Николай Николаевич</v>
      </c>
      <c r="E328" s="59" t="str">
        <f>Данные!E328</f>
        <v>нет</v>
      </c>
      <c r="F328" s="59" t="str">
        <f>Данные!F328</f>
        <v>ассистент</v>
      </c>
      <c r="G328" s="59">
        <f>Данные!G328</f>
        <v>1</v>
      </c>
      <c r="H328" s="59" t="str">
        <f>Данные!H328</f>
        <v>3 курс 2017 год/пост</v>
      </c>
      <c r="I328" s="59" t="str">
        <f>Данные!I328</f>
        <v>Модуль "Информационные ресурсы и средства профессиональной деятельности инженера". Управление программными проектами</v>
      </c>
      <c r="J328" s="59">
        <f>Данные!J328</f>
        <v>0</v>
      </c>
      <c r="K328" s="59">
        <f>Данные!K328</f>
        <v>0</v>
      </c>
      <c r="L328" s="59">
        <f>Данные!L328</f>
        <v>72</v>
      </c>
      <c r="M328" s="60">
        <f t="shared" si="45"/>
        <v>7.2</v>
      </c>
      <c r="N328" s="60">
        <f t="shared" ca="1" si="46"/>
        <v>11.57</v>
      </c>
      <c r="O328" s="60">
        <f t="shared" ca="1" si="47"/>
        <v>7.25</v>
      </c>
      <c r="P328" s="60">
        <f t="shared" ca="1" si="48"/>
        <v>7.25</v>
      </c>
      <c r="Q328" s="54">
        <f>Данные!Q328</f>
        <v>8</v>
      </c>
      <c r="R328" s="54">
        <f>Данные!R328</f>
        <v>0</v>
      </c>
      <c r="S328" s="54">
        <f>Данные!S328</f>
        <v>0</v>
      </c>
      <c r="T328" s="54">
        <f>Данные!T328</f>
        <v>0</v>
      </c>
      <c r="U328" s="54">
        <f>Данные!U328</f>
        <v>0</v>
      </c>
      <c r="V328" s="54">
        <f>Данные!V328</f>
        <v>0</v>
      </c>
      <c r="W328" s="54">
        <f ca="1">Данные!W328</f>
        <v>29</v>
      </c>
      <c r="X328" s="54" t="str">
        <f ca="1">Данные!X328</f>
        <v>1</v>
      </c>
      <c r="Y328" s="54" t="str">
        <f ca="1">Данные!Y328</f>
        <v>2</v>
      </c>
      <c r="Z328" s="54">
        <f>Данные!Z328</f>
        <v>0</v>
      </c>
      <c r="AA328" s="54">
        <f>Данные!AA328</f>
        <v>0</v>
      </c>
      <c r="AB328" s="101">
        <f t="shared" si="49"/>
        <v>900</v>
      </c>
      <c r="AC328" s="101" t="str">
        <f t="shared" si="50"/>
        <v>ИВТ (бак)</v>
      </c>
      <c r="AD328" s="101" t="str">
        <f t="shared" si="51"/>
        <v/>
      </c>
      <c r="AE328" s="102">
        <f t="shared" ca="1" si="52"/>
        <v>113.27000000000001</v>
      </c>
      <c r="AF328" s="103">
        <f t="shared" ca="1" si="53"/>
        <v>0.12585555555555555</v>
      </c>
      <c r="AG328" s="101"/>
      <c r="AH328" s="101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Q328" s="72">
        <v>0</v>
      </c>
      <c r="BR328" s="72">
        <v>0</v>
      </c>
      <c r="BS328" s="72">
        <v>0</v>
      </c>
      <c r="BT328" s="72">
        <v>0</v>
      </c>
      <c r="BU328" s="72">
        <v>0</v>
      </c>
      <c r="BV328" s="72">
        <v>0</v>
      </c>
      <c r="BW328" s="72">
        <v>0</v>
      </c>
      <c r="BX328" s="72">
        <v>0</v>
      </c>
      <c r="BY328" s="72">
        <v>0</v>
      </c>
      <c r="BZ328" s="72">
        <v>0</v>
      </c>
      <c r="CA328" s="72">
        <v>0</v>
      </c>
      <c r="CB328" s="72">
        <v>0</v>
      </c>
      <c r="CC328" s="72">
        <v>0</v>
      </c>
      <c r="CD328" s="72">
        <v>0</v>
      </c>
      <c r="CE328" s="72">
        <v>0</v>
      </c>
      <c r="CF328" s="72">
        <v>0</v>
      </c>
      <c r="CG328" s="72">
        <v>0</v>
      </c>
      <c r="CH328" s="72">
        <v>0</v>
      </c>
      <c r="CI328" s="72">
        <v>0</v>
      </c>
      <c r="CJ328" s="72">
        <v>0</v>
      </c>
      <c r="CK328" s="72">
        <v>0</v>
      </c>
      <c r="CL328" s="72">
        <v>0</v>
      </c>
      <c r="CM328" s="72">
        <v>0</v>
      </c>
      <c r="CN328" s="72">
        <v>0</v>
      </c>
      <c r="CO328" s="72">
        <v>0</v>
      </c>
      <c r="CP328" s="72">
        <v>0</v>
      </c>
      <c r="CQ328" s="72">
        <v>0</v>
      </c>
      <c r="CR328" s="72">
        <v>0</v>
      </c>
      <c r="CS328" s="72">
        <v>0</v>
      </c>
      <c r="CT328" s="72">
        <v>0</v>
      </c>
      <c r="CU328" s="72">
        <v>0</v>
      </c>
      <c r="CV328" s="72">
        <v>0</v>
      </c>
      <c r="CW328" s="72">
        <v>0</v>
      </c>
      <c r="CX328" s="72">
        <v>0</v>
      </c>
      <c r="CY328" s="72">
        <v>0</v>
      </c>
      <c r="CZ328" s="72">
        <v>0</v>
      </c>
      <c r="DA328" s="72">
        <v>0</v>
      </c>
      <c r="DB328" s="72">
        <v>0</v>
      </c>
      <c r="DC328" s="72">
        <v>0</v>
      </c>
      <c r="DD328" s="72">
        <v>0</v>
      </c>
      <c r="DE328" s="72">
        <v>0</v>
      </c>
      <c r="DF328" s="72">
        <v>0</v>
      </c>
      <c r="DG328" s="72">
        <v>0</v>
      </c>
      <c r="DH328" s="72">
        <v>0</v>
      </c>
      <c r="DI328" s="72">
        <v>0</v>
      </c>
      <c r="DJ328" s="72">
        <v>0</v>
      </c>
      <c r="DK328" s="72">
        <v>0</v>
      </c>
      <c r="DL328" s="72">
        <v>0</v>
      </c>
      <c r="DM328" s="72">
        <v>0</v>
      </c>
      <c r="DN328" s="72">
        <v>0</v>
      </c>
      <c r="DO328" s="72">
        <v>0</v>
      </c>
      <c r="DP328" s="72">
        <v>0</v>
      </c>
      <c r="DQ328" s="72">
        <v>0</v>
      </c>
      <c r="DR328" s="72">
        <v>0</v>
      </c>
      <c r="DS328" s="72">
        <v>0</v>
      </c>
      <c r="DT328" s="72">
        <v>0</v>
      </c>
      <c r="DU328" s="72">
        <v>0</v>
      </c>
      <c r="DV328" s="72">
        <v>0</v>
      </c>
      <c r="DW328" s="72">
        <v>0</v>
      </c>
      <c r="DX328" s="72">
        <v>0</v>
      </c>
      <c r="DY328" s="72">
        <v>0</v>
      </c>
      <c r="DZ328" s="72">
        <v>0</v>
      </c>
      <c r="EA328" s="72">
        <v>0</v>
      </c>
      <c r="EB328" s="72">
        <v>0</v>
      </c>
      <c r="EC328" s="72">
        <v>0</v>
      </c>
      <c r="ED328" s="72">
        <v>0</v>
      </c>
      <c r="EE328" s="72">
        <v>0</v>
      </c>
      <c r="EF328" s="72">
        <v>0</v>
      </c>
      <c r="EG328" s="72">
        <v>0</v>
      </c>
      <c r="EH328" s="72">
        <v>0</v>
      </c>
      <c r="EI328" s="72">
        <v>0</v>
      </c>
      <c r="EJ328" s="72">
        <v>0</v>
      </c>
      <c r="EK328" s="72">
        <v>0</v>
      </c>
      <c r="EL328" s="72">
        <v>0</v>
      </c>
    </row>
    <row r="329" spans="1:142" x14ac:dyDescent="0.35">
      <c r="A329" s="59">
        <f>Данные!A329</f>
        <v>5791</v>
      </c>
      <c r="B329" s="59">
        <f>Данные!B329</f>
        <v>2019</v>
      </c>
      <c r="C329" s="59" t="str">
        <f>Данные!C329</f>
        <v>компьютерных технологий и электронного обучения</v>
      </c>
      <c r="D329" s="59" t="str">
        <f>Данные!D329</f>
        <v>Жуков Николай Николаевич</v>
      </c>
      <c r="E329" s="59" t="str">
        <f>Данные!E329</f>
        <v>нет</v>
      </c>
      <c r="F329" s="59" t="str">
        <f>Данные!F329</f>
        <v>ассистент</v>
      </c>
      <c r="G329" s="59">
        <f>Данные!G329</f>
        <v>1</v>
      </c>
      <c r="H329" s="59" t="str">
        <f>Данные!H329</f>
        <v>3 курс 2017 год/пост</v>
      </c>
      <c r="I329" s="59" t="str">
        <f>Данные!I329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329" s="59">
        <f>Данные!J329</f>
        <v>0</v>
      </c>
      <c r="K329" s="59">
        <f>Данные!K329</f>
        <v>0</v>
      </c>
      <c r="L329" s="59">
        <f>Данные!L329</f>
        <v>0</v>
      </c>
      <c r="M329" s="60">
        <f t="shared" si="45"/>
        <v>0</v>
      </c>
      <c r="N329" s="60">
        <f t="shared" ca="1" si="46"/>
        <v>11.57</v>
      </c>
      <c r="O329" s="60">
        <f t="shared" ca="1" si="47"/>
        <v>7.25</v>
      </c>
      <c r="P329" s="60">
        <f t="shared" ca="1" si="48"/>
        <v>7.25</v>
      </c>
      <c r="Q329" s="54">
        <f>Данные!Q329</f>
        <v>0</v>
      </c>
      <c r="R329" s="54">
        <f>Данные!R329</f>
        <v>0</v>
      </c>
      <c r="S329" s="54">
        <f>Данные!S329</f>
        <v>0</v>
      </c>
      <c r="T329" s="54">
        <f>Данные!T329</f>
        <v>0</v>
      </c>
      <c r="U329" s="54">
        <f>Данные!U329</f>
        <v>0</v>
      </c>
      <c r="V329" s="54">
        <f>Данные!V329</f>
        <v>0</v>
      </c>
      <c r="W329" s="54">
        <f ca="1">Данные!W329</f>
        <v>29</v>
      </c>
      <c r="X329" s="54" t="str">
        <f ca="1">Данные!X329</f>
        <v>1</v>
      </c>
      <c r="Y329" s="54" t="str">
        <f ca="1">Данные!Y329</f>
        <v>2</v>
      </c>
      <c r="Z329" s="54">
        <f>Данные!Z329</f>
        <v>0</v>
      </c>
      <c r="AA329" s="54">
        <f>Данные!AA329</f>
        <v>0</v>
      </c>
      <c r="AB329" s="101">
        <f t="shared" si="49"/>
        <v>900</v>
      </c>
      <c r="AC329" s="101" t="str">
        <f t="shared" si="50"/>
        <v>ИВТ (бак)</v>
      </c>
      <c r="AD329" s="101" t="str">
        <f t="shared" si="51"/>
        <v/>
      </c>
      <c r="AE329" s="102">
        <f t="shared" ca="1" si="52"/>
        <v>26.07</v>
      </c>
      <c r="AF329" s="103">
        <f t="shared" ca="1" si="53"/>
        <v>2.8966666666666668E-2</v>
      </c>
      <c r="AG329" s="101"/>
      <c r="AH329" s="101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Q329" s="72">
        <v>0</v>
      </c>
      <c r="BR329" s="72">
        <v>0</v>
      </c>
      <c r="BS329" s="72">
        <v>0</v>
      </c>
      <c r="BT329" s="72">
        <v>0</v>
      </c>
      <c r="BU329" s="72">
        <v>0</v>
      </c>
      <c r="BV329" s="72">
        <v>0</v>
      </c>
      <c r="BW329" s="72">
        <v>0</v>
      </c>
      <c r="BX329" s="72">
        <v>0</v>
      </c>
      <c r="BY329" s="72">
        <v>0</v>
      </c>
      <c r="BZ329" s="72">
        <v>0</v>
      </c>
      <c r="CA329" s="72">
        <v>0</v>
      </c>
      <c r="CB329" s="72">
        <v>0</v>
      </c>
      <c r="CC329" s="72">
        <v>0</v>
      </c>
      <c r="CD329" s="72">
        <v>0</v>
      </c>
      <c r="CE329" s="72">
        <v>0</v>
      </c>
      <c r="CF329" s="72">
        <v>0</v>
      </c>
      <c r="CG329" s="72">
        <v>0</v>
      </c>
      <c r="CH329" s="72">
        <v>0</v>
      </c>
      <c r="CI329" s="72">
        <v>0</v>
      </c>
      <c r="CJ329" s="72">
        <v>0</v>
      </c>
      <c r="CK329" s="72">
        <v>0</v>
      </c>
      <c r="CL329" s="72">
        <v>0</v>
      </c>
      <c r="CM329" s="72">
        <v>0</v>
      </c>
      <c r="CN329" s="72">
        <v>0</v>
      </c>
      <c r="CO329" s="72">
        <v>0</v>
      </c>
      <c r="CP329" s="72">
        <v>0</v>
      </c>
      <c r="CQ329" s="72">
        <v>0</v>
      </c>
      <c r="CR329" s="72">
        <v>0</v>
      </c>
      <c r="CS329" s="72">
        <v>0</v>
      </c>
      <c r="CT329" s="72">
        <v>0</v>
      </c>
      <c r="CU329" s="72">
        <v>0</v>
      </c>
      <c r="CV329" s="72">
        <v>0</v>
      </c>
      <c r="CW329" s="72">
        <v>0</v>
      </c>
      <c r="CX329" s="72">
        <v>0</v>
      </c>
      <c r="CY329" s="72">
        <v>0</v>
      </c>
      <c r="CZ329" s="72">
        <v>0</v>
      </c>
      <c r="DA329" s="72">
        <v>0</v>
      </c>
      <c r="DB329" s="72">
        <v>0</v>
      </c>
      <c r="DC329" s="72">
        <v>0</v>
      </c>
      <c r="DD329" s="72">
        <v>0</v>
      </c>
      <c r="DE329" s="72">
        <v>0</v>
      </c>
      <c r="DF329" s="72">
        <v>0</v>
      </c>
      <c r="DG329" s="72">
        <v>0</v>
      </c>
      <c r="DH329" s="72">
        <v>0</v>
      </c>
      <c r="DI329" s="72">
        <v>0</v>
      </c>
      <c r="DJ329" s="72">
        <v>0</v>
      </c>
      <c r="DK329" s="72">
        <v>0</v>
      </c>
      <c r="DL329" s="72">
        <v>0</v>
      </c>
      <c r="DM329" s="72">
        <v>0</v>
      </c>
      <c r="DN329" s="72">
        <v>0</v>
      </c>
      <c r="DO329" s="72">
        <v>0</v>
      </c>
      <c r="DP329" s="72">
        <v>0</v>
      </c>
      <c r="DQ329" s="72">
        <v>0</v>
      </c>
      <c r="DR329" s="72">
        <v>0</v>
      </c>
      <c r="DS329" s="72">
        <v>0</v>
      </c>
      <c r="DT329" s="72">
        <v>0</v>
      </c>
      <c r="DU329" s="72">
        <v>0</v>
      </c>
      <c r="DV329" s="72">
        <v>0</v>
      </c>
      <c r="DW329" s="72">
        <v>0</v>
      </c>
      <c r="DX329" s="72">
        <v>0</v>
      </c>
      <c r="DY329" s="72">
        <v>0</v>
      </c>
      <c r="DZ329" s="72">
        <v>0</v>
      </c>
      <c r="EA329" s="72">
        <v>0</v>
      </c>
      <c r="EB329" s="72">
        <v>0</v>
      </c>
      <c r="EC329" s="72">
        <v>0</v>
      </c>
      <c r="ED329" s="72">
        <v>0</v>
      </c>
      <c r="EE329" s="72">
        <v>0</v>
      </c>
      <c r="EF329" s="72">
        <v>0</v>
      </c>
      <c r="EG329" s="72">
        <v>0</v>
      </c>
      <c r="EH329" s="72">
        <v>0</v>
      </c>
      <c r="EI329" s="72">
        <v>0</v>
      </c>
      <c r="EJ329" s="72">
        <v>0</v>
      </c>
      <c r="EK329" s="72">
        <v>0</v>
      </c>
      <c r="EL329" s="72">
        <v>0</v>
      </c>
    </row>
    <row r="330" spans="1:142" x14ac:dyDescent="0.35">
      <c r="A330" s="59">
        <f>Данные!A330</f>
        <v>5791</v>
      </c>
      <c r="B330" s="59">
        <f>Данные!B330</f>
        <v>2019</v>
      </c>
      <c r="C330" s="59" t="str">
        <f>Данные!C330</f>
        <v>компьютерных технологий и электронного обучения</v>
      </c>
      <c r="D330" s="59" t="str">
        <f>Данные!D330</f>
        <v>Жуков Николай Николаевич</v>
      </c>
      <c r="E330" s="59" t="str">
        <f>Данные!E330</f>
        <v>нет</v>
      </c>
      <c r="F330" s="59" t="str">
        <f>Данные!F330</f>
        <v>ассистент</v>
      </c>
      <c r="G330" s="59">
        <f>Данные!G330</f>
        <v>1</v>
      </c>
      <c r="H330" s="59" t="str">
        <f>Данные!H330</f>
        <v>3 курс 2017 год/пост</v>
      </c>
      <c r="I330" s="59" t="str">
        <f>Данные!I330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330" s="59">
        <f>Данные!J330</f>
        <v>0</v>
      </c>
      <c r="K330" s="59">
        <f>Данные!K330</f>
        <v>0</v>
      </c>
      <c r="L330" s="59">
        <f>Данные!L330</f>
        <v>0</v>
      </c>
      <c r="M330" s="60">
        <f t="shared" si="45"/>
        <v>0</v>
      </c>
      <c r="N330" s="60">
        <f t="shared" ca="1" si="46"/>
        <v>11.57</v>
      </c>
      <c r="O330" s="60">
        <f t="shared" ca="1" si="47"/>
        <v>7.25</v>
      </c>
      <c r="P330" s="60">
        <f t="shared" ca="1" si="48"/>
        <v>7.25</v>
      </c>
      <c r="Q330" s="54">
        <f>Данные!Q330</f>
        <v>0</v>
      </c>
      <c r="R330" s="54">
        <f>Данные!R330</f>
        <v>0</v>
      </c>
      <c r="S330" s="54">
        <f>Данные!S330</f>
        <v>0</v>
      </c>
      <c r="T330" s="54">
        <f>Данные!T330</f>
        <v>0</v>
      </c>
      <c r="U330" s="54">
        <f>Данные!U330</f>
        <v>22</v>
      </c>
      <c r="V330" s="54">
        <f>Данные!V330</f>
        <v>0</v>
      </c>
      <c r="W330" s="54">
        <f ca="1">Данные!W330</f>
        <v>29</v>
      </c>
      <c r="X330" s="54" t="str">
        <f ca="1">Данные!X330</f>
        <v>1</v>
      </c>
      <c r="Y330" s="54" t="str">
        <f ca="1">Данные!Y330</f>
        <v>2</v>
      </c>
      <c r="Z330" s="54">
        <f>Данные!Z330</f>
        <v>0</v>
      </c>
      <c r="AA330" s="54">
        <f>Данные!AA330</f>
        <v>0</v>
      </c>
      <c r="AB330" s="101">
        <f t="shared" si="49"/>
        <v>900</v>
      </c>
      <c r="AC330" s="101" t="str">
        <f t="shared" si="50"/>
        <v>ИВТ (бак)</v>
      </c>
      <c r="AD330" s="101" t="str">
        <f t="shared" si="51"/>
        <v/>
      </c>
      <c r="AE330" s="102">
        <f t="shared" ca="1" si="52"/>
        <v>48.07</v>
      </c>
      <c r="AF330" s="103">
        <f t="shared" ca="1" si="53"/>
        <v>5.3411111111111111E-2</v>
      </c>
      <c r="AG330" s="101"/>
      <c r="AH330" s="101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Q330" s="72">
        <v>0</v>
      </c>
      <c r="BR330" s="72">
        <v>0</v>
      </c>
      <c r="BS330" s="72">
        <v>0</v>
      </c>
      <c r="BT330" s="72">
        <v>0</v>
      </c>
      <c r="BU330" s="72">
        <v>0</v>
      </c>
      <c r="BV330" s="72">
        <v>0</v>
      </c>
      <c r="BW330" s="72">
        <v>0</v>
      </c>
      <c r="BX330" s="72">
        <v>0</v>
      </c>
      <c r="BY330" s="72">
        <v>0</v>
      </c>
      <c r="BZ330" s="72">
        <v>0</v>
      </c>
      <c r="CA330" s="72">
        <v>0</v>
      </c>
      <c r="CB330" s="72">
        <v>0</v>
      </c>
      <c r="CC330" s="72">
        <v>0</v>
      </c>
      <c r="CD330" s="72">
        <v>0</v>
      </c>
      <c r="CE330" s="72">
        <v>0</v>
      </c>
      <c r="CF330" s="72">
        <v>0</v>
      </c>
      <c r="CG330" s="72">
        <v>0</v>
      </c>
      <c r="CH330" s="72">
        <v>0</v>
      </c>
      <c r="CI330" s="72">
        <v>0</v>
      </c>
      <c r="CJ330" s="72">
        <v>0</v>
      </c>
      <c r="CK330" s="72">
        <v>0</v>
      </c>
      <c r="CL330" s="72">
        <v>0</v>
      </c>
      <c r="CM330" s="72">
        <v>0</v>
      </c>
      <c r="CN330" s="72">
        <v>0</v>
      </c>
      <c r="CO330" s="72">
        <v>0</v>
      </c>
      <c r="CP330" s="72">
        <v>0</v>
      </c>
      <c r="CQ330" s="72">
        <v>0</v>
      </c>
      <c r="CR330" s="72">
        <v>0</v>
      </c>
      <c r="CS330" s="72">
        <v>0</v>
      </c>
      <c r="CT330" s="72">
        <v>0</v>
      </c>
      <c r="CU330" s="72">
        <v>0</v>
      </c>
      <c r="CV330" s="72">
        <v>0</v>
      </c>
      <c r="CW330" s="72">
        <v>0</v>
      </c>
      <c r="CX330" s="72">
        <v>0</v>
      </c>
      <c r="CY330" s="72">
        <v>0</v>
      </c>
      <c r="CZ330" s="72">
        <v>0</v>
      </c>
      <c r="DA330" s="72">
        <v>0</v>
      </c>
      <c r="DB330" s="72">
        <v>0</v>
      </c>
      <c r="DC330" s="72">
        <v>0</v>
      </c>
      <c r="DD330" s="72">
        <v>0</v>
      </c>
      <c r="DE330" s="72">
        <v>0</v>
      </c>
      <c r="DF330" s="72">
        <v>0</v>
      </c>
      <c r="DG330" s="72">
        <v>0</v>
      </c>
      <c r="DH330" s="72">
        <v>0</v>
      </c>
      <c r="DI330" s="72">
        <v>0</v>
      </c>
      <c r="DJ330" s="72">
        <v>0</v>
      </c>
      <c r="DK330" s="72">
        <v>0</v>
      </c>
      <c r="DL330" s="72">
        <v>0</v>
      </c>
      <c r="DM330" s="72">
        <v>0</v>
      </c>
      <c r="DN330" s="72">
        <v>0</v>
      </c>
      <c r="DO330" s="72">
        <v>0</v>
      </c>
      <c r="DP330" s="72">
        <v>0</v>
      </c>
      <c r="DQ330" s="72">
        <v>0</v>
      </c>
      <c r="DR330" s="72">
        <v>0</v>
      </c>
      <c r="DS330" s="72">
        <v>0</v>
      </c>
      <c r="DT330" s="72">
        <v>0</v>
      </c>
      <c r="DU330" s="72">
        <v>0</v>
      </c>
      <c r="DV330" s="72">
        <v>0</v>
      </c>
      <c r="DW330" s="72">
        <v>0</v>
      </c>
      <c r="DX330" s="72">
        <v>0</v>
      </c>
      <c r="DY330" s="72">
        <v>0</v>
      </c>
      <c r="DZ330" s="72">
        <v>0</v>
      </c>
      <c r="EA330" s="72">
        <v>0</v>
      </c>
      <c r="EB330" s="72">
        <v>0</v>
      </c>
      <c r="EC330" s="72">
        <v>0</v>
      </c>
      <c r="ED330" s="72">
        <v>0</v>
      </c>
      <c r="EE330" s="72">
        <v>0</v>
      </c>
      <c r="EF330" s="72">
        <v>0</v>
      </c>
      <c r="EG330" s="72">
        <v>0</v>
      </c>
      <c r="EH330" s="72">
        <v>0</v>
      </c>
      <c r="EI330" s="72">
        <v>0</v>
      </c>
      <c r="EJ330" s="72">
        <v>0</v>
      </c>
      <c r="EK330" s="72">
        <v>0</v>
      </c>
      <c r="EL330" s="72">
        <v>0</v>
      </c>
    </row>
    <row r="331" spans="1:142" x14ac:dyDescent="0.35">
      <c r="A331" s="59">
        <f>Данные!A331</f>
        <v>5791</v>
      </c>
      <c r="B331" s="59">
        <f>Данные!B331</f>
        <v>2019</v>
      </c>
      <c r="C331" s="59" t="str">
        <f>Данные!C331</f>
        <v>компьютерных технологий и электронного обучения</v>
      </c>
      <c r="D331" s="59" t="str">
        <f>Данные!D331</f>
        <v>Карпова Наталья Александровна</v>
      </c>
      <c r="E331" s="59" t="str">
        <f>Данные!E331</f>
        <v>кандидат технических наук</v>
      </c>
      <c r="F331" s="59" t="str">
        <f>Данные!F331</f>
        <v>доцент</v>
      </c>
      <c r="G331" s="59">
        <f>Данные!G331</f>
        <v>0.75</v>
      </c>
      <c r="H331" s="59" t="str">
        <f>Данные!H331</f>
        <v>3 курс 2017 год/пост</v>
      </c>
      <c r="I331" s="59" t="str">
        <f>Данные!I331</f>
        <v>Модуль "Информационные технологии". Дисциплины и курсы по выбору. Прикладные информационные технологии</v>
      </c>
      <c r="J331" s="59">
        <f>Данные!J331</f>
        <v>28</v>
      </c>
      <c r="K331" s="59">
        <f>Данные!K331</f>
        <v>0</v>
      </c>
      <c r="L331" s="59">
        <f>Данные!L331</f>
        <v>0</v>
      </c>
      <c r="M331" s="60">
        <f t="shared" si="45"/>
        <v>2.8</v>
      </c>
      <c r="N331" s="60">
        <f t="shared" ca="1" si="46"/>
        <v>11.57</v>
      </c>
      <c r="O331" s="60">
        <f t="shared" ca="1" si="47"/>
        <v>7.25</v>
      </c>
      <c r="P331" s="60">
        <f t="shared" ca="1" si="48"/>
        <v>7.25</v>
      </c>
      <c r="Q331" s="54">
        <f>Данные!Q331</f>
        <v>0</v>
      </c>
      <c r="R331" s="54">
        <f>Данные!R331</f>
        <v>0</v>
      </c>
      <c r="S331" s="54">
        <f>Данные!S331</f>
        <v>0</v>
      </c>
      <c r="T331" s="54">
        <f>Данные!T331</f>
        <v>0</v>
      </c>
      <c r="U331" s="54">
        <f>Данные!U331</f>
        <v>0</v>
      </c>
      <c r="V331" s="54">
        <f>Данные!V331</f>
        <v>0</v>
      </c>
      <c r="W331" s="54">
        <f ca="1">Данные!W331</f>
        <v>29</v>
      </c>
      <c r="X331" s="54" t="str">
        <f ca="1">Данные!X331</f>
        <v>1</v>
      </c>
      <c r="Y331" s="54" t="str">
        <f ca="1">Данные!Y331</f>
        <v>2</v>
      </c>
      <c r="Z331" s="54">
        <f>Данные!Z331</f>
        <v>0</v>
      </c>
      <c r="AA331" s="54">
        <f>Данные!AA331</f>
        <v>0</v>
      </c>
      <c r="AB331" s="101">
        <f t="shared" si="49"/>
        <v>800</v>
      </c>
      <c r="AC331" s="101" t="str">
        <f t="shared" si="50"/>
        <v>ИВТ (бак)</v>
      </c>
      <c r="AD331" s="101" t="str">
        <f t="shared" si="51"/>
        <v/>
      </c>
      <c r="AE331" s="102">
        <f t="shared" ca="1" si="52"/>
        <v>56.870000000000005</v>
      </c>
      <c r="AF331" s="103">
        <f t="shared" ca="1" si="53"/>
        <v>7.1087500000000012E-2</v>
      </c>
      <c r="AG331" s="101"/>
      <c r="AH331" s="10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Q331" s="72">
        <v>0</v>
      </c>
      <c r="BR331" s="72">
        <v>0</v>
      </c>
      <c r="BS331" s="72">
        <v>0</v>
      </c>
      <c r="BT331" s="72">
        <v>0</v>
      </c>
      <c r="BU331" s="72">
        <v>0</v>
      </c>
      <c r="BV331" s="72">
        <v>0</v>
      </c>
      <c r="BW331" s="72">
        <v>0</v>
      </c>
      <c r="BX331" s="72">
        <v>0</v>
      </c>
      <c r="BY331" s="72">
        <v>0</v>
      </c>
      <c r="BZ331" s="72">
        <v>0</v>
      </c>
      <c r="CA331" s="72">
        <v>0</v>
      </c>
      <c r="CB331" s="72">
        <v>0</v>
      </c>
      <c r="CC331" s="72">
        <v>0</v>
      </c>
      <c r="CD331" s="72">
        <v>0</v>
      </c>
      <c r="CE331" s="72">
        <v>0</v>
      </c>
      <c r="CF331" s="72">
        <v>0</v>
      </c>
      <c r="CG331" s="72">
        <v>0</v>
      </c>
      <c r="CH331" s="72">
        <v>0</v>
      </c>
      <c r="CI331" s="72">
        <v>0</v>
      </c>
      <c r="CJ331" s="72">
        <v>0</v>
      </c>
      <c r="CK331" s="72">
        <v>0</v>
      </c>
      <c r="CL331" s="72">
        <v>0</v>
      </c>
      <c r="CM331" s="72">
        <v>0</v>
      </c>
      <c r="CN331" s="72">
        <v>0</v>
      </c>
      <c r="CO331" s="72">
        <v>0</v>
      </c>
      <c r="CP331" s="72">
        <v>0</v>
      </c>
      <c r="CQ331" s="72">
        <v>0</v>
      </c>
      <c r="CR331" s="72">
        <v>0</v>
      </c>
      <c r="CS331" s="72">
        <v>0</v>
      </c>
      <c r="CT331" s="72">
        <v>0</v>
      </c>
      <c r="CU331" s="72">
        <v>0</v>
      </c>
      <c r="CV331" s="72">
        <v>0</v>
      </c>
      <c r="CW331" s="72">
        <v>0</v>
      </c>
      <c r="CX331" s="72">
        <v>0</v>
      </c>
      <c r="CY331" s="72">
        <v>0</v>
      </c>
      <c r="CZ331" s="72">
        <v>0</v>
      </c>
      <c r="DA331" s="72">
        <v>0</v>
      </c>
      <c r="DB331" s="72">
        <v>0</v>
      </c>
      <c r="DC331" s="72">
        <v>0</v>
      </c>
      <c r="DD331" s="72">
        <v>0</v>
      </c>
      <c r="DE331" s="72">
        <v>0</v>
      </c>
      <c r="DF331" s="72">
        <v>0</v>
      </c>
      <c r="DG331" s="72">
        <v>0</v>
      </c>
      <c r="DH331" s="72">
        <v>0</v>
      </c>
      <c r="DI331" s="72">
        <v>0</v>
      </c>
      <c r="DJ331" s="72">
        <v>0</v>
      </c>
      <c r="DK331" s="72">
        <v>0</v>
      </c>
      <c r="DL331" s="72">
        <v>0</v>
      </c>
      <c r="DM331" s="72">
        <v>0</v>
      </c>
      <c r="DN331" s="72">
        <v>0</v>
      </c>
      <c r="DO331" s="72">
        <v>0</v>
      </c>
      <c r="DP331" s="72">
        <v>0</v>
      </c>
      <c r="DQ331" s="72">
        <v>0</v>
      </c>
      <c r="DR331" s="72">
        <v>0</v>
      </c>
      <c r="DS331" s="72">
        <v>0</v>
      </c>
      <c r="DT331" s="72">
        <v>0</v>
      </c>
      <c r="DU331" s="72">
        <v>0</v>
      </c>
      <c r="DV331" s="72">
        <v>0</v>
      </c>
      <c r="DW331" s="72">
        <v>0</v>
      </c>
      <c r="DX331" s="72">
        <v>0</v>
      </c>
      <c r="DY331" s="72">
        <v>0</v>
      </c>
      <c r="DZ331" s="72">
        <v>0</v>
      </c>
      <c r="EA331" s="72">
        <v>0</v>
      </c>
      <c r="EB331" s="72">
        <v>0</v>
      </c>
      <c r="EC331" s="72">
        <v>0</v>
      </c>
      <c r="ED331" s="72">
        <v>0</v>
      </c>
      <c r="EE331" s="72">
        <v>0</v>
      </c>
      <c r="EF331" s="72">
        <v>0</v>
      </c>
      <c r="EG331" s="72">
        <v>0</v>
      </c>
      <c r="EH331" s="72">
        <v>0</v>
      </c>
      <c r="EI331" s="72">
        <v>0</v>
      </c>
      <c r="EJ331" s="72">
        <v>0</v>
      </c>
      <c r="EK331" s="72">
        <v>0</v>
      </c>
      <c r="EL331" s="72">
        <v>0</v>
      </c>
    </row>
    <row r="332" spans="1:142" x14ac:dyDescent="0.35">
      <c r="A332" s="59">
        <f>Данные!A332</f>
        <v>5791</v>
      </c>
      <c r="B332" s="59">
        <f>Данные!B332</f>
        <v>2019</v>
      </c>
      <c r="C332" s="59" t="str">
        <f>Данные!C332</f>
        <v>компьютерных технологий и электронного обучения</v>
      </c>
      <c r="D332" s="59" t="str">
        <f>Данные!D332</f>
        <v>Иванова Екатерина Алексеевна</v>
      </c>
      <c r="E332" s="59" t="str">
        <f>Данные!E332</f>
        <v>нет</v>
      </c>
      <c r="F332" s="59" t="str">
        <f>Данные!F332</f>
        <v>ассистент</v>
      </c>
      <c r="G332" s="59">
        <f>Данные!G332</f>
        <v>0.25</v>
      </c>
      <c r="H332" s="59" t="str">
        <f>Данные!H332</f>
        <v>3 курс 2017 год/пост</v>
      </c>
      <c r="I332" s="59" t="str">
        <f>Данные!I332</f>
        <v>Модуль "Информационные технологии". Дисциплины и курсы по выбору. Прикладные информационные технологии</v>
      </c>
      <c r="J332" s="59">
        <f>Данные!J332</f>
        <v>0</v>
      </c>
      <c r="K332" s="59">
        <f>Данные!K332</f>
        <v>0</v>
      </c>
      <c r="L332" s="59">
        <f>Данные!L332</f>
        <v>0</v>
      </c>
      <c r="M332" s="60">
        <f t="shared" si="45"/>
        <v>0</v>
      </c>
      <c r="N332" s="60">
        <f t="shared" ca="1" si="46"/>
        <v>11.57</v>
      </c>
      <c r="O332" s="60">
        <f t="shared" ca="1" si="47"/>
        <v>7.25</v>
      </c>
      <c r="P332" s="60">
        <f t="shared" ca="1" si="48"/>
        <v>7.25</v>
      </c>
      <c r="Q332" s="54">
        <f>Данные!Q332</f>
        <v>0</v>
      </c>
      <c r="R332" s="54">
        <f>Данные!R332</f>
        <v>0</v>
      </c>
      <c r="S332" s="54">
        <f>Данные!S332</f>
        <v>0</v>
      </c>
      <c r="T332" s="54">
        <f>Данные!T332</f>
        <v>0</v>
      </c>
      <c r="U332" s="54">
        <f>Данные!U332</f>
        <v>0</v>
      </c>
      <c r="V332" s="54">
        <f>Данные!V332</f>
        <v>0</v>
      </c>
      <c r="W332" s="54">
        <f ca="1">Данные!W332</f>
        <v>29</v>
      </c>
      <c r="X332" s="54" t="str">
        <f ca="1">Данные!X332</f>
        <v>1</v>
      </c>
      <c r="Y332" s="54" t="str">
        <f ca="1">Данные!Y332</f>
        <v>2</v>
      </c>
      <c r="Z332" s="54">
        <f>Данные!Z332</f>
        <v>0</v>
      </c>
      <c r="AA332" s="54">
        <f>Данные!AA332</f>
        <v>0</v>
      </c>
      <c r="AB332" s="101">
        <f t="shared" si="49"/>
        <v>900</v>
      </c>
      <c r="AC332" s="101" t="str">
        <f t="shared" si="50"/>
        <v>ИВТ (бак)</v>
      </c>
      <c r="AD332" s="101" t="str">
        <f t="shared" si="51"/>
        <v/>
      </c>
      <c r="AE332" s="102">
        <f t="shared" ca="1" si="52"/>
        <v>26.07</v>
      </c>
      <c r="AF332" s="103">
        <f t="shared" ca="1" si="53"/>
        <v>2.8966666666666668E-2</v>
      </c>
      <c r="AG332" s="101"/>
      <c r="AH332" s="101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Q332" s="72">
        <v>0</v>
      </c>
      <c r="BR332" s="72">
        <v>0</v>
      </c>
      <c r="BS332" s="72">
        <v>0</v>
      </c>
      <c r="BT332" s="72">
        <v>0</v>
      </c>
      <c r="BU332" s="72">
        <v>0</v>
      </c>
      <c r="BV332" s="72">
        <v>0</v>
      </c>
      <c r="BW332" s="72">
        <v>0</v>
      </c>
      <c r="BX332" s="72">
        <v>0</v>
      </c>
      <c r="BY332" s="72">
        <v>0</v>
      </c>
      <c r="BZ332" s="72">
        <v>0</v>
      </c>
      <c r="CA332" s="72">
        <v>0</v>
      </c>
      <c r="CB332" s="72">
        <v>0</v>
      </c>
      <c r="CC332" s="72">
        <v>0</v>
      </c>
      <c r="CD332" s="72">
        <v>0</v>
      </c>
      <c r="CE332" s="72">
        <v>0</v>
      </c>
      <c r="CF332" s="72">
        <v>0</v>
      </c>
      <c r="CG332" s="72">
        <v>0</v>
      </c>
      <c r="CH332" s="72">
        <v>0</v>
      </c>
      <c r="CI332" s="72">
        <v>0</v>
      </c>
      <c r="CJ332" s="72">
        <v>0</v>
      </c>
      <c r="CK332" s="72">
        <v>0</v>
      </c>
      <c r="CL332" s="72">
        <v>0</v>
      </c>
      <c r="CM332" s="72">
        <v>0</v>
      </c>
      <c r="CN332" s="72">
        <v>0</v>
      </c>
      <c r="CO332" s="72">
        <v>0</v>
      </c>
      <c r="CP332" s="72">
        <v>0</v>
      </c>
      <c r="CQ332" s="72">
        <v>0</v>
      </c>
      <c r="CR332" s="72">
        <v>0</v>
      </c>
      <c r="CS332" s="72">
        <v>0</v>
      </c>
      <c r="CT332" s="72">
        <v>0</v>
      </c>
      <c r="CU332" s="72">
        <v>0</v>
      </c>
      <c r="CV332" s="72">
        <v>0</v>
      </c>
      <c r="CW332" s="72">
        <v>0</v>
      </c>
      <c r="CX332" s="72">
        <v>0</v>
      </c>
      <c r="CY332" s="72">
        <v>0</v>
      </c>
      <c r="CZ332" s="72">
        <v>0</v>
      </c>
      <c r="DA332" s="72">
        <v>0</v>
      </c>
      <c r="DB332" s="72">
        <v>0</v>
      </c>
      <c r="DC332" s="72">
        <v>0</v>
      </c>
      <c r="DD332" s="72">
        <v>0</v>
      </c>
      <c r="DE332" s="72">
        <v>0</v>
      </c>
      <c r="DF332" s="72">
        <v>0</v>
      </c>
      <c r="DG332" s="72">
        <v>0</v>
      </c>
      <c r="DH332" s="72">
        <v>0</v>
      </c>
      <c r="DI332" s="72">
        <v>0</v>
      </c>
      <c r="DJ332" s="72">
        <v>0</v>
      </c>
      <c r="DK332" s="72">
        <v>0</v>
      </c>
      <c r="DL332" s="72">
        <v>0</v>
      </c>
      <c r="DM332" s="72">
        <v>0</v>
      </c>
      <c r="DN332" s="72">
        <v>0</v>
      </c>
      <c r="DO332" s="72">
        <v>0</v>
      </c>
      <c r="DP332" s="72">
        <v>0</v>
      </c>
      <c r="DQ332" s="72">
        <v>0</v>
      </c>
      <c r="DR332" s="72">
        <v>0</v>
      </c>
      <c r="DS332" s="72">
        <v>0</v>
      </c>
      <c r="DT332" s="72">
        <v>0</v>
      </c>
      <c r="DU332" s="72">
        <v>0</v>
      </c>
      <c r="DV332" s="72">
        <v>0</v>
      </c>
      <c r="DW332" s="72">
        <v>0</v>
      </c>
      <c r="DX332" s="72">
        <v>0</v>
      </c>
      <c r="DY332" s="72">
        <v>0</v>
      </c>
      <c r="DZ332" s="72">
        <v>0</v>
      </c>
      <c r="EA332" s="72">
        <v>0</v>
      </c>
      <c r="EB332" s="72">
        <v>0</v>
      </c>
      <c r="EC332" s="72">
        <v>0</v>
      </c>
      <c r="ED332" s="72">
        <v>0</v>
      </c>
      <c r="EE332" s="72">
        <v>0</v>
      </c>
      <c r="EF332" s="72">
        <v>0</v>
      </c>
      <c r="EG332" s="72">
        <v>0</v>
      </c>
      <c r="EH332" s="72">
        <v>0</v>
      </c>
      <c r="EI332" s="72">
        <v>0</v>
      </c>
      <c r="EJ332" s="72">
        <v>0</v>
      </c>
      <c r="EK332" s="72">
        <v>0</v>
      </c>
      <c r="EL332" s="72">
        <v>0</v>
      </c>
    </row>
    <row r="333" spans="1:142" x14ac:dyDescent="0.35">
      <c r="A333" s="59">
        <f>Данные!A333</f>
        <v>5791</v>
      </c>
      <c r="B333" s="59">
        <f>Данные!B333</f>
        <v>2019</v>
      </c>
      <c r="C333" s="59" t="str">
        <f>Данные!C333</f>
        <v>компьютерных технологий и электронного обучения</v>
      </c>
      <c r="D333" s="59" t="str">
        <f>Данные!D333</f>
        <v>Иванова Екатерина Алексеевна</v>
      </c>
      <c r="E333" s="59" t="str">
        <f>Данные!E333</f>
        <v>нет</v>
      </c>
      <c r="F333" s="59" t="str">
        <f>Данные!F333</f>
        <v>ассистент</v>
      </c>
      <c r="G333" s="59">
        <f>Данные!G333</f>
        <v>0.25</v>
      </c>
      <c r="H333" s="59" t="str">
        <f>Данные!H333</f>
        <v>3 курс 2017 год/пост</v>
      </c>
      <c r="I333" s="59" t="str">
        <f>Данные!I333</f>
        <v>Модуль "Информационные технологии". Основы корпоративного электронного обучения</v>
      </c>
      <c r="J333" s="59">
        <f>Данные!J333</f>
        <v>0</v>
      </c>
      <c r="K333" s="59">
        <f>Данные!K333</f>
        <v>12</v>
      </c>
      <c r="L333" s="59">
        <f>Данные!L333</f>
        <v>36</v>
      </c>
      <c r="M333" s="60">
        <f t="shared" si="45"/>
        <v>4.8</v>
      </c>
      <c r="N333" s="60">
        <f t="shared" ca="1" si="46"/>
        <v>11.57</v>
      </c>
      <c r="O333" s="60">
        <f t="shared" ca="1" si="47"/>
        <v>7.25</v>
      </c>
      <c r="P333" s="60">
        <f t="shared" ca="1" si="48"/>
        <v>7.25</v>
      </c>
      <c r="Q333" s="54">
        <f>Данные!Q333</f>
        <v>0</v>
      </c>
      <c r="R333" s="54">
        <f>Данные!R333</f>
        <v>0</v>
      </c>
      <c r="S333" s="54">
        <f>Данные!S333</f>
        <v>0</v>
      </c>
      <c r="T333" s="54">
        <f>Данные!T333</f>
        <v>0</v>
      </c>
      <c r="U333" s="54">
        <f>Данные!U333</f>
        <v>0</v>
      </c>
      <c r="V333" s="54">
        <f>Данные!V333</f>
        <v>0</v>
      </c>
      <c r="W333" s="54">
        <f ca="1">Данные!W333</f>
        <v>29</v>
      </c>
      <c r="X333" s="54" t="str">
        <f ca="1">Данные!X333</f>
        <v>1</v>
      </c>
      <c r="Y333" s="54" t="str">
        <f ca="1">Данные!Y333</f>
        <v>2</v>
      </c>
      <c r="Z333" s="54">
        <f>Данные!Z333</f>
        <v>0</v>
      </c>
      <c r="AA333" s="54">
        <f>Данные!AA333</f>
        <v>0</v>
      </c>
      <c r="AB333" s="101">
        <f t="shared" si="49"/>
        <v>900</v>
      </c>
      <c r="AC333" s="101" t="str">
        <f t="shared" si="50"/>
        <v>ИВТ (бак)</v>
      </c>
      <c r="AD333" s="101" t="str">
        <f t="shared" si="51"/>
        <v/>
      </c>
      <c r="AE333" s="102">
        <f t="shared" ca="1" si="52"/>
        <v>78.87</v>
      </c>
      <c r="AF333" s="103">
        <f t="shared" ca="1" si="53"/>
        <v>8.7633333333333341E-2</v>
      </c>
      <c r="AG333" s="101"/>
      <c r="AH333" s="101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Q333" s="72">
        <v>0</v>
      </c>
      <c r="BR333" s="72">
        <v>0</v>
      </c>
      <c r="BS333" s="72">
        <v>0</v>
      </c>
      <c r="BT333" s="72">
        <v>0</v>
      </c>
      <c r="BU333" s="72">
        <v>0</v>
      </c>
      <c r="BV333" s="72">
        <v>0</v>
      </c>
      <c r="BW333" s="72">
        <v>0</v>
      </c>
      <c r="BX333" s="72">
        <v>0</v>
      </c>
      <c r="BY333" s="72">
        <v>0</v>
      </c>
      <c r="BZ333" s="72">
        <v>0</v>
      </c>
      <c r="CA333" s="72">
        <v>0</v>
      </c>
      <c r="CB333" s="72">
        <v>0</v>
      </c>
      <c r="CC333" s="72">
        <v>0</v>
      </c>
      <c r="CD333" s="72">
        <v>0</v>
      </c>
      <c r="CE333" s="72">
        <v>0</v>
      </c>
      <c r="CF333" s="72">
        <v>0</v>
      </c>
      <c r="CG333" s="72">
        <v>0</v>
      </c>
      <c r="CH333" s="72">
        <v>0</v>
      </c>
      <c r="CI333" s="72">
        <v>0</v>
      </c>
      <c r="CJ333" s="72">
        <v>0</v>
      </c>
      <c r="CK333" s="72">
        <v>0</v>
      </c>
      <c r="CL333" s="72">
        <v>0</v>
      </c>
      <c r="CM333" s="72">
        <v>0</v>
      </c>
      <c r="CN333" s="72">
        <v>0</v>
      </c>
      <c r="CO333" s="72">
        <v>0</v>
      </c>
      <c r="CP333" s="72">
        <v>0</v>
      </c>
      <c r="CQ333" s="72">
        <v>0</v>
      </c>
      <c r="CR333" s="72">
        <v>0</v>
      </c>
      <c r="CS333" s="72">
        <v>0</v>
      </c>
      <c r="CT333" s="72">
        <v>0</v>
      </c>
      <c r="CU333" s="72">
        <v>0</v>
      </c>
      <c r="CV333" s="72">
        <v>0</v>
      </c>
      <c r="CW333" s="72">
        <v>0</v>
      </c>
      <c r="CX333" s="72">
        <v>0</v>
      </c>
      <c r="CY333" s="72">
        <v>0</v>
      </c>
      <c r="CZ333" s="72">
        <v>0</v>
      </c>
      <c r="DA333" s="72">
        <v>0</v>
      </c>
      <c r="DB333" s="72">
        <v>0</v>
      </c>
      <c r="DC333" s="72">
        <v>0</v>
      </c>
      <c r="DD333" s="72">
        <v>0</v>
      </c>
      <c r="DE333" s="72">
        <v>0</v>
      </c>
      <c r="DF333" s="72">
        <v>0</v>
      </c>
      <c r="DG333" s="72">
        <v>0</v>
      </c>
      <c r="DH333" s="72">
        <v>0</v>
      </c>
      <c r="DI333" s="72">
        <v>0</v>
      </c>
      <c r="DJ333" s="72">
        <v>0</v>
      </c>
      <c r="DK333" s="72">
        <v>0</v>
      </c>
      <c r="DL333" s="72">
        <v>0</v>
      </c>
      <c r="DM333" s="72">
        <v>0</v>
      </c>
      <c r="DN333" s="72">
        <v>0</v>
      </c>
      <c r="DO333" s="72">
        <v>0</v>
      </c>
      <c r="DP333" s="72">
        <v>0</v>
      </c>
      <c r="DQ333" s="72">
        <v>0</v>
      </c>
      <c r="DR333" s="72">
        <v>0</v>
      </c>
      <c r="DS333" s="72">
        <v>0</v>
      </c>
      <c r="DT333" s="72">
        <v>0</v>
      </c>
      <c r="DU333" s="72">
        <v>0</v>
      </c>
      <c r="DV333" s="72">
        <v>0</v>
      </c>
      <c r="DW333" s="72">
        <v>0</v>
      </c>
      <c r="DX333" s="72">
        <v>0</v>
      </c>
      <c r="DY333" s="72">
        <v>0</v>
      </c>
      <c r="DZ333" s="72">
        <v>0</v>
      </c>
      <c r="EA333" s="72">
        <v>0</v>
      </c>
      <c r="EB333" s="72">
        <v>0</v>
      </c>
      <c r="EC333" s="72">
        <v>0</v>
      </c>
      <c r="ED333" s="72">
        <v>0</v>
      </c>
      <c r="EE333" s="72">
        <v>0</v>
      </c>
      <c r="EF333" s="72">
        <v>0</v>
      </c>
      <c r="EG333" s="72">
        <v>0</v>
      </c>
      <c r="EH333" s="72">
        <v>0</v>
      </c>
      <c r="EI333" s="72">
        <v>0</v>
      </c>
      <c r="EJ333" s="72">
        <v>0</v>
      </c>
      <c r="EK333" s="72">
        <v>0</v>
      </c>
      <c r="EL333" s="72">
        <v>0</v>
      </c>
    </row>
    <row r="334" spans="1:142" x14ac:dyDescent="0.35">
      <c r="A334" s="59">
        <f>Данные!A334</f>
        <v>5791</v>
      </c>
      <c r="B334" s="59">
        <f>Данные!B334</f>
        <v>2019</v>
      </c>
      <c r="C334" s="59" t="str">
        <f>Данные!C334</f>
        <v>компьютерных технологий и электронного обучения</v>
      </c>
      <c r="D334" s="59" t="str">
        <f>Данные!D334</f>
        <v>Ильина Татьяна Сергеевна</v>
      </c>
      <c r="E334" s="59" t="str">
        <f>Данные!E334</f>
        <v>нет</v>
      </c>
      <c r="F334" s="59" t="str">
        <f>Данные!F334</f>
        <v>старший преподаватель</v>
      </c>
      <c r="G334" s="59">
        <f>Данные!G334</f>
        <v>1</v>
      </c>
      <c r="H334" s="59" t="str">
        <f>Данные!H334</f>
        <v>3 курс 2017 год/пост</v>
      </c>
      <c r="I334" s="59" t="str">
        <f>Данные!I334</f>
        <v>Модуль "Информационные технологии"</v>
      </c>
      <c r="J334" s="59">
        <f>Данные!J334</f>
        <v>0</v>
      </c>
      <c r="K334" s="59">
        <f>Данные!K334</f>
        <v>0</v>
      </c>
      <c r="L334" s="59">
        <f>Данные!L334</f>
        <v>0</v>
      </c>
      <c r="M334" s="60">
        <f t="shared" si="45"/>
        <v>0</v>
      </c>
      <c r="N334" s="60">
        <f t="shared" ca="1" si="46"/>
        <v>11.57</v>
      </c>
      <c r="O334" s="60">
        <f t="shared" ca="1" si="47"/>
        <v>7.25</v>
      </c>
      <c r="P334" s="60">
        <f t="shared" ca="1" si="48"/>
        <v>7.25</v>
      </c>
      <c r="Q334" s="54">
        <f>Данные!Q334</f>
        <v>0</v>
      </c>
      <c r="R334" s="54">
        <f>Данные!R334</f>
        <v>0</v>
      </c>
      <c r="S334" s="54">
        <f>Данные!S334</f>
        <v>0</v>
      </c>
      <c r="T334" s="54">
        <f>Данные!T334</f>
        <v>0</v>
      </c>
      <c r="U334" s="54">
        <f>Данные!U334</f>
        <v>0</v>
      </c>
      <c r="V334" s="54">
        <f>Данные!V334</f>
        <v>0</v>
      </c>
      <c r="W334" s="54">
        <f ca="1">Данные!W334</f>
        <v>29</v>
      </c>
      <c r="X334" s="54" t="str">
        <f ca="1">Данные!X334</f>
        <v>1</v>
      </c>
      <c r="Y334" s="54" t="str">
        <f ca="1">Данные!Y334</f>
        <v>2</v>
      </c>
      <c r="Z334" s="54">
        <f>Данные!Z334</f>
        <v>0</v>
      </c>
      <c r="AA334" s="54">
        <f>Данные!AA334</f>
        <v>0</v>
      </c>
      <c r="AB334" s="101">
        <f t="shared" si="49"/>
        <v>850</v>
      </c>
      <c r="AC334" s="101" t="str">
        <f t="shared" si="50"/>
        <v>ИВТ (бак)</v>
      </c>
      <c r="AD334" s="101" t="str">
        <f t="shared" si="51"/>
        <v/>
      </c>
      <c r="AE334" s="102">
        <f t="shared" ca="1" si="52"/>
        <v>26.07</v>
      </c>
      <c r="AF334" s="103">
        <f t="shared" ca="1" si="53"/>
        <v>3.067058823529412E-2</v>
      </c>
      <c r="AG334" s="101"/>
      <c r="AH334" s="101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Q334" s="72">
        <v>0</v>
      </c>
      <c r="BR334" s="72">
        <v>0</v>
      </c>
      <c r="BS334" s="72">
        <v>0</v>
      </c>
      <c r="BT334" s="72">
        <v>0</v>
      </c>
      <c r="BU334" s="72">
        <v>0</v>
      </c>
      <c r="BV334" s="72">
        <v>0</v>
      </c>
      <c r="BW334" s="72">
        <v>0</v>
      </c>
      <c r="BX334" s="72">
        <v>0</v>
      </c>
      <c r="BY334" s="72">
        <v>0</v>
      </c>
      <c r="BZ334" s="72">
        <v>0</v>
      </c>
      <c r="CA334" s="72">
        <v>0</v>
      </c>
      <c r="CB334" s="72">
        <v>0</v>
      </c>
      <c r="CC334" s="72">
        <v>0</v>
      </c>
      <c r="CD334" s="72">
        <v>0</v>
      </c>
      <c r="CE334" s="72">
        <v>0</v>
      </c>
      <c r="CF334" s="72">
        <v>0</v>
      </c>
      <c r="CG334" s="72">
        <v>0</v>
      </c>
      <c r="CH334" s="72">
        <v>0</v>
      </c>
      <c r="CI334" s="72">
        <v>0</v>
      </c>
      <c r="CJ334" s="72">
        <v>0</v>
      </c>
      <c r="CK334" s="72">
        <v>0</v>
      </c>
      <c r="CL334" s="72">
        <v>0</v>
      </c>
      <c r="CM334" s="72">
        <v>0</v>
      </c>
      <c r="CN334" s="72">
        <v>0</v>
      </c>
      <c r="CO334" s="72">
        <v>0</v>
      </c>
      <c r="CP334" s="72">
        <v>0</v>
      </c>
      <c r="CQ334" s="72">
        <v>0</v>
      </c>
      <c r="CR334" s="72">
        <v>0</v>
      </c>
      <c r="CS334" s="72">
        <v>0</v>
      </c>
      <c r="CT334" s="72">
        <v>0</v>
      </c>
      <c r="CU334" s="72">
        <v>0</v>
      </c>
      <c r="CV334" s="72">
        <v>0</v>
      </c>
      <c r="CW334" s="72">
        <v>0</v>
      </c>
      <c r="CX334" s="72">
        <v>0</v>
      </c>
      <c r="CY334" s="72">
        <v>0</v>
      </c>
      <c r="CZ334" s="72">
        <v>0</v>
      </c>
      <c r="DA334" s="72">
        <v>0</v>
      </c>
      <c r="DB334" s="72">
        <v>0</v>
      </c>
      <c r="DC334" s="72">
        <v>0</v>
      </c>
      <c r="DD334" s="72">
        <v>0</v>
      </c>
      <c r="DE334" s="72">
        <v>0</v>
      </c>
      <c r="DF334" s="72">
        <v>0</v>
      </c>
      <c r="DG334" s="72">
        <v>0</v>
      </c>
      <c r="DH334" s="72">
        <v>0</v>
      </c>
      <c r="DI334" s="72">
        <v>0</v>
      </c>
      <c r="DJ334" s="72">
        <v>0</v>
      </c>
      <c r="DK334" s="72">
        <v>0</v>
      </c>
      <c r="DL334" s="72">
        <v>0</v>
      </c>
      <c r="DM334" s="72">
        <v>0</v>
      </c>
      <c r="DN334" s="72">
        <v>0</v>
      </c>
      <c r="DO334" s="72">
        <v>0</v>
      </c>
      <c r="DP334" s="72">
        <v>0</v>
      </c>
      <c r="DQ334" s="72">
        <v>0</v>
      </c>
      <c r="DR334" s="72">
        <v>0</v>
      </c>
      <c r="DS334" s="72">
        <v>0</v>
      </c>
      <c r="DT334" s="72">
        <v>0</v>
      </c>
      <c r="DU334" s="72">
        <v>0</v>
      </c>
      <c r="DV334" s="72">
        <v>0</v>
      </c>
      <c r="DW334" s="72">
        <v>0</v>
      </c>
      <c r="DX334" s="72">
        <v>0</v>
      </c>
      <c r="DY334" s="72">
        <v>0</v>
      </c>
      <c r="DZ334" s="72">
        <v>0</v>
      </c>
      <c r="EA334" s="72">
        <v>0</v>
      </c>
      <c r="EB334" s="72">
        <v>0</v>
      </c>
      <c r="EC334" s="72">
        <v>0</v>
      </c>
      <c r="ED334" s="72">
        <v>0</v>
      </c>
      <c r="EE334" s="72">
        <v>0</v>
      </c>
      <c r="EF334" s="72">
        <v>0</v>
      </c>
      <c r="EG334" s="72">
        <v>0</v>
      </c>
      <c r="EH334" s="72">
        <v>0</v>
      </c>
      <c r="EI334" s="72">
        <v>0</v>
      </c>
      <c r="EJ334" s="72">
        <v>0</v>
      </c>
      <c r="EK334" s="72">
        <v>0</v>
      </c>
      <c r="EL334" s="72">
        <v>0</v>
      </c>
    </row>
    <row r="335" spans="1:142" x14ac:dyDescent="0.35">
      <c r="A335" s="59">
        <f>Данные!A335</f>
        <v>5791</v>
      </c>
      <c r="B335" s="59">
        <f>Данные!B335</f>
        <v>2019</v>
      </c>
      <c r="C335" s="59" t="str">
        <f>Данные!C335</f>
        <v>компьютерных технологий и электронного обучения</v>
      </c>
      <c r="D335" s="59" t="str">
        <f>Данные!D335</f>
        <v>Ильина Татьяна Сергеевна</v>
      </c>
      <c r="E335" s="59" t="str">
        <f>Данные!E335</f>
        <v>нет</v>
      </c>
      <c r="F335" s="59" t="str">
        <f>Данные!F335</f>
        <v>старший преподаватель</v>
      </c>
      <c r="G335" s="59">
        <f>Данные!G335</f>
        <v>1</v>
      </c>
      <c r="H335" s="59" t="str">
        <f>Данные!H335</f>
        <v>3 курс 2017 год/пост</v>
      </c>
      <c r="I335" s="59" t="str">
        <f>Данные!I335</f>
        <v>Модуль "Информационные технологии". Техника и технологии представления и публикации информации</v>
      </c>
      <c r="J335" s="59">
        <f>Данные!J335</f>
        <v>18</v>
      </c>
      <c r="K335" s="59">
        <f>Данные!K335</f>
        <v>0</v>
      </c>
      <c r="L335" s="59">
        <f>Данные!L335</f>
        <v>36</v>
      </c>
      <c r="M335" s="60">
        <f t="shared" si="45"/>
        <v>5.4</v>
      </c>
      <c r="N335" s="60">
        <f t="shared" ca="1" si="46"/>
        <v>11.57</v>
      </c>
      <c r="O335" s="60">
        <f t="shared" ca="1" si="47"/>
        <v>7.25</v>
      </c>
      <c r="P335" s="60">
        <f t="shared" ca="1" si="48"/>
        <v>7.25</v>
      </c>
      <c r="Q335" s="54">
        <f>Данные!Q335</f>
        <v>0</v>
      </c>
      <c r="R335" s="54">
        <f>Данные!R335</f>
        <v>0</v>
      </c>
      <c r="S335" s="54">
        <f>Данные!S335</f>
        <v>0</v>
      </c>
      <c r="T335" s="54">
        <f>Данные!T335</f>
        <v>0</v>
      </c>
      <c r="U335" s="54">
        <f>Данные!U335</f>
        <v>0</v>
      </c>
      <c r="V335" s="54">
        <f>Данные!V335</f>
        <v>0</v>
      </c>
      <c r="W335" s="54">
        <f ca="1">Данные!W335</f>
        <v>29</v>
      </c>
      <c r="X335" s="54" t="str">
        <f ca="1">Данные!X335</f>
        <v>1</v>
      </c>
      <c r="Y335" s="54" t="str">
        <f ca="1">Данные!Y335</f>
        <v>2</v>
      </c>
      <c r="Z335" s="54">
        <f>Данные!Z335</f>
        <v>0</v>
      </c>
      <c r="AA335" s="54">
        <f>Данные!AA335</f>
        <v>0</v>
      </c>
      <c r="AB335" s="101">
        <f t="shared" si="49"/>
        <v>850</v>
      </c>
      <c r="AC335" s="101" t="str">
        <f t="shared" si="50"/>
        <v>ИВТ (бак)</v>
      </c>
      <c r="AD335" s="101" t="str">
        <f t="shared" si="51"/>
        <v/>
      </c>
      <c r="AE335" s="102">
        <f t="shared" ca="1" si="52"/>
        <v>85.47</v>
      </c>
      <c r="AF335" s="103">
        <f t="shared" ca="1" si="53"/>
        <v>0.10055294117647058</v>
      </c>
      <c r="AG335" s="101"/>
      <c r="AH335" s="101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Q335" s="72">
        <v>0</v>
      </c>
      <c r="BR335" s="72">
        <v>0</v>
      </c>
      <c r="BS335" s="72">
        <v>0</v>
      </c>
      <c r="BT335" s="72">
        <v>0</v>
      </c>
      <c r="BU335" s="72">
        <v>0</v>
      </c>
      <c r="BV335" s="72">
        <v>0</v>
      </c>
      <c r="BW335" s="72">
        <v>0</v>
      </c>
      <c r="BX335" s="72">
        <v>0</v>
      </c>
      <c r="BY335" s="72">
        <v>0</v>
      </c>
      <c r="BZ335" s="72">
        <v>0</v>
      </c>
      <c r="CA335" s="72">
        <v>0</v>
      </c>
      <c r="CB335" s="72">
        <v>0</v>
      </c>
      <c r="CC335" s="72">
        <v>0</v>
      </c>
      <c r="CD335" s="72">
        <v>0</v>
      </c>
      <c r="CE335" s="72">
        <v>0</v>
      </c>
      <c r="CF335" s="72">
        <v>0</v>
      </c>
      <c r="CG335" s="72">
        <v>0</v>
      </c>
      <c r="CH335" s="72">
        <v>0</v>
      </c>
      <c r="CI335" s="72">
        <v>0</v>
      </c>
      <c r="CJ335" s="72">
        <v>0</v>
      </c>
      <c r="CK335" s="72">
        <v>0</v>
      </c>
      <c r="CL335" s="72">
        <v>0</v>
      </c>
      <c r="CM335" s="72">
        <v>0</v>
      </c>
      <c r="CN335" s="72">
        <v>0</v>
      </c>
      <c r="CO335" s="72">
        <v>0</v>
      </c>
      <c r="CP335" s="72">
        <v>0</v>
      </c>
      <c r="CQ335" s="72">
        <v>0</v>
      </c>
      <c r="CR335" s="72">
        <v>0</v>
      </c>
      <c r="CS335" s="72">
        <v>0</v>
      </c>
      <c r="CT335" s="72">
        <v>0</v>
      </c>
      <c r="CU335" s="72">
        <v>0</v>
      </c>
      <c r="CV335" s="72">
        <v>0</v>
      </c>
      <c r="CW335" s="72">
        <v>0</v>
      </c>
      <c r="CX335" s="72">
        <v>0</v>
      </c>
      <c r="CY335" s="72">
        <v>0</v>
      </c>
      <c r="CZ335" s="72">
        <v>0</v>
      </c>
      <c r="DA335" s="72">
        <v>0</v>
      </c>
      <c r="DB335" s="72">
        <v>0</v>
      </c>
      <c r="DC335" s="72">
        <v>0</v>
      </c>
      <c r="DD335" s="72">
        <v>0</v>
      </c>
      <c r="DE335" s="72">
        <v>0</v>
      </c>
      <c r="DF335" s="72">
        <v>0</v>
      </c>
      <c r="DG335" s="72">
        <v>0</v>
      </c>
      <c r="DH335" s="72">
        <v>0</v>
      </c>
      <c r="DI335" s="72">
        <v>0</v>
      </c>
      <c r="DJ335" s="72">
        <v>0</v>
      </c>
      <c r="DK335" s="72">
        <v>0</v>
      </c>
      <c r="DL335" s="72">
        <v>0</v>
      </c>
      <c r="DM335" s="72">
        <v>0</v>
      </c>
      <c r="DN335" s="72">
        <v>0</v>
      </c>
      <c r="DO335" s="72">
        <v>0</v>
      </c>
      <c r="DP335" s="72">
        <v>0</v>
      </c>
      <c r="DQ335" s="72">
        <v>0</v>
      </c>
      <c r="DR335" s="72">
        <v>0</v>
      </c>
      <c r="DS335" s="72">
        <v>0</v>
      </c>
      <c r="DT335" s="72">
        <v>0</v>
      </c>
      <c r="DU335" s="72">
        <v>0</v>
      </c>
      <c r="DV335" s="72">
        <v>0</v>
      </c>
      <c r="DW335" s="72">
        <v>0</v>
      </c>
      <c r="DX335" s="72">
        <v>0</v>
      </c>
      <c r="DY335" s="72">
        <v>0</v>
      </c>
      <c r="DZ335" s="72">
        <v>0</v>
      </c>
      <c r="EA335" s="72">
        <v>0</v>
      </c>
      <c r="EB335" s="72">
        <v>0</v>
      </c>
      <c r="EC335" s="72">
        <v>0</v>
      </c>
      <c r="ED335" s="72">
        <v>0</v>
      </c>
      <c r="EE335" s="72">
        <v>0</v>
      </c>
      <c r="EF335" s="72">
        <v>0</v>
      </c>
      <c r="EG335" s="72">
        <v>0</v>
      </c>
      <c r="EH335" s="72">
        <v>0</v>
      </c>
      <c r="EI335" s="72">
        <v>0</v>
      </c>
      <c r="EJ335" s="72">
        <v>0</v>
      </c>
      <c r="EK335" s="72">
        <v>0</v>
      </c>
      <c r="EL335" s="72">
        <v>0</v>
      </c>
    </row>
    <row r="336" spans="1:142" x14ac:dyDescent="0.35">
      <c r="A336" s="59">
        <f>Данные!A336</f>
        <v>5791</v>
      </c>
      <c r="B336" s="59">
        <f>Данные!B336</f>
        <v>2019</v>
      </c>
      <c r="C336" s="59" t="str">
        <f>Данные!C336</f>
        <v>компьютерных технологий и электронного обучения</v>
      </c>
      <c r="D336" s="59" t="str">
        <f>Данные!D336</f>
        <v>Карпова Наталья Александровна</v>
      </c>
      <c r="E336" s="59" t="str">
        <f>Данные!E336</f>
        <v>кандидат технических наук</v>
      </c>
      <c r="F336" s="59" t="str">
        <f>Данные!F336</f>
        <v>доцент</v>
      </c>
      <c r="G336" s="59">
        <f>Данные!G336</f>
        <v>0.75</v>
      </c>
      <c r="H336" s="59" t="str">
        <f>Данные!H336</f>
        <v>3 курс 2017 год/пост</v>
      </c>
      <c r="I336" s="59" t="str">
        <f>Данные!I336</f>
        <v>Модуль "Информационные технологии". Интегрированные издательские системы и технологии</v>
      </c>
      <c r="J336" s="59">
        <f>Данные!J336</f>
        <v>16</v>
      </c>
      <c r="K336" s="59">
        <f>Данные!K336</f>
        <v>0</v>
      </c>
      <c r="L336" s="59">
        <f>Данные!L336</f>
        <v>40</v>
      </c>
      <c r="M336" s="60">
        <f t="shared" si="45"/>
        <v>5.6</v>
      </c>
      <c r="N336" s="60">
        <f t="shared" ca="1" si="46"/>
        <v>11.57</v>
      </c>
      <c r="O336" s="60">
        <f t="shared" ca="1" si="47"/>
        <v>7.25</v>
      </c>
      <c r="P336" s="60">
        <f t="shared" ca="1" si="48"/>
        <v>7.25</v>
      </c>
      <c r="Q336" s="54">
        <f>Данные!Q336</f>
        <v>0</v>
      </c>
      <c r="R336" s="54">
        <f>Данные!R336</f>
        <v>0</v>
      </c>
      <c r="S336" s="54">
        <f>Данные!S336</f>
        <v>0</v>
      </c>
      <c r="T336" s="54">
        <f>Данные!T336</f>
        <v>0</v>
      </c>
      <c r="U336" s="54">
        <f>Данные!U336</f>
        <v>0</v>
      </c>
      <c r="V336" s="54">
        <f>Данные!V336</f>
        <v>0</v>
      </c>
      <c r="W336" s="54">
        <f ca="1">Данные!W336</f>
        <v>29</v>
      </c>
      <c r="X336" s="54" t="str">
        <f ca="1">Данные!X336</f>
        <v>1</v>
      </c>
      <c r="Y336" s="54" t="str">
        <f ca="1">Данные!Y336</f>
        <v>2</v>
      </c>
      <c r="Z336" s="54">
        <f>Данные!Z336</f>
        <v>0</v>
      </c>
      <c r="AA336" s="54">
        <f>Данные!AA336</f>
        <v>0</v>
      </c>
      <c r="AB336" s="101">
        <f t="shared" si="49"/>
        <v>800</v>
      </c>
      <c r="AC336" s="101" t="str">
        <f t="shared" si="50"/>
        <v>ИВТ (бак)</v>
      </c>
      <c r="AD336" s="101" t="str">
        <f t="shared" si="51"/>
        <v/>
      </c>
      <c r="AE336" s="102">
        <f t="shared" ca="1" si="52"/>
        <v>87.67</v>
      </c>
      <c r="AF336" s="103">
        <f t="shared" ca="1" si="53"/>
        <v>0.1095875</v>
      </c>
      <c r="AG336" s="101"/>
      <c r="AH336" s="101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Q336" s="72">
        <v>0</v>
      </c>
      <c r="BR336" s="72">
        <v>0</v>
      </c>
      <c r="BS336" s="72">
        <v>0</v>
      </c>
      <c r="BT336" s="72">
        <v>0</v>
      </c>
      <c r="BU336" s="72">
        <v>0</v>
      </c>
      <c r="BV336" s="72">
        <v>0</v>
      </c>
      <c r="BW336" s="72">
        <v>0</v>
      </c>
      <c r="BX336" s="72">
        <v>0</v>
      </c>
      <c r="BY336" s="72">
        <v>0</v>
      </c>
      <c r="BZ336" s="72">
        <v>0</v>
      </c>
      <c r="CA336" s="72">
        <v>0</v>
      </c>
      <c r="CB336" s="72">
        <v>0</v>
      </c>
      <c r="CC336" s="72">
        <v>0</v>
      </c>
      <c r="CD336" s="72">
        <v>0</v>
      </c>
      <c r="CE336" s="72">
        <v>0</v>
      </c>
      <c r="CF336" s="72">
        <v>0</v>
      </c>
      <c r="CG336" s="72">
        <v>0</v>
      </c>
      <c r="CH336" s="72">
        <v>0</v>
      </c>
      <c r="CI336" s="72">
        <v>0</v>
      </c>
      <c r="CJ336" s="72">
        <v>0</v>
      </c>
      <c r="CK336" s="72">
        <v>0</v>
      </c>
      <c r="CL336" s="72">
        <v>0</v>
      </c>
      <c r="CM336" s="72">
        <v>0</v>
      </c>
      <c r="CN336" s="72">
        <v>0</v>
      </c>
      <c r="CO336" s="72">
        <v>0</v>
      </c>
      <c r="CP336" s="72">
        <v>0</v>
      </c>
      <c r="CQ336" s="72">
        <v>0</v>
      </c>
      <c r="CR336" s="72">
        <v>0</v>
      </c>
      <c r="CS336" s="72">
        <v>0</v>
      </c>
      <c r="CT336" s="72">
        <v>0</v>
      </c>
      <c r="CU336" s="72">
        <v>0</v>
      </c>
      <c r="CV336" s="72">
        <v>0</v>
      </c>
      <c r="CW336" s="72">
        <v>0</v>
      </c>
      <c r="CX336" s="72">
        <v>0</v>
      </c>
      <c r="CY336" s="72">
        <v>0</v>
      </c>
      <c r="CZ336" s="72">
        <v>0</v>
      </c>
      <c r="DA336" s="72">
        <v>0</v>
      </c>
      <c r="DB336" s="72">
        <v>0</v>
      </c>
      <c r="DC336" s="72">
        <v>0</v>
      </c>
      <c r="DD336" s="72">
        <v>0</v>
      </c>
      <c r="DE336" s="72">
        <v>0</v>
      </c>
      <c r="DF336" s="72">
        <v>0</v>
      </c>
      <c r="DG336" s="72">
        <v>0</v>
      </c>
      <c r="DH336" s="72">
        <v>0</v>
      </c>
      <c r="DI336" s="72">
        <v>0</v>
      </c>
      <c r="DJ336" s="72">
        <v>0</v>
      </c>
      <c r="DK336" s="72">
        <v>0</v>
      </c>
      <c r="DL336" s="72">
        <v>0</v>
      </c>
      <c r="DM336" s="72">
        <v>0</v>
      </c>
      <c r="DN336" s="72">
        <v>0</v>
      </c>
      <c r="DO336" s="72">
        <v>0</v>
      </c>
      <c r="DP336" s="72">
        <v>0</v>
      </c>
      <c r="DQ336" s="72">
        <v>0</v>
      </c>
      <c r="DR336" s="72">
        <v>0</v>
      </c>
      <c r="DS336" s="72">
        <v>0</v>
      </c>
      <c r="DT336" s="72">
        <v>0</v>
      </c>
      <c r="DU336" s="72">
        <v>0</v>
      </c>
      <c r="DV336" s="72">
        <v>0</v>
      </c>
      <c r="DW336" s="72">
        <v>0</v>
      </c>
      <c r="DX336" s="72">
        <v>0</v>
      </c>
      <c r="DY336" s="72">
        <v>0</v>
      </c>
      <c r="DZ336" s="72">
        <v>0</v>
      </c>
      <c r="EA336" s="72">
        <v>0</v>
      </c>
      <c r="EB336" s="72">
        <v>0</v>
      </c>
      <c r="EC336" s="72">
        <v>0</v>
      </c>
      <c r="ED336" s="72">
        <v>0</v>
      </c>
      <c r="EE336" s="72">
        <v>0</v>
      </c>
      <c r="EF336" s="72">
        <v>0</v>
      </c>
      <c r="EG336" s="72">
        <v>0</v>
      </c>
      <c r="EH336" s="72">
        <v>0</v>
      </c>
      <c r="EI336" s="72">
        <v>0</v>
      </c>
      <c r="EJ336" s="72">
        <v>0</v>
      </c>
      <c r="EK336" s="72">
        <v>0</v>
      </c>
      <c r="EL336" s="72">
        <v>0</v>
      </c>
    </row>
    <row r="337" spans="1:142" x14ac:dyDescent="0.35">
      <c r="A337" s="59">
        <f>Данные!A337</f>
        <v>5791</v>
      </c>
      <c r="B337" s="59">
        <f>Данные!B337</f>
        <v>2020</v>
      </c>
      <c r="C337" s="59" t="str">
        <f>Данные!C337</f>
        <v>компьютерных технологий и электронного обучения</v>
      </c>
      <c r="D337" s="59" t="str">
        <f>Данные!D337</f>
        <v>Авксентьева Елена Юрьевна</v>
      </c>
      <c r="E337" s="59" t="str">
        <f>Данные!E337</f>
        <v>кандидат педагогических наук</v>
      </c>
      <c r="F337" s="59" t="str">
        <f>Данные!F337</f>
        <v>доцент</v>
      </c>
      <c r="G337" s="59">
        <f>Данные!G337</f>
        <v>1</v>
      </c>
      <c r="H337" s="59" t="str">
        <f>Данные!H337</f>
        <v>4 курс 2017 год/пост</v>
      </c>
      <c r="I337" s="59" t="str">
        <f>Данные!I337</f>
        <v>Модуль "Системное и прикладное программное обеспечние". Программирование</v>
      </c>
      <c r="J337" s="59">
        <f>Данные!J337</f>
        <v>18</v>
      </c>
      <c r="K337" s="59">
        <f>Данные!K337</f>
        <v>0</v>
      </c>
      <c r="L337" s="59">
        <f>Данные!L337</f>
        <v>0</v>
      </c>
      <c r="M337" s="60">
        <f t="shared" si="45"/>
        <v>1.8</v>
      </c>
      <c r="N337" s="60">
        <f t="shared" ca="1" si="46"/>
        <v>10.91</v>
      </c>
      <c r="O337" s="60">
        <f t="shared" ca="1" si="47"/>
        <v>6.75</v>
      </c>
      <c r="P337" s="60">
        <f t="shared" ca="1" si="48"/>
        <v>6.75</v>
      </c>
      <c r="Q337" s="54">
        <f>Данные!Q337</f>
        <v>0</v>
      </c>
      <c r="R337" s="54">
        <f>Данные!R337</f>
        <v>0</v>
      </c>
      <c r="S337" s="54">
        <f>Данные!S337</f>
        <v>0</v>
      </c>
      <c r="T337" s="54">
        <f>Данные!T337</f>
        <v>0</v>
      </c>
      <c r="U337" s="54">
        <f>Данные!U337</f>
        <v>0</v>
      </c>
      <c r="V337" s="54">
        <f>Данные!V337</f>
        <v>0</v>
      </c>
      <c r="W337" s="54">
        <f ca="1">Данные!W337</f>
        <v>27</v>
      </c>
      <c r="X337" s="54" t="str">
        <f ca="1">Данные!X337</f>
        <v>1</v>
      </c>
      <c r="Y337" s="54" t="str">
        <f ca="1">Данные!Y337</f>
        <v>2</v>
      </c>
      <c r="Z337" s="54">
        <f>Данные!Z337</f>
        <v>0</v>
      </c>
      <c r="AA337" s="54">
        <f>Данные!AA337</f>
        <v>0</v>
      </c>
      <c r="AB337" s="101">
        <f t="shared" si="49"/>
        <v>800</v>
      </c>
      <c r="AC337" s="101" t="str">
        <f t="shared" si="50"/>
        <v>ИВТ (бак)</v>
      </c>
      <c r="AD337" s="101" t="str">
        <f t="shared" si="51"/>
        <v/>
      </c>
      <c r="AE337" s="102">
        <f t="shared" ca="1" si="52"/>
        <v>44.21</v>
      </c>
      <c r="AF337" s="103">
        <f t="shared" ca="1" si="53"/>
        <v>5.5262499999999999E-2</v>
      </c>
      <c r="AG337" s="101"/>
      <c r="AH337" s="101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Q337" s="72">
        <v>0</v>
      </c>
      <c r="BR337" s="72">
        <v>0</v>
      </c>
      <c r="BS337" s="72">
        <v>0</v>
      </c>
      <c r="BT337" s="72">
        <v>0</v>
      </c>
      <c r="BU337" s="72">
        <v>0</v>
      </c>
      <c r="BV337" s="72">
        <v>0</v>
      </c>
      <c r="BW337" s="72">
        <v>0</v>
      </c>
      <c r="BX337" s="72">
        <v>0</v>
      </c>
      <c r="BY337" s="72">
        <v>0</v>
      </c>
      <c r="BZ337" s="72">
        <v>0</v>
      </c>
      <c r="CA337" s="72">
        <v>0</v>
      </c>
      <c r="CB337" s="72">
        <v>0</v>
      </c>
      <c r="CC337" s="72">
        <v>0</v>
      </c>
      <c r="CD337" s="72">
        <v>0</v>
      </c>
      <c r="CE337" s="72">
        <v>0</v>
      </c>
      <c r="CF337" s="72">
        <v>0</v>
      </c>
      <c r="CG337" s="72">
        <v>0</v>
      </c>
      <c r="CH337" s="72">
        <v>0</v>
      </c>
      <c r="CI337" s="72">
        <v>0</v>
      </c>
      <c r="CJ337" s="72">
        <v>0</v>
      </c>
      <c r="CK337" s="72">
        <v>0</v>
      </c>
      <c r="CL337" s="72">
        <v>0</v>
      </c>
      <c r="CM337" s="72">
        <v>0</v>
      </c>
      <c r="CN337" s="72">
        <v>0</v>
      </c>
      <c r="CO337" s="72">
        <v>0</v>
      </c>
      <c r="CP337" s="72">
        <v>0</v>
      </c>
      <c r="CQ337" s="72">
        <v>0</v>
      </c>
      <c r="CR337" s="72">
        <v>0</v>
      </c>
      <c r="CS337" s="72">
        <v>0</v>
      </c>
      <c r="CT337" s="72">
        <v>0</v>
      </c>
      <c r="CU337" s="72">
        <v>0</v>
      </c>
      <c r="CV337" s="72">
        <v>0</v>
      </c>
      <c r="CW337" s="72">
        <v>0</v>
      </c>
      <c r="CX337" s="72">
        <v>0</v>
      </c>
      <c r="CY337" s="72">
        <v>0</v>
      </c>
      <c r="CZ337" s="72">
        <v>0</v>
      </c>
      <c r="DA337" s="72">
        <v>0</v>
      </c>
      <c r="DB337" s="72">
        <v>0</v>
      </c>
      <c r="DC337" s="72">
        <v>0</v>
      </c>
      <c r="DD337" s="72">
        <v>0</v>
      </c>
      <c r="DE337" s="72">
        <v>0</v>
      </c>
      <c r="DF337" s="72">
        <v>0</v>
      </c>
      <c r="DG337" s="72">
        <v>0</v>
      </c>
      <c r="DH337" s="72">
        <v>0</v>
      </c>
      <c r="DI337" s="72">
        <v>0</v>
      </c>
      <c r="DJ337" s="72">
        <v>0</v>
      </c>
      <c r="DK337" s="72">
        <v>0</v>
      </c>
      <c r="DL337" s="72">
        <v>0</v>
      </c>
      <c r="DM337" s="72">
        <v>0</v>
      </c>
      <c r="DN337" s="72">
        <v>0</v>
      </c>
      <c r="DO337" s="72">
        <v>0</v>
      </c>
      <c r="DP337" s="72">
        <v>0</v>
      </c>
      <c r="DQ337" s="72">
        <v>0</v>
      </c>
      <c r="DR337" s="72">
        <v>0</v>
      </c>
      <c r="DS337" s="72">
        <v>0</v>
      </c>
      <c r="DT337" s="72">
        <v>0</v>
      </c>
      <c r="DU337" s="72">
        <v>0</v>
      </c>
      <c r="DV337" s="72">
        <v>0</v>
      </c>
      <c r="DW337" s="72">
        <v>0</v>
      </c>
      <c r="DX337" s="72">
        <v>0</v>
      </c>
      <c r="DY337" s="72">
        <v>0</v>
      </c>
      <c r="DZ337" s="72">
        <v>0</v>
      </c>
      <c r="EA337" s="72">
        <v>0</v>
      </c>
      <c r="EB337" s="72">
        <v>0</v>
      </c>
      <c r="EC337" s="72">
        <v>0</v>
      </c>
      <c r="ED337" s="72">
        <v>0</v>
      </c>
      <c r="EE337" s="72">
        <v>0</v>
      </c>
      <c r="EF337" s="72">
        <v>0</v>
      </c>
      <c r="EG337" s="72">
        <v>0</v>
      </c>
      <c r="EH337" s="72">
        <v>0</v>
      </c>
      <c r="EI337" s="72">
        <v>0</v>
      </c>
      <c r="EJ337" s="72">
        <v>0</v>
      </c>
      <c r="EK337" s="72">
        <v>0</v>
      </c>
      <c r="EL337" s="72">
        <v>0</v>
      </c>
    </row>
    <row r="338" spans="1:142" x14ac:dyDescent="0.35">
      <c r="A338" s="59">
        <f>Данные!A338</f>
        <v>5791</v>
      </c>
      <c r="B338" s="59">
        <f>Данные!B338</f>
        <v>2020</v>
      </c>
      <c r="C338" s="59" t="str">
        <f>Данные!C338</f>
        <v>компьютерных технологий и электронного обучения</v>
      </c>
      <c r="D338" s="59" t="str">
        <f>Данные!D338</f>
        <v>Жуков Николай Николаевич</v>
      </c>
      <c r="E338" s="59" t="str">
        <f>Данные!E338</f>
        <v>нет</v>
      </c>
      <c r="F338" s="59" t="str">
        <f>Данные!F338</f>
        <v>ассистент</v>
      </c>
      <c r="G338" s="59">
        <f>Данные!G338</f>
        <v>1</v>
      </c>
      <c r="H338" s="59" t="str">
        <f>Данные!H338</f>
        <v>4 курс 2017 год/пост</v>
      </c>
      <c r="I338" s="59" t="str">
        <f>Данные!I338</f>
        <v>Модуль "Системное и прикладное программное обеспечние". Программирование</v>
      </c>
      <c r="J338" s="59">
        <f>Данные!J338</f>
        <v>0</v>
      </c>
      <c r="K338" s="59">
        <f>Данные!K338</f>
        <v>0</v>
      </c>
      <c r="L338" s="59">
        <f>Данные!L338</f>
        <v>72</v>
      </c>
      <c r="M338" s="60">
        <f t="shared" si="45"/>
        <v>7.2</v>
      </c>
      <c r="N338" s="60">
        <f t="shared" ca="1" si="46"/>
        <v>10.91</v>
      </c>
      <c r="O338" s="60">
        <f t="shared" ca="1" si="47"/>
        <v>6.75</v>
      </c>
      <c r="P338" s="60">
        <f t="shared" ca="1" si="48"/>
        <v>6.75</v>
      </c>
      <c r="Q338" s="54">
        <f>Данные!Q338</f>
        <v>0</v>
      </c>
      <c r="R338" s="54">
        <f>Данные!R338</f>
        <v>0</v>
      </c>
      <c r="S338" s="54">
        <f>Данные!S338</f>
        <v>0</v>
      </c>
      <c r="T338" s="54">
        <f>Данные!T338</f>
        <v>0</v>
      </c>
      <c r="U338" s="54">
        <f>Данные!U338</f>
        <v>0</v>
      </c>
      <c r="V338" s="54">
        <f>Данные!V338</f>
        <v>0</v>
      </c>
      <c r="W338" s="54">
        <f ca="1">Данные!W338</f>
        <v>27</v>
      </c>
      <c r="X338" s="54" t="str">
        <f ca="1">Данные!X338</f>
        <v>1</v>
      </c>
      <c r="Y338" s="54" t="str">
        <f ca="1">Данные!Y338</f>
        <v>2</v>
      </c>
      <c r="Z338" s="54">
        <f>Данные!Z338</f>
        <v>0</v>
      </c>
      <c r="AA338" s="54">
        <f>Данные!AA338</f>
        <v>0</v>
      </c>
      <c r="AB338" s="101">
        <f t="shared" si="49"/>
        <v>900</v>
      </c>
      <c r="AC338" s="101" t="str">
        <f t="shared" si="50"/>
        <v>ИВТ (бак)</v>
      </c>
      <c r="AD338" s="101" t="str">
        <f t="shared" si="51"/>
        <v/>
      </c>
      <c r="AE338" s="102">
        <f t="shared" ca="1" si="52"/>
        <v>103.61</v>
      </c>
      <c r="AF338" s="103">
        <f t="shared" ca="1" si="53"/>
        <v>0.11512222222222222</v>
      </c>
      <c r="AG338" s="101"/>
      <c r="AH338" s="101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Q338" s="72">
        <v>0</v>
      </c>
      <c r="BR338" s="72">
        <v>0</v>
      </c>
      <c r="BS338" s="72">
        <v>0</v>
      </c>
      <c r="BT338" s="72">
        <v>0</v>
      </c>
      <c r="BU338" s="72">
        <v>0</v>
      </c>
      <c r="BV338" s="72">
        <v>0</v>
      </c>
      <c r="BW338" s="72">
        <v>0</v>
      </c>
      <c r="BX338" s="72">
        <v>0</v>
      </c>
      <c r="BY338" s="72">
        <v>0</v>
      </c>
      <c r="BZ338" s="72">
        <v>0</v>
      </c>
      <c r="CA338" s="72">
        <v>0</v>
      </c>
      <c r="CB338" s="72">
        <v>0</v>
      </c>
      <c r="CC338" s="72">
        <v>0</v>
      </c>
      <c r="CD338" s="72">
        <v>0</v>
      </c>
      <c r="CE338" s="72">
        <v>0</v>
      </c>
      <c r="CF338" s="72">
        <v>0</v>
      </c>
      <c r="CG338" s="72">
        <v>0</v>
      </c>
      <c r="CH338" s="72">
        <v>0</v>
      </c>
      <c r="CI338" s="72">
        <v>0</v>
      </c>
      <c r="CJ338" s="72">
        <v>0</v>
      </c>
      <c r="CK338" s="72">
        <v>0</v>
      </c>
      <c r="CL338" s="72">
        <v>0</v>
      </c>
      <c r="CM338" s="72">
        <v>0</v>
      </c>
      <c r="CN338" s="72">
        <v>0</v>
      </c>
      <c r="CO338" s="72">
        <v>0</v>
      </c>
      <c r="CP338" s="72">
        <v>0</v>
      </c>
      <c r="CQ338" s="72">
        <v>0</v>
      </c>
      <c r="CR338" s="72">
        <v>0</v>
      </c>
      <c r="CS338" s="72">
        <v>0</v>
      </c>
      <c r="CT338" s="72">
        <v>0</v>
      </c>
      <c r="CU338" s="72">
        <v>0</v>
      </c>
      <c r="CV338" s="72">
        <v>0</v>
      </c>
      <c r="CW338" s="72">
        <v>0</v>
      </c>
      <c r="CX338" s="72">
        <v>0</v>
      </c>
      <c r="CY338" s="72">
        <v>0</v>
      </c>
      <c r="CZ338" s="72">
        <v>0</v>
      </c>
      <c r="DA338" s="72">
        <v>0</v>
      </c>
      <c r="DB338" s="72">
        <v>0</v>
      </c>
      <c r="DC338" s="72">
        <v>0</v>
      </c>
      <c r="DD338" s="72">
        <v>0</v>
      </c>
      <c r="DE338" s="72">
        <v>0</v>
      </c>
      <c r="DF338" s="72">
        <v>0</v>
      </c>
      <c r="DG338" s="72">
        <v>0</v>
      </c>
      <c r="DH338" s="72">
        <v>0</v>
      </c>
      <c r="DI338" s="72">
        <v>0</v>
      </c>
      <c r="DJ338" s="72">
        <v>0</v>
      </c>
      <c r="DK338" s="72">
        <v>0</v>
      </c>
      <c r="DL338" s="72">
        <v>0</v>
      </c>
      <c r="DM338" s="72">
        <v>0</v>
      </c>
      <c r="DN338" s="72">
        <v>0</v>
      </c>
      <c r="DO338" s="72">
        <v>0</v>
      </c>
      <c r="DP338" s="72">
        <v>0</v>
      </c>
      <c r="DQ338" s="72">
        <v>0</v>
      </c>
      <c r="DR338" s="72">
        <v>0</v>
      </c>
      <c r="DS338" s="72">
        <v>0</v>
      </c>
      <c r="DT338" s="72">
        <v>0</v>
      </c>
      <c r="DU338" s="72">
        <v>0</v>
      </c>
      <c r="DV338" s="72">
        <v>0</v>
      </c>
      <c r="DW338" s="72">
        <v>0</v>
      </c>
      <c r="DX338" s="72">
        <v>0</v>
      </c>
      <c r="DY338" s="72">
        <v>0</v>
      </c>
      <c r="DZ338" s="72">
        <v>0</v>
      </c>
      <c r="EA338" s="72">
        <v>0</v>
      </c>
      <c r="EB338" s="72">
        <v>0</v>
      </c>
      <c r="EC338" s="72">
        <v>0</v>
      </c>
      <c r="ED338" s="72">
        <v>0</v>
      </c>
      <c r="EE338" s="72">
        <v>0</v>
      </c>
      <c r="EF338" s="72">
        <v>0</v>
      </c>
      <c r="EG338" s="72">
        <v>0</v>
      </c>
      <c r="EH338" s="72">
        <v>0</v>
      </c>
      <c r="EI338" s="72">
        <v>0</v>
      </c>
      <c r="EJ338" s="72">
        <v>0</v>
      </c>
      <c r="EK338" s="72">
        <v>0</v>
      </c>
      <c r="EL338" s="72">
        <v>0</v>
      </c>
    </row>
    <row r="339" spans="1:142" x14ac:dyDescent="0.35">
      <c r="A339" s="59">
        <f>Данные!A339</f>
        <v>5791</v>
      </c>
      <c r="B339" s="59">
        <f>Данные!B339</f>
        <v>2020</v>
      </c>
      <c r="C339" s="59" t="str">
        <f>Данные!C339</f>
        <v>компьютерных технологий и электронного обучения</v>
      </c>
      <c r="D339" s="59" t="str">
        <f>Данные!D339</f>
        <v>Атаян Ануш Михайловна</v>
      </c>
      <c r="E339" s="59" t="str">
        <f>Данные!E339</f>
        <v>кандидат педагогических наук</v>
      </c>
      <c r="F339" s="59" t="str">
        <f>Данные!F339</f>
        <v>доцент</v>
      </c>
      <c r="G339" s="59">
        <f>Данные!G339</f>
        <v>1</v>
      </c>
      <c r="H339" s="59" t="str">
        <f>Данные!H339</f>
        <v>4 курс 2017 год/пост</v>
      </c>
      <c r="I339" s="59" t="str">
        <f>Данные!I339</f>
        <v>Модуль "Информационные технологии в управлении IT-компании". IT-рекрутмент</v>
      </c>
      <c r="J339" s="59">
        <f>Данные!J339</f>
        <v>18</v>
      </c>
      <c r="K339" s="59">
        <f>Данные!K339</f>
        <v>0</v>
      </c>
      <c r="L339" s="59">
        <f>Данные!L339</f>
        <v>36</v>
      </c>
      <c r="M339" s="60">
        <f t="shared" si="45"/>
        <v>5.4</v>
      </c>
      <c r="N339" s="60">
        <f t="shared" ca="1" si="46"/>
        <v>10.91</v>
      </c>
      <c r="O339" s="60">
        <f t="shared" ca="1" si="47"/>
        <v>6.75</v>
      </c>
      <c r="P339" s="60">
        <f t="shared" ca="1" si="48"/>
        <v>6.75</v>
      </c>
      <c r="Q339" s="54">
        <f>Данные!Q339</f>
        <v>0</v>
      </c>
      <c r="R339" s="54">
        <f>Данные!R339</f>
        <v>0</v>
      </c>
      <c r="S339" s="54">
        <f>Данные!S339</f>
        <v>0</v>
      </c>
      <c r="T339" s="54">
        <f>Данные!T339</f>
        <v>0</v>
      </c>
      <c r="U339" s="54">
        <f>Данные!U339</f>
        <v>0</v>
      </c>
      <c r="V339" s="54">
        <f>Данные!V339</f>
        <v>0</v>
      </c>
      <c r="W339" s="54">
        <f ca="1">Данные!W339</f>
        <v>27</v>
      </c>
      <c r="X339" s="54" t="str">
        <f ca="1">Данные!X339</f>
        <v>1</v>
      </c>
      <c r="Y339" s="54" t="str">
        <f ca="1">Данные!Y339</f>
        <v>2</v>
      </c>
      <c r="Z339" s="54">
        <f>Данные!Z339</f>
        <v>0</v>
      </c>
      <c r="AA339" s="54">
        <f>Данные!AA339</f>
        <v>0</v>
      </c>
      <c r="AB339" s="101">
        <f t="shared" si="49"/>
        <v>800</v>
      </c>
      <c r="AC339" s="101" t="str">
        <f t="shared" si="50"/>
        <v>ИВТ (бак)</v>
      </c>
      <c r="AD339" s="101" t="str">
        <f t="shared" si="51"/>
        <v/>
      </c>
      <c r="AE339" s="102">
        <f t="shared" ca="1" si="52"/>
        <v>83.81</v>
      </c>
      <c r="AF339" s="103">
        <f t="shared" ca="1" si="53"/>
        <v>0.10476250000000001</v>
      </c>
      <c r="AG339" s="101"/>
      <c r="AH339" s="101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Q339" s="72">
        <v>0</v>
      </c>
      <c r="BR339" s="72">
        <v>0</v>
      </c>
      <c r="BS339" s="72">
        <v>0</v>
      </c>
      <c r="BT339" s="72">
        <v>0</v>
      </c>
      <c r="BU339" s="72">
        <v>0</v>
      </c>
      <c r="BV339" s="72">
        <v>0</v>
      </c>
      <c r="BW339" s="72">
        <v>0</v>
      </c>
      <c r="BX339" s="72">
        <v>0</v>
      </c>
      <c r="BY339" s="72">
        <v>0</v>
      </c>
      <c r="BZ339" s="72">
        <v>0</v>
      </c>
      <c r="CA339" s="72">
        <v>0</v>
      </c>
      <c r="CB339" s="72">
        <v>0</v>
      </c>
      <c r="CC339" s="72">
        <v>0</v>
      </c>
      <c r="CD339" s="72">
        <v>0</v>
      </c>
      <c r="CE339" s="72">
        <v>0</v>
      </c>
      <c r="CF339" s="72">
        <v>0</v>
      </c>
      <c r="CG339" s="72">
        <v>0</v>
      </c>
      <c r="CH339" s="72">
        <v>0</v>
      </c>
      <c r="CI339" s="72">
        <v>0</v>
      </c>
      <c r="CJ339" s="72">
        <v>0</v>
      </c>
      <c r="CK339" s="72">
        <v>0</v>
      </c>
      <c r="CL339" s="72">
        <v>0</v>
      </c>
      <c r="CM339" s="72">
        <v>0</v>
      </c>
      <c r="CN339" s="72">
        <v>0</v>
      </c>
      <c r="CO339" s="72">
        <v>0</v>
      </c>
      <c r="CP339" s="72">
        <v>0</v>
      </c>
      <c r="CQ339" s="72">
        <v>0</v>
      </c>
      <c r="CR339" s="72">
        <v>0</v>
      </c>
      <c r="CS339" s="72">
        <v>0</v>
      </c>
      <c r="CT339" s="72">
        <v>0</v>
      </c>
      <c r="CU339" s="72">
        <v>0</v>
      </c>
      <c r="CV339" s="72">
        <v>0</v>
      </c>
      <c r="CW339" s="72">
        <v>0</v>
      </c>
      <c r="CX339" s="72">
        <v>0</v>
      </c>
      <c r="CY339" s="72">
        <v>0</v>
      </c>
      <c r="CZ339" s="72">
        <v>0</v>
      </c>
      <c r="DA339" s="72">
        <v>0</v>
      </c>
      <c r="DB339" s="72">
        <v>0</v>
      </c>
      <c r="DC339" s="72">
        <v>0</v>
      </c>
      <c r="DD339" s="72">
        <v>0</v>
      </c>
      <c r="DE339" s="72">
        <v>0</v>
      </c>
      <c r="DF339" s="72">
        <v>0</v>
      </c>
      <c r="DG339" s="72">
        <v>0</v>
      </c>
      <c r="DH339" s="72">
        <v>0</v>
      </c>
      <c r="DI339" s="72">
        <v>0</v>
      </c>
      <c r="DJ339" s="72">
        <v>0</v>
      </c>
      <c r="DK339" s="72">
        <v>0</v>
      </c>
      <c r="DL339" s="72">
        <v>0</v>
      </c>
      <c r="DM339" s="72">
        <v>0</v>
      </c>
      <c r="DN339" s="72">
        <v>0</v>
      </c>
      <c r="DO339" s="72">
        <v>0</v>
      </c>
      <c r="DP339" s="72">
        <v>0</v>
      </c>
      <c r="DQ339" s="72">
        <v>0</v>
      </c>
      <c r="DR339" s="72">
        <v>0</v>
      </c>
      <c r="DS339" s="72">
        <v>0</v>
      </c>
      <c r="DT339" s="72">
        <v>0</v>
      </c>
      <c r="DU339" s="72">
        <v>0</v>
      </c>
      <c r="DV339" s="72">
        <v>0</v>
      </c>
      <c r="DW339" s="72">
        <v>0</v>
      </c>
      <c r="DX339" s="72">
        <v>0</v>
      </c>
      <c r="DY339" s="72">
        <v>0</v>
      </c>
      <c r="DZ339" s="72">
        <v>0</v>
      </c>
      <c r="EA339" s="72">
        <v>0</v>
      </c>
      <c r="EB339" s="72">
        <v>0</v>
      </c>
      <c r="EC339" s="72">
        <v>0</v>
      </c>
      <c r="ED339" s="72">
        <v>0</v>
      </c>
      <c r="EE339" s="72">
        <v>0</v>
      </c>
      <c r="EF339" s="72">
        <v>0</v>
      </c>
      <c r="EG339" s="72">
        <v>0</v>
      </c>
      <c r="EH339" s="72">
        <v>0</v>
      </c>
      <c r="EI339" s="72">
        <v>0</v>
      </c>
      <c r="EJ339" s="72">
        <v>0</v>
      </c>
      <c r="EK339" s="72">
        <v>0</v>
      </c>
      <c r="EL339" s="72">
        <v>0</v>
      </c>
    </row>
    <row r="340" spans="1:142" x14ac:dyDescent="0.35">
      <c r="A340" s="59">
        <f>Данные!A340</f>
        <v>5791</v>
      </c>
      <c r="B340" s="59">
        <f>Данные!B340</f>
        <v>2020</v>
      </c>
      <c r="C340" s="59" t="str">
        <f>Данные!C340</f>
        <v>компьютерных технологий и электронного обучения</v>
      </c>
      <c r="D340" s="59" t="str">
        <f>Данные!D340</f>
        <v>Воробьев Владимир Иванович</v>
      </c>
      <c r="E340" s="59" t="str">
        <f>Данные!E340</f>
        <v>доктор технических наук</v>
      </c>
      <c r="F340" s="59" t="str">
        <f>Данные!F340</f>
        <v>внешний</v>
      </c>
      <c r="G340" s="59">
        <f>Данные!G340</f>
        <v>1</v>
      </c>
      <c r="H340" s="59" t="str">
        <f>Данные!H340</f>
        <v>4 курс 2017 год/пост</v>
      </c>
      <c r="I340" s="59" t="str">
        <f>Данные!I340</f>
        <v>Модуль "Информационные ресурсы и средства профессиональной деятельности инженера"</v>
      </c>
      <c r="J340" s="59">
        <f>Данные!J340</f>
        <v>0</v>
      </c>
      <c r="K340" s="59">
        <f>Данные!K340</f>
        <v>0</v>
      </c>
      <c r="L340" s="59">
        <f>Данные!L340</f>
        <v>0</v>
      </c>
      <c r="M340" s="60">
        <f t="shared" si="45"/>
        <v>0</v>
      </c>
      <c r="N340" s="60">
        <f t="shared" ca="1" si="46"/>
        <v>10.91</v>
      </c>
      <c r="O340" s="60">
        <f t="shared" ca="1" si="47"/>
        <v>6.75</v>
      </c>
      <c r="P340" s="60">
        <f t="shared" ca="1" si="48"/>
        <v>6.75</v>
      </c>
      <c r="Q340" s="54">
        <f>Данные!Q340</f>
        <v>0</v>
      </c>
      <c r="R340" s="54">
        <f>Данные!R340</f>
        <v>0</v>
      </c>
      <c r="S340" s="54">
        <f>Данные!S340</f>
        <v>0</v>
      </c>
      <c r="T340" s="54">
        <f>Данные!T340</f>
        <v>0</v>
      </c>
      <c r="U340" s="54">
        <f>Данные!U340</f>
        <v>0</v>
      </c>
      <c r="V340" s="54">
        <f>Данные!V340</f>
        <v>0</v>
      </c>
      <c r="W340" s="54">
        <f ca="1">Данные!W340</f>
        <v>27</v>
      </c>
      <c r="X340" s="54" t="str">
        <f ca="1">Данные!X340</f>
        <v>1</v>
      </c>
      <c r="Y340" s="54" t="str">
        <f ca="1">Данные!Y340</f>
        <v>2</v>
      </c>
      <c r="Z340" s="54">
        <f>Данные!Z340</f>
        <v>0</v>
      </c>
      <c r="AA340" s="54">
        <f>Данные!AA340</f>
        <v>0</v>
      </c>
      <c r="AB340" s="101">
        <f t="shared" si="49"/>
        <v>900</v>
      </c>
      <c r="AC340" s="101" t="str">
        <f t="shared" si="50"/>
        <v>ИВТ (бак)</v>
      </c>
      <c r="AD340" s="101" t="str">
        <f t="shared" si="51"/>
        <v/>
      </c>
      <c r="AE340" s="102">
        <f t="shared" ca="1" si="52"/>
        <v>24.41</v>
      </c>
      <c r="AF340" s="103">
        <f t="shared" ca="1" si="53"/>
        <v>2.7122222222222221E-2</v>
      </c>
      <c r="AG340" s="101"/>
      <c r="AH340" s="101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Q340" s="72">
        <v>0</v>
      </c>
      <c r="BR340" s="72">
        <v>0</v>
      </c>
      <c r="BS340" s="72">
        <v>0</v>
      </c>
      <c r="BT340" s="72">
        <v>0</v>
      </c>
      <c r="BU340" s="72">
        <v>0</v>
      </c>
      <c r="BV340" s="72">
        <v>0</v>
      </c>
      <c r="BW340" s="72">
        <v>0</v>
      </c>
      <c r="BX340" s="72">
        <v>0</v>
      </c>
      <c r="BY340" s="72">
        <v>0</v>
      </c>
      <c r="BZ340" s="72">
        <v>0</v>
      </c>
      <c r="CA340" s="72">
        <v>0</v>
      </c>
      <c r="CB340" s="72">
        <v>0</v>
      </c>
      <c r="CC340" s="72">
        <v>0</v>
      </c>
      <c r="CD340" s="72">
        <v>0</v>
      </c>
      <c r="CE340" s="72">
        <v>0</v>
      </c>
      <c r="CF340" s="72">
        <v>0</v>
      </c>
      <c r="CG340" s="72">
        <v>0</v>
      </c>
      <c r="CH340" s="72">
        <v>0</v>
      </c>
      <c r="CI340" s="72">
        <v>0</v>
      </c>
      <c r="CJ340" s="72">
        <v>0</v>
      </c>
      <c r="CK340" s="72">
        <v>0</v>
      </c>
      <c r="CL340" s="72">
        <v>0</v>
      </c>
      <c r="CM340" s="72">
        <v>0</v>
      </c>
      <c r="CN340" s="72">
        <v>0</v>
      </c>
      <c r="CO340" s="72">
        <v>0</v>
      </c>
      <c r="CP340" s="72">
        <v>0</v>
      </c>
      <c r="CQ340" s="72">
        <v>0</v>
      </c>
      <c r="CR340" s="72">
        <v>0</v>
      </c>
      <c r="CS340" s="72">
        <v>0</v>
      </c>
      <c r="CT340" s="72">
        <v>0</v>
      </c>
      <c r="CU340" s="72">
        <v>0</v>
      </c>
      <c r="CV340" s="72">
        <v>0</v>
      </c>
      <c r="CW340" s="72">
        <v>0</v>
      </c>
      <c r="CX340" s="72">
        <v>0</v>
      </c>
      <c r="CY340" s="72">
        <v>0</v>
      </c>
      <c r="CZ340" s="72">
        <v>0</v>
      </c>
      <c r="DA340" s="72">
        <v>0</v>
      </c>
      <c r="DB340" s="72">
        <v>0</v>
      </c>
      <c r="DC340" s="72">
        <v>0</v>
      </c>
      <c r="DD340" s="72">
        <v>0</v>
      </c>
      <c r="DE340" s="72">
        <v>0</v>
      </c>
      <c r="DF340" s="72">
        <v>0</v>
      </c>
      <c r="DG340" s="72">
        <v>0</v>
      </c>
      <c r="DH340" s="72">
        <v>0</v>
      </c>
      <c r="DI340" s="72">
        <v>0</v>
      </c>
      <c r="DJ340" s="72">
        <v>0</v>
      </c>
      <c r="DK340" s="72">
        <v>0</v>
      </c>
      <c r="DL340" s="72">
        <v>0</v>
      </c>
      <c r="DM340" s="72">
        <v>0</v>
      </c>
      <c r="DN340" s="72">
        <v>0</v>
      </c>
      <c r="DO340" s="72">
        <v>0</v>
      </c>
      <c r="DP340" s="72">
        <v>0</v>
      </c>
      <c r="DQ340" s="72">
        <v>0</v>
      </c>
      <c r="DR340" s="72">
        <v>0</v>
      </c>
      <c r="DS340" s="72">
        <v>0</v>
      </c>
      <c r="DT340" s="72">
        <v>0</v>
      </c>
      <c r="DU340" s="72">
        <v>0</v>
      </c>
      <c r="DV340" s="72">
        <v>0</v>
      </c>
      <c r="DW340" s="72">
        <v>0</v>
      </c>
      <c r="DX340" s="72">
        <v>0</v>
      </c>
      <c r="DY340" s="72">
        <v>0</v>
      </c>
      <c r="DZ340" s="72">
        <v>0</v>
      </c>
      <c r="EA340" s="72">
        <v>0</v>
      </c>
      <c r="EB340" s="72">
        <v>0</v>
      </c>
      <c r="EC340" s="72">
        <v>0</v>
      </c>
      <c r="ED340" s="72">
        <v>0</v>
      </c>
      <c r="EE340" s="72">
        <v>0</v>
      </c>
      <c r="EF340" s="72">
        <v>0</v>
      </c>
      <c r="EG340" s="72">
        <v>0</v>
      </c>
      <c r="EH340" s="72">
        <v>0</v>
      </c>
      <c r="EI340" s="72">
        <v>0</v>
      </c>
      <c r="EJ340" s="72">
        <v>0</v>
      </c>
      <c r="EK340" s="72">
        <v>0</v>
      </c>
      <c r="EL340" s="72">
        <v>0</v>
      </c>
    </row>
    <row r="341" spans="1:142" x14ac:dyDescent="0.35">
      <c r="A341" s="59">
        <f>Данные!A341</f>
        <v>5791</v>
      </c>
      <c r="B341" s="59">
        <f>Данные!B341</f>
        <v>2020</v>
      </c>
      <c r="C341" s="59" t="str">
        <f>Данные!C341</f>
        <v>компьютерных технологий и электронного обучения</v>
      </c>
      <c r="D341" s="59" t="str">
        <f>Данные!D341</f>
        <v>Карпова Наталья Александровна</v>
      </c>
      <c r="E341" s="59" t="str">
        <f>Данные!E341</f>
        <v>кандидат технических наук</v>
      </c>
      <c r="F341" s="59" t="str">
        <f>Данные!F341</f>
        <v>доцент</v>
      </c>
      <c r="G341" s="59">
        <f>Данные!G341</f>
        <v>0.75</v>
      </c>
      <c r="H341" s="59" t="str">
        <f>Данные!H341</f>
        <v>4 курс 2017 год/пост</v>
      </c>
      <c r="I341" s="59" t="str">
        <f>Данные!I341</f>
        <v>Модуль "Информационные ресурсы и средства профессиональной деятельности инженера"</v>
      </c>
      <c r="J341" s="59">
        <f>Данные!J341</f>
        <v>0</v>
      </c>
      <c r="K341" s="59">
        <f>Данные!K341</f>
        <v>0</v>
      </c>
      <c r="L341" s="59">
        <f>Данные!L341</f>
        <v>0</v>
      </c>
      <c r="M341" s="60">
        <f t="shared" si="45"/>
        <v>0</v>
      </c>
      <c r="N341" s="60">
        <f t="shared" ca="1" si="46"/>
        <v>10.91</v>
      </c>
      <c r="O341" s="60">
        <f t="shared" ca="1" si="47"/>
        <v>6.75</v>
      </c>
      <c r="P341" s="60">
        <f t="shared" ca="1" si="48"/>
        <v>6.75</v>
      </c>
      <c r="Q341" s="54">
        <f>Данные!Q341</f>
        <v>0</v>
      </c>
      <c r="R341" s="54">
        <f>Данные!R341</f>
        <v>0</v>
      </c>
      <c r="S341" s="54">
        <f>Данные!S341</f>
        <v>0</v>
      </c>
      <c r="T341" s="54">
        <f>Данные!T341</f>
        <v>0</v>
      </c>
      <c r="U341" s="54">
        <f>Данные!U341</f>
        <v>0</v>
      </c>
      <c r="V341" s="54">
        <f>Данные!V341</f>
        <v>0</v>
      </c>
      <c r="W341" s="54">
        <f ca="1">Данные!W341</f>
        <v>27</v>
      </c>
      <c r="X341" s="54" t="str">
        <f ca="1">Данные!X341</f>
        <v>1</v>
      </c>
      <c r="Y341" s="54" t="str">
        <f ca="1">Данные!Y341</f>
        <v>2</v>
      </c>
      <c r="Z341" s="54">
        <f>Данные!Z341</f>
        <v>0</v>
      </c>
      <c r="AA341" s="54">
        <f>Данные!AA341</f>
        <v>0</v>
      </c>
      <c r="AB341" s="101">
        <f t="shared" si="49"/>
        <v>800</v>
      </c>
      <c r="AC341" s="101" t="str">
        <f t="shared" si="50"/>
        <v>ИВТ (бак)</v>
      </c>
      <c r="AD341" s="101" t="str">
        <f t="shared" si="51"/>
        <v/>
      </c>
      <c r="AE341" s="102">
        <f t="shared" ca="1" si="52"/>
        <v>24.41</v>
      </c>
      <c r="AF341" s="103">
        <f t="shared" ca="1" si="53"/>
        <v>3.0512500000000001E-2</v>
      </c>
      <c r="AG341" s="101"/>
      <c r="AH341" s="10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Q341" s="72">
        <v>0</v>
      </c>
      <c r="BR341" s="72">
        <v>0</v>
      </c>
      <c r="BS341" s="72">
        <v>0</v>
      </c>
      <c r="BT341" s="72">
        <v>0</v>
      </c>
      <c r="BU341" s="72">
        <v>0</v>
      </c>
      <c r="BV341" s="72">
        <v>0</v>
      </c>
      <c r="BW341" s="72">
        <v>0</v>
      </c>
      <c r="BX341" s="72">
        <v>0</v>
      </c>
      <c r="BY341" s="72">
        <v>0</v>
      </c>
      <c r="BZ341" s="72">
        <v>0</v>
      </c>
      <c r="CA341" s="72">
        <v>0</v>
      </c>
      <c r="CB341" s="72">
        <v>0</v>
      </c>
      <c r="CC341" s="72">
        <v>0</v>
      </c>
      <c r="CD341" s="72">
        <v>0</v>
      </c>
      <c r="CE341" s="72">
        <v>0</v>
      </c>
      <c r="CF341" s="72">
        <v>0</v>
      </c>
      <c r="CG341" s="72">
        <v>0</v>
      </c>
      <c r="CH341" s="72">
        <v>0</v>
      </c>
      <c r="CI341" s="72">
        <v>0</v>
      </c>
      <c r="CJ341" s="72">
        <v>0</v>
      </c>
      <c r="CK341" s="72">
        <v>0</v>
      </c>
      <c r="CL341" s="72">
        <v>0</v>
      </c>
      <c r="CM341" s="72">
        <v>0</v>
      </c>
      <c r="CN341" s="72">
        <v>0</v>
      </c>
      <c r="CO341" s="72">
        <v>0</v>
      </c>
      <c r="CP341" s="72">
        <v>0</v>
      </c>
      <c r="CQ341" s="72">
        <v>0</v>
      </c>
      <c r="CR341" s="72">
        <v>0</v>
      </c>
      <c r="CS341" s="72">
        <v>0</v>
      </c>
      <c r="CT341" s="72">
        <v>0</v>
      </c>
      <c r="CU341" s="72">
        <v>0</v>
      </c>
      <c r="CV341" s="72">
        <v>0</v>
      </c>
      <c r="CW341" s="72">
        <v>0</v>
      </c>
      <c r="CX341" s="72">
        <v>0</v>
      </c>
      <c r="CY341" s="72">
        <v>0</v>
      </c>
      <c r="CZ341" s="72">
        <v>0</v>
      </c>
      <c r="DA341" s="72">
        <v>0</v>
      </c>
      <c r="DB341" s="72">
        <v>0</v>
      </c>
      <c r="DC341" s="72">
        <v>0</v>
      </c>
      <c r="DD341" s="72">
        <v>0</v>
      </c>
      <c r="DE341" s="72">
        <v>0</v>
      </c>
      <c r="DF341" s="72">
        <v>0</v>
      </c>
      <c r="DG341" s="72">
        <v>0</v>
      </c>
      <c r="DH341" s="72">
        <v>0</v>
      </c>
      <c r="DI341" s="72">
        <v>0</v>
      </c>
      <c r="DJ341" s="72">
        <v>0</v>
      </c>
      <c r="DK341" s="72">
        <v>0</v>
      </c>
      <c r="DL341" s="72">
        <v>0</v>
      </c>
      <c r="DM341" s="72">
        <v>0</v>
      </c>
      <c r="DN341" s="72">
        <v>0</v>
      </c>
      <c r="DO341" s="72">
        <v>0</v>
      </c>
      <c r="DP341" s="72">
        <v>0</v>
      </c>
      <c r="DQ341" s="72">
        <v>0</v>
      </c>
      <c r="DR341" s="72">
        <v>0</v>
      </c>
      <c r="DS341" s="72">
        <v>0</v>
      </c>
      <c r="DT341" s="72">
        <v>0</v>
      </c>
      <c r="DU341" s="72">
        <v>0</v>
      </c>
      <c r="DV341" s="72">
        <v>0</v>
      </c>
      <c r="DW341" s="72">
        <v>0</v>
      </c>
      <c r="DX341" s="72">
        <v>0</v>
      </c>
      <c r="DY341" s="72">
        <v>0</v>
      </c>
      <c r="DZ341" s="72">
        <v>0</v>
      </c>
      <c r="EA341" s="72">
        <v>0</v>
      </c>
      <c r="EB341" s="72">
        <v>0</v>
      </c>
      <c r="EC341" s="72">
        <v>0</v>
      </c>
      <c r="ED341" s="72">
        <v>0</v>
      </c>
      <c r="EE341" s="72">
        <v>0</v>
      </c>
      <c r="EF341" s="72">
        <v>0</v>
      </c>
      <c r="EG341" s="72">
        <v>0</v>
      </c>
      <c r="EH341" s="72">
        <v>0</v>
      </c>
      <c r="EI341" s="72">
        <v>0</v>
      </c>
      <c r="EJ341" s="72">
        <v>0</v>
      </c>
      <c r="EK341" s="72">
        <v>0</v>
      </c>
      <c r="EL341" s="72">
        <v>0</v>
      </c>
    </row>
    <row r="342" spans="1:142" x14ac:dyDescent="0.35">
      <c r="A342" s="59">
        <f>Данные!A342</f>
        <v>5791</v>
      </c>
      <c r="B342" s="59">
        <f>Данные!B342</f>
        <v>2020</v>
      </c>
      <c r="C342" s="59" t="str">
        <f>Данные!C342</f>
        <v>компьютерных технологий и электронного обучения</v>
      </c>
      <c r="D342" s="59" t="str">
        <f>Данные!D342</f>
        <v>Карпова Наталья Александровна</v>
      </c>
      <c r="E342" s="59" t="str">
        <f>Данные!E342</f>
        <v>кандидат технических наук</v>
      </c>
      <c r="F342" s="59" t="str">
        <f>Данные!F342</f>
        <v>доцент</v>
      </c>
      <c r="G342" s="59">
        <f>Данные!G342</f>
        <v>0.75</v>
      </c>
      <c r="H342" s="59" t="str">
        <f>Данные!H342</f>
        <v>4 курс 2017 год/пост</v>
      </c>
      <c r="I342" s="59" t="str">
        <f>Данные!I342</f>
        <v>Модуль "Информационные ресурсы и средства профессиональной деятельности инженера".Мировые информационные ресурсы и цифровые библиотеки</v>
      </c>
      <c r="J342" s="59">
        <f>Данные!J342</f>
        <v>14</v>
      </c>
      <c r="K342" s="59">
        <f>Данные!K342</f>
        <v>22</v>
      </c>
      <c r="L342" s="59">
        <f>Данные!L342</f>
        <v>0</v>
      </c>
      <c r="M342" s="60">
        <f t="shared" si="45"/>
        <v>3.6</v>
      </c>
      <c r="N342" s="60">
        <f t="shared" ca="1" si="46"/>
        <v>10.91</v>
      </c>
      <c r="O342" s="60">
        <f t="shared" ca="1" si="47"/>
        <v>6.75</v>
      </c>
      <c r="P342" s="60">
        <f t="shared" ca="1" si="48"/>
        <v>6.75</v>
      </c>
      <c r="Q342" s="54">
        <f>Данные!Q342</f>
        <v>0</v>
      </c>
      <c r="R342" s="54">
        <f>Данные!R342</f>
        <v>0</v>
      </c>
      <c r="S342" s="54">
        <f>Данные!S342</f>
        <v>0</v>
      </c>
      <c r="T342" s="54">
        <f>Данные!T342</f>
        <v>0</v>
      </c>
      <c r="U342" s="54">
        <f>Данные!U342</f>
        <v>0</v>
      </c>
      <c r="V342" s="54">
        <f>Данные!V342</f>
        <v>0</v>
      </c>
      <c r="W342" s="54">
        <f ca="1">Данные!W342</f>
        <v>27</v>
      </c>
      <c r="X342" s="54" t="str">
        <f ca="1">Данные!X342</f>
        <v>1</v>
      </c>
      <c r="Y342" s="54" t="str">
        <f ca="1">Данные!Y342</f>
        <v>2</v>
      </c>
      <c r="Z342" s="54">
        <f>Данные!Z342</f>
        <v>0</v>
      </c>
      <c r="AA342" s="54">
        <f>Данные!AA342</f>
        <v>0</v>
      </c>
      <c r="AB342" s="101">
        <f t="shared" si="49"/>
        <v>800</v>
      </c>
      <c r="AC342" s="101" t="str">
        <f t="shared" si="50"/>
        <v>ИВТ (бак)</v>
      </c>
      <c r="AD342" s="101" t="str">
        <f t="shared" si="51"/>
        <v/>
      </c>
      <c r="AE342" s="102">
        <f t="shared" ca="1" si="52"/>
        <v>64.010000000000005</v>
      </c>
      <c r="AF342" s="103">
        <f t="shared" ca="1" si="53"/>
        <v>8.00125E-2</v>
      </c>
      <c r="AG342" s="101"/>
      <c r="AH342" s="101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Q342" s="72">
        <v>0</v>
      </c>
      <c r="BR342" s="72">
        <v>0</v>
      </c>
      <c r="BS342" s="72">
        <v>0</v>
      </c>
      <c r="BT342" s="72">
        <v>0</v>
      </c>
      <c r="BU342" s="72">
        <v>0</v>
      </c>
      <c r="BV342" s="72">
        <v>0</v>
      </c>
      <c r="BW342" s="72">
        <v>0</v>
      </c>
      <c r="BX342" s="72">
        <v>0</v>
      </c>
      <c r="BY342" s="72">
        <v>0</v>
      </c>
      <c r="BZ342" s="72">
        <v>0</v>
      </c>
      <c r="CA342" s="72">
        <v>0</v>
      </c>
      <c r="CB342" s="72">
        <v>0</v>
      </c>
      <c r="CC342" s="72">
        <v>0</v>
      </c>
      <c r="CD342" s="72">
        <v>0</v>
      </c>
      <c r="CE342" s="72">
        <v>0</v>
      </c>
      <c r="CF342" s="72">
        <v>0</v>
      </c>
      <c r="CG342" s="72">
        <v>0</v>
      </c>
      <c r="CH342" s="72">
        <v>0</v>
      </c>
      <c r="CI342" s="72">
        <v>0</v>
      </c>
      <c r="CJ342" s="72">
        <v>0</v>
      </c>
      <c r="CK342" s="72">
        <v>0</v>
      </c>
      <c r="CL342" s="72">
        <v>0</v>
      </c>
      <c r="CM342" s="72">
        <v>0</v>
      </c>
      <c r="CN342" s="72">
        <v>0</v>
      </c>
      <c r="CO342" s="72">
        <v>0</v>
      </c>
      <c r="CP342" s="72">
        <v>0</v>
      </c>
      <c r="CQ342" s="72">
        <v>0</v>
      </c>
      <c r="CR342" s="72">
        <v>0</v>
      </c>
      <c r="CS342" s="72">
        <v>0</v>
      </c>
      <c r="CT342" s="72">
        <v>0</v>
      </c>
      <c r="CU342" s="72">
        <v>0</v>
      </c>
      <c r="CV342" s="72">
        <v>0</v>
      </c>
      <c r="CW342" s="72">
        <v>0</v>
      </c>
      <c r="CX342" s="72">
        <v>0</v>
      </c>
      <c r="CY342" s="72">
        <v>0</v>
      </c>
      <c r="CZ342" s="72">
        <v>0</v>
      </c>
      <c r="DA342" s="72">
        <v>0</v>
      </c>
      <c r="DB342" s="72">
        <v>0</v>
      </c>
      <c r="DC342" s="72">
        <v>0</v>
      </c>
      <c r="DD342" s="72">
        <v>0</v>
      </c>
      <c r="DE342" s="72">
        <v>0</v>
      </c>
      <c r="DF342" s="72">
        <v>0</v>
      </c>
      <c r="DG342" s="72">
        <v>0</v>
      </c>
      <c r="DH342" s="72">
        <v>0</v>
      </c>
      <c r="DI342" s="72">
        <v>0</v>
      </c>
      <c r="DJ342" s="72">
        <v>0</v>
      </c>
      <c r="DK342" s="72">
        <v>0</v>
      </c>
      <c r="DL342" s="72">
        <v>0</v>
      </c>
      <c r="DM342" s="72">
        <v>0</v>
      </c>
      <c r="DN342" s="72">
        <v>0</v>
      </c>
      <c r="DO342" s="72">
        <v>0</v>
      </c>
      <c r="DP342" s="72">
        <v>0</v>
      </c>
      <c r="DQ342" s="72">
        <v>0</v>
      </c>
      <c r="DR342" s="72">
        <v>0</v>
      </c>
      <c r="DS342" s="72">
        <v>0</v>
      </c>
      <c r="DT342" s="72">
        <v>0</v>
      </c>
      <c r="DU342" s="72">
        <v>0</v>
      </c>
      <c r="DV342" s="72">
        <v>0</v>
      </c>
      <c r="DW342" s="72">
        <v>0</v>
      </c>
      <c r="DX342" s="72">
        <v>0</v>
      </c>
      <c r="DY342" s="72">
        <v>0</v>
      </c>
      <c r="DZ342" s="72">
        <v>0</v>
      </c>
      <c r="EA342" s="72">
        <v>0</v>
      </c>
      <c r="EB342" s="72">
        <v>0</v>
      </c>
      <c r="EC342" s="72">
        <v>0</v>
      </c>
      <c r="ED342" s="72">
        <v>0</v>
      </c>
      <c r="EE342" s="72">
        <v>0</v>
      </c>
      <c r="EF342" s="72">
        <v>0</v>
      </c>
      <c r="EG342" s="72">
        <v>0</v>
      </c>
      <c r="EH342" s="72">
        <v>0</v>
      </c>
      <c r="EI342" s="72">
        <v>0</v>
      </c>
      <c r="EJ342" s="72">
        <v>0</v>
      </c>
      <c r="EK342" s="72">
        <v>0</v>
      </c>
      <c r="EL342" s="72">
        <v>0</v>
      </c>
    </row>
    <row r="343" spans="1:142" x14ac:dyDescent="0.35">
      <c r="A343" s="59">
        <f>Данные!A343</f>
        <v>5791</v>
      </c>
      <c r="B343" s="59">
        <f>Данные!B343</f>
        <v>2020</v>
      </c>
      <c r="C343" s="59" t="str">
        <f>Данные!C343</f>
        <v>компьютерных технологий и электронного обучения</v>
      </c>
      <c r="D343" s="59" t="str">
        <f>Данные!D343</f>
        <v>Аксютин Павел Александрович</v>
      </c>
      <c r="E343" s="59" t="str">
        <f>Данные!E343</f>
        <v>нет</v>
      </c>
      <c r="F343" s="59" t="str">
        <f>Данные!F343</f>
        <v>внешний</v>
      </c>
      <c r="G343" s="59">
        <f>Данные!G343</f>
        <v>0.25</v>
      </c>
      <c r="H343" s="59" t="str">
        <f>Данные!H343</f>
        <v>4 курс 2017 год/пост</v>
      </c>
      <c r="I343" s="59" t="str">
        <f>Данные!I343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343" s="59">
        <f>Данные!J343</f>
        <v>0</v>
      </c>
      <c r="K343" s="59">
        <f>Данные!K343</f>
        <v>6</v>
      </c>
      <c r="L343" s="59">
        <f>Данные!L343</f>
        <v>48</v>
      </c>
      <c r="M343" s="60">
        <f t="shared" si="45"/>
        <v>5.4</v>
      </c>
      <c r="N343" s="60">
        <f t="shared" ca="1" si="46"/>
        <v>10.91</v>
      </c>
      <c r="O343" s="60">
        <f t="shared" ca="1" si="47"/>
        <v>6.75</v>
      </c>
      <c r="P343" s="60">
        <f t="shared" ca="1" si="48"/>
        <v>6.75</v>
      </c>
      <c r="Q343" s="54">
        <f>Данные!Q343</f>
        <v>24</v>
      </c>
      <c r="R343" s="54">
        <f>Данные!R343</f>
        <v>0</v>
      </c>
      <c r="S343" s="54">
        <f>Данные!S343</f>
        <v>0</v>
      </c>
      <c r="T343" s="54">
        <f>Данные!T343</f>
        <v>0</v>
      </c>
      <c r="U343" s="54">
        <f>Данные!U343</f>
        <v>0</v>
      </c>
      <c r="V343" s="54">
        <f>Данные!V343</f>
        <v>0</v>
      </c>
      <c r="W343" s="54">
        <f ca="1">Данные!W343</f>
        <v>27</v>
      </c>
      <c r="X343" s="54" t="str">
        <f ca="1">Данные!X343</f>
        <v>1</v>
      </c>
      <c r="Y343" s="54" t="str">
        <f ca="1">Данные!Y343</f>
        <v>2</v>
      </c>
      <c r="Z343" s="54">
        <f>Данные!Z343</f>
        <v>0</v>
      </c>
      <c r="AA343" s="54">
        <f>Данные!AA343</f>
        <v>0</v>
      </c>
      <c r="AB343" s="101">
        <f t="shared" si="49"/>
        <v>900</v>
      </c>
      <c r="AC343" s="101" t="str">
        <f t="shared" si="50"/>
        <v>ИВТ (бак)</v>
      </c>
      <c r="AD343" s="101" t="str">
        <f t="shared" si="51"/>
        <v/>
      </c>
      <c r="AE343" s="102">
        <f t="shared" ca="1" si="52"/>
        <v>107.81</v>
      </c>
      <c r="AF343" s="103">
        <f t="shared" ca="1" si="53"/>
        <v>0.11978888888888889</v>
      </c>
      <c r="AG343" s="101"/>
      <c r="AH343" s="101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Q343" s="72">
        <v>0</v>
      </c>
      <c r="BR343" s="72">
        <v>0</v>
      </c>
      <c r="BS343" s="72">
        <v>0</v>
      </c>
      <c r="BT343" s="72">
        <v>0</v>
      </c>
      <c r="BU343" s="72">
        <v>0</v>
      </c>
      <c r="BV343" s="72">
        <v>0</v>
      </c>
      <c r="BW343" s="72">
        <v>0</v>
      </c>
      <c r="BX343" s="72">
        <v>0</v>
      </c>
      <c r="BY343" s="72">
        <v>0</v>
      </c>
      <c r="BZ343" s="72">
        <v>0</v>
      </c>
      <c r="CA343" s="72">
        <v>0</v>
      </c>
      <c r="CB343" s="72">
        <v>0</v>
      </c>
      <c r="CC343" s="72">
        <v>0</v>
      </c>
      <c r="CD343" s="72">
        <v>0</v>
      </c>
      <c r="CE343" s="72">
        <v>0</v>
      </c>
      <c r="CF343" s="72">
        <v>0</v>
      </c>
      <c r="CG343" s="72">
        <v>0</v>
      </c>
      <c r="CH343" s="72">
        <v>0</v>
      </c>
      <c r="CI343" s="72">
        <v>0</v>
      </c>
      <c r="CJ343" s="72">
        <v>0</v>
      </c>
      <c r="CK343" s="72">
        <v>0</v>
      </c>
      <c r="CL343" s="72">
        <v>0</v>
      </c>
      <c r="CM343" s="72">
        <v>0</v>
      </c>
      <c r="CN343" s="72">
        <v>0</v>
      </c>
      <c r="CO343" s="72">
        <v>0</v>
      </c>
      <c r="CP343" s="72">
        <v>0</v>
      </c>
      <c r="CQ343" s="72">
        <v>0</v>
      </c>
      <c r="CR343" s="72">
        <v>0</v>
      </c>
      <c r="CS343" s="72">
        <v>0</v>
      </c>
      <c r="CT343" s="72">
        <v>0</v>
      </c>
      <c r="CU343" s="72">
        <v>0</v>
      </c>
      <c r="CV343" s="72">
        <v>0</v>
      </c>
      <c r="CW343" s="72">
        <v>0</v>
      </c>
      <c r="CX343" s="72">
        <v>0</v>
      </c>
      <c r="CY343" s="72">
        <v>0</v>
      </c>
      <c r="CZ343" s="72">
        <v>0</v>
      </c>
      <c r="DA343" s="72">
        <v>0</v>
      </c>
      <c r="DB343" s="72">
        <v>0</v>
      </c>
      <c r="DC343" s="72">
        <v>0</v>
      </c>
      <c r="DD343" s="72">
        <v>0</v>
      </c>
      <c r="DE343" s="72">
        <v>0</v>
      </c>
      <c r="DF343" s="72">
        <v>0</v>
      </c>
      <c r="DG343" s="72">
        <v>0</v>
      </c>
      <c r="DH343" s="72">
        <v>0</v>
      </c>
      <c r="DI343" s="72">
        <v>0</v>
      </c>
      <c r="DJ343" s="72">
        <v>0</v>
      </c>
      <c r="DK343" s="72">
        <v>0</v>
      </c>
      <c r="DL343" s="72">
        <v>0</v>
      </c>
      <c r="DM343" s="72">
        <v>0</v>
      </c>
      <c r="DN343" s="72">
        <v>0</v>
      </c>
      <c r="DO343" s="72">
        <v>0</v>
      </c>
      <c r="DP343" s="72">
        <v>0</v>
      </c>
      <c r="DQ343" s="72">
        <v>0</v>
      </c>
      <c r="DR343" s="72">
        <v>0</v>
      </c>
      <c r="DS343" s="72">
        <v>0</v>
      </c>
      <c r="DT343" s="72">
        <v>0</v>
      </c>
      <c r="DU343" s="72">
        <v>0</v>
      </c>
      <c r="DV343" s="72">
        <v>0</v>
      </c>
      <c r="DW343" s="72">
        <v>0</v>
      </c>
      <c r="DX343" s="72">
        <v>0</v>
      </c>
      <c r="DY343" s="72">
        <v>0</v>
      </c>
      <c r="DZ343" s="72">
        <v>0</v>
      </c>
      <c r="EA343" s="72">
        <v>0</v>
      </c>
      <c r="EB343" s="72">
        <v>0</v>
      </c>
      <c r="EC343" s="72">
        <v>0</v>
      </c>
      <c r="ED343" s="72">
        <v>0</v>
      </c>
      <c r="EE343" s="72">
        <v>0</v>
      </c>
      <c r="EF343" s="72">
        <v>0</v>
      </c>
      <c r="EG343" s="72">
        <v>0</v>
      </c>
      <c r="EH343" s="72">
        <v>0</v>
      </c>
      <c r="EI343" s="72">
        <v>0</v>
      </c>
      <c r="EJ343" s="72">
        <v>0</v>
      </c>
      <c r="EK343" s="72">
        <v>0</v>
      </c>
      <c r="EL343" s="72">
        <v>0</v>
      </c>
    </row>
    <row r="344" spans="1:142" x14ac:dyDescent="0.35">
      <c r="A344" s="59">
        <f>Данные!A344</f>
        <v>5791</v>
      </c>
      <c r="B344" s="59">
        <f>Данные!B344</f>
        <v>2020</v>
      </c>
      <c r="C344" s="59" t="str">
        <f>Данные!C344</f>
        <v>компьютерных технологий и электронного обучения</v>
      </c>
      <c r="D344" s="59" t="str">
        <f>Данные!D344</f>
        <v>Воробьев Владимир Иванович</v>
      </c>
      <c r="E344" s="59" t="str">
        <f>Данные!E344</f>
        <v>доктор технических наук</v>
      </c>
      <c r="F344" s="59" t="str">
        <f>Данные!F344</f>
        <v>внешний</v>
      </c>
      <c r="G344" s="59">
        <f>Данные!G344</f>
        <v>1</v>
      </c>
      <c r="H344" s="59" t="str">
        <f>Данные!H344</f>
        <v>4 курс 2017 год/пост</v>
      </c>
      <c r="I344" s="59" t="str">
        <f>Данные!I344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344" s="59">
        <f>Данные!J344</f>
        <v>0</v>
      </c>
      <c r="K344" s="59">
        <f>Данные!K344</f>
        <v>0</v>
      </c>
      <c r="L344" s="59">
        <f>Данные!L344</f>
        <v>0</v>
      </c>
      <c r="M344" s="60">
        <f t="shared" si="45"/>
        <v>0</v>
      </c>
      <c r="N344" s="60">
        <f t="shared" ca="1" si="46"/>
        <v>10.91</v>
      </c>
      <c r="O344" s="60">
        <f t="shared" ca="1" si="47"/>
        <v>6.75</v>
      </c>
      <c r="P344" s="60">
        <f t="shared" ca="1" si="48"/>
        <v>6.75</v>
      </c>
      <c r="Q344" s="54">
        <f>Данные!Q344</f>
        <v>24</v>
      </c>
      <c r="R344" s="54">
        <f>Данные!R344</f>
        <v>0</v>
      </c>
      <c r="S344" s="54">
        <f>Данные!S344</f>
        <v>0</v>
      </c>
      <c r="T344" s="54">
        <f>Данные!T344</f>
        <v>0</v>
      </c>
      <c r="U344" s="54">
        <f>Данные!U344</f>
        <v>0</v>
      </c>
      <c r="V344" s="54">
        <f>Данные!V344</f>
        <v>0</v>
      </c>
      <c r="W344" s="54">
        <f ca="1">Данные!W344</f>
        <v>27</v>
      </c>
      <c r="X344" s="54" t="str">
        <f ca="1">Данные!X344</f>
        <v>1</v>
      </c>
      <c r="Y344" s="54" t="str">
        <f ca="1">Данные!Y344</f>
        <v>2</v>
      </c>
      <c r="Z344" s="54">
        <f>Данные!Z344</f>
        <v>0</v>
      </c>
      <c r="AA344" s="54">
        <f>Данные!AA344</f>
        <v>0</v>
      </c>
      <c r="AB344" s="101">
        <f t="shared" si="49"/>
        <v>900</v>
      </c>
      <c r="AC344" s="101" t="str">
        <f t="shared" si="50"/>
        <v>ИВТ (бак)</v>
      </c>
      <c r="AD344" s="101" t="str">
        <f t="shared" si="51"/>
        <v/>
      </c>
      <c r="AE344" s="102">
        <f t="shared" ca="1" si="52"/>
        <v>48.41</v>
      </c>
      <c r="AF344" s="103">
        <f t="shared" ca="1" si="53"/>
        <v>5.3788888888888886E-2</v>
      </c>
      <c r="AG344" s="101"/>
      <c r="AH344" s="101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Q344" s="72">
        <v>0</v>
      </c>
      <c r="BR344" s="72">
        <v>0</v>
      </c>
      <c r="BS344" s="72">
        <v>0</v>
      </c>
      <c r="BT344" s="72">
        <v>0</v>
      </c>
      <c r="BU344" s="72">
        <v>0</v>
      </c>
      <c r="BV344" s="72">
        <v>0</v>
      </c>
      <c r="BW344" s="72">
        <v>0</v>
      </c>
      <c r="BX344" s="72">
        <v>0</v>
      </c>
      <c r="BY344" s="72">
        <v>0</v>
      </c>
      <c r="BZ344" s="72">
        <v>0</v>
      </c>
      <c r="CA344" s="72">
        <v>0</v>
      </c>
      <c r="CB344" s="72">
        <v>0</v>
      </c>
      <c r="CC344" s="72">
        <v>0</v>
      </c>
      <c r="CD344" s="72">
        <v>0</v>
      </c>
      <c r="CE344" s="72">
        <v>0</v>
      </c>
      <c r="CF344" s="72">
        <v>0</v>
      </c>
      <c r="CG344" s="72">
        <v>0</v>
      </c>
      <c r="CH344" s="72">
        <v>0</v>
      </c>
      <c r="CI344" s="72">
        <v>0</v>
      </c>
      <c r="CJ344" s="72">
        <v>0</v>
      </c>
      <c r="CK344" s="72">
        <v>0</v>
      </c>
      <c r="CL344" s="72">
        <v>0</v>
      </c>
      <c r="CM344" s="72">
        <v>0</v>
      </c>
      <c r="CN344" s="72">
        <v>0</v>
      </c>
      <c r="CO344" s="72">
        <v>0</v>
      </c>
      <c r="CP344" s="72">
        <v>0</v>
      </c>
      <c r="CQ344" s="72">
        <v>0</v>
      </c>
      <c r="CR344" s="72">
        <v>0</v>
      </c>
      <c r="CS344" s="72">
        <v>0</v>
      </c>
      <c r="CT344" s="72">
        <v>0</v>
      </c>
      <c r="CU344" s="72">
        <v>0</v>
      </c>
      <c r="CV344" s="72">
        <v>0</v>
      </c>
      <c r="CW344" s="72">
        <v>0</v>
      </c>
      <c r="CX344" s="72">
        <v>0</v>
      </c>
      <c r="CY344" s="72">
        <v>0</v>
      </c>
      <c r="CZ344" s="72">
        <v>0</v>
      </c>
      <c r="DA344" s="72">
        <v>0</v>
      </c>
      <c r="DB344" s="72">
        <v>0</v>
      </c>
      <c r="DC344" s="72">
        <v>0</v>
      </c>
      <c r="DD344" s="72">
        <v>0</v>
      </c>
      <c r="DE344" s="72">
        <v>0</v>
      </c>
      <c r="DF344" s="72">
        <v>0</v>
      </c>
      <c r="DG344" s="72">
        <v>0</v>
      </c>
      <c r="DH344" s="72">
        <v>0</v>
      </c>
      <c r="DI344" s="72">
        <v>0</v>
      </c>
      <c r="DJ344" s="72">
        <v>0</v>
      </c>
      <c r="DK344" s="72">
        <v>0</v>
      </c>
      <c r="DL344" s="72">
        <v>0</v>
      </c>
      <c r="DM344" s="72">
        <v>0</v>
      </c>
      <c r="DN344" s="72">
        <v>0</v>
      </c>
      <c r="DO344" s="72">
        <v>0</v>
      </c>
      <c r="DP344" s="72">
        <v>0</v>
      </c>
      <c r="DQ344" s="72">
        <v>0</v>
      </c>
      <c r="DR344" s="72">
        <v>0</v>
      </c>
      <c r="DS344" s="72">
        <v>0</v>
      </c>
      <c r="DT344" s="72">
        <v>0</v>
      </c>
      <c r="DU344" s="72">
        <v>0</v>
      </c>
      <c r="DV344" s="72">
        <v>0</v>
      </c>
      <c r="DW344" s="72">
        <v>0</v>
      </c>
      <c r="DX344" s="72">
        <v>0</v>
      </c>
      <c r="DY344" s="72">
        <v>0</v>
      </c>
      <c r="DZ344" s="72">
        <v>0</v>
      </c>
      <c r="EA344" s="72">
        <v>0</v>
      </c>
      <c r="EB344" s="72">
        <v>0</v>
      </c>
      <c r="EC344" s="72">
        <v>0</v>
      </c>
      <c r="ED344" s="72">
        <v>0</v>
      </c>
      <c r="EE344" s="72">
        <v>0</v>
      </c>
      <c r="EF344" s="72">
        <v>0</v>
      </c>
      <c r="EG344" s="72">
        <v>0</v>
      </c>
      <c r="EH344" s="72">
        <v>0</v>
      </c>
      <c r="EI344" s="72">
        <v>0</v>
      </c>
      <c r="EJ344" s="72">
        <v>0</v>
      </c>
      <c r="EK344" s="72">
        <v>0</v>
      </c>
      <c r="EL344" s="72">
        <v>0</v>
      </c>
    </row>
    <row r="345" spans="1:142" x14ac:dyDescent="0.35">
      <c r="A345" s="59">
        <f>Данные!A345</f>
        <v>5791</v>
      </c>
      <c r="B345" s="59">
        <f>Данные!B345</f>
        <v>2020</v>
      </c>
      <c r="C345" s="59" t="str">
        <f>Данные!C345</f>
        <v>компьютерных технологий и электронного обучения</v>
      </c>
      <c r="D345" s="59" t="str">
        <f>Данные!D345</f>
        <v>Государев Илья Борисович</v>
      </c>
      <c r="E345" s="59" t="str">
        <f>Данные!E345</f>
        <v>кандидат педагогических наук</v>
      </c>
      <c r="F345" s="59" t="str">
        <f>Данные!F345</f>
        <v>доцент</v>
      </c>
      <c r="G345" s="59">
        <f>Данные!G345</f>
        <v>1</v>
      </c>
      <c r="H345" s="59" t="str">
        <f>Данные!H345</f>
        <v>4 курс 2017 год/пост</v>
      </c>
      <c r="I345" s="59" t="str">
        <f>Данные!I345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345" s="59">
        <f>Данные!J345</f>
        <v>6</v>
      </c>
      <c r="K345" s="59">
        <f>Данные!K345</f>
        <v>0</v>
      </c>
      <c r="L345" s="59">
        <f>Данные!L345</f>
        <v>0</v>
      </c>
      <c r="M345" s="60">
        <f t="shared" si="45"/>
        <v>0.6</v>
      </c>
      <c r="N345" s="60">
        <f t="shared" ca="1" si="46"/>
        <v>10.91</v>
      </c>
      <c r="O345" s="60">
        <f t="shared" ca="1" si="47"/>
        <v>6.75</v>
      </c>
      <c r="P345" s="60">
        <f t="shared" ca="1" si="48"/>
        <v>6.75</v>
      </c>
      <c r="Q345" s="54">
        <f>Данные!Q345</f>
        <v>10</v>
      </c>
      <c r="R345" s="54">
        <f>Данные!R345</f>
        <v>0</v>
      </c>
      <c r="S345" s="54">
        <f>Данные!S345</f>
        <v>0</v>
      </c>
      <c r="T345" s="54">
        <f>Данные!T345</f>
        <v>0</v>
      </c>
      <c r="U345" s="54">
        <f>Данные!U345</f>
        <v>0</v>
      </c>
      <c r="V345" s="54">
        <f>Данные!V345</f>
        <v>0</v>
      </c>
      <c r="W345" s="54">
        <f ca="1">Данные!W345</f>
        <v>27</v>
      </c>
      <c r="X345" s="54" t="str">
        <f ca="1">Данные!X345</f>
        <v>1</v>
      </c>
      <c r="Y345" s="54" t="str">
        <f ca="1">Данные!Y345</f>
        <v>2</v>
      </c>
      <c r="Z345" s="54">
        <f>Данные!Z345</f>
        <v>0</v>
      </c>
      <c r="AA345" s="54">
        <f>Данные!AA345</f>
        <v>0</v>
      </c>
      <c r="AB345" s="101">
        <f t="shared" si="49"/>
        <v>800</v>
      </c>
      <c r="AC345" s="101" t="str">
        <f t="shared" si="50"/>
        <v>ИВТ (бак)</v>
      </c>
      <c r="AD345" s="101" t="str">
        <f t="shared" si="51"/>
        <v/>
      </c>
      <c r="AE345" s="102">
        <f t="shared" ca="1" si="52"/>
        <v>41.01</v>
      </c>
      <c r="AF345" s="103">
        <f t="shared" ca="1" si="53"/>
        <v>5.1262499999999996E-2</v>
      </c>
      <c r="AG345" s="101"/>
      <c r="AH345" s="101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Q345" s="72">
        <v>0</v>
      </c>
      <c r="BR345" s="72">
        <v>0</v>
      </c>
      <c r="BS345" s="72">
        <v>0</v>
      </c>
      <c r="BT345" s="72">
        <v>0</v>
      </c>
      <c r="BU345" s="72">
        <v>0</v>
      </c>
      <c r="BV345" s="72">
        <v>0</v>
      </c>
      <c r="BW345" s="72">
        <v>0</v>
      </c>
      <c r="BX345" s="72">
        <v>0</v>
      </c>
      <c r="BY345" s="72">
        <v>0</v>
      </c>
      <c r="BZ345" s="72">
        <v>0</v>
      </c>
      <c r="CA345" s="72">
        <v>0</v>
      </c>
      <c r="CB345" s="72">
        <v>0</v>
      </c>
      <c r="CC345" s="72">
        <v>0</v>
      </c>
      <c r="CD345" s="72">
        <v>0</v>
      </c>
      <c r="CE345" s="72">
        <v>0</v>
      </c>
      <c r="CF345" s="72">
        <v>0</v>
      </c>
      <c r="CG345" s="72">
        <v>0</v>
      </c>
      <c r="CH345" s="72">
        <v>0</v>
      </c>
      <c r="CI345" s="72">
        <v>0</v>
      </c>
      <c r="CJ345" s="72">
        <v>0</v>
      </c>
      <c r="CK345" s="72">
        <v>0</v>
      </c>
      <c r="CL345" s="72">
        <v>0</v>
      </c>
      <c r="CM345" s="72">
        <v>0</v>
      </c>
      <c r="CN345" s="72">
        <v>0</v>
      </c>
      <c r="CO345" s="72">
        <v>0</v>
      </c>
      <c r="CP345" s="72">
        <v>0</v>
      </c>
      <c r="CQ345" s="72">
        <v>0</v>
      </c>
      <c r="CR345" s="72">
        <v>0</v>
      </c>
      <c r="CS345" s="72">
        <v>0</v>
      </c>
      <c r="CT345" s="72">
        <v>0</v>
      </c>
      <c r="CU345" s="72">
        <v>0</v>
      </c>
      <c r="CV345" s="72">
        <v>0</v>
      </c>
      <c r="CW345" s="72">
        <v>0</v>
      </c>
      <c r="CX345" s="72">
        <v>0</v>
      </c>
      <c r="CY345" s="72">
        <v>0</v>
      </c>
      <c r="CZ345" s="72">
        <v>0</v>
      </c>
      <c r="DA345" s="72">
        <v>0</v>
      </c>
      <c r="DB345" s="72">
        <v>0</v>
      </c>
      <c r="DC345" s="72">
        <v>0</v>
      </c>
      <c r="DD345" s="72">
        <v>0</v>
      </c>
      <c r="DE345" s="72">
        <v>0</v>
      </c>
      <c r="DF345" s="72">
        <v>0</v>
      </c>
      <c r="DG345" s="72">
        <v>0</v>
      </c>
      <c r="DH345" s="72">
        <v>0</v>
      </c>
      <c r="DI345" s="72">
        <v>0</v>
      </c>
      <c r="DJ345" s="72">
        <v>0</v>
      </c>
      <c r="DK345" s="72">
        <v>0</v>
      </c>
      <c r="DL345" s="72">
        <v>0</v>
      </c>
      <c r="DM345" s="72">
        <v>0</v>
      </c>
      <c r="DN345" s="72">
        <v>0</v>
      </c>
      <c r="DO345" s="72">
        <v>0</v>
      </c>
      <c r="DP345" s="72">
        <v>0</v>
      </c>
      <c r="DQ345" s="72">
        <v>0</v>
      </c>
      <c r="DR345" s="72">
        <v>0</v>
      </c>
      <c r="DS345" s="72">
        <v>0</v>
      </c>
      <c r="DT345" s="72">
        <v>0</v>
      </c>
      <c r="DU345" s="72">
        <v>0</v>
      </c>
      <c r="DV345" s="72">
        <v>0</v>
      </c>
      <c r="DW345" s="72">
        <v>0</v>
      </c>
      <c r="DX345" s="72">
        <v>0</v>
      </c>
      <c r="DY345" s="72">
        <v>0</v>
      </c>
      <c r="DZ345" s="72">
        <v>0</v>
      </c>
      <c r="EA345" s="72">
        <v>0</v>
      </c>
      <c r="EB345" s="72">
        <v>0</v>
      </c>
      <c r="EC345" s="72">
        <v>0</v>
      </c>
      <c r="ED345" s="72">
        <v>0</v>
      </c>
      <c r="EE345" s="72">
        <v>0</v>
      </c>
      <c r="EF345" s="72">
        <v>0</v>
      </c>
      <c r="EG345" s="72">
        <v>0</v>
      </c>
      <c r="EH345" s="72">
        <v>0</v>
      </c>
      <c r="EI345" s="72">
        <v>0</v>
      </c>
      <c r="EJ345" s="72">
        <v>0</v>
      </c>
      <c r="EK345" s="72">
        <v>0</v>
      </c>
      <c r="EL345" s="72">
        <v>0</v>
      </c>
    </row>
    <row r="346" spans="1:142" x14ac:dyDescent="0.35">
      <c r="A346" s="59">
        <f>Данные!A346</f>
        <v>5791</v>
      </c>
      <c r="B346" s="59">
        <f>Данные!B346</f>
        <v>2020</v>
      </c>
      <c r="C346" s="59" t="str">
        <f>Данные!C346</f>
        <v>компьютерных технологий и электронного обучения</v>
      </c>
      <c r="D346" s="59" t="str">
        <f>Данные!D346</f>
        <v>Аксютин Павел Александрович</v>
      </c>
      <c r="E346" s="59" t="str">
        <f>Данные!E346</f>
        <v>нет</v>
      </c>
      <c r="F346" s="59" t="str">
        <f>Данные!F346</f>
        <v>внешний</v>
      </c>
      <c r="G346" s="59">
        <f>Данные!G346</f>
        <v>1</v>
      </c>
      <c r="H346" s="59" t="str">
        <f>Данные!H346</f>
        <v>4 курс 2017 год/пост</v>
      </c>
      <c r="I346" s="59" t="str">
        <f>Данные!I346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346" s="59">
        <f>Данные!J346</f>
        <v>0</v>
      </c>
      <c r="K346" s="59">
        <f>Данные!K346</f>
        <v>12</v>
      </c>
      <c r="L346" s="59">
        <f>Данные!L346</f>
        <v>0</v>
      </c>
      <c r="M346" s="60">
        <f t="shared" si="45"/>
        <v>1.2</v>
      </c>
      <c r="N346" s="60">
        <f t="shared" ca="1" si="46"/>
        <v>10.91</v>
      </c>
      <c r="O346" s="60">
        <f t="shared" ca="1" si="47"/>
        <v>6.75</v>
      </c>
      <c r="P346" s="60">
        <f t="shared" ca="1" si="48"/>
        <v>6.75</v>
      </c>
      <c r="Q346" s="54">
        <f>Данные!Q346</f>
        <v>0</v>
      </c>
      <c r="R346" s="54">
        <f>Данные!R346</f>
        <v>0</v>
      </c>
      <c r="S346" s="54">
        <f>Данные!S346</f>
        <v>0</v>
      </c>
      <c r="T346" s="54">
        <f>Данные!T346</f>
        <v>0</v>
      </c>
      <c r="U346" s="54">
        <f>Данные!U346</f>
        <v>0</v>
      </c>
      <c r="V346" s="54">
        <f>Данные!V346</f>
        <v>0</v>
      </c>
      <c r="W346" s="54">
        <f ca="1">Данные!W346</f>
        <v>27</v>
      </c>
      <c r="X346" s="54" t="str">
        <f ca="1">Данные!X346</f>
        <v>1</v>
      </c>
      <c r="Y346" s="54" t="str">
        <f ca="1">Данные!Y346</f>
        <v>2</v>
      </c>
      <c r="Z346" s="54">
        <f>Данные!Z346</f>
        <v>0</v>
      </c>
      <c r="AA346" s="54">
        <f>Данные!AA346</f>
        <v>0</v>
      </c>
      <c r="AB346" s="101">
        <f t="shared" si="49"/>
        <v>900</v>
      </c>
      <c r="AC346" s="101" t="str">
        <f t="shared" si="50"/>
        <v>ИВТ (бак)</v>
      </c>
      <c r="AD346" s="101" t="str">
        <f t="shared" si="51"/>
        <v/>
      </c>
      <c r="AE346" s="102">
        <f t="shared" ca="1" si="52"/>
        <v>37.61</v>
      </c>
      <c r="AF346" s="103">
        <f t="shared" ca="1" si="53"/>
        <v>4.1788888888888889E-2</v>
      </c>
      <c r="AG346" s="101"/>
      <c r="AH346" s="101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Q346" s="72">
        <v>0</v>
      </c>
      <c r="BR346" s="72">
        <v>0</v>
      </c>
      <c r="BS346" s="72">
        <v>0</v>
      </c>
      <c r="BT346" s="72">
        <v>0</v>
      </c>
      <c r="BU346" s="72">
        <v>0</v>
      </c>
      <c r="BV346" s="72">
        <v>0</v>
      </c>
      <c r="BW346" s="72">
        <v>0</v>
      </c>
      <c r="BX346" s="72">
        <v>0</v>
      </c>
      <c r="BY346" s="72">
        <v>0</v>
      </c>
      <c r="BZ346" s="72">
        <v>0</v>
      </c>
      <c r="CA346" s="72">
        <v>0</v>
      </c>
      <c r="CB346" s="72">
        <v>0</v>
      </c>
      <c r="CC346" s="72">
        <v>0</v>
      </c>
      <c r="CD346" s="72">
        <v>0</v>
      </c>
      <c r="CE346" s="72">
        <v>0</v>
      </c>
      <c r="CF346" s="72">
        <v>0</v>
      </c>
      <c r="CG346" s="72">
        <v>0</v>
      </c>
      <c r="CH346" s="72">
        <v>0</v>
      </c>
      <c r="CI346" s="72">
        <v>0</v>
      </c>
      <c r="CJ346" s="72">
        <v>0</v>
      </c>
      <c r="CK346" s="72">
        <v>0</v>
      </c>
      <c r="CL346" s="72">
        <v>0</v>
      </c>
      <c r="CM346" s="72">
        <v>0</v>
      </c>
      <c r="CN346" s="72">
        <v>0</v>
      </c>
      <c r="CO346" s="72">
        <v>0</v>
      </c>
      <c r="CP346" s="72">
        <v>0</v>
      </c>
      <c r="CQ346" s="72">
        <v>0</v>
      </c>
      <c r="CR346" s="72">
        <v>0</v>
      </c>
      <c r="CS346" s="72">
        <v>0</v>
      </c>
      <c r="CT346" s="72">
        <v>0</v>
      </c>
      <c r="CU346" s="72">
        <v>0</v>
      </c>
      <c r="CV346" s="72">
        <v>0</v>
      </c>
      <c r="CW346" s="72">
        <v>0</v>
      </c>
      <c r="CX346" s="72">
        <v>0</v>
      </c>
      <c r="CY346" s="72">
        <v>0</v>
      </c>
      <c r="CZ346" s="72">
        <v>0</v>
      </c>
      <c r="DA346" s="72">
        <v>0</v>
      </c>
      <c r="DB346" s="72">
        <v>0</v>
      </c>
      <c r="DC346" s="72">
        <v>0</v>
      </c>
      <c r="DD346" s="72">
        <v>0</v>
      </c>
      <c r="DE346" s="72">
        <v>0</v>
      </c>
      <c r="DF346" s="72">
        <v>0</v>
      </c>
      <c r="DG346" s="72">
        <v>0</v>
      </c>
      <c r="DH346" s="72">
        <v>0</v>
      </c>
      <c r="DI346" s="72">
        <v>0</v>
      </c>
      <c r="DJ346" s="72">
        <v>0</v>
      </c>
      <c r="DK346" s="72">
        <v>0</v>
      </c>
      <c r="DL346" s="72">
        <v>0</v>
      </c>
      <c r="DM346" s="72">
        <v>0</v>
      </c>
      <c r="DN346" s="72">
        <v>0</v>
      </c>
      <c r="DO346" s="72">
        <v>0</v>
      </c>
      <c r="DP346" s="72">
        <v>0</v>
      </c>
      <c r="DQ346" s="72">
        <v>0</v>
      </c>
      <c r="DR346" s="72">
        <v>0</v>
      </c>
      <c r="DS346" s="72">
        <v>0</v>
      </c>
      <c r="DT346" s="72">
        <v>0</v>
      </c>
      <c r="DU346" s="72">
        <v>0</v>
      </c>
      <c r="DV346" s="72">
        <v>0</v>
      </c>
      <c r="DW346" s="72">
        <v>0</v>
      </c>
      <c r="DX346" s="72">
        <v>0</v>
      </c>
      <c r="DY346" s="72">
        <v>0</v>
      </c>
      <c r="DZ346" s="72">
        <v>0</v>
      </c>
      <c r="EA346" s="72">
        <v>0</v>
      </c>
      <c r="EB346" s="72">
        <v>0</v>
      </c>
      <c r="EC346" s="72">
        <v>0</v>
      </c>
      <c r="ED346" s="72">
        <v>0</v>
      </c>
      <c r="EE346" s="72">
        <v>0</v>
      </c>
      <c r="EF346" s="72">
        <v>0</v>
      </c>
      <c r="EG346" s="72">
        <v>0</v>
      </c>
      <c r="EH346" s="72">
        <v>0</v>
      </c>
      <c r="EI346" s="72">
        <v>0</v>
      </c>
      <c r="EJ346" s="72">
        <v>0</v>
      </c>
      <c r="EK346" s="72">
        <v>0</v>
      </c>
      <c r="EL346" s="72">
        <v>0</v>
      </c>
    </row>
    <row r="347" spans="1:142" x14ac:dyDescent="0.35">
      <c r="A347" s="59">
        <f>Данные!A347</f>
        <v>5791</v>
      </c>
      <c r="B347" s="59">
        <f>Данные!B347</f>
        <v>2020</v>
      </c>
      <c r="C347" s="59" t="str">
        <f>Данные!C347</f>
        <v>компьютерных технологий и электронного обучения</v>
      </c>
      <c r="D347" s="59" t="str">
        <f>Данные!D347</f>
        <v>Власов Дмитрий Викторович</v>
      </c>
      <c r="E347" s="59" t="str">
        <f>Данные!E347</f>
        <v>нет</v>
      </c>
      <c r="F347" s="59" t="str">
        <f>Данные!F347</f>
        <v>внешний</v>
      </c>
      <c r="G347" s="59">
        <f>Данные!G347</f>
        <v>1</v>
      </c>
      <c r="H347" s="59" t="str">
        <f>Данные!H347</f>
        <v>4 курс 2017 год/пост</v>
      </c>
      <c r="I347" s="59" t="str">
        <f>Данные!I347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347" s="59">
        <f>Данные!J347</f>
        <v>0</v>
      </c>
      <c r="K347" s="59">
        <f>Данные!K347</f>
        <v>12</v>
      </c>
      <c r="L347" s="59">
        <f>Данные!L347</f>
        <v>0</v>
      </c>
      <c r="M347" s="60">
        <f t="shared" si="45"/>
        <v>1.2</v>
      </c>
      <c r="N347" s="60">
        <f t="shared" ca="1" si="46"/>
        <v>10.91</v>
      </c>
      <c r="O347" s="60">
        <f t="shared" ca="1" si="47"/>
        <v>6.75</v>
      </c>
      <c r="P347" s="60">
        <f t="shared" ca="1" si="48"/>
        <v>6.75</v>
      </c>
      <c r="Q347" s="54">
        <f>Данные!Q347</f>
        <v>0</v>
      </c>
      <c r="R347" s="54">
        <f>Данные!R347</f>
        <v>0</v>
      </c>
      <c r="S347" s="54">
        <f>Данные!S347</f>
        <v>0</v>
      </c>
      <c r="T347" s="54">
        <f>Данные!T347</f>
        <v>0</v>
      </c>
      <c r="U347" s="54">
        <f>Данные!U347</f>
        <v>0</v>
      </c>
      <c r="V347" s="54">
        <f>Данные!V347</f>
        <v>0</v>
      </c>
      <c r="W347" s="54">
        <f ca="1">Данные!W347</f>
        <v>27</v>
      </c>
      <c r="X347" s="54" t="str">
        <f ca="1">Данные!X347</f>
        <v>1</v>
      </c>
      <c r="Y347" s="54" t="str">
        <f ca="1">Данные!Y347</f>
        <v>2</v>
      </c>
      <c r="Z347" s="54">
        <f>Данные!Z347</f>
        <v>0</v>
      </c>
      <c r="AA347" s="54">
        <f>Данные!AA347</f>
        <v>0</v>
      </c>
      <c r="AB347" s="101">
        <f t="shared" si="49"/>
        <v>900</v>
      </c>
      <c r="AC347" s="101" t="str">
        <f t="shared" si="50"/>
        <v>ИВТ (бак)</v>
      </c>
      <c r="AD347" s="101" t="str">
        <f t="shared" si="51"/>
        <v/>
      </c>
      <c r="AE347" s="102">
        <f t="shared" ca="1" si="52"/>
        <v>37.61</v>
      </c>
      <c r="AF347" s="103">
        <f t="shared" ca="1" si="53"/>
        <v>4.1788888888888889E-2</v>
      </c>
      <c r="AG347" s="101"/>
      <c r="AH347" s="101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Q347" s="72">
        <v>0</v>
      </c>
      <c r="BR347" s="72">
        <v>0</v>
      </c>
      <c r="BS347" s="72">
        <v>0</v>
      </c>
      <c r="BT347" s="72">
        <v>0</v>
      </c>
      <c r="BU347" s="72">
        <v>0</v>
      </c>
      <c r="BV347" s="72">
        <v>0</v>
      </c>
      <c r="BW347" s="72">
        <v>0</v>
      </c>
      <c r="BX347" s="72">
        <v>0</v>
      </c>
      <c r="BY347" s="72">
        <v>0</v>
      </c>
      <c r="BZ347" s="72">
        <v>0</v>
      </c>
      <c r="CA347" s="72">
        <v>0</v>
      </c>
      <c r="CB347" s="72">
        <v>0</v>
      </c>
      <c r="CC347" s="72">
        <v>0</v>
      </c>
      <c r="CD347" s="72">
        <v>0</v>
      </c>
      <c r="CE347" s="72">
        <v>0</v>
      </c>
      <c r="CF347" s="72">
        <v>0</v>
      </c>
      <c r="CG347" s="72">
        <v>0</v>
      </c>
      <c r="CH347" s="72">
        <v>0</v>
      </c>
      <c r="CI347" s="72">
        <v>0</v>
      </c>
      <c r="CJ347" s="72">
        <v>0</v>
      </c>
      <c r="CK347" s="72">
        <v>0</v>
      </c>
      <c r="CL347" s="72">
        <v>0</v>
      </c>
      <c r="CM347" s="72">
        <v>0</v>
      </c>
      <c r="CN347" s="72">
        <v>0</v>
      </c>
      <c r="CO347" s="72">
        <v>0</v>
      </c>
      <c r="CP347" s="72">
        <v>0</v>
      </c>
      <c r="CQ347" s="72">
        <v>0</v>
      </c>
      <c r="CR347" s="72">
        <v>0</v>
      </c>
      <c r="CS347" s="72">
        <v>0</v>
      </c>
      <c r="CT347" s="72">
        <v>0</v>
      </c>
      <c r="CU347" s="72">
        <v>0</v>
      </c>
      <c r="CV347" s="72">
        <v>0</v>
      </c>
      <c r="CW347" s="72">
        <v>0</v>
      </c>
      <c r="CX347" s="72">
        <v>0</v>
      </c>
      <c r="CY347" s="72">
        <v>0</v>
      </c>
      <c r="CZ347" s="72">
        <v>0</v>
      </c>
      <c r="DA347" s="72">
        <v>0</v>
      </c>
      <c r="DB347" s="72">
        <v>0</v>
      </c>
      <c r="DC347" s="72">
        <v>0</v>
      </c>
      <c r="DD347" s="72">
        <v>0</v>
      </c>
      <c r="DE347" s="72">
        <v>0</v>
      </c>
      <c r="DF347" s="72">
        <v>0</v>
      </c>
      <c r="DG347" s="72">
        <v>0</v>
      </c>
      <c r="DH347" s="72">
        <v>0</v>
      </c>
      <c r="DI347" s="72">
        <v>0</v>
      </c>
      <c r="DJ347" s="72">
        <v>0</v>
      </c>
      <c r="DK347" s="72">
        <v>0</v>
      </c>
      <c r="DL347" s="72">
        <v>0</v>
      </c>
      <c r="DM347" s="72">
        <v>0</v>
      </c>
      <c r="DN347" s="72">
        <v>0</v>
      </c>
      <c r="DO347" s="72">
        <v>0</v>
      </c>
      <c r="DP347" s="72">
        <v>0</v>
      </c>
      <c r="DQ347" s="72">
        <v>0</v>
      </c>
      <c r="DR347" s="72">
        <v>0</v>
      </c>
      <c r="DS347" s="72">
        <v>0</v>
      </c>
      <c r="DT347" s="72">
        <v>0</v>
      </c>
      <c r="DU347" s="72">
        <v>0</v>
      </c>
      <c r="DV347" s="72">
        <v>0</v>
      </c>
      <c r="DW347" s="72">
        <v>0</v>
      </c>
      <c r="DX347" s="72">
        <v>0</v>
      </c>
      <c r="DY347" s="72">
        <v>0</v>
      </c>
      <c r="DZ347" s="72">
        <v>0</v>
      </c>
      <c r="EA347" s="72">
        <v>0</v>
      </c>
      <c r="EB347" s="72">
        <v>0</v>
      </c>
      <c r="EC347" s="72">
        <v>0</v>
      </c>
      <c r="ED347" s="72">
        <v>0</v>
      </c>
      <c r="EE347" s="72">
        <v>0</v>
      </c>
      <c r="EF347" s="72">
        <v>0</v>
      </c>
      <c r="EG347" s="72">
        <v>0</v>
      </c>
      <c r="EH347" s="72">
        <v>0</v>
      </c>
      <c r="EI347" s="72">
        <v>0</v>
      </c>
      <c r="EJ347" s="72">
        <v>0</v>
      </c>
      <c r="EK347" s="72">
        <v>0</v>
      </c>
      <c r="EL347" s="72">
        <v>0</v>
      </c>
    </row>
    <row r="348" spans="1:142" x14ac:dyDescent="0.35">
      <c r="A348" s="59">
        <f>Данные!A348</f>
        <v>5791</v>
      </c>
      <c r="B348" s="59">
        <f>Данные!B348</f>
        <v>2020</v>
      </c>
      <c r="C348" s="59" t="str">
        <f>Данные!C348</f>
        <v>компьютерных технологий и электронного обучения</v>
      </c>
      <c r="D348" s="59" t="str">
        <f>Данные!D348</f>
        <v>Серегин Александр Николаевич</v>
      </c>
      <c r="E348" s="59" t="str">
        <f>Данные!E348</f>
        <v>кандидат технических наук</v>
      </c>
      <c r="F348" s="59" t="str">
        <f>Данные!F348</f>
        <v>внешний</v>
      </c>
      <c r="G348" s="59">
        <f>Данные!G348</f>
        <v>1</v>
      </c>
      <c r="H348" s="59" t="str">
        <f>Данные!H348</f>
        <v>4 курс 2017 год/пост</v>
      </c>
      <c r="I348" s="59" t="str">
        <f>Данные!I348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348" s="59">
        <f>Данные!J348</f>
        <v>12</v>
      </c>
      <c r="K348" s="59">
        <f>Данные!K348</f>
        <v>0</v>
      </c>
      <c r="L348" s="59">
        <f>Данные!L348</f>
        <v>0</v>
      </c>
      <c r="M348" s="60">
        <f t="shared" si="45"/>
        <v>1.2</v>
      </c>
      <c r="N348" s="60">
        <f t="shared" ca="1" si="46"/>
        <v>10.91</v>
      </c>
      <c r="O348" s="60">
        <f t="shared" ca="1" si="47"/>
        <v>6.75</v>
      </c>
      <c r="P348" s="60">
        <f t="shared" ca="1" si="48"/>
        <v>6.75</v>
      </c>
      <c r="Q348" s="54">
        <f>Данные!Q348</f>
        <v>0</v>
      </c>
      <c r="R348" s="54">
        <f>Данные!R348</f>
        <v>0</v>
      </c>
      <c r="S348" s="54">
        <f>Данные!S348</f>
        <v>0</v>
      </c>
      <c r="T348" s="54">
        <f>Данные!T348</f>
        <v>0</v>
      </c>
      <c r="U348" s="54">
        <f>Данные!U348</f>
        <v>0</v>
      </c>
      <c r="V348" s="54">
        <f>Данные!V348</f>
        <v>0</v>
      </c>
      <c r="W348" s="54">
        <f ca="1">Данные!W348</f>
        <v>27</v>
      </c>
      <c r="X348" s="54" t="str">
        <f ca="1">Данные!X348</f>
        <v>1</v>
      </c>
      <c r="Y348" s="54" t="str">
        <f ca="1">Данные!Y348</f>
        <v>2</v>
      </c>
      <c r="Z348" s="54">
        <f>Данные!Z348</f>
        <v>0</v>
      </c>
      <c r="AA348" s="54">
        <f>Данные!AA348</f>
        <v>0</v>
      </c>
      <c r="AB348" s="101">
        <f t="shared" si="49"/>
        <v>900</v>
      </c>
      <c r="AC348" s="101" t="str">
        <f t="shared" si="50"/>
        <v>ИВТ (бак)</v>
      </c>
      <c r="AD348" s="101" t="str">
        <f t="shared" si="51"/>
        <v/>
      </c>
      <c r="AE348" s="102">
        <f t="shared" ca="1" si="52"/>
        <v>37.61</v>
      </c>
      <c r="AF348" s="103">
        <f t="shared" ca="1" si="53"/>
        <v>4.1788888888888889E-2</v>
      </c>
      <c r="AG348" s="101"/>
      <c r="AH348" s="101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Q348" s="72">
        <v>0</v>
      </c>
      <c r="BR348" s="72">
        <v>0</v>
      </c>
      <c r="BS348" s="72">
        <v>0</v>
      </c>
      <c r="BT348" s="72">
        <v>0</v>
      </c>
      <c r="BU348" s="72">
        <v>0</v>
      </c>
      <c r="BV348" s="72">
        <v>0</v>
      </c>
      <c r="BW348" s="72">
        <v>0</v>
      </c>
      <c r="BX348" s="72">
        <v>0</v>
      </c>
      <c r="BY348" s="72">
        <v>0</v>
      </c>
      <c r="BZ348" s="72">
        <v>0</v>
      </c>
      <c r="CA348" s="72">
        <v>0</v>
      </c>
      <c r="CB348" s="72">
        <v>0</v>
      </c>
      <c r="CC348" s="72">
        <v>0</v>
      </c>
      <c r="CD348" s="72">
        <v>0</v>
      </c>
      <c r="CE348" s="72">
        <v>0</v>
      </c>
      <c r="CF348" s="72">
        <v>0</v>
      </c>
      <c r="CG348" s="72">
        <v>0</v>
      </c>
      <c r="CH348" s="72">
        <v>0</v>
      </c>
      <c r="CI348" s="72">
        <v>0</v>
      </c>
      <c r="CJ348" s="72">
        <v>0</v>
      </c>
      <c r="CK348" s="72">
        <v>0</v>
      </c>
      <c r="CL348" s="72">
        <v>0</v>
      </c>
      <c r="CM348" s="72">
        <v>0</v>
      </c>
      <c r="CN348" s="72">
        <v>0</v>
      </c>
      <c r="CO348" s="72">
        <v>0</v>
      </c>
      <c r="CP348" s="72">
        <v>0</v>
      </c>
      <c r="CQ348" s="72">
        <v>0</v>
      </c>
      <c r="CR348" s="72">
        <v>0</v>
      </c>
      <c r="CS348" s="72">
        <v>0</v>
      </c>
      <c r="CT348" s="72">
        <v>0</v>
      </c>
      <c r="CU348" s="72">
        <v>0</v>
      </c>
      <c r="CV348" s="72">
        <v>0</v>
      </c>
      <c r="CW348" s="72">
        <v>0</v>
      </c>
      <c r="CX348" s="72">
        <v>0</v>
      </c>
      <c r="CY348" s="72">
        <v>0</v>
      </c>
      <c r="CZ348" s="72">
        <v>0</v>
      </c>
      <c r="DA348" s="72">
        <v>0</v>
      </c>
      <c r="DB348" s="72">
        <v>0</v>
      </c>
      <c r="DC348" s="72">
        <v>0</v>
      </c>
      <c r="DD348" s="72">
        <v>0</v>
      </c>
      <c r="DE348" s="72">
        <v>0</v>
      </c>
      <c r="DF348" s="72">
        <v>0</v>
      </c>
      <c r="DG348" s="72">
        <v>0</v>
      </c>
      <c r="DH348" s="72">
        <v>0</v>
      </c>
      <c r="DI348" s="72">
        <v>0</v>
      </c>
      <c r="DJ348" s="72">
        <v>0</v>
      </c>
      <c r="DK348" s="72">
        <v>0</v>
      </c>
      <c r="DL348" s="72">
        <v>0</v>
      </c>
      <c r="DM348" s="72">
        <v>0</v>
      </c>
      <c r="DN348" s="72">
        <v>0</v>
      </c>
      <c r="DO348" s="72">
        <v>0</v>
      </c>
      <c r="DP348" s="72">
        <v>0</v>
      </c>
      <c r="DQ348" s="72">
        <v>0</v>
      </c>
      <c r="DR348" s="72">
        <v>0</v>
      </c>
      <c r="DS348" s="72">
        <v>0</v>
      </c>
      <c r="DT348" s="72">
        <v>0</v>
      </c>
      <c r="DU348" s="72">
        <v>0</v>
      </c>
      <c r="DV348" s="72">
        <v>0</v>
      </c>
      <c r="DW348" s="72">
        <v>0</v>
      </c>
      <c r="DX348" s="72">
        <v>0</v>
      </c>
      <c r="DY348" s="72">
        <v>0</v>
      </c>
      <c r="DZ348" s="72">
        <v>0</v>
      </c>
      <c r="EA348" s="72">
        <v>0</v>
      </c>
      <c r="EB348" s="72">
        <v>0</v>
      </c>
      <c r="EC348" s="72">
        <v>0</v>
      </c>
      <c r="ED348" s="72">
        <v>0</v>
      </c>
      <c r="EE348" s="72">
        <v>0</v>
      </c>
      <c r="EF348" s="72">
        <v>0</v>
      </c>
      <c r="EG348" s="72">
        <v>0</v>
      </c>
      <c r="EH348" s="72">
        <v>0</v>
      </c>
      <c r="EI348" s="72">
        <v>0</v>
      </c>
      <c r="EJ348" s="72">
        <v>0</v>
      </c>
      <c r="EK348" s="72">
        <v>0</v>
      </c>
      <c r="EL348" s="72">
        <v>0</v>
      </c>
    </row>
    <row r="349" spans="1:142" x14ac:dyDescent="0.35">
      <c r="A349" s="59">
        <f>Данные!A349</f>
        <v>5791</v>
      </c>
      <c r="B349" s="59">
        <f>Данные!B349</f>
        <v>2020</v>
      </c>
      <c r="C349" s="59" t="str">
        <f>Данные!C349</f>
        <v>компьютерных технологий и электронного обучения</v>
      </c>
      <c r="D349" s="59" t="str">
        <f>Данные!D349</f>
        <v>Аксютин Павел Александрович</v>
      </c>
      <c r="E349" s="59" t="str">
        <f>Данные!E349</f>
        <v>нет</v>
      </c>
      <c r="F349" s="59" t="str">
        <f>Данные!F349</f>
        <v>ассистент</v>
      </c>
      <c r="G349" s="59">
        <f>Данные!G349</f>
        <v>0.25</v>
      </c>
      <c r="H349" s="59" t="str">
        <f>Данные!H349</f>
        <v>4 курс 2017 год/пост</v>
      </c>
      <c r="I349" s="59" t="str">
        <f>Данные!I349</f>
        <v>Модуль "Информационные ресурсы и средства профессиональной деятельности инженера". Визуализация данных и инфографика</v>
      </c>
      <c r="J349" s="59">
        <f>Данные!J349</f>
        <v>0</v>
      </c>
      <c r="K349" s="59">
        <f>Данные!K349</f>
        <v>0</v>
      </c>
      <c r="L349" s="59">
        <f>Данные!L349</f>
        <v>36</v>
      </c>
      <c r="M349" s="60">
        <f t="shared" si="45"/>
        <v>3.6</v>
      </c>
      <c r="N349" s="60">
        <f t="shared" ca="1" si="46"/>
        <v>10.91</v>
      </c>
      <c r="O349" s="60">
        <f t="shared" ca="1" si="47"/>
        <v>6.75</v>
      </c>
      <c r="P349" s="60">
        <f t="shared" ca="1" si="48"/>
        <v>6.75</v>
      </c>
      <c r="Q349" s="54">
        <f>Данные!Q349</f>
        <v>0</v>
      </c>
      <c r="R349" s="54">
        <f>Данные!R349</f>
        <v>0</v>
      </c>
      <c r="S349" s="54">
        <f>Данные!S349</f>
        <v>0</v>
      </c>
      <c r="T349" s="54">
        <f>Данные!T349</f>
        <v>0</v>
      </c>
      <c r="U349" s="54">
        <f>Данные!U349</f>
        <v>0</v>
      </c>
      <c r="V349" s="54">
        <f>Данные!V349</f>
        <v>0</v>
      </c>
      <c r="W349" s="54">
        <f ca="1">Данные!W349</f>
        <v>27</v>
      </c>
      <c r="X349" s="54" t="str">
        <f ca="1">Данные!X349</f>
        <v>1</v>
      </c>
      <c r="Y349" s="54" t="str">
        <f ca="1">Данные!Y349</f>
        <v>2</v>
      </c>
      <c r="Z349" s="54">
        <f>Данные!Z349</f>
        <v>0</v>
      </c>
      <c r="AA349" s="54">
        <f>Данные!AA349</f>
        <v>0</v>
      </c>
      <c r="AB349" s="101">
        <f t="shared" si="49"/>
        <v>900</v>
      </c>
      <c r="AC349" s="101" t="str">
        <f t="shared" si="50"/>
        <v>ИВТ (бак)</v>
      </c>
      <c r="AD349" s="101" t="str">
        <f t="shared" si="51"/>
        <v/>
      </c>
      <c r="AE349" s="102">
        <f t="shared" ca="1" si="52"/>
        <v>64.010000000000005</v>
      </c>
      <c r="AF349" s="103">
        <f t="shared" ca="1" si="53"/>
        <v>7.1122222222222226E-2</v>
      </c>
      <c r="AG349" s="101"/>
      <c r="AH349" s="101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Q349" s="72">
        <v>0</v>
      </c>
      <c r="BR349" s="72">
        <v>0</v>
      </c>
      <c r="BS349" s="72">
        <v>0</v>
      </c>
      <c r="BT349" s="72">
        <v>0</v>
      </c>
      <c r="BU349" s="72">
        <v>0</v>
      </c>
      <c r="BV349" s="72">
        <v>0</v>
      </c>
      <c r="BW349" s="72">
        <v>0</v>
      </c>
      <c r="BX349" s="72">
        <v>0</v>
      </c>
      <c r="BY349" s="72">
        <v>0</v>
      </c>
      <c r="BZ349" s="72">
        <v>0</v>
      </c>
      <c r="CA349" s="72">
        <v>0</v>
      </c>
      <c r="CB349" s="72">
        <v>0</v>
      </c>
      <c r="CC349" s="72">
        <v>0</v>
      </c>
      <c r="CD349" s="72">
        <v>0</v>
      </c>
      <c r="CE349" s="72">
        <v>0</v>
      </c>
      <c r="CF349" s="72">
        <v>0</v>
      </c>
      <c r="CG349" s="72">
        <v>0</v>
      </c>
      <c r="CH349" s="72">
        <v>0</v>
      </c>
      <c r="CI349" s="72">
        <v>0</v>
      </c>
      <c r="CJ349" s="72">
        <v>0</v>
      </c>
      <c r="CK349" s="72">
        <v>0</v>
      </c>
      <c r="CL349" s="72">
        <v>0</v>
      </c>
      <c r="CM349" s="72">
        <v>0</v>
      </c>
      <c r="CN349" s="72">
        <v>0</v>
      </c>
      <c r="CO349" s="72">
        <v>0</v>
      </c>
      <c r="CP349" s="72">
        <v>0</v>
      </c>
      <c r="CQ349" s="72">
        <v>0</v>
      </c>
      <c r="CR349" s="72">
        <v>0</v>
      </c>
      <c r="CS349" s="72">
        <v>0</v>
      </c>
      <c r="CT349" s="72">
        <v>0</v>
      </c>
      <c r="CU349" s="72">
        <v>0</v>
      </c>
      <c r="CV349" s="72">
        <v>0</v>
      </c>
      <c r="CW349" s="72">
        <v>0</v>
      </c>
      <c r="CX349" s="72">
        <v>0</v>
      </c>
      <c r="CY349" s="72">
        <v>0</v>
      </c>
      <c r="CZ349" s="72">
        <v>0</v>
      </c>
      <c r="DA349" s="72">
        <v>0</v>
      </c>
      <c r="DB349" s="72">
        <v>0</v>
      </c>
      <c r="DC349" s="72">
        <v>0</v>
      </c>
      <c r="DD349" s="72">
        <v>0</v>
      </c>
      <c r="DE349" s="72">
        <v>0</v>
      </c>
      <c r="DF349" s="72">
        <v>0</v>
      </c>
      <c r="DG349" s="72">
        <v>0</v>
      </c>
      <c r="DH349" s="72">
        <v>0</v>
      </c>
      <c r="DI349" s="72">
        <v>0</v>
      </c>
      <c r="DJ349" s="72">
        <v>0</v>
      </c>
      <c r="DK349" s="72">
        <v>0</v>
      </c>
      <c r="DL349" s="72">
        <v>0</v>
      </c>
      <c r="DM349" s="72">
        <v>0</v>
      </c>
      <c r="DN349" s="72">
        <v>0</v>
      </c>
      <c r="DO349" s="72">
        <v>0</v>
      </c>
      <c r="DP349" s="72">
        <v>0</v>
      </c>
      <c r="DQ349" s="72">
        <v>0</v>
      </c>
      <c r="DR349" s="72">
        <v>0</v>
      </c>
      <c r="DS349" s="72">
        <v>0</v>
      </c>
      <c r="DT349" s="72">
        <v>0</v>
      </c>
      <c r="DU349" s="72">
        <v>0</v>
      </c>
      <c r="DV349" s="72">
        <v>0</v>
      </c>
      <c r="DW349" s="72">
        <v>0</v>
      </c>
      <c r="DX349" s="72">
        <v>0</v>
      </c>
      <c r="DY349" s="72">
        <v>0</v>
      </c>
      <c r="DZ349" s="72">
        <v>0</v>
      </c>
      <c r="EA349" s="72">
        <v>0</v>
      </c>
      <c r="EB349" s="72">
        <v>0</v>
      </c>
      <c r="EC349" s="72">
        <v>0</v>
      </c>
      <c r="ED349" s="72">
        <v>0</v>
      </c>
      <c r="EE349" s="72">
        <v>0</v>
      </c>
      <c r="EF349" s="72">
        <v>0</v>
      </c>
      <c r="EG349" s="72">
        <v>0</v>
      </c>
      <c r="EH349" s="72">
        <v>0</v>
      </c>
      <c r="EI349" s="72">
        <v>0</v>
      </c>
      <c r="EJ349" s="72">
        <v>0</v>
      </c>
      <c r="EK349" s="72">
        <v>0</v>
      </c>
      <c r="EL349" s="72">
        <v>0</v>
      </c>
    </row>
    <row r="350" spans="1:142" x14ac:dyDescent="0.35">
      <c r="A350" s="59">
        <f>Данные!A350</f>
        <v>4858</v>
      </c>
      <c r="B350" s="59">
        <f>Данные!B350</f>
        <v>2019</v>
      </c>
      <c r="C350" s="59" t="str">
        <f>Данные!C350</f>
        <v>компьютерных технологий и электронного обучения</v>
      </c>
      <c r="D350" s="59" t="str">
        <f>Данные!D350</f>
        <v>Власов Дмитрий Викторович</v>
      </c>
      <c r="E350" s="59" t="str">
        <f>Данные!E350</f>
        <v>нет</v>
      </c>
      <c r="F350" s="59" t="str">
        <f>Данные!F350</f>
        <v>внешний</v>
      </c>
      <c r="G350" s="59">
        <f>Данные!G350</f>
        <v>0</v>
      </c>
      <c r="H350" s="59" t="str">
        <f>Данные!H350</f>
        <v>4 курс 2016 год/пост</v>
      </c>
      <c r="I350" s="59" t="str">
        <f>Данные!I350</f>
        <v>Модуль "Информационные ресурсы и средства профессиональной деятельности инженера". Программная инженерия</v>
      </c>
      <c r="J350" s="59">
        <f>Данные!J350</f>
        <v>0</v>
      </c>
      <c r="K350" s="59">
        <f>Данные!K350</f>
        <v>0</v>
      </c>
      <c r="L350" s="59">
        <f>Данные!L350</f>
        <v>48</v>
      </c>
      <c r="M350" s="60">
        <f t="shared" si="45"/>
        <v>4.8</v>
      </c>
      <c r="N350" s="60">
        <f t="shared" ca="1" si="46"/>
        <v>10.91</v>
      </c>
      <c r="O350" s="60">
        <f t="shared" ca="1" si="47"/>
        <v>6.75</v>
      </c>
      <c r="P350" s="60">
        <f t="shared" ca="1" si="48"/>
        <v>6.75</v>
      </c>
      <c r="Q350" s="54">
        <f>Данные!Q350</f>
        <v>0</v>
      </c>
      <c r="R350" s="54">
        <f>Данные!R350</f>
        <v>0</v>
      </c>
      <c r="S350" s="54">
        <f>Данные!S350</f>
        <v>0</v>
      </c>
      <c r="T350" s="54">
        <f>Данные!T350</f>
        <v>0</v>
      </c>
      <c r="U350" s="54">
        <f>Данные!U350</f>
        <v>0</v>
      </c>
      <c r="V350" s="54">
        <f>Данные!V350</f>
        <v>0</v>
      </c>
      <c r="W350" s="54">
        <f ca="1">Данные!W350</f>
        <v>27</v>
      </c>
      <c r="X350" s="54" t="str">
        <f ca="1">Данные!X350</f>
        <v>1</v>
      </c>
      <c r="Y350" s="54" t="str">
        <f ca="1">Данные!Y350</f>
        <v>2</v>
      </c>
      <c r="Z350" s="54">
        <f>Данные!Z350</f>
        <v>0</v>
      </c>
      <c r="AA350" s="54">
        <f>Данные!AA350</f>
        <v>0</v>
      </c>
      <c r="AB350" s="101">
        <f t="shared" si="49"/>
        <v>900</v>
      </c>
      <c r="AC350" s="101" t="str">
        <f t="shared" si="50"/>
        <v>ИВТ (бак)</v>
      </c>
      <c r="AD350" s="101" t="str">
        <f t="shared" si="51"/>
        <v/>
      </c>
      <c r="AE350" s="102">
        <f t="shared" ca="1" si="52"/>
        <v>77.209999999999994</v>
      </c>
      <c r="AF350" s="103">
        <f t="shared" ca="1" si="53"/>
        <v>8.5788888888888887E-2</v>
      </c>
      <c r="AG350" s="101"/>
      <c r="AH350" s="101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Q350" s="72">
        <v>0</v>
      </c>
      <c r="BR350" s="72">
        <v>0</v>
      </c>
      <c r="BS350" s="72">
        <v>0</v>
      </c>
      <c r="BT350" s="72">
        <v>0</v>
      </c>
      <c r="BU350" s="72">
        <v>0</v>
      </c>
      <c r="BV350" s="72">
        <v>0</v>
      </c>
      <c r="BW350" s="72">
        <v>0</v>
      </c>
      <c r="BX350" s="72">
        <v>0</v>
      </c>
      <c r="BY350" s="72">
        <v>0</v>
      </c>
      <c r="BZ350" s="72">
        <v>0</v>
      </c>
      <c r="CA350" s="72">
        <v>0</v>
      </c>
      <c r="CB350" s="72">
        <v>0</v>
      </c>
      <c r="CC350" s="72">
        <v>0</v>
      </c>
      <c r="CD350" s="72">
        <v>0</v>
      </c>
      <c r="CE350" s="72">
        <v>0</v>
      </c>
      <c r="CF350" s="72">
        <v>0</v>
      </c>
      <c r="CG350" s="72">
        <v>0</v>
      </c>
      <c r="CH350" s="72">
        <v>0</v>
      </c>
      <c r="CI350" s="72">
        <v>0</v>
      </c>
      <c r="CJ350" s="72">
        <v>0</v>
      </c>
      <c r="CK350" s="72">
        <v>0</v>
      </c>
      <c r="CL350" s="72">
        <v>0</v>
      </c>
      <c r="CM350" s="72">
        <v>0</v>
      </c>
      <c r="CN350" s="72">
        <v>0</v>
      </c>
      <c r="CO350" s="72">
        <v>0</v>
      </c>
      <c r="CP350" s="72">
        <v>0</v>
      </c>
      <c r="CQ350" s="72">
        <v>0</v>
      </c>
      <c r="CR350" s="72">
        <v>0</v>
      </c>
      <c r="CS350" s="72">
        <v>0</v>
      </c>
      <c r="CT350" s="72">
        <v>0</v>
      </c>
      <c r="CU350" s="72">
        <v>0</v>
      </c>
      <c r="CV350" s="72">
        <v>0</v>
      </c>
      <c r="CW350" s="72">
        <v>0</v>
      </c>
      <c r="CX350" s="72">
        <v>0</v>
      </c>
      <c r="CY350" s="72">
        <v>0</v>
      </c>
      <c r="CZ350" s="72">
        <v>0</v>
      </c>
      <c r="DA350" s="72">
        <v>0</v>
      </c>
      <c r="DB350" s="72">
        <v>0</v>
      </c>
      <c r="DC350" s="72">
        <v>0</v>
      </c>
      <c r="DD350" s="72">
        <v>0</v>
      </c>
      <c r="DE350" s="72">
        <v>0</v>
      </c>
      <c r="DF350" s="72">
        <v>0</v>
      </c>
      <c r="DG350" s="72">
        <v>0</v>
      </c>
      <c r="DH350" s="72">
        <v>0</v>
      </c>
      <c r="DI350" s="72">
        <v>0</v>
      </c>
      <c r="DJ350" s="72">
        <v>0</v>
      </c>
      <c r="DK350" s="72">
        <v>0</v>
      </c>
      <c r="DL350" s="72">
        <v>0</v>
      </c>
      <c r="DM350" s="72">
        <v>0</v>
      </c>
      <c r="DN350" s="72">
        <v>0</v>
      </c>
      <c r="DO350" s="72">
        <v>0</v>
      </c>
      <c r="DP350" s="72">
        <v>0</v>
      </c>
      <c r="DQ350" s="72">
        <v>0</v>
      </c>
      <c r="DR350" s="72">
        <v>0</v>
      </c>
      <c r="DS350" s="72">
        <v>0</v>
      </c>
      <c r="DT350" s="72">
        <v>0</v>
      </c>
      <c r="DU350" s="72">
        <v>0</v>
      </c>
      <c r="DV350" s="72">
        <v>0</v>
      </c>
      <c r="DW350" s="72">
        <v>0</v>
      </c>
      <c r="DX350" s="72">
        <v>0</v>
      </c>
      <c r="DY350" s="72">
        <v>0</v>
      </c>
      <c r="DZ350" s="72">
        <v>0</v>
      </c>
      <c r="EA350" s="72">
        <v>0</v>
      </c>
      <c r="EB350" s="72">
        <v>0</v>
      </c>
      <c r="EC350" s="72">
        <v>0</v>
      </c>
      <c r="ED350" s="72">
        <v>0</v>
      </c>
      <c r="EE350" s="72">
        <v>0</v>
      </c>
      <c r="EF350" s="72">
        <v>0</v>
      </c>
      <c r="EG350" s="72">
        <v>0</v>
      </c>
      <c r="EH350" s="72">
        <v>0</v>
      </c>
      <c r="EI350" s="72">
        <v>0</v>
      </c>
      <c r="EJ350" s="72">
        <v>0</v>
      </c>
      <c r="EK350" s="72">
        <v>0</v>
      </c>
      <c r="EL350" s="72">
        <v>0</v>
      </c>
    </row>
    <row r="351" spans="1:142" x14ac:dyDescent="0.35">
      <c r="A351" s="59">
        <f>Данные!A351</f>
        <v>4858</v>
      </c>
      <c r="B351" s="59">
        <f>Данные!B351</f>
        <v>2019</v>
      </c>
      <c r="C351" s="59" t="str">
        <f>Данные!C351</f>
        <v>компьютерных технологий и электронного обучения</v>
      </c>
      <c r="D351" s="59" t="str">
        <f>Данные!D351</f>
        <v>Воробьев Владимир Иванович</v>
      </c>
      <c r="E351" s="59" t="str">
        <f>Данные!E351</f>
        <v>доктор технических наук</v>
      </c>
      <c r="F351" s="59" t="str">
        <f>Данные!F351</f>
        <v>внешний</v>
      </c>
      <c r="G351" s="59">
        <f>Данные!G351</f>
        <v>0</v>
      </c>
      <c r="H351" s="59" t="str">
        <f>Данные!H351</f>
        <v>4 курс 2016 год/пост</v>
      </c>
      <c r="I351" s="59" t="str">
        <f>Данные!I351</f>
        <v>Модуль "Информационные ресурсы и средства профессиональной деятельности инженера". Программная инженерия</v>
      </c>
      <c r="J351" s="59">
        <f>Данные!J351</f>
        <v>12</v>
      </c>
      <c r="K351" s="59">
        <f>Данные!K351</f>
        <v>0</v>
      </c>
      <c r="L351" s="59">
        <f>Данные!L351</f>
        <v>0</v>
      </c>
      <c r="M351" s="60">
        <f t="shared" si="45"/>
        <v>1.2</v>
      </c>
      <c r="N351" s="60">
        <f t="shared" ca="1" si="46"/>
        <v>10.91</v>
      </c>
      <c r="O351" s="60">
        <f t="shared" ca="1" si="47"/>
        <v>6.75</v>
      </c>
      <c r="P351" s="60">
        <f t="shared" ca="1" si="48"/>
        <v>6.75</v>
      </c>
      <c r="Q351" s="54">
        <f>Данные!Q351</f>
        <v>0</v>
      </c>
      <c r="R351" s="54">
        <f>Данные!R351</f>
        <v>0</v>
      </c>
      <c r="S351" s="54">
        <f>Данные!S351</f>
        <v>0</v>
      </c>
      <c r="T351" s="54">
        <f>Данные!T351</f>
        <v>0</v>
      </c>
      <c r="U351" s="54">
        <f>Данные!U351</f>
        <v>0</v>
      </c>
      <c r="V351" s="54">
        <f>Данные!V351</f>
        <v>0</v>
      </c>
      <c r="W351" s="54">
        <f ca="1">Данные!W351</f>
        <v>27</v>
      </c>
      <c r="X351" s="54" t="str">
        <f ca="1">Данные!X351</f>
        <v>1</v>
      </c>
      <c r="Y351" s="54" t="str">
        <f ca="1">Данные!Y351</f>
        <v>2</v>
      </c>
      <c r="Z351" s="54">
        <f>Данные!Z351</f>
        <v>0</v>
      </c>
      <c r="AA351" s="54">
        <f>Данные!AA351</f>
        <v>0</v>
      </c>
      <c r="AB351" s="101">
        <f t="shared" si="49"/>
        <v>900</v>
      </c>
      <c r="AC351" s="101" t="str">
        <f t="shared" si="50"/>
        <v>ИВТ (бак)</v>
      </c>
      <c r="AD351" s="101" t="str">
        <f t="shared" si="51"/>
        <v/>
      </c>
      <c r="AE351" s="102">
        <f t="shared" ca="1" si="52"/>
        <v>37.61</v>
      </c>
      <c r="AF351" s="103">
        <f t="shared" ca="1" si="53"/>
        <v>4.1788888888888889E-2</v>
      </c>
      <c r="AG351" s="101"/>
      <c r="AH351" s="10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Q351" s="72">
        <v>0</v>
      </c>
      <c r="BR351" s="72">
        <v>0</v>
      </c>
      <c r="BS351" s="72">
        <v>0</v>
      </c>
      <c r="BT351" s="72">
        <v>0</v>
      </c>
      <c r="BU351" s="72">
        <v>0</v>
      </c>
      <c r="BV351" s="72">
        <v>0</v>
      </c>
      <c r="BW351" s="72">
        <v>0</v>
      </c>
      <c r="BX351" s="72">
        <v>0</v>
      </c>
      <c r="BY351" s="72">
        <v>0</v>
      </c>
      <c r="BZ351" s="72">
        <v>0</v>
      </c>
      <c r="CA351" s="72">
        <v>0</v>
      </c>
      <c r="CB351" s="72">
        <v>0</v>
      </c>
      <c r="CC351" s="72">
        <v>0</v>
      </c>
      <c r="CD351" s="72">
        <v>0</v>
      </c>
      <c r="CE351" s="72">
        <v>0</v>
      </c>
      <c r="CF351" s="72">
        <v>0</v>
      </c>
      <c r="CG351" s="72">
        <v>0</v>
      </c>
      <c r="CH351" s="72">
        <v>0</v>
      </c>
      <c r="CI351" s="72">
        <v>0</v>
      </c>
      <c r="CJ351" s="72">
        <v>0</v>
      </c>
      <c r="CK351" s="72">
        <v>0</v>
      </c>
      <c r="CL351" s="72">
        <v>0</v>
      </c>
      <c r="CM351" s="72">
        <v>0</v>
      </c>
      <c r="CN351" s="72">
        <v>0</v>
      </c>
      <c r="CO351" s="72">
        <v>0</v>
      </c>
      <c r="CP351" s="72">
        <v>0</v>
      </c>
      <c r="CQ351" s="72">
        <v>0</v>
      </c>
      <c r="CR351" s="72">
        <v>0</v>
      </c>
      <c r="CS351" s="72">
        <v>0</v>
      </c>
      <c r="CT351" s="72">
        <v>0</v>
      </c>
      <c r="CU351" s="72">
        <v>0</v>
      </c>
      <c r="CV351" s="72">
        <v>0</v>
      </c>
      <c r="CW351" s="72">
        <v>0</v>
      </c>
      <c r="CX351" s="72">
        <v>0</v>
      </c>
      <c r="CY351" s="72">
        <v>0</v>
      </c>
      <c r="CZ351" s="72">
        <v>0</v>
      </c>
      <c r="DA351" s="72">
        <v>0</v>
      </c>
      <c r="DB351" s="72">
        <v>0</v>
      </c>
      <c r="DC351" s="72">
        <v>0</v>
      </c>
      <c r="DD351" s="72">
        <v>0</v>
      </c>
      <c r="DE351" s="72">
        <v>0</v>
      </c>
      <c r="DF351" s="72">
        <v>0</v>
      </c>
      <c r="DG351" s="72">
        <v>0</v>
      </c>
      <c r="DH351" s="72">
        <v>0</v>
      </c>
      <c r="DI351" s="72">
        <v>0</v>
      </c>
      <c r="DJ351" s="72">
        <v>0</v>
      </c>
      <c r="DK351" s="72">
        <v>0</v>
      </c>
      <c r="DL351" s="72">
        <v>0</v>
      </c>
      <c r="DM351" s="72">
        <v>0</v>
      </c>
      <c r="DN351" s="72">
        <v>0</v>
      </c>
      <c r="DO351" s="72">
        <v>0</v>
      </c>
      <c r="DP351" s="72">
        <v>0</v>
      </c>
      <c r="DQ351" s="72">
        <v>0</v>
      </c>
      <c r="DR351" s="72">
        <v>0</v>
      </c>
      <c r="DS351" s="72">
        <v>0</v>
      </c>
      <c r="DT351" s="72">
        <v>0</v>
      </c>
      <c r="DU351" s="72">
        <v>0</v>
      </c>
      <c r="DV351" s="72">
        <v>0</v>
      </c>
      <c r="DW351" s="72">
        <v>0</v>
      </c>
      <c r="DX351" s="72">
        <v>0</v>
      </c>
      <c r="DY351" s="72">
        <v>0</v>
      </c>
      <c r="DZ351" s="72">
        <v>0</v>
      </c>
      <c r="EA351" s="72">
        <v>0</v>
      </c>
      <c r="EB351" s="72">
        <v>0</v>
      </c>
      <c r="EC351" s="72">
        <v>0</v>
      </c>
      <c r="ED351" s="72">
        <v>0</v>
      </c>
      <c r="EE351" s="72">
        <v>0</v>
      </c>
      <c r="EF351" s="72">
        <v>0</v>
      </c>
      <c r="EG351" s="72">
        <v>0</v>
      </c>
      <c r="EH351" s="72">
        <v>0</v>
      </c>
      <c r="EI351" s="72">
        <v>0</v>
      </c>
      <c r="EJ351" s="72">
        <v>0</v>
      </c>
      <c r="EK351" s="72">
        <v>0</v>
      </c>
      <c r="EL351" s="72">
        <v>0</v>
      </c>
    </row>
    <row r="352" spans="1:142" x14ac:dyDescent="0.35">
      <c r="A352" s="59">
        <f>Данные!A352</f>
        <v>5791</v>
      </c>
      <c r="B352" s="59">
        <f>Данные!B352</f>
        <v>2020</v>
      </c>
      <c r="C352" s="59" t="str">
        <f>Данные!C352</f>
        <v>компьютерных технологий и электронного обучения</v>
      </c>
      <c r="D352" s="59" t="str">
        <f>Данные!D352</f>
        <v>Власов Дмитрий Викторович</v>
      </c>
      <c r="E352" s="59" t="str">
        <f>Данные!E352</f>
        <v>нет</v>
      </c>
      <c r="F352" s="59" t="str">
        <f>Данные!F352</f>
        <v>внешний</v>
      </c>
      <c r="G352" s="59">
        <f>Данные!G352</f>
        <v>1</v>
      </c>
      <c r="H352" s="59" t="str">
        <f>Данные!H352</f>
        <v>4 курс 2017 год/пост</v>
      </c>
      <c r="I352" s="59" t="str">
        <f>Данные!I352</f>
        <v>Модуль "Информационные ресурсы и средства профессиональной деятельности инженера". Программная инженерия</v>
      </c>
      <c r="J352" s="59">
        <f>Данные!J352</f>
        <v>0</v>
      </c>
      <c r="K352" s="59">
        <f>Данные!K352</f>
        <v>24</v>
      </c>
      <c r="L352" s="59">
        <f>Данные!L352</f>
        <v>0</v>
      </c>
      <c r="M352" s="60">
        <f t="shared" si="45"/>
        <v>2.4</v>
      </c>
      <c r="N352" s="60">
        <f t="shared" ca="1" si="46"/>
        <v>10.91</v>
      </c>
      <c r="O352" s="60">
        <f t="shared" ca="1" si="47"/>
        <v>6.75</v>
      </c>
      <c r="P352" s="60">
        <f t="shared" ca="1" si="48"/>
        <v>6.75</v>
      </c>
      <c r="Q352" s="54">
        <f>Данные!Q352</f>
        <v>0</v>
      </c>
      <c r="R352" s="54">
        <f>Данные!R352</f>
        <v>0</v>
      </c>
      <c r="S352" s="54">
        <f>Данные!S352</f>
        <v>0</v>
      </c>
      <c r="T352" s="54">
        <f>Данные!T352</f>
        <v>0</v>
      </c>
      <c r="U352" s="54">
        <f>Данные!U352</f>
        <v>0</v>
      </c>
      <c r="V352" s="54">
        <f>Данные!V352</f>
        <v>0</v>
      </c>
      <c r="W352" s="54">
        <f ca="1">Данные!W352</f>
        <v>27</v>
      </c>
      <c r="X352" s="54" t="str">
        <f ca="1">Данные!X352</f>
        <v>1</v>
      </c>
      <c r="Y352" s="54" t="str">
        <f ca="1">Данные!Y352</f>
        <v>2</v>
      </c>
      <c r="Z352" s="54">
        <f>Данные!Z352</f>
        <v>0</v>
      </c>
      <c r="AA352" s="54">
        <f>Данные!AA352</f>
        <v>0</v>
      </c>
      <c r="AB352" s="101">
        <f t="shared" si="49"/>
        <v>900</v>
      </c>
      <c r="AC352" s="101" t="str">
        <f t="shared" si="50"/>
        <v>ИВТ (бак)</v>
      </c>
      <c r="AD352" s="101" t="str">
        <f t="shared" si="51"/>
        <v/>
      </c>
      <c r="AE352" s="102">
        <f t="shared" ca="1" si="52"/>
        <v>50.81</v>
      </c>
      <c r="AF352" s="103">
        <f t="shared" ca="1" si="53"/>
        <v>5.6455555555555557E-2</v>
      </c>
      <c r="AG352" s="101"/>
      <c r="AH352" s="101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Q352" s="72">
        <v>0</v>
      </c>
      <c r="BR352" s="72">
        <v>0</v>
      </c>
      <c r="BS352" s="72">
        <v>0</v>
      </c>
      <c r="BT352" s="72">
        <v>0</v>
      </c>
      <c r="BU352" s="72">
        <v>0</v>
      </c>
      <c r="BV352" s="72">
        <v>0</v>
      </c>
      <c r="BW352" s="72">
        <v>0</v>
      </c>
      <c r="BX352" s="72">
        <v>0</v>
      </c>
      <c r="BY352" s="72">
        <v>0</v>
      </c>
      <c r="BZ352" s="72">
        <v>0</v>
      </c>
      <c r="CA352" s="72">
        <v>0</v>
      </c>
      <c r="CB352" s="72">
        <v>0</v>
      </c>
      <c r="CC352" s="72">
        <v>0</v>
      </c>
      <c r="CD352" s="72">
        <v>0</v>
      </c>
      <c r="CE352" s="72">
        <v>0</v>
      </c>
      <c r="CF352" s="72">
        <v>0</v>
      </c>
      <c r="CG352" s="72">
        <v>0</v>
      </c>
      <c r="CH352" s="72">
        <v>0</v>
      </c>
      <c r="CI352" s="72">
        <v>0</v>
      </c>
      <c r="CJ352" s="72">
        <v>0</v>
      </c>
      <c r="CK352" s="72">
        <v>0</v>
      </c>
      <c r="CL352" s="72">
        <v>0</v>
      </c>
      <c r="CM352" s="72">
        <v>0</v>
      </c>
      <c r="CN352" s="72">
        <v>0</v>
      </c>
      <c r="CO352" s="72">
        <v>0</v>
      </c>
      <c r="CP352" s="72">
        <v>0</v>
      </c>
      <c r="CQ352" s="72">
        <v>0</v>
      </c>
      <c r="CR352" s="72">
        <v>0</v>
      </c>
      <c r="CS352" s="72">
        <v>0</v>
      </c>
      <c r="CT352" s="72">
        <v>0</v>
      </c>
      <c r="CU352" s="72">
        <v>0</v>
      </c>
      <c r="CV352" s="72">
        <v>0</v>
      </c>
      <c r="CW352" s="72">
        <v>0</v>
      </c>
      <c r="CX352" s="72">
        <v>0</v>
      </c>
      <c r="CY352" s="72">
        <v>0</v>
      </c>
      <c r="CZ352" s="72">
        <v>0</v>
      </c>
      <c r="DA352" s="72">
        <v>0</v>
      </c>
      <c r="DB352" s="72">
        <v>0</v>
      </c>
      <c r="DC352" s="72">
        <v>0</v>
      </c>
      <c r="DD352" s="72">
        <v>0</v>
      </c>
      <c r="DE352" s="72">
        <v>0</v>
      </c>
      <c r="DF352" s="72">
        <v>0</v>
      </c>
      <c r="DG352" s="72">
        <v>0</v>
      </c>
      <c r="DH352" s="72">
        <v>0</v>
      </c>
      <c r="DI352" s="72">
        <v>0</v>
      </c>
      <c r="DJ352" s="72">
        <v>0</v>
      </c>
      <c r="DK352" s="72">
        <v>0</v>
      </c>
      <c r="DL352" s="72">
        <v>0</v>
      </c>
      <c r="DM352" s="72">
        <v>0</v>
      </c>
      <c r="DN352" s="72">
        <v>0</v>
      </c>
      <c r="DO352" s="72">
        <v>0</v>
      </c>
      <c r="DP352" s="72">
        <v>0</v>
      </c>
      <c r="DQ352" s="72">
        <v>0</v>
      </c>
      <c r="DR352" s="72">
        <v>0</v>
      </c>
      <c r="DS352" s="72">
        <v>0</v>
      </c>
      <c r="DT352" s="72">
        <v>0</v>
      </c>
      <c r="DU352" s="72">
        <v>0</v>
      </c>
      <c r="DV352" s="72">
        <v>0</v>
      </c>
      <c r="DW352" s="72">
        <v>0</v>
      </c>
      <c r="DX352" s="72">
        <v>0</v>
      </c>
      <c r="DY352" s="72">
        <v>0</v>
      </c>
      <c r="DZ352" s="72">
        <v>0</v>
      </c>
      <c r="EA352" s="72">
        <v>0</v>
      </c>
      <c r="EB352" s="72">
        <v>0</v>
      </c>
      <c r="EC352" s="72">
        <v>0</v>
      </c>
      <c r="ED352" s="72">
        <v>0</v>
      </c>
      <c r="EE352" s="72">
        <v>0</v>
      </c>
      <c r="EF352" s="72">
        <v>0</v>
      </c>
      <c r="EG352" s="72">
        <v>0</v>
      </c>
      <c r="EH352" s="72">
        <v>0</v>
      </c>
      <c r="EI352" s="72">
        <v>0</v>
      </c>
      <c r="EJ352" s="72">
        <v>0</v>
      </c>
      <c r="EK352" s="72">
        <v>0</v>
      </c>
      <c r="EL352" s="72">
        <v>0</v>
      </c>
    </row>
    <row r="353" spans="1:142" x14ac:dyDescent="0.35">
      <c r="A353" s="59">
        <f>Данные!A353</f>
        <v>5791</v>
      </c>
      <c r="B353" s="59">
        <f>Данные!B353</f>
        <v>2020</v>
      </c>
      <c r="C353" s="59" t="str">
        <f>Данные!C353</f>
        <v>компьютерных технологий и электронного обучения</v>
      </c>
      <c r="D353" s="59" t="str">
        <f>Данные!D353</f>
        <v>Воробьев Владимир Иванович</v>
      </c>
      <c r="E353" s="59" t="str">
        <f>Данные!E353</f>
        <v>доктор технических наук</v>
      </c>
      <c r="F353" s="59" t="str">
        <f>Данные!F353</f>
        <v>внешний</v>
      </c>
      <c r="G353" s="59">
        <f>Данные!G353</f>
        <v>1</v>
      </c>
      <c r="H353" s="59" t="str">
        <f>Данные!H353</f>
        <v>4 курс 2017 год/пост</v>
      </c>
      <c r="I353" s="59" t="str">
        <f>Данные!I353</f>
        <v>Модуль "Информационные ресурсы и средства профессиональной деятельности инженера". Программная инженерия</v>
      </c>
      <c r="J353" s="59">
        <f>Данные!J353</f>
        <v>12</v>
      </c>
      <c r="K353" s="59">
        <f>Данные!K353</f>
        <v>0</v>
      </c>
      <c r="L353" s="59">
        <f>Данные!L353</f>
        <v>0</v>
      </c>
      <c r="M353" s="60">
        <f t="shared" si="45"/>
        <v>1.2</v>
      </c>
      <c r="N353" s="60">
        <f t="shared" ca="1" si="46"/>
        <v>10.91</v>
      </c>
      <c r="O353" s="60">
        <f t="shared" ca="1" si="47"/>
        <v>6.75</v>
      </c>
      <c r="P353" s="60">
        <f t="shared" ca="1" si="48"/>
        <v>6.75</v>
      </c>
      <c r="Q353" s="54">
        <f>Данные!Q353</f>
        <v>0</v>
      </c>
      <c r="R353" s="54">
        <f>Данные!R353</f>
        <v>0</v>
      </c>
      <c r="S353" s="54">
        <f>Данные!S353</f>
        <v>0</v>
      </c>
      <c r="T353" s="54">
        <f>Данные!T353</f>
        <v>0</v>
      </c>
      <c r="U353" s="54">
        <f>Данные!U353</f>
        <v>0</v>
      </c>
      <c r="V353" s="54">
        <f>Данные!V353</f>
        <v>0</v>
      </c>
      <c r="W353" s="54">
        <f ca="1">Данные!W353</f>
        <v>27</v>
      </c>
      <c r="X353" s="54" t="str">
        <f ca="1">Данные!X353</f>
        <v>1</v>
      </c>
      <c r="Y353" s="54" t="str">
        <f ca="1">Данные!Y353</f>
        <v>2</v>
      </c>
      <c r="Z353" s="54">
        <f>Данные!Z353</f>
        <v>0</v>
      </c>
      <c r="AA353" s="54">
        <f>Данные!AA353</f>
        <v>0</v>
      </c>
      <c r="AB353" s="101">
        <f t="shared" si="49"/>
        <v>900</v>
      </c>
      <c r="AC353" s="101" t="str">
        <f t="shared" si="50"/>
        <v>ИВТ (бак)</v>
      </c>
      <c r="AD353" s="101" t="str">
        <f t="shared" si="51"/>
        <v/>
      </c>
      <c r="AE353" s="102">
        <f t="shared" ca="1" si="52"/>
        <v>37.61</v>
      </c>
      <c r="AF353" s="103">
        <f t="shared" ca="1" si="53"/>
        <v>4.1788888888888889E-2</v>
      </c>
      <c r="AG353" s="101"/>
      <c r="AH353" s="101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Q353" s="72">
        <v>0</v>
      </c>
      <c r="BR353" s="72">
        <v>0</v>
      </c>
      <c r="BS353" s="72">
        <v>0</v>
      </c>
      <c r="BT353" s="72">
        <v>0</v>
      </c>
      <c r="BU353" s="72">
        <v>0</v>
      </c>
      <c r="BV353" s="72">
        <v>0</v>
      </c>
      <c r="BW353" s="72">
        <v>0</v>
      </c>
      <c r="BX353" s="72">
        <v>0</v>
      </c>
      <c r="BY353" s="72">
        <v>0</v>
      </c>
      <c r="BZ353" s="72">
        <v>0</v>
      </c>
      <c r="CA353" s="72">
        <v>0</v>
      </c>
      <c r="CB353" s="72">
        <v>0</v>
      </c>
      <c r="CC353" s="72">
        <v>0</v>
      </c>
      <c r="CD353" s="72">
        <v>0</v>
      </c>
      <c r="CE353" s="72">
        <v>0</v>
      </c>
      <c r="CF353" s="72">
        <v>0</v>
      </c>
      <c r="CG353" s="72">
        <v>0</v>
      </c>
      <c r="CH353" s="72">
        <v>0</v>
      </c>
      <c r="CI353" s="72">
        <v>0</v>
      </c>
      <c r="CJ353" s="72">
        <v>0</v>
      </c>
      <c r="CK353" s="72">
        <v>0</v>
      </c>
      <c r="CL353" s="72">
        <v>0</v>
      </c>
      <c r="CM353" s="72">
        <v>0</v>
      </c>
      <c r="CN353" s="72">
        <v>0</v>
      </c>
      <c r="CO353" s="72">
        <v>0</v>
      </c>
      <c r="CP353" s="72">
        <v>0</v>
      </c>
      <c r="CQ353" s="72">
        <v>0</v>
      </c>
      <c r="CR353" s="72">
        <v>0</v>
      </c>
      <c r="CS353" s="72">
        <v>0</v>
      </c>
      <c r="CT353" s="72">
        <v>0</v>
      </c>
      <c r="CU353" s="72">
        <v>0</v>
      </c>
      <c r="CV353" s="72">
        <v>0</v>
      </c>
      <c r="CW353" s="72">
        <v>0</v>
      </c>
      <c r="CX353" s="72">
        <v>0</v>
      </c>
      <c r="CY353" s="72">
        <v>0</v>
      </c>
      <c r="CZ353" s="72">
        <v>0</v>
      </c>
      <c r="DA353" s="72">
        <v>0</v>
      </c>
      <c r="DB353" s="72">
        <v>0</v>
      </c>
      <c r="DC353" s="72">
        <v>0</v>
      </c>
      <c r="DD353" s="72">
        <v>0</v>
      </c>
      <c r="DE353" s="72">
        <v>0</v>
      </c>
      <c r="DF353" s="72">
        <v>0</v>
      </c>
      <c r="DG353" s="72">
        <v>0</v>
      </c>
      <c r="DH353" s="72">
        <v>0</v>
      </c>
      <c r="DI353" s="72">
        <v>0</v>
      </c>
      <c r="DJ353" s="72">
        <v>0</v>
      </c>
      <c r="DK353" s="72">
        <v>0</v>
      </c>
      <c r="DL353" s="72">
        <v>0</v>
      </c>
      <c r="DM353" s="72">
        <v>0</v>
      </c>
      <c r="DN353" s="72">
        <v>0</v>
      </c>
      <c r="DO353" s="72">
        <v>0</v>
      </c>
      <c r="DP353" s="72">
        <v>0</v>
      </c>
      <c r="DQ353" s="72">
        <v>0</v>
      </c>
      <c r="DR353" s="72">
        <v>0</v>
      </c>
      <c r="DS353" s="72">
        <v>0</v>
      </c>
      <c r="DT353" s="72">
        <v>0</v>
      </c>
      <c r="DU353" s="72">
        <v>0</v>
      </c>
      <c r="DV353" s="72">
        <v>0</v>
      </c>
      <c r="DW353" s="72">
        <v>0</v>
      </c>
      <c r="DX353" s="72">
        <v>0</v>
      </c>
      <c r="DY353" s="72">
        <v>0</v>
      </c>
      <c r="DZ353" s="72">
        <v>0</v>
      </c>
      <c r="EA353" s="72">
        <v>0</v>
      </c>
      <c r="EB353" s="72">
        <v>0</v>
      </c>
      <c r="EC353" s="72">
        <v>0</v>
      </c>
      <c r="ED353" s="72">
        <v>0</v>
      </c>
      <c r="EE353" s="72">
        <v>0</v>
      </c>
      <c r="EF353" s="72">
        <v>0</v>
      </c>
      <c r="EG353" s="72">
        <v>0</v>
      </c>
      <c r="EH353" s="72">
        <v>0</v>
      </c>
      <c r="EI353" s="72">
        <v>0</v>
      </c>
      <c r="EJ353" s="72">
        <v>0</v>
      </c>
      <c r="EK353" s="72">
        <v>0</v>
      </c>
      <c r="EL353" s="72">
        <v>0</v>
      </c>
    </row>
    <row r="354" spans="1:142" x14ac:dyDescent="0.35">
      <c r="A354" s="59">
        <f>Данные!A354</f>
        <v>5791</v>
      </c>
      <c r="B354" s="59">
        <f>Данные!B354</f>
        <v>2020</v>
      </c>
      <c r="C354" s="59" t="str">
        <f>Данные!C354</f>
        <v>компьютерных технологий и электронного обучения</v>
      </c>
      <c r="D354" s="59" t="str">
        <f>Данные!D354</f>
        <v>Атаян Ануш Михайловна</v>
      </c>
      <c r="E354" s="59" t="str">
        <f>Данные!E354</f>
        <v>кандидат педагогических наук</v>
      </c>
      <c r="F354" s="59" t="str">
        <f>Данные!F354</f>
        <v>доцент</v>
      </c>
      <c r="G354" s="59">
        <f>Данные!G354</f>
        <v>1</v>
      </c>
      <c r="H354" s="59" t="str">
        <f>Данные!H354</f>
        <v>4 курс 2017 год/пост</v>
      </c>
      <c r="I354" s="59" t="str">
        <f>Данные!I354</f>
        <v>Модуль "Информационные технологии в управлении IT-компании". Информационные технологии оценки персонала</v>
      </c>
      <c r="J354" s="59">
        <f>Данные!J354</f>
        <v>18</v>
      </c>
      <c r="K354" s="59">
        <f>Данные!K354</f>
        <v>0</v>
      </c>
      <c r="L354" s="59">
        <f>Данные!L354</f>
        <v>36</v>
      </c>
      <c r="M354" s="60">
        <f t="shared" si="45"/>
        <v>5.4</v>
      </c>
      <c r="N354" s="60">
        <f t="shared" ca="1" si="46"/>
        <v>10.91</v>
      </c>
      <c r="O354" s="60">
        <f t="shared" ca="1" si="47"/>
        <v>6.75</v>
      </c>
      <c r="P354" s="60">
        <f t="shared" ca="1" si="48"/>
        <v>6.75</v>
      </c>
      <c r="Q354" s="54">
        <f>Данные!Q354</f>
        <v>0</v>
      </c>
      <c r="R354" s="54">
        <f>Данные!R354</f>
        <v>0</v>
      </c>
      <c r="S354" s="54">
        <f>Данные!S354</f>
        <v>0</v>
      </c>
      <c r="T354" s="54">
        <f>Данные!T354</f>
        <v>0</v>
      </c>
      <c r="U354" s="54">
        <f>Данные!U354</f>
        <v>0</v>
      </c>
      <c r="V354" s="54">
        <f>Данные!V354</f>
        <v>0</v>
      </c>
      <c r="W354" s="54">
        <f ca="1">Данные!W354</f>
        <v>27</v>
      </c>
      <c r="X354" s="54" t="str">
        <f ca="1">Данные!X354</f>
        <v>1</v>
      </c>
      <c r="Y354" s="54" t="str">
        <f ca="1">Данные!Y354</f>
        <v>2</v>
      </c>
      <c r="Z354" s="54">
        <f>Данные!Z354</f>
        <v>0</v>
      </c>
      <c r="AA354" s="54">
        <f>Данные!AA354</f>
        <v>0</v>
      </c>
      <c r="AB354" s="101">
        <f t="shared" si="49"/>
        <v>800</v>
      </c>
      <c r="AC354" s="101" t="str">
        <f t="shared" si="50"/>
        <v>ИВТ (бак)</v>
      </c>
      <c r="AD354" s="101" t="str">
        <f t="shared" si="51"/>
        <v/>
      </c>
      <c r="AE354" s="102">
        <f t="shared" ca="1" si="52"/>
        <v>83.81</v>
      </c>
      <c r="AF354" s="103">
        <f t="shared" ca="1" si="53"/>
        <v>0.10476250000000001</v>
      </c>
      <c r="AG354" s="101"/>
      <c r="AH354" s="101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Q354" s="72">
        <v>0</v>
      </c>
      <c r="BR354" s="72">
        <v>0</v>
      </c>
      <c r="BS354" s="72">
        <v>0</v>
      </c>
      <c r="BT354" s="72">
        <v>0</v>
      </c>
      <c r="BU354" s="72">
        <v>0</v>
      </c>
      <c r="BV354" s="72">
        <v>0</v>
      </c>
      <c r="BW354" s="72">
        <v>0</v>
      </c>
      <c r="BX354" s="72">
        <v>0</v>
      </c>
      <c r="BY354" s="72">
        <v>0</v>
      </c>
      <c r="BZ354" s="72">
        <v>0</v>
      </c>
      <c r="CA354" s="72">
        <v>0</v>
      </c>
      <c r="CB354" s="72">
        <v>0</v>
      </c>
      <c r="CC354" s="72">
        <v>0</v>
      </c>
      <c r="CD354" s="72">
        <v>0</v>
      </c>
      <c r="CE354" s="72">
        <v>0</v>
      </c>
      <c r="CF354" s="72">
        <v>0</v>
      </c>
      <c r="CG354" s="72">
        <v>0</v>
      </c>
      <c r="CH354" s="72">
        <v>0</v>
      </c>
      <c r="CI354" s="72">
        <v>0</v>
      </c>
      <c r="CJ354" s="72">
        <v>0</v>
      </c>
      <c r="CK354" s="72">
        <v>0</v>
      </c>
      <c r="CL354" s="72">
        <v>0</v>
      </c>
      <c r="CM354" s="72">
        <v>0</v>
      </c>
      <c r="CN354" s="72">
        <v>0</v>
      </c>
      <c r="CO354" s="72">
        <v>0</v>
      </c>
      <c r="CP354" s="72">
        <v>0</v>
      </c>
      <c r="CQ354" s="72">
        <v>0</v>
      </c>
      <c r="CR354" s="72">
        <v>0</v>
      </c>
      <c r="CS354" s="72">
        <v>0</v>
      </c>
      <c r="CT354" s="72">
        <v>0</v>
      </c>
      <c r="CU354" s="72">
        <v>0</v>
      </c>
      <c r="CV354" s="72">
        <v>0</v>
      </c>
      <c r="CW354" s="72">
        <v>0</v>
      </c>
      <c r="CX354" s="72">
        <v>0</v>
      </c>
      <c r="CY354" s="72">
        <v>0</v>
      </c>
      <c r="CZ354" s="72">
        <v>0</v>
      </c>
      <c r="DA354" s="72">
        <v>0</v>
      </c>
      <c r="DB354" s="72">
        <v>0</v>
      </c>
      <c r="DC354" s="72">
        <v>0</v>
      </c>
      <c r="DD354" s="72">
        <v>0</v>
      </c>
      <c r="DE354" s="72">
        <v>0</v>
      </c>
      <c r="DF354" s="72">
        <v>0</v>
      </c>
      <c r="DG354" s="72">
        <v>0</v>
      </c>
      <c r="DH354" s="72">
        <v>0</v>
      </c>
      <c r="DI354" s="72">
        <v>0</v>
      </c>
      <c r="DJ354" s="72">
        <v>0</v>
      </c>
      <c r="DK354" s="72">
        <v>0</v>
      </c>
      <c r="DL354" s="72">
        <v>0</v>
      </c>
      <c r="DM354" s="72">
        <v>0</v>
      </c>
      <c r="DN354" s="72">
        <v>0</v>
      </c>
      <c r="DO354" s="72">
        <v>0</v>
      </c>
      <c r="DP354" s="72">
        <v>0</v>
      </c>
      <c r="DQ354" s="72">
        <v>0</v>
      </c>
      <c r="DR354" s="72">
        <v>0</v>
      </c>
      <c r="DS354" s="72">
        <v>0</v>
      </c>
      <c r="DT354" s="72">
        <v>0</v>
      </c>
      <c r="DU354" s="72">
        <v>0</v>
      </c>
      <c r="DV354" s="72">
        <v>0</v>
      </c>
      <c r="DW354" s="72">
        <v>0</v>
      </c>
      <c r="DX354" s="72">
        <v>0</v>
      </c>
      <c r="DY354" s="72">
        <v>0</v>
      </c>
      <c r="DZ354" s="72">
        <v>0</v>
      </c>
      <c r="EA354" s="72">
        <v>0</v>
      </c>
      <c r="EB354" s="72">
        <v>0</v>
      </c>
      <c r="EC354" s="72">
        <v>0</v>
      </c>
      <c r="ED354" s="72">
        <v>0</v>
      </c>
      <c r="EE354" s="72">
        <v>0</v>
      </c>
      <c r="EF354" s="72">
        <v>0</v>
      </c>
      <c r="EG354" s="72">
        <v>0</v>
      </c>
      <c r="EH354" s="72">
        <v>0</v>
      </c>
      <c r="EI354" s="72">
        <v>0</v>
      </c>
      <c r="EJ354" s="72">
        <v>0</v>
      </c>
      <c r="EK354" s="72">
        <v>0</v>
      </c>
      <c r="EL354" s="72">
        <v>0</v>
      </c>
    </row>
    <row r="355" spans="1:142" x14ac:dyDescent="0.35">
      <c r="A355" s="59">
        <f>Данные!A355</f>
        <v>5791</v>
      </c>
      <c r="B355" s="59">
        <f>Данные!B355</f>
        <v>2020</v>
      </c>
      <c r="C355" s="59" t="str">
        <f>Данные!C355</f>
        <v>компьютерных технологий и электронного обучения</v>
      </c>
      <c r="D355" s="59" t="str">
        <f>Данные!D355</f>
        <v>Власова Елена Зотиковна</v>
      </c>
      <c r="E355" s="59" t="str">
        <f>Данные!E355</f>
        <v>доктор педагогических наук</v>
      </c>
      <c r="F355" s="59" t="str">
        <f>Данные!F355</f>
        <v>заведующий кафедрой</v>
      </c>
      <c r="G355" s="59">
        <f>Данные!G355</f>
        <v>1</v>
      </c>
      <c r="H355" s="59" t="str">
        <f>Данные!H355</f>
        <v>4 курс 2017 год/пост</v>
      </c>
      <c r="I355" s="59" t="str">
        <f>Данные!I355</f>
        <v>Модуль "Информационные технологии и системы"</v>
      </c>
      <c r="J355" s="59">
        <f>Данные!J355</f>
        <v>0</v>
      </c>
      <c r="K355" s="59">
        <f>Данные!K355</f>
        <v>0</v>
      </c>
      <c r="L355" s="59">
        <f>Данные!L355</f>
        <v>0</v>
      </c>
      <c r="M355" s="60">
        <f t="shared" si="45"/>
        <v>0</v>
      </c>
      <c r="N355" s="60">
        <f t="shared" ca="1" si="46"/>
        <v>10.91</v>
      </c>
      <c r="O355" s="60">
        <f t="shared" ca="1" si="47"/>
        <v>6.75</v>
      </c>
      <c r="P355" s="60">
        <f t="shared" ca="1" si="48"/>
        <v>6.75</v>
      </c>
      <c r="Q355" s="54">
        <f>Данные!Q355</f>
        <v>0</v>
      </c>
      <c r="R355" s="54">
        <f>Данные!R355</f>
        <v>0</v>
      </c>
      <c r="S355" s="54">
        <f>Данные!S355</f>
        <v>0</v>
      </c>
      <c r="T355" s="54">
        <f>Данные!T355</f>
        <v>0</v>
      </c>
      <c r="U355" s="54">
        <f>Данные!U355</f>
        <v>0</v>
      </c>
      <c r="V355" s="54">
        <f>Данные!V355</f>
        <v>0</v>
      </c>
      <c r="W355" s="54">
        <f ca="1">Данные!W355</f>
        <v>27</v>
      </c>
      <c r="X355" s="54" t="str">
        <f ca="1">Данные!X355</f>
        <v>1</v>
      </c>
      <c r="Y355" s="54" t="str">
        <f ca="1">Данные!Y355</f>
        <v>2</v>
      </c>
      <c r="Z355" s="54">
        <f>Данные!Z355</f>
        <v>0</v>
      </c>
      <c r="AA355" s="54">
        <f>Данные!AA355</f>
        <v>0</v>
      </c>
      <c r="AB355" s="101">
        <f t="shared" si="49"/>
        <v>700</v>
      </c>
      <c r="AC355" s="101" t="str">
        <f t="shared" si="50"/>
        <v>ИВТ (бак)</v>
      </c>
      <c r="AD355" s="101" t="str">
        <f t="shared" si="51"/>
        <v/>
      </c>
      <c r="AE355" s="102">
        <f t="shared" ca="1" si="52"/>
        <v>24.41</v>
      </c>
      <c r="AF355" s="103">
        <f t="shared" ca="1" si="53"/>
        <v>3.4871428571428574E-2</v>
      </c>
      <c r="AG355" s="101"/>
      <c r="AH355" s="101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Q355" s="72">
        <v>0</v>
      </c>
      <c r="BR355" s="72">
        <v>0</v>
      </c>
      <c r="BS355" s="72">
        <v>0</v>
      </c>
      <c r="BT355" s="72">
        <v>0</v>
      </c>
      <c r="BU355" s="72">
        <v>0</v>
      </c>
      <c r="BV355" s="72">
        <v>0</v>
      </c>
      <c r="BW355" s="72">
        <v>0</v>
      </c>
      <c r="BX355" s="72">
        <v>0</v>
      </c>
      <c r="BY355" s="72">
        <v>0</v>
      </c>
      <c r="BZ355" s="72">
        <v>0</v>
      </c>
      <c r="CA355" s="72">
        <v>0</v>
      </c>
      <c r="CB355" s="72">
        <v>0</v>
      </c>
      <c r="CC355" s="72">
        <v>0</v>
      </c>
      <c r="CD355" s="72">
        <v>0</v>
      </c>
      <c r="CE355" s="72">
        <v>0</v>
      </c>
      <c r="CF355" s="72">
        <v>0</v>
      </c>
      <c r="CG355" s="72">
        <v>0</v>
      </c>
      <c r="CH355" s="72">
        <v>0</v>
      </c>
      <c r="CI355" s="72">
        <v>0</v>
      </c>
      <c r="CJ355" s="72">
        <v>0</v>
      </c>
      <c r="CK355" s="72">
        <v>0</v>
      </c>
      <c r="CL355" s="72">
        <v>0</v>
      </c>
      <c r="CM355" s="72">
        <v>0</v>
      </c>
      <c r="CN355" s="72">
        <v>0</v>
      </c>
      <c r="CO355" s="72">
        <v>0</v>
      </c>
      <c r="CP355" s="72">
        <v>0</v>
      </c>
      <c r="CQ355" s="72">
        <v>0</v>
      </c>
      <c r="CR355" s="72">
        <v>0</v>
      </c>
      <c r="CS355" s="72">
        <v>0</v>
      </c>
      <c r="CT355" s="72">
        <v>0</v>
      </c>
      <c r="CU355" s="72">
        <v>0</v>
      </c>
      <c r="CV355" s="72">
        <v>0</v>
      </c>
      <c r="CW355" s="72">
        <v>0</v>
      </c>
      <c r="CX355" s="72">
        <v>0</v>
      </c>
      <c r="CY355" s="72">
        <v>0</v>
      </c>
      <c r="CZ355" s="72">
        <v>0</v>
      </c>
      <c r="DA355" s="72">
        <v>0</v>
      </c>
      <c r="DB355" s="72">
        <v>0</v>
      </c>
      <c r="DC355" s="72">
        <v>0</v>
      </c>
      <c r="DD355" s="72">
        <v>0</v>
      </c>
      <c r="DE355" s="72">
        <v>0</v>
      </c>
      <c r="DF355" s="72">
        <v>0</v>
      </c>
      <c r="DG355" s="72">
        <v>0</v>
      </c>
      <c r="DH355" s="72">
        <v>0</v>
      </c>
      <c r="DI355" s="72">
        <v>0</v>
      </c>
      <c r="DJ355" s="72">
        <v>0</v>
      </c>
      <c r="DK355" s="72">
        <v>0</v>
      </c>
      <c r="DL355" s="72">
        <v>0</v>
      </c>
      <c r="DM355" s="72">
        <v>0</v>
      </c>
      <c r="DN355" s="72">
        <v>0</v>
      </c>
      <c r="DO355" s="72">
        <v>0</v>
      </c>
      <c r="DP355" s="72">
        <v>0</v>
      </c>
      <c r="DQ355" s="72">
        <v>0</v>
      </c>
      <c r="DR355" s="72">
        <v>0</v>
      </c>
      <c r="DS355" s="72">
        <v>0</v>
      </c>
      <c r="DT355" s="72">
        <v>0</v>
      </c>
      <c r="DU355" s="72">
        <v>0</v>
      </c>
      <c r="DV355" s="72">
        <v>0</v>
      </c>
      <c r="DW355" s="72">
        <v>0</v>
      </c>
      <c r="DX355" s="72">
        <v>0</v>
      </c>
      <c r="DY355" s="72">
        <v>0</v>
      </c>
      <c r="DZ355" s="72">
        <v>0</v>
      </c>
      <c r="EA355" s="72">
        <v>0</v>
      </c>
      <c r="EB355" s="72">
        <v>0</v>
      </c>
      <c r="EC355" s="72">
        <v>0</v>
      </c>
      <c r="ED355" s="72">
        <v>0</v>
      </c>
      <c r="EE355" s="72">
        <v>0</v>
      </c>
      <c r="EF355" s="72">
        <v>0</v>
      </c>
      <c r="EG355" s="72">
        <v>0</v>
      </c>
      <c r="EH355" s="72">
        <v>0</v>
      </c>
      <c r="EI355" s="72">
        <v>0</v>
      </c>
      <c r="EJ355" s="72">
        <v>0</v>
      </c>
      <c r="EK355" s="72">
        <v>0</v>
      </c>
      <c r="EL355" s="72">
        <v>0</v>
      </c>
    </row>
    <row r="356" spans="1:142" x14ac:dyDescent="0.35">
      <c r="A356" s="59">
        <f>Данные!A356</f>
        <v>5791</v>
      </c>
      <c r="B356" s="59">
        <f>Данные!B356</f>
        <v>2020</v>
      </c>
      <c r="C356" s="59" t="str">
        <f>Данные!C356</f>
        <v>компьютерных технологий и электронного обучения</v>
      </c>
      <c r="D356" s="59" t="str">
        <f>Данные!D356</f>
        <v>Абрамян Геннадий Владимирович</v>
      </c>
      <c r="E356" s="59" t="str">
        <f>Данные!E356</f>
        <v>доктор педагогических наук</v>
      </c>
      <c r="F356" s="59" t="str">
        <f>Данные!F356</f>
        <v>профессор</v>
      </c>
      <c r="G356" s="59">
        <f>Данные!G356</f>
        <v>1</v>
      </c>
      <c r="H356" s="59" t="str">
        <f>Данные!H356</f>
        <v>4 курс 2017 год/пост</v>
      </c>
      <c r="I356" s="59" t="str">
        <f>Данные!I356</f>
        <v>Модуль "Информационные технологии и системы"</v>
      </c>
      <c r="J356" s="59">
        <f>Данные!J356</f>
        <v>0</v>
      </c>
      <c r="K356" s="59">
        <f>Данные!K356</f>
        <v>0</v>
      </c>
      <c r="L356" s="59">
        <f>Данные!L356</f>
        <v>0</v>
      </c>
      <c r="M356" s="60">
        <f t="shared" si="45"/>
        <v>0</v>
      </c>
      <c r="N356" s="60">
        <f t="shared" ca="1" si="46"/>
        <v>10.91</v>
      </c>
      <c r="O356" s="60">
        <f t="shared" ca="1" si="47"/>
        <v>6.75</v>
      </c>
      <c r="P356" s="60">
        <f t="shared" ca="1" si="48"/>
        <v>6.75</v>
      </c>
      <c r="Q356" s="54">
        <f>Данные!Q356</f>
        <v>0</v>
      </c>
      <c r="R356" s="54">
        <f>Данные!R356</f>
        <v>0</v>
      </c>
      <c r="S356" s="54">
        <f>Данные!S356</f>
        <v>0</v>
      </c>
      <c r="T356" s="54">
        <f>Данные!T356</f>
        <v>0</v>
      </c>
      <c r="U356" s="54">
        <f>Данные!U356</f>
        <v>0</v>
      </c>
      <c r="V356" s="54">
        <f>Данные!V356</f>
        <v>0</v>
      </c>
      <c r="W356" s="54">
        <f ca="1">Данные!W356</f>
        <v>27</v>
      </c>
      <c r="X356" s="54" t="str">
        <f ca="1">Данные!X356</f>
        <v>1</v>
      </c>
      <c r="Y356" s="54" t="str">
        <f ca="1">Данные!Y356</f>
        <v>2</v>
      </c>
      <c r="Z356" s="54">
        <f>Данные!Z356</f>
        <v>0</v>
      </c>
      <c r="AA356" s="54">
        <f>Данные!AA356</f>
        <v>0</v>
      </c>
      <c r="AB356" s="101">
        <f t="shared" si="49"/>
        <v>750</v>
      </c>
      <c r="AC356" s="101" t="str">
        <f t="shared" si="50"/>
        <v>ИВТ (бак)</v>
      </c>
      <c r="AD356" s="101" t="str">
        <f t="shared" si="51"/>
        <v/>
      </c>
      <c r="AE356" s="102">
        <f t="shared" ca="1" si="52"/>
        <v>24.41</v>
      </c>
      <c r="AF356" s="103">
        <f t="shared" ca="1" si="53"/>
        <v>3.2546666666666668E-2</v>
      </c>
      <c r="AG356" s="101"/>
      <c r="AH356" s="101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Q356" s="72">
        <v>0</v>
      </c>
      <c r="BR356" s="72">
        <v>0</v>
      </c>
      <c r="BS356" s="72">
        <v>0</v>
      </c>
      <c r="BT356" s="72">
        <v>0</v>
      </c>
      <c r="BU356" s="72">
        <v>0</v>
      </c>
      <c r="BV356" s="72">
        <v>0</v>
      </c>
      <c r="BW356" s="72">
        <v>0</v>
      </c>
      <c r="BX356" s="72">
        <v>0</v>
      </c>
      <c r="BY356" s="72">
        <v>0</v>
      </c>
      <c r="BZ356" s="72">
        <v>0</v>
      </c>
      <c r="CA356" s="72">
        <v>0</v>
      </c>
      <c r="CB356" s="72">
        <v>0</v>
      </c>
      <c r="CC356" s="72">
        <v>0</v>
      </c>
      <c r="CD356" s="72">
        <v>0</v>
      </c>
      <c r="CE356" s="72">
        <v>0</v>
      </c>
      <c r="CF356" s="72">
        <v>0</v>
      </c>
      <c r="CG356" s="72">
        <v>0</v>
      </c>
      <c r="CH356" s="72">
        <v>0</v>
      </c>
      <c r="CI356" s="72">
        <v>0</v>
      </c>
      <c r="CJ356" s="72">
        <v>0</v>
      </c>
      <c r="CK356" s="72">
        <v>0</v>
      </c>
      <c r="CL356" s="72">
        <v>0</v>
      </c>
      <c r="CM356" s="72">
        <v>0</v>
      </c>
      <c r="CN356" s="72">
        <v>0</v>
      </c>
      <c r="CO356" s="72">
        <v>0</v>
      </c>
      <c r="CP356" s="72">
        <v>0</v>
      </c>
      <c r="CQ356" s="72">
        <v>0</v>
      </c>
      <c r="CR356" s="72">
        <v>0</v>
      </c>
      <c r="CS356" s="72">
        <v>0</v>
      </c>
      <c r="CT356" s="72">
        <v>0</v>
      </c>
      <c r="CU356" s="72">
        <v>0</v>
      </c>
      <c r="CV356" s="72">
        <v>0</v>
      </c>
      <c r="CW356" s="72">
        <v>0</v>
      </c>
      <c r="CX356" s="72">
        <v>0</v>
      </c>
      <c r="CY356" s="72">
        <v>0</v>
      </c>
      <c r="CZ356" s="72">
        <v>0</v>
      </c>
      <c r="DA356" s="72">
        <v>0</v>
      </c>
      <c r="DB356" s="72">
        <v>0</v>
      </c>
      <c r="DC356" s="72">
        <v>0</v>
      </c>
      <c r="DD356" s="72">
        <v>0</v>
      </c>
      <c r="DE356" s="72">
        <v>0</v>
      </c>
      <c r="DF356" s="72">
        <v>0</v>
      </c>
      <c r="DG356" s="72">
        <v>0</v>
      </c>
      <c r="DH356" s="72">
        <v>0</v>
      </c>
      <c r="DI356" s="72">
        <v>0</v>
      </c>
      <c r="DJ356" s="72">
        <v>0</v>
      </c>
      <c r="DK356" s="72">
        <v>0</v>
      </c>
      <c r="DL356" s="72">
        <v>0</v>
      </c>
      <c r="DM356" s="72">
        <v>0</v>
      </c>
      <c r="DN356" s="72">
        <v>0</v>
      </c>
      <c r="DO356" s="72">
        <v>0</v>
      </c>
      <c r="DP356" s="72">
        <v>0</v>
      </c>
      <c r="DQ356" s="72">
        <v>0</v>
      </c>
      <c r="DR356" s="72">
        <v>0</v>
      </c>
      <c r="DS356" s="72">
        <v>0</v>
      </c>
      <c r="DT356" s="72">
        <v>0</v>
      </c>
      <c r="DU356" s="72">
        <v>0</v>
      </c>
      <c r="DV356" s="72">
        <v>0</v>
      </c>
      <c r="DW356" s="72">
        <v>0</v>
      </c>
      <c r="DX356" s="72">
        <v>0</v>
      </c>
      <c r="DY356" s="72">
        <v>0</v>
      </c>
      <c r="DZ356" s="72">
        <v>0</v>
      </c>
      <c r="EA356" s="72">
        <v>0</v>
      </c>
      <c r="EB356" s="72">
        <v>0</v>
      </c>
      <c r="EC356" s="72">
        <v>0</v>
      </c>
      <c r="ED356" s="72">
        <v>0</v>
      </c>
      <c r="EE356" s="72">
        <v>0</v>
      </c>
      <c r="EF356" s="72">
        <v>0</v>
      </c>
      <c r="EG356" s="72">
        <v>0</v>
      </c>
      <c r="EH356" s="72">
        <v>0</v>
      </c>
      <c r="EI356" s="72">
        <v>0</v>
      </c>
      <c r="EJ356" s="72">
        <v>0</v>
      </c>
      <c r="EK356" s="72">
        <v>0</v>
      </c>
      <c r="EL356" s="72">
        <v>0</v>
      </c>
    </row>
    <row r="357" spans="1:142" x14ac:dyDescent="0.35">
      <c r="A357" s="59">
        <f>Данные!A357</f>
        <v>5791</v>
      </c>
      <c r="B357" s="59">
        <f>Данные!B357</f>
        <v>2020</v>
      </c>
      <c r="C357" s="59" t="str">
        <f>Данные!C357</f>
        <v>компьютерных технологий и электронного обучения</v>
      </c>
      <c r="D357" s="59" t="str">
        <f>Данные!D357</f>
        <v>Власова Елена Зотиковна</v>
      </c>
      <c r="E357" s="59" t="str">
        <f>Данные!E357</f>
        <v>доктор педагогических наук</v>
      </c>
      <c r="F357" s="59" t="str">
        <f>Данные!F357</f>
        <v>заведующий кафедрой</v>
      </c>
      <c r="G357" s="59">
        <f>Данные!G357</f>
        <v>1</v>
      </c>
      <c r="H357" s="59" t="str">
        <f>Данные!H357</f>
        <v>4 курс 2017 год/пост</v>
      </c>
      <c r="I357" s="59" t="str">
        <f>Данные!I357</f>
        <v>Модуль "Информационные технологии и системы". Инженерия знаний</v>
      </c>
      <c r="J357" s="59">
        <f>Данные!J357</f>
        <v>18</v>
      </c>
      <c r="K357" s="59">
        <f>Данные!K357</f>
        <v>0</v>
      </c>
      <c r="L357" s="59">
        <f>Данные!L357</f>
        <v>36</v>
      </c>
      <c r="M357" s="60">
        <f t="shared" si="45"/>
        <v>5.4</v>
      </c>
      <c r="N357" s="60">
        <f t="shared" ca="1" si="46"/>
        <v>10.91</v>
      </c>
      <c r="O357" s="60">
        <f t="shared" ca="1" si="47"/>
        <v>6.75</v>
      </c>
      <c r="P357" s="60">
        <f t="shared" ca="1" si="48"/>
        <v>6.75</v>
      </c>
      <c r="Q357" s="54">
        <f>Данные!Q357</f>
        <v>0</v>
      </c>
      <c r="R357" s="54">
        <f>Данные!R357</f>
        <v>0</v>
      </c>
      <c r="S357" s="54">
        <f>Данные!S357</f>
        <v>0</v>
      </c>
      <c r="T357" s="54">
        <f>Данные!T357</f>
        <v>0</v>
      </c>
      <c r="U357" s="54">
        <f>Данные!U357</f>
        <v>0</v>
      </c>
      <c r="V357" s="54">
        <f>Данные!V357</f>
        <v>0</v>
      </c>
      <c r="W357" s="54">
        <f ca="1">Данные!W357</f>
        <v>27</v>
      </c>
      <c r="X357" s="54" t="str">
        <f ca="1">Данные!X357</f>
        <v>1</v>
      </c>
      <c r="Y357" s="54" t="str">
        <f ca="1">Данные!Y357</f>
        <v>2</v>
      </c>
      <c r="Z357" s="54">
        <f>Данные!Z357</f>
        <v>0</v>
      </c>
      <c r="AA357" s="54">
        <f>Данные!AA357</f>
        <v>0</v>
      </c>
      <c r="AB357" s="101">
        <f t="shared" si="49"/>
        <v>700</v>
      </c>
      <c r="AC357" s="101" t="str">
        <f t="shared" si="50"/>
        <v>ИВТ (бак)</v>
      </c>
      <c r="AD357" s="101" t="str">
        <f t="shared" si="51"/>
        <v/>
      </c>
      <c r="AE357" s="102">
        <f t="shared" ca="1" si="52"/>
        <v>83.81</v>
      </c>
      <c r="AF357" s="103">
        <f t="shared" ca="1" si="53"/>
        <v>0.11972857142857143</v>
      </c>
      <c r="AG357" s="101"/>
      <c r="AH357" s="101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Q357" s="72">
        <v>0</v>
      </c>
      <c r="BR357" s="72">
        <v>0</v>
      </c>
      <c r="BS357" s="72">
        <v>0</v>
      </c>
      <c r="BT357" s="72">
        <v>0</v>
      </c>
      <c r="BU357" s="72">
        <v>0</v>
      </c>
      <c r="BV357" s="72">
        <v>0</v>
      </c>
      <c r="BW357" s="72">
        <v>0</v>
      </c>
      <c r="BX357" s="72">
        <v>0</v>
      </c>
      <c r="BY357" s="72">
        <v>0</v>
      </c>
      <c r="BZ357" s="72">
        <v>0</v>
      </c>
      <c r="CA357" s="72">
        <v>0</v>
      </c>
      <c r="CB357" s="72">
        <v>0</v>
      </c>
      <c r="CC357" s="72">
        <v>0</v>
      </c>
      <c r="CD357" s="72">
        <v>0</v>
      </c>
      <c r="CE357" s="72">
        <v>0</v>
      </c>
      <c r="CF357" s="72">
        <v>0</v>
      </c>
      <c r="CG357" s="72">
        <v>0</v>
      </c>
      <c r="CH357" s="72">
        <v>0</v>
      </c>
      <c r="CI357" s="72">
        <v>0</v>
      </c>
      <c r="CJ357" s="72">
        <v>0</v>
      </c>
      <c r="CK357" s="72">
        <v>0</v>
      </c>
      <c r="CL357" s="72">
        <v>0</v>
      </c>
      <c r="CM357" s="72">
        <v>0</v>
      </c>
      <c r="CN357" s="72">
        <v>0</v>
      </c>
      <c r="CO357" s="72">
        <v>0</v>
      </c>
      <c r="CP357" s="72">
        <v>0</v>
      </c>
      <c r="CQ357" s="72">
        <v>0</v>
      </c>
      <c r="CR357" s="72">
        <v>0</v>
      </c>
      <c r="CS357" s="72">
        <v>0</v>
      </c>
      <c r="CT357" s="72">
        <v>0</v>
      </c>
      <c r="CU357" s="72">
        <v>0</v>
      </c>
      <c r="CV357" s="72">
        <v>0</v>
      </c>
      <c r="CW357" s="72">
        <v>0</v>
      </c>
      <c r="CX357" s="72">
        <v>0</v>
      </c>
      <c r="CY357" s="72">
        <v>0</v>
      </c>
      <c r="CZ357" s="72">
        <v>0</v>
      </c>
      <c r="DA357" s="72">
        <v>0</v>
      </c>
      <c r="DB357" s="72">
        <v>0</v>
      </c>
      <c r="DC357" s="72">
        <v>0</v>
      </c>
      <c r="DD357" s="72">
        <v>0</v>
      </c>
      <c r="DE357" s="72">
        <v>0</v>
      </c>
      <c r="DF357" s="72">
        <v>0</v>
      </c>
      <c r="DG357" s="72">
        <v>0</v>
      </c>
      <c r="DH357" s="72">
        <v>0</v>
      </c>
      <c r="DI357" s="72">
        <v>0</v>
      </c>
      <c r="DJ357" s="72">
        <v>0</v>
      </c>
      <c r="DK357" s="72">
        <v>0</v>
      </c>
      <c r="DL357" s="72">
        <v>0</v>
      </c>
      <c r="DM357" s="72">
        <v>0</v>
      </c>
      <c r="DN357" s="72">
        <v>0</v>
      </c>
      <c r="DO357" s="72">
        <v>0</v>
      </c>
      <c r="DP357" s="72">
        <v>0</v>
      </c>
      <c r="DQ357" s="72">
        <v>0</v>
      </c>
      <c r="DR357" s="72">
        <v>0</v>
      </c>
      <c r="DS357" s="72">
        <v>0</v>
      </c>
      <c r="DT357" s="72">
        <v>0</v>
      </c>
      <c r="DU357" s="72">
        <v>0</v>
      </c>
      <c r="DV357" s="72">
        <v>0</v>
      </c>
      <c r="DW357" s="72">
        <v>0</v>
      </c>
      <c r="DX357" s="72">
        <v>0</v>
      </c>
      <c r="DY357" s="72">
        <v>0</v>
      </c>
      <c r="DZ357" s="72">
        <v>0</v>
      </c>
      <c r="EA357" s="72">
        <v>0</v>
      </c>
      <c r="EB357" s="72">
        <v>0</v>
      </c>
      <c r="EC357" s="72">
        <v>0</v>
      </c>
      <c r="ED357" s="72">
        <v>0</v>
      </c>
      <c r="EE357" s="72">
        <v>0</v>
      </c>
      <c r="EF357" s="72">
        <v>0</v>
      </c>
      <c r="EG357" s="72">
        <v>0</v>
      </c>
      <c r="EH357" s="72">
        <v>0</v>
      </c>
      <c r="EI357" s="72">
        <v>0</v>
      </c>
      <c r="EJ357" s="72">
        <v>0</v>
      </c>
      <c r="EK357" s="72">
        <v>0</v>
      </c>
      <c r="EL357" s="72">
        <v>0</v>
      </c>
    </row>
    <row r="358" spans="1:142" x14ac:dyDescent="0.35">
      <c r="A358" s="59">
        <f>Данные!A358</f>
        <v>5791</v>
      </c>
      <c r="B358" s="59">
        <f>Данные!B358</f>
        <v>2020</v>
      </c>
      <c r="C358" s="59" t="str">
        <f>Данные!C358</f>
        <v>компьютерных технологий и электронного обучения</v>
      </c>
      <c r="D358" s="59" t="str">
        <f>Данные!D358</f>
        <v>Абрамян Геннадий Владимирович</v>
      </c>
      <c r="E358" s="59" t="str">
        <f>Данные!E358</f>
        <v>доктор педагогических наук</v>
      </c>
      <c r="F358" s="59" t="str">
        <f>Данные!F358</f>
        <v>профессор</v>
      </c>
      <c r="G358" s="59">
        <f>Данные!G358</f>
        <v>1</v>
      </c>
      <c r="H358" s="59" t="str">
        <f>Данные!H358</f>
        <v>4 курс 2017 год/пост</v>
      </c>
      <c r="I358" s="59" t="str">
        <f>Данные!I358</f>
        <v>Модуль "Информационные технологии и системы". Теория информационных процессов и систем</v>
      </c>
      <c r="J358" s="59">
        <f>Данные!J358</f>
        <v>18</v>
      </c>
      <c r="K358" s="59">
        <f>Данные!K358</f>
        <v>0</v>
      </c>
      <c r="L358" s="59">
        <f>Данные!L358</f>
        <v>0</v>
      </c>
      <c r="M358" s="60">
        <f t="shared" si="45"/>
        <v>1.8</v>
      </c>
      <c r="N358" s="60">
        <f t="shared" ca="1" si="46"/>
        <v>10.91</v>
      </c>
      <c r="O358" s="60">
        <f t="shared" ca="1" si="47"/>
        <v>6.75</v>
      </c>
      <c r="P358" s="60">
        <f t="shared" ca="1" si="48"/>
        <v>6.75</v>
      </c>
      <c r="Q358" s="54">
        <f>Данные!Q358</f>
        <v>0</v>
      </c>
      <c r="R358" s="54">
        <f>Данные!R358</f>
        <v>0</v>
      </c>
      <c r="S358" s="54">
        <f>Данные!S358</f>
        <v>0</v>
      </c>
      <c r="T358" s="54">
        <f>Данные!T358</f>
        <v>0</v>
      </c>
      <c r="U358" s="54">
        <f>Данные!U358</f>
        <v>0</v>
      </c>
      <c r="V358" s="54">
        <f>Данные!V358</f>
        <v>0</v>
      </c>
      <c r="W358" s="54">
        <f ca="1">Данные!W358</f>
        <v>27</v>
      </c>
      <c r="X358" s="54" t="str">
        <f ca="1">Данные!X358</f>
        <v>1</v>
      </c>
      <c r="Y358" s="54" t="str">
        <f ca="1">Данные!Y358</f>
        <v>2</v>
      </c>
      <c r="Z358" s="54">
        <f>Данные!Z358</f>
        <v>0</v>
      </c>
      <c r="AA358" s="54">
        <f>Данные!AA358</f>
        <v>0</v>
      </c>
      <c r="AB358" s="101">
        <f t="shared" si="49"/>
        <v>750</v>
      </c>
      <c r="AC358" s="101" t="str">
        <f t="shared" si="50"/>
        <v>ИВТ (бак)</v>
      </c>
      <c r="AD358" s="101" t="str">
        <f t="shared" si="51"/>
        <v/>
      </c>
      <c r="AE358" s="102">
        <f t="shared" ca="1" si="52"/>
        <v>44.21</v>
      </c>
      <c r="AF358" s="103">
        <f t="shared" ca="1" si="53"/>
        <v>5.8946666666666668E-2</v>
      </c>
      <c r="AG358" s="101"/>
      <c r="AH358" s="101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Q358" s="72">
        <v>0</v>
      </c>
      <c r="BR358" s="72">
        <v>0</v>
      </c>
      <c r="BS358" s="72">
        <v>0</v>
      </c>
      <c r="BT358" s="72">
        <v>0</v>
      </c>
      <c r="BU358" s="72">
        <v>0</v>
      </c>
      <c r="BV358" s="72">
        <v>0</v>
      </c>
      <c r="BW358" s="72">
        <v>0</v>
      </c>
      <c r="BX358" s="72">
        <v>0</v>
      </c>
      <c r="BY358" s="72">
        <v>0</v>
      </c>
      <c r="BZ358" s="72">
        <v>0</v>
      </c>
      <c r="CA358" s="72">
        <v>0</v>
      </c>
      <c r="CB358" s="72">
        <v>0</v>
      </c>
      <c r="CC358" s="72">
        <v>0</v>
      </c>
      <c r="CD358" s="72">
        <v>0</v>
      </c>
      <c r="CE358" s="72">
        <v>0</v>
      </c>
      <c r="CF358" s="72">
        <v>0</v>
      </c>
      <c r="CG358" s="72">
        <v>0</v>
      </c>
      <c r="CH358" s="72">
        <v>0</v>
      </c>
      <c r="CI358" s="72">
        <v>0</v>
      </c>
      <c r="CJ358" s="72">
        <v>0</v>
      </c>
      <c r="CK358" s="72">
        <v>0</v>
      </c>
      <c r="CL358" s="72">
        <v>0</v>
      </c>
      <c r="CM358" s="72">
        <v>0</v>
      </c>
      <c r="CN358" s="72">
        <v>0</v>
      </c>
      <c r="CO358" s="72">
        <v>0</v>
      </c>
      <c r="CP358" s="72">
        <v>0</v>
      </c>
      <c r="CQ358" s="72">
        <v>0</v>
      </c>
      <c r="CR358" s="72">
        <v>0</v>
      </c>
      <c r="CS358" s="72">
        <v>0</v>
      </c>
      <c r="CT358" s="72">
        <v>0</v>
      </c>
      <c r="CU358" s="72">
        <v>0</v>
      </c>
      <c r="CV358" s="72">
        <v>0</v>
      </c>
      <c r="CW358" s="72">
        <v>0</v>
      </c>
      <c r="CX358" s="72">
        <v>0</v>
      </c>
      <c r="CY358" s="72">
        <v>0</v>
      </c>
      <c r="CZ358" s="72">
        <v>0</v>
      </c>
      <c r="DA358" s="72">
        <v>0</v>
      </c>
      <c r="DB358" s="72">
        <v>0</v>
      </c>
      <c r="DC358" s="72">
        <v>0</v>
      </c>
      <c r="DD358" s="72">
        <v>0</v>
      </c>
      <c r="DE358" s="72">
        <v>0</v>
      </c>
      <c r="DF358" s="72">
        <v>0</v>
      </c>
      <c r="DG358" s="72">
        <v>0</v>
      </c>
      <c r="DH358" s="72">
        <v>0</v>
      </c>
      <c r="DI358" s="72">
        <v>0</v>
      </c>
      <c r="DJ358" s="72">
        <v>0</v>
      </c>
      <c r="DK358" s="72">
        <v>0</v>
      </c>
      <c r="DL358" s="72">
        <v>0</v>
      </c>
      <c r="DM358" s="72">
        <v>0</v>
      </c>
      <c r="DN358" s="72">
        <v>0</v>
      </c>
      <c r="DO358" s="72">
        <v>0</v>
      </c>
      <c r="DP358" s="72">
        <v>0</v>
      </c>
      <c r="DQ358" s="72">
        <v>0</v>
      </c>
      <c r="DR358" s="72">
        <v>0</v>
      </c>
      <c r="DS358" s="72">
        <v>0</v>
      </c>
      <c r="DT358" s="72">
        <v>0</v>
      </c>
      <c r="DU358" s="72">
        <v>0</v>
      </c>
      <c r="DV358" s="72">
        <v>0</v>
      </c>
      <c r="DW358" s="72">
        <v>0</v>
      </c>
      <c r="DX358" s="72">
        <v>0</v>
      </c>
      <c r="DY358" s="72">
        <v>0</v>
      </c>
      <c r="DZ358" s="72">
        <v>0</v>
      </c>
      <c r="EA358" s="72">
        <v>0</v>
      </c>
      <c r="EB358" s="72">
        <v>0</v>
      </c>
      <c r="EC358" s="72">
        <v>0</v>
      </c>
      <c r="ED358" s="72">
        <v>0</v>
      </c>
      <c r="EE358" s="72">
        <v>0</v>
      </c>
      <c r="EF358" s="72">
        <v>0</v>
      </c>
      <c r="EG358" s="72">
        <v>0</v>
      </c>
      <c r="EH358" s="72">
        <v>0</v>
      </c>
      <c r="EI358" s="72">
        <v>0</v>
      </c>
      <c r="EJ358" s="72">
        <v>0</v>
      </c>
      <c r="EK358" s="72">
        <v>0</v>
      </c>
      <c r="EL358" s="72">
        <v>0</v>
      </c>
    </row>
    <row r="359" spans="1:142" x14ac:dyDescent="0.35">
      <c r="A359" s="59">
        <f>Данные!A359</f>
        <v>5791</v>
      </c>
      <c r="B359" s="59">
        <f>Данные!B359</f>
        <v>2020</v>
      </c>
      <c r="C359" s="59" t="str">
        <f>Данные!C359</f>
        <v>компьютерных технологий и электронного обучения</v>
      </c>
      <c r="D359" s="59" t="str">
        <f>Данные!D359</f>
        <v>Государев Илья Борисович</v>
      </c>
      <c r="E359" s="59" t="str">
        <f>Данные!E359</f>
        <v>кандидат педагогических наук</v>
      </c>
      <c r="F359" s="59" t="str">
        <f>Данные!F359</f>
        <v>доцент</v>
      </c>
      <c r="G359" s="59">
        <f>Данные!G359</f>
        <v>1</v>
      </c>
      <c r="H359" s="59" t="str">
        <f>Данные!H359</f>
        <v>4 курс 2017 год/пост</v>
      </c>
      <c r="I359" s="59" t="str">
        <f>Данные!I359</f>
        <v>Модуль "Учебно-исследовательский"</v>
      </c>
      <c r="J359" s="59">
        <f>Данные!J359</f>
        <v>0</v>
      </c>
      <c r="K359" s="59">
        <f>Данные!K359</f>
        <v>0</v>
      </c>
      <c r="L359" s="59">
        <f>Данные!L359</f>
        <v>0</v>
      </c>
      <c r="M359" s="60">
        <f t="shared" si="45"/>
        <v>0</v>
      </c>
      <c r="N359" s="60">
        <f t="shared" ca="1" si="46"/>
        <v>10.91</v>
      </c>
      <c r="O359" s="60">
        <f t="shared" ca="1" si="47"/>
        <v>6.75</v>
      </c>
      <c r="P359" s="60">
        <f t="shared" ca="1" si="48"/>
        <v>6.75</v>
      </c>
      <c r="Q359" s="54">
        <f>Данные!Q359</f>
        <v>0</v>
      </c>
      <c r="R359" s="54">
        <f>Данные!R359</f>
        <v>0</v>
      </c>
      <c r="S359" s="54">
        <f>Данные!S359</f>
        <v>0</v>
      </c>
      <c r="T359" s="54">
        <f>Данные!T359</f>
        <v>0</v>
      </c>
      <c r="U359" s="54">
        <f>Данные!U359</f>
        <v>0</v>
      </c>
      <c r="V359" s="54">
        <f>Данные!V359</f>
        <v>0</v>
      </c>
      <c r="W359" s="54">
        <f ca="1">Данные!W359</f>
        <v>27</v>
      </c>
      <c r="X359" s="54" t="str">
        <f ca="1">Данные!X359</f>
        <v>1</v>
      </c>
      <c r="Y359" s="54" t="str">
        <f ca="1">Данные!Y359</f>
        <v>2</v>
      </c>
      <c r="Z359" s="54">
        <f>Данные!Z359</f>
        <v>0</v>
      </c>
      <c r="AA359" s="54">
        <f>Данные!AA359</f>
        <v>0</v>
      </c>
      <c r="AB359" s="101">
        <f t="shared" si="49"/>
        <v>800</v>
      </c>
      <c r="AC359" s="101" t="str">
        <f t="shared" si="50"/>
        <v>ИВТ (бак)</v>
      </c>
      <c r="AD359" s="101" t="str">
        <f t="shared" si="51"/>
        <v/>
      </c>
      <c r="AE359" s="102">
        <f t="shared" ca="1" si="52"/>
        <v>24.41</v>
      </c>
      <c r="AF359" s="103">
        <f t="shared" ca="1" si="53"/>
        <v>3.0512500000000001E-2</v>
      </c>
      <c r="AG359" s="101"/>
      <c r="AH359" s="101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Q359" s="72">
        <v>0</v>
      </c>
      <c r="BR359" s="72">
        <v>0</v>
      </c>
      <c r="BS359" s="72">
        <v>0</v>
      </c>
      <c r="BT359" s="72">
        <v>0</v>
      </c>
      <c r="BU359" s="72">
        <v>0</v>
      </c>
      <c r="BV359" s="72">
        <v>0</v>
      </c>
      <c r="BW359" s="72">
        <v>0</v>
      </c>
      <c r="BX359" s="72">
        <v>0</v>
      </c>
      <c r="BY359" s="72">
        <v>0</v>
      </c>
      <c r="BZ359" s="72">
        <v>0</v>
      </c>
      <c r="CA359" s="72">
        <v>0</v>
      </c>
      <c r="CB359" s="72">
        <v>0</v>
      </c>
      <c r="CC359" s="72">
        <v>0</v>
      </c>
      <c r="CD359" s="72">
        <v>0</v>
      </c>
      <c r="CE359" s="72">
        <v>0</v>
      </c>
      <c r="CF359" s="72">
        <v>0</v>
      </c>
      <c r="CG359" s="72">
        <v>0</v>
      </c>
      <c r="CH359" s="72">
        <v>0</v>
      </c>
      <c r="CI359" s="72">
        <v>0</v>
      </c>
      <c r="CJ359" s="72">
        <v>0</v>
      </c>
      <c r="CK359" s="72">
        <v>0</v>
      </c>
      <c r="CL359" s="72">
        <v>0</v>
      </c>
      <c r="CM359" s="72">
        <v>0</v>
      </c>
      <c r="CN359" s="72">
        <v>0</v>
      </c>
      <c r="CO359" s="72">
        <v>0</v>
      </c>
      <c r="CP359" s="72">
        <v>0</v>
      </c>
      <c r="CQ359" s="72">
        <v>0</v>
      </c>
      <c r="CR359" s="72">
        <v>0</v>
      </c>
      <c r="CS359" s="72">
        <v>0</v>
      </c>
      <c r="CT359" s="72">
        <v>0</v>
      </c>
      <c r="CU359" s="72">
        <v>0</v>
      </c>
      <c r="CV359" s="72">
        <v>0</v>
      </c>
      <c r="CW359" s="72">
        <v>0</v>
      </c>
      <c r="CX359" s="72">
        <v>0</v>
      </c>
      <c r="CY359" s="72">
        <v>0</v>
      </c>
      <c r="CZ359" s="72">
        <v>0</v>
      </c>
      <c r="DA359" s="72">
        <v>0</v>
      </c>
      <c r="DB359" s="72">
        <v>0</v>
      </c>
      <c r="DC359" s="72">
        <v>0</v>
      </c>
      <c r="DD359" s="72">
        <v>0</v>
      </c>
      <c r="DE359" s="72">
        <v>0</v>
      </c>
      <c r="DF359" s="72">
        <v>0</v>
      </c>
      <c r="DG359" s="72">
        <v>0</v>
      </c>
      <c r="DH359" s="72">
        <v>0</v>
      </c>
      <c r="DI359" s="72">
        <v>0</v>
      </c>
      <c r="DJ359" s="72">
        <v>0</v>
      </c>
      <c r="DK359" s="72">
        <v>0</v>
      </c>
      <c r="DL359" s="72">
        <v>0</v>
      </c>
      <c r="DM359" s="72">
        <v>0</v>
      </c>
      <c r="DN359" s="72">
        <v>0</v>
      </c>
      <c r="DO359" s="72">
        <v>0</v>
      </c>
      <c r="DP359" s="72">
        <v>0</v>
      </c>
      <c r="DQ359" s="72">
        <v>0</v>
      </c>
      <c r="DR359" s="72">
        <v>0</v>
      </c>
      <c r="DS359" s="72">
        <v>0</v>
      </c>
      <c r="DT359" s="72">
        <v>0</v>
      </c>
      <c r="DU359" s="72">
        <v>0</v>
      </c>
      <c r="DV359" s="72">
        <v>0</v>
      </c>
      <c r="DW359" s="72">
        <v>0</v>
      </c>
      <c r="DX359" s="72">
        <v>0</v>
      </c>
      <c r="DY359" s="72">
        <v>0</v>
      </c>
      <c r="DZ359" s="72">
        <v>0</v>
      </c>
      <c r="EA359" s="72">
        <v>0</v>
      </c>
      <c r="EB359" s="72">
        <v>0</v>
      </c>
      <c r="EC359" s="72">
        <v>0</v>
      </c>
      <c r="ED359" s="72">
        <v>0</v>
      </c>
      <c r="EE359" s="72">
        <v>0</v>
      </c>
      <c r="EF359" s="72">
        <v>0</v>
      </c>
      <c r="EG359" s="72">
        <v>0</v>
      </c>
      <c r="EH359" s="72">
        <v>0</v>
      </c>
      <c r="EI359" s="72">
        <v>0</v>
      </c>
      <c r="EJ359" s="72">
        <v>0</v>
      </c>
      <c r="EK359" s="72">
        <v>0</v>
      </c>
      <c r="EL359" s="72">
        <v>0</v>
      </c>
    </row>
    <row r="360" spans="1:142" x14ac:dyDescent="0.35">
      <c r="A360" s="59">
        <f>Данные!A360</f>
        <v>5791</v>
      </c>
      <c r="B360" s="59">
        <f>Данные!B360</f>
        <v>2020</v>
      </c>
      <c r="C360" s="59" t="str">
        <f>Данные!C360</f>
        <v>компьютерных технологий и электронного обучения</v>
      </c>
      <c r="D360" s="59" t="str">
        <f>Данные!D360</f>
        <v>Авксентьева Елена Юрьевна</v>
      </c>
      <c r="E360" s="59" t="str">
        <f>Данные!E360</f>
        <v>кандидат педагогических наук</v>
      </c>
      <c r="F360" s="59" t="str">
        <f>Данные!F360</f>
        <v>доцент</v>
      </c>
      <c r="G360" s="59">
        <f>Данные!G360</f>
        <v>1</v>
      </c>
      <c r="H360" s="59" t="str">
        <f>Данные!H360</f>
        <v>4 курс 2017 год/пост</v>
      </c>
      <c r="I360" s="59" t="str">
        <f>Данные!I360</f>
        <v>Модуль "Учебно-исследовательский"</v>
      </c>
      <c r="J360" s="59">
        <f>Данные!J360</f>
        <v>0</v>
      </c>
      <c r="K360" s="59">
        <f>Данные!K360</f>
        <v>0</v>
      </c>
      <c r="L360" s="59">
        <f>Данные!L360</f>
        <v>0</v>
      </c>
      <c r="M360" s="60">
        <f t="shared" si="45"/>
        <v>0</v>
      </c>
      <c r="N360" s="60">
        <f t="shared" ca="1" si="46"/>
        <v>10.91</v>
      </c>
      <c r="O360" s="60">
        <f t="shared" ca="1" si="47"/>
        <v>6.75</v>
      </c>
      <c r="P360" s="60">
        <f t="shared" ca="1" si="48"/>
        <v>6.75</v>
      </c>
      <c r="Q360" s="54">
        <f>Данные!Q360</f>
        <v>0</v>
      </c>
      <c r="R360" s="54">
        <f>Данные!R360</f>
        <v>0</v>
      </c>
      <c r="S360" s="54">
        <f>Данные!S360</f>
        <v>0</v>
      </c>
      <c r="T360" s="54">
        <f>Данные!T360</f>
        <v>0</v>
      </c>
      <c r="U360" s="54">
        <f>Данные!U360</f>
        <v>0</v>
      </c>
      <c r="V360" s="54">
        <f>Данные!V360</f>
        <v>0</v>
      </c>
      <c r="W360" s="54">
        <f ca="1">Данные!W360</f>
        <v>27</v>
      </c>
      <c r="X360" s="54" t="str">
        <f ca="1">Данные!X360</f>
        <v>1</v>
      </c>
      <c r="Y360" s="54" t="str">
        <f ca="1">Данные!Y360</f>
        <v>2</v>
      </c>
      <c r="Z360" s="54">
        <f>Данные!Z360</f>
        <v>0</v>
      </c>
      <c r="AA360" s="54">
        <f>Данные!AA360</f>
        <v>0</v>
      </c>
      <c r="AB360" s="101">
        <f t="shared" si="49"/>
        <v>800</v>
      </c>
      <c r="AC360" s="101" t="str">
        <f t="shared" si="50"/>
        <v>ИВТ (бак)</v>
      </c>
      <c r="AD360" s="101" t="str">
        <f t="shared" si="51"/>
        <v/>
      </c>
      <c r="AE360" s="102">
        <f t="shared" ca="1" si="52"/>
        <v>24.41</v>
      </c>
      <c r="AF360" s="103">
        <f t="shared" ca="1" si="53"/>
        <v>3.0512500000000001E-2</v>
      </c>
      <c r="AG360" s="101"/>
      <c r="AH360" s="101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Q360" s="72">
        <v>0</v>
      </c>
      <c r="BR360" s="72">
        <v>0</v>
      </c>
      <c r="BS360" s="72">
        <v>0</v>
      </c>
      <c r="BT360" s="72">
        <v>0</v>
      </c>
      <c r="BU360" s="72">
        <v>0</v>
      </c>
      <c r="BV360" s="72">
        <v>0</v>
      </c>
      <c r="BW360" s="72">
        <v>0</v>
      </c>
      <c r="BX360" s="72">
        <v>0</v>
      </c>
      <c r="BY360" s="72">
        <v>0</v>
      </c>
      <c r="BZ360" s="72">
        <v>0</v>
      </c>
      <c r="CA360" s="72">
        <v>0</v>
      </c>
      <c r="CB360" s="72">
        <v>0</v>
      </c>
      <c r="CC360" s="72">
        <v>0</v>
      </c>
      <c r="CD360" s="72">
        <v>0</v>
      </c>
      <c r="CE360" s="72">
        <v>0</v>
      </c>
      <c r="CF360" s="72">
        <v>0</v>
      </c>
      <c r="CG360" s="72">
        <v>0</v>
      </c>
      <c r="CH360" s="72">
        <v>0</v>
      </c>
      <c r="CI360" s="72">
        <v>0</v>
      </c>
      <c r="CJ360" s="72">
        <v>0</v>
      </c>
      <c r="CK360" s="72">
        <v>0</v>
      </c>
      <c r="CL360" s="72">
        <v>0</v>
      </c>
      <c r="CM360" s="72">
        <v>0</v>
      </c>
      <c r="CN360" s="72">
        <v>0</v>
      </c>
      <c r="CO360" s="72">
        <v>0</v>
      </c>
      <c r="CP360" s="72">
        <v>0</v>
      </c>
      <c r="CQ360" s="72">
        <v>0</v>
      </c>
      <c r="CR360" s="72">
        <v>0</v>
      </c>
      <c r="CS360" s="72">
        <v>0</v>
      </c>
      <c r="CT360" s="72">
        <v>0</v>
      </c>
      <c r="CU360" s="72">
        <v>0</v>
      </c>
      <c r="CV360" s="72">
        <v>0</v>
      </c>
      <c r="CW360" s="72">
        <v>0</v>
      </c>
      <c r="CX360" s="72">
        <v>0</v>
      </c>
      <c r="CY360" s="72">
        <v>0</v>
      </c>
      <c r="CZ360" s="72">
        <v>0</v>
      </c>
      <c r="DA360" s="72">
        <v>0</v>
      </c>
      <c r="DB360" s="72">
        <v>0</v>
      </c>
      <c r="DC360" s="72">
        <v>0</v>
      </c>
      <c r="DD360" s="72">
        <v>0</v>
      </c>
      <c r="DE360" s="72">
        <v>0</v>
      </c>
      <c r="DF360" s="72">
        <v>0</v>
      </c>
      <c r="DG360" s="72">
        <v>0</v>
      </c>
      <c r="DH360" s="72">
        <v>0</v>
      </c>
      <c r="DI360" s="72">
        <v>0</v>
      </c>
      <c r="DJ360" s="72">
        <v>0</v>
      </c>
      <c r="DK360" s="72">
        <v>0</v>
      </c>
      <c r="DL360" s="72">
        <v>0</v>
      </c>
      <c r="DM360" s="72">
        <v>0</v>
      </c>
      <c r="DN360" s="72">
        <v>0</v>
      </c>
      <c r="DO360" s="72">
        <v>0</v>
      </c>
      <c r="DP360" s="72">
        <v>0</v>
      </c>
      <c r="DQ360" s="72">
        <v>0</v>
      </c>
      <c r="DR360" s="72">
        <v>0</v>
      </c>
      <c r="DS360" s="72">
        <v>0</v>
      </c>
      <c r="DT360" s="72">
        <v>0</v>
      </c>
      <c r="DU360" s="72">
        <v>0</v>
      </c>
      <c r="DV360" s="72">
        <v>0</v>
      </c>
      <c r="DW360" s="72">
        <v>0</v>
      </c>
      <c r="DX360" s="72">
        <v>0</v>
      </c>
      <c r="DY360" s="72">
        <v>0</v>
      </c>
      <c r="DZ360" s="72">
        <v>0</v>
      </c>
      <c r="EA360" s="72">
        <v>0</v>
      </c>
      <c r="EB360" s="72">
        <v>0</v>
      </c>
      <c r="EC360" s="72">
        <v>0</v>
      </c>
      <c r="ED360" s="72">
        <v>0</v>
      </c>
      <c r="EE360" s="72">
        <v>0</v>
      </c>
      <c r="EF360" s="72">
        <v>0</v>
      </c>
      <c r="EG360" s="72">
        <v>0</v>
      </c>
      <c r="EH360" s="72">
        <v>0</v>
      </c>
      <c r="EI360" s="72">
        <v>0</v>
      </c>
      <c r="EJ360" s="72">
        <v>0</v>
      </c>
      <c r="EK360" s="72">
        <v>0</v>
      </c>
      <c r="EL360" s="72">
        <v>0</v>
      </c>
    </row>
    <row r="361" spans="1:142" x14ac:dyDescent="0.35">
      <c r="A361" s="59">
        <f>Данные!A361</f>
        <v>5791</v>
      </c>
      <c r="B361" s="59">
        <f>Данные!B361</f>
        <v>2020</v>
      </c>
      <c r="C361" s="59" t="str">
        <f>Данные!C361</f>
        <v>компьютерных технологий и электронного обучения</v>
      </c>
      <c r="D361" s="59" t="str">
        <f>Данные!D361</f>
        <v>Серегин Александр Николаевич</v>
      </c>
      <c r="E361" s="59" t="str">
        <f>Данные!E361</f>
        <v>кандидат технических наук</v>
      </c>
      <c r="F361" s="59" t="str">
        <f>Данные!F361</f>
        <v>внешний</v>
      </c>
      <c r="G361" s="59">
        <f>Данные!G361</f>
        <v>1</v>
      </c>
      <c r="H361" s="59" t="str">
        <f>Данные!H361</f>
        <v>4 курс 2017 год/пост</v>
      </c>
      <c r="I361" s="59" t="str">
        <f>Данные!I361</f>
        <v>Модуль "Учебно-исследовательский". Учебно-технологический практикум</v>
      </c>
      <c r="J361" s="59">
        <f>Данные!J361</f>
        <v>0</v>
      </c>
      <c r="K361" s="59">
        <f>Данные!K361</f>
        <v>0</v>
      </c>
      <c r="L361" s="59">
        <f>Данные!L361</f>
        <v>36</v>
      </c>
      <c r="M361" s="60">
        <f t="shared" si="45"/>
        <v>3.6</v>
      </c>
      <c r="N361" s="60">
        <f t="shared" ca="1" si="46"/>
        <v>10.91</v>
      </c>
      <c r="O361" s="60">
        <f t="shared" ca="1" si="47"/>
        <v>6.75</v>
      </c>
      <c r="P361" s="60">
        <f t="shared" ca="1" si="48"/>
        <v>6.75</v>
      </c>
      <c r="Q361" s="54">
        <f>Данные!Q361</f>
        <v>0</v>
      </c>
      <c r="R361" s="54">
        <f>Данные!R361</f>
        <v>0</v>
      </c>
      <c r="S361" s="54">
        <f>Данные!S361</f>
        <v>0</v>
      </c>
      <c r="T361" s="54">
        <f>Данные!T361</f>
        <v>0</v>
      </c>
      <c r="U361" s="54">
        <f>Данные!U361</f>
        <v>0</v>
      </c>
      <c r="V361" s="54">
        <f>Данные!V361</f>
        <v>0</v>
      </c>
      <c r="W361" s="54">
        <f ca="1">Данные!W361</f>
        <v>27</v>
      </c>
      <c r="X361" s="54" t="str">
        <f ca="1">Данные!X361</f>
        <v>1</v>
      </c>
      <c r="Y361" s="54" t="str">
        <f ca="1">Данные!Y361</f>
        <v>2</v>
      </c>
      <c r="Z361" s="54">
        <f>Данные!Z361</f>
        <v>0</v>
      </c>
      <c r="AA361" s="54">
        <f>Данные!AA361</f>
        <v>0</v>
      </c>
      <c r="AB361" s="101">
        <f t="shared" si="49"/>
        <v>900</v>
      </c>
      <c r="AC361" s="101" t="str">
        <f t="shared" si="50"/>
        <v>ИВТ (бак)</v>
      </c>
      <c r="AD361" s="101" t="str">
        <f t="shared" si="51"/>
        <v/>
      </c>
      <c r="AE361" s="102">
        <f t="shared" ca="1" si="52"/>
        <v>64.010000000000005</v>
      </c>
      <c r="AF361" s="103">
        <f t="shared" ca="1" si="53"/>
        <v>7.1122222222222226E-2</v>
      </c>
      <c r="AG361" s="101"/>
      <c r="AH361" s="10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Q361" s="72">
        <v>0</v>
      </c>
      <c r="BR361" s="72">
        <v>0</v>
      </c>
      <c r="BS361" s="72">
        <v>0</v>
      </c>
      <c r="BT361" s="72">
        <v>0</v>
      </c>
      <c r="BU361" s="72">
        <v>0</v>
      </c>
      <c r="BV361" s="72">
        <v>0</v>
      </c>
      <c r="BW361" s="72">
        <v>0</v>
      </c>
      <c r="BX361" s="72">
        <v>0</v>
      </c>
      <c r="BY361" s="72">
        <v>0</v>
      </c>
      <c r="BZ361" s="72">
        <v>0</v>
      </c>
      <c r="CA361" s="72">
        <v>0</v>
      </c>
      <c r="CB361" s="72">
        <v>0</v>
      </c>
      <c r="CC361" s="72">
        <v>0</v>
      </c>
      <c r="CD361" s="72">
        <v>0</v>
      </c>
      <c r="CE361" s="72">
        <v>0</v>
      </c>
      <c r="CF361" s="72">
        <v>0</v>
      </c>
      <c r="CG361" s="72">
        <v>0</v>
      </c>
      <c r="CH361" s="72">
        <v>0</v>
      </c>
      <c r="CI361" s="72">
        <v>0</v>
      </c>
      <c r="CJ361" s="72">
        <v>0</v>
      </c>
      <c r="CK361" s="72">
        <v>0</v>
      </c>
      <c r="CL361" s="72">
        <v>0</v>
      </c>
      <c r="CM361" s="72">
        <v>0</v>
      </c>
      <c r="CN361" s="72">
        <v>0</v>
      </c>
      <c r="CO361" s="72">
        <v>0</v>
      </c>
      <c r="CP361" s="72">
        <v>0</v>
      </c>
      <c r="CQ361" s="72">
        <v>0</v>
      </c>
      <c r="CR361" s="72">
        <v>0</v>
      </c>
      <c r="CS361" s="72">
        <v>0</v>
      </c>
      <c r="CT361" s="72">
        <v>0</v>
      </c>
      <c r="CU361" s="72">
        <v>0</v>
      </c>
      <c r="CV361" s="72">
        <v>0</v>
      </c>
      <c r="CW361" s="72">
        <v>0</v>
      </c>
      <c r="CX361" s="72">
        <v>0</v>
      </c>
      <c r="CY361" s="72">
        <v>0</v>
      </c>
      <c r="CZ361" s="72">
        <v>0</v>
      </c>
      <c r="DA361" s="72">
        <v>0</v>
      </c>
      <c r="DB361" s="72">
        <v>0</v>
      </c>
      <c r="DC361" s="72">
        <v>0</v>
      </c>
      <c r="DD361" s="72">
        <v>0</v>
      </c>
      <c r="DE361" s="72">
        <v>0</v>
      </c>
      <c r="DF361" s="72">
        <v>0</v>
      </c>
      <c r="DG361" s="72">
        <v>0</v>
      </c>
      <c r="DH361" s="72">
        <v>0</v>
      </c>
      <c r="DI361" s="72">
        <v>0</v>
      </c>
      <c r="DJ361" s="72">
        <v>0</v>
      </c>
      <c r="DK361" s="72">
        <v>0</v>
      </c>
      <c r="DL361" s="72">
        <v>0</v>
      </c>
      <c r="DM361" s="72">
        <v>0</v>
      </c>
      <c r="DN361" s="72">
        <v>0</v>
      </c>
      <c r="DO361" s="72">
        <v>0</v>
      </c>
      <c r="DP361" s="72">
        <v>0</v>
      </c>
      <c r="DQ361" s="72">
        <v>0</v>
      </c>
      <c r="DR361" s="72">
        <v>0</v>
      </c>
      <c r="DS361" s="72">
        <v>0</v>
      </c>
      <c r="DT361" s="72">
        <v>0</v>
      </c>
      <c r="DU361" s="72">
        <v>0</v>
      </c>
      <c r="DV361" s="72">
        <v>0</v>
      </c>
      <c r="DW361" s="72">
        <v>0</v>
      </c>
      <c r="DX361" s="72">
        <v>0</v>
      </c>
      <c r="DY361" s="72">
        <v>0</v>
      </c>
      <c r="DZ361" s="72">
        <v>0</v>
      </c>
      <c r="EA361" s="72">
        <v>0</v>
      </c>
      <c r="EB361" s="72">
        <v>0</v>
      </c>
      <c r="EC361" s="72">
        <v>0</v>
      </c>
      <c r="ED361" s="72">
        <v>0</v>
      </c>
      <c r="EE361" s="72">
        <v>0</v>
      </c>
      <c r="EF361" s="72">
        <v>0</v>
      </c>
      <c r="EG361" s="72">
        <v>0</v>
      </c>
      <c r="EH361" s="72">
        <v>0</v>
      </c>
      <c r="EI361" s="72">
        <v>0</v>
      </c>
      <c r="EJ361" s="72">
        <v>0</v>
      </c>
      <c r="EK361" s="72">
        <v>0</v>
      </c>
      <c r="EL361" s="72">
        <v>0</v>
      </c>
    </row>
    <row r="362" spans="1:142" x14ac:dyDescent="0.35">
      <c r="A362" s="59">
        <f>Данные!A362</f>
        <v>5791</v>
      </c>
      <c r="B362" s="59">
        <f>Данные!B362</f>
        <v>2020</v>
      </c>
      <c r="C362" s="59" t="str">
        <f>Данные!C362</f>
        <v>компьютерных технологий и электронного обучения</v>
      </c>
      <c r="D362" s="59" t="str">
        <f>Данные!D362</f>
        <v>Власова Елена Зотиковна</v>
      </c>
      <c r="E362" s="59" t="str">
        <f>Данные!E362</f>
        <v>доктор педагогических наук</v>
      </c>
      <c r="F362" s="59" t="str">
        <f>Данные!F362</f>
        <v>заведующий кафедрой</v>
      </c>
      <c r="G362" s="59">
        <f>Данные!G362</f>
        <v>1</v>
      </c>
      <c r="H362" s="59" t="str">
        <f>Данные!H362</f>
        <v>4 курс 2017 год/пост</v>
      </c>
      <c r="I362" s="59" t="str">
        <f>Данные!I362</f>
        <v>Модуль "Учебно-исследовательский". Подготовка к государственной итоговой аттестации</v>
      </c>
      <c r="J362" s="59">
        <f>Данные!J362</f>
        <v>12</v>
      </c>
      <c r="K362" s="59">
        <f>Данные!K362</f>
        <v>0</v>
      </c>
      <c r="L362" s="59">
        <f>Данные!L362</f>
        <v>48</v>
      </c>
      <c r="M362" s="60">
        <f t="shared" si="45"/>
        <v>6</v>
      </c>
      <c r="N362" s="60">
        <f t="shared" ca="1" si="46"/>
        <v>10.91</v>
      </c>
      <c r="O362" s="60">
        <f t="shared" ca="1" si="47"/>
        <v>6.75</v>
      </c>
      <c r="P362" s="60">
        <f t="shared" ca="1" si="48"/>
        <v>6.75</v>
      </c>
      <c r="Q362" s="54">
        <f>Данные!Q362</f>
        <v>0</v>
      </c>
      <c r="R362" s="54">
        <f>Данные!R362</f>
        <v>0</v>
      </c>
      <c r="S362" s="54">
        <f>Данные!S362</f>
        <v>0</v>
      </c>
      <c r="T362" s="54">
        <f>Данные!T362</f>
        <v>0</v>
      </c>
      <c r="U362" s="54">
        <f>Данные!U362</f>
        <v>0</v>
      </c>
      <c r="V362" s="54">
        <f>Данные!V362</f>
        <v>0</v>
      </c>
      <c r="W362" s="54">
        <f ca="1">Данные!W362</f>
        <v>27</v>
      </c>
      <c r="X362" s="54" t="str">
        <f ca="1">Данные!X362</f>
        <v>1</v>
      </c>
      <c r="Y362" s="54" t="str">
        <f ca="1">Данные!Y362</f>
        <v>2</v>
      </c>
      <c r="Z362" s="54">
        <f>Данные!Z362</f>
        <v>0</v>
      </c>
      <c r="AA362" s="54">
        <f>Данные!AA362</f>
        <v>0</v>
      </c>
      <c r="AB362" s="101">
        <f t="shared" si="49"/>
        <v>700</v>
      </c>
      <c r="AC362" s="101" t="str">
        <f t="shared" si="50"/>
        <v>ИВТ (бак)</v>
      </c>
      <c r="AD362" s="101" t="str">
        <f t="shared" si="51"/>
        <v/>
      </c>
      <c r="AE362" s="102">
        <f t="shared" ca="1" si="52"/>
        <v>90.41</v>
      </c>
      <c r="AF362" s="103">
        <f t="shared" ca="1" si="53"/>
        <v>0.12915714285714286</v>
      </c>
      <c r="AG362" s="101"/>
      <c r="AH362" s="101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Q362" s="72">
        <v>0</v>
      </c>
      <c r="BR362" s="72">
        <v>0</v>
      </c>
      <c r="BS362" s="72">
        <v>0</v>
      </c>
      <c r="BT362" s="72">
        <v>0</v>
      </c>
      <c r="BU362" s="72">
        <v>0</v>
      </c>
      <c r="BV362" s="72">
        <v>0</v>
      </c>
      <c r="BW362" s="72">
        <v>0</v>
      </c>
      <c r="BX362" s="72">
        <v>0</v>
      </c>
      <c r="BY362" s="72">
        <v>0</v>
      </c>
      <c r="BZ362" s="72">
        <v>0</v>
      </c>
      <c r="CA362" s="72">
        <v>0</v>
      </c>
      <c r="CB362" s="72">
        <v>0</v>
      </c>
      <c r="CC362" s="72">
        <v>0</v>
      </c>
      <c r="CD362" s="72">
        <v>0</v>
      </c>
      <c r="CE362" s="72">
        <v>0</v>
      </c>
      <c r="CF362" s="72">
        <v>0</v>
      </c>
      <c r="CG362" s="72">
        <v>0</v>
      </c>
      <c r="CH362" s="72">
        <v>0</v>
      </c>
      <c r="CI362" s="72">
        <v>0</v>
      </c>
      <c r="CJ362" s="72">
        <v>0</v>
      </c>
      <c r="CK362" s="72">
        <v>0</v>
      </c>
      <c r="CL362" s="72">
        <v>0</v>
      </c>
      <c r="CM362" s="72">
        <v>0</v>
      </c>
      <c r="CN362" s="72">
        <v>0</v>
      </c>
      <c r="CO362" s="72">
        <v>0</v>
      </c>
      <c r="CP362" s="72">
        <v>0</v>
      </c>
      <c r="CQ362" s="72">
        <v>0</v>
      </c>
      <c r="CR362" s="72">
        <v>0</v>
      </c>
      <c r="CS362" s="72">
        <v>0</v>
      </c>
      <c r="CT362" s="72">
        <v>0</v>
      </c>
      <c r="CU362" s="72">
        <v>0</v>
      </c>
      <c r="CV362" s="72">
        <v>0</v>
      </c>
      <c r="CW362" s="72">
        <v>0</v>
      </c>
      <c r="CX362" s="72">
        <v>0</v>
      </c>
      <c r="CY362" s="72">
        <v>0</v>
      </c>
      <c r="CZ362" s="72">
        <v>0</v>
      </c>
      <c r="DA362" s="72">
        <v>0</v>
      </c>
      <c r="DB362" s="72">
        <v>0</v>
      </c>
      <c r="DC362" s="72">
        <v>0</v>
      </c>
      <c r="DD362" s="72">
        <v>0</v>
      </c>
      <c r="DE362" s="72">
        <v>0</v>
      </c>
      <c r="DF362" s="72">
        <v>0</v>
      </c>
      <c r="DG362" s="72">
        <v>0</v>
      </c>
      <c r="DH362" s="72">
        <v>0</v>
      </c>
      <c r="DI362" s="72">
        <v>0</v>
      </c>
      <c r="DJ362" s="72">
        <v>0</v>
      </c>
      <c r="DK362" s="72">
        <v>0</v>
      </c>
      <c r="DL362" s="72">
        <v>0</v>
      </c>
      <c r="DM362" s="72">
        <v>0</v>
      </c>
      <c r="DN362" s="72">
        <v>0</v>
      </c>
      <c r="DO362" s="72">
        <v>0</v>
      </c>
      <c r="DP362" s="72">
        <v>0</v>
      </c>
      <c r="DQ362" s="72">
        <v>0</v>
      </c>
      <c r="DR362" s="72">
        <v>0</v>
      </c>
      <c r="DS362" s="72">
        <v>0</v>
      </c>
      <c r="DT362" s="72">
        <v>0</v>
      </c>
      <c r="DU362" s="72">
        <v>0</v>
      </c>
      <c r="DV362" s="72">
        <v>0</v>
      </c>
      <c r="DW362" s="72">
        <v>0</v>
      </c>
      <c r="DX362" s="72">
        <v>0</v>
      </c>
      <c r="DY362" s="72">
        <v>0</v>
      </c>
      <c r="DZ362" s="72">
        <v>0</v>
      </c>
      <c r="EA362" s="72">
        <v>0</v>
      </c>
      <c r="EB362" s="72">
        <v>0</v>
      </c>
      <c r="EC362" s="72">
        <v>0</v>
      </c>
      <c r="ED362" s="72">
        <v>0</v>
      </c>
      <c r="EE362" s="72">
        <v>0</v>
      </c>
      <c r="EF362" s="72">
        <v>0</v>
      </c>
      <c r="EG362" s="72">
        <v>0</v>
      </c>
      <c r="EH362" s="72">
        <v>0</v>
      </c>
      <c r="EI362" s="72">
        <v>0</v>
      </c>
      <c r="EJ362" s="72">
        <v>0</v>
      </c>
      <c r="EK362" s="72">
        <v>0</v>
      </c>
      <c r="EL362" s="72">
        <v>0</v>
      </c>
    </row>
    <row r="363" spans="1:142" x14ac:dyDescent="0.35">
      <c r="A363" s="59">
        <f>Данные!A363</f>
        <v>5791</v>
      </c>
      <c r="B363" s="59">
        <f>Данные!B363</f>
        <v>2020</v>
      </c>
      <c r="C363" s="59" t="str">
        <f>Данные!C363</f>
        <v>компьютерных технологий и электронного обучения</v>
      </c>
      <c r="D363" s="59" t="str">
        <f>Данные!D363</f>
        <v>Авксентьева Елена Юрьевна</v>
      </c>
      <c r="E363" s="59" t="str">
        <f>Данные!E363</f>
        <v>кандидат педагогических наук</v>
      </c>
      <c r="F363" s="59" t="str">
        <f>Данные!F363</f>
        <v>доцент</v>
      </c>
      <c r="G363" s="59">
        <f>Данные!G363</f>
        <v>1</v>
      </c>
      <c r="H363" s="59" t="str">
        <f>Данные!H363</f>
        <v>4 курс 2017 год/пост</v>
      </c>
      <c r="I363" s="59" t="str">
        <f>Данные!I363</f>
        <v>Модуль "Учебно-исследовательский". Информационные средства и технологии инженерных и научных расчетов</v>
      </c>
      <c r="J363" s="59">
        <f>Данные!J363</f>
        <v>18</v>
      </c>
      <c r="K363" s="59">
        <f>Данные!K363</f>
        <v>0</v>
      </c>
      <c r="L363" s="59">
        <f>Данные!L363</f>
        <v>36</v>
      </c>
      <c r="M363" s="60">
        <f t="shared" si="45"/>
        <v>5.4</v>
      </c>
      <c r="N363" s="60">
        <f t="shared" ca="1" si="46"/>
        <v>10.91</v>
      </c>
      <c r="O363" s="60">
        <f t="shared" ca="1" si="47"/>
        <v>6.75</v>
      </c>
      <c r="P363" s="60">
        <f t="shared" ca="1" si="48"/>
        <v>6.75</v>
      </c>
      <c r="Q363" s="54">
        <f>Данные!Q363</f>
        <v>0</v>
      </c>
      <c r="R363" s="54">
        <f>Данные!R363</f>
        <v>0</v>
      </c>
      <c r="S363" s="54">
        <f>Данные!S363</f>
        <v>0</v>
      </c>
      <c r="T363" s="54">
        <f>Данные!T363</f>
        <v>0</v>
      </c>
      <c r="U363" s="54">
        <f>Данные!U363</f>
        <v>0</v>
      </c>
      <c r="V363" s="54">
        <f>Данные!V363</f>
        <v>0</v>
      </c>
      <c r="W363" s="54">
        <f ca="1">Данные!W363</f>
        <v>27</v>
      </c>
      <c r="X363" s="54" t="str">
        <f ca="1">Данные!X363</f>
        <v>1</v>
      </c>
      <c r="Y363" s="54" t="str">
        <f ca="1">Данные!Y363</f>
        <v>2</v>
      </c>
      <c r="Z363" s="54">
        <f>Данные!Z363</f>
        <v>0</v>
      </c>
      <c r="AA363" s="54">
        <f>Данные!AA363</f>
        <v>0</v>
      </c>
      <c r="AB363" s="101">
        <f t="shared" si="49"/>
        <v>800</v>
      </c>
      <c r="AC363" s="101" t="str">
        <f t="shared" si="50"/>
        <v>ИВТ (бак)</v>
      </c>
      <c r="AD363" s="101" t="str">
        <f t="shared" si="51"/>
        <v/>
      </c>
      <c r="AE363" s="102">
        <f t="shared" ca="1" si="52"/>
        <v>83.81</v>
      </c>
      <c r="AF363" s="103">
        <f t="shared" ca="1" si="53"/>
        <v>0.10476250000000001</v>
      </c>
      <c r="AG363" s="101"/>
      <c r="AH363" s="101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Q363" s="72">
        <v>0</v>
      </c>
      <c r="BR363" s="72">
        <v>0</v>
      </c>
      <c r="BS363" s="72">
        <v>0</v>
      </c>
      <c r="BT363" s="72">
        <v>0</v>
      </c>
      <c r="BU363" s="72">
        <v>0</v>
      </c>
      <c r="BV363" s="72">
        <v>0</v>
      </c>
      <c r="BW363" s="72">
        <v>0</v>
      </c>
      <c r="BX363" s="72">
        <v>0</v>
      </c>
      <c r="BY363" s="72">
        <v>0</v>
      </c>
      <c r="BZ363" s="72">
        <v>0</v>
      </c>
      <c r="CA363" s="72">
        <v>0</v>
      </c>
      <c r="CB363" s="72">
        <v>0</v>
      </c>
      <c r="CC363" s="72">
        <v>0</v>
      </c>
      <c r="CD363" s="72">
        <v>0</v>
      </c>
      <c r="CE363" s="72">
        <v>0</v>
      </c>
      <c r="CF363" s="72">
        <v>0</v>
      </c>
      <c r="CG363" s="72">
        <v>0</v>
      </c>
      <c r="CH363" s="72">
        <v>0</v>
      </c>
      <c r="CI363" s="72">
        <v>0</v>
      </c>
      <c r="CJ363" s="72">
        <v>0</v>
      </c>
      <c r="CK363" s="72">
        <v>0</v>
      </c>
      <c r="CL363" s="72">
        <v>0</v>
      </c>
      <c r="CM363" s="72">
        <v>0</v>
      </c>
      <c r="CN363" s="72">
        <v>0</v>
      </c>
      <c r="CO363" s="72">
        <v>0</v>
      </c>
      <c r="CP363" s="72">
        <v>0</v>
      </c>
      <c r="CQ363" s="72">
        <v>0</v>
      </c>
      <c r="CR363" s="72">
        <v>0</v>
      </c>
      <c r="CS363" s="72">
        <v>0</v>
      </c>
      <c r="CT363" s="72">
        <v>0</v>
      </c>
      <c r="CU363" s="72">
        <v>0</v>
      </c>
      <c r="CV363" s="72">
        <v>0</v>
      </c>
      <c r="CW363" s="72">
        <v>0</v>
      </c>
      <c r="CX363" s="72">
        <v>0</v>
      </c>
      <c r="CY363" s="72">
        <v>0</v>
      </c>
      <c r="CZ363" s="72">
        <v>0</v>
      </c>
      <c r="DA363" s="72">
        <v>0</v>
      </c>
      <c r="DB363" s="72">
        <v>0</v>
      </c>
      <c r="DC363" s="72">
        <v>0</v>
      </c>
      <c r="DD363" s="72">
        <v>0</v>
      </c>
      <c r="DE363" s="72">
        <v>0</v>
      </c>
      <c r="DF363" s="72">
        <v>0</v>
      </c>
      <c r="DG363" s="72">
        <v>0</v>
      </c>
      <c r="DH363" s="72">
        <v>0</v>
      </c>
      <c r="DI363" s="72">
        <v>0</v>
      </c>
      <c r="DJ363" s="72">
        <v>0</v>
      </c>
      <c r="DK363" s="72">
        <v>0</v>
      </c>
      <c r="DL363" s="72">
        <v>0</v>
      </c>
      <c r="DM363" s="72">
        <v>0</v>
      </c>
      <c r="DN363" s="72">
        <v>0</v>
      </c>
      <c r="DO363" s="72">
        <v>0</v>
      </c>
      <c r="DP363" s="72">
        <v>0</v>
      </c>
      <c r="DQ363" s="72">
        <v>0</v>
      </c>
      <c r="DR363" s="72">
        <v>0</v>
      </c>
      <c r="DS363" s="72">
        <v>0</v>
      </c>
      <c r="DT363" s="72">
        <v>0</v>
      </c>
      <c r="DU363" s="72">
        <v>0</v>
      </c>
      <c r="DV363" s="72">
        <v>0</v>
      </c>
      <c r="DW363" s="72">
        <v>0</v>
      </c>
      <c r="DX363" s="72">
        <v>0</v>
      </c>
      <c r="DY363" s="72">
        <v>0</v>
      </c>
      <c r="DZ363" s="72">
        <v>0</v>
      </c>
      <c r="EA363" s="72">
        <v>0</v>
      </c>
      <c r="EB363" s="72">
        <v>0</v>
      </c>
      <c r="EC363" s="72">
        <v>0</v>
      </c>
      <c r="ED363" s="72">
        <v>0</v>
      </c>
      <c r="EE363" s="72">
        <v>0</v>
      </c>
      <c r="EF363" s="72">
        <v>0</v>
      </c>
      <c r="EG363" s="72">
        <v>0</v>
      </c>
      <c r="EH363" s="72">
        <v>0</v>
      </c>
      <c r="EI363" s="72">
        <v>0</v>
      </c>
      <c r="EJ363" s="72">
        <v>0</v>
      </c>
      <c r="EK363" s="72">
        <v>0</v>
      </c>
      <c r="EL363" s="72">
        <v>0</v>
      </c>
    </row>
    <row r="364" spans="1:142" x14ac:dyDescent="0.35">
      <c r="A364" s="59">
        <f>Данные!A364</f>
        <v>5791</v>
      </c>
      <c r="B364" s="59">
        <f>Данные!B364</f>
        <v>2020</v>
      </c>
      <c r="C364" s="59" t="str">
        <f>Данные!C364</f>
        <v>компьютерных технологий и электронного обучения</v>
      </c>
      <c r="D364" s="59" t="str">
        <f>Данные!D364</f>
        <v>Воробьев Владимир Иванович</v>
      </c>
      <c r="E364" s="59" t="str">
        <f>Данные!E364</f>
        <v>доктор технических наук</v>
      </c>
      <c r="F364" s="59" t="str">
        <f>Данные!F364</f>
        <v>внешний</v>
      </c>
      <c r="G364" s="59">
        <f>Данные!G364</f>
        <v>1</v>
      </c>
      <c r="H364" s="59" t="str">
        <f>Данные!H364</f>
        <v>4 курс 2017 год/пост</v>
      </c>
      <c r="I364" s="59" t="str">
        <f>Данные!I364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64" s="59">
        <f>Данные!J364</f>
        <v>0</v>
      </c>
      <c r="K364" s="59">
        <f>Данные!K364</f>
        <v>0</v>
      </c>
      <c r="L364" s="59">
        <f>Данные!L364</f>
        <v>0</v>
      </c>
      <c r="M364" s="60">
        <f t="shared" si="45"/>
        <v>0</v>
      </c>
      <c r="N364" s="60">
        <f t="shared" ca="1" si="46"/>
        <v>10.91</v>
      </c>
      <c r="O364" s="60">
        <f t="shared" ca="1" si="47"/>
        <v>6.75</v>
      </c>
      <c r="P364" s="60">
        <f t="shared" ca="1" si="48"/>
        <v>6.75</v>
      </c>
      <c r="Q364" s="54">
        <f>Данные!Q364</f>
        <v>0</v>
      </c>
      <c r="R364" s="54">
        <f>Данные!R364</f>
        <v>0</v>
      </c>
      <c r="S364" s="54">
        <f>Данные!S364</f>
        <v>0</v>
      </c>
      <c r="T364" s="54">
        <f>Данные!T364</f>
        <v>0</v>
      </c>
      <c r="U364" s="54">
        <f>Данные!U364</f>
        <v>12</v>
      </c>
      <c r="V364" s="54">
        <f>Данные!V364</f>
        <v>0</v>
      </c>
      <c r="W364" s="54">
        <f ca="1">Данные!W364</f>
        <v>27</v>
      </c>
      <c r="X364" s="54" t="str">
        <f ca="1">Данные!X364</f>
        <v>1</v>
      </c>
      <c r="Y364" s="54" t="str">
        <f ca="1">Данные!Y364</f>
        <v>2</v>
      </c>
      <c r="Z364" s="54">
        <f>Данные!Z364</f>
        <v>0</v>
      </c>
      <c r="AA364" s="54">
        <f>Данные!AA364</f>
        <v>0</v>
      </c>
      <c r="AB364" s="101">
        <f t="shared" si="49"/>
        <v>900</v>
      </c>
      <c r="AC364" s="101" t="str">
        <f t="shared" si="50"/>
        <v>ИВТ (бак)</v>
      </c>
      <c r="AD364" s="101" t="str">
        <f t="shared" si="51"/>
        <v/>
      </c>
      <c r="AE364" s="102">
        <f t="shared" ca="1" si="52"/>
        <v>36.409999999999997</v>
      </c>
      <c r="AF364" s="103">
        <f t="shared" ca="1" si="53"/>
        <v>4.045555555555555E-2</v>
      </c>
      <c r="AG364" s="101"/>
      <c r="AH364" s="101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Q364" s="72">
        <v>0</v>
      </c>
      <c r="BR364" s="72">
        <v>0</v>
      </c>
      <c r="BS364" s="72">
        <v>0</v>
      </c>
      <c r="BT364" s="72">
        <v>0</v>
      </c>
      <c r="BU364" s="72">
        <v>0</v>
      </c>
      <c r="BV364" s="72">
        <v>0</v>
      </c>
      <c r="BW364" s="72">
        <v>0</v>
      </c>
      <c r="BX364" s="72">
        <v>0</v>
      </c>
      <c r="BY364" s="72">
        <v>0</v>
      </c>
      <c r="BZ364" s="72">
        <v>0</v>
      </c>
      <c r="CA364" s="72">
        <v>0</v>
      </c>
      <c r="CB364" s="72">
        <v>0</v>
      </c>
      <c r="CC364" s="72">
        <v>0</v>
      </c>
      <c r="CD364" s="72">
        <v>0</v>
      </c>
      <c r="CE364" s="72">
        <v>0</v>
      </c>
      <c r="CF364" s="72">
        <v>0</v>
      </c>
      <c r="CG364" s="72">
        <v>0</v>
      </c>
      <c r="CH364" s="72">
        <v>0</v>
      </c>
      <c r="CI364" s="72">
        <v>0</v>
      </c>
      <c r="CJ364" s="72">
        <v>0</v>
      </c>
      <c r="CK364" s="72">
        <v>0</v>
      </c>
      <c r="CL364" s="72">
        <v>0</v>
      </c>
      <c r="CM364" s="72">
        <v>0</v>
      </c>
      <c r="CN364" s="72">
        <v>0</v>
      </c>
      <c r="CO364" s="72">
        <v>0</v>
      </c>
      <c r="CP364" s="72">
        <v>0</v>
      </c>
      <c r="CQ364" s="72">
        <v>0</v>
      </c>
      <c r="CR364" s="72">
        <v>0</v>
      </c>
      <c r="CS364" s="72">
        <v>0</v>
      </c>
      <c r="CT364" s="72">
        <v>0</v>
      </c>
      <c r="CU364" s="72">
        <v>0</v>
      </c>
      <c r="CV364" s="72">
        <v>0</v>
      </c>
      <c r="CW364" s="72">
        <v>0</v>
      </c>
      <c r="CX364" s="72">
        <v>0</v>
      </c>
      <c r="CY364" s="72">
        <v>0</v>
      </c>
      <c r="CZ364" s="72">
        <v>0</v>
      </c>
      <c r="DA364" s="72">
        <v>0</v>
      </c>
      <c r="DB364" s="72">
        <v>0</v>
      </c>
      <c r="DC364" s="72">
        <v>0</v>
      </c>
      <c r="DD364" s="72">
        <v>0</v>
      </c>
      <c r="DE364" s="72">
        <v>0</v>
      </c>
      <c r="DF364" s="72">
        <v>0</v>
      </c>
      <c r="DG364" s="72">
        <v>0</v>
      </c>
      <c r="DH364" s="72">
        <v>0</v>
      </c>
      <c r="DI364" s="72">
        <v>0</v>
      </c>
      <c r="DJ364" s="72">
        <v>0</v>
      </c>
      <c r="DK364" s="72">
        <v>0</v>
      </c>
      <c r="DL364" s="72">
        <v>0</v>
      </c>
      <c r="DM364" s="72">
        <v>0</v>
      </c>
      <c r="DN364" s="72">
        <v>0</v>
      </c>
      <c r="DO364" s="72">
        <v>0</v>
      </c>
      <c r="DP364" s="72">
        <v>0</v>
      </c>
      <c r="DQ364" s="72">
        <v>0</v>
      </c>
      <c r="DR364" s="72">
        <v>0</v>
      </c>
      <c r="DS364" s="72">
        <v>0</v>
      </c>
      <c r="DT364" s="72">
        <v>0</v>
      </c>
      <c r="DU364" s="72">
        <v>0</v>
      </c>
      <c r="DV364" s="72">
        <v>0</v>
      </c>
      <c r="DW364" s="72">
        <v>0</v>
      </c>
      <c r="DX364" s="72">
        <v>0</v>
      </c>
      <c r="DY364" s="72">
        <v>0</v>
      </c>
      <c r="DZ364" s="72">
        <v>0</v>
      </c>
      <c r="EA364" s="72">
        <v>0</v>
      </c>
      <c r="EB364" s="72">
        <v>0</v>
      </c>
      <c r="EC364" s="72">
        <v>0</v>
      </c>
      <c r="ED364" s="72">
        <v>0</v>
      </c>
      <c r="EE364" s="72">
        <v>0</v>
      </c>
      <c r="EF364" s="72">
        <v>0</v>
      </c>
      <c r="EG364" s="72">
        <v>0</v>
      </c>
      <c r="EH364" s="72">
        <v>0</v>
      </c>
      <c r="EI364" s="72">
        <v>0</v>
      </c>
      <c r="EJ364" s="72">
        <v>0</v>
      </c>
      <c r="EK364" s="72">
        <v>0</v>
      </c>
      <c r="EL364" s="72">
        <v>0</v>
      </c>
    </row>
    <row r="365" spans="1:142" x14ac:dyDescent="0.35">
      <c r="A365" s="59">
        <f>Данные!A365</f>
        <v>5791</v>
      </c>
      <c r="B365" s="59">
        <f>Данные!B365</f>
        <v>2020</v>
      </c>
      <c r="C365" s="59" t="str">
        <f>Данные!C365</f>
        <v>компьютерных технологий и электронного обучения</v>
      </c>
      <c r="D365" s="59" t="str">
        <f>Данные!D365</f>
        <v>Абрамян Геннадий Владимирович</v>
      </c>
      <c r="E365" s="59" t="str">
        <f>Данные!E365</f>
        <v>доктор педагогических наук</v>
      </c>
      <c r="F365" s="59" t="str">
        <f>Данные!F365</f>
        <v>профессор</v>
      </c>
      <c r="G365" s="59">
        <f>Данные!G365</f>
        <v>1</v>
      </c>
      <c r="H365" s="59" t="str">
        <f>Данные!H365</f>
        <v>4 курс 2017 год/пост</v>
      </c>
      <c r="I365" s="59" t="str">
        <f>Данные!I365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65" s="59">
        <f>Данные!J365</f>
        <v>0</v>
      </c>
      <c r="K365" s="59">
        <f>Данные!K365</f>
        <v>0</v>
      </c>
      <c r="L365" s="59">
        <f>Данные!L365</f>
        <v>0</v>
      </c>
      <c r="M365" s="60">
        <f t="shared" si="45"/>
        <v>0</v>
      </c>
      <c r="N365" s="60">
        <f t="shared" ca="1" si="46"/>
        <v>10.91</v>
      </c>
      <c r="O365" s="60">
        <f t="shared" ca="1" si="47"/>
        <v>6.75</v>
      </c>
      <c r="P365" s="60">
        <f t="shared" ca="1" si="48"/>
        <v>6.75</v>
      </c>
      <c r="Q365" s="54">
        <f>Данные!Q365</f>
        <v>0</v>
      </c>
      <c r="R365" s="54">
        <f>Данные!R365</f>
        <v>0</v>
      </c>
      <c r="S365" s="54">
        <f>Данные!S365</f>
        <v>0</v>
      </c>
      <c r="T365" s="54">
        <f>Данные!T365</f>
        <v>0</v>
      </c>
      <c r="U365" s="54">
        <f>Данные!U365</f>
        <v>1</v>
      </c>
      <c r="V365" s="54">
        <f>Данные!V365</f>
        <v>0</v>
      </c>
      <c r="W365" s="54">
        <f ca="1">Данные!W365</f>
        <v>27</v>
      </c>
      <c r="X365" s="54" t="str">
        <f ca="1">Данные!X365</f>
        <v>1</v>
      </c>
      <c r="Y365" s="54" t="str">
        <f ca="1">Данные!Y365</f>
        <v>2</v>
      </c>
      <c r="Z365" s="54">
        <f>Данные!Z365</f>
        <v>0</v>
      </c>
      <c r="AA365" s="54">
        <f>Данные!AA365</f>
        <v>0</v>
      </c>
      <c r="AB365" s="101">
        <f t="shared" si="49"/>
        <v>750</v>
      </c>
      <c r="AC365" s="101" t="str">
        <f t="shared" si="50"/>
        <v>ИВТ (бак)</v>
      </c>
      <c r="AD365" s="101" t="str">
        <f t="shared" si="51"/>
        <v/>
      </c>
      <c r="AE365" s="102">
        <f t="shared" ca="1" si="52"/>
        <v>25.41</v>
      </c>
      <c r="AF365" s="103">
        <f t="shared" ca="1" si="53"/>
        <v>3.388E-2</v>
      </c>
      <c r="AG365" s="101"/>
      <c r="AH365" s="101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Q365" s="72">
        <v>0</v>
      </c>
      <c r="BR365" s="72">
        <v>0</v>
      </c>
      <c r="BS365" s="72">
        <v>0</v>
      </c>
      <c r="BT365" s="72">
        <v>0</v>
      </c>
      <c r="BU365" s="72">
        <v>0</v>
      </c>
      <c r="BV365" s="72">
        <v>0</v>
      </c>
      <c r="BW365" s="72">
        <v>0</v>
      </c>
      <c r="BX365" s="72">
        <v>0</v>
      </c>
      <c r="BY365" s="72">
        <v>0</v>
      </c>
      <c r="BZ365" s="72">
        <v>0</v>
      </c>
      <c r="CA365" s="72">
        <v>0</v>
      </c>
      <c r="CB365" s="72">
        <v>0</v>
      </c>
      <c r="CC365" s="72">
        <v>0</v>
      </c>
      <c r="CD365" s="72">
        <v>0</v>
      </c>
      <c r="CE365" s="72">
        <v>0</v>
      </c>
      <c r="CF365" s="72">
        <v>0</v>
      </c>
      <c r="CG365" s="72">
        <v>0</v>
      </c>
      <c r="CH365" s="72">
        <v>0</v>
      </c>
      <c r="CI365" s="72">
        <v>0</v>
      </c>
      <c r="CJ365" s="72">
        <v>0</v>
      </c>
      <c r="CK365" s="72">
        <v>0</v>
      </c>
      <c r="CL365" s="72">
        <v>0</v>
      </c>
      <c r="CM365" s="72">
        <v>0</v>
      </c>
      <c r="CN365" s="72">
        <v>0</v>
      </c>
      <c r="CO365" s="72">
        <v>0</v>
      </c>
      <c r="CP365" s="72">
        <v>0</v>
      </c>
      <c r="CQ365" s="72">
        <v>0</v>
      </c>
      <c r="CR365" s="72">
        <v>0</v>
      </c>
      <c r="CS365" s="72">
        <v>0</v>
      </c>
      <c r="CT365" s="72">
        <v>0</v>
      </c>
      <c r="CU365" s="72">
        <v>0</v>
      </c>
      <c r="CV365" s="72">
        <v>0</v>
      </c>
      <c r="CW365" s="72">
        <v>0</v>
      </c>
      <c r="CX365" s="72">
        <v>0</v>
      </c>
      <c r="CY365" s="72">
        <v>0</v>
      </c>
      <c r="CZ365" s="72">
        <v>0</v>
      </c>
      <c r="DA365" s="72">
        <v>0</v>
      </c>
      <c r="DB365" s="72">
        <v>0</v>
      </c>
      <c r="DC365" s="72">
        <v>0</v>
      </c>
      <c r="DD365" s="72">
        <v>0</v>
      </c>
      <c r="DE365" s="72">
        <v>0</v>
      </c>
      <c r="DF365" s="72">
        <v>0</v>
      </c>
      <c r="DG365" s="72">
        <v>0</v>
      </c>
      <c r="DH365" s="72">
        <v>0</v>
      </c>
      <c r="DI365" s="72">
        <v>0</v>
      </c>
      <c r="DJ365" s="72">
        <v>0</v>
      </c>
      <c r="DK365" s="72">
        <v>0</v>
      </c>
      <c r="DL365" s="72">
        <v>0</v>
      </c>
      <c r="DM365" s="72">
        <v>0</v>
      </c>
      <c r="DN365" s="72">
        <v>0</v>
      </c>
      <c r="DO365" s="72">
        <v>0</v>
      </c>
      <c r="DP365" s="72">
        <v>0</v>
      </c>
      <c r="DQ365" s="72">
        <v>0</v>
      </c>
      <c r="DR365" s="72">
        <v>0</v>
      </c>
      <c r="DS365" s="72">
        <v>0</v>
      </c>
      <c r="DT365" s="72">
        <v>0</v>
      </c>
      <c r="DU365" s="72">
        <v>0</v>
      </c>
      <c r="DV365" s="72">
        <v>0</v>
      </c>
      <c r="DW365" s="72">
        <v>0</v>
      </c>
      <c r="DX365" s="72">
        <v>0</v>
      </c>
      <c r="DY365" s="72">
        <v>0</v>
      </c>
      <c r="DZ365" s="72">
        <v>0</v>
      </c>
      <c r="EA365" s="72">
        <v>0</v>
      </c>
      <c r="EB365" s="72">
        <v>0</v>
      </c>
      <c r="EC365" s="72">
        <v>0</v>
      </c>
      <c r="ED365" s="72">
        <v>0</v>
      </c>
      <c r="EE365" s="72">
        <v>0</v>
      </c>
      <c r="EF365" s="72">
        <v>0</v>
      </c>
      <c r="EG365" s="72">
        <v>0</v>
      </c>
      <c r="EH365" s="72">
        <v>0</v>
      </c>
      <c r="EI365" s="72">
        <v>0</v>
      </c>
      <c r="EJ365" s="72">
        <v>0</v>
      </c>
      <c r="EK365" s="72">
        <v>0</v>
      </c>
      <c r="EL365" s="72">
        <v>0</v>
      </c>
    </row>
    <row r="366" spans="1:142" x14ac:dyDescent="0.35">
      <c r="A366" s="59">
        <f>Данные!A366</f>
        <v>5791</v>
      </c>
      <c r="B366" s="59">
        <f>Данные!B366</f>
        <v>2020</v>
      </c>
      <c r="C366" s="59" t="str">
        <f>Данные!C366</f>
        <v>компьютерных технологий и электронного обучения</v>
      </c>
      <c r="D366" s="59" t="str">
        <f>Данные!D366</f>
        <v>Копыльцов Александр Васильевич</v>
      </c>
      <c r="E366" s="59" t="str">
        <f>Данные!E366</f>
        <v>доктор технических наук</v>
      </c>
      <c r="F366" s="59" t="str">
        <f>Данные!F366</f>
        <v>внешний</v>
      </c>
      <c r="G366" s="59">
        <f>Данные!G366</f>
        <v>1</v>
      </c>
      <c r="H366" s="59" t="str">
        <f>Данные!H366</f>
        <v>4 курс 2017 год/пост</v>
      </c>
      <c r="I366" s="59" t="str">
        <f>Данные!I366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66" s="59">
        <f>Данные!J366</f>
        <v>0</v>
      </c>
      <c r="K366" s="59">
        <f>Данные!K366</f>
        <v>0</v>
      </c>
      <c r="L366" s="59">
        <f>Данные!L366</f>
        <v>0</v>
      </c>
      <c r="M366" s="60">
        <f t="shared" si="45"/>
        <v>0</v>
      </c>
      <c r="N366" s="60">
        <f t="shared" ca="1" si="46"/>
        <v>10.91</v>
      </c>
      <c r="O366" s="60">
        <f t="shared" ca="1" si="47"/>
        <v>6.75</v>
      </c>
      <c r="P366" s="60">
        <f t="shared" ca="1" si="48"/>
        <v>6.75</v>
      </c>
      <c r="Q366" s="54">
        <f>Данные!Q366</f>
        <v>0</v>
      </c>
      <c r="R366" s="54">
        <f>Данные!R366</f>
        <v>0</v>
      </c>
      <c r="S366" s="54">
        <f>Данные!S366</f>
        <v>0</v>
      </c>
      <c r="T366" s="54">
        <f>Данные!T366</f>
        <v>0</v>
      </c>
      <c r="U366" s="54">
        <f>Данные!U366</f>
        <v>12</v>
      </c>
      <c r="V366" s="54">
        <f>Данные!V366</f>
        <v>0</v>
      </c>
      <c r="W366" s="54">
        <f ca="1">Данные!W366</f>
        <v>27</v>
      </c>
      <c r="X366" s="54" t="str">
        <f ca="1">Данные!X366</f>
        <v>1</v>
      </c>
      <c r="Y366" s="54" t="str">
        <f ca="1">Данные!Y366</f>
        <v>2</v>
      </c>
      <c r="Z366" s="54">
        <f>Данные!Z366</f>
        <v>0</v>
      </c>
      <c r="AA366" s="54">
        <f>Данные!AA366</f>
        <v>0</v>
      </c>
      <c r="AB366" s="101">
        <f t="shared" si="49"/>
        <v>900</v>
      </c>
      <c r="AC366" s="101" t="str">
        <f t="shared" si="50"/>
        <v>ИВТ (бак)</v>
      </c>
      <c r="AD366" s="101" t="str">
        <f t="shared" si="51"/>
        <v/>
      </c>
      <c r="AE366" s="102">
        <f t="shared" ca="1" si="52"/>
        <v>36.409999999999997</v>
      </c>
      <c r="AF366" s="103">
        <f t="shared" ca="1" si="53"/>
        <v>4.045555555555555E-2</v>
      </c>
      <c r="AG366" s="101"/>
      <c r="AH366" s="101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Q366" s="72">
        <v>0</v>
      </c>
      <c r="BR366" s="72">
        <v>0</v>
      </c>
      <c r="BS366" s="72">
        <v>0</v>
      </c>
      <c r="BT366" s="72">
        <v>0</v>
      </c>
      <c r="BU366" s="72">
        <v>0</v>
      </c>
      <c r="BV366" s="72">
        <v>0</v>
      </c>
      <c r="BW366" s="72">
        <v>0</v>
      </c>
      <c r="BX366" s="72">
        <v>0</v>
      </c>
      <c r="BY366" s="72">
        <v>0</v>
      </c>
      <c r="BZ366" s="72">
        <v>0</v>
      </c>
      <c r="CA366" s="72">
        <v>0</v>
      </c>
      <c r="CB366" s="72">
        <v>0</v>
      </c>
      <c r="CC366" s="72">
        <v>0</v>
      </c>
      <c r="CD366" s="72">
        <v>0</v>
      </c>
      <c r="CE366" s="72">
        <v>0</v>
      </c>
      <c r="CF366" s="72">
        <v>0</v>
      </c>
      <c r="CG366" s="72">
        <v>0</v>
      </c>
      <c r="CH366" s="72">
        <v>0</v>
      </c>
      <c r="CI366" s="72">
        <v>0</v>
      </c>
      <c r="CJ366" s="72">
        <v>0</v>
      </c>
      <c r="CK366" s="72">
        <v>0</v>
      </c>
      <c r="CL366" s="72">
        <v>0</v>
      </c>
      <c r="CM366" s="72">
        <v>0</v>
      </c>
      <c r="CN366" s="72">
        <v>0</v>
      </c>
      <c r="CO366" s="72">
        <v>0</v>
      </c>
      <c r="CP366" s="72">
        <v>0</v>
      </c>
      <c r="CQ366" s="72">
        <v>0</v>
      </c>
      <c r="CR366" s="72">
        <v>0</v>
      </c>
      <c r="CS366" s="72">
        <v>0</v>
      </c>
      <c r="CT366" s="72">
        <v>0</v>
      </c>
      <c r="CU366" s="72">
        <v>0</v>
      </c>
      <c r="CV366" s="72">
        <v>0</v>
      </c>
      <c r="CW366" s="72">
        <v>0</v>
      </c>
      <c r="CX366" s="72">
        <v>0</v>
      </c>
      <c r="CY366" s="72">
        <v>0</v>
      </c>
      <c r="CZ366" s="72">
        <v>0</v>
      </c>
      <c r="DA366" s="72">
        <v>0</v>
      </c>
      <c r="DB366" s="72">
        <v>0</v>
      </c>
      <c r="DC366" s="72">
        <v>0</v>
      </c>
      <c r="DD366" s="72">
        <v>0</v>
      </c>
      <c r="DE366" s="72">
        <v>0</v>
      </c>
      <c r="DF366" s="72">
        <v>0</v>
      </c>
      <c r="DG366" s="72">
        <v>0</v>
      </c>
      <c r="DH366" s="72">
        <v>0</v>
      </c>
      <c r="DI366" s="72">
        <v>0</v>
      </c>
      <c r="DJ366" s="72">
        <v>0</v>
      </c>
      <c r="DK366" s="72">
        <v>0</v>
      </c>
      <c r="DL366" s="72">
        <v>0</v>
      </c>
      <c r="DM366" s="72">
        <v>0</v>
      </c>
      <c r="DN366" s="72">
        <v>0</v>
      </c>
      <c r="DO366" s="72">
        <v>0</v>
      </c>
      <c r="DP366" s="72">
        <v>0</v>
      </c>
      <c r="DQ366" s="72">
        <v>0</v>
      </c>
      <c r="DR366" s="72">
        <v>0</v>
      </c>
      <c r="DS366" s="72">
        <v>0</v>
      </c>
      <c r="DT366" s="72">
        <v>0</v>
      </c>
      <c r="DU366" s="72">
        <v>0</v>
      </c>
      <c r="DV366" s="72">
        <v>0</v>
      </c>
      <c r="DW366" s="72">
        <v>0</v>
      </c>
      <c r="DX366" s="72">
        <v>0</v>
      </c>
      <c r="DY366" s="72">
        <v>0</v>
      </c>
      <c r="DZ366" s="72">
        <v>0</v>
      </c>
      <c r="EA366" s="72">
        <v>0</v>
      </c>
      <c r="EB366" s="72">
        <v>0</v>
      </c>
      <c r="EC366" s="72">
        <v>0</v>
      </c>
      <c r="ED366" s="72">
        <v>0</v>
      </c>
      <c r="EE366" s="72">
        <v>0</v>
      </c>
      <c r="EF366" s="72">
        <v>0</v>
      </c>
      <c r="EG366" s="72">
        <v>0</v>
      </c>
      <c r="EH366" s="72">
        <v>0</v>
      </c>
      <c r="EI366" s="72">
        <v>0</v>
      </c>
      <c r="EJ366" s="72">
        <v>0</v>
      </c>
      <c r="EK366" s="72">
        <v>0</v>
      </c>
      <c r="EL366" s="72">
        <v>0</v>
      </c>
    </row>
    <row r="367" spans="1:142" x14ac:dyDescent="0.35">
      <c r="A367" s="59">
        <f>Данные!A367</f>
        <v>5791</v>
      </c>
      <c r="B367" s="59">
        <f>Данные!B367</f>
        <v>2020</v>
      </c>
      <c r="C367" s="59" t="str">
        <f>Данные!C367</f>
        <v>компьютерных технологий и электронного обучения</v>
      </c>
      <c r="D367" s="59" t="str">
        <f>Данные!D367</f>
        <v>Серегин Александр Николаевич</v>
      </c>
      <c r="E367" s="59" t="str">
        <f>Данные!E367</f>
        <v>кандидат технических наук</v>
      </c>
      <c r="F367" s="59" t="str">
        <f>Данные!F367</f>
        <v>внешний</v>
      </c>
      <c r="G367" s="59">
        <f>Данные!G367</f>
        <v>0.75</v>
      </c>
      <c r="H367" s="59" t="str">
        <f>Данные!H367</f>
        <v>4 курс 2017 год/пост</v>
      </c>
      <c r="I367" s="59" t="str">
        <f>Данные!I367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67" s="59">
        <f>Данные!J367</f>
        <v>0</v>
      </c>
      <c r="K367" s="59">
        <f>Данные!K367</f>
        <v>0</v>
      </c>
      <c r="L367" s="59">
        <f>Данные!L367</f>
        <v>0</v>
      </c>
      <c r="M367" s="60">
        <f t="shared" si="45"/>
        <v>0</v>
      </c>
      <c r="N367" s="60">
        <f t="shared" ca="1" si="46"/>
        <v>10.91</v>
      </c>
      <c r="O367" s="60">
        <f t="shared" ca="1" si="47"/>
        <v>6.75</v>
      </c>
      <c r="P367" s="60">
        <f t="shared" ca="1" si="48"/>
        <v>6.75</v>
      </c>
      <c r="Q367" s="54">
        <f>Данные!Q367</f>
        <v>0</v>
      </c>
      <c r="R367" s="54">
        <f>Данные!R367</f>
        <v>0</v>
      </c>
      <c r="S367" s="54">
        <f>Данные!S367</f>
        <v>0</v>
      </c>
      <c r="T367" s="54">
        <f>Данные!T367</f>
        <v>0</v>
      </c>
      <c r="U367" s="54">
        <f>Данные!U367</f>
        <v>10</v>
      </c>
      <c r="V367" s="54">
        <f>Данные!V367</f>
        <v>0</v>
      </c>
      <c r="W367" s="54">
        <f ca="1">Данные!W367</f>
        <v>27</v>
      </c>
      <c r="X367" s="54" t="str">
        <f ca="1">Данные!X367</f>
        <v>1</v>
      </c>
      <c r="Y367" s="54" t="str">
        <f ca="1">Данные!Y367</f>
        <v>2</v>
      </c>
      <c r="Z367" s="54">
        <f>Данные!Z367</f>
        <v>0</v>
      </c>
      <c r="AA367" s="54">
        <f>Данные!AA367</f>
        <v>0</v>
      </c>
      <c r="AB367" s="101">
        <f t="shared" si="49"/>
        <v>900</v>
      </c>
      <c r="AC367" s="101" t="str">
        <f t="shared" si="50"/>
        <v>ИВТ (бак)</v>
      </c>
      <c r="AD367" s="101" t="str">
        <f t="shared" si="51"/>
        <v/>
      </c>
      <c r="AE367" s="102">
        <f t="shared" ca="1" si="52"/>
        <v>34.409999999999997</v>
      </c>
      <c r="AF367" s="103">
        <f t="shared" ca="1" si="53"/>
        <v>3.8233333333333328E-2</v>
      </c>
      <c r="AG367" s="101"/>
      <c r="AH367" s="101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Q367" s="72">
        <v>0</v>
      </c>
      <c r="BR367" s="72">
        <v>0</v>
      </c>
      <c r="BS367" s="72">
        <v>0</v>
      </c>
      <c r="BT367" s="72">
        <v>0</v>
      </c>
      <c r="BU367" s="72">
        <v>0</v>
      </c>
      <c r="BV367" s="72">
        <v>0</v>
      </c>
      <c r="BW367" s="72">
        <v>0</v>
      </c>
      <c r="BX367" s="72">
        <v>0</v>
      </c>
      <c r="BY367" s="72">
        <v>0</v>
      </c>
      <c r="BZ367" s="72">
        <v>0</v>
      </c>
      <c r="CA367" s="72">
        <v>0</v>
      </c>
      <c r="CB367" s="72">
        <v>0</v>
      </c>
      <c r="CC367" s="72">
        <v>0</v>
      </c>
      <c r="CD367" s="72">
        <v>0</v>
      </c>
      <c r="CE367" s="72">
        <v>0</v>
      </c>
      <c r="CF367" s="72">
        <v>0</v>
      </c>
      <c r="CG367" s="72">
        <v>0</v>
      </c>
      <c r="CH367" s="72">
        <v>0</v>
      </c>
      <c r="CI367" s="72">
        <v>0</v>
      </c>
      <c r="CJ367" s="72">
        <v>0</v>
      </c>
      <c r="CK367" s="72">
        <v>0</v>
      </c>
      <c r="CL367" s="72">
        <v>0</v>
      </c>
      <c r="CM367" s="72">
        <v>0</v>
      </c>
      <c r="CN367" s="72">
        <v>0</v>
      </c>
      <c r="CO367" s="72">
        <v>0</v>
      </c>
      <c r="CP367" s="72">
        <v>0</v>
      </c>
      <c r="CQ367" s="72">
        <v>0</v>
      </c>
      <c r="CR367" s="72">
        <v>0</v>
      </c>
      <c r="CS367" s="72">
        <v>0</v>
      </c>
      <c r="CT367" s="72">
        <v>0</v>
      </c>
      <c r="CU367" s="72">
        <v>0</v>
      </c>
      <c r="CV367" s="72">
        <v>0</v>
      </c>
      <c r="CW367" s="72">
        <v>0</v>
      </c>
      <c r="CX367" s="72">
        <v>0</v>
      </c>
      <c r="CY367" s="72">
        <v>0</v>
      </c>
      <c r="CZ367" s="72">
        <v>0</v>
      </c>
      <c r="DA367" s="72">
        <v>0</v>
      </c>
      <c r="DB367" s="72">
        <v>0</v>
      </c>
      <c r="DC367" s="72">
        <v>0</v>
      </c>
      <c r="DD367" s="72">
        <v>0</v>
      </c>
      <c r="DE367" s="72">
        <v>0</v>
      </c>
      <c r="DF367" s="72">
        <v>0</v>
      </c>
      <c r="DG367" s="72">
        <v>0</v>
      </c>
      <c r="DH367" s="72">
        <v>0</v>
      </c>
      <c r="DI367" s="72">
        <v>0</v>
      </c>
      <c r="DJ367" s="72">
        <v>0</v>
      </c>
      <c r="DK367" s="72">
        <v>0</v>
      </c>
      <c r="DL367" s="72">
        <v>0</v>
      </c>
      <c r="DM367" s="72">
        <v>0</v>
      </c>
      <c r="DN367" s="72">
        <v>0</v>
      </c>
      <c r="DO367" s="72">
        <v>0</v>
      </c>
      <c r="DP367" s="72">
        <v>0</v>
      </c>
      <c r="DQ367" s="72">
        <v>0</v>
      </c>
      <c r="DR367" s="72">
        <v>0</v>
      </c>
      <c r="DS367" s="72">
        <v>0</v>
      </c>
      <c r="DT367" s="72">
        <v>0</v>
      </c>
      <c r="DU367" s="72">
        <v>0</v>
      </c>
      <c r="DV367" s="72">
        <v>0</v>
      </c>
      <c r="DW367" s="72">
        <v>0</v>
      </c>
      <c r="DX367" s="72">
        <v>0</v>
      </c>
      <c r="DY367" s="72">
        <v>0</v>
      </c>
      <c r="DZ367" s="72">
        <v>0</v>
      </c>
      <c r="EA367" s="72">
        <v>0</v>
      </c>
      <c r="EB367" s="72">
        <v>0</v>
      </c>
      <c r="EC367" s="72">
        <v>0</v>
      </c>
      <c r="ED367" s="72">
        <v>0</v>
      </c>
      <c r="EE367" s="72">
        <v>0</v>
      </c>
      <c r="EF367" s="72">
        <v>0</v>
      </c>
      <c r="EG367" s="72">
        <v>0</v>
      </c>
      <c r="EH367" s="72">
        <v>0</v>
      </c>
      <c r="EI367" s="72">
        <v>0</v>
      </c>
      <c r="EJ367" s="72">
        <v>0</v>
      </c>
      <c r="EK367" s="72">
        <v>0</v>
      </c>
      <c r="EL367" s="72">
        <v>0</v>
      </c>
    </row>
    <row r="368" spans="1:142" x14ac:dyDescent="0.35">
      <c r="A368" s="59">
        <f>Данные!A368</f>
        <v>5791</v>
      </c>
      <c r="B368" s="59">
        <f>Данные!B368</f>
        <v>2020</v>
      </c>
      <c r="C368" s="59" t="str">
        <f>Данные!C368</f>
        <v>компьютерных технологий и электронного обучения</v>
      </c>
      <c r="D368" s="59" t="str">
        <f>Данные!D368</f>
        <v>Авксентьева Елена Юрьевна</v>
      </c>
      <c r="E368" s="59" t="str">
        <f>Данные!E368</f>
        <v>кандидат педагогических наук</v>
      </c>
      <c r="F368" s="59" t="str">
        <f>Данные!F368</f>
        <v>доцент</v>
      </c>
      <c r="G368" s="59">
        <f>Данные!G368</f>
        <v>1</v>
      </c>
      <c r="H368" s="59" t="str">
        <f>Данные!H368</f>
        <v>4 курс 2017 год/пост</v>
      </c>
      <c r="I368" s="59" t="str">
        <f>Данные!I368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68" s="59">
        <f>Данные!J368</f>
        <v>0</v>
      </c>
      <c r="K368" s="59">
        <f>Данные!K368</f>
        <v>0</v>
      </c>
      <c r="L368" s="59">
        <f>Данные!L368</f>
        <v>0</v>
      </c>
      <c r="M368" s="60">
        <f t="shared" si="45"/>
        <v>0</v>
      </c>
      <c r="N368" s="60">
        <f t="shared" ca="1" si="46"/>
        <v>10.91</v>
      </c>
      <c r="O368" s="60">
        <f t="shared" ca="1" si="47"/>
        <v>6.75</v>
      </c>
      <c r="P368" s="60">
        <f t="shared" ca="1" si="48"/>
        <v>6.75</v>
      </c>
      <c r="Q368" s="54">
        <f>Данные!Q368</f>
        <v>0</v>
      </c>
      <c r="R368" s="54">
        <f>Данные!R368</f>
        <v>0</v>
      </c>
      <c r="S368" s="54">
        <f>Данные!S368</f>
        <v>0</v>
      </c>
      <c r="T368" s="54">
        <f>Данные!T368</f>
        <v>0</v>
      </c>
      <c r="U368" s="54">
        <f>Данные!U368</f>
        <v>5</v>
      </c>
      <c r="V368" s="54">
        <f>Данные!V368</f>
        <v>0</v>
      </c>
      <c r="W368" s="54">
        <f ca="1">Данные!W368</f>
        <v>27</v>
      </c>
      <c r="X368" s="54" t="str">
        <f ca="1">Данные!X368</f>
        <v>1</v>
      </c>
      <c r="Y368" s="54" t="str">
        <f ca="1">Данные!Y368</f>
        <v>2</v>
      </c>
      <c r="Z368" s="54">
        <f>Данные!Z368</f>
        <v>0</v>
      </c>
      <c r="AA368" s="54">
        <f>Данные!AA368</f>
        <v>0</v>
      </c>
      <c r="AB368" s="101">
        <f t="shared" si="49"/>
        <v>800</v>
      </c>
      <c r="AC368" s="101" t="str">
        <f t="shared" si="50"/>
        <v>ИВТ (бак)</v>
      </c>
      <c r="AD368" s="101" t="str">
        <f t="shared" si="51"/>
        <v/>
      </c>
      <c r="AE368" s="102">
        <f t="shared" ca="1" si="52"/>
        <v>29.41</v>
      </c>
      <c r="AF368" s="103">
        <f t="shared" ca="1" si="53"/>
        <v>3.6762500000000004E-2</v>
      </c>
      <c r="AG368" s="101"/>
      <c r="AH368" s="101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Q368" s="72">
        <v>0</v>
      </c>
      <c r="BR368" s="72">
        <v>0</v>
      </c>
      <c r="BS368" s="72">
        <v>0</v>
      </c>
      <c r="BT368" s="72">
        <v>0</v>
      </c>
      <c r="BU368" s="72">
        <v>0</v>
      </c>
      <c r="BV368" s="72">
        <v>0</v>
      </c>
      <c r="BW368" s="72">
        <v>0</v>
      </c>
      <c r="BX368" s="72">
        <v>0</v>
      </c>
      <c r="BY368" s="72">
        <v>0</v>
      </c>
      <c r="BZ368" s="72">
        <v>0</v>
      </c>
      <c r="CA368" s="72">
        <v>0</v>
      </c>
      <c r="CB368" s="72">
        <v>0</v>
      </c>
      <c r="CC368" s="72">
        <v>0</v>
      </c>
      <c r="CD368" s="72">
        <v>0</v>
      </c>
      <c r="CE368" s="72">
        <v>0</v>
      </c>
      <c r="CF368" s="72">
        <v>0</v>
      </c>
      <c r="CG368" s="72">
        <v>0</v>
      </c>
      <c r="CH368" s="72">
        <v>0</v>
      </c>
      <c r="CI368" s="72">
        <v>0</v>
      </c>
      <c r="CJ368" s="72">
        <v>0</v>
      </c>
      <c r="CK368" s="72">
        <v>0</v>
      </c>
      <c r="CL368" s="72">
        <v>0</v>
      </c>
      <c r="CM368" s="72">
        <v>0</v>
      </c>
      <c r="CN368" s="72">
        <v>0</v>
      </c>
      <c r="CO368" s="72">
        <v>0</v>
      </c>
      <c r="CP368" s="72">
        <v>0</v>
      </c>
      <c r="CQ368" s="72">
        <v>0</v>
      </c>
      <c r="CR368" s="72">
        <v>0</v>
      </c>
      <c r="CS368" s="72">
        <v>0</v>
      </c>
      <c r="CT368" s="72">
        <v>0</v>
      </c>
      <c r="CU368" s="72">
        <v>0</v>
      </c>
      <c r="CV368" s="72">
        <v>0</v>
      </c>
      <c r="CW368" s="72">
        <v>0</v>
      </c>
      <c r="CX368" s="72">
        <v>0</v>
      </c>
      <c r="CY368" s="72">
        <v>0</v>
      </c>
      <c r="CZ368" s="72">
        <v>0</v>
      </c>
      <c r="DA368" s="72">
        <v>0</v>
      </c>
      <c r="DB368" s="72">
        <v>0</v>
      </c>
      <c r="DC368" s="72">
        <v>0</v>
      </c>
      <c r="DD368" s="72">
        <v>0</v>
      </c>
      <c r="DE368" s="72">
        <v>0</v>
      </c>
      <c r="DF368" s="72">
        <v>0</v>
      </c>
      <c r="DG368" s="72">
        <v>0</v>
      </c>
      <c r="DH368" s="72">
        <v>0</v>
      </c>
      <c r="DI368" s="72">
        <v>0</v>
      </c>
      <c r="DJ368" s="72">
        <v>0</v>
      </c>
      <c r="DK368" s="72">
        <v>0</v>
      </c>
      <c r="DL368" s="72">
        <v>0</v>
      </c>
      <c r="DM368" s="72">
        <v>0</v>
      </c>
      <c r="DN368" s="72">
        <v>0</v>
      </c>
      <c r="DO368" s="72">
        <v>0</v>
      </c>
      <c r="DP368" s="72">
        <v>0</v>
      </c>
      <c r="DQ368" s="72">
        <v>0</v>
      </c>
      <c r="DR368" s="72">
        <v>0</v>
      </c>
      <c r="DS368" s="72">
        <v>0</v>
      </c>
      <c r="DT368" s="72">
        <v>0</v>
      </c>
      <c r="DU368" s="72">
        <v>0</v>
      </c>
      <c r="DV368" s="72">
        <v>0</v>
      </c>
      <c r="DW368" s="72">
        <v>0</v>
      </c>
      <c r="DX368" s="72">
        <v>0</v>
      </c>
      <c r="DY368" s="72">
        <v>0</v>
      </c>
      <c r="DZ368" s="72">
        <v>0</v>
      </c>
      <c r="EA368" s="72">
        <v>0</v>
      </c>
      <c r="EB368" s="72">
        <v>0</v>
      </c>
      <c r="EC368" s="72">
        <v>0</v>
      </c>
      <c r="ED368" s="72">
        <v>0</v>
      </c>
      <c r="EE368" s="72">
        <v>0</v>
      </c>
      <c r="EF368" s="72">
        <v>0</v>
      </c>
      <c r="EG368" s="72">
        <v>0</v>
      </c>
      <c r="EH368" s="72">
        <v>0</v>
      </c>
      <c r="EI368" s="72">
        <v>0</v>
      </c>
      <c r="EJ368" s="72">
        <v>0</v>
      </c>
      <c r="EK368" s="72">
        <v>0</v>
      </c>
      <c r="EL368" s="72">
        <v>0</v>
      </c>
    </row>
    <row r="369" spans="1:142" x14ac:dyDescent="0.35">
      <c r="A369" s="59">
        <f>Данные!A369</f>
        <v>5791</v>
      </c>
      <c r="B369" s="59">
        <f>Данные!B369</f>
        <v>2020</v>
      </c>
      <c r="C369" s="59" t="str">
        <f>Данные!C369</f>
        <v>компьютерных технологий и электронного обучения</v>
      </c>
      <c r="D369" s="59" t="str">
        <f>Данные!D369</f>
        <v>Жуков Николай Николаевич</v>
      </c>
      <c r="E369" s="59" t="str">
        <f>Данные!E369</f>
        <v>нет</v>
      </c>
      <c r="F369" s="59" t="str">
        <f>Данные!F369</f>
        <v>ассистент</v>
      </c>
      <c r="G369" s="59">
        <f>Данные!G369</f>
        <v>1</v>
      </c>
      <c r="H369" s="59" t="str">
        <f>Данные!H369</f>
        <v>4 курс 2017 год/пост</v>
      </c>
      <c r="I369" s="59" t="str">
        <f>Данные!I369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69" s="59">
        <f>Данные!J369</f>
        <v>0</v>
      </c>
      <c r="K369" s="59">
        <f>Данные!K369</f>
        <v>0</v>
      </c>
      <c r="L369" s="59">
        <f>Данные!L369</f>
        <v>0</v>
      </c>
      <c r="M369" s="60">
        <f t="shared" si="45"/>
        <v>0</v>
      </c>
      <c r="N369" s="60">
        <f t="shared" ca="1" si="46"/>
        <v>10.91</v>
      </c>
      <c r="O369" s="60">
        <f t="shared" ca="1" si="47"/>
        <v>6.75</v>
      </c>
      <c r="P369" s="60">
        <f t="shared" ca="1" si="48"/>
        <v>6.75</v>
      </c>
      <c r="Q369" s="54">
        <f>Данные!Q369</f>
        <v>0</v>
      </c>
      <c r="R369" s="54">
        <f>Данные!R369</f>
        <v>0</v>
      </c>
      <c r="S369" s="54">
        <f>Данные!S369</f>
        <v>0</v>
      </c>
      <c r="T369" s="54">
        <f>Данные!T369</f>
        <v>0</v>
      </c>
      <c r="U369" s="54">
        <f>Данные!U369</f>
        <v>0</v>
      </c>
      <c r="V369" s="54">
        <f>Данные!V369</f>
        <v>0</v>
      </c>
      <c r="W369" s="54">
        <f ca="1">Данные!W369</f>
        <v>27</v>
      </c>
      <c r="X369" s="54" t="str">
        <f ca="1">Данные!X369</f>
        <v>1</v>
      </c>
      <c r="Y369" s="54" t="str">
        <f ca="1">Данные!Y369</f>
        <v>2</v>
      </c>
      <c r="Z369" s="54">
        <f>Данные!Z369</f>
        <v>0</v>
      </c>
      <c r="AA369" s="54">
        <f>Данные!AA369</f>
        <v>0</v>
      </c>
      <c r="AB369" s="101">
        <f t="shared" si="49"/>
        <v>900</v>
      </c>
      <c r="AC369" s="101" t="str">
        <f t="shared" si="50"/>
        <v>ИВТ (бак)</v>
      </c>
      <c r="AD369" s="101" t="str">
        <f t="shared" si="51"/>
        <v/>
      </c>
      <c r="AE369" s="102">
        <f t="shared" ca="1" si="52"/>
        <v>24.41</v>
      </c>
      <c r="AF369" s="103">
        <f t="shared" ca="1" si="53"/>
        <v>2.7122222222222221E-2</v>
      </c>
      <c r="AG369" s="101"/>
      <c r="AH369" s="101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Q369" s="72">
        <v>0</v>
      </c>
      <c r="BR369" s="72">
        <v>0</v>
      </c>
      <c r="BS369" s="72">
        <v>0</v>
      </c>
      <c r="BT369" s="72">
        <v>0</v>
      </c>
      <c r="BU369" s="72">
        <v>0</v>
      </c>
      <c r="BV369" s="72">
        <v>0</v>
      </c>
      <c r="BW369" s="72">
        <v>0</v>
      </c>
      <c r="BX369" s="72">
        <v>0</v>
      </c>
      <c r="BY369" s="72">
        <v>0</v>
      </c>
      <c r="BZ369" s="72">
        <v>0</v>
      </c>
      <c r="CA369" s="72">
        <v>0</v>
      </c>
      <c r="CB369" s="72">
        <v>0</v>
      </c>
      <c r="CC369" s="72">
        <v>0</v>
      </c>
      <c r="CD369" s="72">
        <v>0</v>
      </c>
      <c r="CE369" s="72">
        <v>0</v>
      </c>
      <c r="CF369" s="72">
        <v>0</v>
      </c>
      <c r="CG369" s="72">
        <v>0</v>
      </c>
      <c r="CH369" s="72">
        <v>0</v>
      </c>
      <c r="CI369" s="72">
        <v>0</v>
      </c>
      <c r="CJ369" s="72">
        <v>0</v>
      </c>
      <c r="CK369" s="72">
        <v>0</v>
      </c>
      <c r="CL369" s="72">
        <v>0</v>
      </c>
      <c r="CM369" s="72">
        <v>0</v>
      </c>
      <c r="CN369" s="72">
        <v>0</v>
      </c>
      <c r="CO369" s="72">
        <v>0</v>
      </c>
      <c r="CP369" s="72">
        <v>0</v>
      </c>
      <c r="CQ369" s="72">
        <v>0</v>
      </c>
      <c r="CR369" s="72">
        <v>0</v>
      </c>
      <c r="CS369" s="72">
        <v>0</v>
      </c>
      <c r="CT369" s="72">
        <v>0</v>
      </c>
      <c r="CU369" s="72">
        <v>0</v>
      </c>
      <c r="CV369" s="72">
        <v>0</v>
      </c>
      <c r="CW369" s="72">
        <v>0</v>
      </c>
      <c r="CX369" s="72">
        <v>0</v>
      </c>
      <c r="CY369" s="72">
        <v>0</v>
      </c>
      <c r="CZ369" s="72">
        <v>0</v>
      </c>
      <c r="DA369" s="72">
        <v>0</v>
      </c>
      <c r="DB369" s="72">
        <v>0</v>
      </c>
      <c r="DC369" s="72">
        <v>0</v>
      </c>
      <c r="DD369" s="72">
        <v>0</v>
      </c>
      <c r="DE369" s="72">
        <v>0</v>
      </c>
      <c r="DF369" s="72">
        <v>0</v>
      </c>
      <c r="DG369" s="72">
        <v>0</v>
      </c>
      <c r="DH369" s="72">
        <v>0</v>
      </c>
      <c r="DI369" s="72">
        <v>0</v>
      </c>
      <c r="DJ369" s="72">
        <v>0</v>
      </c>
      <c r="DK369" s="72">
        <v>0</v>
      </c>
      <c r="DL369" s="72">
        <v>0</v>
      </c>
      <c r="DM369" s="72">
        <v>0</v>
      </c>
      <c r="DN369" s="72">
        <v>0</v>
      </c>
      <c r="DO369" s="72">
        <v>0</v>
      </c>
      <c r="DP369" s="72">
        <v>0</v>
      </c>
      <c r="DQ369" s="72">
        <v>0</v>
      </c>
      <c r="DR369" s="72">
        <v>0</v>
      </c>
      <c r="DS369" s="72">
        <v>0</v>
      </c>
      <c r="DT369" s="72">
        <v>0</v>
      </c>
      <c r="DU369" s="72">
        <v>0</v>
      </c>
      <c r="DV369" s="72">
        <v>0</v>
      </c>
      <c r="DW369" s="72">
        <v>0</v>
      </c>
      <c r="DX369" s="72">
        <v>0</v>
      </c>
      <c r="DY369" s="72">
        <v>0</v>
      </c>
      <c r="DZ369" s="72">
        <v>0</v>
      </c>
      <c r="EA369" s="72">
        <v>0</v>
      </c>
      <c r="EB369" s="72">
        <v>0</v>
      </c>
      <c r="EC369" s="72">
        <v>0</v>
      </c>
      <c r="ED369" s="72">
        <v>0</v>
      </c>
      <c r="EE369" s="72">
        <v>0</v>
      </c>
      <c r="EF369" s="72">
        <v>0</v>
      </c>
      <c r="EG369" s="72">
        <v>0</v>
      </c>
      <c r="EH369" s="72">
        <v>0</v>
      </c>
      <c r="EI369" s="72">
        <v>0</v>
      </c>
      <c r="EJ369" s="72">
        <v>0</v>
      </c>
      <c r="EK369" s="72">
        <v>0</v>
      </c>
      <c r="EL369" s="72">
        <v>0</v>
      </c>
    </row>
    <row r="370" spans="1:142" x14ac:dyDescent="0.35">
      <c r="A370" s="59">
        <f>Данные!A370</f>
        <v>5791</v>
      </c>
      <c r="B370" s="59">
        <f>Данные!B370</f>
        <v>2020</v>
      </c>
      <c r="C370" s="59" t="str">
        <f>Данные!C370</f>
        <v>компьютерных технологий и электронного обучения</v>
      </c>
      <c r="D370" s="59" t="str">
        <f>Данные!D370</f>
        <v>Государев Илья Борисович</v>
      </c>
      <c r="E370" s="59" t="str">
        <f>Данные!E370</f>
        <v>кандидат педагогических наук</v>
      </c>
      <c r="F370" s="59" t="str">
        <f>Данные!F370</f>
        <v>доцент</v>
      </c>
      <c r="G370" s="59">
        <f>Данные!G370</f>
        <v>1</v>
      </c>
      <c r="H370" s="59" t="str">
        <f>Данные!H370</f>
        <v>4 курс 2017 год/пост</v>
      </c>
      <c r="I370" s="59" t="str">
        <f>Данные!I370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70" s="59">
        <f>Данные!J370</f>
        <v>0</v>
      </c>
      <c r="K370" s="59">
        <f>Данные!K370</f>
        <v>0</v>
      </c>
      <c r="L370" s="59">
        <f>Данные!L370</f>
        <v>0</v>
      </c>
      <c r="M370" s="60">
        <f t="shared" si="45"/>
        <v>0</v>
      </c>
      <c r="N370" s="60">
        <f t="shared" ca="1" si="46"/>
        <v>10.91</v>
      </c>
      <c r="O370" s="60">
        <f t="shared" ca="1" si="47"/>
        <v>6.75</v>
      </c>
      <c r="P370" s="60">
        <f t="shared" ca="1" si="48"/>
        <v>6.75</v>
      </c>
      <c r="Q370" s="54">
        <f>Данные!Q370</f>
        <v>0</v>
      </c>
      <c r="R370" s="54">
        <f>Данные!R370</f>
        <v>0</v>
      </c>
      <c r="S370" s="54">
        <f>Данные!S370</f>
        <v>0</v>
      </c>
      <c r="T370" s="54">
        <f>Данные!T370</f>
        <v>0</v>
      </c>
      <c r="U370" s="54">
        <f>Данные!U370</f>
        <v>5</v>
      </c>
      <c r="V370" s="54">
        <f>Данные!V370</f>
        <v>0</v>
      </c>
      <c r="W370" s="54">
        <f ca="1">Данные!W370</f>
        <v>27</v>
      </c>
      <c r="X370" s="54" t="str">
        <f ca="1">Данные!X370</f>
        <v>1</v>
      </c>
      <c r="Y370" s="54" t="str">
        <f ca="1">Данные!Y370</f>
        <v>2</v>
      </c>
      <c r="Z370" s="54">
        <f>Данные!Z370</f>
        <v>0</v>
      </c>
      <c r="AA370" s="54">
        <f>Данные!AA370</f>
        <v>0</v>
      </c>
      <c r="AB370" s="101">
        <f t="shared" si="49"/>
        <v>800</v>
      </c>
      <c r="AC370" s="101" t="str">
        <f t="shared" si="50"/>
        <v>ИВТ (бак)</v>
      </c>
      <c r="AD370" s="101" t="str">
        <f t="shared" si="51"/>
        <v/>
      </c>
      <c r="AE370" s="102">
        <f t="shared" ca="1" si="52"/>
        <v>29.41</v>
      </c>
      <c r="AF370" s="103">
        <f t="shared" ca="1" si="53"/>
        <v>3.6762500000000004E-2</v>
      </c>
      <c r="AG370" s="101"/>
      <c r="AH370" s="101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Q370" s="72">
        <v>0</v>
      </c>
      <c r="BR370" s="72">
        <v>0</v>
      </c>
      <c r="BS370" s="72">
        <v>0</v>
      </c>
      <c r="BT370" s="72">
        <v>0</v>
      </c>
      <c r="BU370" s="72">
        <v>0</v>
      </c>
      <c r="BV370" s="72">
        <v>0</v>
      </c>
      <c r="BW370" s="72">
        <v>0</v>
      </c>
      <c r="BX370" s="72">
        <v>0</v>
      </c>
      <c r="BY370" s="72">
        <v>0</v>
      </c>
      <c r="BZ370" s="72">
        <v>0</v>
      </c>
      <c r="CA370" s="72">
        <v>0</v>
      </c>
      <c r="CB370" s="72">
        <v>0</v>
      </c>
      <c r="CC370" s="72">
        <v>0</v>
      </c>
      <c r="CD370" s="72">
        <v>0</v>
      </c>
      <c r="CE370" s="72">
        <v>0</v>
      </c>
      <c r="CF370" s="72">
        <v>0</v>
      </c>
      <c r="CG370" s="72">
        <v>0</v>
      </c>
      <c r="CH370" s="72">
        <v>0</v>
      </c>
      <c r="CI370" s="72">
        <v>0</v>
      </c>
      <c r="CJ370" s="72">
        <v>0</v>
      </c>
      <c r="CK370" s="72">
        <v>0</v>
      </c>
      <c r="CL370" s="72">
        <v>0</v>
      </c>
      <c r="CM370" s="72">
        <v>0</v>
      </c>
      <c r="CN370" s="72">
        <v>0</v>
      </c>
      <c r="CO370" s="72">
        <v>0</v>
      </c>
      <c r="CP370" s="72">
        <v>0</v>
      </c>
      <c r="CQ370" s="72">
        <v>0</v>
      </c>
      <c r="CR370" s="72">
        <v>0</v>
      </c>
      <c r="CS370" s="72">
        <v>0</v>
      </c>
      <c r="CT370" s="72">
        <v>0</v>
      </c>
      <c r="CU370" s="72">
        <v>0</v>
      </c>
      <c r="CV370" s="72">
        <v>0</v>
      </c>
      <c r="CW370" s="72">
        <v>0</v>
      </c>
      <c r="CX370" s="72">
        <v>0</v>
      </c>
      <c r="CY370" s="72">
        <v>0</v>
      </c>
      <c r="CZ370" s="72">
        <v>0</v>
      </c>
      <c r="DA370" s="72">
        <v>0</v>
      </c>
      <c r="DB370" s="72">
        <v>0</v>
      </c>
      <c r="DC370" s="72">
        <v>0</v>
      </c>
      <c r="DD370" s="72">
        <v>0</v>
      </c>
      <c r="DE370" s="72">
        <v>0</v>
      </c>
      <c r="DF370" s="72">
        <v>0</v>
      </c>
      <c r="DG370" s="72">
        <v>0</v>
      </c>
      <c r="DH370" s="72">
        <v>0</v>
      </c>
      <c r="DI370" s="72">
        <v>0</v>
      </c>
      <c r="DJ370" s="72">
        <v>0</v>
      </c>
      <c r="DK370" s="72">
        <v>0</v>
      </c>
      <c r="DL370" s="72">
        <v>0</v>
      </c>
      <c r="DM370" s="72">
        <v>0</v>
      </c>
      <c r="DN370" s="72">
        <v>0</v>
      </c>
      <c r="DO370" s="72">
        <v>0</v>
      </c>
      <c r="DP370" s="72">
        <v>0</v>
      </c>
      <c r="DQ370" s="72">
        <v>0</v>
      </c>
      <c r="DR370" s="72">
        <v>0</v>
      </c>
      <c r="DS370" s="72">
        <v>0</v>
      </c>
      <c r="DT370" s="72">
        <v>0</v>
      </c>
      <c r="DU370" s="72">
        <v>0</v>
      </c>
      <c r="DV370" s="72">
        <v>0</v>
      </c>
      <c r="DW370" s="72">
        <v>0</v>
      </c>
      <c r="DX370" s="72">
        <v>0</v>
      </c>
      <c r="DY370" s="72">
        <v>0</v>
      </c>
      <c r="DZ370" s="72">
        <v>0</v>
      </c>
      <c r="EA370" s="72">
        <v>0</v>
      </c>
      <c r="EB370" s="72">
        <v>0</v>
      </c>
      <c r="EC370" s="72">
        <v>0</v>
      </c>
      <c r="ED370" s="72">
        <v>0</v>
      </c>
      <c r="EE370" s="72">
        <v>0</v>
      </c>
      <c r="EF370" s="72">
        <v>0</v>
      </c>
      <c r="EG370" s="72">
        <v>0</v>
      </c>
      <c r="EH370" s="72">
        <v>0</v>
      </c>
      <c r="EI370" s="72">
        <v>0</v>
      </c>
      <c r="EJ370" s="72">
        <v>0</v>
      </c>
      <c r="EK370" s="72">
        <v>0</v>
      </c>
      <c r="EL370" s="72">
        <v>0</v>
      </c>
    </row>
    <row r="371" spans="1:142" x14ac:dyDescent="0.35">
      <c r="A371" s="59">
        <f>Данные!A371</f>
        <v>5791</v>
      </c>
      <c r="B371" s="59">
        <f>Данные!B371</f>
        <v>2020</v>
      </c>
      <c r="C371" s="59" t="str">
        <f>Данные!C371</f>
        <v>компьютерных технологий и электронного обучения</v>
      </c>
      <c r="D371" s="59" t="str">
        <f>Данные!D371</f>
        <v>Государев Илья Борисович</v>
      </c>
      <c r="E371" s="59" t="str">
        <f>Данные!E371</f>
        <v>кандидат педагогических наук</v>
      </c>
      <c r="F371" s="59" t="str">
        <f>Данные!F371</f>
        <v>доцент</v>
      </c>
      <c r="G371" s="59">
        <f>Данные!G371</f>
        <v>1</v>
      </c>
      <c r="H371" s="59" t="str">
        <f>Данные!H371</f>
        <v>4 курс 2017 год/пост</v>
      </c>
      <c r="I371" s="59" t="str">
        <f>Данные!I371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71" s="59">
        <f>Данные!J371</f>
        <v>0</v>
      </c>
      <c r="K371" s="59">
        <f>Данные!K371</f>
        <v>0</v>
      </c>
      <c r="L371" s="59">
        <f>Данные!L371</f>
        <v>0</v>
      </c>
      <c r="M371" s="60">
        <f t="shared" si="45"/>
        <v>0</v>
      </c>
      <c r="N371" s="60">
        <f t="shared" ca="1" si="46"/>
        <v>10.91</v>
      </c>
      <c r="O371" s="60">
        <f t="shared" ca="1" si="47"/>
        <v>6.75</v>
      </c>
      <c r="P371" s="60">
        <f t="shared" ca="1" si="48"/>
        <v>6.75</v>
      </c>
      <c r="Q371" s="54">
        <f>Данные!Q371</f>
        <v>0</v>
      </c>
      <c r="R371" s="54">
        <f>Данные!R371</f>
        <v>0</v>
      </c>
      <c r="S371" s="54">
        <f>Данные!S371</f>
        <v>0</v>
      </c>
      <c r="T371" s="54">
        <f>Данные!T371</f>
        <v>0</v>
      </c>
      <c r="U371" s="54">
        <f>Данные!U371</f>
        <v>10</v>
      </c>
      <c r="V371" s="54">
        <f>Данные!V371</f>
        <v>0</v>
      </c>
      <c r="W371" s="54">
        <f ca="1">Данные!W371</f>
        <v>27</v>
      </c>
      <c r="X371" s="54" t="str">
        <f ca="1">Данные!X371</f>
        <v>1</v>
      </c>
      <c r="Y371" s="54" t="str">
        <f ca="1">Данные!Y371</f>
        <v>2</v>
      </c>
      <c r="Z371" s="54">
        <f>Данные!Z371</f>
        <v>0</v>
      </c>
      <c r="AA371" s="54">
        <f>Данные!AA371</f>
        <v>0</v>
      </c>
      <c r="AB371" s="101">
        <f t="shared" si="49"/>
        <v>800</v>
      </c>
      <c r="AC371" s="101" t="str">
        <f t="shared" si="50"/>
        <v>ИВТ (бак)</v>
      </c>
      <c r="AD371" s="101" t="str">
        <f t="shared" si="51"/>
        <v/>
      </c>
      <c r="AE371" s="102">
        <f t="shared" ca="1" si="52"/>
        <v>34.409999999999997</v>
      </c>
      <c r="AF371" s="103">
        <f t="shared" ca="1" si="53"/>
        <v>4.3012499999999995E-2</v>
      </c>
      <c r="AG371" s="101"/>
      <c r="AH371" s="10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Q371" s="72">
        <v>0</v>
      </c>
      <c r="BR371" s="72">
        <v>0</v>
      </c>
      <c r="BS371" s="72">
        <v>0</v>
      </c>
      <c r="BT371" s="72">
        <v>0</v>
      </c>
      <c r="BU371" s="72">
        <v>0</v>
      </c>
      <c r="BV371" s="72">
        <v>0</v>
      </c>
      <c r="BW371" s="72">
        <v>0</v>
      </c>
      <c r="BX371" s="72">
        <v>0</v>
      </c>
      <c r="BY371" s="72">
        <v>0</v>
      </c>
      <c r="BZ371" s="72">
        <v>0</v>
      </c>
      <c r="CA371" s="72">
        <v>0</v>
      </c>
      <c r="CB371" s="72">
        <v>0</v>
      </c>
      <c r="CC371" s="72">
        <v>0</v>
      </c>
      <c r="CD371" s="72">
        <v>0</v>
      </c>
      <c r="CE371" s="72">
        <v>0</v>
      </c>
      <c r="CF371" s="72">
        <v>0</v>
      </c>
      <c r="CG371" s="72">
        <v>0</v>
      </c>
      <c r="CH371" s="72">
        <v>0</v>
      </c>
      <c r="CI371" s="72">
        <v>0</v>
      </c>
      <c r="CJ371" s="72">
        <v>0</v>
      </c>
      <c r="CK371" s="72">
        <v>0</v>
      </c>
      <c r="CL371" s="72">
        <v>0</v>
      </c>
      <c r="CM371" s="72">
        <v>0</v>
      </c>
      <c r="CN371" s="72">
        <v>0</v>
      </c>
      <c r="CO371" s="72">
        <v>0</v>
      </c>
      <c r="CP371" s="72">
        <v>0</v>
      </c>
      <c r="CQ371" s="72">
        <v>0</v>
      </c>
      <c r="CR371" s="72">
        <v>0</v>
      </c>
      <c r="CS371" s="72">
        <v>0</v>
      </c>
      <c r="CT371" s="72">
        <v>0</v>
      </c>
      <c r="CU371" s="72">
        <v>0</v>
      </c>
      <c r="CV371" s="72">
        <v>0</v>
      </c>
      <c r="CW371" s="72">
        <v>0</v>
      </c>
      <c r="CX371" s="72">
        <v>0</v>
      </c>
      <c r="CY371" s="72">
        <v>0</v>
      </c>
      <c r="CZ371" s="72">
        <v>0</v>
      </c>
      <c r="DA371" s="72">
        <v>0</v>
      </c>
      <c r="DB371" s="72">
        <v>0</v>
      </c>
      <c r="DC371" s="72">
        <v>0</v>
      </c>
      <c r="DD371" s="72">
        <v>0</v>
      </c>
      <c r="DE371" s="72">
        <v>0</v>
      </c>
      <c r="DF371" s="72">
        <v>0</v>
      </c>
      <c r="DG371" s="72">
        <v>0</v>
      </c>
      <c r="DH371" s="72">
        <v>0</v>
      </c>
      <c r="DI371" s="72">
        <v>0</v>
      </c>
      <c r="DJ371" s="72">
        <v>0</v>
      </c>
      <c r="DK371" s="72">
        <v>0</v>
      </c>
      <c r="DL371" s="72">
        <v>0</v>
      </c>
      <c r="DM371" s="72">
        <v>0</v>
      </c>
      <c r="DN371" s="72">
        <v>0</v>
      </c>
      <c r="DO371" s="72">
        <v>0</v>
      </c>
      <c r="DP371" s="72">
        <v>0</v>
      </c>
      <c r="DQ371" s="72">
        <v>0</v>
      </c>
      <c r="DR371" s="72">
        <v>0</v>
      </c>
      <c r="DS371" s="72">
        <v>0</v>
      </c>
      <c r="DT371" s="72">
        <v>0</v>
      </c>
      <c r="DU371" s="72">
        <v>0</v>
      </c>
      <c r="DV371" s="72">
        <v>0</v>
      </c>
      <c r="DW371" s="72">
        <v>0</v>
      </c>
      <c r="DX371" s="72">
        <v>0</v>
      </c>
      <c r="DY371" s="72">
        <v>0</v>
      </c>
      <c r="DZ371" s="72">
        <v>0</v>
      </c>
      <c r="EA371" s="72">
        <v>0</v>
      </c>
      <c r="EB371" s="72">
        <v>0</v>
      </c>
      <c r="EC371" s="72">
        <v>0</v>
      </c>
      <c r="ED371" s="72">
        <v>0</v>
      </c>
      <c r="EE371" s="72">
        <v>0</v>
      </c>
      <c r="EF371" s="72">
        <v>0</v>
      </c>
      <c r="EG371" s="72">
        <v>0</v>
      </c>
      <c r="EH371" s="72">
        <v>0</v>
      </c>
      <c r="EI371" s="72">
        <v>0</v>
      </c>
      <c r="EJ371" s="72">
        <v>0</v>
      </c>
      <c r="EK371" s="72">
        <v>0</v>
      </c>
      <c r="EL371" s="72">
        <v>0</v>
      </c>
    </row>
    <row r="372" spans="1:142" x14ac:dyDescent="0.35">
      <c r="A372" s="59">
        <f>Данные!A372</f>
        <v>5791</v>
      </c>
      <c r="B372" s="59">
        <f>Данные!B372</f>
        <v>2020</v>
      </c>
      <c r="C372" s="59" t="str">
        <f>Данные!C372</f>
        <v>компьютерных технологий и электронного обучения</v>
      </c>
      <c r="D372" s="59" t="str">
        <f>Данные!D372</f>
        <v>Авксентьева Елена Юрьевна</v>
      </c>
      <c r="E372" s="59" t="str">
        <f>Данные!E372</f>
        <v>кандидат педагогических наук</v>
      </c>
      <c r="F372" s="59" t="str">
        <f>Данные!F372</f>
        <v>доцент</v>
      </c>
      <c r="G372" s="59">
        <f>Данные!G372</f>
        <v>1</v>
      </c>
      <c r="H372" s="59" t="str">
        <f>Данные!H372</f>
        <v>4 курс 2017 год/пост</v>
      </c>
      <c r="I372" s="59" t="str">
        <f>Данные!I372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72" s="59">
        <f>Данные!J372</f>
        <v>0</v>
      </c>
      <c r="K372" s="59">
        <f>Данные!K372</f>
        <v>0</v>
      </c>
      <c r="L372" s="59">
        <f>Данные!L372</f>
        <v>0</v>
      </c>
      <c r="M372" s="60">
        <f t="shared" si="45"/>
        <v>0</v>
      </c>
      <c r="N372" s="60">
        <f t="shared" ca="1" si="46"/>
        <v>10.91</v>
      </c>
      <c r="O372" s="60">
        <f t="shared" ca="1" si="47"/>
        <v>6.75</v>
      </c>
      <c r="P372" s="60">
        <f t="shared" ca="1" si="48"/>
        <v>6.75</v>
      </c>
      <c r="Q372" s="54">
        <f>Данные!Q372</f>
        <v>0</v>
      </c>
      <c r="R372" s="54">
        <f>Данные!R372</f>
        <v>0</v>
      </c>
      <c r="S372" s="54">
        <f>Данные!S372</f>
        <v>0</v>
      </c>
      <c r="T372" s="54">
        <f>Данные!T372</f>
        <v>0</v>
      </c>
      <c r="U372" s="54">
        <f>Данные!U372</f>
        <v>10</v>
      </c>
      <c r="V372" s="54">
        <f>Данные!V372</f>
        <v>0</v>
      </c>
      <c r="W372" s="54">
        <f ca="1">Данные!W372</f>
        <v>27</v>
      </c>
      <c r="X372" s="54" t="str">
        <f ca="1">Данные!X372</f>
        <v>1</v>
      </c>
      <c r="Y372" s="54" t="str">
        <f ca="1">Данные!Y372</f>
        <v>2</v>
      </c>
      <c r="Z372" s="54">
        <f>Данные!Z372</f>
        <v>0</v>
      </c>
      <c r="AA372" s="54">
        <f>Данные!AA372</f>
        <v>0</v>
      </c>
      <c r="AB372" s="101">
        <f t="shared" si="49"/>
        <v>800</v>
      </c>
      <c r="AC372" s="101" t="str">
        <f t="shared" si="50"/>
        <v>ИВТ (бак)</v>
      </c>
      <c r="AD372" s="101" t="str">
        <f t="shared" si="51"/>
        <v/>
      </c>
      <c r="AE372" s="102">
        <f t="shared" ca="1" si="52"/>
        <v>34.409999999999997</v>
      </c>
      <c r="AF372" s="103">
        <f t="shared" ca="1" si="53"/>
        <v>4.3012499999999995E-2</v>
      </c>
      <c r="AG372" s="101"/>
      <c r="AH372" s="101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Q372" s="72">
        <v>0</v>
      </c>
      <c r="BR372" s="72">
        <v>0</v>
      </c>
      <c r="BS372" s="72">
        <v>0</v>
      </c>
      <c r="BT372" s="72">
        <v>0</v>
      </c>
      <c r="BU372" s="72">
        <v>0</v>
      </c>
      <c r="BV372" s="72">
        <v>0</v>
      </c>
      <c r="BW372" s="72">
        <v>0</v>
      </c>
      <c r="BX372" s="72">
        <v>0</v>
      </c>
      <c r="BY372" s="72">
        <v>0</v>
      </c>
      <c r="BZ372" s="72">
        <v>0</v>
      </c>
      <c r="CA372" s="72">
        <v>0</v>
      </c>
      <c r="CB372" s="72">
        <v>0</v>
      </c>
      <c r="CC372" s="72">
        <v>0</v>
      </c>
      <c r="CD372" s="72">
        <v>0</v>
      </c>
      <c r="CE372" s="72">
        <v>0</v>
      </c>
      <c r="CF372" s="72">
        <v>0</v>
      </c>
      <c r="CG372" s="72">
        <v>0</v>
      </c>
      <c r="CH372" s="72">
        <v>0</v>
      </c>
      <c r="CI372" s="72">
        <v>0</v>
      </c>
      <c r="CJ372" s="72">
        <v>0</v>
      </c>
      <c r="CK372" s="72">
        <v>0</v>
      </c>
      <c r="CL372" s="72">
        <v>0</v>
      </c>
      <c r="CM372" s="72">
        <v>0</v>
      </c>
      <c r="CN372" s="72">
        <v>0</v>
      </c>
      <c r="CO372" s="72">
        <v>0</v>
      </c>
      <c r="CP372" s="72">
        <v>0</v>
      </c>
      <c r="CQ372" s="72">
        <v>0</v>
      </c>
      <c r="CR372" s="72">
        <v>0</v>
      </c>
      <c r="CS372" s="72">
        <v>0</v>
      </c>
      <c r="CT372" s="72">
        <v>0</v>
      </c>
      <c r="CU372" s="72">
        <v>0</v>
      </c>
      <c r="CV372" s="72">
        <v>0</v>
      </c>
      <c r="CW372" s="72">
        <v>0</v>
      </c>
      <c r="CX372" s="72">
        <v>0</v>
      </c>
      <c r="CY372" s="72">
        <v>0</v>
      </c>
      <c r="CZ372" s="72">
        <v>0</v>
      </c>
      <c r="DA372" s="72">
        <v>0</v>
      </c>
      <c r="DB372" s="72">
        <v>0</v>
      </c>
      <c r="DC372" s="72">
        <v>0</v>
      </c>
      <c r="DD372" s="72">
        <v>0</v>
      </c>
      <c r="DE372" s="72">
        <v>0</v>
      </c>
      <c r="DF372" s="72">
        <v>0</v>
      </c>
      <c r="DG372" s="72">
        <v>0</v>
      </c>
      <c r="DH372" s="72">
        <v>0</v>
      </c>
      <c r="DI372" s="72">
        <v>0</v>
      </c>
      <c r="DJ372" s="72">
        <v>0</v>
      </c>
      <c r="DK372" s="72">
        <v>0</v>
      </c>
      <c r="DL372" s="72">
        <v>0</v>
      </c>
      <c r="DM372" s="72">
        <v>0</v>
      </c>
      <c r="DN372" s="72">
        <v>0</v>
      </c>
      <c r="DO372" s="72">
        <v>0</v>
      </c>
      <c r="DP372" s="72">
        <v>0</v>
      </c>
      <c r="DQ372" s="72">
        <v>0</v>
      </c>
      <c r="DR372" s="72">
        <v>0</v>
      </c>
      <c r="DS372" s="72">
        <v>0</v>
      </c>
      <c r="DT372" s="72">
        <v>0</v>
      </c>
      <c r="DU372" s="72">
        <v>0</v>
      </c>
      <c r="DV372" s="72">
        <v>0</v>
      </c>
      <c r="DW372" s="72">
        <v>0</v>
      </c>
      <c r="DX372" s="72">
        <v>0</v>
      </c>
      <c r="DY372" s="72">
        <v>0</v>
      </c>
      <c r="DZ372" s="72">
        <v>0</v>
      </c>
      <c r="EA372" s="72">
        <v>0</v>
      </c>
      <c r="EB372" s="72">
        <v>0</v>
      </c>
      <c r="EC372" s="72">
        <v>0</v>
      </c>
      <c r="ED372" s="72">
        <v>0</v>
      </c>
      <c r="EE372" s="72">
        <v>0</v>
      </c>
      <c r="EF372" s="72">
        <v>0</v>
      </c>
      <c r="EG372" s="72">
        <v>0</v>
      </c>
      <c r="EH372" s="72">
        <v>0</v>
      </c>
      <c r="EI372" s="72">
        <v>0</v>
      </c>
      <c r="EJ372" s="72">
        <v>0</v>
      </c>
      <c r="EK372" s="72">
        <v>0</v>
      </c>
      <c r="EL372" s="72">
        <v>0</v>
      </c>
    </row>
    <row r="373" spans="1:142" x14ac:dyDescent="0.35">
      <c r="A373" s="59">
        <f>Данные!A373</f>
        <v>5791</v>
      </c>
      <c r="B373" s="59">
        <f>Данные!B373</f>
        <v>2020</v>
      </c>
      <c r="C373" s="59" t="str">
        <f>Данные!C373</f>
        <v>компьютерных технологий и электронного обучения</v>
      </c>
      <c r="D373" s="59" t="str">
        <f>Данные!D373</f>
        <v>Воробьев Владимир Иванович</v>
      </c>
      <c r="E373" s="59" t="str">
        <f>Данные!E373</f>
        <v>доктор технических наук</v>
      </c>
      <c r="F373" s="59" t="str">
        <f>Данные!F373</f>
        <v>внешний</v>
      </c>
      <c r="G373" s="59">
        <f>Данные!G373</f>
        <v>1</v>
      </c>
      <c r="H373" s="59" t="str">
        <f>Данные!H373</f>
        <v>4 курс 2017 год/пост</v>
      </c>
      <c r="I373" s="59" t="str">
        <f>Данные!I373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73" s="59">
        <f>Данные!J373</f>
        <v>0</v>
      </c>
      <c r="K373" s="59">
        <f>Данные!K373</f>
        <v>0</v>
      </c>
      <c r="L373" s="59">
        <f>Данные!L373</f>
        <v>0</v>
      </c>
      <c r="M373" s="60">
        <f t="shared" si="45"/>
        <v>0</v>
      </c>
      <c r="N373" s="60">
        <f t="shared" ca="1" si="46"/>
        <v>10.91</v>
      </c>
      <c r="O373" s="60">
        <f t="shared" ca="1" si="47"/>
        <v>6.75</v>
      </c>
      <c r="P373" s="60">
        <f t="shared" ca="1" si="48"/>
        <v>6.75</v>
      </c>
      <c r="Q373" s="54">
        <f>Данные!Q373</f>
        <v>0</v>
      </c>
      <c r="R373" s="54">
        <f>Данные!R373</f>
        <v>0</v>
      </c>
      <c r="S373" s="54">
        <f>Данные!S373</f>
        <v>0</v>
      </c>
      <c r="T373" s="54">
        <f>Данные!T373</f>
        <v>0</v>
      </c>
      <c r="U373" s="54">
        <f>Данные!U373</f>
        <v>10</v>
      </c>
      <c r="V373" s="54">
        <f>Данные!V373</f>
        <v>0</v>
      </c>
      <c r="W373" s="54">
        <f ca="1">Данные!W373</f>
        <v>27</v>
      </c>
      <c r="X373" s="54" t="str">
        <f ca="1">Данные!X373</f>
        <v>1</v>
      </c>
      <c r="Y373" s="54" t="str">
        <f ca="1">Данные!Y373</f>
        <v>2</v>
      </c>
      <c r="Z373" s="54">
        <f>Данные!Z373</f>
        <v>0</v>
      </c>
      <c r="AA373" s="54">
        <f>Данные!AA373</f>
        <v>0</v>
      </c>
      <c r="AB373" s="101">
        <f t="shared" si="49"/>
        <v>900</v>
      </c>
      <c r="AC373" s="101" t="str">
        <f t="shared" si="50"/>
        <v>ИВТ (бак)</v>
      </c>
      <c r="AD373" s="101" t="str">
        <f t="shared" si="51"/>
        <v/>
      </c>
      <c r="AE373" s="102">
        <f t="shared" ca="1" si="52"/>
        <v>34.409999999999997</v>
      </c>
      <c r="AF373" s="103">
        <f t="shared" ca="1" si="53"/>
        <v>3.8233333333333328E-2</v>
      </c>
      <c r="AG373" s="101"/>
      <c r="AH373" s="101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Q373" s="72">
        <v>0</v>
      </c>
      <c r="BR373" s="72">
        <v>0</v>
      </c>
      <c r="BS373" s="72">
        <v>0</v>
      </c>
      <c r="BT373" s="72">
        <v>0</v>
      </c>
      <c r="BU373" s="72">
        <v>0</v>
      </c>
      <c r="BV373" s="72">
        <v>0</v>
      </c>
      <c r="BW373" s="72">
        <v>0</v>
      </c>
      <c r="BX373" s="72">
        <v>0</v>
      </c>
      <c r="BY373" s="72">
        <v>0</v>
      </c>
      <c r="BZ373" s="72">
        <v>0</v>
      </c>
      <c r="CA373" s="72">
        <v>0</v>
      </c>
      <c r="CB373" s="72">
        <v>0</v>
      </c>
      <c r="CC373" s="72">
        <v>0</v>
      </c>
      <c r="CD373" s="72">
        <v>0</v>
      </c>
      <c r="CE373" s="72">
        <v>0</v>
      </c>
      <c r="CF373" s="72">
        <v>0</v>
      </c>
      <c r="CG373" s="72">
        <v>0</v>
      </c>
      <c r="CH373" s="72">
        <v>0</v>
      </c>
      <c r="CI373" s="72">
        <v>0</v>
      </c>
      <c r="CJ373" s="72">
        <v>0</v>
      </c>
      <c r="CK373" s="72">
        <v>0</v>
      </c>
      <c r="CL373" s="72">
        <v>0</v>
      </c>
      <c r="CM373" s="72">
        <v>0</v>
      </c>
      <c r="CN373" s="72">
        <v>0</v>
      </c>
      <c r="CO373" s="72">
        <v>0</v>
      </c>
      <c r="CP373" s="72">
        <v>0</v>
      </c>
      <c r="CQ373" s="72">
        <v>0</v>
      </c>
      <c r="CR373" s="72">
        <v>0</v>
      </c>
      <c r="CS373" s="72">
        <v>0</v>
      </c>
      <c r="CT373" s="72">
        <v>0</v>
      </c>
      <c r="CU373" s="72">
        <v>0</v>
      </c>
      <c r="CV373" s="72">
        <v>0</v>
      </c>
      <c r="CW373" s="72">
        <v>0</v>
      </c>
      <c r="CX373" s="72">
        <v>0</v>
      </c>
      <c r="CY373" s="72">
        <v>0</v>
      </c>
      <c r="CZ373" s="72">
        <v>0</v>
      </c>
      <c r="DA373" s="72">
        <v>0</v>
      </c>
      <c r="DB373" s="72">
        <v>0</v>
      </c>
      <c r="DC373" s="72">
        <v>0</v>
      </c>
      <c r="DD373" s="72">
        <v>0</v>
      </c>
      <c r="DE373" s="72">
        <v>0</v>
      </c>
      <c r="DF373" s="72">
        <v>0</v>
      </c>
      <c r="DG373" s="72">
        <v>0</v>
      </c>
      <c r="DH373" s="72">
        <v>0</v>
      </c>
      <c r="DI373" s="72">
        <v>0</v>
      </c>
      <c r="DJ373" s="72">
        <v>0</v>
      </c>
      <c r="DK373" s="72">
        <v>0</v>
      </c>
      <c r="DL373" s="72">
        <v>0</v>
      </c>
      <c r="DM373" s="72">
        <v>0</v>
      </c>
      <c r="DN373" s="72">
        <v>0</v>
      </c>
      <c r="DO373" s="72">
        <v>0</v>
      </c>
      <c r="DP373" s="72">
        <v>0</v>
      </c>
      <c r="DQ373" s="72">
        <v>0</v>
      </c>
      <c r="DR373" s="72">
        <v>0</v>
      </c>
      <c r="DS373" s="72">
        <v>0</v>
      </c>
      <c r="DT373" s="72">
        <v>0</v>
      </c>
      <c r="DU373" s="72">
        <v>0</v>
      </c>
      <c r="DV373" s="72">
        <v>0</v>
      </c>
      <c r="DW373" s="72">
        <v>0</v>
      </c>
      <c r="DX373" s="72">
        <v>0</v>
      </c>
      <c r="DY373" s="72">
        <v>0</v>
      </c>
      <c r="DZ373" s="72">
        <v>0</v>
      </c>
      <c r="EA373" s="72">
        <v>0</v>
      </c>
      <c r="EB373" s="72">
        <v>0</v>
      </c>
      <c r="EC373" s="72">
        <v>0</v>
      </c>
      <c r="ED373" s="72">
        <v>0</v>
      </c>
      <c r="EE373" s="72">
        <v>0</v>
      </c>
      <c r="EF373" s="72">
        <v>0</v>
      </c>
      <c r="EG373" s="72">
        <v>0</v>
      </c>
      <c r="EH373" s="72">
        <v>0</v>
      </c>
      <c r="EI373" s="72">
        <v>0</v>
      </c>
      <c r="EJ373" s="72">
        <v>0</v>
      </c>
      <c r="EK373" s="72">
        <v>0</v>
      </c>
      <c r="EL373" s="72">
        <v>0</v>
      </c>
    </row>
    <row r="374" spans="1:142" x14ac:dyDescent="0.35">
      <c r="A374" s="59">
        <f>Данные!A374</f>
        <v>5791</v>
      </c>
      <c r="B374" s="59">
        <f>Данные!B374</f>
        <v>2020</v>
      </c>
      <c r="C374" s="59" t="str">
        <f>Данные!C374</f>
        <v>компьютерных технологий и электронного обучения</v>
      </c>
      <c r="D374" s="59" t="str">
        <f>Данные!D374</f>
        <v>Копыльцов Александр Васильевич</v>
      </c>
      <c r="E374" s="59" t="str">
        <f>Данные!E374</f>
        <v>доктор технических наук</v>
      </c>
      <c r="F374" s="59" t="str">
        <f>Данные!F374</f>
        <v>внешний</v>
      </c>
      <c r="G374" s="59">
        <f>Данные!G374</f>
        <v>1</v>
      </c>
      <c r="H374" s="59" t="str">
        <f>Данные!H374</f>
        <v>4 курс 2017 год/пост</v>
      </c>
      <c r="I374" s="59" t="str">
        <f>Данные!I374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74" s="59">
        <f>Данные!J374</f>
        <v>0</v>
      </c>
      <c r="K374" s="59">
        <f>Данные!K374</f>
        <v>0</v>
      </c>
      <c r="L374" s="59">
        <f>Данные!L374</f>
        <v>0</v>
      </c>
      <c r="M374" s="60">
        <f t="shared" si="45"/>
        <v>0</v>
      </c>
      <c r="N374" s="60">
        <f t="shared" ca="1" si="46"/>
        <v>10.91</v>
      </c>
      <c r="O374" s="60">
        <f t="shared" ca="1" si="47"/>
        <v>6.75</v>
      </c>
      <c r="P374" s="60">
        <f t="shared" ca="1" si="48"/>
        <v>6.75</v>
      </c>
      <c r="Q374" s="54">
        <f>Данные!Q374</f>
        <v>0</v>
      </c>
      <c r="R374" s="54">
        <f>Данные!R374</f>
        <v>0</v>
      </c>
      <c r="S374" s="54">
        <f>Данные!S374</f>
        <v>0</v>
      </c>
      <c r="T374" s="54">
        <f>Данные!T374</f>
        <v>0</v>
      </c>
      <c r="U374" s="54">
        <f>Данные!U374</f>
        <v>8</v>
      </c>
      <c r="V374" s="54">
        <f>Данные!V374</f>
        <v>0</v>
      </c>
      <c r="W374" s="54">
        <f ca="1">Данные!W374</f>
        <v>27</v>
      </c>
      <c r="X374" s="54" t="str">
        <f ca="1">Данные!X374</f>
        <v>1</v>
      </c>
      <c r="Y374" s="54" t="str">
        <f ca="1">Данные!Y374</f>
        <v>2</v>
      </c>
      <c r="Z374" s="54">
        <f>Данные!Z374</f>
        <v>0</v>
      </c>
      <c r="AA374" s="54">
        <f>Данные!AA374</f>
        <v>0</v>
      </c>
      <c r="AB374" s="101">
        <f t="shared" si="49"/>
        <v>900</v>
      </c>
      <c r="AC374" s="101" t="str">
        <f t="shared" si="50"/>
        <v>ИВТ (бак)</v>
      </c>
      <c r="AD374" s="101" t="str">
        <f t="shared" si="51"/>
        <v/>
      </c>
      <c r="AE374" s="102">
        <f t="shared" ca="1" si="52"/>
        <v>32.409999999999997</v>
      </c>
      <c r="AF374" s="103">
        <f t="shared" ca="1" si="53"/>
        <v>3.6011111111111105E-2</v>
      </c>
      <c r="AG374" s="101"/>
      <c r="AH374" s="101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Q374" s="72">
        <v>0</v>
      </c>
      <c r="BR374" s="72">
        <v>0</v>
      </c>
      <c r="BS374" s="72">
        <v>0</v>
      </c>
      <c r="BT374" s="72">
        <v>0</v>
      </c>
      <c r="BU374" s="72">
        <v>0</v>
      </c>
      <c r="BV374" s="72">
        <v>0</v>
      </c>
      <c r="BW374" s="72">
        <v>0</v>
      </c>
      <c r="BX374" s="72">
        <v>0</v>
      </c>
      <c r="BY374" s="72">
        <v>0</v>
      </c>
      <c r="BZ374" s="72">
        <v>0</v>
      </c>
      <c r="CA374" s="72">
        <v>0</v>
      </c>
      <c r="CB374" s="72">
        <v>0</v>
      </c>
      <c r="CC374" s="72">
        <v>0</v>
      </c>
      <c r="CD374" s="72">
        <v>0</v>
      </c>
      <c r="CE374" s="72">
        <v>0</v>
      </c>
      <c r="CF374" s="72">
        <v>0</v>
      </c>
      <c r="CG374" s="72">
        <v>0</v>
      </c>
      <c r="CH374" s="72">
        <v>0</v>
      </c>
      <c r="CI374" s="72">
        <v>0</v>
      </c>
      <c r="CJ374" s="72">
        <v>0</v>
      </c>
      <c r="CK374" s="72">
        <v>0</v>
      </c>
      <c r="CL374" s="72">
        <v>0</v>
      </c>
      <c r="CM374" s="72">
        <v>0</v>
      </c>
      <c r="CN374" s="72">
        <v>0</v>
      </c>
      <c r="CO374" s="72">
        <v>0</v>
      </c>
      <c r="CP374" s="72">
        <v>0</v>
      </c>
      <c r="CQ374" s="72">
        <v>0</v>
      </c>
      <c r="CR374" s="72">
        <v>0</v>
      </c>
      <c r="CS374" s="72">
        <v>0</v>
      </c>
      <c r="CT374" s="72">
        <v>0</v>
      </c>
      <c r="CU374" s="72">
        <v>0</v>
      </c>
      <c r="CV374" s="72">
        <v>0</v>
      </c>
      <c r="CW374" s="72">
        <v>0</v>
      </c>
      <c r="CX374" s="72">
        <v>0</v>
      </c>
      <c r="CY374" s="72">
        <v>0</v>
      </c>
      <c r="CZ374" s="72">
        <v>0</v>
      </c>
      <c r="DA374" s="72">
        <v>0</v>
      </c>
      <c r="DB374" s="72">
        <v>0</v>
      </c>
      <c r="DC374" s="72">
        <v>0</v>
      </c>
      <c r="DD374" s="72">
        <v>0</v>
      </c>
      <c r="DE374" s="72">
        <v>0</v>
      </c>
      <c r="DF374" s="72">
        <v>0</v>
      </c>
      <c r="DG374" s="72">
        <v>0</v>
      </c>
      <c r="DH374" s="72">
        <v>0</v>
      </c>
      <c r="DI374" s="72">
        <v>0</v>
      </c>
      <c r="DJ374" s="72">
        <v>0</v>
      </c>
      <c r="DK374" s="72">
        <v>0</v>
      </c>
      <c r="DL374" s="72">
        <v>0</v>
      </c>
      <c r="DM374" s="72">
        <v>0</v>
      </c>
      <c r="DN374" s="72">
        <v>0</v>
      </c>
      <c r="DO374" s="72">
        <v>0</v>
      </c>
      <c r="DP374" s="72">
        <v>0</v>
      </c>
      <c r="DQ374" s="72">
        <v>0</v>
      </c>
      <c r="DR374" s="72">
        <v>0</v>
      </c>
      <c r="DS374" s="72">
        <v>0</v>
      </c>
      <c r="DT374" s="72">
        <v>0</v>
      </c>
      <c r="DU374" s="72">
        <v>0</v>
      </c>
      <c r="DV374" s="72">
        <v>0</v>
      </c>
      <c r="DW374" s="72">
        <v>0</v>
      </c>
      <c r="DX374" s="72">
        <v>0</v>
      </c>
      <c r="DY374" s="72">
        <v>0</v>
      </c>
      <c r="DZ374" s="72">
        <v>0</v>
      </c>
      <c r="EA374" s="72">
        <v>0</v>
      </c>
      <c r="EB374" s="72">
        <v>0</v>
      </c>
      <c r="EC374" s="72">
        <v>0</v>
      </c>
      <c r="ED374" s="72">
        <v>0</v>
      </c>
      <c r="EE374" s="72">
        <v>0</v>
      </c>
      <c r="EF374" s="72">
        <v>0</v>
      </c>
      <c r="EG374" s="72">
        <v>0</v>
      </c>
      <c r="EH374" s="72">
        <v>0</v>
      </c>
      <c r="EI374" s="72">
        <v>0</v>
      </c>
      <c r="EJ374" s="72">
        <v>0</v>
      </c>
      <c r="EK374" s="72">
        <v>0</v>
      </c>
      <c r="EL374" s="72">
        <v>0</v>
      </c>
    </row>
    <row r="375" spans="1:142" x14ac:dyDescent="0.35">
      <c r="A375" s="59">
        <f>Данные!A375</f>
        <v>5791</v>
      </c>
      <c r="B375" s="59">
        <f>Данные!B375</f>
        <v>2020</v>
      </c>
      <c r="C375" s="59" t="str">
        <f>Данные!C375</f>
        <v>компьютерных технологий и электронного обучения</v>
      </c>
      <c r="D375" s="59" t="str">
        <f>Данные!D375</f>
        <v>Серегин Александр Николаевич</v>
      </c>
      <c r="E375" s="59" t="str">
        <f>Данные!E375</f>
        <v>кандидат технических наук</v>
      </c>
      <c r="F375" s="59" t="str">
        <f>Данные!F375</f>
        <v>внешний</v>
      </c>
      <c r="G375" s="59">
        <f>Данные!G375</f>
        <v>0.75</v>
      </c>
      <c r="H375" s="59" t="str">
        <f>Данные!H375</f>
        <v>4 курс 2017 год/пост</v>
      </c>
      <c r="I375" s="59" t="str">
        <f>Данные!I375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75" s="59">
        <f>Данные!J375</f>
        <v>0</v>
      </c>
      <c r="K375" s="59">
        <f>Данные!K375</f>
        <v>0</v>
      </c>
      <c r="L375" s="59">
        <f>Данные!L375</f>
        <v>0</v>
      </c>
      <c r="M375" s="60">
        <f t="shared" si="45"/>
        <v>0</v>
      </c>
      <c r="N375" s="60">
        <f t="shared" ca="1" si="46"/>
        <v>10.91</v>
      </c>
      <c r="O375" s="60">
        <f t="shared" ca="1" si="47"/>
        <v>6.75</v>
      </c>
      <c r="P375" s="60">
        <f t="shared" ca="1" si="48"/>
        <v>6.75</v>
      </c>
      <c r="Q375" s="54">
        <f>Данные!Q375</f>
        <v>0</v>
      </c>
      <c r="R375" s="54">
        <f>Данные!R375</f>
        <v>0</v>
      </c>
      <c r="S375" s="54">
        <f>Данные!S375</f>
        <v>0</v>
      </c>
      <c r="T375" s="54">
        <f>Данные!T375</f>
        <v>0</v>
      </c>
      <c r="U375" s="54">
        <f>Данные!U375</f>
        <v>10</v>
      </c>
      <c r="V375" s="54">
        <f>Данные!V375</f>
        <v>0</v>
      </c>
      <c r="W375" s="54">
        <f ca="1">Данные!W375</f>
        <v>27</v>
      </c>
      <c r="X375" s="54" t="str">
        <f ca="1">Данные!X375</f>
        <v>1</v>
      </c>
      <c r="Y375" s="54" t="str">
        <f ca="1">Данные!Y375</f>
        <v>2</v>
      </c>
      <c r="Z375" s="54">
        <f>Данные!Z375</f>
        <v>0</v>
      </c>
      <c r="AA375" s="54">
        <f>Данные!AA375</f>
        <v>0</v>
      </c>
      <c r="AB375" s="101">
        <f t="shared" si="49"/>
        <v>900</v>
      </c>
      <c r="AC375" s="101" t="str">
        <f t="shared" si="50"/>
        <v>ИВТ (бак)</v>
      </c>
      <c r="AD375" s="101" t="str">
        <f t="shared" si="51"/>
        <v/>
      </c>
      <c r="AE375" s="102">
        <f t="shared" ca="1" si="52"/>
        <v>34.409999999999997</v>
      </c>
      <c r="AF375" s="103">
        <f t="shared" ca="1" si="53"/>
        <v>3.8233333333333328E-2</v>
      </c>
      <c r="AG375" s="101"/>
      <c r="AH375" s="101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Q375" s="72">
        <v>0</v>
      </c>
      <c r="BR375" s="72">
        <v>0</v>
      </c>
      <c r="BS375" s="72">
        <v>0</v>
      </c>
      <c r="BT375" s="72">
        <v>0</v>
      </c>
      <c r="BU375" s="72">
        <v>0</v>
      </c>
      <c r="BV375" s="72">
        <v>0</v>
      </c>
      <c r="BW375" s="72">
        <v>0</v>
      </c>
      <c r="BX375" s="72">
        <v>0</v>
      </c>
      <c r="BY375" s="72">
        <v>0</v>
      </c>
      <c r="BZ375" s="72">
        <v>0</v>
      </c>
      <c r="CA375" s="72">
        <v>0</v>
      </c>
      <c r="CB375" s="72">
        <v>0</v>
      </c>
      <c r="CC375" s="72">
        <v>0</v>
      </c>
      <c r="CD375" s="72">
        <v>0</v>
      </c>
      <c r="CE375" s="72">
        <v>0</v>
      </c>
      <c r="CF375" s="72">
        <v>0</v>
      </c>
      <c r="CG375" s="72">
        <v>0</v>
      </c>
      <c r="CH375" s="72">
        <v>0</v>
      </c>
      <c r="CI375" s="72">
        <v>0</v>
      </c>
      <c r="CJ375" s="72">
        <v>0</v>
      </c>
      <c r="CK375" s="72">
        <v>0</v>
      </c>
      <c r="CL375" s="72">
        <v>0</v>
      </c>
      <c r="CM375" s="72">
        <v>0</v>
      </c>
      <c r="CN375" s="72">
        <v>0</v>
      </c>
      <c r="CO375" s="72">
        <v>0</v>
      </c>
      <c r="CP375" s="72">
        <v>0</v>
      </c>
      <c r="CQ375" s="72">
        <v>0</v>
      </c>
      <c r="CR375" s="72">
        <v>0</v>
      </c>
      <c r="CS375" s="72">
        <v>0</v>
      </c>
      <c r="CT375" s="72">
        <v>0</v>
      </c>
      <c r="CU375" s="72">
        <v>0</v>
      </c>
      <c r="CV375" s="72">
        <v>0</v>
      </c>
      <c r="CW375" s="72">
        <v>0</v>
      </c>
      <c r="CX375" s="72">
        <v>0</v>
      </c>
      <c r="CY375" s="72">
        <v>0</v>
      </c>
      <c r="CZ375" s="72">
        <v>0</v>
      </c>
      <c r="DA375" s="72">
        <v>0</v>
      </c>
      <c r="DB375" s="72">
        <v>0</v>
      </c>
      <c r="DC375" s="72">
        <v>0</v>
      </c>
      <c r="DD375" s="72">
        <v>0</v>
      </c>
      <c r="DE375" s="72">
        <v>0</v>
      </c>
      <c r="DF375" s="72">
        <v>0</v>
      </c>
      <c r="DG375" s="72">
        <v>0</v>
      </c>
      <c r="DH375" s="72">
        <v>0</v>
      </c>
      <c r="DI375" s="72">
        <v>0</v>
      </c>
      <c r="DJ375" s="72">
        <v>0</v>
      </c>
      <c r="DK375" s="72">
        <v>0</v>
      </c>
      <c r="DL375" s="72">
        <v>0</v>
      </c>
      <c r="DM375" s="72">
        <v>0</v>
      </c>
      <c r="DN375" s="72">
        <v>0</v>
      </c>
      <c r="DO375" s="72">
        <v>0</v>
      </c>
      <c r="DP375" s="72">
        <v>0</v>
      </c>
      <c r="DQ375" s="72">
        <v>0</v>
      </c>
      <c r="DR375" s="72">
        <v>0</v>
      </c>
      <c r="DS375" s="72">
        <v>0</v>
      </c>
      <c r="DT375" s="72">
        <v>0</v>
      </c>
      <c r="DU375" s="72">
        <v>0</v>
      </c>
      <c r="DV375" s="72">
        <v>0</v>
      </c>
      <c r="DW375" s="72">
        <v>0</v>
      </c>
      <c r="DX375" s="72">
        <v>0</v>
      </c>
      <c r="DY375" s="72">
        <v>0</v>
      </c>
      <c r="DZ375" s="72">
        <v>0</v>
      </c>
      <c r="EA375" s="72">
        <v>0</v>
      </c>
      <c r="EB375" s="72">
        <v>0</v>
      </c>
      <c r="EC375" s="72">
        <v>0</v>
      </c>
      <c r="ED375" s="72">
        <v>0</v>
      </c>
      <c r="EE375" s="72">
        <v>0</v>
      </c>
      <c r="EF375" s="72">
        <v>0</v>
      </c>
      <c r="EG375" s="72">
        <v>0</v>
      </c>
      <c r="EH375" s="72">
        <v>0</v>
      </c>
      <c r="EI375" s="72">
        <v>0</v>
      </c>
      <c r="EJ375" s="72">
        <v>0</v>
      </c>
      <c r="EK375" s="72">
        <v>0</v>
      </c>
      <c r="EL375" s="72">
        <v>0</v>
      </c>
    </row>
    <row r="376" spans="1:142" x14ac:dyDescent="0.35">
      <c r="A376" s="59">
        <f>Данные!A376</f>
        <v>5791</v>
      </c>
      <c r="B376" s="59">
        <f>Данные!B376</f>
        <v>2020</v>
      </c>
      <c r="C376" s="59" t="str">
        <f>Данные!C376</f>
        <v>компьютерных технологий и электронного обучения</v>
      </c>
      <c r="D376" s="59" t="str">
        <f>Данные!D376</f>
        <v>Абрамян Геннадий Владимирович</v>
      </c>
      <c r="E376" s="59" t="str">
        <f>Данные!E376</f>
        <v>доктор педагогических наук</v>
      </c>
      <c r="F376" s="59" t="str">
        <f>Данные!F376</f>
        <v>профессор</v>
      </c>
      <c r="G376" s="59">
        <f>Данные!G376</f>
        <v>1</v>
      </c>
      <c r="H376" s="59" t="str">
        <f>Данные!H376</f>
        <v>4 курс 2017 год/пост</v>
      </c>
      <c r="I376" s="59" t="str">
        <f>Данные!I376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76" s="59">
        <f>Данные!J376</f>
        <v>0</v>
      </c>
      <c r="K376" s="59">
        <f>Данные!K376</f>
        <v>0</v>
      </c>
      <c r="L376" s="59">
        <f>Данные!L376</f>
        <v>0</v>
      </c>
      <c r="M376" s="60">
        <f t="shared" si="45"/>
        <v>0</v>
      </c>
      <c r="N376" s="60">
        <f t="shared" ca="1" si="46"/>
        <v>10.91</v>
      </c>
      <c r="O376" s="60">
        <f t="shared" ca="1" si="47"/>
        <v>6.75</v>
      </c>
      <c r="P376" s="60">
        <f t="shared" ca="1" si="48"/>
        <v>6.75</v>
      </c>
      <c r="Q376" s="54">
        <f>Данные!Q376</f>
        <v>0</v>
      </c>
      <c r="R376" s="54">
        <f>Данные!R376</f>
        <v>0</v>
      </c>
      <c r="S376" s="54">
        <f>Данные!S376</f>
        <v>0</v>
      </c>
      <c r="T376" s="54">
        <f>Данные!T376</f>
        <v>0</v>
      </c>
      <c r="U376" s="54">
        <f>Данные!U376</f>
        <v>2</v>
      </c>
      <c r="V376" s="54">
        <f>Данные!V376</f>
        <v>0</v>
      </c>
      <c r="W376" s="54">
        <f ca="1">Данные!W376</f>
        <v>27</v>
      </c>
      <c r="X376" s="54" t="str">
        <f ca="1">Данные!X376</f>
        <v>1</v>
      </c>
      <c r="Y376" s="54" t="str">
        <f ca="1">Данные!Y376</f>
        <v>2</v>
      </c>
      <c r="Z376" s="54">
        <f>Данные!Z376</f>
        <v>0</v>
      </c>
      <c r="AA376" s="54">
        <f>Данные!AA376</f>
        <v>0</v>
      </c>
      <c r="AB376" s="101">
        <f t="shared" si="49"/>
        <v>750</v>
      </c>
      <c r="AC376" s="101" t="str">
        <f t="shared" si="50"/>
        <v>ИВТ (бак)</v>
      </c>
      <c r="AD376" s="101" t="str">
        <f t="shared" si="51"/>
        <v/>
      </c>
      <c r="AE376" s="102">
        <f t="shared" ca="1" si="52"/>
        <v>26.41</v>
      </c>
      <c r="AF376" s="103">
        <f t="shared" ca="1" si="53"/>
        <v>3.5213333333333333E-2</v>
      </c>
      <c r="AG376" s="101"/>
      <c r="AH376" s="101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Q376" s="72">
        <v>0</v>
      </c>
      <c r="BR376" s="72">
        <v>0</v>
      </c>
      <c r="BS376" s="72">
        <v>0</v>
      </c>
      <c r="BT376" s="72">
        <v>0</v>
      </c>
      <c r="BU376" s="72">
        <v>0</v>
      </c>
      <c r="BV376" s="72">
        <v>0</v>
      </c>
      <c r="BW376" s="72">
        <v>0</v>
      </c>
      <c r="BX376" s="72">
        <v>0</v>
      </c>
      <c r="BY376" s="72">
        <v>0</v>
      </c>
      <c r="BZ376" s="72">
        <v>0</v>
      </c>
      <c r="CA376" s="72">
        <v>0</v>
      </c>
      <c r="CB376" s="72">
        <v>0</v>
      </c>
      <c r="CC376" s="72">
        <v>0</v>
      </c>
      <c r="CD376" s="72">
        <v>0</v>
      </c>
      <c r="CE376" s="72">
        <v>0</v>
      </c>
      <c r="CF376" s="72">
        <v>0</v>
      </c>
      <c r="CG376" s="72">
        <v>0</v>
      </c>
      <c r="CH376" s="72">
        <v>0</v>
      </c>
      <c r="CI376" s="72">
        <v>0</v>
      </c>
      <c r="CJ376" s="72">
        <v>0</v>
      </c>
      <c r="CK376" s="72">
        <v>0</v>
      </c>
      <c r="CL376" s="72">
        <v>0</v>
      </c>
      <c r="CM376" s="72">
        <v>0</v>
      </c>
      <c r="CN376" s="72">
        <v>0</v>
      </c>
      <c r="CO376" s="72">
        <v>0</v>
      </c>
      <c r="CP376" s="72">
        <v>0</v>
      </c>
      <c r="CQ376" s="72">
        <v>0</v>
      </c>
      <c r="CR376" s="72">
        <v>0</v>
      </c>
      <c r="CS376" s="72">
        <v>0</v>
      </c>
      <c r="CT376" s="72">
        <v>0</v>
      </c>
      <c r="CU376" s="72">
        <v>0</v>
      </c>
      <c r="CV376" s="72">
        <v>0</v>
      </c>
      <c r="CW376" s="72">
        <v>0</v>
      </c>
      <c r="CX376" s="72">
        <v>0</v>
      </c>
      <c r="CY376" s="72">
        <v>0</v>
      </c>
      <c r="CZ376" s="72">
        <v>0</v>
      </c>
      <c r="DA376" s="72">
        <v>0</v>
      </c>
      <c r="DB376" s="72">
        <v>0</v>
      </c>
      <c r="DC376" s="72">
        <v>0</v>
      </c>
      <c r="DD376" s="72">
        <v>0</v>
      </c>
      <c r="DE376" s="72">
        <v>0</v>
      </c>
      <c r="DF376" s="72">
        <v>0</v>
      </c>
      <c r="DG376" s="72">
        <v>0</v>
      </c>
      <c r="DH376" s="72">
        <v>0</v>
      </c>
      <c r="DI376" s="72">
        <v>0</v>
      </c>
      <c r="DJ376" s="72">
        <v>0</v>
      </c>
      <c r="DK376" s="72">
        <v>0</v>
      </c>
      <c r="DL376" s="72">
        <v>0</v>
      </c>
      <c r="DM376" s="72">
        <v>0</v>
      </c>
      <c r="DN376" s="72">
        <v>0</v>
      </c>
      <c r="DO376" s="72">
        <v>0</v>
      </c>
      <c r="DP376" s="72">
        <v>0</v>
      </c>
      <c r="DQ376" s="72">
        <v>0</v>
      </c>
      <c r="DR376" s="72">
        <v>0</v>
      </c>
      <c r="DS376" s="72">
        <v>0</v>
      </c>
      <c r="DT376" s="72">
        <v>0</v>
      </c>
      <c r="DU376" s="72">
        <v>0</v>
      </c>
      <c r="DV376" s="72">
        <v>0</v>
      </c>
      <c r="DW376" s="72">
        <v>0</v>
      </c>
      <c r="DX376" s="72">
        <v>0</v>
      </c>
      <c r="DY376" s="72">
        <v>0</v>
      </c>
      <c r="DZ376" s="72">
        <v>0</v>
      </c>
      <c r="EA376" s="72">
        <v>0</v>
      </c>
      <c r="EB376" s="72">
        <v>0</v>
      </c>
      <c r="EC376" s="72">
        <v>0</v>
      </c>
      <c r="ED376" s="72">
        <v>0</v>
      </c>
      <c r="EE376" s="72">
        <v>0</v>
      </c>
      <c r="EF376" s="72">
        <v>0</v>
      </c>
      <c r="EG376" s="72">
        <v>0</v>
      </c>
      <c r="EH376" s="72">
        <v>0</v>
      </c>
      <c r="EI376" s="72">
        <v>0</v>
      </c>
      <c r="EJ376" s="72">
        <v>0</v>
      </c>
      <c r="EK376" s="72">
        <v>0</v>
      </c>
      <c r="EL376" s="72">
        <v>0</v>
      </c>
    </row>
    <row r="377" spans="1:142" x14ac:dyDescent="0.35">
      <c r="A377" s="59">
        <f>Данные!A377</f>
        <v>5791</v>
      </c>
      <c r="B377" s="59">
        <f>Данные!B377</f>
        <v>2020</v>
      </c>
      <c r="C377" s="59" t="str">
        <f>Данные!C377</f>
        <v>компьютерных технологий и электронного обучения</v>
      </c>
      <c r="D377" s="59" t="str">
        <f>Данные!D377</f>
        <v>Жуков Николай Николаевич</v>
      </c>
      <c r="E377" s="59" t="str">
        <f>Данные!E377</f>
        <v>нет</v>
      </c>
      <c r="F377" s="59" t="str">
        <f>Данные!F377</f>
        <v>ассистент</v>
      </c>
      <c r="G377" s="59">
        <f>Данные!G377</f>
        <v>1</v>
      </c>
      <c r="H377" s="59" t="str">
        <f>Данные!H377</f>
        <v>4 курс 2017 год/пост</v>
      </c>
      <c r="I377" s="59" t="str">
        <f>Данные!I377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77" s="59">
        <f>Данные!J377</f>
        <v>0</v>
      </c>
      <c r="K377" s="59">
        <f>Данные!K377</f>
        <v>0</v>
      </c>
      <c r="L377" s="59">
        <f>Данные!L377</f>
        <v>0</v>
      </c>
      <c r="M377" s="60">
        <f t="shared" si="45"/>
        <v>0</v>
      </c>
      <c r="N377" s="60">
        <f t="shared" ca="1" si="46"/>
        <v>10.91</v>
      </c>
      <c r="O377" s="60">
        <f t="shared" ca="1" si="47"/>
        <v>6.75</v>
      </c>
      <c r="P377" s="60">
        <f t="shared" ca="1" si="48"/>
        <v>6.75</v>
      </c>
      <c r="Q377" s="54">
        <f>Данные!Q377</f>
        <v>0</v>
      </c>
      <c r="R377" s="54">
        <f>Данные!R377</f>
        <v>0</v>
      </c>
      <c r="S377" s="54">
        <f>Данные!S377</f>
        <v>0</v>
      </c>
      <c r="T377" s="54">
        <f>Данные!T377</f>
        <v>0</v>
      </c>
      <c r="U377" s="54">
        <f>Данные!U377</f>
        <v>0</v>
      </c>
      <c r="V377" s="54">
        <f>Данные!V377</f>
        <v>0</v>
      </c>
      <c r="W377" s="54">
        <f ca="1">Данные!W377</f>
        <v>27</v>
      </c>
      <c r="X377" s="54" t="str">
        <f ca="1">Данные!X377</f>
        <v>1</v>
      </c>
      <c r="Y377" s="54" t="str">
        <f ca="1">Данные!Y377</f>
        <v>2</v>
      </c>
      <c r="Z377" s="54">
        <f>Данные!Z377</f>
        <v>0</v>
      </c>
      <c r="AA377" s="54">
        <f>Данные!AA377</f>
        <v>0</v>
      </c>
      <c r="AB377" s="101">
        <f t="shared" si="49"/>
        <v>900</v>
      </c>
      <c r="AC377" s="101" t="str">
        <f t="shared" si="50"/>
        <v>ИВТ (бак)</v>
      </c>
      <c r="AD377" s="101" t="str">
        <f t="shared" si="51"/>
        <v/>
      </c>
      <c r="AE377" s="102">
        <f t="shared" ca="1" si="52"/>
        <v>24.41</v>
      </c>
      <c r="AF377" s="103">
        <f t="shared" ca="1" si="53"/>
        <v>2.7122222222222221E-2</v>
      </c>
      <c r="AG377" s="101"/>
      <c r="AH377" s="101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Q377" s="72">
        <v>0</v>
      </c>
      <c r="BR377" s="72">
        <v>0</v>
      </c>
      <c r="BS377" s="72">
        <v>0</v>
      </c>
      <c r="BT377" s="72">
        <v>0</v>
      </c>
      <c r="BU377" s="72">
        <v>0</v>
      </c>
      <c r="BV377" s="72">
        <v>0</v>
      </c>
      <c r="BW377" s="72">
        <v>0</v>
      </c>
      <c r="BX377" s="72">
        <v>0</v>
      </c>
      <c r="BY377" s="72">
        <v>0</v>
      </c>
      <c r="BZ377" s="72">
        <v>0</v>
      </c>
      <c r="CA377" s="72">
        <v>0</v>
      </c>
      <c r="CB377" s="72">
        <v>0</v>
      </c>
      <c r="CC377" s="72">
        <v>0</v>
      </c>
      <c r="CD377" s="72">
        <v>0</v>
      </c>
      <c r="CE377" s="72">
        <v>0</v>
      </c>
      <c r="CF377" s="72">
        <v>0</v>
      </c>
      <c r="CG377" s="72">
        <v>0</v>
      </c>
      <c r="CH377" s="72">
        <v>0</v>
      </c>
      <c r="CI377" s="72">
        <v>0</v>
      </c>
      <c r="CJ377" s="72">
        <v>0</v>
      </c>
      <c r="CK377" s="72">
        <v>0</v>
      </c>
      <c r="CL377" s="72">
        <v>0</v>
      </c>
      <c r="CM377" s="72">
        <v>0</v>
      </c>
      <c r="CN377" s="72">
        <v>0</v>
      </c>
      <c r="CO377" s="72">
        <v>0</v>
      </c>
      <c r="CP377" s="72">
        <v>0</v>
      </c>
      <c r="CQ377" s="72">
        <v>0</v>
      </c>
      <c r="CR377" s="72">
        <v>0</v>
      </c>
      <c r="CS377" s="72">
        <v>0</v>
      </c>
      <c r="CT377" s="72">
        <v>0</v>
      </c>
      <c r="CU377" s="72">
        <v>0</v>
      </c>
      <c r="CV377" s="72">
        <v>0</v>
      </c>
      <c r="CW377" s="72">
        <v>0</v>
      </c>
      <c r="CX377" s="72">
        <v>0</v>
      </c>
      <c r="CY377" s="72">
        <v>0</v>
      </c>
      <c r="CZ377" s="72">
        <v>0</v>
      </c>
      <c r="DA377" s="72">
        <v>0</v>
      </c>
      <c r="DB377" s="72">
        <v>0</v>
      </c>
      <c r="DC377" s="72">
        <v>0</v>
      </c>
      <c r="DD377" s="72">
        <v>0</v>
      </c>
      <c r="DE377" s="72">
        <v>0</v>
      </c>
      <c r="DF377" s="72">
        <v>0</v>
      </c>
      <c r="DG377" s="72">
        <v>0</v>
      </c>
      <c r="DH377" s="72">
        <v>0</v>
      </c>
      <c r="DI377" s="72">
        <v>0</v>
      </c>
      <c r="DJ377" s="72">
        <v>0</v>
      </c>
      <c r="DK377" s="72">
        <v>0</v>
      </c>
      <c r="DL377" s="72">
        <v>0</v>
      </c>
      <c r="DM377" s="72">
        <v>0</v>
      </c>
      <c r="DN377" s="72">
        <v>0</v>
      </c>
      <c r="DO377" s="72">
        <v>0</v>
      </c>
      <c r="DP377" s="72">
        <v>0</v>
      </c>
      <c r="DQ377" s="72">
        <v>0</v>
      </c>
      <c r="DR377" s="72">
        <v>0</v>
      </c>
      <c r="DS377" s="72">
        <v>0</v>
      </c>
      <c r="DT377" s="72">
        <v>0</v>
      </c>
      <c r="DU377" s="72">
        <v>0</v>
      </c>
      <c r="DV377" s="72">
        <v>0</v>
      </c>
      <c r="DW377" s="72">
        <v>0</v>
      </c>
      <c r="DX377" s="72">
        <v>0</v>
      </c>
      <c r="DY377" s="72">
        <v>0</v>
      </c>
      <c r="DZ377" s="72">
        <v>0</v>
      </c>
      <c r="EA377" s="72">
        <v>0</v>
      </c>
      <c r="EB377" s="72">
        <v>0</v>
      </c>
      <c r="EC377" s="72">
        <v>0</v>
      </c>
      <c r="ED377" s="72">
        <v>0</v>
      </c>
      <c r="EE377" s="72">
        <v>0</v>
      </c>
      <c r="EF377" s="72">
        <v>0</v>
      </c>
      <c r="EG377" s="72">
        <v>0</v>
      </c>
      <c r="EH377" s="72">
        <v>0</v>
      </c>
      <c r="EI377" s="72">
        <v>0</v>
      </c>
      <c r="EJ377" s="72">
        <v>0</v>
      </c>
      <c r="EK377" s="72">
        <v>0</v>
      </c>
      <c r="EL377" s="72">
        <v>0</v>
      </c>
    </row>
    <row r="378" spans="1:142" x14ac:dyDescent="0.35">
      <c r="A378" s="59">
        <f>Данные!A378</f>
        <v>5791</v>
      </c>
      <c r="B378" s="59">
        <f>Данные!B378</f>
        <v>2020</v>
      </c>
      <c r="C378" s="59" t="str">
        <f>Данные!C378</f>
        <v>компьютерных технологий и электронного обучения</v>
      </c>
      <c r="D378" s="59" t="str">
        <f>Данные!D378</f>
        <v>Государев Илья Борисович</v>
      </c>
      <c r="E378" s="59" t="str">
        <f>Данные!E378</f>
        <v>кандидат педагогических наук</v>
      </c>
      <c r="F378" s="59" t="str">
        <f>Данные!F378</f>
        <v>доцент</v>
      </c>
      <c r="G378" s="59">
        <f>Данные!G378</f>
        <v>1</v>
      </c>
      <c r="H378" s="59" t="str">
        <f>Данные!H378</f>
        <v>4 курс 2017 год/пост</v>
      </c>
      <c r="I378" s="59" t="str">
        <f>Данные!I378</f>
        <v>Руководство ВКР</v>
      </c>
      <c r="J378" s="59">
        <f>Данные!J378</f>
        <v>0</v>
      </c>
      <c r="K378" s="59">
        <f>Данные!K378</f>
        <v>0</v>
      </c>
      <c r="L378" s="59">
        <f>Данные!L378</f>
        <v>0</v>
      </c>
      <c r="M378" s="60">
        <f t="shared" si="45"/>
        <v>0</v>
      </c>
      <c r="N378" s="60">
        <f t="shared" ca="1" si="46"/>
        <v>10.91</v>
      </c>
      <c r="O378" s="60">
        <f t="shared" ca="1" si="47"/>
        <v>6.75</v>
      </c>
      <c r="P378" s="60">
        <f t="shared" ca="1" si="48"/>
        <v>6.75</v>
      </c>
      <c r="Q378" s="54">
        <f>Данные!Q378</f>
        <v>0</v>
      </c>
      <c r="R378" s="54">
        <f>Данные!R378</f>
        <v>0</v>
      </c>
      <c r="S378" s="54">
        <f>Данные!S378</f>
        <v>0</v>
      </c>
      <c r="T378" s="54">
        <f>Данные!T378</f>
        <v>0</v>
      </c>
      <c r="U378" s="54">
        <f>Данные!U378</f>
        <v>0</v>
      </c>
      <c r="V378" s="54">
        <f>Данные!V378</f>
        <v>100</v>
      </c>
      <c r="W378" s="54">
        <f ca="1">Данные!W378</f>
        <v>27</v>
      </c>
      <c r="X378" s="54" t="str">
        <f ca="1">Данные!X378</f>
        <v>1</v>
      </c>
      <c r="Y378" s="54" t="str">
        <f ca="1">Данные!Y378</f>
        <v>2</v>
      </c>
      <c r="Z378" s="54">
        <f>Данные!Z378</f>
        <v>0</v>
      </c>
      <c r="AA378" s="54">
        <f>Данные!AA378</f>
        <v>0</v>
      </c>
      <c r="AB378" s="101">
        <f t="shared" si="49"/>
        <v>800</v>
      </c>
      <c r="AC378" s="101" t="str">
        <f t="shared" si="50"/>
        <v>ИВТ (бак)</v>
      </c>
      <c r="AD378" s="101" t="str">
        <f t="shared" si="51"/>
        <v/>
      </c>
      <c r="AE378" s="102">
        <f t="shared" ca="1" si="52"/>
        <v>124.41</v>
      </c>
      <c r="AF378" s="103">
        <f t="shared" ca="1" si="53"/>
        <v>0.1555125</v>
      </c>
      <c r="AG378" s="101"/>
      <c r="AH378" s="101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Q378" s="72">
        <v>0</v>
      </c>
      <c r="BR378" s="72">
        <v>0</v>
      </c>
      <c r="BS378" s="72">
        <v>0</v>
      </c>
      <c r="BT378" s="72">
        <v>0</v>
      </c>
      <c r="BU378" s="72">
        <v>0</v>
      </c>
      <c r="BV378" s="72">
        <v>0</v>
      </c>
      <c r="BW378" s="72">
        <v>0</v>
      </c>
      <c r="BX378" s="72">
        <v>0</v>
      </c>
      <c r="BY378" s="72">
        <v>0</v>
      </c>
      <c r="BZ378" s="72">
        <v>0</v>
      </c>
      <c r="CA378" s="72">
        <v>0</v>
      </c>
      <c r="CB378" s="72">
        <v>0</v>
      </c>
      <c r="CC378" s="72">
        <v>0</v>
      </c>
      <c r="CD378" s="72">
        <v>0</v>
      </c>
      <c r="CE378" s="72">
        <v>0</v>
      </c>
      <c r="CF378" s="72">
        <v>0</v>
      </c>
      <c r="CG378" s="72">
        <v>0</v>
      </c>
      <c r="CH378" s="72">
        <v>0</v>
      </c>
      <c r="CI378" s="72">
        <v>0</v>
      </c>
      <c r="CJ378" s="72">
        <v>0</v>
      </c>
      <c r="CK378" s="72">
        <v>0</v>
      </c>
      <c r="CL378" s="72">
        <v>0</v>
      </c>
      <c r="CM378" s="72">
        <v>0</v>
      </c>
      <c r="CN378" s="72">
        <v>0</v>
      </c>
      <c r="CO378" s="72">
        <v>0</v>
      </c>
      <c r="CP378" s="72">
        <v>0</v>
      </c>
      <c r="CQ378" s="72">
        <v>0</v>
      </c>
      <c r="CR378" s="72">
        <v>0</v>
      </c>
      <c r="CS378" s="72">
        <v>0</v>
      </c>
      <c r="CT378" s="72">
        <v>0</v>
      </c>
      <c r="CU378" s="72">
        <v>0</v>
      </c>
      <c r="CV378" s="72">
        <v>0</v>
      </c>
      <c r="CW378" s="72">
        <v>0</v>
      </c>
      <c r="CX378" s="72">
        <v>0</v>
      </c>
      <c r="CY378" s="72">
        <v>0</v>
      </c>
      <c r="CZ378" s="72">
        <v>0</v>
      </c>
      <c r="DA378" s="72">
        <v>0</v>
      </c>
      <c r="DB378" s="72">
        <v>0</v>
      </c>
      <c r="DC378" s="72">
        <v>0</v>
      </c>
      <c r="DD378" s="72">
        <v>0</v>
      </c>
      <c r="DE378" s="72">
        <v>0</v>
      </c>
      <c r="DF378" s="72">
        <v>0</v>
      </c>
      <c r="DG378" s="72">
        <v>0</v>
      </c>
      <c r="DH378" s="72">
        <v>0</v>
      </c>
      <c r="DI378" s="72">
        <v>0</v>
      </c>
      <c r="DJ378" s="72">
        <v>0</v>
      </c>
      <c r="DK378" s="72">
        <v>0</v>
      </c>
      <c r="DL378" s="72">
        <v>0</v>
      </c>
      <c r="DM378" s="72">
        <v>0</v>
      </c>
      <c r="DN378" s="72">
        <v>0</v>
      </c>
      <c r="DO378" s="72">
        <v>0</v>
      </c>
      <c r="DP378" s="72">
        <v>0</v>
      </c>
      <c r="DQ378" s="72">
        <v>0</v>
      </c>
      <c r="DR378" s="72">
        <v>0</v>
      </c>
      <c r="DS378" s="72">
        <v>0</v>
      </c>
      <c r="DT378" s="72">
        <v>0</v>
      </c>
      <c r="DU378" s="72">
        <v>0</v>
      </c>
      <c r="DV378" s="72">
        <v>0</v>
      </c>
      <c r="DW378" s="72">
        <v>0</v>
      </c>
      <c r="DX378" s="72">
        <v>0</v>
      </c>
      <c r="DY378" s="72">
        <v>0</v>
      </c>
      <c r="DZ378" s="72">
        <v>0</v>
      </c>
      <c r="EA378" s="72">
        <v>0</v>
      </c>
      <c r="EB378" s="72">
        <v>0</v>
      </c>
      <c r="EC378" s="72">
        <v>0</v>
      </c>
      <c r="ED378" s="72">
        <v>0</v>
      </c>
      <c r="EE378" s="72">
        <v>0</v>
      </c>
      <c r="EF378" s="72">
        <v>0</v>
      </c>
      <c r="EG378" s="72">
        <v>0</v>
      </c>
      <c r="EH378" s="72">
        <v>0</v>
      </c>
      <c r="EI378" s="72">
        <v>0</v>
      </c>
      <c r="EJ378" s="72">
        <v>0</v>
      </c>
      <c r="EK378" s="72">
        <v>0</v>
      </c>
      <c r="EL378" s="72">
        <v>0</v>
      </c>
    </row>
    <row r="379" spans="1:142" x14ac:dyDescent="0.35">
      <c r="A379" s="59">
        <f>Данные!A379</f>
        <v>5791</v>
      </c>
      <c r="B379" s="59">
        <f>Данные!B379</f>
        <v>2020</v>
      </c>
      <c r="C379" s="59" t="str">
        <f>Данные!C379</f>
        <v>компьютерных технологий и электронного обучения</v>
      </c>
      <c r="D379" s="59" t="str">
        <f>Данные!D379</f>
        <v>Авксентьева Елена Юрьевна</v>
      </c>
      <c r="E379" s="59" t="str">
        <f>Данные!E379</f>
        <v>кандидат педагогических наук</v>
      </c>
      <c r="F379" s="59" t="str">
        <f>Данные!F379</f>
        <v>доцент</v>
      </c>
      <c r="G379" s="59">
        <f>Данные!G379</f>
        <v>1</v>
      </c>
      <c r="H379" s="59" t="str">
        <f>Данные!H379</f>
        <v>4 курс 2017 год/пост</v>
      </c>
      <c r="I379" s="59" t="str">
        <f>Данные!I379</f>
        <v>Руководство ВКР</v>
      </c>
      <c r="J379" s="59">
        <f>Данные!J379</f>
        <v>0</v>
      </c>
      <c r="K379" s="59">
        <f>Данные!K379</f>
        <v>0</v>
      </c>
      <c r="L379" s="59">
        <f>Данные!L379</f>
        <v>0</v>
      </c>
      <c r="M379" s="60">
        <f t="shared" si="45"/>
        <v>0</v>
      </c>
      <c r="N379" s="60">
        <f t="shared" ca="1" si="46"/>
        <v>10.91</v>
      </c>
      <c r="O379" s="60">
        <f t="shared" ca="1" si="47"/>
        <v>6.75</v>
      </c>
      <c r="P379" s="60">
        <f t="shared" ca="1" si="48"/>
        <v>6.75</v>
      </c>
      <c r="Q379" s="54">
        <f>Данные!Q379</f>
        <v>0</v>
      </c>
      <c r="R379" s="54">
        <f>Данные!R379</f>
        <v>0</v>
      </c>
      <c r="S379" s="54">
        <f>Данные!S379</f>
        <v>0</v>
      </c>
      <c r="T379" s="54">
        <f>Данные!T379</f>
        <v>0</v>
      </c>
      <c r="U379" s="54">
        <f>Данные!U379</f>
        <v>0</v>
      </c>
      <c r="V379" s="54">
        <f>Данные!V379</f>
        <v>100</v>
      </c>
      <c r="W379" s="54">
        <f ca="1">Данные!W379</f>
        <v>27</v>
      </c>
      <c r="X379" s="54" t="str">
        <f ca="1">Данные!X379</f>
        <v>1</v>
      </c>
      <c r="Y379" s="54" t="str">
        <f ca="1">Данные!Y379</f>
        <v>2</v>
      </c>
      <c r="Z379" s="54">
        <f>Данные!Z379</f>
        <v>0</v>
      </c>
      <c r="AA379" s="54">
        <f>Данные!AA379</f>
        <v>0</v>
      </c>
      <c r="AB379" s="101">
        <f t="shared" si="49"/>
        <v>800</v>
      </c>
      <c r="AC379" s="101" t="str">
        <f t="shared" si="50"/>
        <v>ИВТ (бак)</v>
      </c>
      <c r="AD379" s="101" t="str">
        <f t="shared" si="51"/>
        <v/>
      </c>
      <c r="AE379" s="102">
        <f t="shared" ca="1" si="52"/>
        <v>124.41</v>
      </c>
      <c r="AF379" s="103">
        <f t="shared" ca="1" si="53"/>
        <v>0.1555125</v>
      </c>
      <c r="AG379" s="101"/>
      <c r="AH379" s="101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Q379" s="72">
        <v>0</v>
      </c>
      <c r="BR379" s="72">
        <v>0</v>
      </c>
      <c r="BS379" s="72">
        <v>0</v>
      </c>
      <c r="BT379" s="72">
        <v>0</v>
      </c>
      <c r="BU379" s="72">
        <v>0</v>
      </c>
      <c r="BV379" s="72">
        <v>0</v>
      </c>
      <c r="BW379" s="72">
        <v>0</v>
      </c>
      <c r="BX379" s="72">
        <v>0</v>
      </c>
      <c r="BY379" s="72">
        <v>0</v>
      </c>
      <c r="BZ379" s="72">
        <v>0</v>
      </c>
      <c r="CA379" s="72">
        <v>0</v>
      </c>
      <c r="CB379" s="72">
        <v>0</v>
      </c>
      <c r="CC379" s="72">
        <v>0</v>
      </c>
      <c r="CD379" s="72">
        <v>0</v>
      </c>
      <c r="CE379" s="72">
        <v>0</v>
      </c>
      <c r="CF379" s="72">
        <v>0</v>
      </c>
      <c r="CG379" s="72">
        <v>0</v>
      </c>
      <c r="CH379" s="72">
        <v>0</v>
      </c>
      <c r="CI379" s="72">
        <v>0</v>
      </c>
      <c r="CJ379" s="72">
        <v>0</v>
      </c>
      <c r="CK379" s="72">
        <v>0</v>
      </c>
      <c r="CL379" s="72">
        <v>0</v>
      </c>
      <c r="CM379" s="72">
        <v>0</v>
      </c>
      <c r="CN379" s="72">
        <v>0</v>
      </c>
      <c r="CO379" s="72">
        <v>0</v>
      </c>
      <c r="CP379" s="72">
        <v>0</v>
      </c>
      <c r="CQ379" s="72">
        <v>0</v>
      </c>
      <c r="CR379" s="72">
        <v>0</v>
      </c>
      <c r="CS379" s="72">
        <v>0</v>
      </c>
      <c r="CT379" s="72">
        <v>0</v>
      </c>
      <c r="CU379" s="72">
        <v>0</v>
      </c>
      <c r="CV379" s="72">
        <v>0</v>
      </c>
      <c r="CW379" s="72">
        <v>0</v>
      </c>
      <c r="CX379" s="72">
        <v>0</v>
      </c>
      <c r="CY379" s="72">
        <v>0</v>
      </c>
      <c r="CZ379" s="72">
        <v>0</v>
      </c>
      <c r="DA379" s="72">
        <v>0</v>
      </c>
      <c r="DB379" s="72">
        <v>0</v>
      </c>
      <c r="DC379" s="72">
        <v>0</v>
      </c>
      <c r="DD379" s="72">
        <v>0</v>
      </c>
      <c r="DE379" s="72">
        <v>0</v>
      </c>
      <c r="DF379" s="72">
        <v>0</v>
      </c>
      <c r="DG379" s="72">
        <v>0</v>
      </c>
      <c r="DH379" s="72">
        <v>0</v>
      </c>
      <c r="DI379" s="72">
        <v>0</v>
      </c>
      <c r="DJ379" s="72">
        <v>0</v>
      </c>
      <c r="DK379" s="72">
        <v>0</v>
      </c>
      <c r="DL379" s="72">
        <v>0</v>
      </c>
      <c r="DM379" s="72">
        <v>0</v>
      </c>
      <c r="DN379" s="72">
        <v>0</v>
      </c>
      <c r="DO379" s="72">
        <v>0</v>
      </c>
      <c r="DP379" s="72">
        <v>0</v>
      </c>
      <c r="DQ379" s="72">
        <v>0</v>
      </c>
      <c r="DR379" s="72">
        <v>0</v>
      </c>
      <c r="DS379" s="72">
        <v>0</v>
      </c>
      <c r="DT379" s="72">
        <v>0</v>
      </c>
      <c r="DU379" s="72">
        <v>0</v>
      </c>
      <c r="DV379" s="72">
        <v>0</v>
      </c>
      <c r="DW379" s="72">
        <v>0</v>
      </c>
      <c r="DX379" s="72">
        <v>0</v>
      </c>
      <c r="DY379" s="72">
        <v>0</v>
      </c>
      <c r="DZ379" s="72">
        <v>0</v>
      </c>
      <c r="EA379" s="72">
        <v>0</v>
      </c>
      <c r="EB379" s="72">
        <v>0</v>
      </c>
      <c r="EC379" s="72">
        <v>0</v>
      </c>
      <c r="ED379" s="72">
        <v>0</v>
      </c>
      <c r="EE379" s="72">
        <v>0</v>
      </c>
      <c r="EF379" s="72">
        <v>0</v>
      </c>
      <c r="EG379" s="72">
        <v>0</v>
      </c>
      <c r="EH379" s="72">
        <v>0</v>
      </c>
      <c r="EI379" s="72">
        <v>0</v>
      </c>
      <c r="EJ379" s="72">
        <v>0</v>
      </c>
      <c r="EK379" s="72">
        <v>0</v>
      </c>
      <c r="EL379" s="72">
        <v>0</v>
      </c>
    </row>
    <row r="380" spans="1:142" x14ac:dyDescent="0.35">
      <c r="A380" s="59">
        <f>Данные!A380</f>
        <v>5791</v>
      </c>
      <c r="B380" s="59">
        <f>Данные!B380</f>
        <v>2020</v>
      </c>
      <c r="C380" s="59" t="str">
        <f>Данные!C380</f>
        <v>компьютерных технологий и электронного обучения</v>
      </c>
      <c r="D380" s="59" t="str">
        <f>Данные!D380</f>
        <v>Воробьев Владимир Иванович</v>
      </c>
      <c r="E380" s="59" t="str">
        <f>Данные!E380</f>
        <v>доктор технических наук</v>
      </c>
      <c r="F380" s="59" t="str">
        <f>Данные!F380</f>
        <v>внешний</v>
      </c>
      <c r="G380" s="59">
        <f>Данные!G380</f>
        <v>1</v>
      </c>
      <c r="H380" s="59" t="str">
        <f>Данные!H380</f>
        <v>4 курс 2017 год/пост</v>
      </c>
      <c r="I380" s="59" t="str">
        <f>Данные!I380</f>
        <v>Руководство ВКР</v>
      </c>
      <c r="J380" s="59">
        <f>Данные!J380</f>
        <v>0</v>
      </c>
      <c r="K380" s="59">
        <f>Данные!K380</f>
        <v>0</v>
      </c>
      <c r="L380" s="59">
        <f>Данные!L380</f>
        <v>0</v>
      </c>
      <c r="M380" s="60">
        <f t="shared" si="45"/>
        <v>0</v>
      </c>
      <c r="N380" s="60">
        <f t="shared" ca="1" si="46"/>
        <v>10.91</v>
      </c>
      <c r="O380" s="60">
        <f t="shared" ca="1" si="47"/>
        <v>6.75</v>
      </c>
      <c r="P380" s="60">
        <f t="shared" ca="1" si="48"/>
        <v>6.75</v>
      </c>
      <c r="Q380" s="54">
        <f>Данные!Q380</f>
        <v>0</v>
      </c>
      <c r="R380" s="54">
        <f>Данные!R380</f>
        <v>0</v>
      </c>
      <c r="S380" s="54">
        <f>Данные!S380</f>
        <v>0</v>
      </c>
      <c r="T380" s="54">
        <f>Данные!T380</f>
        <v>0</v>
      </c>
      <c r="U380" s="54">
        <f>Данные!U380</f>
        <v>0</v>
      </c>
      <c r="V380" s="54">
        <f>Данные!V380</f>
        <v>100</v>
      </c>
      <c r="W380" s="54">
        <f ca="1">Данные!W380</f>
        <v>27</v>
      </c>
      <c r="X380" s="54" t="str">
        <f ca="1">Данные!X380</f>
        <v>1</v>
      </c>
      <c r="Y380" s="54" t="str">
        <f ca="1">Данные!Y380</f>
        <v>2</v>
      </c>
      <c r="Z380" s="54">
        <f>Данные!Z380</f>
        <v>0</v>
      </c>
      <c r="AA380" s="54">
        <f>Данные!AA380</f>
        <v>0</v>
      </c>
      <c r="AB380" s="101">
        <f t="shared" si="49"/>
        <v>900</v>
      </c>
      <c r="AC380" s="101" t="str">
        <f t="shared" si="50"/>
        <v>ИВТ (бак)</v>
      </c>
      <c r="AD380" s="101" t="str">
        <f t="shared" si="51"/>
        <v/>
      </c>
      <c r="AE380" s="102">
        <f t="shared" ca="1" si="52"/>
        <v>124.41</v>
      </c>
      <c r="AF380" s="103">
        <f t="shared" ca="1" si="53"/>
        <v>0.13823333333333332</v>
      </c>
      <c r="AG380" s="101"/>
      <c r="AH380" s="101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Q380" s="72">
        <v>0</v>
      </c>
      <c r="BR380" s="72">
        <v>0</v>
      </c>
      <c r="BS380" s="72">
        <v>0</v>
      </c>
      <c r="BT380" s="72">
        <v>0</v>
      </c>
      <c r="BU380" s="72">
        <v>0</v>
      </c>
      <c r="BV380" s="72">
        <v>0</v>
      </c>
      <c r="BW380" s="72">
        <v>0</v>
      </c>
      <c r="BX380" s="72">
        <v>0</v>
      </c>
      <c r="BY380" s="72">
        <v>0</v>
      </c>
      <c r="BZ380" s="72">
        <v>0</v>
      </c>
      <c r="CA380" s="72">
        <v>0</v>
      </c>
      <c r="CB380" s="72">
        <v>0</v>
      </c>
      <c r="CC380" s="72">
        <v>0</v>
      </c>
      <c r="CD380" s="72">
        <v>0</v>
      </c>
      <c r="CE380" s="72">
        <v>0</v>
      </c>
      <c r="CF380" s="72">
        <v>0</v>
      </c>
      <c r="CG380" s="72">
        <v>0</v>
      </c>
      <c r="CH380" s="72">
        <v>0</v>
      </c>
      <c r="CI380" s="72">
        <v>0</v>
      </c>
      <c r="CJ380" s="72">
        <v>0</v>
      </c>
      <c r="CK380" s="72">
        <v>0</v>
      </c>
      <c r="CL380" s="72">
        <v>0</v>
      </c>
      <c r="CM380" s="72">
        <v>0</v>
      </c>
      <c r="CN380" s="72">
        <v>0</v>
      </c>
      <c r="CO380" s="72">
        <v>0</v>
      </c>
      <c r="CP380" s="72">
        <v>0</v>
      </c>
      <c r="CQ380" s="72">
        <v>0</v>
      </c>
      <c r="CR380" s="72">
        <v>0</v>
      </c>
      <c r="CS380" s="72">
        <v>0</v>
      </c>
      <c r="CT380" s="72">
        <v>0</v>
      </c>
      <c r="CU380" s="72">
        <v>0</v>
      </c>
      <c r="CV380" s="72">
        <v>0</v>
      </c>
      <c r="CW380" s="72">
        <v>0</v>
      </c>
      <c r="CX380" s="72">
        <v>0</v>
      </c>
      <c r="CY380" s="72">
        <v>0</v>
      </c>
      <c r="CZ380" s="72">
        <v>0</v>
      </c>
      <c r="DA380" s="72">
        <v>0</v>
      </c>
      <c r="DB380" s="72">
        <v>0</v>
      </c>
      <c r="DC380" s="72">
        <v>0</v>
      </c>
      <c r="DD380" s="72">
        <v>0</v>
      </c>
      <c r="DE380" s="72">
        <v>0</v>
      </c>
      <c r="DF380" s="72">
        <v>0</v>
      </c>
      <c r="DG380" s="72">
        <v>0</v>
      </c>
      <c r="DH380" s="72">
        <v>0</v>
      </c>
      <c r="DI380" s="72">
        <v>0</v>
      </c>
      <c r="DJ380" s="72">
        <v>0</v>
      </c>
      <c r="DK380" s="72">
        <v>0</v>
      </c>
      <c r="DL380" s="72">
        <v>0</v>
      </c>
      <c r="DM380" s="72">
        <v>0</v>
      </c>
      <c r="DN380" s="72">
        <v>0</v>
      </c>
      <c r="DO380" s="72">
        <v>0</v>
      </c>
      <c r="DP380" s="72">
        <v>0</v>
      </c>
      <c r="DQ380" s="72">
        <v>0</v>
      </c>
      <c r="DR380" s="72">
        <v>0</v>
      </c>
      <c r="DS380" s="72">
        <v>0</v>
      </c>
      <c r="DT380" s="72">
        <v>0</v>
      </c>
      <c r="DU380" s="72">
        <v>0</v>
      </c>
      <c r="DV380" s="72">
        <v>0</v>
      </c>
      <c r="DW380" s="72">
        <v>0</v>
      </c>
      <c r="DX380" s="72">
        <v>0</v>
      </c>
      <c r="DY380" s="72">
        <v>0</v>
      </c>
      <c r="DZ380" s="72">
        <v>0</v>
      </c>
      <c r="EA380" s="72">
        <v>0</v>
      </c>
      <c r="EB380" s="72">
        <v>0</v>
      </c>
      <c r="EC380" s="72">
        <v>0</v>
      </c>
      <c r="ED380" s="72">
        <v>0</v>
      </c>
      <c r="EE380" s="72">
        <v>0</v>
      </c>
      <c r="EF380" s="72">
        <v>0</v>
      </c>
      <c r="EG380" s="72">
        <v>0</v>
      </c>
      <c r="EH380" s="72">
        <v>0</v>
      </c>
      <c r="EI380" s="72">
        <v>0</v>
      </c>
      <c r="EJ380" s="72">
        <v>0</v>
      </c>
      <c r="EK380" s="72">
        <v>0</v>
      </c>
      <c r="EL380" s="72">
        <v>0</v>
      </c>
    </row>
    <row r="381" spans="1:142" x14ac:dyDescent="0.35">
      <c r="A381" s="59">
        <f>Данные!A381</f>
        <v>5791</v>
      </c>
      <c r="B381" s="59">
        <f>Данные!B381</f>
        <v>2020</v>
      </c>
      <c r="C381" s="59" t="str">
        <f>Данные!C381</f>
        <v>компьютерных технологий и электронного обучения</v>
      </c>
      <c r="D381" s="59" t="str">
        <f>Данные!D381</f>
        <v>Копыльцов Александр Васильевич</v>
      </c>
      <c r="E381" s="59" t="str">
        <f>Данные!E381</f>
        <v>доктор технических наук</v>
      </c>
      <c r="F381" s="59" t="str">
        <f>Данные!F381</f>
        <v>внешний</v>
      </c>
      <c r="G381" s="59">
        <f>Данные!G381</f>
        <v>1</v>
      </c>
      <c r="H381" s="59" t="str">
        <f>Данные!H381</f>
        <v>4 курс 2017 год/пост</v>
      </c>
      <c r="I381" s="59" t="str">
        <f>Данные!I381</f>
        <v>Руководство ВКР</v>
      </c>
      <c r="J381" s="59">
        <f>Данные!J381</f>
        <v>0</v>
      </c>
      <c r="K381" s="59">
        <f>Данные!K381</f>
        <v>0</v>
      </c>
      <c r="L381" s="59">
        <f>Данные!L381</f>
        <v>0</v>
      </c>
      <c r="M381" s="60">
        <f t="shared" si="45"/>
        <v>0</v>
      </c>
      <c r="N381" s="60">
        <f t="shared" ca="1" si="46"/>
        <v>10.91</v>
      </c>
      <c r="O381" s="60">
        <f t="shared" ca="1" si="47"/>
        <v>6.75</v>
      </c>
      <c r="P381" s="60">
        <f t="shared" ca="1" si="48"/>
        <v>6.75</v>
      </c>
      <c r="Q381" s="54">
        <f>Данные!Q381</f>
        <v>0</v>
      </c>
      <c r="R381" s="54">
        <f>Данные!R381</f>
        <v>0</v>
      </c>
      <c r="S381" s="54">
        <f>Данные!S381</f>
        <v>0</v>
      </c>
      <c r="T381" s="54">
        <f>Данные!T381</f>
        <v>0</v>
      </c>
      <c r="U381" s="54">
        <f>Данные!U381</f>
        <v>0</v>
      </c>
      <c r="V381" s="54">
        <f>Данные!V381</f>
        <v>80</v>
      </c>
      <c r="W381" s="54">
        <f ca="1">Данные!W381</f>
        <v>27</v>
      </c>
      <c r="X381" s="54" t="str">
        <f ca="1">Данные!X381</f>
        <v>1</v>
      </c>
      <c r="Y381" s="54" t="str">
        <f ca="1">Данные!Y381</f>
        <v>2</v>
      </c>
      <c r="Z381" s="54">
        <f>Данные!Z381</f>
        <v>0</v>
      </c>
      <c r="AA381" s="54">
        <f>Данные!AA381</f>
        <v>0</v>
      </c>
      <c r="AB381" s="101">
        <f t="shared" si="49"/>
        <v>900</v>
      </c>
      <c r="AC381" s="101" t="str">
        <f t="shared" si="50"/>
        <v>ИВТ (бак)</v>
      </c>
      <c r="AD381" s="101" t="str">
        <f t="shared" si="51"/>
        <v/>
      </c>
      <c r="AE381" s="102">
        <f t="shared" ca="1" si="52"/>
        <v>104.41</v>
      </c>
      <c r="AF381" s="103">
        <f t="shared" ca="1" si="53"/>
        <v>0.11601111111111111</v>
      </c>
      <c r="AG381" s="101"/>
      <c r="AH381" s="10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Q381" s="72">
        <v>0</v>
      </c>
      <c r="BR381" s="72">
        <v>0</v>
      </c>
      <c r="BS381" s="72">
        <v>0</v>
      </c>
      <c r="BT381" s="72">
        <v>0</v>
      </c>
      <c r="BU381" s="72">
        <v>0</v>
      </c>
      <c r="BV381" s="72">
        <v>0</v>
      </c>
      <c r="BW381" s="72">
        <v>0</v>
      </c>
      <c r="BX381" s="72">
        <v>0</v>
      </c>
      <c r="BY381" s="72">
        <v>0</v>
      </c>
      <c r="BZ381" s="72">
        <v>0</v>
      </c>
      <c r="CA381" s="72">
        <v>0</v>
      </c>
      <c r="CB381" s="72">
        <v>0</v>
      </c>
      <c r="CC381" s="72">
        <v>0</v>
      </c>
      <c r="CD381" s="72">
        <v>0</v>
      </c>
      <c r="CE381" s="72">
        <v>0</v>
      </c>
      <c r="CF381" s="72">
        <v>0</v>
      </c>
      <c r="CG381" s="72">
        <v>0</v>
      </c>
      <c r="CH381" s="72">
        <v>0</v>
      </c>
      <c r="CI381" s="72">
        <v>0</v>
      </c>
      <c r="CJ381" s="72">
        <v>0</v>
      </c>
      <c r="CK381" s="72">
        <v>0</v>
      </c>
      <c r="CL381" s="72">
        <v>0</v>
      </c>
      <c r="CM381" s="72">
        <v>0</v>
      </c>
      <c r="CN381" s="72">
        <v>0</v>
      </c>
      <c r="CO381" s="72">
        <v>0</v>
      </c>
      <c r="CP381" s="72">
        <v>0</v>
      </c>
      <c r="CQ381" s="72">
        <v>0</v>
      </c>
      <c r="CR381" s="72">
        <v>0</v>
      </c>
      <c r="CS381" s="72">
        <v>0</v>
      </c>
      <c r="CT381" s="72">
        <v>0</v>
      </c>
      <c r="CU381" s="72">
        <v>0</v>
      </c>
      <c r="CV381" s="72">
        <v>0</v>
      </c>
      <c r="CW381" s="72">
        <v>0</v>
      </c>
      <c r="CX381" s="72">
        <v>0</v>
      </c>
      <c r="CY381" s="72">
        <v>0</v>
      </c>
      <c r="CZ381" s="72">
        <v>0</v>
      </c>
      <c r="DA381" s="72">
        <v>0</v>
      </c>
      <c r="DB381" s="72">
        <v>0</v>
      </c>
      <c r="DC381" s="72">
        <v>0</v>
      </c>
      <c r="DD381" s="72">
        <v>0</v>
      </c>
      <c r="DE381" s="72">
        <v>0</v>
      </c>
      <c r="DF381" s="72">
        <v>0</v>
      </c>
      <c r="DG381" s="72">
        <v>0</v>
      </c>
      <c r="DH381" s="72">
        <v>0</v>
      </c>
      <c r="DI381" s="72">
        <v>0</v>
      </c>
      <c r="DJ381" s="72">
        <v>0</v>
      </c>
      <c r="DK381" s="72">
        <v>0</v>
      </c>
      <c r="DL381" s="72">
        <v>0</v>
      </c>
      <c r="DM381" s="72">
        <v>0</v>
      </c>
      <c r="DN381" s="72">
        <v>0</v>
      </c>
      <c r="DO381" s="72">
        <v>0</v>
      </c>
      <c r="DP381" s="72">
        <v>0</v>
      </c>
      <c r="DQ381" s="72">
        <v>0</v>
      </c>
      <c r="DR381" s="72">
        <v>0</v>
      </c>
      <c r="DS381" s="72">
        <v>0</v>
      </c>
      <c r="DT381" s="72">
        <v>0</v>
      </c>
      <c r="DU381" s="72">
        <v>0</v>
      </c>
      <c r="DV381" s="72">
        <v>0</v>
      </c>
      <c r="DW381" s="72">
        <v>0</v>
      </c>
      <c r="DX381" s="72">
        <v>0</v>
      </c>
      <c r="DY381" s="72">
        <v>0</v>
      </c>
      <c r="DZ381" s="72">
        <v>0</v>
      </c>
      <c r="EA381" s="72">
        <v>0</v>
      </c>
      <c r="EB381" s="72">
        <v>0</v>
      </c>
      <c r="EC381" s="72">
        <v>0</v>
      </c>
      <c r="ED381" s="72">
        <v>0</v>
      </c>
      <c r="EE381" s="72">
        <v>0</v>
      </c>
      <c r="EF381" s="72">
        <v>0</v>
      </c>
      <c r="EG381" s="72">
        <v>0</v>
      </c>
      <c r="EH381" s="72">
        <v>0</v>
      </c>
      <c r="EI381" s="72">
        <v>0</v>
      </c>
      <c r="EJ381" s="72">
        <v>0</v>
      </c>
      <c r="EK381" s="72">
        <v>0</v>
      </c>
      <c r="EL381" s="72">
        <v>0</v>
      </c>
    </row>
    <row r="382" spans="1:142" x14ac:dyDescent="0.35">
      <c r="A382" s="59">
        <f>Данные!A382</f>
        <v>5791</v>
      </c>
      <c r="B382" s="59">
        <f>Данные!B382</f>
        <v>2020</v>
      </c>
      <c r="C382" s="59" t="str">
        <f>Данные!C382</f>
        <v>компьютерных технологий и электронного обучения</v>
      </c>
      <c r="D382" s="59" t="str">
        <f>Данные!D382</f>
        <v>Серегин Александр Николаевич</v>
      </c>
      <c r="E382" s="59" t="str">
        <f>Данные!E382</f>
        <v>кандидат технических наук</v>
      </c>
      <c r="F382" s="59" t="str">
        <f>Данные!F382</f>
        <v>внешний</v>
      </c>
      <c r="G382" s="59">
        <f>Данные!G382</f>
        <v>1</v>
      </c>
      <c r="H382" s="59" t="str">
        <f>Данные!H382</f>
        <v>4 курс 2017 год/пост</v>
      </c>
      <c r="I382" s="59" t="str">
        <f>Данные!I382</f>
        <v>Руководство ВКР</v>
      </c>
      <c r="J382" s="59">
        <f>Данные!J382</f>
        <v>0</v>
      </c>
      <c r="K382" s="59">
        <f>Данные!K382</f>
        <v>0</v>
      </c>
      <c r="L382" s="59">
        <f>Данные!L382</f>
        <v>0</v>
      </c>
      <c r="M382" s="60">
        <f t="shared" si="45"/>
        <v>0</v>
      </c>
      <c r="N382" s="60">
        <f t="shared" ca="1" si="46"/>
        <v>10.91</v>
      </c>
      <c r="O382" s="60">
        <f t="shared" ca="1" si="47"/>
        <v>6.75</v>
      </c>
      <c r="P382" s="60">
        <f t="shared" ca="1" si="48"/>
        <v>6.75</v>
      </c>
      <c r="Q382" s="54">
        <f>Данные!Q382</f>
        <v>0</v>
      </c>
      <c r="R382" s="54">
        <f>Данные!R382</f>
        <v>0</v>
      </c>
      <c r="S382" s="54">
        <f>Данные!S382</f>
        <v>0</v>
      </c>
      <c r="T382" s="54">
        <f>Данные!T382</f>
        <v>0</v>
      </c>
      <c r="U382" s="54">
        <f>Данные!U382</f>
        <v>0</v>
      </c>
      <c r="V382" s="54">
        <f>Данные!V382</f>
        <v>100</v>
      </c>
      <c r="W382" s="54">
        <f ca="1">Данные!W382</f>
        <v>27</v>
      </c>
      <c r="X382" s="54" t="str">
        <f ca="1">Данные!X382</f>
        <v>1</v>
      </c>
      <c r="Y382" s="54" t="str">
        <f ca="1">Данные!Y382</f>
        <v>2</v>
      </c>
      <c r="Z382" s="54">
        <f>Данные!Z382</f>
        <v>0</v>
      </c>
      <c r="AA382" s="54">
        <f>Данные!AA382</f>
        <v>0</v>
      </c>
      <c r="AB382" s="101">
        <f t="shared" si="49"/>
        <v>900</v>
      </c>
      <c r="AC382" s="101" t="str">
        <f t="shared" si="50"/>
        <v>ИВТ (бак)</v>
      </c>
      <c r="AD382" s="101" t="str">
        <f t="shared" si="51"/>
        <v/>
      </c>
      <c r="AE382" s="102">
        <f t="shared" ca="1" si="52"/>
        <v>124.41</v>
      </c>
      <c r="AF382" s="103">
        <f t="shared" ca="1" si="53"/>
        <v>0.13823333333333332</v>
      </c>
      <c r="AG382" s="101"/>
      <c r="AH382" s="101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Q382" s="72">
        <v>0</v>
      </c>
      <c r="BR382" s="72">
        <v>0</v>
      </c>
      <c r="BS382" s="72">
        <v>0</v>
      </c>
      <c r="BT382" s="72">
        <v>0</v>
      </c>
      <c r="BU382" s="72">
        <v>0</v>
      </c>
      <c r="BV382" s="72">
        <v>0</v>
      </c>
      <c r="BW382" s="72">
        <v>0</v>
      </c>
      <c r="BX382" s="72">
        <v>0</v>
      </c>
      <c r="BY382" s="72">
        <v>0</v>
      </c>
      <c r="BZ382" s="72">
        <v>0</v>
      </c>
      <c r="CA382" s="72">
        <v>0</v>
      </c>
      <c r="CB382" s="72">
        <v>0</v>
      </c>
      <c r="CC382" s="72">
        <v>0</v>
      </c>
      <c r="CD382" s="72">
        <v>0</v>
      </c>
      <c r="CE382" s="72">
        <v>0</v>
      </c>
      <c r="CF382" s="72">
        <v>0</v>
      </c>
      <c r="CG382" s="72">
        <v>0</v>
      </c>
      <c r="CH382" s="72">
        <v>0</v>
      </c>
      <c r="CI382" s="72">
        <v>0</v>
      </c>
      <c r="CJ382" s="72">
        <v>0</v>
      </c>
      <c r="CK382" s="72">
        <v>0</v>
      </c>
      <c r="CL382" s="72">
        <v>0</v>
      </c>
      <c r="CM382" s="72">
        <v>0</v>
      </c>
      <c r="CN382" s="72">
        <v>0</v>
      </c>
      <c r="CO382" s="72">
        <v>0</v>
      </c>
      <c r="CP382" s="72">
        <v>0</v>
      </c>
      <c r="CQ382" s="72">
        <v>0</v>
      </c>
      <c r="CR382" s="72">
        <v>0</v>
      </c>
      <c r="CS382" s="72">
        <v>0</v>
      </c>
      <c r="CT382" s="72">
        <v>0</v>
      </c>
      <c r="CU382" s="72">
        <v>0</v>
      </c>
      <c r="CV382" s="72">
        <v>0</v>
      </c>
      <c r="CW382" s="72">
        <v>0</v>
      </c>
      <c r="CX382" s="72">
        <v>0</v>
      </c>
      <c r="CY382" s="72">
        <v>0</v>
      </c>
      <c r="CZ382" s="72">
        <v>0</v>
      </c>
      <c r="DA382" s="72">
        <v>0</v>
      </c>
      <c r="DB382" s="72">
        <v>0</v>
      </c>
      <c r="DC382" s="72">
        <v>0</v>
      </c>
      <c r="DD382" s="72">
        <v>0</v>
      </c>
      <c r="DE382" s="72">
        <v>0</v>
      </c>
      <c r="DF382" s="72">
        <v>0</v>
      </c>
      <c r="DG382" s="72">
        <v>0</v>
      </c>
      <c r="DH382" s="72">
        <v>0</v>
      </c>
      <c r="DI382" s="72">
        <v>0</v>
      </c>
      <c r="DJ382" s="72">
        <v>0</v>
      </c>
      <c r="DK382" s="72">
        <v>0</v>
      </c>
      <c r="DL382" s="72">
        <v>0</v>
      </c>
      <c r="DM382" s="72">
        <v>0</v>
      </c>
      <c r="DN382" s="72">
        <v>0</v>
      </c>
      <c r="DO382" s="72">
        <v>0</v>
      </c>
      <c r="DP382" s="72">
        <v>0</v>
      </c>
      <c r="DQ382" s="72">
        <v>0</v>
      </c>
      <c r="DR382" s="72">
        <v>0</v>
      </c>
      <c r="DS382" s="72">
        <v>0</v>
      </c>
      <c r="DT382" s="72">
        <v>0</v>
      </c>
      <c r="DU382" s="72">
        <v>0</v>
      </c>
      <c r="DV382" s="72">
        <v>0</v>
      </c>
      <c r="DW382" s="72">
        <v>0</v>
      </c>
      <c r="DX382" s="72">
        <v>0</v>
      </c>
      <c r="DY382" s="72">
        <v>0</v>
      </c>
      <c r="DZ382" s="72">
        <v>0</v>
      </c>
      <c r="EA382" s="72">
        <v>0</v>
      </c>
      <c r="EB382" s="72">
        <v>0</v>
      </c>
      <c r="EC382" s="72">
        <v>0</v>
      </c>
      <c r="ED382" s="72">
        <v>0</v>
      </c>
      <c r="EE382" s="72">
        <v>0</v>
      </c>
      <c r="EF382" s="72">
        <v>0</v>
      </c>
      <c r="EG382" s="72">
        <v>0</v>
      </c>
      <c r="EH382" s="72">
        <v>0</v>
      </c>
      <c r="EI382" s="72">
        <v>0</v>
      </c>
      <c r="EJ382" s="72">
        <v>0</v>
      </c>
      <c r="EK382" s="72">
        <v>0</v>
      </c>
      <c r="EL382" s="72">
        <v>0</v>
      </c>
    </row>
    <row r="383" spans="1:142" x14ac:dyDescent="0.35">
      <c r="A383" s="59">
        <f>Данные!A383</f>
        <v>5791</v>
      </c>
      <c r="B383" s="59">
        <f>Данные!B383</f>
        <v>2020</v>
      </c>
      <c r="C383" s="59" t="str">
        <f>Данные!C383</f>
        <v>компьютерных технологий и электронного обучения</v>
      </c>
      <c r="D383" s="59" t="str">
        <f>Данные!D383</f>
        <v>Абрамян Геннадий Владимирович</v>
      </c>
      <c r="E383" s="59" t="str">
        <f>Данные!E383</f>
        <v>доктор педагогических наук</v>
      </c>
      <c r="F383" s="59" t="str">
        <f>Данные!F383</f>
        <v>профессор</v>
      </c>
      <c r="G383" s="59">
        <f>Данные!G383</f>
        <v>1</v>
      </c>
      <c r="H383" s="59" t="str">
        <f>Данные!H383</f>
        <v>4 курс 2017 год/пост</v>
      </c>
      <c r="I383" s="59" t="str">
        <f>Данные!I383</f>
        <v>Руководство ВКР</v>
      </c>
      <c r="J383" s="59">
        <f>Данные!J383</f>
        <v>0</v>
      </c>
      <c r="K383" s="59">
        <f>Данные!K383</f>
        <v>0</v>
      </c>
      <c r="L383" s="59">
        <f>Данные!L383</f>
        <v>0</v>
      </c>
      <c r="M383" s="60">
        <f t="shared" si="45"/>
        <v>0</v>
      </c>
      <c r="N383" s="60">
        <f t="shared" ca="1" si="46"/>
        <v>10.91</v>
      </c>
      <c r="O383" s="60">
        <f t="shared" ca="1" si="47"/>
        <v>6.75</v>
      </c>
      <c r="P383" s="60">
        <f t="shared" ca="1" si="48"/>
        <v>6.75</v>
      </c>
      <c r="Q383" s="54">
        <f>Данные!Q383</f>
        <v>0</v>
      </c>
      <c r="R383" s="54">
        <f>Данные!R383</f>
        <v>0</v>
      </c>
      <c r="S383" s="54">
        <f>Данные!S383</f>
        <v>0</v>
      </c>
      <c r="T383" s="54">
        <f>Данные!T383</f>
        <v>0</v>
      </c>
      <c r="U383" s="54">
        <f>Данные!U383</f>
        <v>0</v>
      </c>
      <c r="V383" s="54">
        <f>Данные!V383</f>
        <v>20</v>
      </c>
      <c r="W383" s="54">
        <f ca="1">Данные!W383</f>
        <v>27</v>
      </c>
      <c r="X383" s="54" t="str">
        <f ca="1">Данные!X383</f>
        <v>1</v>
      </c>
      <c r="Y383" s="54" t="str">
        <f ca="1">Данные!Y383</f>
        <v>2</v>
      </c>
      <c r="Z383" s="54">
        <f>Данные!Z383</f>
        <v>0</v>
      </c>
      <c r="AA383" s="54">
        <f>Данные!AA383</f>
        <v>0</v>
      </c>
      <c r="AB383" s="101">
        <f t="shared" si="49"/>
        <v>750</v>
      </c>
      <c r="AC383" s="101" t="str">
        <f t="shared" si="50"/>
        <v>ИВТ (бак)</v>
      </c>
      <c r="AD383" s="101" t="str">
        <f t="shared" si="51"/>
        <v/>
      </c>
      <c r="AE383" s="102">
        <f t="shared" ca="1" si="52"/>
        <v>44.41</v>
      </c>
      <c r="AF383" s="103">
        <f t="shared" ca="1" si="53"/>
        <v>5.9213333333333326E-2</v>
      </c>
      <c r="AG383" s="101"/>
      <c r="AH383" s="101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Q383" s="72">
        <v>0</v>
      </c>
      <c r="BR383" s="72">
        <v>0</v>
      </c>
      <c r="BS383" s="72">
        <v>0</v>
      </c>
      <c r="BT383" s="72">
        <v>0</v>
      </c>
      <c r="BU383" s="72">
        <v>0</v>
      </c>
      <c r="BV383" s="72">
        <v>0</v>
      </c>
      <c r="BW383" s="72">
        <v>0</v>
      </c>
      <c r="BX383" s="72">
        <v>0</v>
      </c>
      <c r="BY383" s="72">
        <v>0</v>
      </c>
      <c r="BZ383" s="72">
        <v>0</v>
      </c>
      <c r="CA383" s="72">
        <v>0</v>
      </c>
      <c r="CB383" s="72">
        <v>0</v>
      </c>
      <c r="CC383" s="72">
        <v>0</v>
      </c>
      <c r="CD383" s="72">
        <v>0</v>
      </c>
      <c r="CE383" s="72">
        <v>0</v>
      </c>
      <c r="CF383" s="72">
        <v>0</v>
      </c>
      <c r="CG383" s="72">
        <v>0</v>
      </c>
      <c r="CH383" s="72">
        <v>0</v>
      </c>
      <c r="CI383" s="72">
        <v>0</v>
      </c>
      <c r="CJ383" s="72">
        <v>0</v>
      </c>
      <c r="CK383" s="72">
        <v>0</v>
      </c>
      <c r="CL383" s="72">
        <v>0</v>
      </c>
      <c r="CM383" s="72">
        <v>0</v>
      </c>
      <c r="CN383" s="72">
        <v>0</v>
      </c>
      <c r="CO383" s="72">
        <v>0</v>
      </c>
      <c r="CP383" s="72">
        <v>0</v>
      </c>
      <c r="CQ383" s="72">
        <v>0</v>
      </c>
      <c r="CR383" s="72">
        <v>0</v>
      </c>
      <c r="CS383" s="72">
        <v>0</v>
      </c>
      <c r="CT383" s="72">
        <v>0</v>
      </c>
      <c r="CU383" s="72">
        <v>0</v>
      </c>
      <c r="CV383" s="72">
        <v>0</v>
      </c>
      <c r="CW383" s="72">
        <v>0</v>
      </c>
      <c r="CX383" s="72">
        <v>0</v>
      </c>
      <c r="CY383" s="72">
        <v>0</v>
      </c>
      <c r="CZ383" s="72">
        <v>0</v>
      </c>
      <c r="DA383" s="72">
        <v>0</v>
      </c>
      <c r="DB383" s="72">
        <v>0</v>
      </c>
      <c r="DC383" s="72">
        <v>0</v>
      </c>
      <c r="DD383" s="72">
        <v>0</v>
      </c>
      <c r="DE383" s="72">
        <v>0</v>
      </c>
      <c r="DF383" s="72">
        <v>0</v>
      </c>
      <c r="DG383" s="72">
        <v>0</v>
      </c>
      <c r="DH383" s="72">
        <v>0</v>
      </c>
      <c r="DI383" s="72">
        <v>0</v>
      </c>
      <c r="DJ383" s="72">
        <v>0</v>
      </c>
      <c r="DK383" s="72">
        <v>0</v>
      </c>
      <c r="DL383" s="72">
        <v>0</v>
      </c>
      <c r="DM383" s="72">
        <v>0</v>
      </c>
      <c r="DN383" s="72">
        <v>0</v>
      </c>
      <c r="DO383" s="72">
        <v>0</v>
      </c>
      <c r="DP383" s="72">
        <v>0</v>
      </c>
      <c r="DQ383" s="72">
        <v>0</v>
      </c>
      <c r="DR383" s="72">
        <v>0</v>
      </c>
      <c r="DS383" s="72">
        <v>0</v>
      </c>
      <c r="DT383" s="72">
        <v>0</v>
      </c>
      <c r="DU383" s="72">
        <v>0</v>
      </c>
      <c r="DV383" s="72">
        <v>0</v>
      </c>
      <c r="DW383" s="72">
        <v>0</v>
      </c>
      <c r="DX383" s="72">
        <v>0</v>
      </c>
      <c r="DY383" s="72">
        <v>0</v>
      </c>
      <c r="DZ383" s="72">
        <v>0</v>
      </c>
      <c r="EA383" s="72">
        <v>0</v>
      </c>
      <c r="EB383" s="72">
        <v>0</v>
      </c>
      <c r="EC383" s="72">
        <v>0</v>
      </c>
      <c r="ED383" s="72">
        <v>0</v>
      </c>
      <c r="EE383" s="72">
        <v>0</v>
      </c>
      <c r="EF383" s="72">
        <v>0</v>
      </c>
      <c r="EG383" s="72">
        <v>0</v>
      </c>
      <c r="EH383" s="72">
        <v>0</v>
      </c>
      <c r="EI383" s="72">
        <v>0</v>
      </c>
      <c r="EJ383" s="72">
        <v>0</v>
      </c>
      <c r="EK383" s="72">
        <v>0</v>
      </c>
      <c r="EL383" s="72">
        <v>0</v>
      </c>
    </row>
    <row r="384" spans="1:142" x14ac:dyDescent="0.35">
      <c r="A384" s="59">
        <f>Данные!A384</f>
        <v>5791</v>
      </c>
      <c r="B384" s="59">
        <f>Данные!B384</f>
        <v>2020</v>
      </c>
      <c r="C384" s="59" t="str">
        <f>Данные!C384</f>
        <v>компьютерных технологий и электронного обучения</v>
      </c>
      <c r="D384" s="59" t="str">
        <f>Данные!D384</f>
        <v>Жуков Николай Николаевич</v>
      </c>
      <c r="E384" s="59" t="str">
        <f>Данные!E384</f>
        <v>нет</v>
      </c>
      <c r="F384" s="59" t="str">
        <f>Данные!F384</f>
        <v>ассистент</v>
      </c>
      <c r="G384" s="59">
        <f>Данные!G384</f>
        <v>1</v>
      </c>
      <c r="H384" s="59" t="str">
        <f>Данные!H384</f>
        <v>4 курс 2017 год/пост</v>
      </c>
      <c r="I384" s="59" t="str">
        <f>Данные!I384</f>
        <v>Руководство ВКР</v>
      </c>
      <c r="J384" s="59">
        <f>Данные!J384</f>
        <v>0</v>
      </c>
      <c r="K384" s="59">
        <f>Данные!K384</f>
        <v>0</v>
      </c>
      <c r="L384" s="59">
        <f>Данные!L384</f>
        <v>0</v>
      </c>
      <c r="M384" s="60">
        <f t="shared" si="45"/>
        <v>0</v>
      </c>
      <c r="N384" s="60">
        <f t="shared" ca="1" si="46"/>
        <v>10.91</v>
      </c>
      <c r="O384" s="60">
        <f t="shared" ca="1" si="47"/>
        <v>6.75</v>
      </c>
      <c r="P384" s="60">
        <f t="shared" ca="1" si="48"/>
        <v>6.75</v>
      </c>
      <c r="Q384" s="54">
        <f>Данные!Q384</f>
        <v>0</v>
      </c>
      <c r="R384" s="54">
        <f>Данные!R384</f>
        <v>0</v>
      </c>
      <c r="S384" s="54">
        <f>Данные!S384</f>
        <v>0</v>
      </c>
      <c r="T384" s="54">
        <f>Данные!T384</f>
        <v>0</v>
      </c>
      <c r="U384" s="54">
        <f>Данные!U384</f>
        <v>0</v>
      </c>
      <c r="V384" s="54">
        <f>Данные!V384</f>
        <v>0</v>
      </c>
      <c r="W384" s="54">
        <f ca="1">Данные!W384</f>
        <v>27</v>
      </c>
      <c r="X384" s="54" t="str">
        <f ca="1">Данные!X384</f>
        <v>1</v>
      </c>
      <c r="Y384" s="54" t="str">
        <f ca="1">Данные!Y384</f>
        <v>2</v>
      </c>
      <c r="Z384" s="54">
        <f>Данные!Z384</f>
        <v>0</v>
      </c>
      <c r="AA384" s="54">
        <f>Данные!AA384</f>
        <v>0</v>
      </c>
      <c r="AB384" s="101">
        <f t="shared" si="49"/>
        <v>900</v>
      </c>
      <c r="AC384" s="101" t="str">
        <f t="shared" si="50"/>
        <v>ИВТ (бак)</v>
      </c>
      <c r="AD384" s="101" t="str">
        <f t="shared" si="51"/>
        <v/>
      </c>
      <c r="AE384" s="102">
        <f t="shared" ca="1" si="52"/>
        <v>24.41</v>
      </c>
      <c r="AF384" s="103">
        <f t="shared" ca="1" si="53"/>
        <v>2.7122222222222221E-2</v>
      </c>
      <c r="AG384" s="101"/>
      <c r="AH384" s="101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Q384" s="72">
        <v>0</v>
      </c>
      <c r="BR384" s="72">
        <v>0</v>
      </c>
      <c r="BS384" s="72">
        <v>0</v>
      </c>
      <c r="BT384" s="72">
        <v>0</v>
      </c>
      <c r="BU384" s="72">
        <v>0</v>
      </c>
      <c r="BV384" s="72">
        <v>0</v>
      </c>
      <c r="BW384" s="72">
        <v>0</v>
      </c>
      <c r="BX384" s="72">
        <v>0</v>
      </c>
      <c r="BY384" s="72">
        <v>0</v>
      </c>
      <c r="BZ384" s="72">
        <v>0</v>
      </c>
      <c r="CA384" s="72">
        <v>0</v>
      </c>
      <c r="CB384" s="72">
        <v>0</v>
      </c>
      <c r="CC384" s="72">
        <v>0</v>
      </c>
      <c r="CD384" s="72">
        <v>0</v>
      </c>
      <c r="CE384" s="72">
        <v>0</v>
      </c>
      <c r="CF384" s="72">
        <v>0</v>
      </c>
      <c r="CG384" s="72">
        <v>0</v>
      </c>
      <c r="CH384" s="72">
        <v>0</v>
      </c>
      <c r="CI384" s="72">
        <v>0</v>
      </c>
      <c r="CJ384" s="72">
        <v>0</v>
      </c>
      <c r="CK384" s="72">
        <v>0</v>
      </c>
      <c r="CL384" s="72">
        <v>0</v>
      </c>
      <c r="CM384" s="72">
        <v>0</v>
      </c>
      <c r="CN384" s="72">
        <v>0</v>
      </c>
      <c r="CO384" s="72">
        <v>0</v>
      </c>
      <c r="CP384" s="72">
        <v>0</v>
      </c>
      <c r="CQ384" s="72">
        <v>0</v>
      </c>
      <c r="CR384" s="72">
        <v>0</v>
      </c>
      <c r="CS384" s="72">
        <v>0</v>
      </c>
      <c r="CT384" s="72">
        <v>0</v>
      </c>
      <c r="CU384" s="72">
        <v>0</v>
      </c>
      <c r="CV384" s="72">
        <v>0</v>
      </c>
      <c r="CW384" s="72">
        <v>0</v>
      </c>
      <c r="CX384" s="72">
        <v>0</v>
      </c>
      <c r="CY384" s="72">
        <v>0</v>
      </c>
      <c r="CZ384" s="72">
        <v>0</v>
      </c>
      <c r="DA384" s="72">
        <v>0</v>
      </c>
      <c r="DB384" s="72">
        <v>0</v>
      </c>
      <c r="DC384" s="72">
        <v>0</v>
      </c>
      <c r="DD384" s="72">
        <v>0</v>
      </c>
      <c r="DE384" s="72">
        <v>0</v>
      </c>
      <c r="DF384" s="72">
        <v>0</v>
      </c>
      <c r="DG384" s="72">
        <v>0</v>
      </c>
      <c r="DH384" s="72">
        <v>0</v>
      </c>
      <c r="DI384" s="72">
        <v>0</v>
      </c>
      <c r="DJ384" s="72">
        <v>0</v>
      </c>
      <c r="DK384" s="72">
        <v>0</v>
      </c>
      <c r="DL384" s="72">
        <v>0</v>
      </c>
      <c r="DM384" s="72">
        <v>0</v>
      </c>
      <c r="DN384" s="72">
        <v>0</v>
      </c>
      <c r="DO384" s="72">
        <v>0</v>
      </c>
      <c r="DP384" s="72">
        <v>0</v>
      </c>
      <c r="DQ384" s="72">
        <v>0</v>
      </c>
      <c r="DR384" s="72">
        <v>0</v>
      </c>
      <c r="DS384" s="72">
        <v>0</v>
      </c>
      <c r="DT384" s="72">
        <v>0</v>
      </c>
      <c r="DU384" s="72">
        <v>0</v>
      </c>
      <c r="DV384" s="72">
        <v>0</v>
      </c>
      <c r="DW384" s="72">
        <v>0</v>
      </c>
      <c r="DX384" s="72">
        <v>0</v>
      </c>
      <c r="DY384" s="72">
        <v>0</v>
      </c>
      <c r="DZ384" s="72">
        <v>0</v>
      </c>
      <c r="EA384" s="72">
        <v>0</v>
      </c>
      <c r="EB384" s="72">
        <v>0</v>
      </c>
      <c r="EC384" s="72">
        <v>0</v>
      </c>
      <c r="ED384" s="72">
        <v>0</v>
      </c>
      <c r="EE384" s="72">
        <v>0</v>
      </c>
      <c r="EF384" s="72">
        <v>0</v>
      </c>
      <c r="EG384" s="72">
        <v>0</v>
      </c>
      <c r="EH384" s="72">
        <v>0</v>
      </c>
      <c r="EI384" s="72">
        <v>0</v>
      </c>
      <c r="EJ384" s="72">
        <v>0</v>
      </c>
      <c r="EK384" s="72">
        <v>0</v>
      </c>
      <c r="EL384" s="72">
        <v>0</v>
      </c>
    </row>
    <row r="385" spans="1:142" x14ac:dyDescent="0.35">
      <c r="A385" s="59">
        <f>Данные!A385</f>
        <v>5791</v>
      </c>
      <c r="B385" s="59">
        <f>Данные!B385</f>
        <v>2020</v>
      </c>
      <c r="C385" s="59" t="str">
        <f>Данные!C385</f>
        <v>компьютерных технологий и электронного обучения</v>
      </c>
      <c r="D385" s="59" t="str">
        <f>Данные!D385</f>
        <v>Копыльцов Александр Васильевич</v>
      </c>
      <c r="E385" s="59" t="str">
        <f>Данные!E385</f>
        <v>доктор технических наук</v>
      </c>
      <c r="F385" s="59" t="str">
        <f>Данные!F385</f>
        <v>внешний</v>
      </c>
      <c r="G385" s="59">
        <f>Данные!G385</f>
        <v>1</v>
      </c>
      <c r="H385" s="59" t="str">
        <f>Данные!H385</f>
        <v>4 курс 2017 год/пост</v>
      </c>
      <c r="I385" s="59" t="str">
        <f>Данные!I385</f>
        <v>Участие в ГЭК (защита, экзамен)</v>
      </c>
      <c r="J385" s="59">
        <f>Данные!J385</f>
        <v>0</v>
      </c>
      <c r="K385" s="59">
        <f>Данные!K385</f>
        <v>0</v>
      </c>
      <c r="L385" s="59">
        <f>Данные!L385</f>
        <v>0</v>
      </c>
      <c r="M385" s="60">
        <f t="shared" si="45"/>
        <v>0</v>
      </c>
      <c r="N385" s="60">
        <f t="shared" ca="1" si="46"/>
        <v>10.91</v>
      </c>
      <c r="O385" s="60">
        <f t="shared" ca="1" si="47"/>
        <v>6.75</v>
      </c>
      <c r="P385" s="60">
        <f t="shared" ca="1" si="48"/>
        <v>6.75</v>
      </c>
      <c r="Q385" s="54">
        <f>Данные!Q385</f>
        <v>0</v>
      </c>
      <c r="R385" s="54">
        <f>Данные!R385</f>
        <v>5</v>
      </c>
      <c r="S385" s="54">
        <f>Данные!S385</f>
        <v>4</v>
      </c>
      <c r="T385" s="54">
        <f>Данные!T385</f>
        <v>0</v>
      </c>
      <c r="U385" s="54">
        <f>Данные!U385</f>
        <v>0</v>
      </c>
      <c r="V385" s="54">
        <f>Данные!V385</f>
        <v>0</v>
      </c>
      <c r="W385" s="54">
        <f ca="1">Данные!W385</f>
        <v>27</v>
      </c>
      <c r="X385" s="54" t="str">
        <f ca="1">Данные!X385</f>
        <v>1</v>
      </c>
      <c r="Y385" s="54" t="str">
        <f ca="1">Данные!Y385</f>
        <v>2</v>
      </c>
      <c r="Z385" s="54">
        <f>Данные!Z385</f>
        <v>0</v>
      </c>
      <c r="AA385" s="54">
        <f>Данные!AA385</f>
        <v>0</v>
      </c>
      <c r="AB385" s="101">
        <f t="shared" si="49"/>
        <v>900</v>
      </c>
      <c r="AC385" s="101" t="str">
        <f t="shared" si="50"/>
        <v>ИВТ (бак)</v>
      </c>
      <c r="AD385" s="101" t="str">
        <f t="shared" si="51"/>
        <v/>
      </c>
      <c r="AE385" s="102">
        <f t="shared" ca="1" si="52"/>
        <v>33.409999999999997</v>
      </c>
      <c r="AF385" s="103">
        <f t="shared" ca="1" si="53"/>
        <v>3.7122222222222216E-2</v>
      </c>
      <c r="AG385" s="101"/>
      <c r="AH385" s="101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Q385" s="72">
        <v>0</v>
      </c>
      <c r="BR385" s="72">
        <v>0</v>
      </c>
      <c r="BS385" s="72">
        <v>0</v>
      </c>
      <c r="BT385" s="72">
        <v>0</v>
      </c>
      <c r="BU385" s="72">
        <v>0</v>
      </c>
      <c r="BV385" s="72">
        <v>0</v>
      </c>
      <c r="BW385" s="72">
        <v>0</v>
      </c>
      <c r="BX385" s="72">
        <v>0</v>
      </c>
      <c r="BY385" s="72">
        <v>0</v>
      </c>
      <c r="BZ385" s="72">
        <v>0</v>
      </c>
      <c r="CA385" s="72">
        <v>0</v>
      </c>
      <c r="CB385" s="72">
        <v>0</v>
      </c>
      <c r="CC385" s="72">
        <v>0</v>
      </c>
      <c r="CD385" s="72">
        <v>0</v>
      </c>
      <c r="CE385" s="72">
        <v>0</v>
      </c>
      <c r="CF385" s="72">
        <v>0</v>
      </c>
      <c r="CG385" s="72">
        <v>0</v>
      </c>
      <c r="CH385" s="72">
        <v>0</v>
      </c>
      <c r="CI385" s="72">
        <v>0</v>
      </c>
      <c r="CJ385" s="72">
        <v>0</v>
      </c>
      <c r="CK385" s="72">
        <v>0</v>
      </c>
      <c r="CL385" s="72">
        <v>0</v>
      </c>
      <c r="CM385" s="72">
        <v>0</v>
      </c>
      <c r="CN385" s="72">
        <v>0</v>
      </c>
      <c r="CO385" s="72">
        <v>0</v>
      </c>
      <c r="CP385" s="72">
        <v>0</v>
      </c>
      <c r="CQ385" s="72">
        <v>0</v>
      </c>
      <c r="CR385" s="72">
        <v>0</v>
      </c>
      <c r="CS385" s="72">
        <v>0</v>
      </c>
      <c r="CT385" s="72">
        <v>0</v>
      </c>
      <c r="CU385" s="72">
        <v>0</v>
      </c>
      <c r="CV385" s="72">
        <v>0</v>
      </c>
      <c r="CW385" s="72">
        <v>0</v>
      </c>
      <c r="CX385" s="72">
        <v>0</v>
      </c>
      <c r="CY385" s="72">
        <v>0</v>
      </c>
      <c r="CZ385" s="72">
        <v>0</v>
      </c>
      <c r="DA385" s="72">
        <v>0</v>
      </c>
      <c r="DB385" s="72">
        <v>0</v>
      </c>
      <c r="DC385" s="72">
        <v>0</v>
      </c>
      <c r="DD385" s="72">
        <v>0</v>
      </c>
      <c r="DE385" s="72">
        <v>0</v>
      </c>
      <c r="DF385" s="72">
        <v>0</v>
      </c>
      <c r="DG385" s="72">
        <v>0</v>
      </c>
      <c r="DH385" s="72">
        <v>0</v>
      </c>
      <c r="DI385" s="72">
        <v>0</v>
      </c>
      <c r="DJ385" s="72">
        <v>0</v>
      </c>
      <c r="DK385" s="72">
        <v>0</v>
      </c>
      <c r="DL385" s="72">
        <v>0</v>
      </c>
      <c r="DM385" s="72">
        <v>0</v>
      </c>
      <c r="DN385" s="72">
        <v>0</v>
      </c>
      <c r="DO385" s="72">
        <v>0</v>
      </c>
      <c r="DP385" s="72">
        <v>0</v>
      </c>
      <c r="DQ385" s="72">
        <v>0</v>
      </c>
      <c r="DR385" s="72">
        <v>0</v>
      </c>
      <c r="DS385" s="72">
        <v>0</v>
      </c>
      <c r="DT385" s="72">
        <v>0</v>
      </c>
      <c r="DU385" s="72">
        <v>0</v>
      </c>
      <c r="DV385" s="72">
        <v>0</v>
      </c>
      <c r="DW385" s="72">
        <v>0</v>
      </c>
      <c r="DX385" s="72">
        <v>0</v>
      </c>
      <c r="DY385" s="72">
        <v>0</v>
      </c>
      <c r="DZ385" s="72">
        <v>0</v>
      </c>
      <c r="EA385" s="72">
        <v>0</v>
      </c>
      <c r="EB385" s="72">
        <v>0</v>
      </c>
      <c r="EC385" s="72">
        <v>0</v>
      </c>
      <c r="ED385" s="72">
        <v>0</v>
      </c>
      <c r="EE385" s="72">
        <v>0</v>
      </c>
      <c r="EF385" s="72">
        <v>0</v>
      </c>
      <c r="EG385" s="72">
        <v>0</v>
      </c>
      <c r="EH385" s="72">
        <v>0</v>
      </c>
      <c r="EI385" s="72">
        <v>0</v>
      </c>
      <c r="EJ385" s="72">
        <v>0</v>
      </c>
      <c r="EK385" s="72">
        <v>0</v>
      </c>
      <c r="EL385" s="72">
        <v>0</v>
      </c>
    </row>
    <row r="386" spans="1:142" x14ac:dyDescent="0.35">
      <c r="A386" s="59">
        <f>Данные!A386</f>
        <v>5791</v>
      </c>
      <c r="B386" s="59">
        <f>Данные!B386</f>
        <v>2020</v>
      </c>
      <c r="C386" s="59" t="str">
        <f>Данные!C386</f>
        <v>компьютерных технологий и электронного обучения</v>
      </c>
      <c r="D386" s="59" t="str">
        <f>Данные!D386</f>
        <v>Карпова Наталья Александровна</v>
      </c>
      <c r="E386" s="59" t="str">
        <f>Данные!E386</f>
        <v>кандидат технических наук</v>
      </c>
      <c r="F386" s="59" t="str">
        <f>Данные!F386</f>
        <v>доцент</v>
      </c>
      <c r="G386" s="59">
        <f>Данные!G386</f>
        <v>0.75</v>
      </c>
      <c r="H386" s="59" t="str">
        <f>Данные!H386</f>
        <v>4 курс 2017 год/пост</v>
      </c>
      <c r="I386" s="59" t="str">
        <f>Данные!I386</f>
        <v>Участие в ГЭК (защита, экзамен)</v>
      </c>
      <c r="J386" s="59">
        <f>Данные!J386</f>
        <v>0</v>
      </c>
      <c r="K386" s="59">
        <f>Данные!K386</f>
        <v>0</v>
      </c>
      <c r="L386" s="59">
        <f>Данные!L386</f>
        <v>0</v>
      </c>
      <c r="M386" s="60">
        <f t="shared" si="45"/>
        <v>0</v>
      </c>
      <c r="N386" s="60">
        <f t="shared" ca="1" si="46"/>
        <v>10.91</v>
      </c>
      <c r="O386" s="60">
        <f t="shared" ca="1" si="47"/>
        <v>6.75</v>
      </c>
      <c r="P386" s="60">
        <f t="shared" ca="1" si="48"/>
        <v>6.75</v>
      </c>
      <c r="Q386" s="54">
        <f>Данные!Q386</f>
        <v>0</v>
      </c>
      <c r="R386" s="54">
        <f>Данные!R386</f>
        <v>5</v>
      </c>
      <c r="S386" s="54">
        <f>Данные!S386</f>
        <v>4</v>
      </c>
      <c r="T386" s="54">
        <f>Данные!T386</f>
        <v>0</v>
      </c>
      <c r="U386" s="54">
        <f>Данные!U386</f>
        <v>0</v>
      </c>
      <c r="V386" s="54">
        <f>Данные!V386</f>
        <v>0</v>
      </c>
      <c r="W386" s="54">
        <f ca="1">Данные!W386</f>
        <v>27</v>
      </c>
      <c r="X386" s="54" t="str">
        <f ca="1">Данные!X386</f>
        <v>1</v>
      </c>
      <c r="Y386" s="54" t="str">
        <f ca="1">Данные!Y386</f>
        <v>2</v>
      </c>
      <c r="Z386" s="54">
        <f>Данные!Z386</f>
        <v>0</v>
      </c>
      <c r="AA386" s="54">
        <f>Данные!AA386</f>
        <v>0</v>
      </c>
      <c r="AB386" s="101">
        <f t="shared" si="49"/>
        <v>800</v>
      </c>
      <c r="AC386" s="101" t="str">
        <f t="shared" si="50"/>
        <v>ИВТ (бак)</v>
      </c>
      <c r="AD386" s="101" t="str">
        <f t="shared" si="51"/>
        <v/>
      </c>
      <c r="AE386" s="102">
        <f t="shared" ca="1" si="52"/>
        <v>33.409999999999997</v>
      </c>
      <c r="AF386" s="103">
        <f t="shared" ca="1" si="53"/>
        <v>4.1762499999999994E-2</v>
      </c>
      <c r="AG386" s="101"/>
      <c r="AH386" s="101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Q386" s="72">
        <v>0</v>
      </c>
      <c r="BR386" s="72">
        <v>0</v>
      </c>
      <c r="BS386" s="72">
        <v>0</v>
      </c>
      <c r="BT386" s="72">
        <v>0</v>
      </c>
      <c r="BU386" s="72">
        <v>0</v>
      </c>
      <c r="BV386" s="72">
        <v>0</v>
      </c>
      <c r="BW386" s="72">
        <v>0</v>
      </c>
      <c r="BX386" s="72">
        <v>0</v>
      </c>
      <c r="BY386" s="72">
        <v>0</v>
      </c>
      <c r="BZ386" s="72">
        <v>0</v>
      </c>
      <c r="CA386" s="72">
        <v>0</v>
      </c>
      <c r="CB386" s="72">
        <v>0</v>
      </c>
      <c r="CC386" s="72">
        <v>0</v>
      </c>
      <c r="CD386" s="72">
        <v>0</v>
      </c>
      <c r="CE386" s="72">
        <v>0</v>
      </c>
      <c r="CF386" s="72">
        <v>0</v>
      </c>
      <c r="CG386" s="72">
        <v>0</v>
      </c>
      <c r="CH386" s="72">
        <v>0</v>
      </c>
      <c r="CI386" s="72">
        <v>0</v>
      </c>
      <c r="CJ386" s="72">
        <v>0</v>
      </c>
      <c r="CK386" s="72">
        <v>0</v>
      </c>
      <c r="CL386" s="72">
        <v>0</v>
      </c>
      <c r="CM386" s="72">
        <v>0</v>
      </c>
      <c r="CN386" s="72">
        <v>0</v>
      </c>
      <c r="CO386" s="72">
        <v>0</v>
      </c>
      <c r="CP386" s="72">
        <v>0</v>
      </c>
      <c r="CQ386" s="72">
        <v>0</v>
      </c>
      <c r="CR386" s="72">
        <v>0</v>
      </c>
      <c r="CS386" s="72">
        <v>0</v>
      </c>
      <c r="CT386" s="72">
        <v>0</v>
      </c>
      <c r="CU386" s="72">
        <v>0</v>
      </c>
      <c r="CV386" s="72">
        <v>0</v>
      </c>
      <c r="CW386" s="72">
        <v>0</v>
      </c>
      <c r="CX386" s="72">
        <v>0</v>
      </c>
      <c r="CY386" s="72">
        <v>0</v>
      </c>
      <c r="CZ386" s="72">
        <v>0</v>
      </c>
      <c r="DA386" s="72">
        <v>0</v>
      </c>
      <c r="DB386" s="72">
        <v>0</v>
      </c>
      <c r="DC386" s="72">
        <v>0</v>
      </c>
      <c r="DD386" s="72">
        <v>0</v>
      </c>
      <c r="DE386" s="72">
        <v>0</v>
      </c>
      <c r="DF386" s="72">
        <v>0</v>
      </c>
      <c r="DG386" s="72">
        <v>0</v>
      </c>
      <c r="DH386" s="72">
        <v>0</v>
      </c>
      <c r="DI386" s="72">
        <v>0</v>
      </c>
      <c r="DJ386" s="72">
        <v>0</v>
      </c>
      <c r="DK386" s="72">
        <v>0</v>
      </c>
      <c r="DL386" s="72">
        <v>0</v>
      </c>
      <c r="DM386" s="72">
        <v>0</v>
      </c>
      <c r="DN386" s="72">
        <v>0</v>
      </c>
      <c r="DO386" s="72">
        <v>0</v>
      </c>
      <c r="DP386" s="72">
        <v>0</v>
      </c>
      <c r="DQ386" s="72">
        <v>0</v>
      </c>
      <c r="DR386" s="72">
        <v>0</v>
      </c>
      <c r="DS386" s="72">
        <v>0</v>
      </c>
      <c r="DT386" s="72">
        <v>0</v>
      </c>
      <c r="DU386" s="72">
        <v>0</v>
      </c>
      <c r="DV386" s="72">
        <v>0</v>
      </c>
      <c r="DW386" s="72">
        <v>0</v>
      </c>
      <c r="DX386" s="72">
        <v>0</v>
      </c>
      <c r="DY386" s="72">
        <v>0</v>
      </c>
      <c r="DZ386" s="72">
        <v>0</v>
      </c>
      <c r="EA386" s="72">
        <v>0</v>
      </c>
      <c r="EB386" s="72">
        <v>0</v>
      </c>
      <c r="EC386" s="72">
        <v>0</v>
      </c>
      <c r="ED386" s="72">
        <v>0</v>
      </c>
      <c r="EE386" s="72">
        <v>0</v>
      </c>
      <c r="EF386" s="72">
        <v>0</v>
      </c>
      <c r="EG386" s="72">
        <v>0</v>
      </c>
      <c r="EH386" s="72">
        <v>0</v>
      </c>
      <c r="EI386" s="72">
        <v>0</v>
      </c>
      <c r="EJ386" s="72">
        <v>0</v>
      </c>
      <c r="EK386" s="72">
        <v>0</v>
      </c>
      <c r="EL386" s="72">
        <v>0</v>
      </c>
    </row>
    <row r="387" spans="1:142" x14ac:dyDescent="0.35">
      <c r="A387" s="59">
        <f>Данные!A387</f>
        <v>5791</v>
      </c>
      <c r="B387" s="59">
        <f>Данные!B387</f>
        <v>2020</v>
      </c>
      <c r="C387" s="59" t="str">
        <f>Данные!C387</f>
        <v>компьютерных технологий и электронного обучения</v>
      </c>
      <c r="D387" s="59" t="str">
        <f>Данные!D387</f>
        <v>Власова Елена Зотиковна</v>
      </c>
      <c r="E387" s="59" t="str">
        <f>Данные!E387</f>
        <v>доктор педагогических наук</v>
      </c>
      <c r="F387" s="59" t="str">
        <f>Данные!F387</f>
        <v>заведующий кафедрой</v>
      </c>
      <c r="G387" s="59">
        <f>Данные!G387</f>
        <v>1</v>
      </c>
      <c r="H387" s="59" t="str">
        <f>Данные!H387</f>
        <v>4 курс 2017 год/пост</v>
      </c>
      <c r="I387" s="59" t="str">
        <f>Данные!I387</f>
        <v>Участие в ГЭК (защита, экзамен)</v>
      </c>
      <c r="J387" s="59">
        <f>Данные!J387</f>
        <v>0</v>
      </c>
      <c r="K387" s="59">
        <f>Данные!K387</f>
        <v>0</v>
      </c>
      <c r="L387" s="59">
        <f>Данные!L387</f>
        <v>0</v>
      </c>
      <c r="M387" s="60">
        <f t="shared" si="45"/>
        <v>0</v>
      </c>
      <c r="N387" s="60">
        <f t="shared" ca="1" si="46"/>
        <v>10.91</v>
      </c>
      <c r="O387" s="60">
        <f t="shared" ca="1" si="47"/>
        <v>6.75</v>
      </c>
      <c r="P387" s="60">
        <f t="shared" ca="1" si="48"/>
        <v>6.75</v>
      </c>
      <c r="Q387" s="54">
        <f>Данные!Q387</f>
        <v>0</v>
      </c>
      <c r="R387" s="54">
        <f>Данные!R387</f>
        <v>5</v>
      </c>
      <c r="S387" s="54">
        <f>Данные!S387</f>
        <v>2</v>
      </c>
      <c r="T387" s="54">
        <f>Данные!T387</f>
        <v>0</v>
      </c>
      <c r="U387" s="54">
        <f>Данные!U387</f>
        <v>0</v>
      </c>
      <c r="V387" s="54">
        <f>Данные!V387</f>
        <v>0</v>
      </c>
      <c r="W387" s="54">
        <f ca="1">Данные!W387</f>
        <v>27</v>
      </c>
      <c r="X387" s="54" t="str">
        <f ca="1">Данные!X387</f>
        <v>1</v>
      </c>
      <c r="Y387" s="54" t="str">
        <f ca="1">Данные!Y387</f>
        <v>2</v>
      </c>
      <c r="Z387" s="54">
        <f>Данные!Z387</f>
        <v>0</v>
      </c>
      <c r="AA387" s="54">
        <f>Данные!AA387</f>
        <v>0</v>
      </c>
      <c r="AB387" s="101">
        <f t="shared" si="49"/>
        <v>700</v>
      </c>
      <c r="AC387" s="101" t="str">
        <f t="shared" si="50"/>
        <v>ИВТ (бак)</v>
      </c>
      <c r="AD387" s="101" t="str">
        <f t="shared" si="51"/>
        <v/>
      </c>
      <c r="AE387" s="102">
        <f t="shared" ca="1" si="52"/>
        <v>31.41</v>
      </c>
      <c r="AF387" s="103">
        <f t="shared" ca="1" si="53"/>
        <v>4.4871428571428569E-2</v>
      </c>
      <c r="AG387" s="101"/>
      <c r="AH387" s="101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Q387" s="72">
        <v>0</v>
      </c>
      <c r="BR387" s="72">
        <v>0</v>
      </c>
      <c r="BS387" s="72">
        <v>0</v>
      </c>
      <c r="BT387" s="72">
        <v>0</v>
      </c>
      <c r="BU387" s="72">
        <v>0</v>
      </c>
      <c r="BV387" s="72">
        <v>0</v>
      </c>
      <c r="BW387" s="72">
        <v>0</v>
      </c>
      <c r="BX387" s="72">
        <v>0</v>
      </c>
      <c r="BY387" s="72">
        <v>0</v>
      </c>
      <c r="BZ387" s="72">
        <v>0</v>
      </c>
      <c r="CA387" s="72">
        <v>0</v>
      </c>
      <c r="CB387" s="72">
        <v>0</v>
      </c>
      <c r="CC387" s="72">
        <v>0</v>
      </c>
      <c r="CD387" s="72">
        <v>0</v>
      </c>
      <c r="CE387" s="72">
        <v>0</v>
      </c>
      <c r="CF387" s="72">
        <v>0</v>
      </c>
      <c r="CG387" s="72">
        <v>0</v>
      </c>
      <c r="CH387" s="72">
        <v>0</v>
      </c>
      <c r="CI387" s="72">
        <v>0</v>
      </c>
      <c r="CJ387" s="72">
        <v>0</v>
      </c>
      <c r="CK387" s="72">
        <v>0</v>
      </c>
      <c r="CL387" s="72">
        <v>0</v>
      </c>
      <c r="CM387" s="72">
        <v>0</v>
      </c>
      <c r="CN387" s="72">
        <v>0</v>
      </c>
      <c r="CO387" s="72">
        <v>0</v>
      </c>
      <c r="CP387" s="72">
        <v>0</v>
      </c>
      <c r="CQ387" s="72">
        <v>0</v>
      </c>
      <c r="CR387" s="72">
        <v>0</v>
      </c>
      <c r="CS387" s="72">
        <v>0</v>
      </c>
      <c r="CT387" s="72">
        <v>0</v>
      </c>
      <c r="CU387" s="72">
        <v>0</v>
      </c>
      <c r="CV387" s="72">
        <v>0</v>
      </c>
      <c r="CW387" s="72">
        <v>0</v>
      </c>
      <c r="CX387" s="72">
        <v>0</v>
      </c>
      <c r="CY387" s="72">
        <v>0</v>
      </c>
      <c r="CZ387" s="72">
        <v>0</v>
      </c>
      <c r="DA387" s="72">
        <v>0</v>
      </c>
      <c r="DB387" s="72">
        <v>0</v>
      </c>
      <c r="DC387" s="72">
        <v>0</v>
      </c>
      <c r="DD387" s="72">
        <v>0</v>
      </c>
      <c r="DE387" s="72">
        <v>0</v>
      </c>
      <c r="DF387" s="72">
        <v>0</v>
      </c>
      <c r="DG387" s="72">
        <v>0</v>
      </c>
      <c r="DH387" s="72">
        <v>0</v>
      </c>
      <c r="DI387" s="72">
        <v>0</v>
      </c>
      <c r="DJ387" s="72">
        <v>0</v>
      </c>
      <c r="DK387" s="72">
        <v>0</v>
      </c>
      <c r="DL387" s="72">
        <v>0</v>
      </c>
      <c r="DM387" s="72">
        <v>0</v>
      </c>
      <c r="DN387" s="72">
        <v>0</v>
      </c>
      <c r="DO387" s="72">
        <v>0</v>
      </c>
      <c r="DP387" s="72">
        <v>0</v>
      </c>
      <c r="DQ387" s="72">
        <v>0</v>
      </c>
      <c r="DR387" s="72">
        <v>0</v>
      </c>
      <c r="DS387" s="72">
        <v>0</v>
      </c>
      <c r="DT387" s="72">
        <v>0</v>
      </c>
      <c r="DU387" s="72">
        <v>0</v>
      </c>
      <c r="DV387" s="72">
        <v>0</v>
      </c>
      <c r="DW387" s="72">
        <v>0</v>
      </c>
      <c r="DX387" s="72">
        <v>0</v>
      </c>
      <c r="DY387" s="72">
        <v>0</v>
      </c>
      <c r="DZ387" s="72">
        <v>0</v>
      </c>
      <c r="EA387" s="72">
        <v>0</v>
      </c>
      <c r="EB387" s="72">
        <v>0</v>
      </c>
      <c r="EC387" s="72">
        <v>0</v>
      </c>
      <c r="ED387" s="72">
        <v>0</v>
      </c>
      <c r="EE387" s="72">
        <v>0</v>
      </c>
      <c r="EF387" s="72">
        <v>0</v>
      </c>
      <c r="EG387" s="72">
        <v>0</v>
      </c>
      <c r="EH387" s="72">
        <v>0</v>
      </c>
      <c r="EI387" s="72">
        <v>0</v>
      </c>
      <c r="EJ387" s="72">
        <v>0</v>
      </c>
      <c r="EK387" s="72">
        <v>0</v>
      </c>
      <c r="EL387" s="72">
        <v>0</v>
      </c>
    </row>
    <row r="388" spans="1:142" x14ac:dyDescent="0.35">
      <c r="A388" s="59">
        <f>Данные!A388</f>
        <v>6368</v>
      </c>
      <c r="B388" s="59">
        <f>Данные!B388</f>
        <v>2021</v>
      </c>
      <c r="C388" s="59" t="str">
        <f>Данные!C388</f>
        <v>компьютерных технологий и электронного обучения</v>
      </c>
      <c r="D388" s="59" t="str">
        <f>Данные!D388</f>
        <v>Авксентьева Елена Юрьевна</v>
      </c>
      <c r="E388" s="59" t="str">
        <f>Данные!E388</f>
        <v>кандидат педагогических наук</v>
      </c>
      <c r="F388" s="59" t="str">
        <f>Данные!F388</f>
        <v>доцент</v>
      </c>
      <c r="G388" s="59">
        <f>Данные!G388</f>
        <v>1</v>
      </c>
      <c r="H388" s="59" t="str">
        <f>Данные!H388</f>
        <v>4 курс 2018 год/пост</v>
      </c>
      <c r="I388" s="59" t="str">
        <f>Данные!I388</f>
        <v>Модуль "Системное и прикладное программное обеспечние". Программирование</v>
      </c>
      <c r="J388" s="59">
        <f>Данные!J388</f>
        <v>18</v>
      </c>
      <c r="K388" s="59">
        <f>Данные!K388</f>
        <v>0</v>
      </c>
      <c r="L388" s="59">
        <f>Данные!L388</f>
        <v>0</v>
      </c>
      <c r="M388" s="60">
        <f t="shared" ref="M388:M451" si="54">SUM(J388:L388)/10</f>
        <v>1.8</v>
      </c>
      <c r="N388" s="60">
        <f t="shared" ref="N388:N451" ca="1" si="55">2+(0.33*W388)</f>
        <v>14.870000000000001</v>
      </c>
      <c r="O388" s="60">
        <f t="shared" ref="O388:O451" ca="1" si="56">0.25*W388</f>
        <v>9.75</v>
      </c>
      <c r="P388" s="60">
        <f t="shared" ref="P388:P451" ca="1" si="57">0.25*W388</f>
        <v>9.75</v>
      </c>
      <c r="Q388" s="54">
        <f>Данные!Q388</f>
        <v>0</v>
      </c>
      <c r="R388" s="54">
        <f>Данные!R388</f>
        <v>0</v>
      </c>
      <c r="S388" s="54">
        <f>Данные!S388</f>
        <v>0</v>
      </c>
      <c r="T388" s="54">
        <f>Данные!T388</f>
        <v>0</v>
      </c>
      <c r="U388" s="54">
        <f>Данные!U388</f>
        <v>0</v>
      </c>
      <c r="V388" s="54">
        <f>Данные!V388</f>
        <v>0</v>
      </c>
      <c r="W388" s="54">
        <f ca="1">Данные!W388</f>
        <v>39</v>
      </c>
      <c r="X388" s="54" t="str">
        <f ca="1">Данные!X388</f>
        <v>2</v>
      </c>
      <c r="Y388" s="54" t="str">
        <f ca="1">Данные!Y388</f>
        <v>3</v>
      </c>
      <c r="Z388" s="54">
        <f>Данные!Z388</f>
        <v>0</v>
      </c>
      <c r="AA388" s="54">
        <f>Данные!AA388</f>
        <v>0</v>
      </c>
      <c r="AB388" s="101">
        <f t="shared" ref="AB388:AB451" si="58">VLOOKUP(F388, $BN$3:$BO$15, 2, 0)</f>
        <v>800</v>
      </c>
      <c r="AC388" s="101" t="str">
        <f t="shared" ref="AC388:AC451" si="59">IF(IFERROR(MATCH(H388, $AK$4:$BL$4, 0), 0)&gt;=1, "ИВТ (бак)", IF(IFERROR(MATCH(H388, $AK$5:$BL$5, 0), 0)&gt;=1, "КЭО (маг)", ""))</f>
        <v>ИВТ (бак)</v>
      </c>
      <c r="AD388" s="101" t="str">
        <f t="shared" ref="AD388:AD451" si="60">IF(IFERROR(MATCH(H388, $AK$4:$AN$4, 0), 0)=1, "2015–2016", IF(IFERROR(MATCH(H388, $AO$4:$AR$4, 0), 0)=1, "2016–2017", IF(IFERROR(MATCH(H388, $AS$4:$AV$4, 0), 0)=1, "2017–2018", IF(IFERROR(MATCH(H388, $AW$4:$AZ$4, 0), 0)=1, "2018–2019", IF(IFERROR(MATCH(H388, $BA$4:$BD$4, 0), 0)=1, "2019–2020", IF(IFERROR(MATCH(H388, $BE$4:$BH$4, 0), 0)=1, "2020–2021", IF(IFERROR(MATCH(H388, $BI$4:$BL$4, 0), 0)=1, "2021–2022", "")))))))</f>
        <v/>
      </c>
      <c r="AE388" s="102">
        <f t="shared" ref="AE388:AE451" ca="1" si="61">SUM(J388:V388)</f>
        <v>54.17</v>
      </c>
      <c r="AF388" s="103">
        <f t="shared" ca="1" si="53"/>
        <v>6.7712500000000009E-2</v>
      </c>
      <c r="AG388" s="101"/>
      <c r="AH388" s="101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Q388" s="72">
        <v>0</v>
      </c>
      <c r="BR388" s="72">
        <v>0</v>
      </c>
      <c r="BS388" s="72">
        <v>0</v>
      </c>
      <c r="BT388" s="72">
        <v>0</v>
      </c>
      <c r="BU388" s="72">
        <v>0</v>
      </c>
      <c r="BV388" s="72">
        <v>0</v>
      </c>
      <c r="BW388" s="72">
        <v>0</v>
      </c>
      <c r="BX388" s="72">
        <v>0</v>
      </c>
      <c r="BY388" s="72">
        <v>0</v>
      </c>
      <c r="BZ388" s="72">
        <v>0</v>
      </c>
      <c r="CA388" s="72">
        <v>0</v>
      </c>
      <c r="CB388" s="72">
        <v>0</v>
      </c>
      <c r="CC388" s="72">
        <v>0</v>
      </c>
      <c r="CD388" s="72">
        <v>0</v>
      </c>
      <c r="CE388" s="72">
        <v>0</v>
      </c>
      <c r="CF388" s="72">
        <v>0</v>
      </c>
      <c r="CG388" s="72">
        <v>0</v>
      </c>
      <c r="CH388" s="72">
        <v>0</v>
      </c>
      <c r="CI388" s="72">
        <v>0</v>
      </c>
      <c r="CJ388" s="72">
        <v>0</v>
      </c>
      <c r="CK388" s="72">
        <v>0</v>
      </c>
      <c r="CL388" s="72">
        <v>0</v>
      </c>
      <c r="CM388" s="72">
        <v>0</v>
      </c>
      <c r="CN388" s="72">
        <v>0</v>
      </c>
      <c r="CO388" s="72">
        <v>0</v>
      </c>
      <c r="CP388" s="72">
        <v>0</v>
      </c>
      <c r="CQ388" s="72">
        <v>0</v>
      </c>
      <c r="CR388" s="72">
        <v>0</v>
      </c>
      <c r="CS388" s="72">
        <v>0</v>
      </c>
      <c r="CT388" s="72">
        <v>0</v>
      </c>
      <c r="CU388" s="72">
        <v>0</v>
      </c>
      <c r="CV388" s="72">
        <v>0</v>
      </c>
      <c r="CW388" s="72">
        <v>0</v>
      </c>
      <c r="CX388" s="72">
        <v>0</v>
      </c>
      <c r="CY388" s="72">
        <v>0</v>
      </c>
      <c r="CZ388" s="72">
        <v>0</v>
      </c>
      <c r="DA388" s="72">
        <v>0</v>
      </c>
      <c r="DB388" s="72">
        <v>0</v>
      </c>
      <c r="DC388" s="72">
        <v>0</v>
      </c>
      <c r="DD388" s="72">
        <v>0</v>
      </c>
      <c r="DE388" s="72">
        <v>0</v>
      </c>
      <c r="DF388" s="72">
        <v>0</v>
      </c>
      <c r="DG388" s="72">
        <v>0</v>
      </c>
      <c r="DH388" s="72">
        <v>0</v>
      </c>
      <c r="DI388" s="72">
        <v>0</v>
      </c>
      <c r="DJ388" s="72">
        <v>0</v>
      </c>
      <c r="DK388" s="72">
        <v>0</v>
      </c>
      <c r="DL388" s="72">
        <v>0</v>
      </c>
      <c r="DM388" s="72">
        <v>0</v>
      </c>
      <c r="DN388" s="72">
        <v>0</v>
      </c>
      <c r="DO388" s="72">
        <v>0</v>
      </c>
      <c r="DP388" s="72">
        <v>0</v>
      </c>
      <c r="DQ388" s="72">
        <v>0</v>
      </c>
      <c r="DR388" s="72">
        <v>0</v>
      </c>
      <c r="DS388" s="72">
        <v>0</v>
      </c>
      <c r="DT388" s="72">
        <v>0</v>
      </c>
      <c r="DU388" s="72">
        <v>0</v>
      </c>
      <c r="DV388" s="72">
        <v>0</v>
      </c>
      <c r="DW388" s="72">
        <v>0</v>
      </c>
      <c r="DX388" s="72">
        <v>0</v>
      </c>
      <c r="DY388" s="72">
        <v>0</v>
      </c>
      <c r="DZ388" s="72">
        <v>0</v>
      </c>
      <c r="EA388" s="72">
        <v>0</v>
      </c>
      <c r="EB388" s="72">
        <v>0</v>
      </c>
      <c r="EC388" s="72">
        <v>0</v>
      </c>
      <c r="ED388" s="72">
        <v>0</v>
      </c>
      <c r="EE388" s="72">
        <v>0</v>
      </c>
      <c r="EF388" s="72">
        <v>0</v>
      </c>
      <c r="EG388" s="72">
        <v>0</v>
      </c>
      <c r="EH388" s="72">
        <v>0</v>
      </c>
      <c r="EI388" s="72">
        <v>0</v>
      </c>
      <c r="EJ388" s="72">
        <v>0</v>
      </c>
      <c r="EK388" s="72">
        <v>0</v>
      </c>
      <c r="EL388" s="72">
        <v>0</v>
      </c>
    </row>
    <row r="389" spans="1:142" x14ac:dyDescent="0.35">
      <c r="A389" s="59">
        <f>Данные!A389</f>
        <v>6368</v>
      </c>
      <c r="B389" s="59">
        <f>Данные!B389</f>
        <v>2021</v>
      </c>
      <c r="C389" s="59" t="str">
        <f>Данные!C389</f>
        <v>компьютерных технологий и электронного обучения</v>
      </c>
      <c r="D389" s="59" t="str">
        <f>Данные!D389</f>
        <v>Жуков Николай Николаевич</v>
      </c>
      <c r="E389" s="59" t="str">
        <f>Данные!E389</f>
        <v>нет</v>
      </c>
      <c r="F389" s="59" t="str">
        <f>Данные!F389</f>
        <v>ассистент</v>
      </c>
      <c r="G389" s="59">
        <f>Данные!G389</f>
        <v>1</v>
      </c>
      <c r="H389" s="59" t="str">
        <f>Данные!H389</f>
        <v>4 курс 2018 год/пост</v>
      </c>
      <c r="I389" s="59" t="str">
        <f>Данные!I389</f>
        <v>Модуль "Системное и прикладное программное обеспечние". Программирование</v>
      </c>
      <c r="J389" s="59">
        <f>Данные!J389</f>
        <v>0</v>
      </c>
      <c r="K389" s="59">
        <f>Данные!K389</f>
        <v>0</v>
      </c>
      <c r="L389" s="59">
        <f>Данные!L389</f>
        <v>108</v>
      </c>
      <c r="M389" s="60">
        <f t="shared" si="54"/>
        <v>10.8</v>
      </c>
      <c r="N389" s="60">
        <f t="shared" ca="1" si="55"/>
        <v>14.870000000000001</v>
      </c>
      <c r="O389" s="60">
        <f t="shared" ca="1" si="56"/>
        <v>9.75</v>
      </c>
      <c r="P389" s="60">
        <f t="shared" ca="1" si="57"/>
        <v>9.75</v>
      </c>
      <c r="Q389" s="54">
        <f>Данные!Q389</f>
        <v>0</v>
      </c>
      <c r="R389" s="54">
        <f>Данные!R389</f>
        <v>0</v>
      </c>
      <c r="S389" s="54">
        <f>Данные!S389</f>
        <v>0</v>
      </c>
      <c r="T389" s="54">
        <f>Данные!T389</f>
        <v>0</v>
      </c>
      <c r="U389" s="54">
        <f>Данные!U389</f>
        <v>0</v>
      </c>
      <c r="V389" s="54">
        <f>Данные!V389</f>
        <v>0</v>
      </c>
      <c r="W389" s="54">
        <f ca="1">Данные!W389</f>
        <v>39</v>
      </c>
      <c r="X389" s="54" t="str">
        <f ca="1">Данные!X389</f>
        <v>2</v>
      </c>
      <c r="Y389" s="54" t="str">
        <f ca="1">Данные!Y389</f>
        <v>3</v>
      </c>
      <c r="Z389" s="54">
        <f>Данные!Z389</f>
        <v>0</v>
      </c>
      <c r="AA389" s="54">
        <f>Данные!AA389</f>
        <v>0</v>
      </c>
      <c r="AB389" s="101">
        <f t="shared" si="58"/>
        <v>900</v>
      </c>
      <c r="AC389" s="101" t="str">
        <f t="shared" si="59"/>
        <v>ИВТ (бак)</v>
      </c>
      <c r="AD389" s="101" t="str">
        <f t="shared" si="60"/>
        <v/>
      </c>
      <c r="AE389" s="102">
        <f t="shared" ca="1" si="61"/>
        <v>153.16999999999999</v>
      </c>
      <c r="AF389" s="103">
        <f t="shared" ref="AF389:AF452" ca="1" si="62">AE389/AB389</f>
        <v>0.17018888888888886</v>
      </c>
      <c r="AG389" s="101"/>
      <c r="AH389" s="101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Q389" s="72">
        <v>0</v>
      </c>
      <c r="BR389" s="72">
        <v>0</v>
      </c>
      <c r="BS389" s="72">
        <v>0</v>
      </c>
      <c r="BT389" s="72">
        <v>0</v>
      </c>
      <c r="BU389" s="72">
        <v>0</v>
      </c>
      <c r="BV389" s="72">
        <v>0</v>
      </c>
      <c r="BW389" s="72">
        <v>0</v>
      </c>
      <c r="BX389" s="72">
        <v>0</v>
      </c>
      <c r="BY389" s="72">
        <v>0</v>
      </c>
      <c r="BZ389" s="72">
        <v>0</v>
      </c>
      <c r="CA389" s="72">
        <v>0</v>
      </c>
      <c r="CB389" s="72">
        <v>0</v>
      </c>
      <c r="CC389" s="72">
        <v>0</v>
      </c>
      <c r="CD389" s="72">
        <v>0</v>
      </c>
      <c r="CE389" s="72">
        <v>0</v>
      </c>
      <c r="CF389" s="72">
        <v>0</v>
      </c>
      <c r="CG389" s="72">
        <v>0</v>
      </c>
      <c r="CH389" s="72">
        <v>0</v>
      </c>
      <c r="CI389" s="72">
        <v>0</v>
      </c>
      <c r="CJ389" s="72">
        <v>0</v>
      </c>
      <c r="CK389" s="72">
        <v>0</v>
      </c>
      <c r="CL389" s="72">
        <v>0</v>
      </c>
      <c r="CM389" s="72">
        <v>0</v>
      </c>
      <c r="CN389" s="72">
        <v>0</v>
      </c>
      <c r="CO389" s="72">
        <v>0</v>
      </c>
      <c r="CP389" s="72">
        <v>0</v>
      </c>
      <c r="CQ389" s="72">
        <v>0</v>
      </c>
      <c r="CR389" s="72">
        <v>0</v>
      </c>
      <c r="CS389" s="72">
        <v>0</v>
      </c>
      <c r="CT389" s="72">
        <v>0</v>
      </c>
      <c r="CU389" s="72">
        <v>0</v>
      </c>
      <c r="CV389" s="72">
        <v>0</v>
      </c>
      <c r="CW389" s="72">
        <v>0</v>
      </c>
      <c r="CX389" s="72">
        <v>0</v>
      </c>
      <c r="CY389" s="72">
        <v>0</v>
      </c>
      <c r="CZ389" s="72">
        <v>0</v>
      </c>
      <c r="DA389" s="72">
        <v>0</v>
      </c>
      <c r="DB389" s="72">
        <v>0</v>
      </c>
      <c r="DC389" s="72">
        <v>0</v>
      </c>
      <c r="DD389" s="72">
        <v>0</v>
      </c>
      <c r="DE389" s="72">
        <v>0</v>
      </c>
      <c r="DF389" s="72">
        <v>0</v>
      </c>
      <c r="DG389" s="72">
        <v>0</v>
      </c>
      <c r="DH389" s="72">
        <v>0</v>
      </c>
      <c r="DI389" s="72">
        <v>0</v>
      </c>
      <c r="DJ389" s="72">
        <v>0</v>
      </c>
      <c r="DK389" s="72">
        <v>0</v>
      </c>
      <c r="DL389" s="72">
        <v>0</v>
      </c>
      <c r="DM389" s="72">
        <v>0</v>
      </c>
      <c r="DN389" s="72">
        <v>0</v>
      </c>
      <c r="DO389" s="72">
        <v>0</v>
      </c>
      <c r="DP389" s="72">
        <v>0</v>
      </c>
      <c r="DQ389" s="72">
        <v>0</v>
      </c>
      <c r="DR389" s="72">
        <v>0</v>
      </c>
      <c r="DS389" s="72">
        <v>0</v>
      </c>
      <c r="DT389" s="72">
        <v>0</v>
      </c>
      <c r="DU389" s="72">
        <v>0</v>
      </c>
      <c r="DV389" s="72">
        <v>0</v>
      </c>
      <c r="DW389" s="72">
        <v>0</v>
      </c>
      <c r="DX389" s="72">
        <v>0</v>
      </c>
      <c r="DY389" s="72">
        <v>0</v>
      </c>
      <c r="DZ389" s="72">
        <v>0</v>
      </c>
      <c r="EA389" s="72">
        <v>0</v>
      </c>
      <c r="EB389" s="72">
        <v>0</v>
      </c>
      <c r="EC389" s="72">
        <v>0</v>
      </c>
      <c r="ED389" s="72">
        <v>0</v>
      </c>
      <c r="EE389" s="72">
        <v>0</v>
      </c>
      <c r="EF389" s="72">
        <v>0</v>
      </c>
      <c r="EG389" s="72">
        <v>0</v>
      </c>
      <c r="EH389" s="72">
        <v>0</v>
      </c>
      <c r="EI389" s="72">
        <v>0</v>
      </c>
      <c r="EJ389" s="72">
        <v>0</v>
      </c>
      <c r="EK389" s="72">
        <v>0</v>
      </c>
      <c r="EL389" s="72">
        <v>0</v>
      </c>
    </row>
    <row r="390" spans="1:142" x14ac:dyDescent="0.35">
      <c r="A390" s="59">
        <f>Данные!A390</f>
        <v>6368</v>
      </c>
      <c r="B390" s="59">
        <f>Данные!B390</f>
        <v>2021</v>
      </c>
      <c r="C390" s="59" t="str">
        <f>Данные!C390</f>
        <v>компьютерных технологий и электронного обучения</v>
      </c>
      <c r="D390" s="59" t="str">
        <f>Данные!D390</f>
        <v>Атаян Ануш Михайловна</v>
      </c>
      <c r="E390" s="59" t="str">
        <f>Данные!E390</f>
        <v>кандидат педагогических наук</v>
      </c>
      <c r="F390" s="59" t="str">
        <f>Данные!F390</f>
        <v>доцент</v>
      </c>
      <c r="G390" s="59">
        <f>Данные!G390</f>
        <v>1</v>
      </c>
      <c r="H390" s="59" t="str">
        <f>Данные!H390</f>
        <v>4 курс 2018 год/пост</v>
      </c>
      <c r="I390" s="59" t="str">
        <f>Данные!I390</f>
        <v>IT-рекрутмент</v>
      </c>
      <c r="J390" s="59">
        <f>Данные!J390</f>
        <v>0</v>
      </c>
      <c r="K390" s="59">
        <f>Данные!K390</f>
        <v>0</v>
      </c>
      <c r="L390" s="59">
        <f>Данные!L390</f>
        <v>0</v>
      </c>
      <c r="M390" s="60">
        <f t="shared" si="54"/>
        <v>0</v>
      </c>
      <c r="N390" s="60">
        <f t="shared" ca="1" si="55"/>
        <v>14.870000000000001</v>
      </c>
      <c r="O390" s="60">
        <f t="shared" ca="1" si="56"/>
        <v>9.75</v>
      </c>
      <c r="P390" s="60">
        <f t="shared" ca="1" si="57"/>
        <v>9.75</v>
      </c>
      <c r="Q390" s="54">
        <f>Данные!Q390</f>
        <v>0</v>
      </c>
      <c r="R390" s="54">
        <f>Данные!R390</f>
        <v>0</v>
      </c>
      <c r="S390" s="54">
        <f>Данные!S390</f>
        <v>0</v>
      </c>
      <c r="T390" s="54">
        <f>Данные!T390</f>
        <v>0</v>
      </c>
      <c r="U390" s="54">
        <f>Данные!U390</f>
        <v>0</v>
      </c>
      <c r="V390" s="54">
        <f>Данные!V390</f>
        <v>0</v>
      </c>
      <c r="W390" s="54">
        <f ca="1">Данные!W390</f>
        <v>39</v>
      </c>
      <c r="X390" s="54" t="str">
        <f ca="1">Данные!X390</f>
        <v>2</v>
      </c>
      <c r="Y390" s="54" t="str">
        <f ca="1">Данные!Y390</f>
        <v>3</v>
      </c>
      <c r="Z390" s="54">
        <f>Данные!Z390</f>
        <v>0</v>
      </c>
      <c r="AA390" s="54">
        <f>Данные!AA390</f>
        <v>0</v>
      </c>
      <c r="AB390" s="101">
        <f t="shared" si="58"/>
        <v>800</v>
      </c>
      <c r="AC390" s="101" t="str">
        <f t="shared" si="59"/>
        <v>ИВТ (бак)</v>
      </c>
      <c r="AD390" s="101" t="str">
        <f t="shared" si="60"/>
        <v/>
      </c>
      <c r="AE390" s="102">
        <f t="shared" ca="1" si="61"/>
        <v>34.370000000000005</v>
      </c>
      <c r="AF390" s="103">
        <f t="shared" ca="1" si="62"/>
        <v>4.2962500000000008E-2</v>
      </c>
      <c r="AG390" s="101"/>
      <c r="AH390" s="101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Q390" s="72">
        <v>0</v>
      </c>
      <c r="BR390" s="72">
        <v>0</v>
      </c>
      <c r="BS390" s="72">
        <v>0</v>
      </c>
      <c r="BT390" s="72">
        <v>0</v>
      </c>
      <c r="BU390" s="72">
        <v>0</v>
      </c>
      <c r="BV390" s="72">
        <v>0</v>
      </c>
      <c r="BW390" s="72">
        <v>0</v>
      </c>
      <c r="BX390" s="72">
        <v>0</v>
      </c>
      <c r="BY390" s="72">
        <v>0</v>
      </c>
      <c r="BZ390" s="72">
        <v>0</v>
      </c>
      <c r="CA390" s="72">
        <v>0</v>
      </c>
      <c r="CB390" s="72">
        <v>0</v>
      </c>
      <c r="CC390" s="72">
        <v>0</v>
      </c>
      <c r="CD390" s="72">
        <v>0</v>
      </c>
      <c r="CE390" s="72">
        <v>0</v>
      </c>
      <c r="CF390" s="72">
        <v>0</v>
      </c>
      <c r="CG390" s="72">
        <v>0</v>
      </c>
      <c r="CH390" s="72">
        <v>0</v>
      </c>
      <c r="CI390" s="72">
        <v>0</v>
      </c>
      <c r="CJ390" s="72">
        <v>0</v>
      </c>
      <c r="CK390" s="72">
        <v>0</v>
      </c>
      <c r="CL390" s="72">
        <v>0</v>
      </c>
      <c r="CM390" s="72">
        <v>0</v>
      </c>
      <c r="CN390" s="72">
        <v>0</v>
      </c>
      <c r="CO390" s="72">
        <v>0</v>
      </c>
      <c r="CP390" s="72">
        <v>0</v>
      </c>
      <c r="CQ390" s="72">
        <v>0</v>
      </c>
      <c r="CR390" s="72">
        <v>0</v>
      </c>
      <c r="CS390" s="72">
        <v>0</v>
      </c>
      <c r="CT390" s="72">
        <v>0</v>
      </c>
      <c r="CU390" s="72">
        <v>0</v>
      </c>
      <c r="CV390" s="72">
        <v>0</v>
      </c>
      <c r="CW390" s="72">
        <v>0</v>
      </c>
      <c r="CX390" s="72">
        <v>0</v>
      </c>
      <c r="CY390" s="72">
        <v>0</v>
      </c>
      <c r="CZ390" s="72">
        <v>0</v>
      </c>
      <c r="DA390" s="72">
        <v>0</v>
      </c>
      <c r="DB390" s="72">
        <v>0</v>
      </c>
      <c r="DC390" s="72">
        <v>0</v>
      </c>
      <c r="DD390" s="72">
        <v>0</v>
      </c>
      <c r="DE390" s="72">
        <v>0</v>
      </c>
      <c r="DF390" s="72">
        <v>0</v>
      </c>
      <c r="DG390" s="72">
        <v>0</v>
      </c>
      <c r="DH390" s="72">
        <v>0</v>
      </c>
      <c r="DI390" s="72">
        <v>0</v>
      </c>
      <c r="DJ390" s="72">
        <v>0</v>
      </c>
      <c r="DK390" s="72">
        <v>0</v>
      </c>
      <c r="DL390" s="72">
        <v>0</v>
      </c>
      <c r="DM390" s="72">
        <v>0</v>
      </c>
      <c r="DN390" s="72">
        <v>0</v>
      </c>
      <c r="DO390" s="72">
        <v>0</v>
      </c>
      <c r="DP390" s="72">
        <v>0</v>
      </c>
      <c r="DQ390" s="72">
        <v>0</v>
      </c>
      <c r="DR390" s="72">
        <v>0</v>
      </c>
      <c r="DS390" s="72">
        <v>0</v>
      </c>
      <c r="DT390" s="72">
        <v>0</v>
      </c>
      <c r="DU390" s="72">
        <v>0</v>
      </c>
      <c r="DV390" s="72">
        <v>0</v>
      </c>
      <c r="DW390" s="72">
        <v>0</v>
      </c>
      <c r="DX390" s="72">
        <v>0</v>
      </c>
      <c r="DY390" s="72">
        <v>0</v>
      </c>
      <c r="DZ390" s="72">
        <v>0</v>
      </c>
      <c r="EA390" s="72">
        <v>0</v>
      </c>
      <c r="EB390" s="72">
        <v>0</v>
      </c>
      <c r="EC390" s="72">
        <v>0</v>
      </c>
      <c r="ED390" s="72">
        <v>0</v>
      </c>
      <c r="EE390" s="72">
        <v>0</v>
      </c>
      <c r="EF390" s="72">
        <v>0</v>
      </c>
      <c r="EG390" s="72">
        <v>0</v>
      </c>
      <c r="EH390" s="72">
        <v>0</v>
      </c>
      <c r="EI390" s="72">
        <v>0</v>
      </c>
      <c r="EJ390" s="72">
        <v>0</v>
      </c>
      <c r="EK390" s="72">
        <v>0</v>
      </c>
      <c r="EL390" s="72">
        <v>0</v>
      </c>
    </row>
    <row r="391" spans="1:142" x14ac:dyDescent="0.35">
      <c r="A391" s="59">
        <f>Данные!A391</f>
        <v>6368</v>
      </c>
      <c r="B391" s="59">
        <f>Данные!B391</f>
        <v>2021</v>
      </c>
      <c r="C391" s="59" t="str">
        <f>Данные!C391</f>
        <v>компьютерных технологий и электронного обучения</v>
      </c>
      <c r="D391" s="59" t="str">
        <f>Данные!D391</f>
        <v>Воробьев Владимир Иванович</v>
      </c>
      <c r="E391" s="59" t="str">
        <f>Данные!E391</f>
        <v>доктор технических наук</v>
      </c>
      <c r="F391" s="59" t="str">
        <f>Данные!F391</f>
        <v>внешний</v>
      </c>
      <c r="G391" s="59">
        <f>Данные!G391</f>
        <v>1</v>
      </c>
      <c r="H391" s="59" t="str">
        <f>Данные!H391</f>
        <v>4 курс 2018 год/пост</v>
      </c>
      <c r="I391" s="59" t="str">
        <f>Данные!I391</f>
        <v>Модуль "Информационные ресурсы и средства профессиональной деятельности инженера"</v>
      </c>
      <c r="J391" s="59">
        <f>Данные!J391</f>
        <v>0</v>
      </c>
      <c r="K391" s="59">
        <f>Данные!K391</f>
        <v>0</v>
      </c>
      <c r="L391" s="59">
        <f>Данные!L391</f>
        <v>0</v>
      </c>
      <c r="M391" s="60">
        <f t="shared" si="54"/>
        <v>0</v>
      </c>
      <c r="N391" s="60">
        <f t="shared" ca="1" si="55"/>
        <v>14.870000000000001</v>
      </c>
      <c r="O391" s="60">
        <f t="shared" ca="1" si="56"/>
        <v>9.75</v>
      </c>
      <c r="P391" s="60">
        <f t="shared" ca="1" si="57"/>
        <v>9.75</v>
      </c>
      <c r="Q391" s="54">
        <f>Данные!Q391</f>
        <v>0</v>
      </c>
      <c r="R391" s="54">
        <f>Данные!R391</f>
        <v>0</v>
      </c>
      <c r="S391" s="54">
        <f>Данные!S391</f>
        <v>0</v>
      </c>
      <c r="T391" s="54">
        <f>Данные!T391</f>
        <v>0</v>
      </c>
      <c r="U391" s="54">
        <f>Данные!U391</f>
        <v>0</v>
      </c>
      <c r="V391" s="54">
        <f>Данные!V391</f>
        <v>0</v>
      </c>
      <c r="W391" s="54">
        <f ca="1">Данные!W391</f>
        <v>39</v>
      </c>
      <c r="X391" s="54" t="str">
        <f ca="1">Данные!X391</f>
        <v>2</v>
      </c>
      <c r="Y391" s="54" t="str">
        <f ca="1">Данные!Y391</f>
        <v>3</v>
      </c>
      <c r="Z391" s="54">
        <f>Данные!Z391</f>
        <v>0</v>
      </c>
      <c r="AA391" s="54">
        <f>Данные!AA391</f>
        <v>0</v>
      </c>
      <c r="AB391" s="101">
        <f t="shared" si="58"/>
        <v>900</v>
      </c>
      <c r="AC391" s="101" t="str">
        <f t="shared" si="59"/>
        <v>ИВТ (бак)</v>
      </c>
      <c r="AD391" s="101" t="str">
        <f t="shared" si="60"/>
        <v/>
      </c>
      <c r="AE391" s="102">
        <f t="shared" ca="1" si="61"/>
        <v>34.370000000000005</v>
      </c>
      <c r="AF391" s="103">
        <f t="shared" ca="1" si="62"/>
        <v>3.8188888888888897E-2</v>
      </c>
      <c r="AG391" s="101"/>
      <c r="AH391" s="10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Q391" s="72">
        <v>0</v>
      </c>
      <c r="BR391" s="72">
        <v>0</v>
      </c>
      <c r="BS391" s="72">
        <v>0</v>
      </c>
      <c r="BT391" s="72">
        <v>0</v>
      </c>
      <c r="BU391" s="72">
        <v>0</v>
      </c>
      <c r="BV391" s="72">
        <v>0</v>
      </c>
      <c r="BW391" s="72">
        <v>0</v>
      </c>
      <c r="BX391" s="72">
        <v>0</v>
      </c>
      <c r="BY391" s="72">
        <v>0</v>
      </c>
      <c r="BZ391" s="72">
        <v>0</v>
      </c>
      <c r="CA391" s="72">
        <v>0</v>
      </c>
      <c r="CB391" s="72">
        <v>0</v>
      </c>
      <c r="CC391" s="72">
        <v>0</v>
      </c>
      <c r="CD391" s="72">
        <v>0</v>
      </c>
      <c r="CE391" s="72">
        <v>0</v>
      </c>
      <c r="CF391" s="72">
        <v>0</v>
      </c>
      <c r="CG391" s="72">
        <v>0</v>
      </c>
      <c r="CH391" s="72">
        <v>0</v>
      </c>
      <c r="CI391" s="72">
        <v>0</v>
      </c>
      <c r="CJ391" s="72">
        <v>0</v>
      </c>
      <c r="CK391" s="72">
        <v>0</v>
      </c>
      <c r="CL391" s="72">
        <v>0</v>
      </c>
      <c r="CM391" s="72">
        <v>0</v>
      </c>
      <c r="CN391" s="72">
        <v>0</v>
      </c>
      <c r="CO391" s="72">
        <v>0</v>
      </c>
      <c r="CP391" s="72">
        <v>0</v>
      </c>
      <c r="CQ391" s="72">
        <v>0</v>
      </c>
      <c r="CR391" s="72">
        <v>0</v>
      </c>
      <c r="CS391" s="72">
        <v>0</v>
      </c>
      <c r="CT391" s="72">
        <v>0</v>
      </c>
      <c r="CU391" s="72">
        <v>0</v>
      </c>
      <c r="CV391" s="72">
        <v>0</v>
      </c>
      <c r="CW391" s="72">
        <v>0</v>
      </c>
      <c r="CX391" s="72">
        <v>0</v>
      </c>
      <c r="CY391" s="72">
        <v>0</v>
      </c>
      <c r="CZ391" s="72">
        <v>0</v>
      </c>
      <c r="DA391" s="72">
        <v>0</v>
      </c>
      <c r="DB391" s="72">
        <v>0</v>
      </c>
      <c r="DC391" s="72">
        <v>0</v>
      </c>
      <c r="DD391" s="72">
        <v>0</v>
      </c>
      <c r="DE391" s="72">
        <v>0</v>
      </c>
      <c r="DF391" s="72">
        <v>0</v>
      </c>
      <c r="DG391" s="72">
        <v>0</v>
      </c>
      <c r="DH391" s="72">
        <v>0</v>
      </c>
      <c r="DI391" s="72">
        <v>0</v>
      </c>
      <c r="DJ391" s="72">
        <v>0</v>
      </c>
      <c r="DK391" s="72">
        <v>0</v>
      </c>
      <c r="DL391" s="72">
        <v>0</v>
      </c>
      <c r="DM391" s="72">
        <v>0</v>
      </c>
      <c r="DN391" s="72">
        <v>0</v>
      </c>
      <c r="DO391" s="72">
        <v>0</v>
      </c>
      <c r="DP391" s="72">
        <v>0</v>
      </c>
      <c r="DQ391" s="72">
        <v>0</v>
      </c>
      <c r="DR391" s="72">
        <v>0</v>
      </c>
      <c r="DS391" s="72">
        <v>0</v>
      </c>
      <c r="DT391" s="72">
        <v>0</v>
      </c>
      <c r="DU391" s="72">
        <v>0</v>
      </c>
      <c r="DV391" s="72">
        <v>0</v>
      </c>
      <c r="DW391" s="72">
        <v>0</v>
      </c>
      <c r="DX391" s="72">
        <v>0</v>
      </c>
      <c r="DY391" s="72">
        <v>0</v>
      </c>
      <c r="DZ391" s="72">
        <v>0</v>
      </c>
      <c r="EA391" s="72">
        <v>0</v>
      </c>
      <c r="EB391" s="72">
        <v>0</v>
      </c>
      <c r="EC391" s="72">
        <v>0</v>
      </c>
      <c r="ED391" s="72">
        <v>0</v>
      </c>
      <c r="EE391" s="72">
        <v>0</v>
      </c>
      <c r="EF391" s="72">
        <v>0</v>
      </c>
      <c r="EG391" s="72">
        <v>0</v>
      </c>
      <c r="EH391" s="72">
        <v>0</v>
      </c>
      <c r="EI391" s="72">
        <v>0</v>
      </c>
      <c r="EJ391" s="72">
        <v>0</v>
      </c>
      <c r="EK391" s="72">
        <v>0</v>
      </c>
      <c r="EL391" s="72">
        <v>0</v>
      </c>
    </row>
    <row r="392" spans="1:142" x14ac:dyDescent="0.35">
      <c r="A392" s="59">
        <f>Данные!A392</f>
        <v>6368</v>
      </c>
      <c r="B392" s="59">
        <f>Данные!B392</f>
        <v>2021</v>
      </c>
      <c r="C392" s="59" t="str">
        <f>Данные!C392</f>
        <v>компьютерных технологий и электронного обучения</v>
      </c>
      <c r="D392" s="59" t="str">
        <f>Данные!D392</f>
        <v>Карпова Наталья Александровна</v>
      </c>
      <c r="E392" s="59" t="str">
        <f>Данные!E392</f>
        <v>кандидат технических наук</v>
      </c>
      <c r="F392" s="59" t="str">
        <f>Данные!F392</f>
        <v>доцент</v>
      </c>
      <c r="G392" s="59">
        <f>Данные!G392</f>
        <v>0.75</v>
      </c>
      <c r="H392" s="59" t="str">
        <f>Данные!H392</f>
        <v>4 курс 2018 год/пост</v>
      </c>
      <c r="I392" s="59" t="str">
        <f>Данные!I392</f>
        <v>Модуль "Информационные ресурсы и средства профессиональной деятельности инженера"</v>
      </c>
      <c r="J392" s="59">
        <f>Данные!J392</f>
        <v>0</v>
      </c>
      <c r="K392" s="59">
        <f>Данные!K392</f>
        <v>0</v>
      </c>
      <c r="L392" s="59">
        <f>Данные!L392</f>
        <v>0</v>
      </c>
      <c r="M392" s="60">
        <f t="shared" si="54"/>
        <v>0</v>
      </c>
      <c r="N392" s="60">
        <f t="shared" ca="1" si="55"/>
        <v>14.870000000000001</v>
      </c>
      <c r="O392" s="60">
        <f t="shared" ca="1" si="56"/>
        <v>9.75</v>
      </c>
      <c r="P392" s="60">
        <f t="shared" ca="1" si="57"/>
        <v>9.75</v>
      </c>
      <c r="Q392" s="54">
        <f>Данные!Q392</f>
        <v>0</v>
      </c>
      <c r="R392" s="54">
        <f>Данные!R392</f>
        <v>0</v>
      </c>
      <c r="S392" s="54">
        <f>Данные!S392</f>
        <v>0</v>
      </c>
      <c r="T392" s="54">
        <f>Данные!T392</f>
        <v>0</v>
      </c>
      <c r="U392" s="54">
        <f>Данные!U392</f>
        <v>0</v>
      </c>
      <c r="V392" s="54">
        <f>Данные!V392</f>
        <v>0</v>
      </c>
      <c r="W392" s="54">
        <f ca="1">Данные!W392</f>
        <v>39</v>
      </c>
      <c r="X392" s="54" t="str">
        <f ca="1">Данные!X392</f>
        <v>2</v>
      </c>
      <c r="Y392" s="54" t="str">
        <f ca="1">Данные!Y392</f>
        <v>3</v>
      </c>
      <c r="Z392" s="54">
        <f>Данные!Z392</f>
        <v>0</v>
      </c>
      <c r="AA392" s="54">
        <f>Данные!AA392</f>
        <v>0</v>
      </c>
      <c r="AB392" s="101">
        <f t="shared" si="58"/>
        <v>800</v>
      </c>
      <c r="AC392" s="101" t="str">
        <f t="shared" si="59"/>
        <v>ИВТ (бак)</v>
      </c>
      <c r="AD392" s="101" t="str">
        <f t="shared" si="60"/>
        <v/>
      </c>
      <c r="AE392" s="102">
        <f t="shared" ca="1" si="61"/>
        <v>34.370000000000005</v>
      </c>
      <c r="AF392" s="103">
        <f t="shared" ca="1" si="62"/>
        <v>4.2962500000000008E-2</v>
      </c>
      <c r="AG392" s="101"/>
      <c r="AH392" s="101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Q392" s="72">
        <v>0</v>
      </c>
      <c r="BR392" s="72">
        <v>0</v>
      </c>
      <c r="BS392" s="72">
        <v>0</v>
      </c>
      <c r="BT392" s="72">
        <v>0</v>
      </c>
      <c r="BU392" s="72">
        <v>0</v>
      </c>
      <c r="BV392" s="72">
        <v>0</v>
      </c>
      <c r="BW392" s="72">
        <v>0</v>
      </c>
      <c r="BX392" s="72">
        <v>0</v>
      </c>
      <c r="BY392" s="72">
        <v>0</v>
      </c>
      <c r="BZ392" s="72">
        <v>0</v>
      </c>
      <c r="CA392" s="72">
        <v>0</v>
      </c>
      <c r="CB392" s="72">
        <v>0</v>
      </c>
      <c r="CC392" s="72">
        <v>0</v>
      </c>
      <c r="CD392" s="72">
        <v>0</v>
      </c>
      <c r="CE392" s="72">
        <v>0</v>
      </c>
      <c r="CF392" s="72">
        <v>0</v>
      </c>
      <c r="CG392" s="72">
        <v>0</v>
      </c>
      <c r="CH392" s="72">
        <v>0</v>
      </c>
      <c r="CI392" s="72">
        <v>0</v>
      </c>
      <c r="CJ392" s="72">
        <v>0</v>
      </c>
      <c r="CK392" s="72">
        <v>0</v>
      </c>
      <c r="CL392" s="72">
        <v>0</v>
      </c>
      <c r="CM392" s="72">
        <v>0</v>
      </c>
      <c r="CN392" s="72">
        <v>0</v>
      </c>
      <c r="CO392" s="72">
        <v>0</v>
      </c>
      <c r="CP392" s="72">
        <v>0</v>
      </c>
      <c r="CQ392" s="72">
        <v>0</v>
      </c>
      <c r="CR392" s="72">
        <v>0</v>
      </c>
      <c r="CS392" s="72">
        <v>0</v>
      </c>
      <c r="CT392" s="72">
        <v>0</v>
      </c>
      <c r="CU392" s="72">
        <v>0</v>
      </c>
      <c r="CV392" s="72">
        <v>0</v>
      </c>
      <c r="CW392" s="72">
        <v>0</v>
      </c>
      <c r="CX392" s="72">
        <v>0</v>
      </c>
      <c r="CY392" s="72">
        <v>0</v>
      </c>
      <c r="CZ392" s="72">
        <v>0</v>
      </c>
      <c r="DA392" s="72">
        <v>0</v>
      </c>
      <c r="DB392" s="72">
        <v>0</v>
      </c>
      <c r="DC392" s="72">
        <v>0</v>
      </c>
      <c r="DD392" s="72">
        <v>0</v>
      </c>
      <c r="DE392" s="72">
        <v>0</v>
      </c>
      <c r="DF392" s="72">
        <v>0</v>
      </c>
      <c r="DG392" s="72">
        <v>0</v>
      </c>
      <c r="DH392" s="72">
        <v>0</v>
      </c>
      <c r="DI392" s="72">
        <v>0</v>
      </c>
      <c r="DJ392" s="72">
        <v>0</v>
      </c>
      <c r="DK392" s="72">
        <v>0</v>
      </c>
      <c r="DL392" s="72">
        <v>0</v>
      </c>
      <c r="DM392" s="72">
        <v>0</v>
      </c>
      <c r="DN392" s="72">
        <v>0</v>
      </c>
      <c r="DO392" s="72">
        <v>0</v>
      </c>
      <c r="DP392" s="72">
        <v>0</v>
      </c>
      <c r="DQ392" s="72">
        <v>0</v>
      </c>
      <c r="DR392" s="72">
        <v>0</v>
      </c>
      <c r="DS392" s="72">
        <v>0</v>
      </c>
      <c r="DT392" s="72">
        <v>0</v>
      </c>
      <c r="DU392" s="72">
        <v>0</v>
      </c>
      <c r="DV392" s="72">
        <v>0</v>
      </c>
      <c r="DW392" s="72">
        <v>0</v>
      </c>
      <c r="DX392" s="72">
        <v>0</v>
      </c>
      <c r="DY392" s="72">
        <v>0</v>
      </c>
      <c r="DZ392" s="72">
        <v>0</v>
      </c>
      <c r="EA392" s="72">
        <v>0</v>
      </c>
      <c r="EB392" s="72">
        <v>0</v>
      </c>
      <c r="EC392" s="72">
        <v>0</v>
      </c>
      <c r="ED392" s="72">
        <v>0</v>
      </c>
      <c r="EE392" s="72">
        <v>0</v>
      </c>
      <c r="EF392" s="72">
        <v>0</v>
      </c>
      <c r="EG392" s="72">
        <v>0</v>
      </c>
      <c r="EH392" s="72">
        <v>0</v>
      </c>
      <c r="EI392" s="72">
        <v>0</v>
      </c>
      <c r="EJ392" s="72">
        <v>0</v>
      </c>
      <c r="EK392" s="72">
        <v>0</v>
      </c>
      <c r="EL392" s="72">
        <v>0</v>
      </c>
    </row>
    <row r="393" spans="1:142" x14ac:dyDescent="0.35">
      <c r="A393" s="59">
        <f>Данные!A393</f>
        <v>6368</v>
      </c>
      <c r="B393" s="59">
        <f>Данные!B393</f>
        <v>2021</v>
      </c>
      <c r="C393" s="59" t="str">
        <f>Данные!C393</f>
        <v>компьютерных технологий и электронного обучения</v>
      </c>
      <c r="D393" s="59" t="str">
        <f>Данные!D393</f>
        <v>Карпова Наталья Александровна</v>
      </c>
      <c r="E393" s="59" t="str">
        <f>Данные!E393</f>
        <v>кандидат технических наук</v>
      </c>
      <c r="F393" s="59" t="str">
        <f>Данные!F393</f>
        <v>доцент</v>
      </c>
      <c r="G393" s="59">
        <f>Данные!G393</f>
        <v>0.75</v>
      </c>
      <c r="H393" s="59" t="str">
        <f>Данные!H393</f>
        <v>4 курс 2018 год/пост</v>
      </c>
      <c r="I393" s="59" t="str">
        <f>Данные!I393</f>
        <v>Модуль "Информационные ресурсы и средства профессиональной деятельности инженера".Мировые информационные ресурсы и цифровые библиотеки</v>
      </c>
      <c r="J393" s="59">
        <f>Данные!J393</f>
        <v>14</v>
      </c>
      <c r="K393" s="59">
        <f>Данные!K393</f>
        <v>44</v>
      </c>
      <c r="L393" s="59">
        <f>Данные!L393</f>
        <v>0</v>
      </c>
      <c r="M393" s="60">
        <f t="shared" si="54"/>
        <v>5.8</v>
      </c>
      <c r="N393" s="60">
        <f t="shared" ca="1" si="55"/>
        <v>14.870000000000001</v>
      </c>
      <c r="O393" s="60">
        <f t="shared" ca="1" si="56"/>
        <v>9.75</v>
      </c>
      <c r="P393" s="60">
        <f t="shared" ca="1" si="57"/>
        <v>9.75</v>
      </c>
      <c r="Q393" s="54">
        <f>Данные!Q393</f>
        <v>0</v>
      </c>
      <c r="R393" s="54">
        <f>Данные!R393</f>
        <v>0</v>
      </c>
      <c r="S393" s="54">
        <f>Данные!S393</f>
        <v>0</v>
      </c>
      <c r="T393" s="54">
        <f>Данные!T393</f>
        <v>0</v>
      </c>
      <c r="U393" s="54">
        <f>Данные!U393</f>
        <v>0</v>
      </c>
      <c r="V393" s="54">
        <f>Данные!V393</f>
        <v>0</v>
      </c>
      <c r="W393" s="54">
        <f ca="1">Данные!W393</f>
        <v>39</v>
      </c>
      <c r="X393" s="54" t="str">
        <f ca="1">Данные!X393</f>
        <v>2</v>
      </c>
      <c r="Y393" s="54" t="str">
        <f ca="1">Данные!Y393</f>
        <v>3</v>
      </c>
      <c r="Z393" s="54">
        <f>Данные!Z393</f>
        <v>0</v>
      </c>
      <c r="AA393" s="54">
        <f>Данные!AA393</f>
        <v>0</v>
      </c>
      <c r="AB393" s="101">
        <f t="shared" si="58"/>
        <v>800</v>
      </c>
      <c r="AC393" s="101" t="str">
        <f t="shared" si="59"/>
        <v>ИВТ (бак)</v>
      </c>
      <c r="AD393" s="101" t="str">
        <f t="shared" si="60"/>
        <v/>
      </c>
      <c r="AE393" s="102">
        <f t="shared" ca="1" si="61"/>
        <v>98.17</v>
      </c>
      <c r="AF393" s="103">
        <f t="shared" ca="1" si="62"/>
        <v>0.1227125</v>
      </c>
      <c r="AG393" s="101"/>
      <c r="AH393" s="101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Q393" s="72">
        <v>0</v>
      </c>
      <c r="BR393" s="72">
        <v>0</v>
      </c>
      <c r="BS393" s="72">
        <v>0</v>
      </c>
      <c r="BT393" s="72">
        <v>0</v>
      </c>
      <c r="BU393" s="72">
        <v>0</v>
      </c>
      <c r="BV393" s="72">
        <v>0</v>
      </c>
      <c r="BW393" s="72">
        <v>0</v>
      </c>
      <c r="BX393" s="72">
        <v>0</v>
      </c>
      <c r="BY393" s="72">
        <v>0</v>
      </c>
      <c r="BZ393" s="72">
        <v>0</v>
      </c>
      <c r="CA393" s="72">
        <v>0</v>
      </c>
      <c r="CB393" s="72">
        <v>0</v>
      </c>
      <c r="CC393" s="72">
        <v>0</v>
      </c>
      <c r="CD393" s="72">
        <v>0</v>
      </c>
      <c r="CE393" s="72">
        <v>0</v>
      </c>
      <c r="CF393" s="72">
        <v>0</v>
      </c>
      <c r="CG393" s="72">
        <v>0</v>
      </c>
      <c r="CH393" s="72">
        <v>0</v>
      </c>
      <c r="CI393" s="72">
        <v>0</v>
      </c>
      <c r="CJ393" s="72">
        <v>0</v>
      </c>
      <c r="CK393" s="72">
        <v>0</v>
      </c>
      <c r="CL393" s="72">
        <v>0</v>
      </c>
      <c r="CM393" s="72">
        <v>0</v>
      </c>
      <c r="CN393" s="72">
        <v>0</v>
      </c>
      <c r="CO393" s="72">
        <v>0</v>
      </c>
      <c r="CP393" s="72">
        <v>0</v>
      </c>
      <c r="CQ393" s="72">
        <v>0</v>
      </c>
      <c r="CR393" s="72">
        <v>0</v>
      </c>
      <c r="CS393" s="72">
        <v>0</v>
      </c>
      <c r="CT393" s="72">
        <v>0</v>
      </c>
      <c r="CU393" s="72">
        <v>0</v>
      </c>
      <c r="CV393" s="72">
        <v>0</v>
      </c>
      <c r="CW393" s="72">
        <v>0</v>
      </c>
      <c r="CX393" s="72">
        <v>0</v>
      </c>
      <c r="CY393" s="72">
        <v>0</v>
      </c>
      <c r="CZ393" s="72">
        <v>0</v>
      </c>
      <c r="DA393" s="72">
        <v>0</v>
      </c>
      <c r="DB393" s="72">
        <v>0</v>
      </c>
      <c r="DC393" s="72">
        <v>0</v>
      </c>
      <c r="DD393" s="72">
        <v>0</v>
      </c>
      <c r="DE393" s="72">
        <v>0</v>
      </c>
      <c r="DF393" s="72">
        <v>0</v>
      </c>
      <c r="DG393" s="72">
        <v>0</v>
      </c>
      <c r="DH393" s="72">
        <v>0</v>
      </c>
      <c r="DI393" s="72">
        <v>0</v>
      </c>
      <c r="DJ393" s="72">
        <v>0</v>
      </c>
      <c r="DK393" s="72">
        <v>0</v>
      </c>
      <c r="DL393" s="72">
        <v>0</v>
      </c>
      <c r="DM393" s="72">
        <v>0</v>
      </c>
      <c r="DN393" s="72">
        <v>0</v>
      </c>
      <c r="DO393" s="72">
        <v>0</v>
      </c>
      <c r="DP393" s="72">
        <v>0</v>
      </c>
      <c r="DQ393" s="72">
        <v>0</v>
      </c>
      <c r="DR393" s="72">
        <v>0</v>
      </c>
      <c r="DS393" s="72">
        <v>0</v>
      </c>
      <c r="DT393" s="72">
        <v>0</v>
      </c>
      <c r="DU393" s="72">
        <v>0</v>
      </c>
      <c r="DV393" s="72">
        <v>0</v>
      </c>
      <c r="DW393" s="72">
        <v>0</v>
      </c>
      <c r="DX393" s="72">
        <v>0</v>
      </c>
      <c r="DY393" s="72">
        <v>0</v>
      </c>
      <c r="DZ393" s="72">
        <v>0</v>
      </c>
      <c r="EA393" s="72">
        <v>0</v>
      </c>
      <c r="EB393" s="72">
        <v>0</v>
      </c>
      <c r="EC393" s="72">
        <v>0</v>
      </c>
      <c r="ED393" s="72">
        <v>0</v>
      </c>
      <c r="EE393" s="72">
        <v>0</v>
      </c>
      <c r="EF393" s="72">
        <v>0</v>
      </c>
      <c r="EG393" s="72">
        <v>0</v>
      </c>
      <c r="EH393" s="72">
        <v>0</v>
      </c>
      <c r="EI393" s="72">
        <v>0</v>
      </c>
      <c r="EJ393" s="72">
        <v>0</v>
      </c>
      <c r="EK393" s="72">
        <v>0</v>
      </c>
      <c r="EL393" s="72">
        <v>0</v>
      </c>
    </row>
    <row r="394" spans="1:142" x14ac:dyDescent="0.35">
      <c r="A394" s="59">
        <f>Данные!A394</f>
        <v>6368</v>
      </c>
      <c r="B394" s="59">
        <f>Данные!B394</f>
        <v>2021</v>
      </c>
      <c r="C394" s="59" t="str">
        <f>Данные!C394</f>
        <v>компьютерных технологий и электронного обучения</v>
      </c>
      <c r="D394" s="59" t="str">
        <f>Данные!D394</f>
        <v>Государев Илья Борисович</v>
      </c>
      <c r="E394" s="59" t="str">
        <f>Данные!E394</f>
        <v>кандидат педагогических наук</v>
      </c>
      <c r="F394" s="59" t="str">
        <f>Данные!F394</f>
        <v>доцент</v>
      </c>
      <c r="G394" s="59">
        <f>Данные!G394</f>
        <v>1</v>
      </c>
      <c r="H394" s="59" t="str">
        <f>Данные!H394</f>
        <v>4 курс 2018 год/пост</v>
      </c>
      <c r="I394" s="59" t="str">
        <f>Данные!I394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394" s="59">
        <f>Данные!J394</f>
        <v>0</v>
      </c>
      <c r="K394" s="59">
        <f>Данные!K394</f>
        <v>0</v>
      </c>
      <c r="L394" s="59">
        <f>Данные!L394</f>
        <v>0</v>
      </c>
      <c r="M394" s="60">
        <f t="shared" si="54"/>
        <v>0</v>
      </c>
      <c r="N394" s="60">
        <f t="shared" ca="1" si="55"/>
        <v>14.870000000000001</v>
      </c>
      <c r="O394" s="60">
        <f t="shared" ca="1" si="56"/>
        <v>9.75</v>
      </c>
      <c r="P394" s="60">
        <f t="shared" ca="1" si="57"/>
        <v>9.75</v>
      </c>
      <c r="Q394" s="54">
        <f>Данные!Q394</f>
        <v>0</v>
      </c>
      <c r="R394" s="54">
        <f>Данные!R394</f>
        <v>0</v>
      </c>
      <c r="S394" s="54">
        <f>Данные!S394</f>
        <v>0</v>
      </c>
      <c r="T394" s="54">
        <f>Данные!T394</f>
        <v>0</v>
      </c>
      <c r="U394" s="54">
        <f>Данные!U394</f>
        <v>0</v>
      </c>
      <c r="V394" s="54">
        <f>Данные!V394</f>
        <v>0</v>
      </c>
      <c r="W394" s="54">
        <f ca="1">Данные!W394</f>
        <v>39</v>
      </c>
      <c r="X394" s="54" t="str">
        <f ca="1">Данные!X394</f>
        <v>2</v>
      </c>
      <c r="Y394" s="54" t="str">
        <f ca="1">Данные!Y394</f>
        <v>3</v>
      </c>
      <c r="Z394" s="54">
        <f>Данные!Z394</f>
        <v>0</v>
      </c>
      <c r="AA394" s="54">
        <f>Данные!AA394</f>
        <v>0</v>
      </c>
      <c r="AB394" s="101">
        <f t="shared" si="58"/>
        <v>800</v>
      </c>
      <c r="AC394" s="101" t="str">
        <f t="shared" si="59"/>
        <v>ИВТ (бак)</v>
      </c>
      <c r="AD394" s="101" t="str">
        <f t="shared" si="60"/>
        <v/>
      </c>
      <c r="AE394" s="102">
        <f t="shared" ca="1" si="61"/>
        <v>34.370000000000005</v>
      </c>
      <c r="AF394" s="103">
        <f t="shared" ca="1" si="62"/>
        <v>4.2962500000000008E-2</v>
      </c>
      <c r="AG394" s="101"/>
      <c r="AH394" s="101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Q394" s="72">
        <v>0</v>
      </c>
      <c r="BR394" s="72">
        <v>0</v>
      </c>
      <c r="BS394" s="72">
        <v>0</v>
      </c>
      <c r="BT394" s="72">
        <v>0</v>
      </c>
      <c r="BU394" s="72">
        <v>0</v>
      </c>
      <c r="BV394" s="72">
        <v>0</v>
      </c>
      <c r="BW394" s="72">
        <v>0</v>
      </c>
      <c r="BX394" s="72">
        <v>0</v>
      </c>
      <c r="BY394" s="72">
        <v>0</v>
      </c>
      <c r="BZ394" s="72">
        <v>0</v>
      </c>
      <c r="CA394" s="72">
        <v>0</v>
      </c>
      <c r="CB394" s="72">
        <v>0</v>
      </c>
      <c r="CC394" s="72">
        <v>0</v>
      </c>
      <c r="CD394" s="72">
        <v>0</v>
      </c>
      <c r="CE394" s="72">
        <v>0</v>
      </c>
      <c r="CF394" s="72">
        <v>0</v>
      </c>
      <c r="CG394" s="72">
        <v>0</v>
      </c>
      <c r="CH394" s="72">
        <v>0</v>
      </c>
      <c r="CI394" s="72">
        <v>0</v>
      </c>
      <c r="CJ394" s="72">
        <v>0</v>
      </c>
      <c r="CK394" s="72">
        <v>0</v>
      </c>
      <c r="CL394" s="72">
        <v>0</v>
      </c>
      <c r="CM394" s="72">
        <v>0</v>
      </c>
      <c r="CN394" s="72">
        <v>0</v>
      </c>
      <c r="CO394" s="72">
        <v>0</v>
      </c>
      <c r="CP394" s="72">
        <v>0</v>
      </c>
      <c r="CQ394" s="72">
        <v>0</v>
      </c>
      <c r="CR394" s="72">
        <v>0</v>
      </c>
      <c r="CS394" s="72">
        <v>0</v>
      </c>
      <c r="CT394" s="72">
        <v>0</v>
      </c>
      <c r="CU394" s="72">
        <v>0</v>
      </c>
      <c r="CV394" s="72">
        <v>0</v>
      </c>
      <c r="CW394" s="72">
        <v>0</v>
      </c>
      <c r="CX394" s="72">
        <v>0</v>
      </c>
      <c r="CY394" s="72">
        <v>0</v>
      </c>
      <c r="CZ394" s="72">
        <v>0</v>
      </c>
      <c r="DA394" s="72">
        <v>0</v>
      </c>
      <c r="DB394" s="72">
        <v>0</v>
      </c>
      <c r="DC394" s="72">
        <v>0</v>
      </c>
      <c r="DD394" s="72">
        <v>0</v>
      </c>
      <c r="DE394" s="72">
        <v>0</v>
      </c>
      <c r="DF394" s="72">
        <v>0</v>
      </c>
      <c r="DG394" s="72">
        <v>0</v>
      </c>
      <c r="DH394" s="72">
        <v>0</v>
      </c>
      <c r="DI394" s="72">
        <v>0</v>
      </c>
      <c r="DJ394" s="72">
        <v>0</v>
      </c>
      <c r="DK394" s="72">
        <v>0</v>
      </c>
      <c r="DL394" s="72">
        <v>0</v>
      </c>
      <c r="DM394" s="72">
        <v>0</v>
      </c>
      <c r="DN394" s="72">
        <v>0</v>
      </c>
      <c r="DO394" s="72">
        <v>0</v>
      </c>
      <c r="DP394" s="72">
        <v>0</v>
      </c>
      <c r="DQ394" s="72">
        <v>0</v>
      </c>
      <c r="DR394" s="72">
        <v>0</v>
      </c>
      <c r="DS394" s="72">
        <v>0</v>
      </c>
      <c r="DT394" s="72">
        <v>0</v>
      </c>
      <c r="DU394" s="72">
        <v>0</v>
      </c>
      <c r="DV394" s="72">
        <v>0</v>
      </c>
      <c r="DW394" s="72">
        <v>0</v>
      </c>
      <c r="DX394" s="72">
        <v>0</v>
      </c>
      <c r="DY394" s="72">
        <v>0</v>
      </c>
      <c r="DZ394" s="72">
        <v>0</v>
      </c>
      <c r="EA394" s="72">
        <v>0</v>
      </c>
      <c r="EB394" s="72">
        <v>0</v>
      </c>
      <c r="EC394" s="72">
        <v>0</v>
      </c>
      <c r="ED394" s="72">
        <v>0</v>
      </c>
      <c r="EE394" s="72">
        <v>0</v>
      </c>
      <c r="EF394" s="72">
        <v>0</v>
      </c>
      <c r="EG394" s="72">
        <v>0</v>
      </c>
      <c r="EH394" s="72">
        <v>0</v>
      </c>
      <c r="EI394" s="72">
        <v>0</v>
      </c>
      <c r="EJ394" s="72">
        <v>0</v>
      </c>
      <c r="EK394" s="72">
        <v>0</v>
      </c>
      <c r="EL394" s="72">
        <v>0</v>
      </c>
    </row>
    <row r="395" spans="1:142" x14ac:dyDescent="0.35">
      <c r="A395" s="59">
        <f>Данные!A395</f>
        <v>6368</v>
      </c>
      <c r="B395" s="59">
        <f>Данные!B395</f>
        <v>2021</v>
      </c>
      <c r="C395" s="59" t="str">
        <f>Данные!C395</f>
        <v>компьютерных технологий и электронного обучения</v>
      </c>
      <c r="D395" s="59" t="str">
        <f>Данные!D395</f>
        <v>Карпова Наталья Александровна</v>
      </c>
      <c r="E395" s="59" t="str">
        <f>Данные!E395</f>
        <v>кандидат технических наук</v>
      </c>
      <c r="F395" s="59" t="str">
        <f>Данные!F395</f>
        <v>доцент</v>
      </c>
      <c r="G395" s="59">
        <f>Данные!G395</f>
        <v>0.75</v>
      </c>
      <c r="H395" s="59" t="str">
        <f>Данные!H395</f>
        <v>4 курс 2018 год/пост</v>
      </c>
      <c r="I395" s="59" t="str">
        <f>Данные!I395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395" s="59">
        <f>Данные!J395</f>
        <v>12</v>
      </c>
      <c r="K395" s="59">
        <f>Данные!K395</f>
        <v>48</v>
      </c>
      <c r="L395" s="59">
        <f>Данные!L395</f>
        <v>0</v>
      </c>
      <c r="M395" s="60">
        <f t="shared" si="54"/>
        <v>6</v>
      </c>
      <c r="N395" s="60">
        <f t="shared" ca="1" si="55"/>
        <v>14.870000000000001</v>
      </c>
      <c r="O395" s="60">
        <f t="shared" ca="1" si="56"/>
        <v>9.75</v>
      </c>
      <c r="P395" s="60">
        <f t="shared" ca="1" si="57"/>
        <v>9.75</v>
      </c>
      <c r="Q395" s="54">
        <f>Данные!Q395</f>
        <v>0</v>
      </c>
      <c r="R395" s="54">
        <f>Данные!R395</f>
        <v>0</v>
      </c>
      <c r="S395" s="54">
        <f>Данные!S395</f>
        <v>0</v>
      </c>
      <c r="T395" s="54">
        <f>Данные!T395</f>
        <v>0</v>
      </c>
      <c r="U395" s="54">
        <f>Данные!U395</f>
        <v>0</v>
      </c>
      <c r="V395" s="54">
        <f>Данные!V395</f>
        <v>0</v>
      </c>
      <c r="W395" s="54">
        <f ca="1">Данные!W395</f>
        <v>39</v>
      </c>
      <c r="X395" s="54" t="str">
        <f ca="1">Данные!X395</f>
        <v>2</v>
      </c>
      <c r="Y395" s="54" t="str">
        <f ca="1">Данные!Y395</f>
        <v>3</v>
      </c>
      <c r="Z395" s="54">
        <f>Данные!Z395</f>
        <v>0</v>
      </c>
      <c r="AA395" s="54">
        <f>Данные!AA395</f>
        <v>0</v>
      </c>
      <c r="AB395" s="101">
        <f t="shared" si="58"/>
        <v>800</v>
      </c>
      <c r="AC395" s="101" t="str">
        <f t="shared" si="59"/>
        <v>ИВТ (бак)</v>
      </c>
      <c r="AD395" s="101" t="str">
        <f t="shared" si="60"/>
        <v/>
      </c>
      <c r="AE395" s="102">
        <f t="shared" ca="1" si="61"/>
        <v>100.37</v>
      </c>
      <c r="AF395" s="103">
        <f t="shared" ca="1" si="62"/>
        <v>0.1254625</v>
      </c>
      <c r="AG395" s="101"/>
      <c r="AH395" s="101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Q395" s="72">
        <v>0</v>
      </c>
      <c r="BR395" s="72">
        <v>0</v>
      </c>
      <c r="BS395" s="72">
        <v>0</v>
      </c>
      <c r="BT395" s="72">
        <v>0</v>
      </c>
      <c r="BU395" s="72">
        <v>0</v>
      </c>
      <c r="BV395" s="72">
        <v>0</v>
      </c>
      <c r="BW395" s="72">
        <v>0</v>
      </c>
      <c r="BX395" s="72">
        <v>0</v>
      </c>
      <c r="BY395" s="72">
        <v>0</v>
      </c>
      <c r="BZ395" s="72">
        <v>0</v>
      </c>
      <c r="CA395" s="72">
        <v>0</v>
      </c>
      <c r="CB395" s="72">
        <v>0</v>
      </c>
      <c r="CC395" s="72">
        <v>0</v>
      </c>
      <c r="CD395" s="72">
        <v>0</v>
      </c>
      <c r="CE395" s="72">
        <v>0</v>
      </c>
      <c r="CF395" s="72">
        <v>0</v>
      </c>
      <c r="CG395" s="72">
        <v>0</v>
      </c>
      <c r="CH395" s="72">
        <v>0</v>
      </c>
      <c r="CI395" s="72">
        <v>0</v>
      </c>
      <c r="CJ395" s="72">
        <v>0</v>
      </c>
      <c r="CK395" s="72">
        <v>0</v>
      </c>
      <c r="CL395" s="72">
        <v>0</v>
      </c>
      <c r="CM395" s="72">
        <v>0</v>
      </c>
      <c r="CN395" s="72">
        <v>0</v>
      </c>
      <c r="CO395" s="72">
        <v>0</v>
      </c>
      <c r="CP395" s="72">
        <v>0</v>
      </c>
      <c r="CQ395" s="72">
        <v>0</v>
      </c>
      <c r="CR395" s="72">
        <v>0</v>
      </c>
      <c r="CS395" s="72">
        <v>0</v>
      </c>
      <c r="CT395" s="72">
        <v>0</v>
      </c>
      <c r="CU395" s="72">
        <v>0</v>
      </c>
      <c r="CV395" s="72">
        <v>0</v>
      </c>
      <c r="CW395" s="72">
        <v>0</v>
      </c>
      <c r="CX395" s="72">
        <v>0</v>
      </c>
      <c r="CY395" s="72">
        <v>0</v>
      </c>
      <c r="CZ395" s="72">
        <v>0</v>
      </c>
      <c r="DA395" s="72">
        <v>0</v>
      </c>
      <c r="DB395" s="72">
        <v>0</v>
      </c>
      <c r="DC395" s="72">
        <v>0</v>
      </c>
      <c r="DD395" s="72">
        <v>0</v>
      </c>
      <c r="DE395" s="72">
        <v>0</v>
      </c>
      <c r="DF395" s="72">
        <v>0</v>
      </c>
      <c r="DG395" s="72">
        <v>0</v>
      </c>
      <c r="DH395" s="72">
        <v>0</v>
      </c>
      <c r="DI395" s="72">
        <v>0</v>
      </c>
      <c r="DJ395" s="72">
        <v>0</v>
      </c>
      <c r="DK395" s="72">
        <v>0</v>
      </c>
      <c r="DL395" s="72">
        <v>0</v>
      </c>
      <c r="DM395" s="72">
        <v>0</v>
      </c>
      <c r="DN395" s="72">
        <v>0</v>
      </c>
      <c r="DO395" s="72">
        <v>0</v>
      </c>
      <c r="DP395" s="72">
        <v>0</v>
      </c>
      <c r="DQ395" s="72">
        <v>0</v>
      </c>
      <c r="DR395" s="72">
        <v>0</v>
      </c>
      <c r="DS395" s="72">
        <v>0</v>
      </c>
      <c r="DT395" s="72">
        <v>0</v>
      </c>
      <c r="DU395" s="72">
        <v>0</v>
      </c>
      <c r="DV395" s="72">
        <v>0</v>
      </c>
      <c r="DW395" s="72">
        <v>0</v>
      </c>
      <c r="DX395" s="72">
        <v>0</v>
      </c>
      <c r="DY395" s="72">
        <v>0</v>
      </c>
      <c r="DZ395" s="72">
        <v>0</v>
      </c>
      <c r="EA395" s="72">
        <v>0</v>
      </c>
      <c r="EB395" s="72">
        <v>0</v>
      </c>
      <c r="EC395" s="72">
        <v>0</v>
      </c>
      <c r="ED395" s="72">
        <v>0</v>
      </c>
      <c r="EE395" s="72">
        <v>0</v>
      </c>
      <c r="EF395" s="72">
        <v>0</v>
      </c>
      <c r="EG395" s="72">
        <v>0</v>
      </c>
      <c r="EH395" s="72">
        <v>0</v>
      </c>
      <c r="EI395" s="72">
        <v>0</v>
      </c>
      <c r="EJ395" s="72">
        <v>0</v>
      </c>
      <c r="EK395" s="72">
        <v>0</v>
      </c>
      <c r="EL395" s="72">
        <v>0</v>
      </c>
    </row>
    <row r="396" spans="1:142" x14ac:dyDescent="0.35">
      <c r="A396" s="59">
        <f>Данные!A396</f>
        <v>6368</v>
      </c>
      <c r="B396" s="59">
        <f>Данные!B396</f>
        <v>2021</v>
      </c>
      <c r="C396" s="59" t="str">
        <f>Данные!C396</f>
        <v>компьютерных технологий и электронного обучения</v>
      </c>
      <c r="D396" s="59" t="str">
        <f>Данные!D396</f>
        <v>Иванова Екатерина Алексеевна</v>
      </c>
      <c r="E396" s="59" t="str">
        <f>Данные!E396</f>
        <v>нет</v>
      </c>
      <c r="F396" s="59" t="str">
        <f>Данные!F396</f>
        <v>ассистент</v>
      </c>
      <c r="G396" s="59">
        <f>Данные!G396</f>
        <v>0.25</v>
      </c>
      <c r="H396" s="59" t="str">
        <f>Данные!H396</f>
        <v>4 курс 2018 год/пост</v>
      </c>
      <c r="I396" s="59" t="str">
        <f>Данные!I396</f>
        <v>Модуль "Информационные ресурсы и средства профессиональной деятельности инженера". Визуализация данных и инфографика</v>
      </c>
      <c r="J396" s="59">
        <f>Данные!J396</f>
        <v>0</v>
      </c>
      <c r="K396" s="59">
        <f>Данные!K396</f>
        <v>0</v>
      </c>
      <c r="L396" s="59">
        <f>Данные!L396</f>
        <v>54</v>
      </c>
      <c r="M396" s="60">
        <f t="shared" si="54"/>
        <v>5.4</v>
      </c>
      <c r="N396" s="60">
        <f t="shared" ca="1" si="55"/>
        <v>14.870000000000001</v>
      </c>
      <c r="O396" s="60">
        <f t="shared" ca="1" si="56"/>
        <v>9.75</v>
      </c>
      <c r="P396" s="60">
        <f t="shared" ca="1" si="57"/>
        <v>9.75</v>
      </c>
      <c r="Q396" s="54">
        <f>Данные!Q396</f>
        <v>0</v>
      </c>
      <c r="R396" s="54">
        <f>Данные!R396</f>
        <v>0</v>
      </c>
      <c r="S396" s="54">
        <f>Данные!S396</f>
        <v>0</v>
      </c>
      <c r="T396" s="54">
        <f>Данные!T396</f>
        <v>0</v>
      </c>
      <c r="U396" s="54">
        <f>Данные!U396</f>
        <v>0</v>
      </c>
      <c r="V396" s="54">
        <f>Данные!V396</f>
        <v>0</v>
      </c>
      <c r="W396" s="54">
        <f ca="1">Данные!W396</f>
        <v>39</v>
      </c>
      <c r="X396" s="54" t="str">
        <f ca="1">Данные!X396</f>
        <v>2</v>
      </c>
      <c r="Y396" s="54" t="str">
        <f ca="1">Данные!Y396</f>
        <v>3</v>
      </c>
      <c r="Z396" s="54">
        <f>Данные!Z396</f>
        <v>0</v>
      </c>
      <c r="AA396" s="54">
        <f>Данные!AA396</f>
        <v>0</v>
      </c>
      <c r="AB396" s="101">
        <f t="shared" si="58"/>
        <v>900</v>
      </c>
      <c r="AC396" s="101" t="str">
        <f t="shared" si="59"/>
        <v>ИВТ (бак)</v>
      </c>
      <c r="AD396" s="101" t="str">
        <f t="shared" si="60"/>
        <v/>
      </c>
      <c r="AE396" s="102">
        <f t="shared" ca="1" si="61"/>
        <v>93.77</v>
      </c>
      <c r="AF396" s="103">
        <f t="shared" ca="1" si="62"/>
        <v>0.10418888888888889</v>
      </c>
      <c r="AG396" s="101"/>
      <c r="AH396" s="101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Q396" s="72">
        <v>0</v>
      </c>
      <c r="BR396" s="72">
        <v>0</v>
      </c>
      <c r="BS396" s="72">
        <v>0</v>
      </c>
      <c r="BT396" s="72">
        <v>0</v>
      </c>
      <c r="BU396" s="72">
        <v>0</v>
      </c>
      <c r="BV396" s="72">
        <v>0</v>
      </c>
      <c r="BW396" s="72">
        <v>0</v>
      </c>
      <c r="BX396" s="72">
        <v>0</v>
      </c>
      <c r="BY396" s="72">
        <v>0</v>
      </c>
      <c r="BZ396" s="72">
        <v>0</v>
      </c>
      <c r="CA396" s="72">
        <v>0</v>
      </c>
      <c r="CB396" s="72">
        <v>0</v>
      </c>
      <c r="CC396" s="72">
        <v>0</v>
      </c>
      <c r="CD396" s="72">
        <v>0</v>
      </c>
      <c r="CE396" s="72">
        <v>0</v>
      </c>
      <c r="CF396" s="72">
        <v>0</v>
      </c>
      <c r="CG396" s="72">
        <v>0</v>
      </c>
      <c r="CH396" s="72">
        <v>0</v>
      </c>
      <c r="CI396" s="72">
        <v>0</v>
      </c>
      <c r="CJ396" s="72">
        <v>0</v>
      </c>
      <c r="CK396" s="72">
        <v>0</v>
      </c>
      <c r="CL396" s="72">
        <v>0</v>
      </c>
      <c r="CM396" s="72">
        <v>0</v>
      </c>
      <c r="CN396" s="72">
        <v>0</v>
      </c>
      <c r="CO396" s="72">
        <v>0</v>
      </c>
      <c r="CP396" s="72">
        <v>0</v>
      </c>
      <c r="CQ396" s="72">
        <v>0</v>
      </c>
      <c r="CR396" s="72">
        <v>0</v>
      </c>
      <c r="CS396" s="72">
        <v>0</v>
      </c>
      <c r="CT396" s="72">
        <v>0</v>
      </c>
      <c r="CU396" s="72">
        <v>0</v>
      </c>
      <c r="CV396" s="72">
        <v>0</v>
      </c>
      <c r="CW396" s="72">
        <v>0</v>
      </c>
      <c r="CX396" s="72">
        <v>0</v>
      </c>
      <c r="CY396" s="72">
        <v>0</v>
      </c>
      <c r="CZ396" s="72">
        <v>0</v>
      </c>
      <c r="DA396" s="72">
        <v>0</v>
      </c>
      <c r="DB396" s="72">
        <v>0</v>
      </c>
      <c r="DC396" s="72">
        <v>0</v>
      </c>
      <c r="DD396" s="72">
        <v>0</v>
      </c>
      <c r="DE396" s="72">
        <v>0</v>
      </c>
      <c r="DF396" s="72">
        <v>0</v>
      </c>
      <c r="DG396" s="72">
        <v>0</v>
      </c>
      <c r="DH396" s="72">
        <v>0</v>
      </c>
      <c r="DI396" s="72">
        <v>0</v>
      </c>
      <c r="DJ396" s="72">
        <v>0</v>
      </c>
      <c r="DK396" s="72">
        <v>0</v>
      </c>
      <c r="DL396" s="72">
        <v>0</v>
      </c>
      <c r="DM396" s="72">
        <v>0</v>
      </c>
      <c r="DN396" s="72">
        <v>0</v>
      </c>
      <c r="DO396" s="72">
        <v>0</v>
      </c>
      <c r="DP396" s="72">
        <v>0</v>
      </c>
      <c r="DQ396" s="72">
        <v>0</v>
      </c>
      <c r="DR396" s="72">
        <v>0</v>
      </c>
      <c r="DS396" s="72">
        <v>0</v>
      </c>
      <c r="DT396" s="72">
        <v>0</v>
      </c>
      <c r="DU396" s="72">
        <v>0</v>
      </c>
      <c r="DV396" s="72">
        <v>0</v>
      </c>
      <c r="DW396" s="72">
        <v>0</v>
      </c>
      <c r="DX396" s="72">
        <v>0</v>
      </c>
      <c r="DY396" s="72">
        <v>0</v>
      </c>
      <c r="DZ396" s="72">
        <v>0</v>
      </c>
      <c r="EA396" s="72">
        <v>0</v>
      </c>
      <c r="EB396" s="72">
        <v>0</v>
      </c>
      <c r="EC396" s="72">
        <v>0</v>
      </c>
      <c r="ED396" s="72">
        <v>0</v>
      </c>
      <c r="EE396" s="72">
        <v>0</v>
      </c>
      <c r="EF396" s="72">
        <v>0</v>
      </c>
      <c r="EG396" s="72">
        <v>0</v>
      </c>
      <c r="EH396" s="72">
        <v>0</v>
      </c>
      <c r="EI396" s="72">
        <v>0</v>
      </c>
      <c r="EJ396" s="72">
        <v>0</v>
      </c>
      <c r="EK396" s="72">
        <v>0</v>
      </c>
      <c r="EL396" s="72">
        <v>0</v>
      </c>
    </row>
    <row r="397" spans="1:142" x14ac:dyDescent="0.35">
      <c r="A397" s="59">
        <f>Данные!A397</f>
        <v>6368</v>
      </c>
      <c r="B397" s="59">
        <f>Данные!B397</f>
        <v>2021</v>
      </c>
      <c r="C397" s="59" t="str">
        <f>Данные!C397</f>
        <v>компьютерных технологий и электронного обучения</v>
      </c>
      <c r="D397" s="59" t="str">
        <f>Данные!D397</f>
        <v>Жуков Николай Николаевич</v>
      </c>
      <c r="E397" s="59" t="str">
        <f>Данные!E397</f>
        <v>нет</v>
      </c>
      <c r="F397" s="59" t="str">
        <f>Данные!F397</f>
        <v>ассистент</v>
      </c>
      <c r="G397" s="59">
        <f>Данные!G397</f>
        <v>1</v>
      </c>
      <c r="H397" s="59" t="str">
        <f>Данные!H397</f>
        <v>4 курс 2018 год/пост</v>
      </c>
      <c r="I397" s="59" t="str">
        <f>Данные!I397</f>
        <v>Модуль "Информационные ресурсы и средства профессиональной деятельности инженера". Программная инженерия</v>
      </c>
      <c r="J397" s="59">
        <f>Данные!J397</f>
        <v>0</v>
      </c>
      <c r="K397" s="59">
        <f>Данные!K397</f>
        <v>48</v>
      </c>
      <c r="L397" s="59">
        <f>Данные!L397</f>
        <v>0</v>
      </c>
      <c r="M397" s="60">
        <f t="shared" si="54"/>
        <v>4.8</v>
      </c>
      <c r="N397" s="60">
        <f t="shared" ca="1" si="55"/>
        <v>14.870000000000001</v>
      </c>
      <c r="O397" s="60">
        <f t="shared" ca="1" si="56"/>
        <v>9.75</v>
      </c>
      <c r="P397" s="60">
        <f t="shared" ca="1" si="57"/>
        <v>9.75</v>
      </c>
      <c r="Q397" s="54">
        <f>Данные!Q397</f>
        <v>0</v>
      </c>
      <c r="R397" s="54">
        <f>Данные!R397</f>
        <v>0</v>
      </c>
      <c r="S397" s="54">
        <f>Данные!S397</f>
        <v>0</v>
      </c>
      <c r="T397" s="54">
        <f>Данные!T397</f>
        <v>0</v>
      </c>
      <c r="U397" s="54">
        <f>Данные!U397</f>
        <v>0</v>
      </c>
      <c r="V397" s="54">
        <f>Данные!V397</f>
        <v>0</v>
      </c>
      <c r="W397" s="54">
        <f ca="1">Данные!W397</f>
        <v>39</v>
      </c>
      <c r="X397" s="54" t="str">
        <f ca="1">Данные!X397</f>
        <v>2</v>
      </c>
      <c r="Y397" s="54" t="str">
        <f ca="1">Данные!Y397</f>
        <v>3</v>
      </c>
      <c r="Z397" s="54">
        <f>Данные!Z397</f>
        <v>0</v>
      </c>
      <c r="AA397" s="54">
        <f>Данные!AA397</f>
        <v>0</v>
      </c>
      <c r="AB397" s="101">
        <f t="shared" si="58"/>
        <v>900</v>
      </c>
      <c r="AC397" s="101" t="str">
        <f t="shared" si="59"/>
        <v>ИВТ (бак)</v>
      </c>
      <c r="AD397" s="101" t="str">
        <f t="shared" si="60"/>
        <v/>
      </c>
      <c r="AE397" s="102">
        <f t="shared" ca="1" si="61"/>
        <v>87.17</v>
      </c>
      <c r="AF397" s="103">
        <f t="shared" ca="1" si="62"/>
        <v>9.6855555555555556E-2</v>
      </c>
      <c r="AG397" s="101"/>
      <c r="AH397" s="101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Q397" s="72">
        <v>0</v>
      </c>
      <c r="BR397" s="72">
        <v>0</v>
      </c>
      <c r="BS397" s="72">
        <v>0</v>
      </c>
      <c r="BT397" s="72">
        <v>0</v>
      </c>
      <c r="BU397" s="72">
        <v>0</v>
      </c>
      <c r="BV397" s="72">
        <v>0</v>
      </c>
      <c r="BW397" s="72">
        <v>0</v>
      </c>
      <c r="BX397" s="72">
        <v>0</v>
      </c>
      <c r="BY397" s="72">
        <v>0</v>
      </c>
      <c r="BZ397" s="72">
        <v>0</v>
      </c>
      <c r="CA397" s="72">
        <v>0</v>
      </c>
      <c r="CB397" s="72">
        <v>0</v>
      </c>
      <c r="CC397" s="72">
        <v>0</v>
      </c>
      <c r="CD397" s="72">
        <v>0</v>
      </c>
      <c r="CE397" s="72">
        <v>0</v>
      </c>
      <c r="CF397" s="72">
        <v>0</v>
      </c>
      <c r="CG397" s="72">
        <v>0</v>
      </c>
      <c r="CH397" s="72">
        <v>0</v>
      </c>
      <c r="CI397" s="72">
        <v>0</v>
      </c>
      <c r="CJ397" s="72">
        <v>0</v>
      </c>
      <c r="CK397" s="72">
        <v>0</v>
      </c>
      <c r="CL397" s="72">
        <v>0</v>
      </c>
      <c r="CM397" s="72">
        <v>0</v>
      </c>
      <c r="CN397" s="72">
        <v>0</v>
      </c>
      <c r="CO397" s="72">
        <v>0</v>
      </c>
      <c r="CP397" s="72">
        <v>0</v>
      </c>
      <c r="CQ397" s="72">
        <v>0</v>
      </c>
      <c r="CR397" s="72">
        <v>0</v>
      </c>
      <c r="CS397" s="72">
        <v>0</v>
      </c>
      <c r="CT397" s="72">
        <v>0</v>
      </c>
      <c r="CU397" s="72">
        <v>0</v>
      </c>
      <c r="CV397" s="72">
        <v>0</v>
      </c>
      <c r="CW397" s="72">
        <v>0</v>
      </c>
      <c r="CX397" s="72">
        <v>0</v>
      </c>
      <c r="CY397" s="72">
        <v>0</v>
      </c>
      <c r="CZ397" s="72">
        <v>0</v>
      </c>
      <c r="DA397" s="72">
        <v>0</v>
      </c>
      <c r="DB397" s="72">
        <v>0</v>
      </c>
      <c r="DC397" s="72">
        <v>0</v>
      </c>
      <c r="DD397" s="72">
        <v>0</v>
      </c>
      <c r="DE397" s="72">
        <v>0</v>
      </c>
      <c r="DF397" s="72">
        <v>0</v>
      </c>
      <c r="DG397" s="72">
        <v>0</v>
      </c>
      <c r="DH397" s="72">
        <v>0</v>
      </c>
      <c r="DI397" s="72">
        <v>0</v>
      </c>
      <c r="DJ397" s="72">
        <v>0</v>
      </c>
      <c r="DK397" s="72">
        <v>0</v>
      </c>
      <c r="DL397" s="72">
        <v>0</v>
      </c>
      <c r="DM397" s="72">
        <v>0</v>
      </c>
      <c r="DN397" s="72">
        <v>0</v>
      </c>
      <c r="DO397" s="72">
        <v>0</v>
      </c>
      <c r="DP397" s="72">
        <v>0</v>
      </c>
      <c r="DQ397" s="72">
        <v>0</v>
      </c>
      <c r="DR397" s="72">
        <v>0</v>
      </c>
      <c r="DS397" s="72">
        <v>0</v>
      </c>
      <c r="DT397" s="72">
        <v>0</v>
      </c>
      <c r="DU397" s="72">
        <v>0</v>
      </c>
      <c r="DV397" s="72">
        <v>0</v>
      </c>
      <c r="DW397" s="72">
        <v>0</v>
      </c>
      <c r="DX397" s="72">
        <v>0</v>
      </c>
      <c r="DY397" s="72">
        <v>0</v>
      </c>
      <c r="DZ397" s="72">
        <v>0</v>
      </c>
      <c r="EA397" s="72">
        <v>0</v>
      </c>
      <c r="EB397" s="72">
        <v>0</v>
      </c>
      <c r="EC397" s="72">
        <v>0</v>
      </c>
      <c r="ED397" s="72">
        <v>0</v>
      </c>
      <c r="EE397" s="72">
        <v>0</v>
      </c>
      <c r="EF397" s="72">
        <v>0</v>
      </c>
      <c r="EG397" s="72">
        <v>0</v>
      </c>
      <c r="EH397" s="72">
        <v>0</v>
      </c>
      <c r="EI397" s="72">
        <v>0</v>
      </c>
      <c r="EJ397" s="72">
        <v>0</v>
      </c>
      <c r="EK397" s="72">
        <v>0</v>
      </c>
      <c r="EL397" s="72">
        <v>0</v>
      </c>
    </row>
    <row r="398" spans="1:142" x14ac:dyDescent="0.35">
      <c r="A398" s="59">
        <f>Данные!A398</f>
        <v>6368</v>
      </c>
      <c r="B398" s="59">
        <f>Данные!B398</f>
        <v>2021</v>
      </c>
      <c r="C398" s="59" t="str">
        <f>Данные!C398</f>
        <v>компьютерных технологий и электронного обучения</v>
      </c>
      <c r="D398" s="59" t="str">
        <f>Данные!D398</f>
        <v>Воробьев Владимир Иванович</v>
      </c>
      <c r="E398" s="59" t="str">
        <f>Данные!E398</f>
        <v>доктор технических наук</v>
      </c>
      <c r="F398" s="59" t="str">
        <f>Данные!F398</f>
        <v>внешний</v>
      </c>
      <c r="G398" s="59">
        <f>Данные!G398</f>
        <v>1</v>
      </c>
      <c r="H398" s="59" t="str">
        <f>Данные!H398</f>
        <v>4 курс 2018 год/пост</v>
      </c>
      <c r="I398" s="59" t="str">
        <f>Данные!I398</f>
        <v>Модуль "Информационные ресурсы и средства профессиональной деятельности инженера". Программная инженерия</v>
      </c>
      <c r="J398" s="59">
        <f>Данные!J398</f>
        <v>12</v>
      </c>
      <c r="K398" s="59">
        <f>Данные!K398</f>
        <v>0</v>
      </c>
      <c r="L398" s="59">
        <f>Данные!L398</f>
        <v>0</v>
      </c>
      <c r="M398" s="60">
        <f t="shared" si="54"/>
        <v>1.2</v>
      </c>
      <c r="N398" s="60">
        <f t="shared" ca="1" si="55"/>
        <v>14.870000000000001</v>
      </c>
      <c r="O398" s="60">
        <f t="shared" ca="1" si="56"/>
        <v>9.75</v>
      </c>
      <c r="P398" s="60">
        <f t="shared" ca="1" si="57"/>
        <v>9.75</v>
      </c>
      <c r="Q398" s="54">
        <f>Данные!Q398</f>
        <v>0</v>
      </c>
      <c r="R398" s="54">
        <f>Данные!R398</f>
        <v>0</v>
      </c>
      <c r="S398" s="54">
        <f>Данные!S398</f>
        <v>0</v>
      </c>
      <c r="T398" s="54">
        <f>Данные!T398</f>
        <v>0</v>
      </c>
      <c r="U398" s="54">
        <f>Данные!U398</f>
        <v>0</v>
      </c>
      <c r="V398" s="54">
        <f>Данные!V398</f>
        <v>0</v>
      </c>
      <c r="W398" s="54">
        <f ca="1">Данные!W398</f>
        <v>39</v>
      </c>
      <c r="X398" s="54" t="str">
        <f ca="1">Данные!X398</f>
        <v>2</v>
      </c>
      <c r="Y398" s="54" t="str">
        <f ca="1">Данные!Y398</f>
        <v>3</v>
      </c>
      <c r="Z398" s="54">
        <f>Данные!Z398</f>
        <v>0</v>
      </c>
      <c r="AA398" s="54">
        <f>Данные!AA398</f>
        <v>0</v>
      </c>
      <c r="AB398" s="101">
        <f t="shared" si="58"/>
        <v>900</v>
      </c>
      <c r="AC398" s="101" t="str">
        <f t="shared" si="59"/>
        <v>ИВТ (бак)</v>
      </c>
      <c r="AD398" s="101" t="str">
        <f t="shared" si="60"/>
        <v/>
      </c>
      <c r="AE398" s="102">
        <f t="shared" ca="1" si="61"/>
        <v>47.57</v>
      </c>
      <c r="AF398" s="103">
        <f t="shared" ca="1" si="62"/>
        <v>5.2855555555555558E-2</v>
      </c>
      <c r="AG398" s="101"/>
      <c r="AH398" s="101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Q398" s="72">
        <v>0</v>
      </c>
      <c r="BR398" s="72">
        <v>0</v>
      </c>
      <c r="BS398" s="72">
        <v>0</v>
      </c>
      <c r="BT398" s="72">
        <v>0</v>
      </c>
      <c r="BU398" s="72">
        <v>0</v>
      </c>
      <c r="BV398" s="72">
        <v>0</v>
      </c>
      <c r="BW398" s="72">
        <v>0</v>
      </c>
      <c r="BX398" s="72">
        <v>0</v>
      </c>
      <c r="BY398" s="72">
        <v>0</v>
      </c>
      <c r="BZ398" s="72">
        <v>0</v>
      </c>
      <c r="CA398" s="72">
        <v>0</v>
      </c>
      <c r="CB398" s="72">
        <v>0</v>
      </c>
      <c r="CC398" s="72">
        <v>0</v>
      </c>
      <c r="CD398" s="72">
        <v>0</v>
      </c>
      <c r="CE398" s="72">
        <v>0</v>
      </c>
      <c r="CF398" s="72">
        <v>0</v>
      </c>
      <c r="CG398" s="72">
        <v>0</v>
      </c>
      <c r="CH398" s="72">
        <v>0</v>
      </c>
      <c r="CI398" s="72">
        <v>0</v>
      </c>
      <c r="CJ398" s="72">
        <v>0</v>
      </c>
      <c r="CK398" s="72">
        <v>0</v>
      </c>
      <c r="CL398" s="72">
        <v>0</v>
      </c>
      <c r="CM398" s="72">
        <v>0</v>
      </c>
      <c r="CN398" s="72">
        <v>0</v>
      </c>
      <c r="CO398" s="72">
        <v>0</v>
      </c>
      <c r="CP398" s="72">
        <v>0</v>
      </c>
      <c r="CQ398" s="72">
        <v>0</v>
      </c>
      <c r="CR398" s="72">
        <v>0</v>
      </c>
      <c r="CS398" s="72">
        <v>0</v>
      </c>
      <c r="CT398" s="72">
        <v>0</v>
      </c>
      <c r="CU398" s="72">
        <v>0</v>
      </c>
      <c r="CV398" s="72">
        <v>0</v>
      </c>
      <c r="CW398" s="72">
        <v>0</v>
      </c>
      <c r="CX398" s="72">
        <v>0</v>
      </c>
      <c r="CY398" s="72">
        <v>0</v>
      </c>
      <c r="CZ398" s="72">
        <v>0</v>
      </c>
      <c r="DA398" s="72">
        <v>0</v>
      </c>
      <c r="DB398" s="72">
        <v>0</v>
      </c>
      <c r="DC398" s="72">
        <v>0</v>
      </c>
      <c r="DD398" s="72">
        <v>0</v>
      </c>
      <c r="DE398" s="72">
        <v>0</v>
      </c>
      <c r="DF398" s="72">
        <v>0</v>
      </c>
      <c r="DG398" s="72">
        <v>0</v>
      </c>
      <c r="DH398" s="72">
        <v>0</v>
      </c>
      <c r="DI398" s="72">
        <v>0</v>
      </c>
      <c r="DJ398" s="72">
        <v>0</v>
      </c>
      <c r="DK398" s="72">
        <v>0</v>
      </c>
      <c r="DL398" s="72">
        <v>0</v>
      </c>
      <c r="DM398" s="72">
        <v>0</v>
      </c>
      <c r="DN398" s="72">
        <v>0</v>
      </c>
      <c r="DO398" s="72">
        <v>0</v>
      </c>
      <c r="DP398" s="72">
        <v>0</v>
      </c>
      <c r="DQ398" s="72">
        <v>0</v>
      </c>
      <c r="DR398" s="72">
        <v>0</v>
      </c>
      <c r="DS398" s="72">
        <v>0</v>
      </c>
      <c r="DT398" s="72">
        <v>0</v>
      </c>
      <c r="DU398" s="72">
        <v>0</v>
      </c>
      <c r="DV398" s="72">
        <v>0</v>
      </c>
      <c r="DW398" s="72">
        <v>0</v>
      </c>
      <c r="DX398" s="72">
        <v>0</v>
      </c>
      <c r="DY398" s="72">
        <v>0</v>
      </c>
      <c r="DZ398" s="72">
        <v>0</v>
      </c>
      <c r="EA398" s="72">
        <v>0</v>
      </c>
      <c r="EB398" s="72">
        <v>0</v>
      </c>
      <c r="EC398" s="72">
        <v>0</v>
      </c>
      <c r="ED398" s="72">
        <v>0</v>
      </c>
      <c r="EE398" s="72">
        <v>0</v>
      </c>
      <c r="EF398" s="72">
        <v>0</v>
      </c>
      <c r="EG398" s="72">
        <v>0</v>
      </c>
      <c r="EH398" s="72">
        <v>0</v>
      </c>
      <c r="EI398" s="72">
        <v>0</v>
      </c>
      <c r="EJ398" s="72">
        <v>0</v>
      </c>
      <c r="EK398" s="72">
        <v>0</v>
      </c>
      <c r="EL398" s="72">
        <v>0</v>
      </c>
    </row>
    <row r="399" spans="1:142" x14ac:dyDescent="0.35">
      <c r="A399" s="59">
        <f>Данные!A399</f>
        <v>6368</v>
      </c>
      <c r="B399" s="59">
        <f>Данные!B399</f>
        <v>2021</v>
      </c>
      <c r="C399" s="59" t="str">
        <f>Данные!C399</f>
        <v>компьютерных технологий и электронного обучения</v>
      </c>
      <c r="D399" s="59" t="str">
        <f>Данные!D399</f>
        <v>Атаян Ануш Михайловна</v>
      </c>
      <c r="E399" s="59" t="str">
        <f>Данные!E399</f>
        <v>кандидат педагогических наук</v>
      </c>
      <c r="F399" s="59" t="str">
        <f>Данные!F399</f>
        <v>доцент</v>
      </c>
      <c r="G399" s="59">
        <f>Данные!G399</f>
        <v>1</v>
      </c>
      <c r="H399" s="59" t="str">
        <f>Данные!H399</f>
        <v>4 курс 2018 год/пост</v>
      </c>
      <c r="I399" s="59" t="str">
        <f>Данные!I399</f>
        <v>Модуль "Информационные технологии в управлении IT-компании". Информационные технологии оценки персонала</v>
      </c>
      <c r="J399" s="59">
        <f>Данные!J399</f>
        <v>18</v>
      </c>
      <c r="K399" s="59">
        <f>Данные!K399</f>
        <v>0</v>
      </c>
      <c r="L399" s="59">
        <f>Данные!L399</f>
        <v>54</v>
      </c>
      <c r="M399" s="60">
        <f t="shared" si="54"/>
        <v>7.2</v>
      </c>
      <c r="N399" s="60">
        <f t="shared" ca="1" si="55"/>
        <v>14.870000000000001</v>
      </c>
      <c r="O399" s="60">
        <f t="shared" ca="1" si="56"/>
        <v>9.75</v>
      </c>
      <c r="P399" s="60">
        <f t="shared" ca="1" si="57"/>
        <v>9.75</v>
      </c>
      <c r="Q399" s="54">
        <f>Данные!Q399</f>
        <v>0</v>
      </c>
      <c r="R399" s="54">
        <f>Данные!R399</f>
        <v>0</v>
      </c>
      <c r="S399" s="54">
        <f>Данные!S399</f>
        <v>0</v>
      </c>
      <c r="T399" s="54">
        <f>Данные!T399</f>
        <v>0</v>
      </c>
      <c r="U399" s="54">
        <f>Данные!U399</f>
        <v>0</v>
      </c>
      <c r="V399" s="54">
        <f>Данные!V399</f>
        <v>0</v>
      </c>
      <c r="W399" s="54">
        <f ca="1">Данные!W399</f>
        <v>39</v>
      </c>
      <c r="X399" s="54" t="str">
        <f ca="1">Данные!X399</f>
        <v>2</v>
      </c>
      <c r="Y399" s="54" t="str">
        <f ca="1">Данные!Y399</f>
        <v>3</v>
      </c>
      <c r="Z399" s="54">
        <f>Данные!Z399</f>
        <v>0</v>
      </c>
      <c r="AA399" s="54">
        <f>Данные!AA399</f>
        <v>0</v>
      </c>
      <c r="AB399" s="101">
        <f t="shared" si="58"/>
        <v>800</v>
      </c>
      <c r="AC399" s="101" t="str">
        <f t="shared" si="59"/>
        <v>ИВТ (бак)</v>
      </c>
      <c r="AD399" s="101" t="str">
        <f t="shared" si="60"/>
        <v/>
      </c>
      <c r="AE399" s="102">
        <f t="shared" ca="1" si="61"/>
        <v>113.57000000000001</v>
      </c>
      <c r="AF399" s="103">
        <f t="shared" ca="1" si="62"/>
        <v>0.14196250000000002</v>
      </c>
      <c r="AG399" s="101"/>
      <c r="AH399" s="101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Q399" s="72">
        <v>0</v>
      </c>
      <c r="BR399" s="72">
        <v>0</v>
      </c>
      <c r="BS399" s="72">
        <v>0</v>
      </c>
      <c r="BT399" s="72">
        <v>0</v>
      </c>
      <c r="BU399" s="72">
        <v>0</v>
      </c>
      <c r="BV399" s="72">
        <v>0</v>
      </c>
      <c r="BW399" s="72">
        <v>0</v>
      </c>
      <c r="BX399" s="72">
        <v>0</v>
      </c>
      <c r="BY399" s="72">
        <v>0</v>
      </c>
      <c r="BZ399" s="72">
        <v>0</v>
      </c>
      <c r="CA399" s="72">
        <v>0</v>
      </c>
      <c r="CB399" s="72">
        <v>0</v>
      </c>
      <c r="CC399" s="72">
        <v>0</v>
      </c>
      <c r="CD399" s="72">
        <v>0</v>
      </c>
      <c r="CE399" s="72">
        <v>0</v>
      </c>
      <c r="CF399" s="72">
        <v>0</v>
      </c>
      <c r="CG399" s="72">
        <v>0</v>
      </c>
      <c r="CH399" s="72">
        <v>0</v>
      </c>
      <c r="CI399" s="72">
        <v>0</v>
      </c>
      <c r="CJ399" s="72">
        <v>0</v>
      </c>
      <c r="CK399" s="72">
        <v>0</v>
      </c>
      <c r="CL399" s="72">
        <v>0</v>
      </c>
      <c r="CM399" s="72">
        <v>0</v>
      </c>
      <c r="CN399" s="72">
        <v>0</v>
      </c>
      <c r="CO399" s="72">
        <v>0</v>
      </c>
      <c r="CP399" s="72">
        <v>0</v>
      </c>
      <c r="CQ399" s="72">
        <v>0</v>
      </c>
      <c r="CR399" s="72">
        <v>0</v>
      </c>
      <c r="CS399" s="72">
        <v>0</v>
      </c>
      <c r="CT399" s="72">
        <v>0</v>
      </c>
      <c r="CU399" s="72">
        <v>0</v>
      </c>
      <c r="CV399" s="72">
        <v>0</v>
      </c>
      <c r="CW399" s="72">
        <v>0</v>
      </c>
      <c r="CX399" s="72">
        <v>0</v>
      </c>
      <c r="CY399" s="72">
        <v>0</v>
      </c>
      <c r="CZ399" s="72">
        <v>0</v>
      </c>
      <c r="DA399" s="72">
        <v>0</v>
      </c>
      <c r="DB399" s="72">
        <v>0</v>
      </c>
      <c r="DC399" s="72">
        <v>0</v>
      </c>
      <c r="DD399" s="72">
        <v>0</v>
      </c>
      <c r="DE399" s="72">
        <v>0</v>
      </c>
      <c r="DF399" s="72">
        <v>0</v>
      </c>
      <c r="DG399" s="72">
        <v>0</v>
      </c>
      <c r="DH399" s="72">
        <v>0</v>
      </c>
      <c r="DI399" s="72">
        <v>0</v>
      </c>
      <c r="DJ399" s="72">
        <v>0</v>
      </c>
      <c r="DK399" s="72">
        <v>0</v>
      </c>
      <c r="DL399" s="72">
        <v>0</v>
      </c>
      <c r="DM399" s="72">
        <v>0</v>
      </c>
      <c r="DN399" s="72">
        <v>0</v>
      </c>
      <c r="DO399" s="72">
        <v>0</v>
      </c>
      <c r="DP399" s="72">
        <v>0</v>
      </c>
      <c r="DQ399" s="72">
        <v>0</v>
      </c>
      <c r="DR399" s="72">
        <v>0</v>
      </c>
      <c r="DS399" s="72">
        <v>0</v>
      </c>
      <c r="DT399" s="72">
        <v>0</v>
      </c>
      <c r="DU399" s="72">
        <v>0</v>
      </c>
      <c r="DV399" s="72">
        <v>0</v>
      </c>
      <c r="DW399" s="72">
        <v>0</v>
      </c>
      <c r="DX399" s="72">
        <v>0</v>
      </c>
      <c r="DY399" s="72">
        <v>0</v>
      </c>
      <c r="DZ399" s="72">
        <v>0</v>
      </c>
      <c r="EA399" s="72">
        <v>0</v>
      </c>
      <c r="EB399" s="72">
        <v>0</v>
      </c>
      <c r="EC399" s="72">
        <v>0</v>
      </c>
      <c r="ED399" s="72">
        <v>0</v>
      </c>
      <c r="EE399" s="72">
        <v>0</v>
      </c>
      <c r="EF399" s="72">
        <v>0</v>
      </c>
      <c r="EG399" s="72">
        <v>0</v>
      </c>
      <c r="EH399" s="72">
        <v>0</v>
      </c>
      <c r="EI399" s="72">
        <v>0</v>
      </c>
      <c r="EJ399" s="72">
        <v>0</v>
      </c>
      <c r="EK399" s="72">
        <v>0</v>
      </c>
      <c r="EL399" s="72">
        <v>0</v>
      </c>
    </row>
    <row r="400" spans="1:142" x14ac:dyDescent="0.35">
      <c r="A400" s="59">
        <f>Данные!A400</f>
        <v>6368</v>
      </c>
      <c r="B400" s="59">
        <f>Данные!B400</f>
        <v>2021</v>
      </c>
      <c r="C400" s="59" t="str">
        <f>Данные!C400</f>
        <v>компьютерных технологий и электронного обучения</v>
      </c>
      <c r="D400" s="59" t="str">
        <f>Данные!D400</f>
        <v>Власова Елена Зотиковна</v>
      </c>
      <c r="E400" s="59" t="str">
        <f>Данные!E400</f>
        <v>доктор педагогических наук</v>
      </c>
      <c r="F400" s="59" t="str">
        <f>Данные!F400</f>
        <v>заведующий кафедрой</v>
      </c>
      <c r="G400" s="59">
        <f>Данные!G400</f>
        <v>1</v>
      </c>
      <c r="H400" s="59" t="str">
        <f>Данные!H400</f>
        <v>4 курс 2018 год/пост</v>
      </c>
      <c r="I400" s="59" t="str">
        <f>Данные!I400</f>
        <v>Модуль "Информационные технологии и системы"</v>
      </c>
      <c r="J400" s="59">
        <f>Данные!J400</f>
        <v>0</v>
      </c>
      <c r="K400" s="59">
        <f>Данные!K400</f>
        <v>0</v>
      </c>
      <c r="L400" s="59">
        <f>Данные!L400</f>
        <v>0</v>
      </c>
      <c r="M400" s="60">
        <f t="shared" si="54"/>
        <v>0</v>
      </c>
      <c r="N400" s="60">
        <f t="shared" ca="1" si="55"/>
        <v>14.870000000000001</v>
      </c>
      <c r="O400" s="60">
        <f t="shared" ca="1" si="56"/>
        <v>9.75</v>
      </c>
      <c r="P400" s="60">
        <f t="shared" ca="1" si="57"/>
        <v>9.75</v>
      </c>
      <c r="Q400" s="54">
        <f>Данные!Q400</f>
        <v>0</v>
      </c>
      <c r="R400" s="54">
        <f>Данные!R400</f>
        <v>0</v>
      </c>
      <c r="S400" s="54">
        <f>Данные!S400</f>
        <v>0</v>
      </c>
      <c r="T400" s="54">
        <f>Данные!T400</f>
        <v>0</v>
      </c>
      <c r="U400" s="54">
        <f>Данные!U400</f>
        <v>0</v>
      </c>
      <c r="V400" s="54">
        <f>Данные!V400</f>
        <v>0</v>
      </c>
      <c r="W400" s="54">
        <f ca="1">Данные!W400</f>
        <v>39</v>
      </c>
      <c r="X400" s="54" t="str">
        <f ca="1">Данные!X400</f>
        <v>2</v>
      </c>
      <c r="Y400" s="54" t="str">
        <f ca="1">Данные!Y400</f>
        <v>3</v>
      </c>
      <c r="Z400" s="54">
        <f>Данные!Z400</f>
        <v>0</v>
      </c>
      <c r="AA400" s="54">
        <f>Данные!AA400</f>
        <v>0</v>
      </c>
      <c r="AB400" s="101">
        <f t="shared" si="58"/>
        <v>700</v>
      </c>
      <c r="AC400" s="101" t="str">
        <f t="shared" si="59"/>
        <v>ИВТ (бак)</v>
      </c>
      <c r="AD400" s="101" t="str">
        <f t="shared" si="60"/>
        <v/>
      </c>
      <c r="AE400" s="102">
        <f t="shared" ca="1" si="61"/>
        <v>34.370000000000005</v>
      </c>
      <c r="AF400" s="103">
        <f t="shared" ca="1" si="62"/>
        <v>4.9100000000000005E-2</v>
      </c>
      <c r="AG400" s="101"/>
      <c r="AH400" s="101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Q400" s="72">
        <v>0</v>
      </c>
      <c r="BR400" s="72">
        <v>0</v>
      </c>
      <c r="BS400" s="72">
        <v>0</v>
      </c>
      <c r="BT400" s="72">
        <v>0</v>
      </c>
      <c r="BU400" s="72">
        <v>0</v>
      </c>
      <c r="BV400" s="72">
        <v>0</v>
      </c>
      <c r="BW400" s="72">
        <v>0</v>
      </c>
      <c r="BX400" s="72">
        <v>0</v>
      </c>
      <c r="BY400" s="72">
        <v>0</v>
      </c>
      <c r="BZ400" s="72">
        <v>0</v>
      </c>
      <c r="CA400" s="72">
        <v>0</v>
      </c>
      <c r="CB400" s="72">
        <v>0</v>
      </c>
      <c r="CC400" s="72">
        <v>0</v>
      </c>
      <c r="CD400" s="72">
        <v>0</v>
      </c>
      <c r="CE400" s="72">
        <v>0</v>
      </c>
      <c r="CF400" s="72">
        <v>0</v>
      </c>
      <c r="CG400" s="72">
        <v>0</v>
      </c>
      <c r="CH400" s="72">
        <v>0</v>
      </c>
      <c r="CI400" s="72">
        <v>0</v>
      </c>
      <c r="CJ400" s="72">
        <v>0</v>
      </c>
      <c r="CK400" s="72">
        <v>0</v>
      </c>
      <c r="CL400" s="72">
        <v>0</v>
      </c>
      <c r="CM400" s="72">
        <v>0</v>
      </c>
      <c r="CN400" s="72">
        <v>0</v>
      </c>
      <c r="CO400" s="72">
        <v>0</v>
      </c>
      <c r="CP400" s="72">
        <v>0</v>
      </c>
      <c r="CQ400" s="72">
        <v>0</v>
      </c>
      <c r="CR400" s="72">
        <v>0</v>
      </c>
      <c r="CS400" s="72">
        <v>0</v>
      </c>
      <c r="CT400" s="72">
        <v>0</v>
      </c>
      <c r="CU400" s="72">
        <v>0</v>
      </c>
      <c r="CV400" s="72">
        <v>0</v>
      </c>
      <c r="CW400" s="72">
        <v>0</v>
      </c>
      <c r="CX400" s="72">
        <v>0</v>
      </c>
      <c r="CY400" s="72">
        <v>0</v>
      </c>
      <c r="CZ400" s="72">
        <v>0</v>
      </c>
      <c r="DA400" s="72">
        <v>0</v>
      </c>
      <c r="DB400" s="72">
        <v>0</v>
      </c>
      <c r="DC400" s="72">
        <v>0</v>
      </c>
      <c r="DD400" s="72">
        <v>0</v>
      </c>
      <c r="DE400" s="72">
        <v>0</v>
      </c>
      <c r="DF400" s="72">
        <v>0</v>
      </c>
      <c r="DG400" s="72">
        <v>0</v>
      </c>
      <c r="DH400" s="72">
        <v>0</v>
      </c>
      <c r="DI400" s="72">
        <v>0</v>
      </c>
      <c r="DJ400" s="72">
        <v>0</v>
      </c>
      <c r="DK400" s="72">
        <v>0</v>
      </c>
      <c r="DL400" s="72">
        <v>0</v>
      </c>
      <c r="DM400" s="72">
        <v>0</v>
      </c>
      <c r="DN400" s="72">
        <v>0</v>
      </c>
      <c r="DO400" s="72">
        <v>0</v>
      </c>
      <c r="DP400" s="72">
        <v>0</v>
      </c>
      <c r="DQ400" s="72">
        <v>0</v>
      </c>
      <c r="DR400" s="72">
        <v>0</v>
      </c>
      <c r="DS400" s="72">
        <v>0</v>
      </c>
      <c r="DT400" s="72">
        <v>0</v>
      </c>
      <c r="DU400" s="72">
        <v>0</v>
      </c>
      <c r="DV400" s="72">
        <v>0</v>
      </c>
      <c r="DW400" s="72">
        <v>0</v>
      </c>
      <c r="DX400" s="72">
        <v>0</v>
      </c>
      <c r="DY400" s="72">
        <v>0</v>
      </c>
      <c r="DZ400" s="72">
        <v>0</v>
      </c>
      <c r="EA400" s="72">
        <v>0</v>
      </c>
      <c r="EB400" s="72">
        <v>0</v>
      </c>
      <c r="EC400" s="72">
        <v>0</v>
      </c>
      <c r="ED400" s="72">
        <v>0</v>
      </c>
      <c r="EE400" s="72">
        <v>0</v>
      </c>
      <c r="EF400" s="72">
        <v>0</v>
      </c>
      <c r="EG400" s="72">
        <v>0</v>
      </c>
      <c r="EH400" s="72">
        <v>0</v>
      </c>
      <c r="EI400" s="72">
        <v>0</v>
      </c>
      <c r="EJ400" s="72">
        <v>0</v>
      </c>
      <c r="EK400" s="72">
        <v>0</v>
      </c>
      <c r="EL400" s="72">
        <v>0</v>
      </c>
    </row>
    <row r="401" spans="1:142" x14ac:dyDescent="0.35">
      <c r="A401" s="59">
        <f>Данные!A401</f>
        <v>6368</v>
      </c>
      <c r="B401" s="59">
        <f>Данные!B401</f>
        <v>2021</v>
      </c>
      <c r="C401" s="59" t="str">
        <f>Данные!C401</f>
        <v>компьютерных технологий и электронного обучения</v>
      </c>
      <c r="D401" s="59" t="str">
        <f>Данные!D401</f>
        <v>Абрамян Геннадий Владимирович</v>
      </c>
      <c r="E401" s="59" t="str">
        <f>Данные!E401</f>
        <v>доктор педагогических наук</v>
      </c>
      <c r="F401" s="59" t="str">
        <f>Данные!F401</f>
        <v>профессор</v>
      </c>
      <c r="G401" s="59">
        <f>Данные!G401</f>
        <v>1</v>
      </c>
      <c r="H401" s="59" t="str">
        <f>Данные!H401</f>
        <v>4 курс 2018 год/пост</v>
      </c>
      <c r="I401" s="59" t="str">
        <f>Данные!I401</f>
        <v>Модуль "Информационные технологии и системы"</v>
      </c>
      <c r="J401" s="59">
        <f>Данные!J401</f>
        <v>0</v>
      </c>
      <c r="K401" s="59">
        <f>Данные!K401</f>
        <v>0</v>
      </c>
      <c r="L401" s="59">
        <f>Данные!L401</f>
        <v>0</v>
      </c>
      <c r="M401" s="60">
        <f t="shared" si="54"/>
        <v>0</v>
      </c>
      <c r="N401" s="60">
        <f t="shared" ca="1" si="55"/>
        <v>14.870000000000001</v>
      </c>
      <c r="O401" s="60">
        <f t="shared" ca="1" si="56"/>
        <v>9.75</v>
      </c>
      <c r="P401" s="60">
        <f t="shared" ca="1" si="57"/>
        <v>9.75</v>
      </c>
      <c r="Q401" s="54">
        <f>Данные!Q401</f>
        <v>0</v>
      </c>
      <c r="R401" s="54">
        <f>Данные!R401</f>
        <v>0</v>
      </c>
      <c r="S401" s="54">
        <f>Данные!S401</f>
        <v>0</v>
      </c>
      <c r="T401" s="54">
        <f>Данные!T401</f>
        <v>0</v>
      </c>
      <c r="U401" s="54">
        <f>Данные!U401</f>
        <v>0</v>
      </c>
      <c r="V401" s="54">
        <f>Данные!V401</f>
        <v>0</v>
      </c>
      <c r="W401" s="54">
        <f ca="1">Данные!W401</f>
        <v>39</v>
      </c>
      <c r="X401" s="54" t="str">
        <f ca="1">Данные!X401</f>
        <v>2</v>
      </c>
      <c r="Y401" s="54" t="str">
        <f ca="1">Данные!Y401</f>
        <v>3</v>
      </c>
      <c r="Z401" s="54">
        <f>Данные!Z401</f>
        <v>0</v>
      </c>
      <c r="AA401" s="54">
        <f>Данные!AA401</f>
        <v>0</v>
      </c>
      <c r="AB401" s="101">
        <f t="shared" si="58"/>
        <v>750</v>
      </c>
      <c r="AC401" s="101" t="str">
        <f t="shared" si="59"/>
        <v>ИВТ (бак)</v>
      </c>
      <c r="AD401" s="101" t="str">
        <f t="shared" si="60"/>
        <v/>
      </c>
      <c r="AE401" s="102">
        <f t="shared" ca="1" si="61"/>
        <v>34.370000000000005</v>
      </c>
      <c r="AF401" s="103">
        <f t="shared" ca="1" si="62"/>
        <v>4.5826666666666675E-2</v>
      </c>
      <c r="AG401" s="101"/>
      <c r="AH401" s="1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Q401" s="72">
        <v>0</v>
      </c>
      <c r="BR401" s="72">
        <v>0</v>
      </c>
      <c r="BS401" s="72">
        <v>0</v>
      </c>
      <c r="BT401" s="72">
        <v>0</v>
      </c>
      <c r="BU401" s="72">
        <v>0</v>
      </c>
      <c r="BV401" s="72">
        <v>0</v>
      </c>
      <c r="BW401" s="72">
        <v>0</v>
      </c>
      <c r="BX401" s="72">
        <v>0</v>
      </c>
      <c r="BY401" s="72">
        <v>0</v>
      </c>
      <c r="BZ401" s="72">
        <v>0</v>
      </c>
      <c r="CA401" s="72">
        <v>0</v>
      </c>
      <c r="CB401" s="72">
        <v>0</v>
      </c>
      <c r="CC401" s="72">
        <v>0</v>
      </c>
      <c r="CD401" s="72">
        <v>0</v>
      </c>
      <c r="CE401" s="72">
        <v>0</v>
      </c>
      <c r="CF401" s="72">
        <v>0</v>
      </c>
      <c r="CG401" s="72">
        <v>0</v>
      </c>
      <c r="CH401" s="72">
        <v>0</v>
      </c>
      <c r="CI401" s="72">
        <v>0</v>
      </c>
      <c r="CJ401" s="72">
        <v>0</v>
      </c>
      <c r="CK401" s="72">
        <v>0</v>
      </c>
      <c r="CL401" s="72">
        <v>0</v>
      </c>
      <c r="CM401" s="72">
        <v>0</v>
      </c>
      <c r="CN401" s="72">
        <v>0</v>
      </c>
      <c r="CO401" s="72">
        <v>0</v>
      </c>
      <c r="CP401" s="72">
        <v>0</v>
      </c>
      <c r="CQ401" s="72">
        <v>0</v>
      </c>
      <c r="CR401" s="72">
        <v>0</v>
      </c>
      <c r="CS401" s="72">
        <v>0</v>
      </c>
      <c r="CT401" s="72">
        <v>0</v>
      </c>
      <c r="CU401" s="72">
        <v>0</v>
      </c>
      <c r="CV401" s="72">
        <v>0</v>
      </c>
      <c r="CW401" s="72">
        <v>0</v>
      </c>
      <c r="CX401" s="72">
        <v>0</v>
      </c>
      <c r="CY401" s="72">
        <v>0</v>
      </c>
      <c r="CZ401" s="72">
        <v>0</v>
      </c>
      <c r="DA401" s="72">
        <v>0</v>
      </c>
      <c r="DB401" s="72">
        <v>0</v>
      </c>
      <c r="DC401" s="72">
        <v>0</v>
      </c>
      <c r="DD401" s="72">
        <v>0</v>
      </c>
      <c r="DE401" s="72">
        <v>0</v>
      </c>
      <c r="DF401" s="72">
        <v>0</v>
      </c>
      <c r="DG401" s="72">
        <v>0</v>
      </c>
      <c r="DH401" s="72">
        <v>0</v>
      </c>
      <c r="DI401" s="72">
        <v>0</v>
      </c>
      <c r="DJ401" s="72">
        <v>0</v>
      </c>
      <c r="DK401" s="72">
        <v>0</v>
      </c>
      <c r="DL401" s="72">
        <v>0</v>
      </c>
      <c r="DM401" s="72">
        <v>0</v>
      </c>
      <c r="DN401" s="72">
        <v>0</v>
      </c>
      <c r="DO401" s="72">
        <v>0</v>
      </c>
      <c r="DP401" s="72">
        <v>0</v>
      </c>
      <c r="DQ401" s="72">
        <v>0</v>
      </c>
      <c r="DR401" s="72">
        <v>0</v>
      </c>
      <c r="DS401" s="72">
        <v>0</v>
      </c>
      <c r="DT401" s="72">
        <v>0</v>
      </c>
      <c r="DU401" s="72">
        <v>0</v>
      </c>
      <c r="DV401" s="72">
        <v>0</v>
      </c>
      <c r="DW401" s="72">
        <v>0</v>
      </c>
      <c r="DX401" s="72">
        <v>0</v>
      </c>
      <c r="DY401" s="72">
        <v>0</v>
      </c>
      <c r="DZ401" s="72">
        <v>0</v>
      </c>
      <c r="EA401" s="72">
        <v>0</v>
      </c>
      <c r="EB401" s="72">
        <v>0</v>
      </c>
      <c r="EC401" s="72">
        <v>0</v>
      </c>
      <c r="ED401" s="72">
        <v>0</v>
      </c>
      <c r="EE401" s="72">
        <v>0</v>
      </c>
      <c r="EF401" s="72">
        <v>0</v>
      </c>
      <c r="EG401" s="72">
        <v>0</v>
      </c>
      <c r="EH401" s="72">
        <v>0</v>
      </c>
      <c r="EI401" s="72">
        <v>0</v>
      </c>
      <c r="EJ401" s="72">
        <v>0</v>
      </c>
      <c r="EK401" s="72">
        <v>0</v>
      </c>
      <c r="EL401" s="72">
        <v>0</v>
      </c>
    </row>
    <row r="402" spans="1:142" x14ac:dyDescent="0.35">
      <c r="A402" s="59">
        <f>Данные!A402</f>
        <v>6368</v>
      </c>
      <c r="B402" s="59">
        <f>Данные!B402</f>
        <v>2021</v>
      </c>
      <c r="C402" s="59" t="str">
        <f>Данные!C402</f>
        <v>компьютерных технологий и электронного обучения</v>
      </c>
      <c r="D402" s="59" t="str">
        <f>Данные!D402</f>
        <v>Власова Елена Зотиковна</v>
      </c>
      <c r="E402" s="59" t="str">
        <f>Данные!E402</f>
        <v>доктор педагогических наук</v>
      </c>
      <c r="F402" s="59" t="str">
        <f>Данные!F402</f>
        <v>заведующий кафедрой</v>
      </c>
      <c r="G402" s="59">
        <f>Данные!G402</f>
        <v>1</v>
      </c>
      <c r="H402" s="59" t="str">
        <f>Данные!H402</f>
        <v>4 курс 2018 год/пост</v>
      </c>
      <c r="I402" s="59" t="str">
        <f>Данные!I402</f>
        <v>Модуль "Информационные технологии и системы". Инженерия знаний</v>
      </c>
      <c r="J402" s="59">
        <f>Данные!J402</f>
        <v>18</v>
      </c>
      <c r="K402" s="59">
        <f>Данные!K402</f>
        <v>0</v>
      </c>
      <c r="L402" s="59">
        <f>Данные!L402</f>
        <v>54</v>
      </c>
      <c r="M402" s="60">
        <f t="shared" si="54"/>
        <v>7.2</v>
      </c>
      <c r="N402" s="60">
        <f t="shared" ca="1" si="55"/>
        <v>14.870000000000001</v>
      </c>
      <c r="O402" s="60">
        <f t="shared" ca="1" si="56"/>
        <v>9.75</v>
      </c>
      <c r="P402" s="60">
        <f t="shared" ca="1" si="57"/>
        <v>9.75</v>
      </c>
      <c r="Q402" s="54">
        <f>Данные!Q402</f>
        <v>0</v>
      </c>
      <c r="R402" s="54">
        <f>Данные!R402</f>
        <v>0</v>
      </c>
      <c r="S402" s="54">
        <f>Данные!S402</f>
        <v>0</v>
      </c>
      <c r="T402" s="54">
        <f>Данные!T402</f>
        <v>0</v>
      </c>
      <c r="U402" s="54">
        <f>Данные!U402</f>
        <v>0</v>
      </c>
      <c r="V402" s="54">
        <f>Данные!V402</f>
        <v>0</v>
      </c>
      <c r="W402" s="54">
        <f ca="1">Данные!W402</f>
        <v>39</v>
      </c>
      <c r="X402" s="54" t="str">
        <f ca="1">Данные!X402</f>
        <v>2</v>
      </c>
      <c r="Y402" s="54" t="str">
        <f ca="1">Данные!Y402</f>
        <v>3</v>
      </c>
      <c r="Z402" s="54">
        <f>Данные!Z402</f>
        <v>0</v>
      </c>
      <c r="AA402" s="54">
        <f>Данные!AA402</f>
        <v>0</v>
      </c>
      <c r="AB402" s="101">
        <f t="shared" si="58"/>
        <v>700</v>
      </c>
      <c r="AC402" s="101" t="str">
        <f t="shared" si="59"/>
        <v>ИВТ (бак)</v>
      </c>
      <c r="AD402" s="101" t="str">
        <f t="shared" si="60"/>
        <v/>
      </c>
      <c r="AE402" s="102">
        <f t="shared" ca="1" si="61"/>
        <v>113.57000000000001</v>
      </c>
      <c r="AF402" s="103">
        <f t="shared" ca="1" si="62"/>
        <v>0.16224285714285716</v>
      </c>
      <c r="AG402" s="101"/>
      <c r="AH402" s="101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Q402" s="72">
        <v>0</v>
      </c>
      <c r="BR402" s="72">
        <v>0</v>
      </c>
      <c r="BS402" s="72">
        <v>0</v>
      </c>
      <c r="BT402" s="72">
        <v>0</v>
      </c>
      <c r="BU402" s="72">
        <v>0</v>
      </c>
      <c r="BV402" s="72">
        <v>0</v>
      </c>
      <c r="BW402" s="72">
        <v>0</v>
      </c>
      <c r="BX402" s="72">
        <v>0</v>
      </c>
      <c r="BY402" s="72">
        <v>0</v>
      </c>
      <c r="BZ402" s="72">
        <v>0</v>
      </c>
      <c r="CA402" s="72">
        <v>0</v>
      </c>
      <c r="CB402" s="72">
        <v>0</v>
      </c>
      <c r="CC402" s="72">
        <v>0</v>
      </c>
      <c r="CD402" s="72">
        <v>0</v>
      </c>
      <c r="CE402" s="72">
        <v>0</v>
      </c>
      <c r="CF402" s="72">
        <v>0</v>
      </c>
      <c r="CG402" s="72">
        <v>0</v>
      </c>
      <c r="CH402" s="72">
        <v>0</v>
      </c>
      <c r="CI402" s="72">
        <v>0</v>
      </c>
      <c r="CJ402" s="72">
        <v>0</v>
      </c>
      <c r="CK402" s="72">
        <v>0</v>
      </c>
      <c r="CL402" s="72">
        <v>0</v>
      </c>
      <c r="CM402" s="72">
        <v>0</v>
      </c>
      <c r="CN402" s="72">
        <v>0</v>
      </c>
      <c r="CO402" s="72">
        <v>0</v>
      </c>
      <c r="CP402" s="72">
        <v>0</v>
      </c>
      <c r="CQ402" s="72">
        <v>0</v>
      </c>
      <c r="CR402" s="72">
        <v>0</v>
      </c>
      <c r="CS402" s="72">
        <v>0</v>
      </c>
      <c r="CT402" s="72">
        <v>0</v>
      </c>
      <c r="CU402" s="72">
        <v>0</v>
      </c>
      <c r="CV402" s="72">
        <v>0</v>
      </c>
      <c r="CW402" s="72">
        <v>0</v>
      </c>
      <c r="CX402" s="72">
        <v>0</v>
      </c>
      <c r="CY402" s="72">
        <v>0</v>
      </c>
      <c r="CZ402" s="72">
        <v>0</v>
      </c>
      <c r="DA402" s="72">
        <v>0</v>
      </c>
      <c r="DB402" s="72">
        <v>0</v>
      </c>
      <c r="DC402" s="72">
        <v>0</v>
      </c>
      <c r="DD402" s="72">
        <v>0</v>
      </c>
      <c r="DE402" s="72">
        <v>0</v>
      </c>
      <c r="DF402" s="72">
        <v>0</v>
      </c>
      <c r="DG402" s="72">
        <v>0</v>
      </c>
      <c r="DH402" s="72">
        <v>0</v>
      </c>
      <c r="DI402" s="72">
        <v>0</v>
      </c>
      <c r="DJ402" s="72">
        <v>0</v>
      </c>
      <c r="DK402" s="72">
        <v>0</v>
      </c>
      <c r="DL402" s="72">
        <v>0</v>
      </c>
      <c r="DM402" s="72">
        <v>0</v>
      </c>
      <c r="DN402" s="72">
        <v>0</v>
      </c>
      <c r="DO402" s="72">
        <v>0</v>
      </c>
      <c r="DP402" s="72">
        <v>0</v>
      </c>
      <c r="DQ402" s="72">
        <v>0</v>
      </c>
      <c r="DR402" s="72">
        <v>0</v>
      </c>
      <c r="DS402" s="72">
        <v>0</v>
      </c>
      <c r="DT402" s="72">
        <v>0</v>
      </c>
      <c r="DU402" s="72">
        <v>0</v>
      </c>
      <c r="DV402" s="72">
        <v>0</v>
      </c>
      <c r="DW402" s="72">
        <v>0</v>
      </c>
      <c r="DX402" s="72">
        <v>0</v>
      </c>
      <c r="DY402" s="72">
        <v>0</v>
      </c>
      <c r="DZ402" s="72">
        <v>0</v>
      </c>
      <c r="EA402" s="72">
        <v>0</v>
      </c>
      <c r="EB402" s="72">
        <v>0</v>
      </c>
      <c r="EC402" s="72">
        <v>0</v>
      </c>
      <c r="ED402" s="72">
        <v>0</v>
      </c>
      <c r="EE402" s="72">
        <v>0</v>
      </c>
      <c r="EF402" s="72">
        <v>0</v>
      </c>
      <c r="EG402" s="72">
        <v>0</v>
      </c>
      <c r="EH402" s="72">
        <v>0</v>
      </c>
      <c r="EI402" s="72">
        <v>0</v>
      </c>
      <c r="EJ402" s="72">
        <v>0</v>
      </c>
      <c r="EK402" s="72">
        <v>0</v>
      </c>
      <c r="EL402" s="72">
        <v>0</v>
      </c>
    </row>
    <row r="403" spans="1:142" x14ac:dyDescent="0.35">
      <c r="A403" s="59">
        <f>Данные!A403</f>
        <v>6368</v>
      </c>
      <c r="B403" s="59">
        <f>Данные!B403</f>
        <v>2021</v>
      </c>
      <c r="C403" s="59" t="str">
        <f>Данные!C403</f>
        <v>компьютерных технологий и электронного обучения</v>
      </c>
      <c r="D403" s="59" t="str">
        <f>Данные!D403</f>
        <v>Абрамян Геннадий Владимирович</v>
      </c>
      <c r="E403" s="59" t="str">
        <f>Данные!E403</f>
        <v>доктор педагогических наук</v>
      </c>
      <c r="F403" s="59" t="str">
        <f>Данные!F403</f>
        <v>профессор</v>
      </c>
      <c r="G403" s="59">
        <f>Данные!G403</f>
        <v>1</v>
      </c>
      <c r="H403" s="59" t="str">
        <f>Данные!H403</f>
        <v>4 курс 2018 год/пост</v>
      </c>
      <c r="I403" s="59" t="str">
        <f>Данные!I403</f>
        <v>Модуль "Информационные технологии и системы". Теория информационных процессов и систем</v>
      </c>
      <c r="J403" s="59">
        <f>Данные!J403</f>
        <v>18</v>
      </c>
      <c r="K403" s="59">
        <f>Данные!K403</f>
        <v>0</v>
      </c>
      <c r="L403" s="59">
        <f>Данные!L403</f>
        <v>0</v>
      </c>
      <c r="M403" s="60">
        <f t="shared" si="54"/>
        <v>1.8</v>
      </c>
      <c r="N403" s="60">
        <f t="shared" ca="1" si="55"/>
        <v>14.870000000000001</v>
      </c>
      <c r="O403" s="60">
        <f t="shared" ca="1" si="56"/>
        <v>9.75</v>
      </c>
      <c r="P403" s="60">
        <f t="shared" ca="1" si="57"/>
        <v>9.75</v>
      </c>
      <c r="Q403" s="54">
        <f>Данные!Q403</f>
        <v>0</v>
      </c>
      <c r="R403" s="54">
        <f>Данные!R403</f>
        <v>0</v>
      </c>
      <c r="S403" s="54">
        <f>Данные!S403</f>
        <v>0</v>
      </c>
      <c r="T403" s="54">
        <f>Данные!T403</f>
        <v>0</v>
      </c>
      <c r="U403" s="54">
        <f>Данные!U403</f>
        <v>0</v>
      </c>
      <c r="V403" s="54">
        <f>Данные!V403</f>
        <v>0</v>
      </c>
      <c r="W403" s="54">
        <f ca="1">Данные!W403</f>
        <v>39</v>
      </c>
      <c r="X403" s="54" t="str">
        <f ca="1">Данные!X403</f>
        <v>2</v>
      </c>
      <c r="Y403" s="54" t="str">
        <f ca="1">Данные!Y403</f>
        <v>3</v>
      </c>
      <c r="Z403" s="54">
        <f>Данные!Z403</f>
        <v>0</v>
      </c>
      <c r="AA403" s="54">
        <f>Данные!AA403</f>
        <v>0</v>
      </c>
      <c r="AB403" s="101">
        <f t="shared" si="58"/>
        <v>750</v>
      </c>
      <c r="AC403" s="101" t="str">
        <f t="shared" si="59"/>
        <v>ИВТ (бак)</v>
      </c>
      <c r="AD403" s="101" t="str">
        <f t="shared" si="60"/>
        <v/>
      </c>
      <c r="AE403" s="102">
        <f t="shared" ca="1" si="61"/>
        <v>54.17</v>
      </c>
      <c r="AF403" s="103">
        <f t="shared" ca="1" si="62"/>
        <v>7.2226666666666675E-2</v>
      </c>
      <c r="AG403" s="101"/>
      <c r="AH403" s="101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Q403" s="72">
        <v>0</v>
      </c>
      <c r="BR403" s="72">
        <v>0</v>
      </c>
      <c r="BS403" s="72">
        <v>0</v>
      </c>
      <c r="BT403" s="72">
        <v>0</v>
      </c>
      <c r="BU403" s="72">
        <v>0</v>
      </c>
      <c r="BV403" s="72">
        <v>0</v>
      </c>
      <c r="BW403" s="72">
        <v>0</v>
      </c>
      <c r="BX403" s="72">
        <v>0</v>
      </c>
      <c r="BY403" s="72">
        <v>0</v>
      </c>
      <c r="BZ403" s="72">
        <v>0</v>
      </c>
      <c r="CA403" s="72">
        <v>0</v>
      </c>
      <c r="CB403" s="72">
        <v>0</v>
      </c>
      <c r="CC403" s="72">
        <v>0</v>
      </c>
      <c r="CD403" s="72">
        <v>0</v>
      </c>
      <c r="CE403" s="72">
        <v>0</v>
      </c>
      <c r="CF403" s="72">
        <v>0</v>
      </c>
      <c r="CG403" s="72">
        <v>0</v>
      </c>
      <c r="CH403" s="72">
        <v>0</v>
      </c>
      <c r="CI403" s="72">
        <v>0</v>
      </c>
      <c r="CJ403" s="72">
        <v>0</v>
      </c>
      <c r="CK403" s="72">
        <v>0</v>
      </c>
      <c r="CL403" s="72">
        <v>0</v>
      </c>
      <c r="CM403" s="72">
        <v>0</v>
      </c>
      <c r="CN403" s="72">
        <v>0</v>
      </c>
      <c r="CO403" s="72">
        <v>0</v>
      </c>
      <c r="CP403" s="72">
        <v>0</v>
      </c>
      <c r="CQ403" s="72">
        <v>0</v>
      </c>
      <c r="CR403" s="72">
        <v>0</v>
      </c>
      <c r="CS403" s="72">
        <v>0</v>
      </c>
      <c r="CT403" s="72">
        <v>0</v>
      </c>
      <c r="CU403" s="72">
        <v>0</v>
      </c>
      <c r="CV403" s="72">
        <v>0</v>
      </c>
      <c r="CW403" s="72">
        <v>0</v>
      </c>
      <c r="CX403" s="72">
        <v>0</v>
      </c>
      <c r="CY403" s="72">
        <v>0</v>
      </c>
      <c r="CZ403" s="72">
        <v>0</v>
      </c>
      <c r="DA403" s="72">
        <v>0</v>
      </c>
      <c r="DB403" s="72">
        <v>0</v>
      </c>
      <c r="DC403" s="72">
        <v>0</v>
      </c>
      <c r="DD403" s="72">
        <v>0</v>
      </c>
      <c r="DE403" s="72">
        <v>0</v>
      </c>
      <c r="DF403" s="72">
        <v>0</v>
      </c>
      <c r="DG403" s="72">
        <v>0</v>
      </c>
      <c r="DH403" s="72">
        <v>0</v>
      </c>
      <c r="DI403" s="72">
        <v>0</v>
      </c>
      <c r="DJ403" s="72">
        <v>0</v>
      </c>
      <c r="DK403" s="72">
        <v>0</v>
      </c>
      <c r="DL403" s="72">
        <v>0</v>
      </c>
      <c r="DM403" s="72">
        <v>0</v>
      </c>
      <c r="DN403" s="72">
        <v>0</v>
      </c>
      <c r="DO403" s="72">
        <v>0</v>
      </c>
      <c r="DP403" s="72">
        <v>0</v>
      </c>
      <c r="DQ403" s="72">
        <v>0</v>
      </c>
      <c r="DR403" s="72">
        <v>0</v>
      </c>
      <c r="DS403" s="72">
        <v>0</v>
      </c>
      <c r="DT403" s="72">
        <v>0</v>
      </c>
      <c r="DU403" s="72">
        <v>0</v>
      </c>
      <c r="DV403" s="72">
        <v>0</v>
      </c>
      <c r="DW403" s="72">
        <v>0</v>
      </c>
      <c r="DX403" s="72">
        <v>0</v>
      </c>
      <c r="DY403" s="72">
        <v>0</v>
      </c>
      <c r="DZ403" s="72">
        <v>0</v>
      </c>
      <c r="EA403" s="72">
        <v>0</v>
      </c>
      <c r="EB403" s="72">
        <v>0</v>
      </c>
      <c r="EC403" s="72">
        <v>0</v>
      </c>
      <c r="ED403" s="72">
        <v>0</v>
      </c>
      <c r="EE403" s="72">
        <v>0</v>
      </c>
      <c r="EF403" s="72">
        <v>0</v>
      </c>
      <c r="EG403" s="72">
        <v>0</v>
      </c>
      <c r="EH403" s="72">
        <v>0</v>
      </c>
      <c r="EI403" s="72">
        <v>0</v>
      </c>
      <c r="EJ403" s="72">
        <v>0</v>
      </c>
      <c r="EK403" s="72">
        <v>0</v>
      </c>
      <c r="EL403" s="72">
        <v>0</v>
      </c>
    </row>
    <row r="404" spans="1:142" x14ac:dyDescent="0.35">
      <c r="A404" s="59">
        <f>Данные!A404</f>
        <v>6368</v>
      </c>
      <c r="B404" s="59">
        <f>Данные!B404</f>
        <v>2021</v>
      </c>
      <c r="C404" s="59" t="str">
        <f>Данные!C404</f>
        <v>компьютерных технологий и электронного обучения</v>
      </c>
      <c r="D404" s="59" t="str">
        <f>Данные!D404</f>
        <v>Государев Илья Борисович</v>
      </c>
      <c r="E404" s="59" t="str">
        <f>Данные!E404</f>
        <v>кандидат педагогических наук</v>
      </c>
      <c r="F404" s="59" t="str">
        <f>Данные!F404</f>
        <v>доцент</v>
      </c>
      <c r="G404" s="59">
        <f>Данные!G404</f>
        <v>1</v>
      </c>
      <c r="H404" s="59" t="str">
        <f>Данные!H404</f>
        <v>4 курс 2018 год/пост</v>
      </c>
      <c r="I404" s="59" t="str">
        <f>Данные!I404</f>
        <v>Модуль "Учебно-исследовательский"</v>
      </c>
      <c r="J404" s="59">
        <f>Данные!J404</f>
        <v>0</v>
      </c>
      <c r="K404" s="59">
        <f>Данные!K404</f>
        <v>0</v>
      </c>
      <c r="L404" s="59">
        <f>Данные!L404</f>
        <v>0</v>
      </c>
      <c r="M404" s="60">
        <f t="shared" si="54"/>
        <v>0</v>
      </c>
      <c r="N404" s="60">
        <f t="shared" ca="1" si="55"/>
        <v>14.870000000000001</v>
      </c>
      <c r="O404" s="60">
        <f t="shared" ca="1" si="56"/>
        <v>9.75</v>
      </c>
      <c r="P404" s="60">
        <f t="shared" ca="1" si="57"/>
        <v>9.75</v>
      </c>
      <c r="Q404" s="54">
        <f>Данные!Q404</f>
        <v>0</v>
      </c>
      <c r="R404" s="54">
        <f>Данные!R404</f>
        <v>0</v>
      </c>
      <c r="S404" s="54">
        <f>Данные!S404</f>
        <v>0</v>
      </c>
      <c r="T404" s="54">
        <f>Данные!T404</f>
        <v>0</v>
      </c>
      <c r="U404" s="54">
        <f>Данные!U404</f>
        <v>0</v>
      </c>
      <c r="V404" s="54">
        <f>Данные!V404</f>
        <v>0</v>
      </c>
      <c r="W404" s="54">
        <f ca="1">Данные!W404</f>
        <v>39</v>
      </c>
      <c r="X404" s="54" t="str">
        <f ca="1">Данные!X404</f>
        <v>2</v>
      </c>
      <c r="Y404" s="54" t="str">
        <f ca="1">Данные!Y404</f>
        <v>3</v>
      </c>
      <c r="Z404" s="54">
        <f>Данные!Z404</f>
        <v>0</v>
      </c>
      <c r="AA404" s="54">
        <f>Данные!AA404</f>
        <v>0</v>
      </c>
      <c r="AB404" s="101">
        <f t="shared" si="58"/>
        <v>800</v>
      </c>
      <c r="AC404" s="101" t="str">
        <f t="shared" si="59"/>
        <v>ИВТ (бак)</v>
      </c>
      <c r="AD404" s="101" t="str">
        <f t="shared" si="60"/>
        <v/>
      </c>
      <c r="AE404" s="102">
        <f t="shared" ca="1" si="61"/>
        <v>34.370000000000005</v>
      </c>
      <c r="AF404" s="103">
        <f t="shared" ca="1" si="62"/>
        <v>4.2962500000000008E-2</v>
      </c>
      <c r="AG404" s="101"/>
      <c r="AH404" s="101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Q404" s="72">
        <v>0</v>
      </c>
      <c r="BR404" s="72">
        <v>0</v>
      </c>
      <c r="BS404" s="72">
        <v>0</v>
      </c>
      <c r="BT404" s="72">
        <v>0</v>
      </c>
      <c r="BU404" s="72">
        <v>0</v>
      </c>
      <c r="BV404" s="72">
        <v>0</v>
      </c>
      <c r="BW404" s="72">
        <v>0</v>
      </c>
      <c r="BX404" s="72">
        <v>0</v>
      </c>
      <c r="BY404" s="72">
        <v>0</v>
      </c>
      <c r="BZ404" s="72">
        <v>0</v>
      </c>
      <c r="CA404" s="72">
        <v>0</v>
      </c>
      <c r="CB404" s="72">
        <v>0</v>
      </c>
      <c r="CC404" s="72">
        <v>0</v>
      </c>
      <c r="CD404" s="72">
        <v>0</v>
      </c>
      <c r="CE404" s="72">
        <v>0</v>
      </c>
      <c r="CF404" s="72">
        <v>0</v>
      </c>
      <c r="CG404" s="72">
        <v>0</v>
      </c>
      <c r="CH404" s="72">
        <v>0</v>
      </c>
      <c r="CI404" s="72">
        <v>0</v>
      </c>
      <c r="CJ404" s="72">
        <v>0</v>
      </c>
      <c r="CK404" s="72">
        <v>0</v>
      </c>
      <c r="CL404" s="72">
        <v>0</v>
      </c>
      <c r="CM404" s="72">
        <v>0</v>
      </c>
      <c r="CN404" s="72">
        <v>0</v>
      </c>
      <c r="CO404" s="72">
        <v>0</v>
      </c>
      <c r="CP404" s="72">
        <v>0</v>
      </c>
      <c r="CQ404" s="72">
        <v>0</v>
      </c>
      <c r="CR404" s="72">
        <v>0</v>
      </c>
      <c r="CS404" s="72">
        <v>0</v>
      </c>
      <c r="CT404" s="72">
        <v>0</v>
      </c>
      <c r="CU404" s="72">
        <v>0</v>
      </c>
      <c r="CV404" s="72">
        <v>0</v>
      </c>
      <c r="CW404" s="72">
        <v>0</v>
      </c>
      <c r="CX404" s="72">
        <v>0</v>
      </c>
      <c r="CY404" s="72">
        <v>0</v>
      </c>
      <c r="CZ404" s="72">
        <v>0</v>
      </c>
      <c r="DA404" s="72">
        <v>0</v>
      </c>
      <c r="DB404" s="72">
        <v>0</v>
      </c>
      <c r="DC404" s="72">
        <v>0</v>
      </c>
      <c r="DD404" s="72">
        <v>0</v>
      </c>
      <c r="DE404" s="72">
        <v>0</v>
      </c>
      <c r="DF404" s="72">
        <v>0</v>
      </c>
      <c r="DG404" s="72">
        <v>0</v>
      </c>
      <c r="DH404" s="72">
        <v>0</v>
      </c>
      <c r="DI404" s="72">
        <v>0</v>
      </c>
      <c r="DJ404" s="72">
        <v>0</v>
      </c>
      <c r="DK404" s="72">
        <v>0</v>
      </c>
      <c r="DL404" s="72">
        <v>0</v>
      </c>
      <c r="DM404" s="72">
        <v>0</v>
      </c>
      <c r="DN404" s="72">
        <v>0</v>
      </c>
      <c r="DO404" s="72">
        <v>0</v>
      </c>
      <c r="DP404" s="72">
        <v>0</v>
      </c>
      <c r="DQ404" s="72">
        <v>0</v>
      </c>
      <c r="DR404" s="72">
        <v>0</v>
      </c>
      <c r="DS404" s="72">
        <v>0</v>
      </c>
      <c r="DT404" s="72">
        <v>0</v>
      </c>
      <c r="DU404" s="72">
        <v>0</v>
      </c>
      <c r="DV404" s="72">
        <v>0</v>
      </c>
      <c r="DW404" s="72">
        <v>0</v>
      </c>
      <c r="DX404" s="72">
        <v>0</v>
      </c>
      <c r="DY404" s="72">
        <v>0</v>
      </c>
      <c r="DZ404" s="72">
        <v>0</v>
      </c>
      <c r="EA404" s="72">
        <v>0</v>
      </c>
      <c r="EB404" s="72">
        <v>0</v>
      </c>
      <c r="EC404" s="72">
        <v>0</v>
      </c>
      <c r="ED404" s="72">
        <v>0</v>
      </c>
      <c r="EE404" s="72">
        <v>0</v>
      </c>
      <c r="EF404" s="72">
        <v>0</v>
      </c>
      <c r="EG404" s="72">
        <v>0</v>
      </c>
      <c r="EH404" s="72">
        <v>0</v>
      </c>
      <c r="EI404" s="72">
        <v>0</v>
      </c>
      <c r="EJ404" s="72">
        <v>0</v>
      </c>
      <c r="EK404" s="72">
        <v>0</v>
      </c>
      <c r="EL404" s="72">
        <v>0</v>
      </c>
    </row>
    <row r="405" spans="1:142" x14ac:dyDescent="0.35">
      <c r="A405" s="59">
        <f>Данные!A405</f>
        <v>6368</v>
      </c>
      <c r="B405" s="59">
        <f>Данные!B405</f>
        <v>2021</v>
      </c>
      <c r="C405" s="59" t="str">
        <f>Данные!C405</f>
        <v>компьютерных технологий и электронного обучения</v>
      </c>
      <c r="D405" s="59" t="str">
        <f>Данные!D405</f>
        <v>Авксентьева Елена Юрьевна</v>
      </c>
      <c r="E405" s="59" t="str">
        <f>Данные!E405</f>
        <v>кандидат педагогических наук</v>
      </c>
      <c r="F405" s="59" t="str">
        <f>Данные!F405</f>
        <v>доцент</v>
      </c>
      <c r="G405" s="59">
        <f>Данные!G405</f>
        <v>1</v>
      </c>
      <c r="H405" s="59" t="str">
        <f>Данные!H405</f>
        <v>4 курс 2018 год/пост</v>
      </c>
      <c r="I405" s="59" t="str">
        <f>Данные!I405</f>
        <v>Модуль "Учебно-исследовательский"</v>
      </c>
      <c r="J405" s="59">
        <f>Данные!J405</f>
        <v>0</v>
      </c>
      <c r="K405" s="59">
        <f>Данные!K405</f>
        <v>0</v>
      </c>
      <c r="L405" s="59">
        <f>Данные!L405</f>
        <v>0</v>
      </c>
      <c r="M405" s="60">
        <f t="shared" si="54"/>
        <v>0</v>
      </c>
      <c r="N405" s="60">
        <f t="shared" ca="1" si="55"/>
        <v>14.870000000000001</v>
      </c>
      <c r="O405" s="60">
        <f t="shared" ca="1" si="56"/>
        <v>9.75</v>
      </c>
      <c r="P405" s="60">
        <f t="shared" ca="1" si="57"/>
        <v>9.75</v>
      </c>
      <c r="Q405" s="54">
        <f>Данные!Q405</f>
        <v>0</v>
      </c>
      <c r="R405" s="54">
        <f>Данные!R405</f>
        <v>0</v>
      </c>
      <c r="S405" s="54">
        <f>Данные!S405</f>
        <v>0</v>
      </c>
      <c r="T405" s="54">
        <f>Данные!T405</f>
        <v>0</v>
      </c>
      <c r="U405" s="54">
        <f>Данные!U405</f>
        <v>0</v>
      </c>
      <c r="V405" s="54">
        <f>Данные!V405</f>
        <v>0</v>
      </c>
      <c r="W405" s="54">
        <f ca="1">Данные!W405</f>
        <v>39</v>
      </c>
      <c r="X405" s="54" t="str">
        <f ca="1">Данные!X405</f>
        <v>2</v>
      </c>
      <c r="Y405" s="54" t="str">
        <f ca="1">Данные!Y405</f>
        <v>3</v>
      </c>
      <c r="Z405" s="54">
        <f>Данные!Z405</f>
        <v>0</v>
      </c>
      <c r="AA405" s="54">
        <f>Данные!AA405</f>
        <v>0</v>
      </c>
      <c r="AB405" s="101">
        <f t="shared" si="58"/>
        <v>800</v>
      </c>
      <c r="AC405" s="101" t="str">
        <f t="shared" si="59"/>
        <v>ИВТ (бак)</v>
      </c>
      <c r="AD405" s="101" t="str">
        <f t="shared" si="60"/>
        <v/>
      </c>
      <c r="AE405" s="102">
        <f t="shared" ca="1" si="61"/>
        <v>34.370000000000005</v>
      </c>
      <c r="AF405" s="103">
        <f t="shared" ca="1" si="62"/>
        <v>4.2962500000000008E-2</v>
      </c>
      <c r="AG405" s="101"/>
      <c r="AH405" s="101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Q405" s="72">
        <v>0</v>
      </c>
      <c r="BR405" s="72">
        <v>0</v>
      </c>
      <c r="BS405" s="72">
        <v>0</v>
      </c>
      <c r="BT405" s="72">
        <v>0</v>
      </c>
      <c r="BU405" s="72">
        <v>0</v>
      </c>
      <c r="BV405" s="72">
        <v>0</v>
      </c>
      <c r="BW405" s="72">
        <v>0</v>
      </c>
      <c r="BX405" s="72">
        <v>0</v>
      </c>
      <c r="BY405" s="72">
        <v>0</v>
      </c>
      <c r="BZ405" s="72">
        <v>0</v>
      </c>
      <c r="CA405" s="72">
        <v>0</v>
      </c>
      <c r="CB405" s="72">
        <v>0</v>
      </c>
      <c r="CC405" s="72">
        <v>0</v>
      </c>
      <c r="CD405" s="72">
        <v>0</v>
      </c>
      <c r="CE405" s="72">
        <v>0</v>
      </c>
      <c r="CF405" s="72">
        <v>0</v>
      </c>
      <c r="CG405" s="72">
        <v>0</v>
      </c>
      <c r="CH405" s="72">
        <v>0</v>
      </c>
      <c r="CI405" s="72">
        <v>0</v>
      </c>
      <c r="CJ405" s="72">
        <v>0</v>
      </c>
      <c r="CK405" s="72">
        <v>0</v>
      </c>
      <c r="CL405" s="72">
        <v>0</v>
      </c>
      <c r="CM405" s="72">
        <v>0</v>
      </c>
      <c r="CN405" s="72">
        <v>0</v>
      </c>
      <c r="CO405" s="72">
        <v>0</v>
      </c>
      <c r="CP405" s="72">
        <v>0</v>
      </c>
      <c r="CQ405" s="72">
        <v>0</v>
      </c>
      <c r="CR405" s="72">
        <v>0</v>
      </c>
      <c r="CS405" s="72">
        <v>0</v>
      </c>
      <c r="CT405" s="72">
        <v>0</v>
      </c>
      <c r="CU405" s="72">
        <v>0</v>
      </c>
      <c r="CV405" s="72">
        <v>0</v>
      </c>
      <c r="CW405" s="72">
        <v>0</v>
      </c>
      <c r="CX405" s="72">
        <v>0</v>
      </c>
      <c r="CY405" s="72">
        <v>0</v>
      </c>
      <c r="CZ405" s="72">
        <v>0</v>
      </c>
      <c r="DA405" s="72">
        <v>0</v>
      </c>
      <c r="DB405" s="72">
        <v>0</v>
      </c>
      <c r="DC405" s="72">
        <v>0</v>
      </c>
      <c r="DD405" s="72">
        <v>0</v>
      </c>
      <c r="DE405" s="72">
        <v>0</v>
      </c>
      <c r="DF405" s="72">
        <v>0</v>
      </c>
      <c r="DG405" s="72">
        <v>0</v>
      </c>
      <c r="DH405" s="72">
        <v>0</v>
      </c>
      <c r="DI405" s="72">
        <v>0</v>
      </c>
      <c r="DJ405" s="72">
        <v>0</v>
      </c>
      <c r="DK405" s="72">
        <v>0</v>
      </c>
      <c r="DL405" s="72">
        <v>0</v>
      </c>
      <c r="DM405" s="72">
        <v>0</v>
      </c>
      <c r="DN405" s="72">
        <v>0</v>
      </c>
      <c r="DO405" s="72">
        <v>0</v>
      </c>
      <c r="DP405" s="72">
        <v>0</v>
      </c>
      <c r="DQ405" s="72">
        <v>0</v>
      </c>
      <c r="DR405" s="72">
        <v>0</v>
      </c>
      <c r="DS405" s="72">
        <v>0</v>
      </c>
      <c r="DT405" s="72">
        <v>0</v>
      </c>
      <c r="DU405" s="72">
        <v>0</v>
      </c>
      <c r="DV405" s="72">
        <v>0</v>
      </c>
      <c r="DW405" s="72">
        <v>0</v>
      </c>
      <c r="DX405" s="72">
        <v>0</v>
      </c>
      <c r="DY405" s="72">
        <v>0</v>
      </c>
      <c r="DZ405" s="72">
        <v>0</v>
      </c>
      <c r="EA405" s="72">
        <v>0</v>
      </c>
      <c r="EB405" s="72">
        <v>0</v>
      </c>
      <c r="EC405" s="72">
        <v>0</v>
      </c>
      <c r="ED405" s="72">
        <v>0</v>
      </c>
      <c r="EE405" s="72">
        <v>0</v>
      </c>
      <c r="EF405" s="72">
        <v>0</v>
      </c>
      <c r="EG405" s="72">
        <v>0</v>
      </c>
      <c r="EH405" s="72">
        <v>0</v>
      </c>
      <c r="EI405" s="72">
        <v>0</v>
      </c>
      <c r="EJ405" s="72">
        <v>0</v>
      </c>
      <c r="EK405" s="72">
        <v>0</v>
      </c>
      <c r="EL405" s="72">
        <v>0</v>
      </c>
    </row>
    <row r="406" spans="1:142" x14ac:dyDescent="0.35">
      <c r="A406" s="59">
        <f>Данные!A406</f>
        <v>6368</v>
      </c>
      <c r="B406" s="59">
        <f>Данные!B406</f>
        <v>2021</v>
      </c>
      <c r="C406" s="59" t="str">
        <f>Данные!C406</f>
        <v>компьютерных технологий и электронного обучения</v>
      </c>
      <c r="D406" s="59" t="str">
        <f>Данные!D406</f>
        <v>Государев Илья Борисович</v>
      </c>
      <c r="E406" s="59" t="str">
        <f>Данные!E406</f>
        <v>кандидат педагогических наук</v>
      </c>
      <c r="F406" s="59" t="str">
        <f>Данные!F406</f>
        <v>доцент</v>
      </c>
      <c r="G406" s="59">
        <f>Данные!G406</f>
        <v>1</v>
      </c>
      <c r="H406" s="59" t="str">
        <f>Данные!H406</f>
        <v>4 курс 2018 год/пост</v>
      </c>
      <c r="I406" s="59" t="str">
        <f>Данные!I406</f>
        <v>Модуль "Учебно-исследовательский". Учебно-технологический практикум</v>
      </c>
      <c r="J406" s="59">
        <f>Данные!J406</f>
        <v>0</v>
      </c>
      <c r="K406" s="59">
        <f>Данные!K406</f>
        <v>0</v>
      </c>
      <c r="L406" s="59">
        <f>Данные!L406</f>
        <v>54</v>
      </c>
      <c r="M406" s="60">
        <f t="shared" si="54"/>
        <v>5.4</v>
      </c>
      <c r="N406" s="60">
        <f t="shared" ca="1" si="55"/>
        <v>14.870000000000001</v>
      </c>
      <c r="O406" s="60">
        <f t="shared" ca="1" si="56"/>
        <v>9.75</v>
      </c>
      <c r="P406" s="60">
        <f t="shared" ca="1" si="57"/>
        <v>9.75</v>
      </c>
      <c r="Q406" s="54">
        <f>Данные!Q406</f>
        <v>0</v>
      </c>
      <c r="R406" s="54">
        <f>Данные!R406</f>
        <v>0</v>
      </c>
      <c r="S406" s="54">
        <f>Данные!S406</f>
        <v>0</v>
      </c>
      <c r="T406" s="54">
        <f>Данные!T406</f>
        <v>0</v>
      </c>
      <c r="U406" s="54">
        <f>Данные!U406</f>
        <v>0</v>
      </c>
      <c r="V406" s="54">
        <f>Данные!V406</f>
        <v>0</v>
      </c>
      <c r="W406" s="54">
        <f ca="1">Данные!W406</f>
        <v>39</v>
      </c>
      <c r="X406" s="54" t="str">
        <f ca="1">Данные!X406</f>
        <v>2</v>
      </c>
      <c r="Y406" s="54" t="str">
        <f ca="1">Данные!Y406</f>
        <v>3</v>
      </c>
      <c r="Z406" s="54">
        <f>Данные!Z406</f>
        <v>0</v>
      </c>
      <c r="AA406" s="54">
        <f>Данные!AA406</f>
        <v>0</v>
      </c>
      <c r="AB406" s="101">
        <f t="shared" si="58"/>
        <v>800</v>
      </c>
      <c r="AC406" s="101" t="str">
        <f t="shared" si="59"/>
        <v>ИВТ (бак)</v>
      </c>
      <c r="AD406" s="101" t="str">
        <f t="shared" si="60"/>
        <v/>
      </c>
      <c r="AE406" s="102">
        <f t="shared" ca="1" si="61"/>
        <v>93.77</v>
      </c>
      <c r="AF406" s="103">
        <f t="shared" ca="1" si="62"/>
        <v>0.1172125</v>
      </c>
      <c r="AG406" s="101"/>
      <c r="AH406" s="101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Q406" s="72">
        <v>0</v>
      </c>
      <c r="BR406" s="72">
        <v>0</v>
      </c>
      <c r="BS406" s="72">
        <v>0</v>
      </c>
      <c r="BT406" s="72">
        <v>0</v>
      </c>
      <c r="BU406" s="72">
        <v>0</v>
      </c>
      <c r="BV406" s="72">
        <v>0</v>
      </c>
      <c r="BW406" s="72">
        <v>0</v>
      </c>
      <c r="BX406" s="72">
        <v>0</v>
      </c>
      <c r="BY406" s="72">
        <v>0</v>
      </c>
      <c r="BZ406" s="72">
        <v>0</v>
      </c>
      <c r="CA406" s="72">
        <v>0</v>
      </c>
      <c r="CB406" s="72">
        <v>0</v>
      </c>
      <c r="CC406" s="72">
        <v>0</v>
      </c>
      <c r="CD406" s="72">
        <v>0</v>
      </c>
      <c r="CE406" s="72">
        <v>0</v>
      </c>
      <c r="CF406" s="72">
        <v>0</v>
      </c>
      <c r="CG406" s="72">
        <v>0</v>
      </c>
      <c r="CH406" s="72">
        <v>0</v>
      </c>
      <c r="CI406" s="72">
        <v>0</v>
      </c>
      <c r="CJ406" s="72">
        <v>0</v>
      </c>
      <c r="CK406" s="72">
        <v>0</v>
      </c>
      <c r="CL406" s="72">
        <v>0</v>
      </c>
      <c r="CM406" s="72">
        <v>0</v>
      </c>
      <c r="CN406" s="72">
        <v>0</v>
      </c>
      <c r="CO406" s="72">
        <v>0</v>
      </c>
      <c r="CP406" s="72">
        <v>0</v>
      </c>
      <c r="CQ406" s="72">
        <v>0</v>
      </c>
      <c r="CR406" s="72">
        <v>0</v>
      </c>
      <c r="CS406" s="72">
        <v>0</v>
      </c>
      <c r="CT406" s="72">
        <v>0</v>
      </c>
      <c r="CU406" s="72">
        <v>0</v>
      </c>
      <c r="CV406" s="72">
        <v>0</v>
      </c>
      <c r="CW406" s="72">
        <v>0</v>
      </c>
      <c r="CX406" s="72">
        <v>0</v>
      </c>
      <c r="CY406" s="72">
        <v>0</v>
      </c>
      <c r="CZ406" s="72">
        <v>0</v>
      </c>
      <c r="DA406" s="72">
        <v>0</v>
      </c>
      <c r="DB406" s="72">
        <v>0</v>
      </c>
      <c r="DC406" s="72">
        <v>0</v>
      </c>
      <c r="DD406" s="72">
        <v>0</v>
      </c>
      <c r="DE406" s="72">
        <v>0</v>
      </c>
      <c r="DF406" s="72">
        <v>0</v>
      </c>
      <c r="DG406" s="72">
        <v>0</v>
      </c>
      <c r="DH406" s="72">
        <v>0</v>
      </c>
      <c r="DI406" s="72">
        <v>0</v>
      </c>
      <c r="DJ406" s="72">
        <v>0</v>
      </c>
      <c r="DK406" s="72">
        <v>0</v>
      </c>
      <c r="DL406" s="72">
        <v>0</v>
      </c>
      <c r="DM406" s="72">
        <v>0</v>
      </c>
      <c r="DN406" s="72">
        <v>0</v>
      </c>
      <c r="DO406" s="72">
        <v>0</v>
      </c>
      <c r="DP406" s="72">
        <v>0</v>
      </c>
      <c r="DQ406" s="72">
        <v>0</v>
      </c>
      <c r="DR406" s="72">
        <v>0</v>
      </c>
      <c r="DS406" s="72">
        <v>0</v>
      </c>
      <c r="DT406" s="72">
        <v>0</v>
      </c>
      <c r="DU406" s="72">
        <v>0</v>
      </c>
      <c r="DV406" s="72">
        <v>0</v>
      </c>
      <c r="DW406" s="72">
        <v>0</v>
      </c>
      <c r="DX406" s="72">
        <v>0</v>
      </c>
      <c r="DY406" s="72">
        <v>0</v>
      </c>
      <c r="DZ406" s="72">
        <v>0</v>
      </c>
      <c r="EA406" s="72">
        <v>0</v>
      </c>
      <c r="EB406" s="72">
        <v>0</v>
      </c>
      <c r="EC406" s="72">
        <v>0</v>
      </c>
      <c r="ED406" s="72">
        <v>0</v>
      </c>
      <c r="EE406" s="72">
        <v>0</v>
      </c>
      <c r="EF406" s="72">
        <v>0</v>
      </c>
      <c r="EG406" s="72">
        <v>0</v>
      </c>
      <c r="EH406" s="72">
        <v>0</v>
      </c>
      <c r="EI406" s="72">
        <v>0</v>
      </c>
      <c r="EJ406" s="72">
        <v>0</v>
      </c>
      <c r="EK406" s="72">
        <v>0</v>
      </c>
      <c r="EL406" s="72">
        <v>0</v>
      </c>
    </row>
    <row r="407" spans="1:142" x14ac:dyDescent="0.35">
      <c r="A407" s="59">
        <f>Данные!A407</f>
        <v>6368</v>
      </c>
      <c r="B407" s="59">
        <f>Данные!B407</f>
        <v>2021</v>
      </c>
      <c r="C407" s="59" t="str">
        <f>Данные!C407</f>
        <v>компьютерных технологий и электронного обучения</v>
      </c>
      <c r="D407" s="59" t="str">
        <f>Данные!D407</f>
        <v>Власова Елена Зотиковна</v>
      </c>
      <c r="E407" s="59" t="str">
        <f>Данные!E407</f>
        <v>доктор педагогических наук</v>
      </c>
      <c r="F407" s="59" t="str">
        <f>Данные!F407</f>
        <v>заведующий кафедрой</v>
      </c>
      <c r="G407" s="59">
        <f>Данные!G407</f>
        <v>1</v>
      </c>
      <c r="H407" s="59" t="str">
        <f>Данные!H407</f>
        <v>4 курс 2018 год/пост</v>
      </c>
      <c r="I407" s="59" t="str">
        <f>Данные!I407</f>
        <v>Модуль "Учебно-исследовательский". Подготовка к государственной итоговой аттестации</v>
      </c>
      <c r="J407" s="59">
        <f>Данные!J407</f>
        <v>12</v>
      </c>
      <c r="K407" s="59">
        <f>Данные!K407</f>
        <v>0</v>
      </c>
      <c r="L407" s="59">
        <f>Данные!L407</f>
        <v>72</v>
      </c>
      <c r="M407" s="60">
        <f t="shared" si="54"/>
        <v>8.4</v>
      </c>
      <c r="N407" s="60">
        <f t="shared" ca="1" si="55"/>
        <v>14.870000000000001</v>
      </c>
      <c r="O407" s="60">
        <f t="shared" ca="1" si="56"/>
        <v>9.75</v>
      </c>
      <c r="P407" s="60">
        <f t="shared" ca="1" si="57"/>
        <v>9.75</v>
      </c>
      <c r="Q407" s="54">
        <f>Данные!Q407</f>
        <v>0</v>
      </c>
      <c r="R407" s="54">
        <f>Данные!R407</f>
        <v>0</v>
      </c>
      <c r="S407" s="54">
        <f>Данные!S407</f>
        <v>0</v>
      </c>
      <c r="T407" s="54">
        <f>Данные!T407</f>
        <v>0</v>
      </c>
      <c r="U407" s="54">
        <f>Данные!U407</f>
        <v>0</v>
      </c>
      <c r="V407" s="54">
        <f>Данные!V407</f>
        <v>0</v>
      </c>
      <c r="W407" s="54">
        <f ca="1">Данные!W407</f>
        <v>39</v>
      </c>
      <c r="X407" s="54" t="str">
        <f ca="1">Данные!X407</f>
        <v>2</v>
      </c>
      <c r="Y407" s="54" t="str">
        <f ca="1">Данные!Y407</f>
        <v>3</v>
      </c>
      <c r="Z407" s="54">
        <f>Данные!Z407</f>
        <v>0</v>
      </c>
      <c r="AA407" s="54">
        <f>Данные!AA407</f>
        <v>0</v>
      </c>
      <c r="AB407" s="101">
        <f t="shared" si="58"/>
        <v>700</v>
      </c>
      <c r="AC407" s="101" t="str">
        <f t="shared" si="59"/>
        <v>ИВТ (бак)</v>
      </c>
      <c r="AD407" s="101" t="str">
        <f t="shared" si="60"/>
        <v/>
      </c>
      <c r="AE407" s="102">
        <f t="shared" ca="1" si="61"/>
        <v>126.77000000000001</v>
      </c>
      <c r="AF407" s="103">
        <f t="shared" ca="1" si="62"/>
        <v>0.18110000000000001</v>
      </c>
      <c r="AG407" s="101"/>
      <c r="AH407" s="101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Q407" s="72">
        <v>0</v>
      </c>
      <c r="BR407" s="72">
        <v>0</v>
      </c>
      <c r="BS407" s="72">
        <v>0</v>
      </c>
      <c r="BT407" s="72">
        <v>0</v>
      </c>
      <c r="BU407" s="72">
        <v>0</v>
      </c>
      <c r="BV407" s="72">
        <v>0</v>
      </c>
      <c r="BW407" s="72">
        <v>0</v>
      </c>
      <c r="BX407" s="72">
        <v>0</v>
      </c>
      <c r="BY407" s="72">
        <v>0</v>
      </c>
      <c r="BZ407" s="72">
        <v>0</v>
      </c>
      <c r="CA407" s="72">
        <v>0</v>
      </c>
      <c r="CB407" s="72">
        <v>0</v>
      </c>
      <c r="CC407" s="72">
        <v>0</v>
      </c>
      <c r="CD407" s="72">
        <v>0</v>
      </c>
      <c r="CE407" s="72">
        <v>0</v>
      </c>
      <c r="CF407" s="72">
        <v>0</v>
      </c>
      <c r="CG407" s="72">
        <v>0</v>
      </c>
      <c r="CH407" s="72">
        <v>0</v>
      </c>
      <c r="CI407" s="72">
        <v>0</v>
      </c>
      <c r="CJ407" s="72">
        <v>0</v>
      </c>
      <c r="CK407" s="72">
        <v>0</v>
      </c>
      <c r="CL407" s="72">
        <v>0</v>
      </c>
      <c r="CM407" s="72">
        <v>0</v>
      </c>
      <c r="CN407" s="72">
        <v>0</v>
      </c>
      <c r="CO407" s="72">
        <v>0</v>
      </c>
      <c r="CP407" s="72">
        <v>0</v>
      </c>
      <c r="CQ407" s="72">
        <v>0</v>
      </c>
      <c r="CR407" s="72">
        <v>0</v>
      </c>
      <c r="CS407" s="72">
        <v>0</v>
      </c>
      <c r="CT407" s="72">
        <v>0</v>
      </c>
      <c r="CU407" s="72">
        <v>0</v>
      </c>
      <c r="CV407" s="72">
        <v>0</v>
      </c>
      <c r="CW407" s="72">
        <v>0</v>
      </c>
      <c r="CX407" s="72">
        <v>0</v>
      </c>
      <c r="CY407" s="72">
        <v>0</v>
      </c>
      <c r="CZ407" s="72">
        <v>0</v>
      </c>
      <c r="DA407" s="72">
        <v>0</v>
      </c>
      <c r="DB407" s="72">
        <v>0</v>
      </c>
      <c r="DC407" s="72">
        <v>0</v>
      </c>
      <c r="DD407" s="72">
        <v>0</v>
      </c>
      <c r="DE407" s="72">
        <v>0</v>
      </c>
      <c r="DF407" s="72">
        <v>0</v>
      </c>
      <c r="DG407" s="72">
        <v>0</v>
      </c>
      <c r="DH407" s="72">
        <v>0</v>
      </c>
      <c r="DI407" s="72">
        <v>0</v>
      </c>
      <c r="DJ407" s="72">
        <v>0</v>
      </c>
      <c r="DK407" s="72">
        <v>0</v>
      </c>
      <c r="DL407" s="72">
        <v>0</v>
      </c>
      <c r="DM407" s="72">
        <v>0</v>
      </c>
      <c r="DN407" s="72">
        <v>0</v>
      </c>
      <c r="DO407" s="72">
        <v>0</v>
      </c>
      <c r="DP407" s="72">
        <v>0</v>
      </c>
      <c r="DQ407" s="72">
        <v>0</v>
      </c>
      <c r="DR407" s="72">
        <v>0</v>
      </c>
      <c r="DS407" s="72">
        <v>0</v>
      </c>
      <c r="DT407" s="72">
        <v>0</v>
      </c>
      <c r="DU407" s="72">
        <v>0</v>
      </c>
      <c r="DV407" s="72">
        <v>0</v>
      </c>
      <c r="DW407" s="72">
        <v>0</v>
      </c>
      <c r="DX407" s="72">
        <v>0</v>
      </c>
      <c r="DY407" s="72">
        <v>0</v>
      </c>
      <c r="DZ407" s="72">
        <v>0</v>
      </c>
      <c r="EA407" s="72">
        <v>0</v>
      </c>
      <c r="EB407" s="72">
        <v>0</v>
      </c>
      <c r="EC407" s="72">
        <v>0</v>
      </c>
      <c r="ED407" s="72">
        <v>0</v>
      </c>
      <c r="EE407" s="72">
        <v>0</v>
      </c>
      <c r="EF407" s="72">
        <v>0</v>
      </c>
      <c r="EG407" s="72">
        <v>0</v>
      </c>
      <c r="EH407" s="72">
        <v>0</v>
      </c>
      <c r="EI407" s="72">
        <v>0</v>
      </c>
      <c r="EJ407" s="72">
        <v>0</v>
      </c>
      <c r="EK407" s="72">
        <v>0</v>
      </c>
      <c r="EL407" s="72">
        <v>0</v>
      </c>
    </row>
    <row r="408" spans="1:142" x14ac:dyDescent="0.35">
      <c r="A408" s="59">
        <f>Данные!A408</f>
        <v>6368</v>
      </c>
      <c r="B408" s="59">
        <f>Данные!B408</f>
        <v>2021</v>
      </c>
      <c r="C408" s="59" t="str">
        <f>Данные!C408</f>
        <v>компьютерных технологий и электронного обучения</v>
      </c>
      <c r="D408" s="59" t="str">
        <f>Данные!D408</f>
        <v>Авксентьева Елена Юрьевна</v>
      </c>
      <c r="E408" s="59" t="str">
        <f>Данные!E408</f>
        <v>кандидат педагогических наук</v>
      </c>
      <c r="F408" s="59" t="str">
        <f>Данные!F408</f>
        <v>доцент</v>
      </c>
      <c r="G408" s="59">
        <f>Данные!G408</f>
        <v>1</v>
      </c>
      <c r="H408" s="59" t="str">
        <f>Данные!H408</f>
        <v>4 курс 2018 год/пост</v>
      </c>
      <c r="I408" s="59" t="str">
        <f>Данные!I408</f>
        <v>Модуль "Учебно-исследовательский". Информационные средства и технологии инженерных и научных расчетов</v>
      </c>
      <c r="J408" s="59">
        <f>Данные!J408</f>
        <v>18</v>
      </c>
      <c r="K408" s="59">
        <f>Данные!K408</f>
        <v>0</v>
      </c>
      <c r="L408" s="59">
        <f>Данные!L408</f>
        <v>54</v>
      </c>
      <c r="M408" s="60">
        <f t="shared" si="54"/>
        <v>7.2</v>
      </c>
      <c r="N408" s="60">
        <f t="shared" ca="1" si="55"/>
        <v>14.870000000000001</v>
      </c>
      <c r="O408" s="60">
        <f t="shared" ca="1" si="56"/>
        <v>9.75</v>
      </c>
      <c r="P408" s="60">
        <f t="shared" ca="1" si="57"/>
        <v>9.75</v>
      </c>
      <c r="Q408" s="54">
        <f>Данные!Q408</f>
        <v>0</v>
      </c>
      <c r="R408" s="54">
        <f>Данные!R408</f>
        <v>0</v>
      </c>
      <c r="S408" s="54">
        <f>Данные!S408</f>
        <v>0</v>
      </c>
      <c r="T408" s="54">
        <f>Данные!T408</f>
        <v>0</v>
      </c>
      <c r="U408" s="54">
        <f>Данные!U408</f>
        <v>0</v>
      </c>
      <c r="V408" s="54">
        <f>Данные!V408</f>
        <v>0</v>
      </c>
      <c r="W408" s="54">
        <f ca="1">Данные!W408</f>
        <v>39</v>
      </c>
      <c r="X408" s="54" t="str">
        <f ca="1">Данные!X408</f>
        <v>2</v>
      </c>
      <c r="Y408" s="54" t="str">
        <f ca="1">Данные!Y408</f>
        <v>3</v>
      </c>
      <c r="Z408" s="54">
        <f>Данные!Z408</f>
        <v>0</v>
      </c>
      <c r="AA408" s="54">
        <f>Данные!AA408</f>
        <v>0</v>
      </c>
      <c r="AB408" s="101">
        <f t="shared" si="58"/>
        <v>800</v>
      </c>
      <c r="AC408" s="101" t="str">
        <f t="shared" si="59"/>
        <v>ИВТ (бак)</v>
      </c>
      <c r="AD408" s="101" t="str">
        <f t="shared" si="60"/>
        <v/>
      </c>
      <c r="AE408" s="102">
        <f t="shared" ca="1" si="61"/>
        <v>113.57000000000001</v>
      </c>
      <c r="AF408" s="103">
        <f t="shared" ca="1" si="62"/>
        <v>0.14196250000000002</v>
      </c>
      <c r="AG408" s="101"/>
      <c r="AH408" s="101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Q408" s="72">
        <v>0</v>
      </c>
      <c r="BR408" s="72">
        <v>0</v>
      </c>
      <c r="BS408" s="72">
        <v>0</v>
      </c>
      <c r="BT408" s="72">
        <v>0</v>
      </c>
      <c r="BU408" s="72">
        <v>0</v>
      </c>
      <c r="BV408" s="72">
        <v>0</v>
      </c>
      <c r="BW408" s="72">
        <v>0</v>
      </c>
      <c r="BX408" s="72">
        <v>0</v>
      </c>
      <c r="BY408" s="72">
        <v>0</v>
      </c>
      <c r="BZ408" s="72">
        <v>0</v>
      </c>
      <c r="CA408" s="72">
        <v>0</v>
      </c>
      <c r="CB408" s="72">
        <v>0</v>
      </c>
      <c r="CC408" s="72">
        <v>0</v>
      </c>
      <c r="CD408" s="72">
        <v>0</v>
      </c>
      <c r="CE408" s="72">
        <v>0</v>
      </c>
      <c r="CF408" s="72">
        <v>0</v>
      </c>
      <c r="CG408" s="72">
        <v>0</v>
      </c>
      <c r="CH408" s="72">
        <v>0</v>
      </c>
      <c r="CI408" s="72">
        <v>0</v>
      </c>
      <c r="CJ408" s="72">
        <v>0</v>
      </c>
      <c r="CK408" s="72">
        <v>0</v>
      </c>
      <c r="CL408" s="72">
        <v>0</v>
      </c>
      <c r="CM408" s="72">
        <v>0</v>
      </c>
      <c r="CN408" s="72">
        <v>0</v>
      </c>
      <c r="CO408" s="72">
        <v>0</v>
      </c>
      <c r="CP408" s="72">
        <v>0</v>
      </c>
      <c r="CQ408" s="72">
        <v>0</v>
      </c>
      <c r="CR408" s="72">
        <v>0</v>
      </c>
      <c r="CS408" s="72">
        <v>0</v>
      </c>
      <c r="CT408" s="72">
        <v>0</v>
      </c>
      <c r="CU408" s="72">
        <v>0</v>
      </c>
      <c r="CV408" s="72">
        <v>0</v>
      </c>
      <c r="CW408" s="72">
        <v>0</v>
      </c>
      <c r="CX408" s="72">
        <v>0</v>
      </c>
      <c r="CY408" s="72">
        <v>0</v>
      </c>
      <c r="CZ408" s="72">
        <v>0</v>
      </c>
      <c r="DA408" s="72">
        <v>0</v>
      </c>
      <c r="DB408" s="72">
        <v>0</v>
      </c>
      <c r="DC408" s="72">
        <v>0</v>
      </c>
      <c r="DD408" s="72">
        <v>0</v>
      </c>
      <c r="DE408" s="72">
        <v>0</v>
      </c>
      <c r="DF408" s="72">
        <v>0</v>
      </c>
      <c r="DG408" s="72">
        <v>0</v>
      </c>
      <c r="DH408" s="72">
        <v>0</v>
      </c>
      <c r="DI408" s="72">
        <v>0</v>
      </c>
      <c r="DJ408" s="72">
        <v>0</v>
      </c>
      <c r="DK408" s="72">
        <v>0</v>
      </c>
      <c r="DL408" s="72">
        <v>0</v>
      </c>
      <c r="DM408" s="72">
        <v>0</v>
      </c>
      <c r="DN408" s="72">
        <v>0</v>
      </c>
      <c r="DO408" s="72">
        <v>0</v>
      </c>
      <c r="DP408" s="72">
        <v>0</v>
      </c>
      <c r="DQ408" s="72">
        <v>0</v>
      </c>
      <c r="DR408" s="72">
        <v>0</v>
      </c>
      <c r="DS408" s="72">
        <v>0</v>
      </c>
      <c r="DT408" s="72">
        <v>0</v>
      </c>
      <c r="DU408" s="72">
        <v>0</v>
      </c>
      <c r="DV408" s="72">
        <v>0</v>
      </c>
      <c r="DW408" s="72">
        <v>0</v>
      </c>
      <c r="DX408" s="72">
        <v>0</v>
      </c>
      <c r="DY408" s="72">
        <v>0</v>
      </c>
      <c r="DZ408" s="72">
        <v>0</v>
      </c>
      <c r="EA408" s="72">
        <v>0</v>
      </c>
      <c r="EB408" s="72">
        <v>0</v>
      </c>
      <c r="EC408" s="72">
        <v>0</v>
      </c>
      <c r="ED408" s="72">
        <v>0</v>
      </c>
      <c r="EE408" s="72">
        <v>0</v>
      </c>
      <c r="EF408" s="72">
        <v>0</v>
      </c>
      <c r="EG408" s="72">
        <v>0</v>
      </c>
      <c r="EH408" s="72">
        <v>0</v>
      </c>
      <c r="EI408" s="72">
        <v>0</v>
      </c>
      <c r="EJ408" s="72">
        <v>0</v>
      </c>
      <c r="EK408" s="72">
        <v>0</v>
      </c>
      <c r="EL408" s="72">
        <v>0</v>
      </c>
    </row>
    <row r="409" spans="1:142" x14ac:dyDescent="0.35">
      <c r="A409" s="59">
        <f>Данные!A409</f>
        <v>6368</v>
      </c>
      <c r="B409" s="59">
        <f>Данные!B409</f>
        <v>2021</v>
      </c>
      <c r="C409" s="59" t="str">
        <f>Данные!C409</f>
        <v>компьютерных технологий и электронного обучения</v>
      </c>
      <c r="D409" s="59" t="str">
        <f>Данные!D409</f>
        <v>Воробьев Владимир Иванович</v>
      </c>
      <c r="E409" s="59" t="str">
        <f>Данные!E409</f>
        <v>доктор технических наук</v>
      </c>
      <c r="F409" s="59" t="str">
        <f>Данные!F409</f>
        <v>внешний</v>
      </c>
      <c r="G409" s="59">
        <f>Данные!G409</f>
        <v>1</v>
      </c>
      <c r="H409" s="59" t="str">
        <f>Данные!H409</f>
        <v>4 курс 2018 год/пост</v>
      </c>
      <c r="I409" s="59" t="str">
        <f>Данные!I409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409" s="59">
        <f>Данные!J409</f>
        <v>0</v>
      </c>
      <c r="K409" s="59">
        <f>Данные!K409</f>
        <v>0</v>
      </c>
      <c r="L409" s="59">
        <f>Данные!L409</f>
        <v>0</v>
      </c>
      <c r="M409" s="60">
        <f t="shared" si="54"/>
        <v>0</v>
      </c>
      <c r="N409" s="60">
        <f t="shared" ca="1" si="55"/>
        <v>14.870000000000001</v>
      </c>
      <c r="O409" s="60">
        <f t="shared" ca="1" si="56"/>
        <v>9.75</v>
      </c>
      <c r="P409" s="60">
        <f t="shared" ca="1" si="57"/>
        <v>9.75</v>
      </c>
      <c r="Q409" s="54">
        <f>Данные!Q409</f>
        <v>0</v>
      </c>
      <c r="R409" s="54">
        <f>Данные!R409</f>
        <v>0</v>
      </c>
      <c r="S409" s="54">
        <f>Данные!S409</f>
        <v>0</v>
      </c>
      <c r="T409" s="54">
        <f>Данные!T409</f>
        <v>0</v>
      </c>
      <c r="U409" s="54">
        <f>Данные!U409</f>
        <v>15</v>
      </c>
      <c r="V409" s="54">
        <f>Данные!V409</f>
        <v>0</v>
      </c>
      <c r="W409" s="54">
        <f ca="1">Данные!W409</f>
        <v>39</v>
      </c>
      <c r="X409" s="54" t="str">
        <f ca="1">Данные!X409</f>
        <v>2</v>
      </c>
      <c r="Y409" s="54" t="str">
        <f ca="1">Данные!Y409</f>
        <v>3</v>
      </c>
      <c r="Z409" s="54">
        <f>Данные!Z409</f>
        <v>0</v>
      </c>
      <c r="AA409" s="54">
        <f>Данные!AA409</f>
        <v>0</v>
      </c>
      <c r="AB409" s="101">
        <f t="shared" si="58"/>
        <v>900</v>
      </c>
      <c r="AC409" s="101" t="str">
        <f t="shared" si="59"/>
        <v>ИВТ (бак)</v>
      </c>
      <c r="AD409" s="101" t="str">
        <f t="shared" si="60"/>
        <v/>
      </c>
      <c r="AE409" s="102">
        <f t="shared" ca="1" si="61"/>
        <v>49.370000000000005</v>
      </c>
      <c r="AF409" s="103">
        <f t="shared" ca="1" si="62"/>
        <v>5.485555555555556E-2</v>
      </c>
      <c r="AG409" s="101"/>
      <c r="AH409" s="101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Q409" s="72">
        <v>0</v>
      </c>
      <c r="BR409" s="72">
        <v>0</v>
      </c>
      <c r="BS409" s="72">
        <v>0</v>
      </c>
      <c r="BT409" s="72">
        <v>0</v>
      </c>
      <c r="BU409" s="72">
        <v>0</v>
      </c>
      <c r="BV409" s="72">
        <v>0</v>
      </c>
      <c r="BW409" s="72">
        <v>0</v>
      </c>
      <c r="BX409" s="72">
        <v>0</v>
      </c>
      <c r="BY409" s="72">
        <v>0</v>
      </c>
      <c r="BZ409" s="72">
        <v>0</v>
      </c>
      <c r="CA409" s="72">
        <v>0</v>
      </c>
      <c r="CB409" s="72">
        <v>0</v>
      </c>
      <c r="CC409" s="72">
        <v>0</v>
      </c>
      <c r="CD409" s="72">
        <v>0</v>
      </c>
      <c r="CE409" s="72">
        <v>0</v>
      </c>
      <c r="CF409" s="72">
        <v>0</v>
      </c>
      <c r="CG409" s="72">
        <v>0</v>
      </c>
      <c r="CH409" s="72">
        <v>0</v>
      </c>
      <c r="CI409" s="72">
        <v>0</v>
      </c>
      <c r="CJ409" s="72">
        <v>0</v>
      </c>
      <c r="CK409" s="72">
        <v>0</v>
      </c>
      <c r="CL409" s="72">
        <v>0</v>
      </c>
      <c r="CM409" s="72">
        <v>0</v>
      </c>
      <c r="CN409" s="72">
        <v>0</v>
      </c>
      <c r="CO409" s="72">
        <v>0</v>
      </c>
      <c r="CP409" s="72">
        <v>0</v>
      </c>
      <c r="CQ409" s="72">
        <v>0</v>
      </c>
      <c r="CR409" s="72">
        <v>0</v>
      </c>
      <c r="CS409" s="72">
        <v>0</v>
      </c>
      <c r="CT409" s="72">
        <v>0</v>
      </c>
      <c r="CU409" s="72">
        <v>0</v>
      </c>
      <c r="CV409" s="72">
        <v>0</v>
      </c>
      <c r="CW409" s="72">
        <v>0</v>
      </c>
      <c r="CX409" s="72">
        <v>0</v>
      </c>
      <c r="CY409" s="72">
        <v>0</v>
      </c>
      <c r="CZ409" s="72">
        <v>0</v>
      </c>
      <c r="DA409" s="72">
        <v>0</v>
      </c>
      <c r="DB409" s="72">
        <v>0</v>
      </c>
      <c r="DC409" s="72">
        <v>0</v>
      </c>
      <c r="DD409" s="72">
        <v>0</v>
      </c>
      <c r="DE409" s="72">
        <v>0</v>
      </c>
      <c r="DF409" s="72">
        <v>0</v>
      </c>
      <c r="DG409" s="72">
        <v>0</v>
      </c>
      <c r="DH409" s="72">
        <v>0</v>
      </c>
      <c r="DI409" s="72">
        <v>0</v>
      </c>
      <c r="DJ409" s="72">
        <v>0</v>
      </c>
      <c r="DK409" s="72">
        <v>0</v>
      </c>
      <c r="DL409" s="72">
        <v>0</v>
      </c>
      <c r="DM409" s="72">
        <v>0</v>
      </c>
      <c r="DN409" s="72">
        <v>0</v>
      </c>
      <c r="DO409" s="72">
        <v>0</v>
      </c>
      <c r="DP409" s="72">
        <v>0</v>
      </c>
      <c r="DQ409" s="72">
        <v>0</v>
      </c>
      <c r="DR409" s="72">
        <v>0</v>
      </c>
      <c r="DS409" s="72">
        <v>0</v>
      </c>
      <c r="DT409" s="72">
        <v>0</v>
      </c>
      <c r="DU409" s="72">
        <v>0</v>
      </c>
      <c r="DV409" s="72">
        <v>0</v>
      </c>
      <c r="DW409" s="72">
        <v>0</v>
      </c>
      <c r="DX409" s="72">
        <v>0</v>
      </c>
      <c r="DY409" s="72">
        <v>0</v>
      </c>
      <c r="DZ409" s="72">
        <v>0</v>
      </c>
      <c r="EA409" s="72">
        <v>0</v>
      </c>
      <c r="EB409" s="72">
        <v>0</v>
      </c>
      <c r="EC409" s="72">
        <v>0</v>
      </c>
      <c r="ED409" s="72">
        <v>0</v>
      </c>
      <c r="EE409" s="72">
        <v>0</v>
      </c>
      <c r="EF409" s="72">
        <v>0</v>
      </c>
      <c r="EG409" s="72">
        <v>0</v>
      </c>
      <c r="EH409" s="72">
        <v>0</v>
      </c>
      <c r="EI409" s="72">
        <v>0</v>
      </c>
      <c r="EJ409" s="72">
        <v>0</v>
      </c>
      <c r="EK409" s="72">
        <v>0</v>
      </c>
      <c r="EL409" s="72">
        <v>0</v>
      </c>
    </row>
    <row r="410" spans="1:142" x14ac:dyDescent="0.35">
      <c r="A410" s="59">
        <f>Данные!A410</f>
        <v>6368</v>
      </c>
      <c r="B410" s="59">
        <f>Данные!B410</f>
        <v>2021</v>
      </c>
      <c r="C410" s="59" t="str">
        <f>Данные!C410</f>
        <v>компьютерных технологий и электронного обучения</v>
      </c>
      <c r="D410" s="59" t="str">
        <f>Данные!D410</f>
        <v>Абрамян Геннадий Владимирович</v>
      </c>
      <c r="E410" s="59" t="str">
        <f>Данные!E410</f>
        <v>доктор педагогических наук</v>
      </c>
      <c r="F410" s="59" t="str">
        <f>Данные!F410</f>
        <v>профессор</v>
      </c>
      <c r="G410" s="59">
        <f>Данные!G410</f>
        <v>1</v>
      </c>
      <c r="H410" s="59" t="str">
        <f>Данные!H410</f>
        <v>4 курс 2018 год/пост</v>
      </c>
      <c r="I410" s="59" t="str">
        <f>Данные!I410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410" s="59">
        <f>Данные!J410</f>
        <v>0</v>
      </c>
      <c r="K410" s="59">
        <f>Данные!K410</f>
        <v>0</v>
      </c>
      <c r="L410" s="59">
        <f>Данные!L410</f>
        <v>0</v>
      </c>
      <c r="M410" s="60">
        <f t="shared" si="54"/>
        <v>0</v>
      </c>
      <c r="N410" s="60">
        <f t="shared" ca="1" si="55"/>
        <v>14.870000000000001</v>
      </c>
      <c r="O410" s="60">
        <f t="shared" ca="1" si="56"/>
        <v>9.75</v>
      </c>
      <c r="P410" s="60">
        <f t="shared" ca="1" si="57"/>
        <v>9.75</v>
      </c>
      <c r="Q410" s="54">
        <f>Данные!Q410</f>
        <v>0</v>
      </c>
      <c r="R410" s="54">
        <f>Данные!R410</f>
        <v>0</v>
      </c>
      <c r="S410" s="54">
        <f>Данные!S410</f>
        <v>0</v>
      </c>
      <c r="T410" s="54">
        <f>Данные!T410</f>
        <v>0</v>
      </c>
      <c r="U410" s="54">
        <f>Данные!U410</f>
        <v>2</v>
      </c>
      <c r="V410" s="54">
        <f>Данные!V410</f>
        <v>0</v>
      </c>
      <c r="W410" s="54">
        <f ca="1">Данные!W410</f>
        <v>39</v>
      </c>
      <c r="X410" s="54" t="str">
        <f ca="1">Данные!X410</f>
        <v>2</v>
      </c>
      <c r="Y410" s="54" t="str">
        <f ca="1">Данные!Y410</f>
        <v>3</v>
      </c>
      <c r="Z410" s="54">
        <f>Данные!Z410</f>
        <v>0</v>
      </c>
      <c r="AA410" s="54">
        <f>Данные!AA410</f>
        <v>0</v>
      </c>
      <c r="AB410" s="101">
        <f t="shared" si="58"/>
        <v>750</v>
      </c>
      <c r="AC410" s="101" t="str">
        <f t="shared" si="59"/>
        <v>ИВТ (бак)</v>
      </c>
      <c r="AD410" s="101" t="str">
        <f t="shared" si="60"/>
        <v/>
      </c>
      <c r="AE410" s="102">
        <f t="shared" ca="1" si="61"/>
        <v>36.370000000000005</v>
      </c>
      <c r="AF410" s="103">
        <f t="shared" ca="1" si="62"/>
        <v>4.849333333333334E-2</v>
      </c>
      <c r="AG410" s="101"/>
      <c r="AH410" s="101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Q410" s="72">
        <v>0</v>
      </c>
      <c r="BR410" s="72">
        <v>0</v>
      </c>
      <c r="BS410" s="72">
        <v>0</v>
      </c>
      <c r="BT410" s="72">
        <v>0</v>
      </c>
      <c r="BU410" s="72">
        <v>0</v>
      </c>
      <c r="BV410" s="72">
        <v>0</v>
      </c>
      <c r="BW410" s="72">
        <v>0</v>
      </c>
      <c r="BX410" s="72">
        <v>0</v>
      </c>
      <c r="BY410" s="72">
        <v>0</v>
      </c>
      <c r="BZ410" s="72">
        <v>0</v>
      </c>
      <c r="CA410" s="72">
        <v>0</v>
      </c>
      <c r="CB410" s="72">
        <v>0</v>
      </c>
      <c r="CC410" s="72">
        <v>0</v>
      </c>
      <c r="CD410" s="72">
        <v>0</v>
      </c>
      <c r="CE410" s="72">
        <v>0</v>
      </c>
      <c r="CF410" s="72">
        <v>0</v>
      </c>
      <c r="CG410" s="72">
        <v>0</v>
      </c>
      <c r="CH410" s="72">
        <v>0</v>
      </c>
      <c r="CI410" s="72">
        <v>0</v>
      </c>
      <c r="CJ410" s="72">
        <v>0</v>
      </c>
      <c r="CK410" s="72">
        <v>0</v>
      </c>
      <c r="CL410" s="72">
        <v>0</v>
      </c>
      <c r="CM410" s="72">
        <v>0</v>
      </c>
      <c r="CN410" s="72">
        <v>0</v>
      </c>
      <c r="CO410" s="72">
        <v>0</v>
      </c>
      <c r="CP410" s="72">
        <v>0</v>
      </c>
      <c r="CQ410" s="72">
        <v>0</v>
      </c>
      <c r="CR410" s="72">
        <v>0</v>
      </c>
      <c r="CS410" s="72">
        <v>0</v>
      </c>
      <c r="CT410" s="72">
        <v>0</v>
      </c>
      <c r="CU410" s="72">
        <v>0</v>
      </c>
      <c r="CV410" s="72">
        <v>0</v>
      </c>
      <c r="CW410" s="72">
        <v>0</v>
      </c>
      <c r="CX410" s="72">
        <v>0</v>
      </c>
      <c r="CY410" s="72">
        <v>0</v>
      </c>
      <c r="CZ410" s="72">
        <v>0</v>
      </c>
      <c r="DA410" s="72">
        <v>0</v>
      </c>
      <c r="DB410" s="72">
        <v>0</v>
      </c>
      <c r="DC410" s="72">
        <v>0</v>
      </c>
      <c r="DD410" s="72">
        <v>0</v>
      </c>
      <c r="DE410" s="72">
        <v>0</v>
      </c>
      <c r="DF410" s="72">
        <v>0</v>
      </c>
      <c r="DG410" s="72">
        <v>0</v>
      </c>
      <c r="DH410" s="72">
        <v>0</v>
      </c>
      <c r="DI410" s="72">
        <v>0</v>
      </c>
      <c r="DJ410" s="72">
        <v>0</v>
      </c>
      <c r="DK410" s="72">
        <v>0</v>
      </c>
      <c r="DL410" s="72">
        <v>0</v>
      </c>
      <c r="DM410" s="72">
        <v>0</v>
      </c>
      <c r="DN410" s="72">
        <v>0</v>
      </c>
      <c r="DO410" s="72">
        <v>0</v>
      </c>
      <c r="DP410" s="72">
        <v>0</v>
      </c>
      <c r="DQ410" s="72">
        <v>0</v>
      </c>
      <c r="DR410" s="72">
        <v>0</v>
      </c>
      <c r="DS410" s="72">
        <v>0</v>
      </c>
      <c r="DT410" s="72">
        <v>0</v>
      </c>
      <c r="DU410" s="72">
        <v>0</v>
      </c>
      <c r="DV410" s="72">
        <v>0</v>
      </c>
      <c r="DW410" s="72">
        <v>0</v>
      </c>
      <c r="DX410" s="72">
        <v>0</v>
      </c>
      <c r="DY410" s="72">
        <v>0</v>
      </c>
      <c r="DZ410" s="72">
        <v>0</v>
      </c>
      <c r="EA410" s="72">
        <v>0</v>
      </c>
      <c r="EB410" s="72">
        <v>0</v>
      </c>
      <c r="EC410" s="72">
        <v>0</v>
      </c>
      <c r="ED410" s="72">
        <v>0</v>
      </c>
      <c r="EE410" s="72">
        <v>0</v>
      </c>
      <c r="EF410" s="72">
        <v>0</v>
      </c>
      <c r="EG410" s="72">
        <v>0</v>
      </c>
      <c r="EH410" s="72">
        <v>0</v>
      </c>
      <c r="EI410" s="72">
        <v>0</v>
      </c>
      <c r="EJ410" s="72">
        <v>0</v>
      </c>
      <c r="EK410" s="72">
        <v>0</v>
      </c>
      <c r="EL410" s="72">
        <v>0</v>
      </c>
    </row>
    <row r="411" spans="1:142" x14ac:dyDescent="0.35">
      <c r="A411" s="59">
        <f>Данные!A411</f>
        <v>6368</v>
      </c>
      <c r="B411" s="59">
        <f>Данные!B411</f>
        <v>2021</v>
      </c>
      <c r="C411" s="59" t="str">
        <f>Данные!C411</f>
        <v>компьютерных технологий и электронного обучения</v>
      </c>
      <c r="D411" s="59" t="str">
        <f>Данные!D411</f>
        <v>Копыльцов Александр Васильевич</v>
      </c>
      <c r="E411" s="59" t="str">
        <f>Данные!E411</f>
        <v>доктор технических наук</v>
      </c>
      <c r="F411" s="59" t="str">
        <f>Данные!F411</f>
        <v>внешний</v>
      </c>
      <c r="G411" s="59">
        <f>Данные!G411</f>
        <v>1</v>
      </c>
      <c r="H411" s="59" t="str">
        <f>Данные!H411</f>
        <v>4 курс 2018 год/пост</v>
      </c>
      <c r="I411" s="59" t="str">
        <f>Данные!I411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411" s="59">
        <f>Данные!J411</f>
        <v>0</v>
      </c>
      <c r="K411" s="59">
        <f>Данные!K411</f>
        <v>0</v>
      </c>
      <c r="L411" s="59">
        <f>Данные!L411</f>
        <v>0</v>
      </c>
      <c r="M411" s="60">
        <f t="shared" si="54"/>
        <v>0</v>
      </c>
      <c r="N411" s="60">
        <f t="shared" ca="1" si="55"/>
        <v>14.870000000000001</v>
      </c>
      <c r="O411" s="60">
        <f t="shared" ca="1" si="56"/>
        <v>9.75</v>
      </c>
      <c r="P411" s="60">
        <f t="shared" ca="1" si="57"/>
        <v>9.75</v>
      </c>
      <c r="Q411" s="54">
        <f>Данные!Q411</f>
        <v>0</v>
      </c>
      <c r="R411" s="54">
        <f>Данные!R411</f>
        <v>0</v>
      </c>
      <c r="S411" s="54">
        <f>Данные!S411</f>
        <v>0</v>
      </c>
      <c r="T411" s="54">
        <f>Данные!T411</f>
        <v>0</v>
      </c>
      <c r="U411" s="54">
        <f>Данные!U411</f>
        <v>15</v>
      </c>
      <c r="V411" s="54">
        <f>Данные!V411</f>
        <v>0</v>
      </c>
      <c r="W411" s="54">
        <f ca="1">Данные!W411</f>
        <v>39</v>
      </c>
      <c r="X411" s="54" t="str">
        <f ca="1">Данные!X411</f>
        <v>2</v>
      </c>
      <c r="Y411" s="54" t="str">
        <f ca="1">Данные!Y411</f>
        <v>3</v>
      </c>
      <c r="Z411" s="54">
        <f>Данные!Z411</f>
        <v>0</v>
      </c>
      <c r="AA411" s="54">
        <f>Данные!AA411</f>
        <v>0</v>
      </c>
      <c r="AB411" s="101">
        <f t="shared" si="58"/>
        <v>900</v>
      </c>
      <c r="AC411" s="101" t="str">
        <f t="shared" si="59"/>
        <v>ИВТ (бак)</v>
      </c>
      <c r="AD411" s="101" t="str">
        <f t="shared" si="60"/>
        <v/>
      </c>
      <c r="AE411" s="102">
        <f t="shared" ca="1" si="61"/>
        <v>49.370000000000005</v>
      </c>
      <c r="AF411" s="103">
        <f t="shared" ca="1" si="62"/>
        <v>5.485555555555556E-2</v>
      </c>
      <c r="AG411" s="101"/>
      <c r="AH411" s="10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Q411" s="72">
        <v>0</v>
      </c>
      <c r="BR411" s="72">
        <v>0</v>
      </c>
      <c r="BS411" s="72">
        <v>0</v>
      </c>
      <c r="BT411" s="72">
        <v>0</v>
      </c>
      <c r="BU411" s="72">
        <v>0</v>
      </c>
      <c r="BV411" s="72">
        <v>0</v>
      </c>
      <c r="BW411" s="72">
        <v>0</v>
      </c>
      <c r="BX411" s="72">
        <v>0</v>
      </c>
      <c r="BY411" s="72">
        <v>0</v>
      </c>
      <c r="BZ411" s="72">
        <v>0</v>
      </c>
      <c r="CA411" s="72">
        <v>0</v>
      </c>
      <c r="CB411" s="72">
        <v>0</v>
      </c>
      <c r="CC411" s="72">
        <v>0</v>
      </c>
      <c r="CD411" s="72">
        <v>0</v>
      </c>
      <c r="CE411" s="72">
        <v>0</v>
      </c>
      <c r="CF411" s="72">
        <v>0</v>
      </c>
      <c r="CG411" s="72">
        <v>0</v>
      </c>
      <c r="CH411" s="72">
        <v>0</v>
      </c>
      <c r="CI411" s="72">
        <v>0</v>
      </c>
      <c r="CJ411" s="72">
        <v>0</v>
      </c>
      <c r="CK411" s="72">
        <v>0</v>
      </c>
      <c r="CL411" s="72">
        <v>0</v>
      </c>
      <c r="CM411" s="72">
        <v>0</v>
      </c>
      <c r="CN411" s="72">
        <v>0</v>
      </c>
      <c r="CO411" s="72">
        <v>0</v>
      </c>
      <c r="CP411" s="72">
        <v>0</v>
      </c>
      <c r="CQ411" s="72">
        <v>0</v>
      </c>
      <c r="CR411" s="72">
        <v>0</v>
      </c>
      <c r="CS411" s="72">
        <v>0</v>
      </c>
      <c r="CT411" s="72">
        <v>0</v>
      </c>
      <c r="CU411" s="72">
        <v>0</v>
      </c>
      <c r="CV411" s="72">
        <v>0</v>
      </c>
      <c r="CW411" s="72">
        <v>0</v>
      </c>
      <c r="CX411" s="72">
        <v>0</v>
      </c>
      <c r="CY411" s="72">
        <v>0</v>
      </c>
      <c r="CZ411" s="72">
        <v>0</v>
      </c>
      <c r="DA411" s="72">
        <v>0</v>
      </c>
      <c r="DB411" s="72">
        <v>0</v>
      </c>
      <c r="DC411" s="72">
        <v>0</v>
      </c>
      <c r="DD411" s="72">
        <v>0</v>
      </c>
      <c r="DE411" s="72">
        <v>0</v>
      </c>
      <c r="DF411" s="72">
        <v>0</v>
      </c>
      <c r="DG411" s="72">
        <v>0</v>
      </c>
      <c r="DH411" s="72">
        <v>0</v>
      </c>
      <c r="DI411" s="72">
        <v>0</v>
      </c>
      <c r="DJ411" s="72">
        <v>0</v>
      </c>
      <c r="DK411" s="72">
        <v>0</v>
      </c>
      <c r="DL411" s="72">
        <v>0</v>
      </c>
      <c r="DM411" s="72">
        <v>0</v>
      </c>
      <c r="DN411" s="72">
        <v>0</v>
      </c>
      <c r="DO411" s="72">
        <v>0</v>
      </c>
      <c r="DP411" s="72">
        <v>0</v>
      </c>
      <c r="DQ411" s="72">
        <v>0</v>
      </c>
      <c r="DR411" s="72">
        <v>0</v>
      </c>
      <c r="DS411" s="72">
        <v>0</v>
      </c>
      <c r="DT411" s="72">
        <v>0</v>
      </c>
      <c r="DU411" s="72">
        <v>0</v>
      </c>
      <c r="DV411" s="72">
        <v>0</v>
      </c>
      <c r="DW411" s="72">
        <v>0</v>
      </c>
      <c r="DX411" s="72">
        <v>0</v>
      </c>
      <c r="DY411" s="72">
        <v>0</v>
      </c>
      <c r="DZ411" s="72">
        <v>0</v>
      </c>
      <c r="EA411" s="72">
        <v>0</v>
      </c>
      <c r="EB411" s="72">
        <v>0</v>
      </c>
      <c r="EC411" s="72">
        <v>0</v>
      </c>
      <c r="ED411" s="72">
        <v>0</v>
      </c>
      <c r="EE411" s="72">
        <v>0</v>
      </c>
      <c r="EF411" s="72">
        <v>0</v>
      </c>
      <c r="EG411" s="72">
        <v>0</v>
      </c>
      <c r="EH411" s="72">
        <v>0</v>
      </c>
      <c r="EI411" s="72">
        <v>0</v>
      </c>
      <c r="EJ411" s="72">
        <v>0</v>
      </c>
      <c r="EK411" s="72">
        <v>0</v>
      </c>
      <c r="EL411" s="72">
        <v>0</v>
      </c>
    </row>
    <row r="412" spans="1:142" x14ac:dyDescent="0.35">
      <c r="A412" s="59">
        <f>Данные!A412</f>
        <v>6368</v>
      </c>
      <c r="B412" s="59">
        <f>Данные!B412</f>
        <v>2021</v>
      </c>
      <c r="C412" s="59" t="str">
        <f>Данные!C412</f>
        <v>компьютерных технологий и электронного обучения</v>
      </c>
      <c r="D412" s="59" t="str">
        <f>Данные!D412</f>
        <v>Карпова Наталья Александровна</v>
      </c>
      <c r="E412" s="59" t="str">
        <f>Данные!E412</f>
        <v>кандидат технических наук</v>
      </c>
      <c r="F412" s="59" t="str">
        <f>Данные!F412</f>
        <v>доцент</v>
      </c>
      <c r="G412" s="59">
        <f>Данные!G412</f>
        <v>0.75</v>
      </c>
      <c r="H412" s="59" t="str">
        <f>Данные!H412</f>
        <v>4 курс 2018 год/пост</v>
      </c>
      <c r="I412" s="59" t="str">
        <f>Данные!I412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412" s="59">
        <f>Данные!J412</f>
        <v>0</v>
      </c>
      <c r="K412" s="59">
        <f>Данные!K412</f>
        <v>0</v>
      </c>
      <c r="L412" s="59">
        <f>Данные!L412</f>
        <v>0</v>
      </c>
      <c r="M412" s="60">
        <f t="shared" si="54"/>
        <v>0</v>
      </c>
      <c r="N412" s="60">
        <f t="shared" ca="1" si="55"/>
        <v>14.870000000000001</v>
      </c>
      <c r="O412" s="60">
        <f t="shared" ca="1" si="56"/>
        <v>9.75</v>
      </c>
      <c r="P412" s="60">
        <f t="shared" ca="1" si="57"/>
        <v>9.75</v>
      </c>
      <c r="Q412" s="54">
        <f>Данные!Q412</f>
        <v>0</v>
      </c>
      <c r="R412" s="54">
        <f>Данные!R412</f>
        <v>0</v>
      </c>
      <c r="S412" s="54">
        <f>Данные!S412</f>
        <v>0</v>
      </c>
      <c r="T412" s="54">
        <f>Данные!T412</f>
        <v>0</v>
      </c>
      <c r="U412" s="54">
        <f>Данные!U412</f>
        <v>4</v>
      </c>
      <c r="V412" s="54">
        <f>Данные!V412</f>
        <v>0</v>
      </c>
      <c r="W412" s="54">
        <f ca="1">Данные!W412</f>
        <v>39</v>
      </c>
      <c r="X412" s="54" t="str">
        <f ca="1">Данные!X412</f>
        <v>2</v>
      </c>
      <c r="Y412" s="54" t="str">
        <f ca="1">Данные!Y412</f>
        <v>3</v>
      </c>
      <c r="Z412" s="54">
        <f>Данные!Z412</f>
        <v>0</v>
      </c>
      <c r="AA412" s="54">
        <f>Данные!AA412</f>
        <v>0</v>
      </c>
      <c r="AB412" s="101">
        <f t="shared" si="58"/>
        <v>800</v>
      </c>
      <c r="AC412" s="101" t="str">
        <f t="shared" si="59"/>
        <v>ИВТ (бак)</v>
      </c>
      <c r="AD412" s="101" t="str">
        <f t="shared" si="60"/>
        <v/>
      </c>
      <c r="AE412" s="102">
        <f t="shared" ca="1" si="61"/>
        <v>38.370000000000005</v>
      </c>
      <c r="AF412" s="103">
        <f t="shared" ca="1" si="62"/>
        <v>4.7962500000000005E-2</v>
      </c>
      <c r="AG412" s="101"/>
      <c r="AH412" s="101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Q412" s="72">
        <v>0</v>
      </c>
      <c r="BR412" s="72">
        <v>0</v>
      </c>
      <c r="BS412" s="72">
        <v>0</v>
      </c>
      <c r="BT412" s="72">
        <v>0</v>
      </c>
      <c r="BU412" s="72">
        <v>0</v>
      </c>
      <c r="BV412" s="72">
        <v>0</v>
      </c>
      <c r="BW412" s="72">
        <v>0</v>
      </c>
      <c r="BX412" s="72">
        <v>0</v>
      </c>
      <c r="BY412" s="72">
        <v>0</v>
      </c>
      <c r="BZ412" s="72">
        <v>0</v>
      </c>
      <c r="CA412" s="72">
        <v>0</v>
      </c>
      <c r="CB412" s="72">
        <v>0</v>
      </c>
      <c r="CC412" s="72">
        <v>0</v>
      </c>
      <c r="CD412" s="72">
        <v>0</v>
      </c>
      <c r="CE412" s="72">
        <v>0</v>
      </c>
      <c r="CF412" s="72">
        <v>0</v>
      </c>
      <c r="CG412" s="72">
        <v>0</v>
      </c>
      <c r="CH412" s="72">
        <v>0</v>
      </c>
      <c r="CI412" s="72">
        <v>0</v>
      </c>
      <c r="CJ412" s="72">
        <v>0</v>
      </c>
      <c r="CK412" s="72">
        <v>0</v>
      </c>
      <c r="CL412" s="72">
        <v>0</v>
      </c>
      <c r="CM412" s="72">
        <v>0</v>
      </c>
      <c r="CN412" s="72">
        <v>0</v>
      </c>
      <c r="CO412" s="72">
        <v>0</v>
      </c>
      <c r="CP412" s="72">
        <v>0</v>
      </c>
      <c r="CQ412" s="72">
        <v>0</v>
      </c>
      <c r="CR412" s="72">
        <v>0</v>
      </c>
      <c r="CS412" s="72">
        <v>0</v>
      </c>
      <c r="CT412" s="72">
        <v>0</v>
      </c>
      <c r="CU412" s="72">
        <v>0</v>
      </c>
      <c r="CV412" s="72">
        <v>0</v>
      </c>
      <c r="CW412" s="72">
        <v>0</v>
      </c>
      <c r="CX412" s="72">
        <v>0</v>
      </c>
      <c r="CY412" s="72">
        <v>0</v>
      </c>
      <c r="CZ412" s="72">
        <v>0</v>
      </c>
      <c r="DA412" s="72">
        <v>0</v>
      </c>
      <c r="DB412" s="72">
        <v>0</v>
      </c>
      <c r="DC412" s="72">
        <v>0</v>
      </c>
      <c r="DD412" s="72">
        <v>0</v>
      </c>
      <c r="DE412" s="72">
        <v>0</v>
      </c>
      <c r="DF412" s="72">
        <v>0</v>
      </c>
      <c r="DG412" s="72">
        <v>0</v>
      </c>
      <c r="DH412" s="72">
        <v>0</v>
      </c>
      <c r="DI412" s="72">
        <v>0</v>
      </c>
      <c r="DJ412" s="72">
        <v>0</v>
      </c>
      <c r="DK412" s="72">
        <v>0</v>
      </c>
      <c r="DL412" s="72">
        <v>0</v>
      </c>
      <c r="DM412" s="72">
        <v>0</v>
      </c>
      <c r="DN412" s="72">
        <v>0</v>
      </c>
      <c r="DO412" s="72">
        <v>0</v>
      </c>
      <c r="DP412" s="72">
        <v>0</v>
      </c>
      <c r="DQ412" s="72">
        <v>0</v>
      </c>
      <c r="DR412" s="72">
        <v>0</v>
      </c>
      <c r="DS412" s="72">
        <v>0</v>
      </c>
      <c r="DT412" s="72">
        <v>0</v>
      </c>
      <c r="DU412" s="72">
        <v>0</v>
      </c>
      <c r="DV412" s="72">
        <v>0</v>
      </c>
      <c r="DW412" s="72">
        <v>0</v>
      </c>
      <c r="DX412" s="72">
        <v>0</v>
      </c>
      <c r="DY412" s="72">
        <v>0</v>
      </c>
      <c r="DZ412" s="72">
        <v>0</v>
      </c>
      <c r="EA412" s="72">
        <v>0</v>
      </c>
      <c r="EB412" s="72">
        <v>0</v>
      </c>
      <c r="EC412" s="72">
        <v>0</v>
      </c>
      <c r="ED412" s="72">
        <v>0</v>
      </c>
      <c r="EE412" s="72">
        <v>0</v>
      </c>
      <c r="EF412" s="72">
        <v>0</v>
      </c>
      <c r="EG412" s="72">
        <v>0</v>
      </c>
      <c r="EH412" s="72">
        <v>0</v>
      </c>
      <c r="EI412" s="72">
        <v>0</v>
      </c>
      <c r="EJ412" s="72">
        <v>0</v>
      </c>
      <c r="EK412" s="72">
        <v>0</v>
      </c>
      <c r="EL412" s="72">
        <v>0</v>
      </c>
    </row>
    <row r="413" spans="1:142" x14ac:dyDescent="0.35">
      <c r="A413" s="59">
        <f>Данные!A413</f>
        <v>6368</v>
      </c>
      <c r="B413" s="59">
        <f>Данные!B413</f>
        <v>2021</v>
      </c>
      <c r="C413" s="59" t="str">
        <f>Данные!C413</f>
        <v>компьютерных технологий и электронного обучения</v>
      </c>
      <c r="D413" s="59" t="str">
        <f>Данные!D413</f>
        <v>Авксентьева Елена Юрьевна</v>
      </c>
      <c r="E413" s="59" t="str">
        <f>Данные!E413</f>
        <v>кандидат педагогических наук</v>
      </c>
      <c r="F413" s="59" t="str">
        <f>Данные!F413</f>
        <v>доцент</v>
      </c>
      <c r="G413" s="59">
        <f>Данные!G413</f>
        <v>1</v>
      </c>
      <c r="H413" s="59" t="str">
        <f>Данные!H413</f>
        <v>4 курс 2018 год/пост</v>
      </c>
      <c r="I413" s="59" t="str">
        <f>Данные!I413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413" s="59">
        <f>Данные!J413</f>
        <v>0</v>
      </c>
      <c r="K413" s="59">
        <f>Данные!K413</f>
        <v>0</v>
      </c>
      <c r="L413" s="59">
        <f>Данные!L413</f>
        <v>0</v>
      </c>
      <c r="M413" s="60">
        <f t="shared" si="54"/>
        <v>0</v>
      </c>
      <c r="N413" s="60">
        <f t="shared" ca="1" si="55"/>
        <v>14.870000000000001</v>
      </c>
      <c r="O413" s="60">
        <f t="shared" ca="1" si="56"/>
        <v>9.75</v>
      </c>
      <c r="P413" s="60">
        <f t="shared" ca="1" si="57"/>
        <v>9.75</v>
      </c>
      <c r="Q413" s="54">
        <f>Данные!Q413</f>
        <v>0</v>
      </c>
      <c r="R413" s="54">
        <f>Данные!R413</f>
        <v>0</v>
      </c>
      <c r="S413" s="54">
        <f>Данные!S413</f>
        <v>0</v>
      </c>
      <c r="T413" s="54">
        <f>Данные!T413</f>
        <v>0</v>
      </c>
      <c r="U413" s="54">
        <f>Данные!U413</f>
        <v>5</v>
      </c>
      <c r="V413" s="54">
        <f>Данные!V413</f>
        <v>0</v>
      </c>
      <c r="W413" s="54">
        <f ca="1">Данные!W413</f>
        <v>39</v>
      </c>
      <c r="X413" s="54" t="str">
        <f ca="1">Данные!X413</f>
        <v>2</v>
      </c>
      <c r="Y413" s="54" t="str">
        <f ca="1">Данные!Y413</f>
        <v>3</v>
      </c>
      <c r="Z413" s="54">
        <f>Данные!Z413</f>
        <v>0</v>
      </c>
      <c r="AA413" s="54">
        <f>Данные!AA413</f>
        <v>0</v>
      </c>
      <c r="AB413" s="101">
        <f t="shared" si="58"/>
        <v>800</v>
      </c>
      <c r="AC413" s="101" t="str">
        <f t="shared" si="59"/>
        <v>ИВТ (бак)</v>
      </c>
      <c r="AD413" s="101" t="str">
        <f t="shared" si="60"/>
        <v/>
      </c>
      <c r="AE413" s="102">
        <f t="shared" ca="1" si="61"/>
        <v>39.370000000000005</v>
      </c>
      <c r="AF413" s="103">
        <f t="shared" ca="1" si="62"/>
        <v>4.9212500000000006E-2</v>
      </c>
      <c r="AG413" s="101"/>
      <c r="AH413" s="101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Q413" s="72">
        <v>0</v>
      </c>
      <c r="BR413" s="72">
        <v>0</v>
      </c>
      <c r="BS413" s="72">
        <v>0</v>
      </c>
      <c r="BT413" s="72">
        <v>0</v>
      </c>
      <c r="BU413" s="72">
        <v>0</v>
      </c>
      <c r="BV413" s="72">
        <v>0</v>
      </c>
      <c r="BW413" s="72">
        <v>0</v>
      </c>
      <c r="BX413" s="72">
        <v>0</v>
      </c>
      <c r="BY413" s="72">
        <v>0</v>
      </c>
      <c r="BZ413" s="72">
        <v>0</v>
      </c>
      <c r="CA413" s="72">
        <v>0</v>
      </c>
      <c r="CB413" s="72">
        <v>0</v>
      </c>
      <c r="CC413" s="72">
        <v>0</v>
      </c>
      <c r="CD413" s="72">
        <v>0</v>
      </c>
      <c r="CE413" s="72">
        <v>0</v>
      </c>
      <c r="CF413" s="72">
        <v>0</v>
      </c>
      <c r="CG413" s="72">
        <v>0</v>
      </c>
      <c r="CH413" s="72">
        <v>0</v>
      </c>
      <c r="CI413" s="72">
        <v>0</v>
      </c>
      <c r="CJ413" s="72">
        <v>0</v>
      </c>
      <c r="CK413" s="72">
        <v>0</v>
      </c>
      <c r="CL413" s="72">
        <v>0</v>
      </c>
      <c r="CM413" s="72">
        <v>0</v>
      </c>
      <c r="CN413" s="72">
        <v>0</v>
      </c>
      <c r="CO413" s="72">
        <v>0</v>
      </c>
      <c r="CP413" s="72">
        <v>0</v>
      </c>
      <c r="CQ413" s="72">
        <v>0</v>
      </c>
      <c r="CR413" s="72">
        <v>0</v>
      </c>
      <c r="CS413" s="72">
        <v>0</v>
      </c>
      <c r="CT413" s="72">
        <v>0</v>
      </c>
      <c r="CU413" s="72">
        <v>0</v>
      </c>
      <c r="CV413" s="72">
        <v>0</v>
      </c>
      <c r="CW413" s="72">
        <v>0</v>
      </c>
      <c r="CX413" s="72">
        <v>0</v>
      </c>
      <c r="CY413" s="72">
        <v>0</v>
      </c>
      <c r="CZ413" s="72">
        <v>0</v>
      </c>
      <c r="DA413" s="72">
        <v>0</v>
      </c>
      <c r="DB413" s="72">
        <v>0</v>
      </c>
      <c r="DC413" s="72">
        <v>0</v>
      </c>
      <c r="DD413" s="72">
        <v>0</v>
      </c>
      <c r="DE413" s="72">
        <v>0</v>
      </c>
      <c r="DF413" s="72">
        <v>0</v>
      </c>
      <c r="DG413" s="72">
        <v>0</v>
      </c>
      <c r="DH413" s="72">
        <v>0</v>
      </c>
      <c r="DI413" s="72">
        <v>0</v>
      </c>
      <c r="DJ413" s="72">
        <v>0</v>
      </c>
      <c r="DK413" s="72">
        <v>0</v>
      </c>
      <c r="DL413" s="72">
        <v>0</v>
      </c>
      <c r="DM413" s="72">
        <v>0</v>
      </c>
      <c r="DN413" s="72">
        <v>0</v>
      </c>
      <c r="DO413" s="72">
        <v>0</v>
      </c>
      <c r="DP413" s="72">
        <v>0</v>
      </c>
      <c r="DQ413" s="72">
        <v>0</v>
      </c>
      <c r="DR413" s="72">
        <v>0</v>
      </c>
      <c r="DS413" s="72">
        <v>0</v>
      </c>
      <c r="DT413" s="72">
        <v>0</v>
      </c>
      <c r="DU413" s="72">
        <v>0</v>
      </c>
      <c r="DV413" s="72">
        <v>0</v>
      </c>
      <c r="DW413" s="72">
        <v>0</v>
      </c>
      <c r="DX413" s="72">
        <v>0</v>
      </c>
      <c r="DY413" s="72">
        <v>0</v>
      </c>
      <c r="DZ413" s="72">
        <v>0</v>
      </c>
      <c r="EA413" s="72">
        <v>0</v>
      </c>
      <c r="EB413" s="72">
        <v>0</v>
      </c>
      <c r="EC413" s="72">
        <v>0</v>
      </c>
      <c r="ED413" s="72">
        <v>0</v>
      </c>
      <c r="EE413" s="72">
        <v>0</v>
      </c>
      <c r="EF413" s="72">
        <v>0</v>
      </c>
      <c r="EG413" s="72">
        <v>0</v>
      </c>
      <c r="EH413" s="72">
        <v>0</v>
      </c>
      <c r="EI413" s="72">
        <v>0</v>
      </c>
      <c r="EJ413" s="72">
        <v>0</v>
      </c>
      <c r="EK413" s="72">
        <v>0</v>
      </c>
      <c r="EL413" s="72">
        <v>0</v>
      </c>
    </row>
    <row r="414" spans="1:142" x14ac:dyDescent="0.35">
      <c r="A414" s="59">
        <f>Данные!A414</f>
        <v>6368</v>
      </c>
      <c r="B414" s="59">
        <f>Данные!B414</f>
        <v>2021</v>
      </c>
      <c r="C414" s="59" t="str">
        <f>Данные!C414</f>
        <v>компьютерных технологий и электронного обучения</v>
      </c>
      <c r="D414" s="59" t="str">
        <f>Данные!D414</f>
        <v>Серегин Александр Николаевич</v>
      </c>
      <c r="E414" s="59" t="str">
        <f>Данные!E414</f>
        <v>кандидат технических наук</v>
      </c>
      <c r="F414" s="59" t="str">
        <f>Данные!F414</f>
        <v>внешний</v>
      </c>
      <c r="G414" s="59">
        <f>Данные!G414</f>
        <v>1</v>
      </c>
      <c r="H414" s="59" t="str">
        <f>Данные!H414</f>
        <v>4 курс 2018 год/пост</v>
      </c>
      <c r="I414" s="59" t="str">
        <f>Данные!I414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414" s="59">
        <f>Данные!J414</f>
        <v>0</v>
      </c>
      <c r="K414" s="59">
        <f>Данные!K414</f>
        <v>0</v>
      </c>
      <c r="L414" s="59">
        <f>Данные!L414</f>
        <v>0</v>
      </c>
      <c r="M414" s="60">
        <f t="shared" si="54"/>
        <v>0</v>
      </c>
      <c r="N414" s="60">
        <f t="shared" ca="1" si="55"/>
        <v>14.870000000000001</v>
      </c>
      <c r="O414" s="60">
        <f t="shared" ca="1" si="56"/>
        <v>9.75</v>
      </c>
      <c r="P414" s="60">
        <f t="shared" ca="1" si="57"/>
        <v>9.75</v>
      </c>
      <c r="Q414" s="54">
        <f>Данные!Q414</f>
        <v>0</v>
      </c>
      <c r="R414" s="54">
        <f>Данные!R414</f>
        <v>0</v>
      </c>
      <c r="S414" s="54">
        <f>Данные!S414</f>
        <v>0</v>
      </c>
      <c r="T414" s="54">
        <f>Данные!T414</f>
        <v>0</v>
      </c>
      <c r="U414" s="54">
        <f>Данные!U414</f>
        <v>15</v>
      </c>
      <c r="V414" s="54">
        <f>Данные!V414</f>
        <v>0</v>
      </c>
      <c r="W414" s="54">
        <f ca="1">Данные!W414</f>
        <v>39</v>
      </c>
      <c r="X414" s="54" t="str">
        <f ca="1">Данные!X414</f>
        <v>2</v>
      </c>
      <c r="Y414" s="54" t="str">
        <f ca="1">Данные!Y414</f>
        <v>3</v>
      </c>
      <c r="Z414" s="54">
        <f>Данные!Z414</f>
        <v>0</v>
      </c>
      <c r="AA414" s="54">
        <f>Данные!AA414</f>
        <v>0</v>
      </c>
      <c r="AB414" s="101">
        <f t="shared" si="58"/>
        <v>900</v>
      </c>
      <c r="AC414" s="101" t="str">
        <f t="shared" si="59"/>
        <v>ИВТ (бак)</v>
      </c>
      <c r="AD414" s="101" t="str">
        <f t="shared" si="60"/>
        <v/>
      </c>
      <c r="AE414" s="102">
        <f t="shared" ca="1" si="61"/>
        <v>49.370000000000005</v>
      </c>
      <c r="AF414" s="103">
        <f t="shared" ca="1" si="62"/>
        <v>5.485555555555556E-2</v>
      </c>
      <c r="AG414" s="101"/>
      <c r="AH414" s="101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Q414" s="72">
        <v>0</v>
      </c>
      <c r="BR414" s="72">
        <v>0</v>
      </c>
      <c r="BS414" s="72">
        <v>0</v>
      </c>
      <c r="BT414" s="72">
        <v>0</v>
      </c>
      <c r="BU414" s="72">
        <v>0</v>
      </c>
      <c r="BV414" s="72">
        <v>0</v>
      </c>
      <c r="BW414" s="72">
        <v>0</v>
      </c>
      <c r="BX414" s="72">
        <v>0</v>
      </c>
      <c r="BY414" s="72">
        <v>0</v>
      </c>
      <c r="BZ414" s="72">
        <v>0</v>
      </c>
      <c r="CA414" s="72">
        <v>0</v>
      </c>
      <c r="CB414" s="72">
        <v>0</v>
      </c>
      <c r="CC414" s="72">
        <v>0</v>
      </c>
      <c r="CD414" s="72">
        <v>0</v>
      </c>
      <c r="CE414" s="72">
        <v>0</v>
      </c>
      <c r="CF414" s="72">
        <v>0</v>
      </c>
      <c r="CG414" s="72">
        <v>0</v>
      </c>
      <c r="CH414" s="72">
        <v>0</v>
      </c>
      <c r="CI414" s="72">
        <v>0</v>
      </c>
      <c r="CJ414" s="72">
        <v>0</v>
      </c>
      <c r="CK414" s="72">
        <v>0</v>
      </c>
      <c r="CL414" s="72">
        <v>0</v>
      </c>
      <c r="CM414" s="72">
        <v>0</v>
      </c>
      <c r="CN414" s="72">
        <v>0</v>
      </c>
      <c r="CO414" s="72">
        <v>0</v>
      </c>
      <c r="CP414" s="72">
        <v>0</v>
      </c>
      <c r="CQ414" s="72">
        <v>0</v>
      </c>
      <c r="CR414" s="72">
        <v>0</v>
      </c>
      <c r="CS414" s="72">
        <v>0</v>
      </c>
      <c r="CT414" s="72">
        <v>0</v>
      </c>
      <c r="CU414" s="72">
        <v>0</v>
      </c>
      <c r="CV414" s="72">
        <v>0</v>
      </c>
      <c r="CW414" s="72">
        <v>0</v>
      </c>
      <c r="CX414" s="72">
        <v>0</v>
      </c>
      <c r="CY414" s="72">
        <v>0</v>
      </c>
      <c r="CZ414" s="72">
        <v>0</v>
      </c>
      <c r="DA414" s="72">
        <v>0</v>
      </c>
      <c r="DB414" s="72">
        <v>0</v>
      </c>
      <c r="DC414" s="72">
        <v>0</v>
      </c>
      <c r="DD414" s="72">
        <v>0</v>
      </c>
      <c r="DE414" s="72">
        <v>0</v>
      </c>
      <c r="DF414" s="72">
        <v>0</v>
      </c>
      <c r="DG414" s="72">
        <v>0</v>
      </c>
      <c r="DH414" s="72">
        <v>0</v>
      </c>
      <c r="DI414" s="72">
        <v>0</v>
      </c>
      <c r="DJ414" s="72">
        <v>0</v>
      </c>
      <c r="DK414" s="72">
        <v>0</v>
      </c>
      <c r="DL414" s="72">
        <v>0</v>
      </c>
      <c r="DM414" s="72">
        <v>0</v>
      </c>
      <c r="DN414" s="72">
        <v>0</v>
      </c>
      <c r="DO414" s="72">
        <v>0</v>
      </c>
      <c r="DP414" s="72">
        <v>0</v>
      </c>
      <c r="DQ414" s="72">
        <v>0</v>
      </c>
      <c r="DR414" s="72">
        <v>0</v>
      </c>
      <c r="DS414" s="72">
        <v>0</v>
      </c>
      <c r="DT414" s="72">
        <v>0</v>
      </c>
      <c r="DU414" s="72">
        <v>0</v>
      </c>
      <c r="DV414" s="72">
        <v>0</v>
      </c>
      <c r="DW414" s="72">
        <v>0</v>
      </c>
      <c r="DX414" s="72">
        <v>0</v>
      </c>
      <c r="DY414" s="72">
        <v>0</v>
      </c>
      <c r="DZ414" s="72">
        <v>0</v>
      </c>
      <c r="EA414" s="72">
        <v>0</v>
      </c>
      <c r="EB414" s="72">
        <v>0</v>
      </c>
      <c r="EC414" s="72">
        <v>0</v>
      </c>
      <c r="ED414" s="72">
        <v>0</v>
      </c>
      <c r="EE414" s="72">
        <v>0</v>
      </c>
      <c r="EF414" s="72">
        <v>0</v>
      </c>
      <c r="EG414" s="72">
        <v>0</v>
      </c>
      <c r="EH414" s="72">
        <v>0</v>
      </c>
      <c r="EI414" s="72">
        <v>0</v>
      </c>
      <c r="EJ414" s="72">
        <v>0</v>
      </c>
      <c r="EK414" s="72">
        <v>0</v>
      </c>
      <c r="EL414" s="72">
        <v>0</v>
      </c>
    </row>
    <row r="415" spans="1:142" x14ac:dyDescent="0.35">
      <c r="A415" s="59">
        <f>Данные!A415</f>
        <v>6368</v>
      </c>
      <c r="B415" s="59">
        <f>Данные!B415</f>
        <v>2021</v>
      </c>
      <c r="C415" s="59" t="str">
        <f>Данные!C415</f>
        <v>компьютерных технологий и электронного обучения</v>
      </c>
      <c r="D415" s="59" t="str">
        <f>Данные!D415</f>
        <v>Государев Илья Борисович</v>
      </c>
      <c r="E415" s="59" t="str">
        <f>Данные!E415</f>
        <v>кандидат педагогических наук</v>
      </c>
      <c r="F415" s="59" t="str">
        <f>Данные!F415</f>
        <v>доцент</v>
      </c>
      <c r="G415" s="59">
        <f>Данные!G415</f>
        <v>1</v>
      </c>
      <c r="H415" s="59" t="str">
        <f>Данные!H415</f>
        <v>4 курс 2018 год/пост</v>
      </c>
      <c r="I415" s="59" t="str">
        <f>Данные!I415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415" s="59">
        <f>Данные!J415</f>
        <v>0</v>
      </c>
      <c r="K415" s="59">
        <f>Данные!K415</f>
        <v>0</v>
      </c>
      <c r="L415" s="59">
        <f>Данные!L415</f>
        <v>0</v>
      </c>
      <c r="M415" s="60">
        <f t="shared" si="54"/>
        <v>0</v>
      </c>
      <c r="N415" s="60">
        <f t="shared" ca="1" si="55"/>
        <v>14.870000000000001</v>
      </c>
      <c r="O415" s="60">
        <f t="shared" ca="1" si="56"/>
        <v>9.75</v>
      </c>
      <c r="P415" s="60">
        <f t="shared" ca="1" si="57"/>
        <v>9.75</v>
      </c>
      <c r="Q415" s="54">
        <f>Данные!Q415</f>
        <v>0</v>
      </c>
      <c r="R415" s="54">
        <f>Данные!R415</f>
        <v>0</v>
      </c>
      <c r="S415" s="54">
        <f>Данные!S415</f>
        <v>0</v>
      </c>
      <c r="T415" s="54">
        <f>Данные!T415</f>
        <v>0</v>
      </c>
      <c r="U415" s="54">
        <f>Данные!U415</f>
        <v>5</v>
      </c>
      <c r="V415" s="54">
        <f>Данные!V415</f>
        <v>0</v>
      </c>
      <c r="W415" s="54">
        <f ca="1">Данные!W415</f>
        <v>39</v>
      </c>
      <c r="X415" s="54" t="str">
        <f ca="1">Данные!X415</f>
        <v>2</v>
      </c>
      <c r="Y415" s="54" t="str">
        <f ca="1">Данные!Y415</f>
        <v>3</v>
      </c>
      <c r="Z415" s="54">
        <f>Данные!Z415</f>
        <v>0</v>
      </c>
      <c r="AA415" s="54">
        <f>Данные!AA415</f>
        <v>0</v>
      </c>
      <c r="AB415" s="101">
        <f t="shared" si="58"/>
        <v>800</v>
      </c>
      <c r="AC415" s="101" t="str">
        <f t="shared" si="59"/>
        <v>ИВТ (бак)</v>
      </c>
      <c r="AD415" s="101" t="str">
        <f t="shared" si="60"/>
        <v/>
      </c>
      <c r="AE415" s="102">
        <f t="shared" ca="1" si="61"/>
        <v>39.370000000000005</v>
      </c>
      <c r="AF415" s="103">
        <f t="shared" ca="1" si="62"/>
        <v>4.9212500000000006E-2</v>
      </c>
      <c r="AG415" s="101"/>
      <c r="AH415" s="101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Q415" s="72">
        <v>0</v>
      </c>
      <c r="BR415" s="72">
        <v>0</v>
      </c>
      <c r="BS415" s="72">
        <v>0</v>
      </c>
      <c r="BT415" s="72">
        <v>0</v>
      </c>
      <c r="BU415" s="72">
        <v>0</v>
      </c>
      <c r="BV415" s="72">
        <v>0</v>
      </c>
      <c r="BW415" s="72">
        <v>0</v>
      </c>
      <c r="BX415" s="72">
        <v>0</v>
      </c>
      <c r="BY415" s="72">
        <v>0</v>
      </c>
      <c r="BZ415" s="72">
        <v>0</v>
      </c>
      <c r="CA415" s="72">
        <v>0</v>
      </c>
      <c r="CB415" s="72">
        <v>0</v>
      </c>
      <c r="CC415" s="72">
        <v>0</v>
      </c>
      <c r="CD415" s="72">
        <v>0</v>
      </c>
      <c r="CE415" s="72">
        <v>0</v>
      </c>
      <c r="CF415" s="72">
        <v>0</v>
      </c>
      <c r="CG415" s="72">
        <v>0</v>
      </c>
      <c r="CH415" s="72">
        <v>0</v>
      </c>
      <c r="CI415" s="72">
        <v>0</v>
      </c>
      <c r="CJ415" s="72">
        <v>0</v>
      </c>
      <c r="CK415" s="72">
        <v>0</v>
      </c>
      <c r="CL415" s="72">
        <v>0</v>
      </c>
      <c r="CM415" s="72">
        <v>0</v>
      </c>
      <c r="CN415" s="72">
        <v>0</v>
      </c>
      <c r="CO415" s="72">
        <v>0</v>
      </c>
      <c r="CP415" s="72">
        <v>0</v>
      </c>
      <c r="CQ415" s="72">
        <v>0</v>
      </c>
      <c r="CR415" s="72">
        <v>0</v>
      </c>
      <c r="CS415" s="72">
        <v>0</v>
      </c>
      <c r="CT415" s="72">
        <v>0</v>
      </c>
      <c r="CU415" s="72">
        <v>0</v>
      </c>
      <c r="CV415" s="72">
        <v>0</v>
      </c>
      <c r="CW415" s="72">
        <v>0</v>
      </c>
      <c r="CX415" s="72">
        <v>0</v>
      </c>
      <c r="CY415" s="72">
        <v>0</v>
      </c>
      <c r="CZ415" s="72">
        <v>0</v>
      </c>
      <c r="DA415" s="72">
        <v>0</v>
      </c>
      <c r="DB415" s="72">
        <v>0</v>
      </c>
      <c r="DC415" s="72">
        <v>0</v>
      </c>
      <c r="DD415" s="72">
        <v>0</v>
      </c>
      <c r="DE415" s="72">
        <v>0</v>
      </c>
      <c r="DF415" s="72">
        <v>0</v>
      </c>
      <c r="DG415" s="72">
        <v>0</v>
      </c>
      <c r="DH415" s="72">
        <v>0</v>
      </c>
      <c r="DI415" s="72">
        <v>0</v>
      </c>
      <c r="DJ415" s="72">
        <v>0</v>
      </c>
      <c r="DK415" s="72">
        <v>0</v>
      </c>
      <c r="DL415" s="72">
        <v>0</v>
      </c>
      <c r="DM415" s="72">
        <v>0</v>
      </c>
      <c r="DN415" s="72">
        <v>0</v>
      </c>
      <c r="DO415" s="72">
        <v>0</v>
      </c>
      <c r="DP415" s="72">
        <v>0</v>
      </c>
      <c r="DQ415" s="72">
        <v>0</v>
      </c>
      <c r="DR415" s="72">
        <v>0</v>
      </c>
      <c r="DS415" s="72">
        <v>0</v>
      </c>
      <c r="DT415" s="72">
        <v>0</v>
      </c>
      <c r="DU415" s="72">
        <v>0</v>
      </c>
      <c r="DV415" s="72">
        <v>0</v>
      </c>
      <c r="DW415" s="72">
        <v>0</v>
      </c>
      <c r="DX415" s="72">
        <v>0</v>
      </c>
      <c r="DY415" s="72">
        <v>0</v>
      </c>
      <c r="DZ415" s="72">
        <v>0</v>
      </c>
      <c r="EA415" s="72">
        <v>0</v>
      </c>
      <c r="EB415" s="72">
        <v>0</v>
      </c>
      <c r="EC415" s="72">
        <v>0</v>
      </c>
      <c r="ED415" s="72">
        <v>0</v>
      </c>
      <c r="EE415" s="72">
        <v>0</v>
      </c>
      <c r="EF415" s="72">
        <v>0</v>
      </c>
      <c r="EG415" s="72">
        <v>0</v>
      </c>
      <c r="EH415" s="72">
        <v>0</v>
      </c>
      <c r="EI415" s="72">
        <v>0</v>
      </c>
      <c r="EJ415" s="72">
        <v>0</v>
      </c>
      <c r="EK415" s="72">
        <v>0</v>
      </c>
      <c r="EL415" s="72">
        <v>0</v>
      </c>
    </row>
    <row r="416" spans="1:142" x14ac:dyDescent="0.35">
      <c r="A416" s="59">
        <f>Данные!A416</f>
        <v>6368</v>
      </c>
      <c r="B416" s="59">
        <f>Данные!B416</f>
        <v>2021</v>
      </c>
      <c r="C416" s="59" t="str">
        <f>Данные!C416</f>
        <v>компьютерных технологий и электронного обучения</v>
      </c>
      <c r="D416" s="59" t="str">
        <f>Данные!D416</f>
        <v>Государев Илья Борисович</v>
      </c>
      <c r="E416" s="59" t="str">
        <f>Данные!E416</f>
        <v>кандидат педагогических наук</v>
      </c>
      <c r="F416" s="59" t="str">
        <f>Данные!F416</f>
        <v>доцент</v>
      </c>
      <c r="G416" s="59">
        <f>Данные!G416</f>
        <v>1</v>
      </c>
      <c r="H416" s="59" t="str">
        <f>Данные!H416</f>
        <v>4 курс 2018 год/пост</v>
      </c>
      <c r="I416" s="59" t="str">
        <f>Данные!I416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16" s="59">
        <f>Данные!J416</f>
        <v>0</v>
      </c>
      <c r="K416" s="59">
        <f>Данные!K416</f>
        <v>0</v>
      </c>
      <c r="L416" s="59">
        <f>Данные!L416</f>
        <v>0</v>
      </c>
      <c r="M416" s="60">
        <f t="shared" si="54"/>
        <v>0</v>
      </c>
      <c r="N416" s="60">
        <f t="shared" ca="1" si="55"/>
        <v>14.870000000000001</v>
      </c>
      <c r="O416" s="60">
        <f t="shared" ca="1" si="56"/>
        <v>9.75</v>
      </c>
      <c r="P416" s="60">
        <f t="shared" ca="1" si="57"/>
        <v>9.75</v>
      </c>
      <c r="Q416" s="54">
        <f>Данные!Q416</f>
        <v>0</v>
      </c>
      <c r="R416" s="54">
        <f>Данные!R416</f>
        <v>0</v>
      </c>
      <c r="S416" s="54">
        <f>Данные!S416</f>
        <v>0</v>
      </c>
      <c r="T416" s="54">
        <f>Данные!T416</f>
        <v>0</v>
      </c>
      <c r="U416" s="54">
        <f>Данные!U416</f>
        <v>6</v>
      </c>
      <c r="V416" s="54">
        <f>Данные!V416</f>
        <v>0</v>
      </c>
      <c r="W416" s="54">
        <f ca="1">Данные!W416</f>
        <v>39</v>
      </c>
      <c r="X416" s="54" t="str">
        <f ca="1">Данные!X416</f>
        <v>2</v>
      </c>
      <c r="Y416" s="54" t="str">
        <f ca="1">Данные!Y416</f>
        <v>3</v>
      </c>
      <c r="Z416" s="54">
        <f>Данные!Z416</f>
        <v>0</v>
      </c>
      <c r="AA416" s="54">
        <f>Данные!AA416</f>
        <v>0</v>
      </c>
      <c r="AB416" s="101">
        <f t="shared" si="58"/>
        <v>800</v>
      </c>
      <c r="AC416" s="101" t="str">
        <f t="shared" si="59"/>
        <v>ИВТ (бак)</v>
      </c>
      <c r="AD416" s="101" t="str">
        <f t="shared" si="60"/>
        <v/>
      </c>
      <c r="AE416" s="102">
        <f t="shared" ca="1" si="61"/>
        <v>40.370000000000005</v>
      </c>
      <c r="AF416" s="103">
        <f t="shared" ca="1" si="62"/>
        <v>5.0462500000000007E-2</v>
      </c>
      <c r="AG416" s="101"/>
      <c r="AH416" s="101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Q416" s="72">
        <v>0</v>
      </c>
      <c r="BR416" s="72">
        <v>0</v>
      </c>
      <c r="BS416" s="72">
        <v>0</v>
      </c>
      <c r="BT416" s="72">
        <v>0</v>
      </c>
      <c r="BU416" s="72">
        <v>0</v>
      </c>
      <c r="BV416" s="72">
        <v>0</v>
      </c>
      <c r="BW416" s="72">
        <v>0</v>
      </c>
      <c r="BX416" s="72">
        <v>0</v>
      </c>
      <c r="BY416" s="72">
        <v>0</v>
      </c>
      <c r="BZ416" s="72">
        <v>0</v>
      </c>
      <c r="CA416" s="72">
        <v>0</v>
      </c>
      <c r="CB416" s="72">
        <v>0</v>
      </c>
      <c r="CC416" s="72">
        <v>0</v>
      </c>
      <c r="CD416" s="72">
        <v>0</v>
      </c>
      <c r="CE416" s="72">
        <v>0</v>
      </c>
      <c r="CF416" s="72">
        <v>0</v>
      </c>
      <c r="CG416" s="72">
        <v>0</v>
      </c>
      <c r="CH416" s="72">
        <v>0</v>
      </c>
      <c r="CI416" s="72">
        <v>0</v>
      </c>
      <c r="CJ416" s="72">
        <v>0</v>
      </c>
      <c r="CK416" s="72">
        <v>0</v>
      </c>
      <c r="CL416" s="72">
        <v>0</v>
      </c>
      <c r="CM416" s="72">
        <v>0</v>
      </c>
      <c r="CN416" s="72">
        <v>0</v>
      </c>
      <c r="CO416" s="72">
        <v>0</v>
      </c>
      <c r="CP416" s="72">
        <v>0</v>
      </c>
      <c r="CQ416" s="72">
        <v>0</v>
      </c>
      <c r="CR416" s="72">
        <v>0</v>
      </c>
      <c r="CS416" s="72">
        <v>0</v>
      </c>
      <c r="CT416" s="72">
        <v>0</v>
      </c>
      <c r="CU416" s="72">
        <v>0</v>
      </c>
      <c r="CV416" s="72">
        <v>0</v>
      </c>
      <c r="CW416" s="72">
        <v>0</v>
      </c>
      <c r="CX416" s="72">
        <v>0</v>
      </c>
      <c r="CY416" s="72">
        <v>0</v>
      </c>
      <c r="CZ416" s="72">
        <v>0</v>
      </c>
      <c r="DA416" s="72">
        <v>0</v>
      </c>
      <c r="DB416" s="72">
        <v>0</v>
      </c>
      <c r="DC416" s="72">
        <v>0</v>
      </c>
      <c r="DD416" s="72">
        <v>0</v>
      </c>
      <c r="DE416" s="72">
        <v>0</v>
      </c>
      <c r="DF416" s="72">
        <v>0</v>
      </c>
      <c r="DG416" s="72">
        <v>0</v>
      </c>
      <c r="DH416" s="72">
        <v>0</v>
      </c>
      <c r="DI416" s="72">
        <v>0</v>
      </c>
      <c r="DJ416" s="72">
        <v>0</v>
      </c>
      <c r="DK416" s="72">
        <v>0</v>
      </c>
      <c r="DL416" s="72">
        <v>0</v>
      </c>
      <c r="DM416" s="72">
        <v>0</v>
      </c>
      <c r="DN416" s="72">
        <v>0</v>
      </c>
      <c r="DO416" s="72">
        <v>0</v>
      </c>
      <c r="DP416" s="72">
        <v>0</v>
      </c>
      <c r="DQ416" s="72">
        <v>0</v>
      </c>
      <c r="DR416" s="72">
        <v>0</v>
      </c>
      <c r="DS416" s="72">
        <v>0</v>
      </c>
      <c r="DT416" s="72">
        <v>0</v>
      </c>
      <c r="DU416" s="72">
        <v>0</v>
      </c>
      <c r="DV416" s="72">
        <v>0</v>
      </c>
      <c r="DW416" s="72">
        <v>0</v>
      </c>
      <c r="DX416" s="72">
        <v>0</v>
      </c>
      <c r="DY416" s="72">
        <v>0</v>
      </c>
      <c r="DZ416" s="72">
        <v>0</v>
      </c>
      <c r="EA416" s="72">
        <v>0</v>
      </c>
      <c r="EB416" s="72">
        <v>0</v>
      </c>
      <c r="EC416" s="72">
        <v>0</v>
      </c>
      <c r="ED416" s="72">
        <v>0</v>
      </c>
      <c r="EE416" s="72">
        <v>0</v>
      </c>
      <c r="EF416" s="72">
        <v>0</v>
      </c>
      <c r="EG416" s="72">
        <v>0</v>
      </c>
      <c r="EH416" s="72">
        <v>0</v>
      </c>
      <c r="EI416" s="72">
        <v>0</v>
      </c>
      <c r="EJ416" s="72">
        <v>0</v>
      </c>
      <c r="EK416" s="72">
        <v>0</v>
      </c>
      <c r="EL416" s="72">
        <v>0</v>
      </c>
    </row>
    <row r="417" spans="1:142" x14ac:dyDescent="0.35">
      <c r="A417" s="59">
        <f>Данные!A417</f>
        <v>6368</v>
      </c>
      <c r="B417" s="59">
        <f>Данные!B417</f>
        <v>2021</v>
      </c>
      <c r="C417" s="59" t="str">
        <f>Данные!C417</f>
        <v>компьютерных технологий и электронного обучения</v>
      </c>
      <c r="D417" s="59" t="str">
        <f>Данные!D417</f>
        <v>Серегин Александр Николаевич</v>
      </c>
      <c r="E417" s="59" t="str">
        <f>Данные!E417</f>
        <v>кандидат технических наук</v>
      </c>
      <c r="F417" s="59" t="str">
        <f>Данные!F417</f>
        <v>внешний</v>
      </c>
      <c r="G417" s="59">
        <f>Данные!G417</f>
        <v>0</v>
      </c>
      <c r="H417" s="59" t="str">
        <f>Данные!H417</f>
        <v>4 курс 2018 год/пост</v>
      </c>
      <c r="I417" s="59" t="str">
        <f>Данные!I417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17" s="59">
        <f>Данные!J417</f>
        <v>0</v>
      </c>
      <c r="K417" s="59">
        <f>Данные!K417</f>
        <v>0</v>
      </c>
      <c r="L417" s="59">
        <f>Данные!L417</f>
        <v>0</v>
      </c>
      <c r="M417" s="60">
        <f t="shared" si="54"/>
        <v>0</v>
      </c>
      <c r="N417" s="60">
        <f t="shared" ca="1" si="55"/>
        <v>14.870000000000001</v>
      </c>
      <c r="O417" s="60">
        <f t="shared" ca="1" si="56"/>
        <v>9.75</v>
      </c>
      <c r="P417" s="60">
        <f t="shared" ca="1" si="57"/>
        <v>9.75</v>
      </c>
      <c r="Q417" s="54">
        <f>Данные!Q417</f>
        <v>0</v>
      </c>
      <c r="R417" s="54">
        <f>Данные!R417</f>
        <v>0</v>
      </c>
      <c r="S417" s="54">
        <f>Данные!S417</f>
        <v>0</v>
      </c>
      <c r="T417" s="54">
        <f>Данные!T417</f>
        <v>0</v>
      </c>
      <c r="U417" s="54">
        <f>Данные!U417</f>
        <v>20</v>
      </c>
      <c r="V417" s="54">
        <f>Данные!V417</f>
        <v>0</v>
      </c>
      <c r="W417" s="54">
        <f ca="1">Данные!W417</f>
        <v>39</v>
      </c>
      <c r="X417" s="54" t="str">
        <f ca="1">Данные!X417</f>
        <v>2</v>
      </c>
      <c r="Y417" s="54" t="str">
        <f ca="1">Данные!Y417</f>
        <v>3</v>
      </c>
      <c r="Z417" s="54">
        <f>Данные!Z417</f>
        <v>0</v>
      </c>
      <c r="AA417" s="54">
        <f>Данные!AA417</f>
        <v>0</v>
      </c>
      <c r="AB417" s="101">
        <f t="shared" si="58"/>
        <v>900</v>
      </c>
      <c r="AC417" s="101" t="str">
        <f t="shared" si="59"/>
        <v>ИВТ (бак)</v>
      </c>
      <c r="AD417" s="101" t="str">
        <f t="shared" si="60"/>
        <v/>
      </c>
      <c r="AE417" s="102">
        <f t="shared" ca="1" si="61"/>
        <v>54.370000000000005</v>
      </c>
      <c r="AF417" s="103">
        <f t="shared" ca="1" si="62"/>
        <v>6.0411111111111117E-2</v>
      </c>
      <c r="AG417" s="101"/>
      <c r="AH417" s="101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Q417" s="72">
        <v>0</v>
      </c>
      <c r="BR417" s="72">
        <v>0</v>
      </c>
      <c r="BS417" s="72">
        <v>0</v>
      </c>
      <c r="BT417" s="72">
        <v>0</v>
      </c>
      <c r="BU417" s="72">
        <v>0</v>
      </c>
      <c r="BV417" s="72">
        <v>0</v>
      </c>
      <c r="BW417" s="72">
        <v>0</v>
      </c>
      <c r="BX417" s="72">
        <v>0</v>
      </c>
      <c r="BY417" s="72">
        <v>0</v>
      </c>
      <c r="BZ417" s="72">
        <v>0</v>
      </c>
      <c r="CA417" s="72">
        <v>0</v>
      </c>
      <c r="CB417" s="72">
        <v>0</v>
      </c>
      <c r="CC417" s="72">
        <v>0</v>
      </c>
      <c r="CD417" s="72">
        <v>0</v>
      </c>
      <c r="CE417" s="72">
        <v>0</v>
      </c>
      <c r="CF417" s="72">
        <v>0</v>
      </c>
      <c r="CG417" s="72">
        <v>0</v>
      </c>
      <c r="CH417" s="72">
        <v>0</v>
      </c>
      <c r="CI417" s="72">
        <v>0</v>
      </c>
      <c r="CJ417" s="72">
        <v>0</v>
      </c>
      <c r="CK417" s="72">
        <v>0</v>
      </c>
      <c r="CL417" s="72">
        <v>0</v>
      </c>
      <c r="CM417" s="72">
        <v>0</v>
      </c>
      <c r="CN417" s="72">
        <v>0</v>
      </c>
      <c r="CO417" s="72">
        <v>0</v>
      </c>
      <c r="CP417" s="72">
        <v>0</v>
      </c>
      <c r="CQ417" s="72">
        <v>0</v>
      </c>
      <c r="CR417" s="72">
        <v>0</v>
      </c>
      <c r="CS417" s="72">
        <v>0</v>
      </c>
      <c r="CT417" s="72">
        <v>0</v>
      </c>
      <c r="CU417" s="72">
        <v>0</v>
      </c>
      <c r="CV417" s="72">
        <v>0</v>
      </c>
      <c r="CW417" s="72">
        <v>0</v>
      </c>
      <c r="CX417" s="72">
        <v>0</v>
      </c>
      <c r="CY417" s="72">
        <v>0</v>
      </c>
      <c r="CZ417" s="72">
        <v>0</v>
      </c>
      <c r="DA417" s="72">
        <v>0</v>
      </c>
      <c r="DB417" s="72">
        <v>0</v>
      </c>
      <c r="DC417" s="72">
        <v>0</v>
      </c>
      <c r="DD417" s="72">
        <v>0</v>
      </c>
      <c r="DE417" s="72">
        <v>0</v>
      </c>
      <c r="DF417" s="72">
        <v>0</v>
      </c>
      <c r="DG417" s="72">
        <v>0</v>
      </c>
      <c r="DH417" s="72">
        <v>0</v>
      </c>
      <c r="DI417" s="72">
        <v>0</v>
      </c>
      <c r="DJ417" s="72">
        <v>0</v>
      </c>
      <c r="DK417" s="72">
        <v>0</v>
      </c>
      <c r="DL417" s="72">
        <v>0</v>
      </c>
      <c r="DM417" s="72">
        <v>0</v>
      </c>
      <c r="DN417" s="72">
        <v>0</v>
      </c>
      <c r="DO417" s="72">
        <v>0</v>
      </c>
      <c r="DP417" s="72">
        <v>0</v>
      </c>
      <c r="DQ417" s="72">
        <v>0</v>
      </c>
      <c r="DR417" s="72">
        <v>0</v>
      </c>
      <c r="DS417" s="72">
        <v>0</v>
      </c>
      <c r="DT417" s="72">
        <v>0</v>
      </c>
      <c r="DU417" s="72">
        <v>0</v>
      </c>
      <c r="DV417" s="72">
        <v>0</v>
      </c>
      <c r="DW417" s="72">
        <v>0</v>
      </c>
      <c r="DX417" s="72">
        <v>0</v>
      </c>
      <c r="DY417" s="72">
        <v>0</v>
      </c>
      <c r="DZ417" s="72">
        <v>0</v>
      </c>
      <c r="EA417" s="72">
        <v>0</v>
      </c>
      <c r="EB417" s="72">
        <v>0</v>
      </c>
      <c r="EC417" s="72">
        <v>0</v>
      </c>
      <c r="ED417" s="72">
        <v>0</v>
      </c>
      <c r="EE417" s="72">
        <v>0</v>
      </c>
      <c r="EF417" s="72">
        <v>0</v>
      </c>
      <c r="EG417" s="72">
        <v>0</v>
      </c>
      <c r="EH417" s="72">
        <v>0</v>
      </c>
      <c r="EI417" s="72">
        <v>0</v>
      </c>
      <c r="EJ417" s="72">
        <v>0</v>
      </c>
      <c r="EK417" s="72">
        <v>0</v>
      </c>
      <c r="EL417" s="72">
        <v>0</v>
      </c>
    </row>
    <row r="418" spans="1:142" x14ac:dyDescent="0.35">
      <c r="A418" s="59">
        <f>Данные!A418</f>
        <v>6368</v>
      </c>
      <c r="B418" s="59">
        <f>Данные!B418</f>
        <v>2021</v>
      </c>
      <c r="C418" s="59" t="str">
        <f>Данные!C418</f>
        <v>компьютерных технологий и электронного обучения</v>
      </c>
      <c r="D418" s="59" t="str">
        <f>Данные!D418</f>
        <v>Воробьев Владимир Иванович</v>
      </c>
      <c r="E418" s="59" t="str">
        <f>Данные!E418</f>
        <v>доктор технических наук</v>
      </c>
      <c r="F418" s="59" t="str">
        <f>Данные!F418</f>
        <v>внешний</v>
      </c>
      <c r="G418" s="59">
        <f>Данные!G418</f>
        <v>1</v>
      </c>
      <c r="H418" s="59" t="str">
        <f>Данные!H418</f>
        <v>4 курс 2018 год/пост</v>
      </c>
      <c r="I418" s="59" t="str">
        <f>Данные!I418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18" s="59">
        <f>Данные!J418</f>
        <v>0</v>
      </c>
      <c r="K418" s="59">
        <f>Данные!K418</f>
        <v>0</v>
      </c>
      <c r="L418" s="59">
        <f>Данные!L418</f>
        <v>0</v>
      </c>
      <c r="M418" s="60">
        <f t="shared" si="54"/>
        <v>0</v>
      </c>
      <c r="N418" s="60">
        <f t="shared" ca="1" si="55"/>
        <v>14.870000000000001</v>
      </c>
      <c r="O418" s="60">
        <f t="shared" ca="1" si="56"/>
        <v>9.75</v>
      </c>
      <c r="P418" s="60">
        <f t="shared" ca="1" si="57"/>
        <v>9.75</v>
      </c>
      <c r="Q418" s="54">
        <f>Данные!Q418</f>
        <v>0</v>
      </c>
      <c r="R418" s="54">
        <f>Данные!R418</f>
        <v>0</v>
      </c>
      <c r="S418" s="54">
        <f>Данные!S418</f>
        <v>0</v>
      </c>
      <c r="T418" s="54">
        <f>Данные!T418</f>
        <v>0</v>
      </c>
      <c r="U418" s="54">
        <f>Данные!U418</f>
        <v>20</v>
      </c>
      <c r="V418" s="54">
        <f>Данные!V418</f>
        <v>0</v>
      </c>
      <c r="W418" s="54">
        <f ca="1">Данные!W418</f>
        <v>39</v>
      </c>
      <c r="X418" s="54" t="str">
        <f ca="1">Данные!X418</f>
        <v>2</v>
      </c>
      <c r="Y418" s="54" t="str">
        <f ca="1">Данные!Y418</f>
        <v>3</v>
      </c>
      <c r="Z418" s="54">
        <f>Данные!Z418</f>
        <v>0</v>
      </c>
      <c r="AA418" s="54" t="str">
        <f>Данные!AA418</f>
        <v>осн</v>
      </c>
      <c r="AB418" s="101">
        <f t="shared" si="58"/>
        <v>900</v>
      </c>
      <c r="AC418" s="101" t="str">
        <f t="shared" si="59"/>
        <v>ИВТ (бак)</v>
      </c>
      <c r="AD418" s="101" t="str">
        <f t="shared" si="60"/>
        <v/>
      </c>
      <c r="AE418" s="102">
        <f t="shared" ca="1" si="61"/>
        <v>54.370000000000005</v>
      </c>
      <c r="AF418" s="103">
        <f t="shared" ca="1" si="62"/>
        <v>6.0411111111111117E-2</v>
      </c>
      <c r="AG418" s="101"/>
      <c r="AH418" s="101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Q418" s="72">
        <v>0</v>
      </c>
      <c r="BR418" s="72">
        <v>0</v>
      </c>
      <c r="BS418" s="72">
        <v>0</v>
      </c>
      <c r="BT418" s="72">
        <v>0</v>
      </c>
      <c r="BU418" s="72">
        <v>0</v>
      </c>
      <c r="BV418" s="72">
        <v>0</v>
      </c>
      <c r="BW418" s="72">
        <v>0</v>
      </c>
      <c r="BX418" s="72">
        <v>0</v>
      </c>
      <c r="BY418" s="72">
        <v>0</v>
      </c>
      <c r="BZ418" s="72">
        <v>0</v>
      </c>
      <c r="CA418" s="72">
        <v>0</v>
      </c>
      <c r="CB418" s="72">
        <v>0</v>
      </c>
      <c r="CC418" s="72">
        <v>0</v>
      </c>
      <c r="CD418" s="72">
        <v>0</v>
      </c>
      <c r="CE418" s="72">
        <v>0</v>
      </c>
      <c r="CF418" s="72">
        <v>0</v>
      </c>
      <c r="CG418" s="72">
        <v>0</v>
      </c>
      <c r="CH418" s="72">
        <v>0</v>
      </c>
      <c r="CI418" s="72">
        <v>0</v>
      </c>
      <c r="CJ418" s="72">
        <v>0</v>
      </c>
      <c r="CK418" s="72">
        <v>0</v>
      </c>
      <c r="CL418" s="72">
        <v>0</v>
      </c>
      <c r="CM418" s="72">
        <v>0</v>
      </c>
      <c r="CN418" s="72">
        <v>0</v>
      </c>
      <c r="CO418" s="72">
        <v>0</v>
      </c>
      <c r="CP418" s="72">
        <v>0</v>
      </c>
      <c r="CQ418" s="72">
        <v>0</v>
      </c>
      <c r="CR418" s="72">
        <v>0</v>
      </c>
      <c r="CS418" s="72">
        <v>0</v>
      </c>
      <c r="CT418" s="72">
        <v>0</v>
      </c>
      <c r="CU418" s="72">
        <v>0</v>
      </c>
      <c r="CV418" s="72">
        <v>0</v>
      </c>
      <c r="CW418" s="72">
        <v>0</v>
      </c>
      <c r="CX418" s="72">
        <v>0</v>
      </c>
      <c r="CY418" s="72">
        <v>0</v>
      </c>
      <c r="CZ418" s="72">
        <v>0</v>
      </c>
      <c r="DA418" s="72">
        <v>0</v>
      </c>
      <c r="DB418" s="72">
        <v>0</v>
      </c>
      <c r="DC418" s="72">
        <v>0</v>
      </c>
      <c r="DD418" s="72">
        <v>0</v>
      </c>
      <c r="DE418" s="72">
        <v>0</v>
      </c>
      <c r="DF418" s="72">
        <v>0</v>
      </c>
      <c r="DG418" s="72">
        <v>0</v>
      </c>
      <c r="DH418" s="72">
        <v>0</v>
      </c>
      <c r="DI418" s="72">
        <v>0</v>
      </c>
      <c r="DJ418" s="72">
        <v>0</v>
      </c>
      <c r="DK418" s="72">
        <v>0</v>
      </c>
      <c r="DL418" s="72">
        <v>0</v>
      </c>
      <c r="DM418" s="72">
        <v>0</v>
      </c>
      <c r="DN418" s="72">
        <v>0</v>
      </c>
      <c r="DO418" s="72">
        <v>0</v>
      </c>
      <c r="DP418" s="72">
        <v>0</v>
      </c>
      <c r="DQ418" s="72">
        <v>0</v>
      </c>
      <c r="DR418" s="72">
        <v>0</v>
      </c>
      <c r="DS418" s="72">
        <v>0</v>
      </c>
      <c r="DT418" s="72">
        <v>0</v>
      </c>
      <c r="DU418" s="72">
        <v>0</v>
      </c>
      <c r="DV418" s="72">
        <v>0</v>
      </c>
      <c r="DW418" s="72">
        <v>0</v>
      </c>
      <c r="DX418" s="72">
        <v>0</v>
      </c>
      <c r="DY418" s="72">
        <v>0</v>
      </c>
      <c r="DZ418" s="72">
        <v>0</v>
      </c>
      <c r="EA418" s="72">
        <v>0</v>
      </c>
      <c r="EB418" s="72">
        <v>0</v>
      </c>
      <c r="EC418" s="72">
        <v>0</v>
      </c>
      <c r="ED418" s="72">
        <v>0</v>
      </c>
      <c r="EE418" s="72">
        <v>0</v>
      </c>
      <c r="EF418" s="72">
        <v>0</v>
      </c>
      <c r="EG418" s="72">
        <v>0</v>
      </c>
      <c r="EH418" s="72">
        <v>0</v>
      </c>
      <c r="EI418" s="72">
        <v>0</v>
      </c>
      <c r="EJ418" s="72">
        <v>0</v>
      </c>
      <c r="EK418" s="72">
        <v>0</v>
      </c>
      <c r="EL418" s="72">
        <v>0</v>
      </c>
    </row>
    <row r="419" spans="1:142" x14ac:dyDescent="0.35">
      <c r="A419" s="59">
        <f>Данные!A419</f>
        <v>6368</v>
      </c>
      <c r="B419" s="59">
        <f>Данные!B419</f>
        <v>2021</v>
      </c>
      <c r="C419" s="59" t="str">
        <f>Данные!C419</f>
        <v>компьютерных технологий и электронного обучения</v>
      </c>
      <c r="D419" s="59" t="str">
        <f>Данные!D419</f>
        <v>Копыльцов Александр Васильевич</v>
      </c>
      <c r="E419" s="59" t="str">
        <f>Данные!E419</f>
        <v>доктор технических наук</v>
      </c>
      <c r="F419" s="59" t="str">
        <f>Данные!F419</f>
        <v>внешний</v>
      </c>
      <c r="G419" s="59">
        <f>Данные!G419</f>
        <v>1</v>
      </c>
      <c r="H419" s="59" t="str">
        <f>Данные!H419</f>
        <v>4 курс 2018 год/пост</v>
      </c>
      <c r="I419" s="59" t="str">
        <f>Данные!I419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19" s="59">
        <f>Данные!J419</f>
        <v>0</v>
      </c>
      <c r="K419" s="59">
        <f>Данные!K419</f>
        <v>0</v>
      </c>
      <c r="L419" s="59">
        <f>Данные!L419</f>
        <v>0</v>
      </c>
      <c r="M419" s="60">
        <f t="shared" si="54"/>
        <v>0</v>
      </c>
      <c r="N419" s="60">
        <f t="shared" ca="1" si="55"/>
        <v>14.870000000000001</v>
      </c>
      <c r="O419" s="60">
        <f t="shared" ca="1" si="56"/>
        <v>9.75</v>
      </c>
      <c r="P419" s="60">
        <f t="shared" ca="1" si="57"/>
        <v>9.75</v>
      </c>
      <c r="Q419" s="54">
        <f>Данные!Q419</f>
        <v>0</v>
      </c>
      <c r="R419" s="54">
        <f>Данные!R419</f>
        <v>0</v>
      </c>
      <c r="S419" s="54">
        <f>Данные!S419</f>
        <v>0</v>
      </c>
      <c r="T419" s="54">
        <f>Данные!T419</f>
        <v>0</v>
      </c>
      <c r="U419" s="54">
        <f>Данные!U419</f>
        <v>20</v>
      </c>
      <c r="V419" s="54">
        <f>Данные!V419</f>
        <v>0</v>
      </c>
      <c r="W419" s="54">
        <f ca="1">Данные!W419</f>
        <v>39</v>
      </c>
      <c r="X419" s="54" t="str">
        <f ca="1">Данные!X419</f>
        <v>2</v>
      </c>
      <c r="Y419" s="54" t="str">
        <f ca="1">Данные!Y419</f>
        <v>3</v>
      </c>
      <c r="Z419" s="54">
        <f>Данные!Z419</f>
        <v>0</v>
      </c>
      <c r="AA419" s="54" t="str">
        <f>Данные!AA419</f>
        <v>осн</v>
      </c>
      <c r="AB419" s="101">
        <f t="shared" si="58"/>
        <v>900</v>
      </c>
      <c r="AC419" s="101" t="str">
        <f t="shared" si="59"/>
        <v>ИВТ (бак)</v>
      </c>
      <c r="AD419" s="101" t="str">
        <f t="shared" si="60"/>
        <v/>
      </c>
      <c r="AE419" s="102">
        <f t="shared" ca="1" si="61"/>
        <v>54.370000000000005</v>
      </c>
      <c r="AF419" s="103">
        <f t="shared" ca="1" si="62"/>
        <v>6.0411111111111117E-2</v>
      </c>
      <c r="AG419" s="101"/>
      <c r="AH419" s="101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Q419" s="72">
        <v>0</v>
      </c>
      <c r="BR419" s="72">
        <v>0</v>
      </c>
      <c r="BS419" s="72">
        <v>0</v>
      </c>
      <c r="BT419" s="72">
        <v>0</v>
      </c>
      <c r="BU419" s="72">
        <v>0</v>
      </c>
      <c r="BV419" s="72">
        <v>0</v>
      </c>
      <c r="BW419" s="72">
        <v>0</v>
      </c>
      <c r="BX419" s="72">
        <v>0</v>
      </c>
      <c r="BY419" s="72">
        <v>0</v>
      </c>
      <c r="BZ419" s="72">
        <v>0</v>
      </c>
      <c r="CA419" s="72">
        <v>0</v>
      </c>
      <c r="CB419" s="72">
        <v>0</v>
      </c>
      <c r="CC419" s="72">
        <v>0</v>
      </c>
      <c r="CD419" s="72">
        <v>0</v>
      </c>
      <c r="CE419" s="72">
        <v>0</v>
      </c>
      <c r="CF419" s="72">
        <v>0</v>
      </c>
      <c r="CG419" s="72">
        <v>0</v>
      </c>
      <c r="CH419" s="72">
        <v>0</v>
      </c>
      <c r="CI419" s="72">
        <v>0</v>
      </c>
      <c r="CJ419" s="72">
        <v>0</v>
      </c>
      <c r="CK419" s="72">
        <v>0</v>
      </c>
      <c r="CL419" s="72">
        <v>0</v>
      </c>
      <c r="CM419" s="72">
        <v>0</v>
      </c>
      <c r="CN419" s="72">
        <v>0</v>
      </c>
      <c r="CO419" s="72">
        <v>0</v>
      </c>
      <c r="CP419" s="72">
        <v>0</v>
      </c>
      <c r="CQ419" s="72">
        <v>0</v>
      </c>
      <c r="CR419" s="72">
        <v>0</v>
      </c>
      <c r="CS419" s="72">
        <v>0</v>
      </c>
      <c r="CT419" s="72">
        <v>0</v>
      </c>
      <c r="CU419" s="72">
        <v>0</v>
      </c>
      <c r="CV419" s="72">
        <v>0</v>
      </c>
      <c r="CW419" s="72">
        <v>0</v>
      </c>
      <c r="CX419" s="72">
        <v>0</v>
      </c>
      <c r="CY419" s="72">
        <v>0</v>
      </c>
      <c r="CZ419" s="72">
        <v>0</v>
      </c>
      <c r="DA419" s="72">
        <v>0</v>
      </c>
      <c r="DB419" s="72">
        <v>0</v>
      </c>
      <c r="DC419" s="72">
        <v>0</v>
      </c>
      <c r="DD419" s="72">
        <v>0</v>
      </c>
      <c r="DE419" s="72">
        <v>0</v>
      </c>
      <c r="DF419" s="72">
        <v>0</v>
      </c>
      <c r="DG419" s="72">
        <v>0</v>
      </c>
      <c r="DH419" s="72">
        <v>0</v>
      </c>
      <c r="DI419" s="72">
        <v>0</v>
      </c>
      <c r="DJ419" s="72">
        <v>0</v>
      </c>
      <c r="DK419" s="72">
        <v>0</v>
      </c>
      <c r="DL419" s="72">
        <v>0</v>
      </c>
      <c r="DM419" s="72">
        <v>0</v>
      </c>
      <c r="DN419" s="72">
        <v>0</v>
      </c>
      <c r="DO419" s="72">
        <v>0</v>
      </c>
      <c r="DP419" s="72">
        <v>0</v>
      </c>
      <c r="DQ419" s="72">
        <v>0</v>
      </c>
      <c r="DR419" s="72">
        <v>0</v>
      </c>
      <c r="DS419" s="72">
        <v>0</v>
      </c>
      <c r="DT419" s="72">
        <v>0</v>
      </c>
      <c r="DU419" s="72">
        <v>0</v>
      </c>
      <c r="DV419" s="72">
        <v>0</v>
      </c>
      <c r="DW419" s="72">
        <v>0</v>
      </c>
      <c r="DX419" s="72">
        <v>0</v>
      </c>
      <c r="DY419" s="72">
        <v>0</v>
      </c>
      <c r="DZ419" s="72">
        <v>0</v>
      </c>
      <c r="EA419" s="72">
        <v>0</v>
      </c>
      <c r="EB419" s="72">
        <v>0</v>
      </c>
      <c r="EC419" s="72">
        <v>0</v>
      </c>
      <c r="ED419" s="72">
        <v>0</v>
      </c>
      <c r="EE419" s="72">
        <v>0</v>
      </c>
      <c r="EF419" s="72">
        <v>0</v>
      </c>
      <c r="EG419" s="72">
        <v>0</v>
      </c>
      <c r="EH419" s="72">
        <v>0</v>
      </c>
      <c r="EI419" s="72">
        <v>0</v>
      </c>
      <c r="EJ419" s="72">
        <v>0</v>
      </c>
      <c r="EK419" s="72">
        <v>0</v>
      </c>
      <c r="EL419" s="72">
        <v>0</v>
      </c>
    </row>
    <row r="420" spans="1:142" x14ac:dyDescent="0.35">
      <c r="A420" s="59">
        <f>Данные!A420</f>
        <v>6368</v>
      </c>
      <c r="B420" s="59">
        <f>Данные!B420</f>
        <v>2021</v>
      </c>
      <c r="C420" s="59" t="str">
        <f>Данные!C420</f>
        <v>компьютерных технологий и электронного обучения</v>
      </c>
      <c r="D420" s="59" t="str">
        <f>Данные!D420</f>
        <v>Карпова Наталья Александровна</v>
      </c>
      <c r="E420" s="59" t="str">
        <f>Данные!E420</f>
        <v>кандидат технических наук</v>
      </c>
      <c r="F420" s="59" t="str">
        <f>Данные!F420</f>
        <v>доцент</v>
      </c>
      <c r="G420" s="59">
        <f>Данные!G420</f>
        <v>0.75</v>
      </c>
      <c r="H420" s="59" t="str">
        <f>Данные!H420</f>
        <v>4 курс 2018 год/пост</v>
      </c>
      <c r="I420" s="59" t="str">
        <f>Данные!I420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20" s="59">
        <f>Данные!J420</f>
        <v>0</v>
      </c>
      <c r="K420" s="59">
        <f>Данные!K420</f>
        <v>0</v>
      </c>
      <c r="L420" s="59">
        <f>Данные!L420</f>
        <v>0</v>
      </c>
      <c r="M420" s="60">
        <f t="shared" si="54"/>
        <v>0</v>
      </c>
      <c r="N420" s="60">
        <f t="shared" ca="1" si="55"/>
        <v>14.870000000000001</v>
      </c>
      <c r="O420" s="60">
        <f t="shared" ca="1" si="56"/>
        <v>9.75</v>
      </c>
      <c r="P420" s="60">
        <f t="shared" ca="1" si="57"/>
        <v>9.75</v>
      </c>
      <c r="Q420" s="54">
        <f>Данные!Q420</f>
        <v>0</v>
      </c>
      <c r="R420" s="54">
        <f>Данные!R420</f>
        <v>0</v>
      </c>
      <c r="S420" s="54">
        <f>Данные!S420</f>
        <v>0</v>
      </c>
      <c r="T420" s="54">
        <f>Данные!T420</f>
        <v>0</v>
      </c>
      <c r="U420" s="54">
        <f>Данные!U420</f>
        <v>4</v>
      </c>
      <c r="V420" s="54">
        <f>Данные!V420</f>
        <v>0</v>
      </c>
      <c r="W420" s="54">
        <f ca="1">Данные!W420</f>
        <v>39</v>
      </c>
      <c r="X420" s="54" t="str">
        <f ca="1">Данные!X420</f>
        <v>2</v>
      </c>
      <c r="Y420" s="54" t="str">
        <f ca="1">Данные!Y420</f>
        <v>3</v>
      </c>
      <c r="Z420" s="54">
        <f>Данные!Z420</f>
        <v>0</v>
      </c>
      <c r="AA420" s="54" t="str">
        <f>Данные!AA420</f>
        <v>осн</v>
      </c>
      <c r="AB420" s="101">
        <f t="shared" si="58"/>
        <v>800</v>
      </c>
      <c r="AC420" s="101" t="str">
        <f t="shared" si="59"/>
        <v>ИВТ (бак)</v>
      </c>
      <c r="AD420" s="101" t="str">
        <f t="shared" si="60"/>
        <v/>
      </c>
      <c r="AE420" s="102">
        <f t="shared" ca="1" si="61"/>
        <v>38.370000000000005</v>
      </c>
      <c r="AF420" s="103">
        <f t="shared" ca="1" si="62"/>
        <v>4.7962500000000005E-2</v>
      </c>
      <c r="AG420" s="101"/>
      <c r="AH420" s="101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Q420" s="72">
        <v>0</v>
      </c>
      <c r="BR420" s="72">
        <v>0</v>
      </c>
      <c r="BS420" s="72">
        <v>0</v>
      </c>
      <c r="BT420" s="72">
        <v>0</v>
      </c>
      <c r="BU420" s="72">
        <v>0</v>
      </c>
      <c r="BV420" s="72">
        <v>0</v>
      </c>
      <c r="BW420" s="72">
        <v>0</v>
      </c>
      <c r="BX420" s="72">
        <v>0</v>
      </c>
      <c r="BY420" s="72">
        <v>0</v>
      </c>
      <c r="BZ420" s="72">
        <v>0</v>
      </c>
      <c r="CA420" s="72">
        <v>0</v>
      </c>
      <c r="CB420" s="72">
        <v>0</v>
      </c>
      <c r="CC420" s="72">
        <v>0</v>
      </c>
      <c r="CD420" s="72">
        <v>0</v>
      </c>
      <c r="CE420" s="72">
        <v>0</v>
      </c>
      <c r="CF420" s="72">
        <v>0</v>
      </c>
      <c r="CG420" s="72">
        <v>0</v>
      </c>
      <c r="CH420" s="72">
        <v>0</v>
      </c>
      <c r="CI420" s="72">
        <v>0</v>
      </c>
      <c r="CJ420" s="72">
        <v>0</v>
      </c>
      <c r="CK420" s="72">
        <v>0</v>
      </c>
      <c r="CL420" s="72">
        <v>0</v>
      </c>
      <c r="CM420" s="72">
        <v>0</v>
      </c>
      <c r="CN420" s="72">
        <v>0</v>
      </c>
      <c r="CO420" s="72">
        <v>0</v>
      </c>
      <c r="CP420" s="72">
        <v>0</v>
      </c>
      <c r="CQ420" s="72">
        <v>0</v>
      </c>
      <c r="CR420" s="72">
        <v>0</v>
      </c>
      <c r="CS420" s="72">
        <v>0</v>
      </c>
      <c r="CT420" s="72">
        <v>0</v>
      </c>
      <c r="CU420" s="72">
        <v>0</v>
      </c>
      <c r="CV420" s="72">
        <v>0</v>
      </c>
      <c r="CW420" s="72">
        <v>0</v>
      </c>
      <c r="CX420" s="72">
        <v>0</v>
      </c>
      <c r="CY420" s="72">
        <v>0</v>
      </c>
      <c r="CZ420" s="72">
        <v>0</v>
      </c>
      <c r="DA420" s="72">
        <v>0</v>
      </c>
      <c r="DB420" s="72">
        <v>0</v>
      </c>
      <c r="DC420" s="72">
        <v>0</v>
      </c>
      <c r="DD420" s="72">
        <v>0</v>
      </c>
      <c r="DE420" s="72">
        <v>0</v>
      </c>
      <c r="DF420" s="72">
        <v>0</v>
      </c>
      <c r="DG420" s="72">
        <v>0</v>
      </c>
      <c r="DH420" s="72">
        <v>0</v>
      </c>
      <c r="DI420" s="72">
        <v>0</v>
      </c>
      <c r="DJ420" s="72">
        <v>0</v>
      </c>
      <c r="DK420" s="72">
        <v>0</v>
      </c>
      <c r="DL420" s="72">
        <v>0</v>
      </c>
      <c r="DM420" s="72">
        <v>0</v>
      </c>
      <c r="DN420" s="72">
        <v>0</v>
      </c>
      <c r="DO420" s="72">
        <v>0</v>
      </c>
      <c r="DP420" s="72">
        <v>0</v>
      </c>
      <c r="DQ420" s="72">
        <v>0</v>
      </c>
      <c r="DR420" s="72">
        <v>0</v>
      </c>
      <c r="DS420" s="72">
        <v>0</v>
      </c>
      <c r="DT420" s="72">
        <v>0</v>
      </c>
      <c r="DU420" s="72">
        <v>0</v>
      </c>
      <c r="DV420" s="72">
        <v>0</v>
      </c>
      <c r="DW420" s="72">
        <v>0</v>
      </c>
      <c r="DX420" s="72">
        <v>0</v>
      </c>
      <c r="DY420" s="72">
        <v>0</v>
      </c>
      <c r="DZ420" s="72">
        <v>0</v>
      </c>
      <c r="EA420" s="72">
        <v>0</v>
      </c>
      <c r="EB420" s="72">
        <v>0</v>
      </c>
      <c r="EC420" s="72">
        <v>0</v>
      </c>
      <c r="ED420" s="72">
        <v>0</v>
      </c>
      <c r="EE420" s="72">
        <v>0</v>
      </c>
      <c r="EF420" s="72">
        <v>0</v>
      </c>
      <c r="EG420" s="72">
        <v>0</v>
      </c>
      <c r="EH420" s="72">
        <v>0</v>
      </c>
      <c r="EI420" s="72">
        <v>0</v>
      </c>
      <c r="EJ420" s="72">
        <v>0</v>
      </c>
      <c r="EK420" s="72">
        <v>0</v>
      </c>
      <c r="EL420" s="72">
        <v>0</v>
      </c>
    </row>
    <row r="421" spans="1:142" x14ac:dyDescent="0.35">
      <c r="A421" s="59">
        <f>Данные!A421</f>
        <v>6368</v>
      </c>
      <c r="B421" s="59">
        <f>Данные!B421</f>
        <v>2021</v>
      </c>
      <c r="C421" s="59" t="str">
        <f>Данные!C421</f>
        <v>компьютерных технологий и электронного обучения</v>
      </c>
      <c r="D421" s="59" t="str">
        <f>Данные!D421</f>
        <v>Абрамян Геннадий Владимирович</v>
      </c>
      <c r="E421" s="59" t="str">
        <f>Данные!E421</f>
        <v>доктор педагогических наук</v>
      </c>
      <c r="F421" s="59" t="str">
        <f>Данные!F421</f>
        <v>профессор</v>
      </c>
      <c r="G421" s="59">
        <f>Данные!G421</f>
        <v>1</v>
      </c>
      <c r="H421" s="59" t="str">
        <f>Данные!H421</f>
        <v>4 курс 2018 год/пост</v>
      </c>
      <c r="I421" s="59" t="str">
        <f>Данные!I421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21" s="59">
        <f>Данные!J421</f>
        <v>0</v>
      </c>
      <c r="K421" s="59">
        <f>Данные!K421</f>
        <v>0</v>
      </c>
      <c r="L421" s="59">
        <f>Данные!L421</f>
        <v>0</v>
      </c>
      <c r="M421" s="60">
        <f t="shared" si="54"/>
        <v>0</v>
      </c>
      <c r="N421" s="60">
        <f t="shared" ca="1" si="55"/>
        <v>14.870000000000001</v>
      </c>
      <c r="O421" s="60">
        <f t="shared" ca="1" si="56"/>
        <v>9.75</v>
      </c>
      <c r="P421" s="60">
        <f t="shared" ca="1" si="57"/>
        <v>9.75</v>
      </c>
      <c r="Q421" s="54">
        <f>Данные!Q421</f>
        <v>0</v>
      </c>
      <c r="R421" s="54">
        <f>Данные!R421</f>
        <v>0</v>
      </c>
      <c r="S421" s="54">
        <f>Данные!S421</f>
        <v>0</v>
      </c>
      <c r="T421" s="54">
        <f>Данные!T421</f>
        <v>0</v>
      </c>
      <c r="U421" s="54">
        <f>Данные!U421</f>
        <v>2</v>
      </c>
      <c r="V421" s="54">
        <f>Данные!V421</f>
        <v>0</v>
      </c>
      <c r="W421" s="54">
        <f ca="1">Данные!W421</f>
        <v>39</v>
      </c>
      <c r="X421" s="54" t="str">
        <f ca="1">Данные!X421</f>
        <v>2</v>
      </c>
      <c r="Y421" s="54" t="str">
        <f ca="1">Данные!Y421</f>
        <v>3</v>
      </c>
      <c r="Z421" s="54">
        <f>Данные!Z421</f>
        <v>0</v>
      </c>
      <c r="AA421" s="54" t="str">
        <f>Данные!AA421</f>
        <v>ГПХ</v>
      </c>
      <c r="AB421" s="101">
        <f t="shared" si="58"/>
        <v>750</v>
      </c>
      <c r="AC421" s="101" t="str">
        <f t="shared" si="59"/>
        <v>ИВТ (бак)</v>
      </c>
      <c r="AD421" s="101" t="str">
        <f t="shared" si="60"/>
        <v/>
      </c>
      <c r="AE421" s="102">
        <f t="shared" ca="1" si="61"/>
        <v>36.370000000000005</v>
      </c>
      <c r="AF421" s="103">
        <f t="shared" ca="1" si="62"/>
        <v>4.849333333333334E-2</v>
      </c>
      <c r="AG421" s="101"/>
      <c r="AH421" s="10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Q421" s="72">
        <v>0</v>
      </c>
      <c r="BR421" s="72">
        <v>0</v>
      </c>
      <c r="BS421" s="72">
        <v>0</v>
      </c>
      <c r="BT421" s="72">
        <v>0</v>
      </c>
      <c r="BU421" s="72">
        <v>0</v>
      </c>
      <c r="BV421" s="72">
        <v>0</v>
      </c>
      <c r="BW421" s="72">
        <v>0</v>
      </c>
      <c r="BX421" s="72">
        <v>0</v>
      </c>
      <c r="BY421" s="72">
        <v>0</v>
      </c>
      <c r="BZ421" s="72">
        <v>0</v>
      </c>
      <c r="CA421" s="72">
        <v>0</v>
      </c>
      <c r="CB421" s="72">
        <v>0</v>
      </c>
      <c r="CC421" s="72">
        <v>0</v>
      </c>
      <c r="CD421" s="72">
        <v>0</v>
      </c>
      <c r="CE421" s="72">
        <v>0</v>
      </c>
      <c r="CF421" s="72">
        <v>0</v>
      </c>
      <c r="CG421" s="72">
        <v>0</v>
      </c>
      <c r="CH421" s="72">
        <v>0</v>
      </c>
      <c r="CI421" s="72">
        <v>0</v>
      </c>
      <c r="CJ421" s="72">
        <v>0</v>
      </c>
      <c r="CK421" s="72">
        <v>0</v>
      </c>
      <c r="CL421" s="72">
        <v>0</v>
      </c>
      <c r="CM421" s="72">
        <v>0</v>
      </c>
      <c r="CN421" s="72">
        <v>0</v>
      </c>
      <c r="CO421" s="72">
        <v>0</v>
      </c>
      <c r="CP421" s="72">
        <v>0</v>
      </c>
      <c r="CQ421" s="72">
        <v>0</v>
      </c>
      <c r="CR421" s="72">
        <v>0</v>
      </c>
      <c r="CS421" s="72">
        <v>0</v>
      </c>
      <c r="CT421" s="72">
        <v>0</v>
      </c>
      <c r="CU421" s="72">
        <v>0</v>
      </c>
      <c r="CV421" s="72">
        <v>0</v>
      </c>
      <c r="CW421" s="72">
        <v>0</v>
      </c>
      <c r="CX421" s="72">
        <v>0</v>
      </c>
      <c r="CY421" s="72">
        <v>0</v>
      </c>
      <c r="CZ421" s="72">
        <v>0</v>
      </c>
      <c r="DA421" s="72">
        <v>0</v>
      </c>
      <c r="DB421" s="72">
        <v>0</v>
      </c>
      <c r="DC421" s="72">
        <v>0</v>
      </c>
      <c r="DD421" s="72">
        <v>0</v>
      </c>
      <c r="DE421" s="72">
        <v>0</v>
      </c>
      <c r="DF421" s="72">
        <v>0</v>
      </c>
      <c r="DG421" s="72">
        <v>0</v>
      </c>
      <c r="DH421" s="72">
        <v>0</v>
      </c>
      <c r="DI421" s="72">
        <v>0</v>
      </c>
      <c r="DJ421" s="72">
        <v>0</v>
      </c>
      <c r="DK421" s="72">
        <v>0</v>
      </c>
      <c r="DL421" s="72">
        <v>0</v>
      </c>
      <c r="DM421" s="72">
        <v>0</v>
      </c>
      <c r="DN421" s="72">
        <v>0</v>
      </c>
      <c r="DO421" s="72">
        <v>0</v>
      </c>
      <c r="DP421" s="72">
        <v>0</v>
      </c>
      <c r="DQ421" s="72">
        <v>0</v>
      </c>
      <c r="DR421" s="72">
        <v>0</v>
      </c>
      <c r="DS421" s="72">
        <v>0</v>
      </c>
      <c r="DT421" s="72">
        <v>0</v>
      </c>
      <c r="DU421" s="72">
        <v>0</v>
      </c>
      <c r="DV421" s="72">
        <v>0</v>
      </c>
      <c r="DW421" s="72">
        <v>0</v>
      </c>
      <c r="DX421" s="72">
        <v>0</v>
      </c>
      <c r="DY421" s="72">
        <v>0</v>
      </c>
      <c r="DZ421" s="72">
        <v>0</v>
      </c>
      <c r="EA421" s="72">
        <v>0</v>
      </c>
      <c r="EB421" s="72">
        <v>0</v>
      </c>
      <c r="EC421" s="72">
        <v>0</v>
      </c>
      <c r="ED421" s="72">
        <v>0</v>
      </c>
      <c r="EE421" s="72">
        <v>0</v>
      </c>
      <c r="EF421" s="72">
        <v>0</v>
      </c>
      <c r="EG421" s="72">
        <v>0</v>
      </c>
      <c r="EH421" s="72">
        <v>0</v>
      </c>
      <c r="EI421" s="72">
        <v>0</v>
      </c>
      <c r="EJ421" s="72">
        <v>0</v>
      </c>
      <c r="EK421" s="72">
        <v>0</v>
      </c>
      <c r="EL421" s="72">
        <v>0</v>
      </c>
    </row>
    <row r="422" spans="1:142" x14ac:dyDescent="0.35">
      <c r="A422" s="59">
        <f>Данные!A422</f>
        <v>6368</v>
      </c>
      <c r="B422" s="59">
        <f>Данные!B422</f>
        <v>2021</v>
      </c>
      <c r="C422" s="59" t="str">
        <f>Данные!C422</f>
        <v>компьютерных технологий и электронного обучения</v>
      </c>
      <c r="D422" s="59" t="str">
        <f>Данные!D422</f>
        <v>Авксентьева Елена Юрьевна</v>
      </c>
      <c r="E422" s="59" t="str">
        <f>Данные!E422</f>
        <v>кандидат педагогических наук</v>
      </c>
      <c r="F422" s="59" t="str">
        <f>Данные!F422</f>
        <v>доцент</v>
      </c>
      <c r="G422" s="59">
        <f>Данные!G422</f>
        <v>1</v>
      </c>
      <c r="H422" s="59" t="str">
        <f>Данные!H422</f>
        <v>4 курс 2018 год/пост</v>
      </c>
      <c r="I422" s="59" t="str">
        <f>Данные!I422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22" s="59">
        <f>Данные!J422</f>
        <v>0</v>
      </c>
      <c r="K422" s="59">
        <f>Данные!K422</f>
        <v>0</v>
      </c>
      <c r="L422" s="59">
        <f>Данные!L422</f>
        <v>0</v>
      </c>
      <c r="M422" s="60">
        <f t="shared" si="54"/>
        <v>0</v>
      </c>
      <c r="N422" s="60">
        <f t="shared" ca="1" si="55"/>
        <v>14.870000000000001</v>
      </c>
      <c r="O422" s="60">
        <f t="shared" ca="1" si="56"/>
        <v>9.75</v>
      </c>
      <c r="P422" s="60">
        <f t="shared" ca="1" si="57"/>
        <v>9.75</v>
      </c>
      <c r="Q422" s="54">
        <f>Данные!Q422</f>
        <v>0</v>
      </c>
      <c r="R422" s="54">
        <f>Данные!R422</f>
        <v>0</v>
      </c>
      <c r="S422" s="54">
        <f>Данные!S422</f>
        <v>0</v>
      </c>
      <c r="T422" s="54">
        <f>Данные!T422</f>
        <v>0</v>
      </c>
      <c r="U422" s="54">
        <f>Данные!U422</f>
        <v>6</v>
      </c>
      <c r="V422" s="54">
        <f>Данные!V422</f>
        <v>0</v>
      </c>
      <c r="W422" s="54">
        <f ca="1">Данные!W422</f>
        <v>39</v>
      </c>
      <c r="X422" s="54" t="str">
        <f ca="1">Данные!X422</f>
        <v>2</v>
      </c>
      <c r="Y422" s="54" t="str">
        <f ca="1">Данные!Y422</f>
        <v>3</v>
      </c>
      <c r="Z422" s="54">
        <f>Данные!Z422</f>
        <v>0</v>
      </c>
      <c r="AA422" s="54">
        <f>Данные!AA422</f>
        <v>0</v>
      </c>
      <c r="AB422" s="101">
        <f t="shared" si="58"/>
        <v>800</v>
      </c>
      <c r="AC422" s="101" t="str">
        <f t="shared" si="59"/>
        <v>ИВТ (бак)</v>
      </c>
      <c r="AD422" s="101" t="str">
        <f t="shared" si="60"/>
        <v/>
      </c>
      <c r="AE422" s="102">
        <f t="shared" ca="1" si="61"/>
        <v>40.370000000000005</v>
      </c>
      <c r="AF422" s="103">
        <f t="shared" ca="1" si="62"/>
        <v>5.0462500000000007E-2</v>
      </c>
      <c r="AG422" s="101"/>
      <c r="AH422" s="101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Q422" s="72">
        <v>0</v>
      </c>
      <c r="BR422" s="72">
        <v>0</v>
      </c>
      <c r="BS422" s="72">
        <v>0</v>
      </c>
      <c r="BT422" s="72">
        <v>0</v>
      </c>
      <c r="BU422" s="72">
        <v>0</v>
      </c>
      <c r="BV422" s="72">
        <v>0</v>
      </c>
      <c r="BW422" s="72">
        <v>0</v>
      </c>
      <c r="BX422" s="72">
        <v>0</v>
      </c>
      <c r="BY422" s="72">
        <v>0</v>
      </c>
      <c r="BZ422" s="72">
        <v>0</v>
      </c>
      <c r="CA422" s="72">
        <v>0</v>
      </c>
      <c r="CB422" s="72">
        <v>0</v>
      </c>
      <c r="CC422" s="72">
        <v>0</v>
      </c>
      <c r="CD422" s="72">
        <v>0</v>
      </c>
      <c r="CE422" s="72">
        <v>0</v>
      </c>
      <c r="CF422" s="72">
        <v>0</v>
      </c>
      <c r="CG422" s="72">
        <v>0</v>
      </c>
      <c r="CH422" s="72">
        <v>0</v>
      </c>
      <c r="CI422" s="72">
        <v>0</v>
      </c>
      <c r="CJ422" s="72">
        <v>0</v>
      </c>
      <c r="CK422" s="72">
        <v>0</v>
      </c>
      <c r="CL422" s="72">
        <v>0</v>
      </c>
      <c r="CM422" s="72">
        <v>0</v>
      </c>
      <c r="CN422" s="72">
        <v>0</v>
      </c>
      <c r="CO422" s="72">
        <v>0</v>
      </c>
      <c r="CP422" s="72">
        <v>0</v>
      </c>
      <c r="CQ422" s="72">
        <v>0</v>
      </c>
      <c r="CR422" s="72">
        <v>0</v>
      </c>
      <c r="CS422" s="72">
        <v>0</v>
      </c>
      <c r="CT422" s="72">
        <v>0</v>
      </c>
      <c r="CU422" s="72">
        <v>0</v>
      </c>
      <c r="CV422" s="72">
        <v>0</v>
      </c>
      <c r="CW422" s="72">
        <v>0</v>
      </c>
      <c r="CX422" s="72">
        <v>0</v>
      </c>
      <c r="CY422" s="72">
        <v>0</v>
      </c>
      <c r="CZ422" s="72">
        <v>0</v>
      </c>
      <c r="DA422" s="72">
        <v>0</v>
      </c>
      <c r="DB422" s="72">
        <v>0</v>
      </c>
      <c r="DC422" s="72">
        <v>0</v>
      </c>
      <c r="DD422" s="72">
        <v>0</v>
      </c>
      <c r="DE422" s="72">
        <v>0</v>
      </c>
      <c r="DF422" s="72">
        <v>0</v>
      </c>
      <c r="DG422" s="72">
        <v>0</v>
      </c>
      <c r="DH422" s="72">
        <v>0</v>
      </c>
      <c r="DI422" s="72">
        <v>0</v>
      </c>
      <c r="DJ422" s="72">
        <v>0</v>
      </c>
      <c r="DK422" s="72">
        <v>0</v>
      </c>
      <c r="DL422" s="72">
        <v>0</v>
      </c>
      <c r="DM422" s="72">
        <v>0</v>
      </c>
      <c r="DN422" s="72">
        <v>0</v>
      </c>
      <c r="DO422" s="72">
        <v>0</v>
      </c>
      <c r="DP422" s="72">
        <v>0</v>
      </c>
      <c r="DQ422" s="72">
        <v>0</v>
      </c>
      <c r="DR422" s="72">
        <v>0</v>
      </c>
      <c r="DS422" s="72">
        <v>0</v>
      </c>
      <c r="DT422" s="72">
        <v>0</v>
      </c>
      <c r="DU422" s="72">
        <v>0</v>
      </c>
      <c r="DV422" s="72">
        <v>0</v>
      </c>
      <c r="DW422" s="72">
        <v>0</v>
      </c>
      <c r="DX422" s="72">
        <v>0</v>
      </c>
      <c r="DY422" s="72">
        <v>0</v>
      </c>
      <c r="DZ422" s="72">
        <v>0</v>
      </c>
      <c r="EA422" s="72">
        <v>0</v>
      </c>
      <c r="EB422" s="72">
        <v>0</v>
      </c>
      <c r="EC422" s="72">
        <v>0</v>
      </c>
      <c r="ED422" s="72">
        <v>0</v>
      </c>
      <c r="EE422" s="72">
        <v>0</v>
      </c>
      <c r="EF422" s="72">
        <v>0</v>
      </c>
      <c r="EG422" s="72">
        <v>0</v>
      </c>
      <c r="EH422" s="72">
        <v>0</v>
      </c>
      <c r="EI422" s="72">
        <v>0</v>
      </c>
      <c r="EJ422" s="72">
        <v>0</v>
      </c>
      <c r="EK422" s="72">
        <v>0</v>
      </c>
      <c r="EL422" s="72">
        <v>0</v>
      </c>
    </row>
    <row r="423" spans="1:142" x14ac:dyDescent="0.35">
      <c r="A423" s="59">
        <f>Данные!A423</f>
        <v>5791</v>
      </c>
      <c r="B423" s="59">
        <f>Данные!B423</f>
        <v>2020</v>
      </c>
      <c r="C423" s="59" t="str">
        <f>Данные!C423</f>
        <v>компьютерных технологий и электронного обучения</v>
      </c>
      <c r="D423" s="59" t="str">
        <f>Данные!D423</f>
        <v>Воробьев Владимир Иванович</v>
      </c>
      <c r="E423" s="59" t="str">
        <f>Данные!E423</f>
        <v>доктор технических наук</v>
      </c>
      <c r="F423" s="59" t="str">
        <f>Данные!F423</f>
        <v>внешний</v>
      </c>
      <c r="G423" s="59">
        <f>Данные!G423</f>
        <v>1</v>
      </c>
      <c r="H423" s="59" t="str">
        <f>Данные!H423</f>
        <v>4 курс 2017 год/пост</v>
      </c>
      <c r="I423" s="59" t="str">
        <f>Данные!I423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23" s="59">
        <f>Данные!J423</f>
        <v>0</v>
      </c>
      <c r="K423" s="59">
        <f>Данные!K423</f>
        <v>0</v>
      </c>
      <c r="L423" s="59">
        <f>Данные!L423</f>
        <v>0</v>
      </c>
      <c r="M423" s="60">
        <f t="shared" si="54"/>
        <v>0</v>
      </c>
      <c r="N423" s="60">
        <f t="shared" ca="1" si="55"/>
        <v>10.91</v>
      </c>
      <c r="O423" s="60">
        <f t="shared" ca="1" si="56"/>
        <v>6.75</v>
      </c>
      <c r="P423" s="60">
        <f t="shared" ca="1" si="57"/>
        <v>6.75</v>
      </c>
      <c r="Q423" s="54">
        <f>Данные!Q423</f>
        <v>0</v>
      </c>
      <c r="R423" s="54">
        <f>Данные!R423</f>
        <v>0</v>
      </c>
      <c r="S423" s="54">
        <f>Данные!S423</f>
        <v>0</v>
      </c>
      <c r="T423" s="54">
        <f>Данные!T423</f>
        <v>0</v>
      </c>
      <c r="U423" s="54">
        <f>Данные!U423</f>
        <v>0</v>
      </c>
      <c r="V423" s="54">
        <f>Данные!V423</f>
        <v>0</v>
      </c>
      <c r="W423" s="54">
        <f ca="1">Данные!W423</f>
        <v>27</v>
      </c>
      <c r="X423" s="54" t="str">
        <f ca="1">Данные!X423</f>
        <v>1</v>
      </c>
      <c r="Y423" s="54" t="str">
        <f ca="1">Данные!Y423</f>
        <v>2</v>
      </c>
      <c r="Z423" s="54">
        <f>Данные!Z423</f>
        <v>0</v>
      </c>
      <c r="AA423" s="54" t="str">
        <f>Данные!AA423</f>
        <v>осн</v>
      </c>
      <c r="AB423" s="101">
        <f t="shared" si="58"/>
        <v>900</v>
      </c>
      <c r="AC423" s="101" t="str">
        <f t="shared" si="59"/>
        <v>ИВТ (бак)</v>
      </c>
      <c r="AD423" s="101" t="str">
        <f t="shared" si="60"/>
        <v/>
      </c>
      <c r="AE423" s="102">
        <f t="shared" ca="1" si="61"/>
        <v>24.41</v>
      </c>
      <c r="AF423" s="103">
        <f t="shared" ca="1" si="62"/>
        <v>2.7122222222222221E-2</v>
      </c>
      <c r="AG423" s="101"/>
      <c r="AH423" s="101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Q423" s="72">
        <v>0</v>
      </c>
      <c r="BR423" s="72">
        <v>0</v>
      </c>
      <c r="BS423" s="72">
        <v>0</v>
      </c>
      <c r="BT423" s="72">
        <v>0</v>
      </c>
      <c r="BU423" s="72">
        <v>0</v>
      </c>
      <c r="BV423" s="72">
        <v>0</v>
      </c>
      <c r="BW423" s="72">
        <v>0</v>
      </c>
      <c r="BX423" s="72">
        <v>0</v>
      </c>
      <c r="BY423" s="72">
        <v>0</v>
      </c>
      <c r="BZ423" s="72">
        <v>0</v>
      </c>
      <c r="CA423" s="72">
        <v>0</v>
      </c>
      <c r="CB423" s="72">
        <v>0</v>
      </c>
      <c r="CC423" s="72">
        <v>0</v>
      </c>
      <c r="CD423" s="72">
        <v>0</v>
      </c>
      <c r="CE423" s="72">
        <v>0</v>
      </c>
      <c r="CF423" s="72">
        <v>0</v>
      </c>
      <c r="CG423" s="72">
        <v>0</v>
      </c>
      <c r="CH423" s="72">
        <v>0</v>
      </c>
      <c r="CI423" s="72">
        <v>0</v>
      </c>
      <c r="CJ423" s="72">
        <v>0</v>
      </c>
      <c r="CK423" s="72">
        <v>0</v>
      </c>
      <c r="CL423" s="72">
        <v>0</v>
      </c>
      <c r="CM423" s="72">
        <v>0</v>
      </c>
      <c r="CN423" s="72">
        <v>0</v>
      </c>
      <c r="CO423" s="72">
        <v>0</v>
      </c>
      <c r="CP423" s="72">
        <v>0</v>
      </c>
      <c r="CQ423" s="72">
        <v>0</v>
      </c>
      <c r="CR423" s="72">
        <v>0</v>
      </c>
      <c r="CS423" s="72">
        <v>0</v>
      </c>
      <c r="CT423" s="72">
        <v>0</v>
      </c>
      <c r="CU423" s="72">
        <v>0</v>
      </c>
      <c r="CV423" s="72">
        <v>0</v>
      </c>
      <c r="CW423" s="72">
        <v>0</v>
      </c>
      <c r="CX423" s="72">
        <v>0</v>
      </c>
      <c r="CY423" s="72">
        <v>0</v>
      </c>
      <c r="CZ423" s="72">
        <v>0</v>
      </c>
      <c r="DA423" s="72">
        <v>0</v>
      </c>
      <c r="DB423" s="72">
        <v>0</v>
      </c>
      <c r="DC423" s="72">
        <v>0</v>
      </c>
      <c r="DD423" s="72">
        <v>0</v>
      </c>
      <c r="DE423" s="72">
        <v>0</v>
      </c>
      <c r="DF423" s="72">
        <v>0</v>
      </c>
      <c r="DG423" s="72">
        <v>0</v>
      </c>
      <c r="DH423" s="72">
        <v>0</v>
      </c>
      <c r="DI423" s="72">
        <v>0</v>
      </c>
      <c r="DJ423" s="72">
        <v>0</v>
      </c>
      <c r="DK423" s="72">
        <v>0</v>
      </c>
      <c r="DL423" s="72">
        <v>0</v>
      </c>
      <c r="DM423" s="72">
        <v>0</v>
      </c>
      <c r="DN423" s="72">
        <v>0</v>
      </c>
      <c r="DO423" s="72">
        <v>0</v>
      </c>
      <c r="DP423" s="72">
        <v>0</v>
      </c>
      <c r="DQ423" s="72">
        <v>0</v>
      </c>
      <c r="DR423" s="72">
        <v>0</v>
      </c>
      <c r="DS423" s="72">
        <v>0</v>
      </c>
      <c r="DT423" s="72">
        <v>0</v>
      </c>
      <c r="DU423" s="72">
        <v>0</v>
      </c>
      <c r="DV423" s="72">
        <v>0</v>
      </c>
      <c r="DW423" s="72">
        <v>0</v>
      </c>
      <c r="DX423" s="72">
        <v>0</v>
      </c>
      <c r="DY423" s="72">
        <v>0</v>
      </c>
      <c r="DZ423" s="72">
        <v>0</v>
      </c>
      <c r="EA423" s="72">
        <v>0</v>
      </c>
      <c r="EB423" s="72">
        <v>0</v>
      </c>
      <c r="EC423" s="72">
        <v>0</v>
      </c>
      <c r="ED423" s="72">
        <v>0</v>
      </c>
      <c r="EE423" s="72">
        <v>0</v>
      </c>
      <c r="EF423" s="72">
        <v>0</v>
      </c>
      <c r="EG423" s="72">
        <v>0</v>
      </c>
      <c r="EH423" s="72">
        <v>0</v>
      </c>
      <c r="EI423" s="72">
        <v>0</v>
      </c>
      <c r="EJ423" s="72">
        <v>0</v>
      </c>
      <c r="EK423" s="72">
        <v>0</v>
      </c>
      <c r="EL423" s="72">
        <v>0</v>
      </c>
    </row>
    <row r="424" spans="1:142" x14ac:dyDescent="0.35">
      <c r="A424" s="59">
        <f>Данные!A424</f>
        <v>5791</v>
      </c>
      <c r="B424" s="59">
        <f>Данные!B424</f>
        <v>2020</v>
      </c>
      <c r="C424" s="59" t="str">
        <f>Данные!C424</f>
        <v>компьютерных технологий и электронного обучения</v>
      </c>
      <c r="D424" s="59" t="str">
        <f>Данные!D424</f>
        <v>Копыльцов Александр Васильевич</v>
      </c>
      <c r="E424" s="59" t="str">
        <f>Данные!E424</f>
        <v>доктор технических наук</v>
      </c>
      <c r="F424" s="59" t="str">
        <f>Данные!F424</f>
        <v>внешний</v>
      </c>
      <c r="G424" s="59">
        <f>Данные!G424</f>
        <v>1</v>
      </c>
      <c r="H424" s="59" t="str">
        <f>Данные!H424</f>
        <v>4 курс 2017 год/пост</v>
      </c>
      <c r="I424" s="59" t="str">
        <f>Данные!I424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24" s="59">
        <f>Данные!J424</f>
        <v>0</v>
      </c>
      <c r="K424" s="59">
        <f>Данные!K424</f>
        <v>0</v>
      </c>
      <c r="L424" s="59">
        <f>Данные!L424</f>
        <v>0</v>
      </c>
      <c r="M424" s="60">
        <f t="shared" si="54"/>
        <v>0</v>
      </c>
      <c r="N424" s="60">
        <f t="shared" ca="1" si="55"/>
        <v>10.91</v>
      </c>
      <c r="O424" s="60">
        <f t="shared" ca="1" si="56"/>
        <v>6.75</v>
      </c>
      <c r="P424" s="60">
        <f t="shared" ca="1" si="57"/>
        <v>6.75</v>
      </c>
      <c r="Q424" s="54">
        <f>Данные!Q424</f>
        <v>0</v>
      </c>
      <c r="R424" s="54">
        <f>Данные!R424</f>
        <v>0</v>
      </c>
      <c r="S424" s="54">
        <f>Данные!S424</f>
        <v>0</v>
      </c>
      <c r="T424" s="54">
        <f>Данные!T424</f>
        <v>0</v>
      </c>
      <c r="U424" s="54">
        <f>Данные!U424</f>
        <v>0</v>
      </c>
      <c r="V424" s="54">
        <f>Данные!V424</f>
        <v>0</v>
      </c>
      <c r="W424" s="54">
        <f ca="1">Данные!W424</f>
        <v>27</v>
      </c>
      <c r="X424" s="54" t="str">
        <f ca="1">Данные!X424</f>
        <v>1</v>
      </c>
      <c r="Y424" s="54" t="str">
        <f ca="1">Данные!Y424</f>
        <v>2</v>
      </c>
      <c r="Z424" s="54">
        <f>Данные!Z424</f>
        <v>0</v>
      </c>
      <c r="AA424" s="54" t="str">
        <f>Данные!AA424</f>
        <v>осн</v>
      </c>
      <c r="AB424" s="101">
        <f t="shared" si="58"/>
        <v>900</v>
      </c>
      <c r="AC424" s="101" t="str">
        <f t="shared" si="59"/>
        <v>ИВТ (бак)</v>
      </c>
      <c r="AD424" s="101" t="str">
        <f t="shared" si="60"/>
        <v/>
      </c>
      <c r="AE424" s="102">
        <f t="shared" ca="1" si="61"/>
        <v>24.41</v>
      </c>
      <c r="AF424" s="103">
        <f t="shared" ca="1" si="62"/>
        <v>2.7122222222222221E-2</v>
      </c>
      <c r="AG424" s="101"/>
      <c r="AH424" s="101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Q424" s="72">
        <v>0</v>
      </c>
      <c r="BR424" s="72">
        <v>0</v>
      </c>
      <c r="BS424" s="72">
        <v>0</v>
      </c>
      <c r="BT424" s="72">
        <v>0</v>
      </c>
      <c r="BU424" s="72">
        <v>0</v>
      </c>
      <c r="BV424" s="72">
        <v>0</v>
      </c>
      <c r="BW424" s="72">
        <v>0</v>
      </c>
      <c r="BX424" s="72">
        <v>0</v>
      </c>
      <c r="BY424" s="72">
        <v>0</v>
      </c>
      <c r="BZ424" s="72">
        <v>0</v>
      </c>
      <c r="CA424" s="72">
        <v>0</v>
      </c>
      <c r="CB424" s="72">
        <v>0</v>
      </c>
      <c r="CC424" s="72">
        <v>0</v>
      </c>
      <c r="CD424" s="72">
        <v>0</v>
      </c>
      <c r="CE424" s="72">
        <v>0</v>
      </c>
      <c r="CF424" s="72">
        <v>0</v>
      </c>
      <c r="CG424" s="72">
        <v>0</v>
      </c>
      <c r="CH424" s="72">
        <v>0</v>
      </c>
      <c r="CI424" s="72">
        <v>0</v>
      </c>
      <c r="CJ424" s="72">
        <v>0</v>
      </c>
      <c r="CK424" s="72">
        <v>0</v>
      </c>
      <c r="CL424" s="72">
        <v>0</v>
      </c>
      <c r="CM424" s="72">
        <v>0</v>
      </c>
      <c r="CN424" s="72">
        <v>0</v>
      </c>
      <c r="CO424" s="72">
        <v>0</v>
      </c>
      <c r="CP424" s="72">
        <v>0</v>
      </c>
      <c r="CQ424" s="72">
        <v>0</v>
      </c>
      <c r="CR424" s="72">
        <v>0</v>
      </c>
      <c r="CS424" s="72">
        <v>0</v>
      </c>
      <c r="CT424" s="72">
        <v>0</v>
      </c>
      <c r="CU424" s="72">
        <v>0</v>
      </c>
      <c r="CV424" s="72">
        <v>0</v>
      </c>
      <c r="CW424" s="72">
        <v>0</v>
      </c>
      <c r="CX424" s="72">
        <v>0</v>
      </c>
      <c r="CY424" s="72">
        <v>0</v>
      </c>
      <c r="CZ424" s="72">
        <v>0</v>
      </c>
      <c r="DA424" s="72">
        <v>0</v>
      </c>
      <c r="DB424" s="72">
        <v>0</v>
      </c>
      <c r="DC424" s="72">
        <v>0</v>
      </c>
      <c r="DD424" s="72">
        <v>0</v>
      </c>
      <c r="DE424" s="72">
        <v>0</v>
      </c>
      <c r="DF424" s="72">
        <v>0</v>
      </c>
      <c r="DG424" s="72">
        <v>0</v>
      </c>
      <c r="DH424" s="72">
        <v>0</v>
      </c>
      <c r="DI424" s="72">
        <v>0</v>
      </c>
      <c r="DJ424" s="72">
        <v>0</v>
      </c>
      <c r="DK424" s="72">
        <v>0</v>
      </c>
      <c r="DL424" s="72">
        <v>0</v>
      </c>
      <c r="DM424" s="72">
        <v>0</v>
      </c>
      <c r="DN424" s="72">
        <v>0</v>
      </c>
      <c r="DO424" s="72">
        <v>0</v>
      </c>
      <c r="DP424" s="72">
        <v>0</v>
      </c>
      <c r="DQ424" s="72">
        <v>0</v>
      </c>
      <c r="DR424" s="72">
        <v>0</v>
      </c>
      <c r="DS424" s="72">
        <v>0</v>
      </c>
      <c r="DT424" s="72">
        <v>0</v>
      </c>
      <c r="DU424" s="72">
        <v>0</v>
      </c>
      <c r="DV424" s="72">
        <v>0</v>
      </c>
      <c r="DW424" s="72">
        <v>0</v>
      </c>
      <c r="DX424" s="72">
        <v>0</v>
      </c>
      <c r="DY424" s="72">
        <v>0</v>
      </c>
      <c r="DZ424" s="72">
        <v>0</v>
      </c>
      <c r="EA424" s="72">
        <v>0</v>
      </c>
      <c r="EB424" s="72">
        <v>0</v>
      </c>
      <c r="EC424" s="72">
        <v>0</v>
      </c>
      <c r="ED424" s="72">
        <v>0</v>
      </c>
      <c r="EE424" s="72">
        <v>0</v>
      </c>
      <c r="EF424" s="72">
        <v>0</v>
      </c>
      <c r="EG424" s="72">
        <v>0</v>
      </c>
      <c r="EH424" s="72">
        <v>0</v>
      </c>
      <c r="EI424" s="72">
        <v>0</v>
      </c>
      <c r="EJ424" s="72">
        <v>0</v>
      </c>
      <c r="EK424" s="72">
        <v>0</v>
      </c>
      <c r="EL424" s="72">
        <v>0</v>
      </c>
    </row>
    <row r="425" spans="1:142" x14ac:dyDescent="0.35">
      <c r="A425" s="59">
        <f>Данные!A425</f>
        <v>5791</v>
      </c>
      <c r="B425" s="59">
        <f>Данные!B425</f>
        <v>2020</v>
      </c>
      <c r="C425" s="59" t="str">
        <f>Данные!C425</f>
        <v>компьютерных технологий и электронного обучения</v>
      </c>
      <c r="D425" s="59" t="str">
        <f>Данные!D425</f>
        <v>Карпова Наталья Александровна</v>
      </c>
      <c r="E425" s="59" t="str">
        <f>Данные!E425</f>
        <v>кандидат технических наук</v>
      </c>
      <c r="F425" s="59" t="str">
        <f>Данные!F425</f>
        <v>доцент</v>
      </c>
      <c r="G425" s="59">
        <f>Данные!G425</f>
        <v>0.75</v>
      </c>
      <c r="H425" s="59" t="str">
        <f>Данные!H425</f>
        <v>4 курс 2017 год/пост</v>
      </c>
      <c r="I425" s="59" t="str">
        <f>Данные!I425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25" s="59">
        <f>Данные!J425</f>
        <v>0</v>
      </c>
      <c r="K425" s="59">
        <f>Данные!K425</f>
        <v>0</v>
      </c>
      <c r="L425" s="59">
        <f>Данные!L425</f>
        <v>0</v>
      </c>
      <c r="M425" s="60">
        <f t="shared" si="54"/>
        <v>0</v>
      </c>
      <c r="N425" s="60">
        <f t="shared" ca="1" si="55"/>
        <v>10.91</v>
      </c>
      <c r="O425" s="60">
        <f t="shared" ca="1" si="56"/>
        <v>6.75</v>
      </c>
      <c r="P425" s="60">
        <f t="shared" ca="1" si="57"/>
        <v>6.75</v>
      </c>
      <c r="Q425" s="54">
        <f>Данные!Q425</f>
        <v>0</v>
      </c>
      <c r="R425" s="54">
        <f>Данные!R425</f>
        <v>0</v>
      </c>
      <c r="S425" s="54">
        <f>Данные!S425</f>
        <v>0</v>
      </c>
      <c r="T425" s="54">
        <f>Данные!T425</f>
        <v>0</v>
      </c>
      <c r="U425" s="54">
        <f>Данные!U425</f>
        <v>0</v>
      </c>
      <c r="V425" s="54">
        <f>Данные!V425</f>
        <v>0</v>
      </c>
      <c r="W425" s="54">
        <f ca="1">Данные!W425</f>
        <v>27</v>
      </c>
      <c r="X425" s="54" t="str">
        <f ca="1">Данные!X425</f>
        <v>1</v>
      </c>
      <c r="Y425" s="54" t="str">
        <f ca="1">Данные!Y425</f>
        <v>2</v>
      </c>
      <c r="Z425" s="54">
        <f>Данные!Z425</f>
        <v>0</v>
      </c>
      <c r="AA425" s="54" t="str">
        <f>Данные!AA425</f>
        <v>осн</v>
      </c>
      <c r="AB425" s="101">
        <f t="shared" si="58"/>
        <v>800</v>
      </c>
      <c r="AC425" s="101" t="str">
        <f t="shared" si="59"/>
        <v>ИВТ (бак)</v>
      </c>
      <c r="AD425" s="101" t="str">
        <f t="shared" si="60"/>
        <v/>
      </c>
      <c r="AE425" s="102">
        <f t="shared" ca="1" si="61"/>
        <v>24.41</v>
      </c>
      <c r="AF425" s="103">
        <f t="shared" ca="1" si="62"/>
        <v>3.0512500000000001E-2</v>
      </c>
      <c r="AG425" s="101"/>
      <c r="AH425" s="101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Q425" s="72">
        <v>0</v>
      </c>
      <c r="BR425" s="72">
        <v>0</v>
      </c>
      <c r="BS425" s="72">
        <v>0</v>
      </c>
      <c r="BT425" s="72">
        <v>0</v>
      </c>
      <c r="BU425" s="72">
        <v>0</v>
      </c>
      <c r="BV425" s="72">
        <v>0</v>
      </c>
      <c r="BW425" s="72">
        <v>0</v>
      </c>
      <c r="BX425" s="72">
        <v>0</v>
      </c>
      <c r="BY425" s="72">
        <v>0</v>
      </c>
      <c r="BZ425" s="72">
        <v>0</v>
      </c>
      <c r="CA425" s="72">
        <v>0</v>
      </c>
      <c r="CB425" s="72">
        <v>0</v>
      </c>
      <c r="CC425" s="72">
        <v>0</v>
      </c>
      <c r="CD425" s="72">
        <v>0</v>
      </c>
      <c r="CE425" s="72">
        <v>0</v>
      </c>
      <c r="CF425" s="72">
        <v>0</v>
      </c>
      <c r="CG425" s="72">
        <v>0</v>
      </c>
      <c r="CH425" s="72">
        <v>0</v>
      </c>
      <c r="CI425" s="72">
        <v>0</v>
      </c>
      <c r="CJ425" s="72">
        <v>0</v>
      </c>
      <c r="CK425" s="72">
        <v>0</v>
      </c>
      <c r="CL425" s="72">
        <v>0</v>
      </c>
      <c r="CM425" s="72">
        <v>0</v>
      </c>
      <c r="CN425" s="72">
        <v>0</v>
      </c>
      <c r="CO425" s="72">
        <v>0</v>
      </c>
      <c r="CP425" s="72">
        <v>0</v>
      </c>
      <c r="CQ425" s="72">
        <v>0</v>
      </c>
      <c r="CR425" s="72">
        <v>0</v>
      </c>
      <c r="CS425" s="72">
        <v>0</v>
      </c>
      <c r="CT425" s="72">
        <v>0</v>
      </c>
      <c r="CU425" s="72">
        <v>0</v>
      </c>
      <c r="CV425" s="72">
        <v>0</v>
      </c>
      <c r="CW425" s="72">
        <v>0</v>
      </c>
      <c r="CX425" s="72">
        <v>0</v>
      </c>
      <c r="CY425" s="72">
        <v>0</v>
      </c>
      <c r="CZ425" s="72">
        <v>0</v>
      </c>
      <c r="DA425" s="72">
        <v>0</v>
      </c>
      <c r="DB425" s="72">
        <v>0</v>
      </c>
      <c r="DC425" s="72">
        <v>0</v>
      </c>
      <c r="DD425" s="72">
        <v>0</v>
      </c>
      <c r="DE425" s="72">
        <v>0</v>
      </c>
      <c r="DF425" s="72">
        <v>0</v>
      </c>
      <c r="DG425" s="72">
        <v>0</v>
      </c>
      <c r="DH425" s="72">
        <v>0</v>
      </c>
      <c r="DI425" s="72">
        <v>0</v>
      </c>
      <c r="DJ425" s="72">
        <v>0</v>
      </c>
      <c r="DK425" s="72">
        <v>0</v>
      </c>
      <c r="DL425" s="72">
        <v>0</v>
      </c>
      <c r="DM425" s="72">
        <v>0</v>
      </c>
      <c r="DN425" s="72">
        <v>0</v>
      </c>
      <c r="DO425" s="72">
        <v>0</v>
      </c>
      <c r="DP425" s="72">
        <v>0</v>
      </c>
      <c r="DQ425" s="72">
        <v>0</v>
      </c>
      <c r="DR425" s="72">
        <v>0</v>
      </c>
      <c r="DS425" s="72">
        <v>0</v>
      </c>
      <c r="DT425" s="72">
        <v>0</v>
      </c>
      <c r="DU425" s="72">
        <v>0</v>
      </c>
      <c r="DV425" s="72">
        <v>0</v>
      </c>
      <c r="DW425" s="72">
        <v>0</v>
      </c>
      <c r="DX425" s="72">
        <v>0</v>
      </c>
      <c r="DY425" s="72">
        <v>0</v>
      </c>
      <c r="DZ425" s="72">
        <v>0</v>
      </c>
      <c r="EA425" s="72">
        <v>0</v>
      </c>
      <c r="EB425" s="72">
        <v>0</v>
      </c>
      <c r="EC425" s="72">
        <v>0</v>
      </c>
      <c r="ED425" s="72">
        <v>0</v>
      </c>
      <c r="EE425" s="72">
        <v>0</v>
      </c>
      <c r="EF425" s="72">
        <v>0</v>
      </c>
      <c r="EG425" s="72">
        <v>0</v>
      </c>
      <c r="EH425" s="72">
        <v>0</v>
      </c>
      <c r="EI425" s="72">
        <v>0</v>
      </c>
      <c r="EJ425" s="72">
        <v>0</v>
      </c>
      <c r="EK425" s="72">
        <v>0</v>
      </c>
      <c r="EL425" s="72">
        <v>0</v>
      </c>
    </row>
    <row r="426" spans="1:142" x14ac:dyDescent="0.35">
      <c r="A426" s="59">
        <f>Данные!A426</f>
        <v>5791</v>
      </c>
      <c r="B426" s="59">
        <f>Данные!B426</f>
        <v>2020</v>
      </c>
      <c r="C426" s="59" t="str">
        <f>Данные!C426</f>
        <v>компьютерных технологий и электронного обучения</v>
      </c>
      <c r="D426" s="59" t="str">
        <f>Данные!D426</f>
        <v>Абрамян Геннадий Владимирович</v>
      </c>
      <c r="E426" s="59" t="str">
        <f>Данные!E426</f>
        <v>доктор педагогических наук</v>
      </c>
      <c r="F426" s="59" t="str">
        <f>Данные!F426</f>
        <v>профессор</v>
      </c>
      <c r="G426" s="59">
        <f>Данные!G426</f>
        <v>1</v>
      </c>
      <c r="H426" s="59" t="str">
        <f>Данные!H426</f>
        <v>4 курс 2017 год/пост</v>
      </c>
      <c r="I426" s="59" t="str">
        <f>Данные!I426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26" s="59">
        <f>Данные!J426</f>
        <v>0</v>
      </c>
      <c r="K426" s="59">
        <f>Данные!K426</f>
        <v>0</v>
      </c>
      <c r="L426" s="59">
        <f>Данные!L426</f>
        <v>0</v>
      </c>
      <c r="M426" s="60">
        <f t="shared" si="54"/>
        <v>0</v>
      </c>
      <c r="N426" s="60">
        <f t="shared" ca="1" si="55"/>
        <v>10.91</v>
      </c>
      <c r="O426" s="60">
        <f t="shared" ca="1" si="56"/>
        <v>6.75</v>
      </c>
      <c r="P426" s="60">
        <f t="shared" ca="1" si="57"/>
        <v>6.75</v>
      </c>
      <c r="Q426" s="54">
        <f>Данные!Q426</f>
        <v>0</v>
      </c>
      <c r="R426" s="54">
        <f>Данные!R426</f>
        <v>0</v>
      </c>
      <c r="S426" s="54">
        <f>Данные!S426</f>
        <v>0</v>
      </c>
      <c r="T426" s="54">
        <f>Данные!T426</f>
        <v>0</v>
      </c>
      <c r="U426" s="54">
        <f>Данные!U426</f>
        <v>0</v>
      </c>
      <c r="V426" s="54">
        <f>Данные!V426</f>
        <v>0</v>
      </c>
      <c r="W426" s="54">
        <f ca="1">Данные!W426</f>
        <v>27</v>
      </c>
      <c r="X426" s="54" t="str">
        <f ca="1">Данные!X426</f>
        <v>1</v>
      </c>
      <c r="Y426" s="54" t="str">
        <f ca="1">Данные!Y426</f>
        <v>2</v>
      </c>
      <c r="Z426" s="54">
        <f>Данные!Z426</f>
        <v>0</v>
      </c>
      <c r="AA426" s="54" t="str">
        <f>Данные!AA426</f>
        <v>ГПХ</v>
      </c>
      <c r="AB426" s="101">
        <f t="shared" si="58"/>
        <v>750</v>
      </c>
      <c r="AC426" s="101" t="str">
        <f t="shared" si="59"/>
        <v>ИВТ (бак)</v>
      </c>
      <c r="AD426" s="101" t="str">
        <f t="shared" si="60"/>
        <v/>
      </c>
      <c r="AE426" s="102">
        <f t="shared" ca="1" si="61"/>
        <v>24.41</v>
      </c>
      <c r="AF426" s="103">
        <f t="shared" ca="1" si="62"/>
        <v>3.2546666666666668E-2</v>
      </c>
      <c r="AG426" s="101"/>
      <c r="AH426" s="101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Q426" s="72">
        <v>0</v>
      </c>
      <c r="BR426" s="72">
        <v>0</v>
      </c>
      <c r="BS426" s="72">
        <v>0</v>
      </c>
      <c r="BT426" s="72">
        <v>0</v>
      </c>
      <c r="BU426" s="72">
        <v>0</v>
      </c>
      <c r="BV426" s="72">
        <v>0</v>
      </c>
      <c r="BW426" s="72">
        <v>0</v>
      </c>
      <c r="BX426" s="72">
        <v>0</v>
      </c>
      <c r="BY426" s="72">
        <v>0</v>
      </c>
      <c r="BZ426" s="72">
        <v>0</v>
      </c>
      <c r="CA426" s="72">
        <v>0</v>
      </c>
      <c r="CB426" s="72">
        <v>0</v>
      </c>
      <c r="CC426" s="72">
        <v>0</v>
      </c>
      <c r="CD426" s="72">
        <v>0</v>
      </c>
      <c r="CE426" s="72">
        <v>0</v>
      </c>
      <c r="CF426" s="72">
        <v>0</v>
      </c>
      <c r="CG426" s="72">
        <v>0</v>
      </c>
      <c r="CH426" s="72">
        <v>0</v>
      </c>
      <c r="CI426" s="72">
        <v>0</v>
      </c>
      <c r="CJ426" s="72">
        <v>0</v>
      </c>
      <c r="CK426" s="72">
        <v>0</v>
      </c>
      <c r="CL426" s="72">
        <v>0</v>
      </c>
      <c r="CM426" s="72">
        <v>0</v>
      </c>
      <c r="CN426" s="72">
        <v>0</v>
      </c>
      <c r="CO426" s="72">
        <v>0</v>
      </c>
      <c r="CP426" s="72">
        <v>0</v>
      </c>
      <c r="CQ426" s="72">
        <v>0</v>
      </c>
      <c r="CR426" s="72">
        <v>0</v>
      </c>
      <c r="CS426" s="72">
        <v>0</v>
      </c>
      <c r="CT426" s="72">
        <v>0</v>
      </c>
      <c r="CU426" s="72">
        <v>0</v>
      </c>
      <c r="CV426" s="72">
        <v>0</v>
      </c>
      <c r="CW426" s="72">
        <v>0</v>
      </c>
      <c r="CX426" s="72">
        <v>0</v>
      </c>
      <c r="CY426" s="72">
        <v>0</v>
      </c>
      <c r="CZ426" s="72">
        <v>0</v>
      </c>
      <c r="DA426" s="72">
        <v>0</v>
      </c>
      <c r="DB426" s="72">
        <v>0</v>
      </c>
      <c r="DC426" s="72">
        <v>0</v>
      </c>
      <c r="DD426" s="72">
        <v>0</v>
      </c>
      <c r="DE426" s="72">
        <v>0</v>
      </c>
      <c r="DF426" s="72">
        <v>0</v>
      </c>
      <c r="DG426" s="72">
        <v>0</v>
      </c>
      <c r="DH426" s="72">
        <v>0</v>
      </c>
      <c r="DI426" s="72">
        <v>0</v>
      </c>
      <c r="DJ426" s="72">
        <v>0</v>
      </c>
      <c r="DK426" s="72">
        <v>0</v>
      </c>
      <c r="DL426" s="72">
        <v>0</v>
      </c>
      <c r="DM426" s="72">
        <v>0</v>
      </c>
      <c r="DN426" s="72">
        <v>0</v>
      </c>
      <c r="DO426" s="72">
        <v>0</v>
      </c>
      <c r="DP426" s="72">
        <v>0</v>
      </c>
      <c r="DQ426" s="72">
        <v>0</v>
      </c>
      <c r="DR426" s="72">
        <v>0</v>
      </c>
      <c r="DS426" s="72">
        <v>0</v>
      </c>
      <c r="DT426" s="72">
        <v>0</v>
      </c>
      <c r="DU426" s="72">
        <v>0</v>
      </c>
      <c r="DV426" s="72">
        <v>0</v>
      </c>
      <c r="DW426" s="72">
        <v>0</v>
      </c>
      <c r="DX426" s="72">
        <v>0</v>
      </c>
      <c r="DY426" s="72">
        <v>0</v>
      </c>
      <c r="DZ426" s="72">
        <v>0</v>
      </c>
      <c r="EA426" s="72">
        <v>0</v>
      </c>
      <c r="EB426" s="72">
        <v>0</v>
      </c>
      <c r="EC426" s="72">
        <v>0</v>
      </c>
      <c r="ED426" s="72">
        <v>0</v>
      </c>
      <c r="EE426" s="72">
        <v>0</v>
      </c>
      <c r="EF426" s="72">
        <v>0</v>
      </c>
      <c r="EG426" s="72">
        <v>0</v>
      </c>
      <c r="EH426" s="72">
        <v>0</v>
      </c>
      <c r="EI426" s="72">
        <v>0</v>
      </c>
      <c r="EJ426" s="72">
        <v>0</v>
      </c>
      <c r="EK426" s="72">
        <v>0</v>
      </c>
      <c r="EL426" s="72">
        <v>0</v>
      </c>
    </row>
    <row r="427" spans="1:142" x14ac:dyDescent="0.35">
      <c r="A427" s="59">
        <f>Данные!A427</f>
        <v>5791</v>
      </c>
      <c r="B427" s="59">
        <f>Данные!B427</f>
        <v>2020</v>
      </c>
      <c r="C427" s="59" t="str">
        <f>Данные!C427</f>
        <v>компьютерных технологий и электронного обучения</v>
      </c>
      <c r="D427" s="59" t="str">
        <f>Данные!D427</f>
        <v>Власова Елена Зотиковна</v>
      </c>
      <c r="E427" s="59" t="str">
        <f>Данные!E427</f>
        <v>доктор педагогических наук</v>
      </c>
      <c r="F427" s="59" t="str">
        <f>Данные!F427</f>
        <v>заведующий кафедрой</v>
      </c>
      <c r="G427" s="59">
        <f>Данные!G427</f>
        <v>1</v>
      </c>
      <c r="H427" s="59" t="str">
        <f>Данные!H427</f>
        <v>4 курс 2017 год/пост</v>
      </c>
      <c r="I427" s="59" t="str">
        <f>Данные!I427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27" s="59">
        <f>Данные!J427</f>
        <v>0</v>
      </c>
      <c r="K427" s="59">
        <f>Данные!K427</f>
        <v>0</v>
      </c>
      <c r="L427" s="59">
        <f>Данные!L427</f>
        <v>0</v>
      </c>
      <c r="M427" s="60">
        <f t="shared" si="54"/>
        <v>0</v>
      </c>
      <c r="N427" s="60">
        <f t="shared" ca="1" si="55"/>
        <v>10.91</v>
      </c>
      <c r="O427" s="60">
        <f t="shared" ca="1" si="56"/>
        <v>6.75</v>
      </c>
      <c r="P427" s="60">
        <f t="shared" ca="1" si="57"/>
        <v>6.75</v>
      </c>
      <c r="Q427" s="54">
        <f>Данные!Q427</f>
        <v>0</v>
      </c>
      <c r="R427" s="54">
        <f>Данные!R427</f>
        <v>0</v>
      </c>
      <c r="S427" s="54">
        <f>Данные!S427</f>
        <v>0</v>
      </c>
      <c r="T427" s="54">
        <f>Данные!T427</f>
        <v>0</v>
      </c>
      <c r="U427" s="54">
        <f>Данные!U427</f>
        <v>8</v>
      </c>
      <c r="V427" s="54">
        <f>Данные!V427</f>
        <v>0</v>
      </c>
      <c r="W427" s="54">
        <f ca="1">Данные!W427</f>
        <v>27</v>
      </c>
      <c r="X427" s="54" t="str">
        <f ca="1">Данные!X427</f>
        <v>1</v>
      </c>
      <c r="Y427" s="54" t="str">
        <f ca="1">Данные!Y427</f>
        <v>2</v>
      </c>
      <c r="Z427" s="54">
        <f>Данные!Z427</f>
        <v>0</v>
      </c>
      <c r="AA427" s="54" t="str">
        <f>Данные!AA427</f>
        <v>осн</v>
      </c>
      <c r="AB427" s="101">
        <f t="shared" si="58"/>
        <v>700</v>
      </c>
      <c r="AC427" s="101" t="str">
        <f t="shared" si="59"/>
        <v>ИВТ (бак)</v>
      </c>
      <c r="AD427" s="101" t="str">
        <f t="shared" si="60"/>
        <v/>
      </c>
      <c r="AE427" s="102">
        <f t="shared" ca="1" si="61"/>
        <v>32.409999999999997</v>
      </c>
      <c r="AF427" s="103">
        <f t="shared" ca="1" si="62"/>
        <v>4.6299999999999994E-2</v>
      </c>
      <c r="AG427" s="101"/>
      <c r="AH427" s="101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Q427" s="72">
        <v>0</v>
      </c>
      <c r="BR427" s="72">
        <v>0</v>
      </c>
      <c r="BS427" s="72">
        <v>0</v>
      </c>
      <c r="BT427" s="72">
        <v>0</v>
      </c>
      <c r="BU427" s="72">
        <v>0</v>
      </c>
      <c r="BV427" s="72">
        <v>0</v>
      </c>
      <c r="BW427" s="72">
        <v>0</v>
      </c>
      <c r="BX427" s="72">
        <v>0</v>
      </c>
      <c r="BY427" s="72">
        <v>0</v>
      </c>
      <c r="BZ427" s="72">
        <v>0</v>
      </c>
      <c r="CA427" s="72">
        <v>0</v>
      </c>
      <c r="CB427" s="72">
        <v>0</v>
      </c>
      <c r="CC427" s="72">
        <v>0</v>
      </c>
      <c r="CD427" s="72">
        <v>0</v>
      </c>
      <c r="CE427" s="72">
        <v>0</v>
      </c>
      <c r="CF427" s="72">
        <v>0</v>
      </c>
      <c r="CG427" s="72">
        <v>0</v>
      </c>
      <c r="CH427" s="72">
        <v>0</v>
      </c>
      <c r="CI427" s="72">
        <v>0</v>
      </c>
      <c r="CJ427" s="72">
        <v>0</v>
      </c>
      <c r="CK427" s="72">
        <v>0</v>
      </c>
      <c r="CL427" s="72">
        <v>0</v>
      </c>
      <c r="CM427" s="72">
        <v>0</v>
      </c>
      <c r="CN427" s="72">
        <v>0</v>
      </c>
      <c r="CO427" s="72">
        <v>0</v>
      </c>
      <c r="CP427" s="72">
        <v>0</v>
      </c>
      <c r="CQ427" s="72">
        <v>0</v>
      </c>
      <c r="CR427" s="72">
        <v>0</v>
      </c>
      <c r="CS427" s="72">
        <v>0</v>
      </c>
      <c r="CT427" s="72">
        <v>0</v>
      </c>
      <c r="CU427" s="72">
        <v>0</v>
      </c>
      <c r="CV427" s="72">
        <v>0</v>
      </c>
      <c r="CW427" s="72">
        <v>0</v>
      </c>
      <c r="CX427" s="72">
        <v>0</v>
      </c>
      <c r="CY427" s="72">
        <v>0</v>
      </c>
      <c r="CZ427" s="72">
        <v>0</v>
      </c>
      <c r="DA427" s="72">
        <v>0</v>
      </c>
      <c r="DB427" s="72">
        <v>0</v>
      </c>
      <c r="DC427" s="72">
        <v>0</v>
      </c>
      <c r="DD427" s="72">
        <v>0</v>
      </c>
      <c r="DE427" s="72">
        <v>0</v>
      </c>
      <c r="DF427" s="72">
        <v>0</v>
      </c>
      <c r="DG427" s="72">
        <v>0</v>
      </c>
      <c r="DH427" s="72">
        <v>0</v>
      </c>
      <c r="DI427" s="72">
        <v>0</v>
      </c>
      <c r="DJ427" s="72">
        <v>0</v>
      </c>
      <c r="DK427" s="72">
        <v>0</v>
      </c>
      <c r="DL427" s="72">
        <v>0</v>
      </c>
      <c r="DM427" s="72">
        <v>0</v>
      </c>
      <c r="DN427" s="72">
        <v>0</v>
      </c>
      <c r="DO427" s="72">
        <v>0</v>
      </c>
      <c r="DP427" s="72">
        <v>0</v>
      </c>
      <c r="DQ427" s="72">
        <v>0</v>
      </c>
      <c r="DR427" s="72">
        <v>0</v>
      </c>
      <c r="DS427" s="72">
        <v>0</v>
      </c>
      <c r="DT427" s="72">
        <v>0</v>
      </c>
      <c r="DU427" s="72">
        <v>0</v>
      </c>
      <c r="DV427" s="72">
        <v>0</v>
      </c>
      <c r="DW427" s="72">
        <v>0</v>
      </c>
      <c r="DX427" s="72">
        <v>0</v>
      </c>
      <c r="DY427" s="72">
        <v>0</v>
      </c>
      <c r="DZ427" s="72">
        <v>0</v>
      </c>
      <c r="EA427" s="72">
        <v>0</v>
      </c>
      <c r="EB427" s="72">
        <v>0</v>
      </c>
      <c r="EC427" s="72">
        <v>0</v>
      </c>
      <c r="ED427" s="72">
        <v>0</v>
      </c>
      <c r="EE427" s="72">
        <v>0</v>
      </c>
      <c r="EF427" s="72">
        <v>0</v>
      </c>
      <c r="EG427" s="72">
        <v>0</v>
      </c>
      <c r="EH427" s="72">
        <v>0</v>
      </c>
      <c r="EI427" s="72">
        <v>0</v>
      </c>
      <c r="EJ427" s="72">
        <v>0</v>
      </c>
      <c r="EK427" s="72">
        <v>0</v>
      </c>
      <c r="EL427" s="72">
        <v>0</v>
      </c>
    </row>
    <row r="428" spans="1:142" x14ac:dyDescent="0.35">
      <c r="A428" s="59">
        <f>Данные!A428</f>
        <v>5791</v>
      </c>
      <c r="B428" s="59">
        <f>Данные!B428</f>
        <v>2020</v>
      </c>
      <c r="C428" s="59" t="str">
        <f>Данные!C428</f>
        <v>компьютерных технологий и электронного обучения</v>
      </c>
      <c r="D428" s="59" t="str">
        <f>Данные!D428</f>
        <v>Государев Илья Борисович</v>
      </c>
      <c r="E428" s="59" t="str">
        <f>Данные!E428</f>
        <v>кандидат педагогических наук</v>
      </c>
      <c r="F428" s="59" t="str">
        <f>Данные!F428</f>
        <v>доцент</v>
      </c>
      <c r="G428" s="59">
        <f>Данные!G428</f>
        <v>1</v>
      </c>
      <c r="H428" s="59" t="str">
        <f>Данные!H428</f>
        <v>4 курс 2017 год/пост</v>
      </c>
      <c r="I428" s="59" t="str">
        <f>Данные!I428</f>
        <v>Руководство ВКР</v>
      </c>
      <c r="J428" s="59">
        <f>Данные!J428</f>
        <v>0</v>
      </c>
      <c r="K428" s="59">
        <f>Данные!K428</f>
        <v>0</v>
      </c>
      <c r="L428" s="59">
        <f>Данные!L428</f>
        <v>0</v>
      </c>
      <c r="M428" s="60">
        <f t="shared" si="54"/>
        <v>0</v>
      </c>
      <c r="N428" s="60">
        <f t="shared" ca="1" si="55"/>
        <v>10.91</v>
      </c>
      <c r="O428" s="60">
        <f t="shared" ca="1" si="56"/>
        <v>6.75</v>
      </c>
      <c r="P428" s="60">
        <f t="shared" ca="1" si="57"/>
        <v>6.75</v>
      </c>
      <c r="Q428" s="54">
        <f>Данные!Q428</f>
        <v>0</v>
      </c>
      <c r="R428" s="54">
        <f>Данные!R428</f>
        <v>0</v>
      </c>
      <c r="S428" s="54">
        <f>Данные!S428</f>
        <v>0</v>
      </c>
      <c r="T428" s="54">
        <f>Данные!T428</f>
        <v>0</v>
      </c>
      <c r="U428" s="54">
        <f>Данные!U428</f>
        <v>0</v>
      </c>
      <c r="V428" s="54">
        <f>Данные!V428</f>
        <v>0</v>
      </c>
      <c r="W428" s="54">
        <f ca="1">Данные!W428</f>
        <v>27</v>
      </c>
      <c r="X428" s="54" t="str">
        <f ca="1">Данные!X428</f>
        <v>1</v>
      </c>
      <c r="Y428" s="54" t="str">
        <f ca="1">Данные!Y428</f>
        <v>2</v>
      </c>
      <c r="Z428" s="54">
        <f>Данные!Z428</f>
        <v>0</v>
      </c>
      <c r="AA428" s="54" t="str">
        <f>Данные!AA428</f>
        <v>доп</v>
      </c>
      <c r="AB428" s="101">
        <f t="shared" si="58"/>
        <v>800</v>
      </c>
      <c r="AC428" s="101" t="str">
        <f t="shared" si="59"/>
        <v>ИВТ (бак)</v>
      </c>
      <c r="AD428" s="101" t="str">
        <f t="shared" si="60"/>
        <v/>
      </c>
      <c r="AE428" s="102">
        <f t="shared" ca="1" si="61"/>
        <v>24.41</v>
      </c>
      <c r="AF428" s="103">
        <f t="shared" ca="1" si="62"/>
        <v>3.0512500000000001E-2</v>
      </c>
      <c r="AG428" s="101"/>
      <c r="AH428" s="101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Q428" s="72">
        <v>0</v>
      </c>
      <c r="BR428" s="72">
        <v>0</v>
      </c>
      <c r="BS428" s="72">
        <v>0</v>
      </c>
      <c r="BT428" s="72">
        <v>0</v>
      </c>
      <c r="BU428" s="72">
        <v>0</v>
      </c>
      <c r="BV428" s="72">
        <v>0</v>
      </c>
      <c r="BW428" s="72">
        <v>0</v>
      </c>
      <c r="BX428" s="72">
        <v>0</v>
      </c>
      <c r="BY428" s="72">
        <v>0</v>
      </c>
      <c r="BZ428" s="72">
        <v>0</v>
      </c>
      <c r="CA428" s="72">
        <v>0</v>
      </c>
      <c r="CB428" s="72">
        <v>0</v>
      </c>
      <c r="CC428" s="72">
        <v>0</v>
      </c>
      <c r="CD428" s="72">
        <v>0</v>
      </c>
      <c r="CE428" s="72">
        <v>0</v>
      </c>
      <c r="CF428" s="72">
        <v>0</v>
      </c>
      <c r="CG428" s="72">
        <v>0</v>
      </c>
      <c r="CH428" s="72">
        <v>0</v>
      </c>
      <c r="CI428" s="72">
        <v>0</v>
      </c>
      <c r="CJ428" s="72">
        <v>0</v>
      </c>
      <c r="CK428" s="72">
        <v>0</v>
      </c>
      <c r="CL428" s="72">
        <v>0</v>
      </c>
      <c r="CM428" s="72">
        <v>0</v>
      </c>
      <c r="CN428" s="72">
        <v>0</v>
      </c>
      <c r="CO428" s="72">
        <v>0</v>
      </c>
      <c r="CP428" s="72">
        <v>0</v>
      </c>
      <c r="CQ428" s="72">
        <v>0</v>
      </c>
      <c r="CR428" s="72">
        <v>0</v>
      </c>
      <c r="CS428" s="72">
        <v>0</v>
      </c>
      <c r="CT428" s="72">
        <v>0</v>
      </c>
      <c r="CU428" s="72">
        <v>0</v>
      </c>
      <c r="CV428" s="72">
        <v>0</v>
      </c>
      <c r="CW428" s="72">
        <v>0</v>
      </c>
      <c r="CX428" s="72">
        <v>0</v>
      </c>
      <c r="CY428" s="72">
        <v>0</v>
      </c>
      <c r="CZ428" s="72">
        <v>0</v>
      </c>
      <c r="DA428" s="72">
        <v>0</v>
      </c>
      <c r="DB428" s="72">
        <v>0</v>
      </c>
      <c r="DC428" s="72">
        <v>0</v>
      </c>
      <c r="DD428" s="72">
        <v>0</v>
      </c>
      <c r="DE428" s="72">
        <v>0</v>
      </c>
      <c r="DF428" s="72">
        <v>0</v>
      </c>
      <c r="DG428" s="72">
        <v>0</v>
      </c>
      <c r="DH428" s="72">
        <v>0</v>
      </c>
      <c r="DI428" s="72">
        <v>0</v>
      </c>
      <c r="DJ428" s="72">
        <v>0</v>
      </c>
      <c r="DK428" s="72">
        <v>0</v>
      </c>
      <c r="DL428" s="72">
        <v>0</v>
      </c>
      <c r="DM428" s="72">
        <v>0</v>
      </c>
      <c r="DN428" s="72">
        <v>0</v>
      </c>
      <c r="DO428" s="72">
        <v>0</v>
      </c>
      <c r="DP428" s="72">
        <v>0</v>
      </c>
      <c r="DQ428" s="72">
        <v>0</v>
      </c>
      <c r="DR428" s="72">
        <v>0</v>
      </c>
      <c r="DS428" s="72">
        <v>0</v>
      </c>
      <c r="DT428" s="72">
        <v>0</v>
      </c>
      <c r="DU428" s="72">
        <v>0</v>
      </c>
      <c r="DV428" s="72">
        <v>0</v>
      </c>
      <c r="DW428" s="72">
        <v>0</v>
      </c>
      <c r="DX428" s="72">
        <v>0</v>
      </c>
      <c r="DY428" s="72">
        <v>0</v>
      </c>
      <c r="DZ428" s="72">
        <v>0</v>
      </c>
      <c r="EA428" s="72">
        <v>0</v>
      </c>
      <c r="EB428" s="72">
        <v>0</v>
      </c>
      <c r="EC428" s="72">
        <v>0</v>
      </c>
      <c r="ED428" s="72">
        <v>0</v>
      </c>
      <c r="EE428" s="72">
        <v>0</v>
      </c>
      <c r="EF428" s="72">
        <v>0</v>
      </c>
      <c r="EG428" s="72">
        <v>0</v>
      </c>
      <c r="EH428" s="72">
        <v>0</v>
      </c>
      <c r="EI428" s="72">
        <v>0</v>
      </c>
      <c r="EJ428" s="72">
        <v>0</v>
      </c>
      <c r="EK428" s="72">
        <v>0</v>
      </c>
      <c r="EL428" s="72">
        <v>0</v>
      </c>
    </row>
    <row r="429" spans="1:142" x14ac:dyDescent="0.35">
      <c r="A429" s="59">
        <f>Данные!A429</f>
        <v>5791</v>
      </c>
      <c r="B429" s="59">
        <f>Данные!B429</f>
        <v>2020</v>
      </c>
      <c r="C429" s="59" t="str">
        <f>Данные!C429</f>
        <v>компьютерных технологий и электронного обучения</v>
      </c>
      <c r="D429" s="59" t="str">
        <f>Данные!D429</f>
        <v>Авксентьева Елена Юрьевна</v>
      </c>
      <c r="E429" s="59" t="str">
        <f>Данные!E429</f>
        <v>кандидат педагогических наук</v>
      </c>
      <c r="F429" s="59" t="str">
        <f>Данные!F429</f>
        <v>доцент</v>
      </c>
      <c r="G429" s="59">
        <f>Данные!G429</f>
        <v>1</v>
      </c>
      <c r="H429" s="59" t="str">
        <f>Данные!H429</f>
        <v>4 курс 2017 год/пост</v>
      </c>
      <c r="I429" s="59" t="str">
        <f>Данные!I429</f>
        <v>Руководство ВКР</v>
      </c>
      <c r="J429" s="59">
        <f>Данные!J429</f>
        <v>0</v>
      </c>
      <c r="K429" s="59">
        <f>Данные!K429</f>
        <v>0</v>
      </c>
      <c r="L429" s="59">
        <f>Данные!L429</f>
        <v>0</v>
      </c>
      <c r="M429" s="60">
        <f t="shared" si="54"/>
        <v>0</v>
      </c>
      <c r="N429" s="60">
        <f t="shared" ca="1" si="55"/>
        <v>10.91</v>
      </c>
      <c r="O429" s="60">
        <f t="shared" ca="1" si="56"/>
        <v>6.75</v>
      </c>
      <c r="P429" s="60">
        <f t="shared" ca="1" si="57"/>
        <v>6.75</v>
      </c>
      <c r="Q429" s="54">
        <f>Данные!Q429</f>
        <v>0</v>
      </c>
      <c r="R429" s="54">
        <f>Данные!R429</f>
        <v>0</v>
      </c>
      <c r="S429" s="54">
        <f>Данные!S429</f>
        <v>0</v>
      </c>
      <c r="T429" s="54">
        <f>Данные!T429</f>
        <v>0</v>
      </c>
      <c r="U429" s="54">
        <f>Данные!U429</f>
        <v>0</v>
      </c>
      <c r="V429" s="54">
        <f>Данные!V429</f>
        <v>0</v>
      </c>
      <c r="W429" s="54">
        <f ca="1">Данные!W429</f>
        <v>27</v>
      </c>
      <c r="X429" s="54" t="str">
        <f ca="1">Данные!X429</f>
        <v>1</v>
      </c>
      <c r="Y429" s="54" t="str">
        <f ca="1">Данные!Y429</f>
        <v>2</v>
      </c>
      <c r="Z429" s="54">
        <f>Данные!Z429</f>
        <v>0</v>
      </c>
      <c r="AA429" s="54" t="str">
        <f>Данные!AA429</f>
        <v>осн</v>
      </c>
      <c r="AB429" s="101">
        <f t="shared" si="58"/>
        <v>800</v>
      </c>
      <c r="AC429" s="101" t="str">
        <f t="shared" si="59"/>
        <v>ИВТ (бак)</v>
      </c>
      <c r="AD429" s="101" t="str">
        <f t="shared" si="60"/>
        <v/>
      </c>
      <c r="AE429" s="102">
        <f t="shared" ca="1" si="61"/>
        <v>24.41</v>
      </c>
      <c r="AF429" s="103">
        <f t="shared" ca="1" si="62"/>
        <v>3.0512500000000001E-2</v>
      </c>
      <c r="AG429" s="101"/>
      <c r="AH429" s="101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Q429" s="72">
        <v>0</v>
      </c>
      <c r="BR429" s="72">
        <v>0</v>
      </c>
      <c r="BS429" s="72">
        <v>0</v>
      </c>
      <c r="BT429" s="72">
        <v>0</v>
      </c>
      <c r="BU429" s="72">
        <v>0</v>
      </c>
      <c r="BV429" s="72">
        <v>0</v>
      </c>
      <c r="BW429" s="72">
        <v>0</v>
      </c>
      <c r="BX429" s="72">
        <v>0</v>
      </c>
      <c r="BY429" s="72">
        <v>0</v>
      </c>
      <c r="BZ429" s="72">
        <v>0</v>
      </c>
      <c r="CA429" s="72">
        <v>0</v>
      </c>
      <c r="CB429" s="72">
        <v>0</v>
      </c>
      <c r="CC429" s="72">
        <v>0</v>
      </c>
      <c r="CD429" s="72">
        <v>0</v>
      </c>
      <c r="CE429" s="72">
        <v>0</v>
      </c>
      <c r="CF429" s="72">
        <v>0</v>
      </c>
      <c r="CG429" s="72">
        <v>0</v>
      </c>
      <c r="CH429" s="72">
        <v>0</v>
      </c>
      <c r="CI429" s="72">
        <v>0</v>
      </c>
      <c r="CJ429" s="72">
        <v>0</v>
      </c>
      <c r="CK429" s="72">
        <v>0</v>
      </c>
      <c r="CL429" s="72">
        <v>0</v>
      </c>
      <c r="CM429" s="72">
        <v>0</v>
      </c>
      <c r="CN429" s="72">
        <v>0</v>
      </c>
      <c r="CO429" s="72">
        <v>0</v>
      </c>
      <c r="CP429" s="72">
        <v>0</v>
      </c>
      <c r="CQ429" s="72">
        <v>0</v>
      </c>
      <c r="CR429" s="72">
        <v>0</v>
      </c>
      <c r="CS429" s="72">
        <v>0</v>
      </c>
      <c r="CT429" s="72">
        <v>0</v>
      </c>
      <c r="CU429" s="72">
        <v>0</v>
      </c>
      <c r="CV429" s="72">
        <v>0</v>
      </c>
      <c r="CW429" s="72">
        <v>0</v>
      </c>
      <c r="CX429" s="72">
        <v>0</v>
      </c>
      <c r="CY429" s="72">
        <v>0</v>
      </c>
      <c r="CZ429" s="72">
        <v>0</v>
      </c>
      <c r="DA429" s="72">
        <v>0</v>
      </c>
      <c r="DB429" s="72">
        <v>0</v>
      </c>
      <c r="DC429" s="72">
        <v>0</v>
      </c>
      <c r="DD429" s="72">
        <v>0</v>
      </c>
      <c r="DE429" s="72">
        <v>0</v>
      </c>
      <c r="DF429" s="72">
        <v>0</v>
      </c>
      <c r="DG429" s="72">
        <v>0</v>
      </c>
      <c r="DH429" s="72">
        <v>0</v>
      </c>
      <c r="DI429" s="72">
        <v>0</v>
      </c>
      <c r="DJ429" s="72">
        <v>0</v>
      </c>
      <c r="DK429" s="72">
        <v>0</v>
      </c>
      <c r="DL429" s="72">
        <v>0</v>
      </c>
      <c r="DM429" s="72">
        <v>0</v>
      </c>
      <c r="DN429" s="72">
        <v>0</v>
      </c>
      <c r="DO429" s="72">
        <v>0</v>
      </c>
      <c r="DP429" s="72">
        <v>0</v>
      </c>
      <c r="DQ429" s="72">
        <v>0</v>
      </c>
      <c r="DR429" s="72">
        <v>0</v>
      </c>
      <c r="DS429" s="72">
        <v>0</v>
      </c>
      <c r="DT429" s="72">
        <v>0</v>
      </c>
      <c r="DU429" s="72">
        <v>0</v>
      </c>
      <c r="DV429" s="72">
        <v>0</v>
      </c>
      <c r="DW429" s="72">
        <v>0</v>
      </c>
      <c r="DX429" s="72">
        <v>0</v>
      </c>
      <c r="DY429" s="72">
        <v>0</v>
      </c>
      <c r="DZ429" s="72">
        <v>0</v>
      </c>
      <c r="EA429" s="72">
        <v>0</v>
      </c>
      <c r="EB429" s="72">
        <v>0</v>
      </c>
      <c r="EC429" s="72">
        <v>0</v>
      </c>
      <c r="ED429" s="72">
        <v>0</v>
      </c>
      <c r="EE429" s="72">
        <v>0</v>
      </c>
      <c r="EF429" s="72">
        <v>0</v>
      </c>
      <c r="EG429" s="72">
        <v>0</v>
      </c>
      <c r="EH429" s="72">
        <v>0</v>
      </c>
      <c r="EI429" s="72">
        <v>0</v>
      </c>
      <c r="EJ429" s="72">
        <v>0</v>
      </c>
      <c r="EK429" s="72">
        <v>0</v>
      </c>
      <c r="EL429" s="72">
        <v>0</v>
      </c>
    </row>
    <row r="430" spans="1:142" x14ac:dyDescent="0.35">
      <c r="A430" s="59">
        <f>Данные!A430</f>
        <v>5791</v>
      </c>
      <c r="B430" s="59">
        <f>Данные!B430</f>
        <v>2020</v>
      </c>
      <c r="C430" s="59" t="str">
        <f>Данные!C430</f>
        <v>компьютерных технологий и электронного обучения</v>
      </c>
      <c r="D430" s="59" t="str">
        <f>Данные!D430</f>
        <v>Воробьев Владимир Иванович</v>
      </c>
      <c r="E430" s="59" t="str">
        <f>Данные!E430</f>
        <v>доктор технических наук</v>
      </c>
      <c r="F430" s="59" t="str">
        <f>Данные!F430</f>
        <v>внешний</v>
      </c>
      <c r="G430" s="59">
        <f>Данные!G430</f>
        <v>1</v>
      </c>
      <c r="H430" s="59" t="str">
        <f>Данные!H430</f>
        <v>4 курс 2017 год/пост</v>
      </c>
      <c r="I430" s="59" t="str">
        <f>Данные!I430</f>
        <v>Руководство ВКР</v>
      </c>
      <c r="J430" s="59">
        <f>Данные!J430</f>
        <v>0</v>
      </c>
      <c r="K430" s="59">
        <f>Данные!K430</f>
        <v>0</v>
      </c>
      <c r="L430" s="59">
        <f>Данные!L430</f>
        <v>0</v>
      </c>
      <c r="M430" s="60">
        <f t="shared" si="54"/>
        <v>0</v>
      </c>
      <c r="N430" s="60">
        <f t="shared" ca="1" si="55"/>
        <v>10.91</v>
      </c>
      <c r="O430" s="60">
        <f t="shared" ca="1" si="56"/>
        <v>6.75</v>
      </c>
      <c r="P430" s="60">
        <f t="shared" ca="1" si="57"/>
        <v>6.75</v>
      </c>
      <c r="Q430" s="54">
        <f>Данные!Q430</f>
        <v>0</v>
      </c>
      <c r="R430" s="54">
        <f>Данные!R430</f>
        <v>0</v>
      </c>
      <c r="S430" s="54">
        <f>Данные!S430</f>
        <v>0</v>
      </c>
      <c r="T430" s="54">
        <f>Данные!T430</f>
        <v>0</v>
      </c>
      <c r="U430" s="54">
        <f>Данные!U430</f>
        <v>0</v>
      </c>
      <c r="V430" s="54">
        <f>Данные!V430</f>
        <v>0</v>
      </c>
      <c r="W430" s="54">
        <f ca="1">Данные!W430</f>
        <v>27</v>
      </c>
      <c r="X430" s="54" t="str">
        <f ca="1">Данные!X430</f>
        <v>1</v>
      </c>
      <c r="Y430" s="54" t="str">
        <f ca="1">Данные!Y430</f>
        <v>2</v>
      </c>
      <c r="Z430" s="54">
        <f>Данные!Z430</f>
        <v>0</v>
      </c>
      <c r="AA430" s="54" t="str">
        <f>Данные!AA430</f>
        <v>ГПХ</v>
      </c>
      <c r="AB430" s="101">
        <f t="shared" si="58"/>
        <v>900</v>
      </c>
      <c r="AC430" s="101" t="str">
        <f t="shared" si="59"/>
        <v>ИВТ (бак)</v>
      </c>
      <c r="AD430" s="101" t="str">
        <f t="shared" si="60"/>
        <v/>
      </c>
      <c r="AE430" s="102">
        <f t="shared" ca="1" si="61"/>
        <v>24.41</v>
      </c>
      <c r="AF430" s="103">
        <f t="shared" ca="1" si="62"/>
        <v>2.7122222222222221E-2</v>
      </c>
      <c r="AG430" s="101"/>
      <c r="AH430" s="101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Q430" s="72">
        <v>0</v>
      </c>
      <c r="BR430" s="72">
        <v>0</v>
      </c>
      <c r="BS430" s="72">
        <v>0</v>
      </c>
      <c r="BT430" s="72">
        <v>0</v>
      </c>
      <c r="BU430" s="72">
        <v>0</v>
      </c>
      <c r="BV430" s="72">
        <v>0</v>
      </c>
      <c r="BW430" s="72">
        <v>0</v>
      </c>
      <c r="BX430" s="72">
        <v>0</v>
      </c>
      <c r="BY430" s="72">
        <v>0</v>
      </c>
      <c r="BZ430" s="72">
        <v>0</v>
      </c>
      <c r="CA430" s="72">
        <v>0</v>
      </c>
      <c r="CB430" s="72">
        <v>0</v>
      </c>
      <c r="CC430" s="72">
        <v>0</v>
      </c>
      <c r="CD430" s="72">
        <v>0</v>
      </c>
      <c r="CE430" s="72">
        <v>0</v>
      </c>
      <c r="CF430" s="72">
        <v>0</v>
      </c>
      <c r="CG430" s="72">
        <v>0</v>
      </c>
      <c r="CH430" s="72">
        <v>0</v>
      </c>
      <c r="CI430" s="72">
        <v>0</v>
      </c>
      <c r="CJ430" s="72">
        <v>0</v>
      </c>
      <c r="CK430" s="72">
        <v>0</v>
      </c>
      <c r="CL430" s="72">
        <v>0</v>
      </c>
      <c r="CM430" s="72">
        <v>0</v>
      </c>
      <c r="CN430" s="72">
        <v>0</v>
      </c>
      <c r="CO430" s="72">
        <v>0</v>
      </c>
      <c r="CP430" s="72">
        <v>0</v>
      </c>
      <c r="CQ430" s="72">
        <v>0</v>
      </c>
      <c r="CR430" s="72">
        <v>0</v>
      </c>
      <c r="CS430" s="72">
        <v>0</v>
      </c>
      <c r="CT430" s="72">
        <v>0</v>
      </c>
      <c r="CU430" s="72">
        <v>0</v>
      </c>
      <c r="CV430" s="72">
        <v>0</v>
      </c>
      <c r="CW430" s="72">
        <v>0</v>
      </c>
      <c r="CX430" s="72">
        <v>0</v>
      </c>
      <c r="CY430" s="72">
        <v>0</v>
      </c>
      <c r="CZ430" s="72">
        <v>0</v>
      </c>
      <c r="DA430" s="72">
        <v>0</v>
      </c>
      <c r="DB430" s="72">
        <v>0</v>
      </c>
      <c r="DC430" s="72">
        <v>0</v>
      </c>
      <c r="DD430" s="72">
        <v>0</v>
      </c>
      <c r="DE430" s="72">
        <v>0</v>
      </c>
      <c r="DF430" s="72">
        <v>0</v>
      </c>
      <c r="DG430" s="72">
        <v>0</v>
      </c>
      <c r="DH430" s="72">
        <v>0</v>
      </c>
      <c r="DI430" s="72">
        <v>0</v>
      </c>
      <c r="DJ430" s="72">
        <v>0</v>
      </c>
      <c r="DK430" s="72">
        <v>0</v>
      </c>
      <c r="DL430" s="72">
        <v>0</v>
      </c>
      <c r="DM430" s="72">
        <v>0</v>
      </c>
      <c r="DN430" s="72">
        <v>0</v>
      </c>
      <c r="DO430" s="72">
        <v>0</v>
      </c>
      <c r="DP430" s="72">
        <v>0</v>
      </c>
      <c r="DQ430" s="72">
        <v>0</v>
      </c>
      <c r="DR430" s="72">
        <v>0</v>
      </c>
      <c r="DS430" s="72">
        <v>0</v>
      </c>
      <c r="DT430" s="72">
        <v>0</v>
      </c>
      <c r="DU430" s="72">
        <v>0</v>
      </c>
      <c r="DV430" s="72">
        <v>0</v>
      </c>
      <c r="DW430" s="72">
        <v>0</v>
      </c>
      <c r="DX430" s="72">
        <v>0</v>
      </c>
      <c r="DY430" s="72">
        <v>0</v>
      </c>
      <c r="DZ430" s="72">
        <v>0</v>
      </c>
      <c r="EA430" s="72">
        <v>0</v>
      </c>
      <c r="EB430" s="72">
        <v>0</v>
      </c>
      <c r="EC430" s="72">
        <v>0</v>
      </c>
      <c r="ED430" s="72">
        <v>0</v>
      </c>
      <c r="EE430" s="72">
        <v>0</v>
      </c>
      <c r="EF430" s="72">
        <v>0</v>
      </c>
      <c r="EG430" s="72">
        <v>0</v>
      </c>
      <c r="EH430" s="72">
        <v>0</v>
      </c>
      <c r="EI430" s="72">
        <v>0</v>
      </c>
      <c r="EJ430" s="72">
        <v>0</v>
      </c>
      <c r="EK430" s="72">
        <v>0</v>
      </c>
      <c r="EL430" s="72">
        <v>0</v>
      </c>
    </row>
    <row r="431" spans="1:142" x14ac:dyDescent="0.35">
      <c r="A431" s="59">
        <f>Данные!A431</f>
        <v>5791</v>
      </c>
      <c r="B431" s="59">
        <f>Данные!B431</f>
        <v>2020</v>
      </c>
      <c r="C431" s="59" t="str">
        <f>Данные!C431</f>
        <v>компьютерных технологий и электронного обучения</v>
      </c>
      <c r="D431" s="59" t="str">
        <f>Данные!D431</f>
        <v>Копыльцов Александр Васильевич</v>
      </c>
      <c r="E431" s="59" t="str">
        <f>Данные!E431</f>
        <v>доктор технических наук</v>
      </c>
      <c r="F431" s="59" t="str">
        <f>Данные!F431</f>
        <v>внешний</v>
      </c>
      <c r="G431" s="59">
        <f>Данные!G431</f>
        <v>1</v>
      </c>
      <c r="H431" s="59" t="str">
        <f>Данные!H431</f>
        <v>4 курс 2017 год/пост</v>
      </c>
      <c r="I431" s="59" t="str">
        <f>Данные!I431</f>
        <v>Руководство ВКР</v>
      </c>
      <c r="J431" s="59">
        <f>Данные!J431</f>
        <v>0</v>
      </c>
      <c r="K431" s="59">
        <f>Данные!K431</f>
        <v>0</v>
      </c>
      <c r="L431" s="59">
        <f>Данные!L431</f>
        <v>0</v>
      </c>
      <c r="M431" s="60">
        <f t="shared" si="54"/>
        <v>0</v>
      </c>
      <c r="N431" s="60">
        <f t="shared" ca="1" si="55"/>
        <v>10.91</v>
      </c>
      <c r="O431" s="60">
        <f t="shared" ca="1" si="56"/>
        <v>6.75</v>
      </c>
      <c r="P431" s="60">
        <f t="shared" ca="1" si="57"/>
        <v>6.75</v>
      </c>
      <c r="Q431" s="54">
        <f>Данные!Q431</f>
        <v>0</v>
      </c>
      <c r="R431" s="54">
        <f>Данные!R431</f>
        <v>0</v>
      </c>
      <c r="S431" s="54">
        <f>Данные!S431</f>
        <v>0</v>
      </c>
      <c r="T431" s="54">
        <f>Данные!T431</f>
        <v>0</v>
      </c>
      <c r="U431" s="54">
        <f>Данные!U431</f>
        <v>0</v>
      </c>
      <c r="V431" s="54">
        <f>Данные!V431</f>
        <v>0</v>
      </c>
      <c r="W431" s="54">
        <f ca="1">Данные!W431</f>
        <v>27</v>
      </c>
      <c r="X431" s="54" t="str">
        <f ca="1">Данные!X431</f>
        <v>1</v>
      </c>
      <c r="Y431" s="54" t="str">
        <f ca="1">Данные!Y431</f>
        <v>2</v>
      </c>
      <c r="Z431" s="54">
        <f>Данные!Z431</f>
        <v>0</v>
      </c>
      <c r="AA431" s="54">
        <f>Данные!AA431</f>
        <v>0</v>
      </c>
      <c r="AB431" s="101">
        <f t="shared" si="58"/>
        <v>900</v>
      </c>
      <c r="AC431" s="101" t="str">
        <f t="shared" si="59"/>
        <v>ИВТ (бак)</v>
      </c>
      <c r="AD431" s="101" t="str">
        <f t="shared" si="60"/>
        <v/>
      </c>
      <c r="AE431" s="102">
        <f t="shared" ca="1" si="61"/>
        <v>24.41</v>
      </c>
      <c r="AF431" s="103">
        <f t="shared" ca="1" si="62"/>
        <v>2.7122222222222221E-2</v>
      </c>
      <c r="AG431" s="101"/>
      <c r="AH431" s="10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Q431" s="72">
        <v>0</v>
      </c>
      <c r="BR431" s="72">
        <v>0</v>
      </c>
      <c r="BS431" s="72">
        <v>0</v>
      </c>
      <c r="BT431" s="72">
        <v>0</v>
      </c>
      <c r="BU431" s="72">
        <v>0</v>
      </c>
      <c r="BV431" s="72">
        <v>0</v>
      </c>
      <c r="BW431" s="72">
        <v>0</v>
      </c>
      <c r="BX431" s="72">
        <v>0</v>
      </c>
      <c r="BY431" s="72">
        <v>0</v>
      </c>
      <c r="BZ431" s="72">
        <v>0</v>
      </c>
      <c r="CA431" s="72">
        <v>0</v>
      </c>
      <c r="CB431" s="72">
        <v>0</v>
      </c>
      <c r="CC431" s="72">
        <v>0</v>
      </c>
      <c r="CD431" s="72">
        <v>0</v>
      </c>
      <c r="CE431" s="72">
        <v>0</v>
      </c>
      <c r="CF431" s="72">
        <v>0</v>
      </c>
      <c r="CG431" s="72">
        <v>0</v>
      </c>
      <c r="CH431" s="72">
        <v>0</v>
      </c>
      <c r="CI431" s="72">
        <v>0</v>
      </c>
      <c r="CJ431" s="72">
        <v>0</v>
      </c>
      <c r="CK431" s="72">
        <v>0</v>
      </c>
      <c r="CL431" s="72">
        <v>0</v>
      </c>
      <c r="CM431" s="72">
        <v>0</v>
      </c>
      <c r="CN431" s="72">
        <v>0</v>
      </c>
      <c r="CO431" s="72">
        <v>0</v>
      </c>
      <c r="CP431" s="72">
        <v>0</v>
      </c>
      <c r="CQ431" s="72">
        <v>0</v>
      </c>
      <c r="CR431" s="72">
        <v>0</v>
      </c>
      <c r="CS431" s="72">
        <v>0</v>
      </c>
      <c r="CT431" s="72">
        <v>0</v>
      </c>
      <c r="CU431" s="72">
        <v>0</v>
      </c>
      <c r="CV431" s="72">
        <v>0</v>
      </c>
      <c r="CW431" s="72">
        <v>0</v>
      </c>
      <c r="CX431" s="72">
        <v>0</v>
      </c>
      <c r="CY431" s="72">
        <v>0</v>
      </c>
      <c r="CZ431" s="72">
        <v>0</v>
      </c>
      <c r="DA431" s="72">
        <v>0</v>
      </c>
      <c r="DB431" s="72">
        <v>0</v>
      </c>
      <c r="DC431" s="72">
        <v>0</v>
      </c>
      <c r="DD431" s="72">
        <v>0</v>
      </c>
      <c r="DE431" s="72">
        <v>0</v>
      </c>
      <c r="DF431" s="72">
        <v>0</v>
      </c>
      <c r="DG431" s="72">
        <v>0</v>
      </c>
      <c r="DH431" s="72">
        <v>0</v>
      </c>
      <c r="DI431" s="72">
        <v>0</v>
      </c>
      <c r="DJ431" s="72">
        <v>0</v>
      </c>
      <c r="DK431" s="72">
        <v>0</v>
      </c>
      <c r="DL431" s="72">
        <v>0</v>
      </c>
      <c r="DM431" s="72">
        <v>0</v>
      </c>
      <c r="DN431" s="72">
        <v>0</v>
      </c>
      <c r="DO431" s="72">
        <v>0</v>
      </c>
      <c r="DP431" s="72">
        <v>0</v>
      </c>
      <c r="DQ431" s="72">
        <v>0</v>
      </c>
      <c r="DR431" s="72">
        <v>0</v>
      </c>
      <c r="DS431" s="72">
        <v>0</v>
      </c>
      <c r="DT431" s="72">
        <v>0</v>
      </c>
      <c r="DU431" s="72">
        <v>0</v>
      </c>
      <c r="DV431" s="72">
        <v>0</v>
      </c>
      <c r="DW431" s="72">
        <v>0</v>
      </c>
      <c r="DX431" s="72">
        <v>0</v>
      </c>
      <c r="DY431" s="72">
        <v>0</v>
      </c>
      <c r="DZ431" s="72">
        <v>0</v>
      </c>
      <c r="EA431" s="72">
        <v>0</v>
      </c>
      <c r="EB431" s="72">
        <v>0</v>
      </c>
      <c r="EC431" s="72">
        <v>0</v>
      </c>
      <c r="ED431" s="72">
        <v>0</v>
      </c>
      <c r="EE431" s="72">
        <v>0</v>
      </c>
      <c r="EF431" s="72">
        <v>0</v>
      </c>
      <c r="EG431" s="72">
        <v>0</v>
      </c>
      <c r="EH431" s="72">
        <v>0</v>
      </c>
      <c r="EI431" s="72">
        <v>0</v>
      </c>
      <c r="EJ431" s="72">
        <v>0</v>
      </c>
      <c r="EK431" s="72">
        <v>0</v>
      </c>
      <c r="EL431" s="72">
        <v>0</v>
      </c>
    </row>
    <row r="432" spans="1:142" x14ac:dyDescent="0.35">
      <c r="A432" s="59">
        <f>Данные!A432</f>
        <v>5791</v>
      </c>
      <c r="B432" s="59">
        <f>Данные!B432</f>
        <v>2020</v>
      </c>
      <c r="C432" s="59" t="str">
        <f>Данные!C432</f>
        <v>компьютерных технологий и электронного обучения</v>
      </c>
      <c r="D432" s="59" t="str">
        <f>Данные!D432</f>
        <v>Карпова Наталья Александровна</v>
      </c>
      <c r="E432" s="59" t="str">
        <f>Данные!E432</f>
        <v>кандидат технических наук</v>
      </c>
      <c r="F432" s="59" t="str">
        <f>Данные!F432</f>
        <v>доцент</v>
      </c>
      <c r="G432" s="59">
        <f>Данные!G432</f>
        <v>0.75</v>
      </c>
      <c r="H432" s="59" t="str">
        <f>Данные!H432</f>
        <v>4 курс 2017 год/пост</v>
      </c>
      <c r="I432" s="59" t="str">
        <f>Данные!I432</f>
        <v>Руководство ВКР</v>
      </c>
      <c r="J432" s="59">
        <f>Данные!J432</f>
        <v>0</v>
      </c>
      <c r="K432" s="59">
        <f>Данные!K432</f>
        <v>0</v>
      </c>
      <c r="L432" s="59">
        <f>Данные!L432</f>
        <v>0</v>
      </c>
      <c r="M432" s="60">
        <f t="shared" si="54"/>
        <v>0</v>
      </c>
      <c r="N432" s="60">
        <f t="shared" ca="1" si="55"/>
        <v>10.91</v>
      </c>
      <c r="O432" s="60">
        <f t="shared" ca="1" si="56"/>
        <v>6.75</v>
      </c>
      <c r="P432" s="60">
        <f t="shared" ca="1" si="57"/>
        <v>6.75</v>
      </c>
      <c r="Q432" s="54">
        <f>Данные!Q432</f>
        <v>0</v>
      </c>
      <c r="R432" s="54">
        <f>Данные!R432</f>
        <v>0</v>
      </c>
      <c r="S432" s="54">
        <f>Данные!S432</f>
        <v>0</v>
      </c>
      <c r="T432" s="54">
        <f>Данные!T432</f>
        <v>0</v>
      </c>
      <c r="U432" s="54">
        <f>Данные!U432</f>
        <v>0</v>
      </c>
      <c r="V432" s="54">
        <f>Данные!V432</f>
        <v>0</v>
      </c>
      <c r="W432" s="54">
        <f ca="1">Данные!W432</f>
        <v>27</v>
      </c>
      <c r="X432" s="54" t="str">
        <f ca="1">Данные!X432</f>
        <v>1</v>
      </c>
      <c r="Y432" s="54" t="str">
        <f ca="1">Данные!Y432</f>
        <v>2</v>
      </c>
      <c r="Z432" s="54">
        <f>Данные!Z432</f>
        <v>0</v>
      </c>
      <c r="AA432" s="54" t="str">
        <f>Данные!AA432</f>
        <v>доп</v>
      </c>
      <c r="AB432" s="101">
        <f t="shared" si="58"/>
        <v>800</v>
      </c>
      <c r="AC432" s="101" t="str">
        <f t="shared" si="59"/>
        <v>ИВТ (бак)</v>
      </c>
      <c r="AD432" s="101" t="str">
        <f t="shared" si="60"/>
        <v/>
      </c>
      <c r="AE432" s="102">
        <f t="shared" ca="1" si="61"/>
        <v>24.41</v>
      </c>
      <c r="AF432" s="103">
        <f t="shared" ca="1" si="62"/>
        <v>3.0512500000000001E-2</v>
      </c>
      <c r="AG432" s="101"/>
      <c r="AH432" s="101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Q432" s="72">
        <v>0</v>
      </c>
      <c r="BR432" s="72">
        <v>0</v>
      </c>
      <c r="BS432" s="72">
        <v>0</v>
      </c>
      <c r="BT432" s="72">
        <v>0</v>
      </c>
      <c r="BU432" s="72">
        <v>0</v>
      </c>
      <c r="BV432" s="72">
        <v>0</v>
      </c>
      <c r="BW432" s="72">
        <v>0</v>
      </c>
      <c r="BX432" s="72">
        <v>0</v>
      </c>
      <c r="BY432" s="72">
        <v>0</v>
      </c>
      <c r="BZ432" s="72">
        <v>0</v>
      </c>
      <c r="CA432" s="72">
        <v>0</v>
      </c>
      <c r="CB432" s="72">
        <v>0</v>
      </c>
      <c r="CC432" s="72">
        <v>0</v>
      </c>
      <c r="CD432" s="72">
        <v>0</v>
      </c>
      <c r="CE432" s="72">
        <v>0</v>
      </c>
      <c r="CF432" s="72">
        <v>0</v>
      </c>
      <c r="CG432" s="72">
        <v>0</v>
      </c>
      <c r="CH432" s="72">
        <v>0</v>
      </c>
      <c r="CI432" s="72">
        <v>0</v>
      </c>
      <c r="CJ432" s="72">
        <v>0</v>
      </c>
      <c r="CK432" s="72">
        <v>0</v>
      </c>
      <c r="CL432" s="72">
        <v>0</v>
      </c>
      <c r="CM432" s="72">
        <v>0</v>
      </c>
      <c r="CN432" s="72">
        <v>0</v>
      </c>
      <c r="CO432" s="72">
        <v>0</v>
      </c>
      <c r="CP432" s="72">
        <v>0</v>
      </c>
      <c r="CQ432" s="72">
        <v>0</v>
      </c>
      <c r="CR432" s="72">
        <v>0</v>
      </c>
      <c r="CS432" s="72">
        <v>0</v>
      </c>
      <c r="CT432" s="72">
        <v>0</v>
      </c>
      <c r="CU432" s="72">
        <v>0</v>
      </c>
      <c r="CV432" s="72">
        <v>0</v>
      </c>
      <c r="CW432" s="72">
        <v>0</v>
      </c>
      <c r="CX432" s="72">
        <v>0</v>
      </c>
      <c r="CY432" s="72">
        <v>0</v>
      </c>
      <c r="CZ432" s="72">
        <v>0</v>
      </c>
      <c r="DA432" s="72">
        <v>0</v>
      </c>
      <c r="DB432" s="72">
        <v>0</v>
      </c>
      <c r="DC432" s="72">
        <v>0</v>
      </c>
      <c r="DD432" s="72">
        <v>0</v>
      </c>
      <c r="DE432" s="72">
        <v>0</v>
      </c>
      <c r="DF432" s="72">
        <v>0</v>
      </c>
      <c r="DG432" s="72">
        <v>0</v>
      </c>
      <c r="DH432" s="72">
        <v>0</v>
      </c>
      <c r="DI432" s="72">
        <v>0</v>
      </c>
      <c r="DJ432" s="72">
        <v>0</v>
      </c>
      <c r="DK432" s="72">
        <v>0</v>
      </c>
      <c r="DL432" s="72">
        <v>0</v>
      </c>
      <c r="DM432" s="72">
        <v>0</v>
      </c>
      <c r="DN432" s="72">
        <v>0</v>
      </c>
      <c r="DO432" s="72">
        <v>0</v>
      </c>
      <c r="DP432" s="72">
        <v>0</v>
      </c>
      <c r="DQ432" s="72">
        <v>0</v>
      </c>
      <c r="DR432" s="72">
        <v>0</v>
      </c>
      <c r="DS432" s="72">
        <v>0</v>
      </c>
      <c r="DT432" s="72">
        <v>0</v>
      </c>
      <c r="DU432" s="72">
        <v>0</v>
      </c>
      <c r="DV432" s="72">
        <v>0</v>
      </c>
      <c r="DW432" s="72">
        <v>0</v>
      </c>
      <c r="DX432" s="72">
        <v>0</v>
      </c>
      <c r="DY432" s="72">
        <v>0</v>
      </c>
      <c r="DZ432" s="72">
        <v>0</v>
      </c>
      <c r="EA432" s="72">
        <v>0</v>
      </c>
      <c r="EB432" s="72">
        <v>0</v>
      </c>
      <c r="EC432" s="72">
        <v>0</v>
      </c>
      <c r="ED432" s="72">
        <v>0</v>
      </c>
      <c r="EE432" s="72">
        <v>0</v>
      </c>
      <c r="EF432" s="72">
        <v>0</v>
      </c>
      <c r="EG432" s="72">
        <v>0</v>
      </c>
      <c r="EH432" s="72">
        <v>0</v>
      </c>
      <c r="EI432" s="72">
        <v>0</v>
      </c>
      <c r="EJ432" s="72">
        <v>0</v>
      </c>
      <c r="EK432" s="72">
        <v>0</v>
      </c>
      <c r="EL432" s="72">
        <v>0</v>
      </c>
    </row>
    <row r="433" spans="1:142" x14ac:dyDescent="0.35">
      <c r="A433" s="59">
        <f>Данные!A433</f>
        <v>5791</v>
      </c>
      <c r="B433" s="59">
        <f>Данные!B433</f>
        <v>2020</v>
      </c>
      <c r="C433" s="59" t="str">
        <f>Данные!C433</f>
        <v>компьютерных технологий и электронного обучения</v>
      </c>
      <c r="D433" s="59" t="str">
        <f>Данные!D433</f>
        <v>Абрамян Геннадий Владимирович</v>
      </c>
      <c r="E433" s="59" t="str">
        <f>Данные!E433</f>
        <v>доктор педагогических наук</v>
      </c>
      <c r="F433" s="59" t="str">
        <f>Данные!F433</f>
        <v>профессор</v>
      </c>
      <c r="G433" s="59">
        <f>Данные!G433</f>
        <v>1</v>
      </c>
      <c r="H433" s="59" t="str">
        <f>Данные!H433</f>
        <v>4 курс 2017 год/пост</v>
      </c>
      <c r="I433" s="59" t="str">
        <f>Данные!I433</f>
        <v>Руководство ВКР</v>
      </c>
      <c r="J433" s="59">
        <f>Данные!J433</f>
        <v>0</v>
      </c>
      <c r="K433" s="59">
        <f>Данные!K433</f>
        <v>0</v>
      </c>
      <c r="L433" s="59">
        <f>Данные!L433</f>
        <v>0</v>
      </c>
      <c r="M433" s="60">
        <f t="shared" si="54"/>
        <v>0</v>
      </c>
      <c r="N433" s="60">
        <f t="shared" ca="1" si="55"/>
        <v>10.91</v>
      </c>
      <c r="O433" s="60">
        <f t="shared" ca="1" si="56"/>
        <v>6.75</v>
      </c>
      <c r="P433" s="60">
        <f t="shared" ca="1" si="57"/>
        <v>6.75</v>
      </c>
      <c r="Q433" s="54">
        <f>Данные!Q433</f>
        <v>0</v>
      </c>
      <c r="R433" s="54">
        <f>Данные!R433</f>
        <v>0</v>
      </c>
      <c r="S433" s="54">
        <f>Данные!S433</f>
        <v>0</v>
      </c>
      <c r="T433" s="54">
        <f>Данные!T433</f>
        <v>0</v>
      </c>
      <c r="U433" s="54">
        <f>Данные!U433</f>
        <v>0</v>
      </c>
      <c r="V433" s="54">
        <f>Данные!V433</f>
        <v>0</v>
      </c>
      <c r="W433" s="54">
        <f ca="1">Данные!W433</f>
        <v>27</v>
      </c>
      <c r="X433" s="54" t="str">
        <f ca="1">Данные!X433</f>
        <v>1</v>
      </c>
      <c r="Y433" s="54" t="str">
        <f ca="1">Данные!Y433</f>
        <v>2</v>
      </c>
      <c r="Z433" s="54">
        <f>Данные!Z433</f>
        <v>0</v>
      </c>
      <c r="AA433" s="54" t="str">
        <f>Данные!AA433</f>
        <v>осн</v>
      </c>
      <c r="AB433" s="101">
        <f t="shared" si="58"/>
        <v>750</v>
      </c>
      <c r="AC433" s="101" t="str">
        <f t="shared" si="59"/>
        <v>ИВТ (бак)</v>
      </c>
      <c r="AD433" s="101" t="str">
        <f t="shared" si="60"/>
        <v/>
      </c>
      <c r="AE433" s="102">
        <f t="shared" ca="1" si="61"/>
        <v>24.41</v>
      </c>
      <c r="AF433" s="103">
        <f t="shared" ca="1" si="62"/>
        <v>3.2546666666666668E-2</v>
      </c>
      <c r="AG433" s="101"/>
      <c r="AH433" s="101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Q433" s="72">
        <v>0</v>
      </c>
      <c r="BR433" s="72">
        <v>0</v>
      </c>
      <c r="BS433" s="72">
        <v>0</v>
      </c>
      <c r="BT433" s="72">
        <v>0</v>
      </c>
      <c r="BU433" s="72">
        <v>0</v>
      </c>
      <c r="BV433" s="72">
        <v>0</v>
      </c>
      <c r="BW433" s="72">
        <v>0</v>
      </c>
      <c r="BX433" s="72">
        <v>0</v>
      </c>
      <c r="BY433" s="72">
        <v>0</v>
      </c>
      <c r="BZ433" s="72">
        <v>0</v>
      </c>
      <c r="CA433" s="72">
        <v>0</v>
      </c>
      <c r="CB433" s="72">
        <v>0</v>
      </c>
      <c r="CC433" s="72">
        <v>0</v>
      </c>
      <c r="CD433" s="72">
        <v>0</v>
      </c>
      <c r="CE433" s="72">
        <v>0</v>
      </c>
      <c r="CF433" s="72">
        <v>0</v>
      </c>
      <c r="CG433" s="72">
        <v>0</v>
      </c>
      <c r="CH433" s="72">
        <v>0</v>
      </c>
      <c r="CI433" s="72">
        <v>0</v>
      </c>
      <c r="CJ433" s="72">
        <v>0</v>
      </c>
      <c r="CK433" s="72">
        <v>0</v>
      </c>
      <c r="CL433" s="72">
        <v>0</v>
      </c>
      <c r="CM433" s="72">
        <v>0</v>
      </c>
      <c r="CN433" s="72">
        <v>0</v>
      </c>
      <c r="CO433" s="72">
        <v>0</v>
      </c>
      <c r="CP433" s="72">
        <v>0</v>
      </c>
      <c r="CQ433" s="72">
        <v>0</v>
      </c>
      <c r="CR433" s="72">
        <v>0</v>
      </c>
      <c r="CS433" s="72">
        <v>0</v>
      </c>
      <c r="CT433" s="72">
        <v>0</v>
      </c>
      <c r="CU433" s="72">
        <v>0</v>
      </c>
      <c r="CV433" s="72">
        <v>0</v>
      </c>
      <c r="CW433" s="72">
        <v>0</v>
      </c>
      <c r="CX433" s="72">
        <v>0</v>
      </c>
      <c r="CY433" s="72">
        <v>0</v>
      </c>
      <c r="CZ433" s="72">
        <v>0</v>
      </c>
      <c r="DA433" s="72">
        <v>0</v>
      </c>
      <c r="DB433" s="72">
        <v>0</v>
      </c>
      <c r="DC433" s="72">
        <v>0</v>
      </c>
      <c r="DD433" s="72">
        <v>0</v>
      </c>
      <c r="DE433" s="72">
        <v>0</v>
      </c>
      <c r="DF433" s="72">
        <v>0</v>
      </c>
      <c r="DG433" s="72">
        <v>0</v>
      </c>
      <c r="DH433" s="72">
        <v>0</v>
      </c>
      <c r="DI433" s="72">
        <v>0</v>
      </c>
      <c r="DJ433" s="72">
        <v>0</v>
      </c>
      <c r="DK433" s="72">
        <v>0</v>
      </c>
      <c r="DL433" s="72">
        <v>0</v>
      </c>
      <c r="DM433" s="72">
        <v>0</v>
      </c>
      <c r="DN433" s="72">
        <v>0</v>
      </c>
      <c r="DO433" s="72">
        <v>0</v>
      </c>
      <c r="DP433" s="72">
        <v>0</v>
      </c>
      <c r="DQ433" s="72">
        <v>0</v>
      </c>
      <c r="DR433" s="72">
        <v>0</v>
      </c>
      <c r="DS433" s="72">
        <v>0</v>
      </c>
      <c r="DT433" s="72">
        <v>0</v>
      </c>
      <c r="DU433" s="72">
        <v>0</v>
      </c>
      <c r="DV433" s="72">
        <v>0</v>
      </c>
      <c r="DW433" s="72">
        <v>0</v>
      </c>
      <c r="DX433" s="72">
        <v>0</v>
      </c>
      <c r="DY433" s="72">
        <v>0</v>
      </c>
      <c r="DZ433" s="72">
        <v>0</v>
      </c>
      <c r="EA433" s="72">
        <v>0</v>
      </c>
      <c r="EB433" s="72">
        <v>0</v>
      </c>
      <c r="EC433" s="72">
        <v>0</v>
      </c>
      <c r="ED433" s="72">
        <v>0</v>
      </c>
      <c r="EE433" s="72">
        <v>0</v>
      </c>
      <c r="EF433" s="72">
        <v>0</v>
      </c>
      <c r="EG433" s="72">
        <v>0</v>
      </c>
      <c r="EH433" s="72">
        <v>0</v>
      </c>
      <c r="EI433" s="72">
        <v>0</v>
      </c>
      <c r="EJ433" s="72">
        <v>0</v>
      </c>
      <c r="EK433" s="72">
        <v>0</v>
      </c>
      <c r="EL433" s="72">
        <v>0</v>
      </c>
    </row>
    <row r="434" spans="1:142" x14ac:dyDescent="0.35">
      <c r="A434" s="59">
        <f>Данные!A434</f>
        <v>6368</v>
      </c>
      <c r="B434" s="59">
        <f>Данные!B434</f>
        <v>2020</v>
      </c>
      <c r="C434" s="59" t="str">
        <f>Данные!C434</f>
        <v>компьютерных технологий и электронного обучения</v>
      </c>
      <c r="D434" s="59" t="str">
        <f>Данные!D434</f>
        <v>Серегин Александр Николаевич</v>
      </c>
      <c r="E434" s="59" t="str">
        <f>Данные!E434</f>
        <v>кандидат технических наук</v>
      </c>
      <c r="F434" s="59" t="str">
        <f>Данные!F434</f>
        <v>внешний</v>
      </c>
      <c r="G434" s="59">
        <f>Данные!G434</f>
        <v>1</v>
      </c>
      <c r="H434" s="59" t="str">
        <f>Данные!H434</f>
        <v>4 курс 2018 год/пост</v>
      </c>
      <c r="I434" s="59" t="str">
        <f>Данные!I434</f>
        <v>Руководство ВКР</v>
      </c>
      <c r="J434" s="59">
        <f>Данные!J434</f>
        <v>0</v>
      </c>
      <c r="K434" s="59">
        <f>Данные!K434</f>
        <v>0</v>
      </c>
      <c r="L434" s="59">
        <f>Данные!L434</f>
        <v>0</v>
      </c>
      <c r="M434" s="60">
        <f t="shared" si="54"/>
        <v>0</v>
      </c>
      <c r="N434" s="60">
        <f t="shared" ca="1" si="55"/>
        <v>14.870000000000001</v>
      </c>
      <c r="O434" s="60">
        <f t="shared" ca="1" si="56"/>
        <v>9.75</v>
      </c>
      <c r="P434" s="60">
        <f t="shared" ca="1" si="57"/>
        <v>9.75</v>
      </c>
      <c r="Q434" s="54">
        <f>Данные!Q434</f>
        <v>0</v>
      </c>
      <c r="R434" s="54">
        <f>Данные!R434</f>
        <v>0</v>
      </c>
      <c r="S434" s="54">
        <f>Данные!S434</f>
        <v>0</v>
      </c>
      <c r="T434" s="54">
        <f>Данные!T434</f>
        <v>0</v>
      </c>
      <c r="U434" s="54">
        <f>Данные!U434</f>
        <v>0</v>
      </c>
      <c r="V434" s="54">
        <f>Данные!V434</f>
        <v>200</v>
      </c>
      <c r="W434" s="54">
        <f ca="1">Данные!W434</f>
        <v>39</v>
      </c>
      <c r="X434" s="54" t="str">
        <f ca="1">Данные!X434</f>
        <v>2</v>
      </c>
      <c r="Y434" s="54" t="str">
        <f ca="1">Данные!Y434</f>
        <v>3</v>
      </c>
      <c r="Z434" s="54">
        <f>Данные!Z434</f>
        <v>0</v>
      </c>
      <c r="AA434" s="54">
        <f>Данные!AA434</f>
        <v>0</v>
      </c>
      <c r="AB434" s="101">
        <f t="shared" si="58"/>
        <v>900</v>
      </c>
      <c r="AC434" s="101" t="str">
        <f t="shared" si="59"/>
        <v>ИВТ (бак)</v>
      </c>
      <c r="AD434" s="101" t="str">
        <f t="shared" si="60"/>
        <v/>
      </c>
      <c r="AE434" s="102">
        <f t="shared" ca="1" si="61"/>
        <v>234.37</v>
      </c>
      <c r="AF434" s="103">
        <f t="shared" ca="1" si="62"/>
        <v>0.26041111111111109</v>
      </c>
      <c r="AG434" s="101"/>
      <c r="AH434" s="101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Q434" s="72">
        <v>0</v>
      </c>
      <c r="BR434" s="72">
        <v>0</v>
      </c>
      <c r="BS434" s="72">
        <v>0</v>
      </c>
      <c r="BT434" s="72">
        <v>0</v>
      </c>
      <c r="BU434" s="72">
        <v>0</v>
      </c>
      <c r="BV434" s="72">
        <v>0</v>
      </c>
      <c r="BW434" s="72">
        <v>0</v>
      </c>
      <c r="BX434" s="72">
        <v>0</v>
      </c>
      <c r="BY434" s="72">
        <v>0</v>
      </c>
      <c r="BZ434" s="72">
        <v>0</v>
      </c>
      <c r="CA434" s="72">
        <v>0</v>
      </c>
      <c r="CB434" s="72">
        <v>0</v>
      </c>
      <c r="CC434" s="72">
        <v>0</v>
      </c>
      <c r="CD434" s="72">
        <v>0</v>
      </c>
      <c r="CE434" s="72">
        <v>0</v>
      </c>
      <c r="CF434" s="72">
        <v>0</v>
      </c>
      <c r="CG434" s="72">
        <v>0</v>
      </c>
      <c r="CH434" s="72">
        <v>0</v>
      </c>
      <c r="CI434" s="72">
        <v>0</v>
      </c>
      <c r="CJ434" s="72">
        <v>0</v>
      </c>
      <c r="CK434" s="72">
        <v>0</v>
      </c>
      <c r="CL434" s="72">
        <v>0</v>
      </c>
      <c r="CM434" s="72">
        <v>0</v>
      </c>
      <c r="CN434" s="72">
        <v>0</v>
      </c>
      <c r="CO434" s="72">
        <v>0</v>
      </c>
      <c r="CP434" s="72">
        <v>0</v>
      </c>
      <c r="CQ434" s="72">
        <v>0</v>
      </c>
      <c r="CR434" s="72">
        <v>0</v>
      </c>
      <c r="CS434" s="72">
        <v>0</v>
      </c>
      <c r="CT434" s="72">
        <v>0</v>
      </c>
      <c r="CU434" s="72">
        <v>0</v>
      </c>
      <c r="CV434" s="72">
        <v>0</v>
      </c>
      <c r="CW434" s="72">
        <v>0</v>
      </c>
      <c r="CX434" s="72">
        <v>0</v>
      </c>
      <c r="CY434" s="72">
        <v>0</v>
      </c>
      <c r="CZ434" s="72">
        <v>0</v>
      </c>
      <c r="DA434" s="72">
        <v>0</v>
      </c>
      <c r="DB434" s="72">
        <v>0</v>
      </c>
      <c r="DC434" s="72">
        <v>0</v>
      </c>
      <c r="DD434" s="72">
        <v>0</v>
      </c>
      <c r="DE434" s="72">
        <v>0</v>
      </c>
      <c r="DF434" s="72">
        <v>0</v>
      </c>
      <c r="DG434" s="72">
        <v>0</v>
      </c>
      <c r="DH434" s="72">
        <v>0</v>
      </c>
      <c r="DI434" s="72">
        <v>0</v>
      </c>
      <c r="DJ434" s="72">
        <v>0</v>
      </c>
      <c r="DK434" s="72">
        <v>0</v>
      </c>
      <c r="DL434" s="72">
        <v>0</v>
      </c>
      <c r="DM434" s="72">
        <v>0</v>
      </c>
      <c r="DN434" s="72">
        <v>0</v>
      </c>
      <c r="DO434" s="72">
        <v>0</v>
      </c>
      <c r="DP434" s="72">
        <v>0</v>
      </c>
      <c r="DQ434" s="72">
        <v>0</v>
      </c>
      <c r="DR434" s="72">
        <v>0</v>
      </c>
      <c r="DS434" s="72">
        <v>0</v>
      </c>
      <c r="DT434" s="72">
        <v>0</v>
      </c>
      <c r="DU434" s="72">
        <v>0</v>
      </c>
      <c r="DV434" s="72">
        <v>0</v>
      </c>
      <c r="DW434" s="72">
        <v>0</v>
      </c>
      <c r="DX434" s="72">
        <v>0</v>
      </c>
      <c r="DY434" s="72">
        <v>0</v>
      </c>
      <c r="DZ434" s="72">
        <v>0</v>
      </c>
      <c r="EA434" s="72">
        <v>0</v>
      </c>
      <c r="EB434" s="72">
        <v>0</v>
      </c>
      <c r="EC434" s="72">
        <v>0</v>
      </c>
      <c r="ED434" s="72">
        <v>0</v>
      </c>
      <c r="EE434" s="72">
        <v>0</v>
      </c>
      <c r="EF434" s="72">
        <v>0</v>
      </c>
      <c r="EG434" s="72">
        <v>0</v>
      </c>
      <c r="EH434" s="72">
        <v>0</v>
      </c>
      <c r="EI434" s="72">
        <v>0</v>
      </c>
      <c r="EJ434" s="72">
        <v>0</v>
      </c>
      <c r="EK434" s="72">
        <v>0</v>
      </c>
      <c r="EL434" s="72">
        <v>0</v>
      </c>
    </row>
    <row r="435" spans="1:142" x14ac:dyDescent="0.35">
      <c r="A435" s="59">
        <f>Данные!A435</f>
        <v>5791</v>
      </c>
      <c r="B435" s="59">
        <f>Данные!B435</f>
        <v>2020</v>
      </c>
      <c r="C435" s="59" t="str">
        <f>Данные!C435</f>
        <v>компьютерных технологий и электронного обучения</v>
      </c>
      <c r="D435" s="59" t="str">
        <f>Данные!D435</f>
        <v>Воробьев Владимир Иванович</v>
      </c>
      <c r="E435" s="59" t="str">
        <f>Данные!E435</f>
        <v>доктор технических наук</v>
      </c>
      <c r="F435" s="59" t="str">
        <f>Данные!F435</f>
        <v>внешний</v>
      </c>
      <c r="G435" s="59">
        <f>Данные!G435</f>
        <v>1</v>
      </c>
      <c r="H435" s="59" t="str">
        <f>Данные!H435</f>
        <v>4 курс 2017 год/пост</v>
      </c>
      <c r="I435" s="59" t="str">
        <f>Данные!I435</f>
        <v>Предэкзаменационная консультация перед государственным экзаменом</v>
      </c>
      <c r="J435" s="59">
        <f>Данные!J435</f>
        <v>0</v>
      </c>
      <c r="K435" s="59">
        <f>Данные!K435</f>
        <v>0</v>
      </c>
      <c r="L435" s="59">
        <f>Данные!L435</f>
        <v>0</v>
      </c>
      <c r="M435" s="60">
        <f t="shared" si="54"/>
        <v>0</v>
      </c>
      <c r="N435" s="60">
        <f t="shared" ca="1" si="55"/>
        <v>10.91</v>
      </c>
      <c r="O435" s="60">
        <f t="shared" ca="1" si="56"/>
        <v>6.75</v>
      </c>
      <c r="P435" s="60">
        <f t="shared" ca="1" si="57"/>
        <v>6.75</v>
      </c>
      <c r="Q435" s="54">
        <f>Данные!Q435</f>
        <v>0</v>
      </c>
      <c r="R435" s="54">
        <f>Данные!R435</f>
        <v>0</v>
      </c>
      <c r="S435" s="54">
        <f>Данные!S435</f>
        <v>0</v>
      </c>
      <c r="T435" s="54">
        <f>Данные!T435</f>
        <v>0</v>
      </c>
      <c r="U435" s="54">
        <f>Данные!U435</f>
        <v>0</v>
      </c>
      <c r="V435" s="54">
        <f>Данные!V435</f>
        <v>0</v>
      </c>
      <c r="W435" s="54">
        <f ca="1">Данные!W435</f>
        <v>27</v>
      </c>
      <c r="X435" s="54" t="str">
        <f ca="1">Данные!X435</f>
        <v>1</v>
      </c>
      <c r="Y435" s="54" t="str">
        <f ca="1">Данные!Y435</f>
        <v>2</v>
      </c>
      <c r="Z435" s="54">
        <f>Данные!Z435</f>
        <v>0</v>
      </c>
      <c r="AA435" s="54">
        <f>Данные!AA435</f>
        <v>0</v>
      </c>
      <c r="AB435" s="101">
        <f t="shared" si="58"/>
        <v>900</v>
      </c>
      <c r="AC435" s="101" t="str">
        <f t="shared" si="59"/>
        <v>ИВТ (бак)</v>
      </c>
      <c r="AD435" s="101" t="str">
        <f t="shared" si="60"/>
        <v/>
      </c>
      <c r="AE435" s="102">
        <f t="shared" ca="1" si="61"/>
        <v>24.41</v>
      </c>
      <c r="AF435" s="103">
        <f t="shared" ca="1" si="62"/>
        <v>2.7122222222222221E-2</v>
      </c>
      <c r="AG435" s="101"/>
      <c r="AH435" s="101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Q435" s="72">
        <v>0</v>
      </c>
      <c r="BR435" s="72">
        <v>0</v>
      </c>
      <c r="BS435" s="72">
        <v>0</v>
      </c>
      <c r="BT435" s="72">
        <v>0</v>
      </c>
      <c r="BU435" s="72">
        <v>0</v>
      </c>
      <c r="BV435" s="72">
        <v>0</v>
      </c>
      <c r="BW435" s="72">
        <v>0</v>
      </c>
      <c r="BX435" s="72">
        <v>0</v>
      </c>
      <c r="BY435" s="72">
        <v>0</v>
      </c>
      <c r="BZ435" s="72">
        <v>0</v>
      </c>
      <c r="CA435" s="72">
        <v>0</v>
      </c>
      <c r="CB435" s="72">
        <v>0</v>
      </c>
      <c r="CC435" s="72">
        <v>0</v>
      </c>
      <c r="CD435" s="72">
        <v>0</v>
      </c>
      <c r="CE435" s="72">
        <v>0</v>
      </c>
      <c r="CF435" s="72">
        <v>0</v>
      </c>
      <c r="CG435" s="72">
        <v>0</v>
      </c>
      <c r="CH435" s="72">
        <v>0</v>
      </c>
      <c r="CI435" s="72">
        <v>0</v>
      </c>
      <c r="CJ435" s="72">
        <v>0</v>
      </c>
      <c r="CK435" s="72">
        <v>0</v>
      </c>
      <c r="CL435" s="72">
        <v>0</v>
      </c>
      <c r="CM435" s="72">
        <v>0</v>
      </c>
      <c r="CN435" s="72">
        <v>0</v>
      </c>
      <c r="CO435" s="72">
        <v>0</v>
      </c>
      <c r="CP435" s="72">
        <v>0</v>
      </c>
      <c r="CQ435" s="72">
        <v>0</v>
      </c>
      <c r="CR435" s="72">
        <v>0</v>
      </c>
      <c r="CS435" s="72">
        <v>0</v>
      </c>
      <c r="CT435" s="72">
        <v>0</v>
      </c>
      <c r="CU435" s="72">
        <v>0</v>
      </c>
      <c r="CV435" s="72">
        <v>0</v>
      </c>
      <c r="CW435" s="72">
        <v>0</v>
      </c>
      <c r="CX435" s="72">
        <v>0</v>
      </c>
      <c r="CY435" s="72">
        <v>0</v>
      </c>
      <c r="CZ435" s="72">
        <v>0</v>
      </c>
      <c r="DA435" s="72">
        <v>0</v>
      </c>
      <c r="DB435" s="72">
        <v>0</v>
      </c>
      <c r="DC435" s="72">
        <v>0</v>
      </c>
      <c r="DD435" s="72">
        <v>0</v>
      </c>
      <c r="DE435" s="72">
        <v>0</v>
      </c>
      <c r="DF435" s="72">
        <v>0</v>
      </c>
      <c r="DG435" s="72">
        <v>0</v>
      </c>
      <c r="DH435" s="72">
        <v>0</v>
      </c>
      <c r="DI435" s="72">
        <v>0</v>
      </c>
      <c r="DJ435" s="72">
        <v>0</v>
      </c>
      <c r="DK435" s="72">
        <v>0</v>
      </c>
      <c r="DL435" s="72">
        <v>0</v>
      </c>
      <c r="DM435" s="72">
        <v>0</v>
      </c>
      <c r="DN435" s="72">
        <v>0</v>
      </c>
      <c r="DO435" s="72">
        <v>0</v>
      </c>
      <c r="DP435" s="72">
        <v>0</v>
      </c>
      <c r="DQ435" s="72">
        <v>0</v>
      </c>
      <c r="DR435" s="72">
        <v>0</v>
      </c>
      <c r="DS435" s="72">
        <v>0</v>
      </c>
      <c r="DT435" s="72">
        <v>0</v>
      </c>
      <c r="DU435" s="72">
        <v>0</v>
      </c>
      <c r="DV435" s="72">
        <v>0</v>
      </c>
      <c r="DW435" s="72">
        <v>0</v>
      </c>
      <c r="DX435" s="72">
        <v>0</v>
      </c>
      <c r="DY435" s="72">
        <v>0</v>
      </c>
      <c r="DZ435" s="72">
        <v>0</v>
      </c>
      <c r="EA435" s="72">
        <v>0</v>
      </c>
      <c r="EB435" s="72">
        <v>0</v>
      </c>
      <c r="EC435" s="72">
        <v>0</v>
      </c>
      <c r="ED435" s="72">
        <v>0</v>
      </c>
      <c r="EE435" s="72">
        <v>0</v>
      </c>
      <c r="EF435" s="72">
        <v>0</v>
      </c>
      <c r="EG435" s="72">
        <v>0</v>
      </c>
      <c r="EH435" s="72">
        <v>0</v>
      </c>
      <c r="EI435" s="72">
        <v>0</v>
      </c>
      <c r="EJ435" s="72">
        <v>0</v>
      </c>
      <c r="EK435" s="72">
        <v>0</v>
      </c>
      <c r="EL435" s="72">
        <v>0</v>
      </c>
    </row>
    <row r="436" spans="1:142" x14ac:dyDescent="0.35">
      <c r="A436" s="59">
        <f>Данные!A436</f>
        <v>6368</v>
      </c>
      <c r="B436" s="59">
        <f>Данные!B436</f>
        <v>2020</v>
      </c>
      <c r="C436" s="59" t="str">
        <f>Данные!C436</f>
        <v>компьютерных технологий и электронного обучения</v>
      </c>
      <c r="D436" s="59" t="str">
        <f>Данные!D436</f>
        <v>Авксентьева Елена Юрьевна</v>
      </c>
      <c r="E436" s="59" t="str">
        <f>Данные!E436</f>
        <v>кандидат педагогических наук</v>
      </c>
      <c r="F436" s="59" t="str">
        <f>Данные!F436</f>
        <v>доцент</v>
      </c>
      <c r="G436" s="59">
        <f>Данные!G436</f>
        <v>1</v>
      </c>
      <c r="H436" s="59" t="str">
        <f>Данные!H436</f>
        <v>3 курс 2018 год/пост</v>
      </c>
      <c r="I436" s="59" t="str">
        <f>Данные!I436</f>
        <v>Модуль "Системное и прикладное программное обеспечение". Инженерная и компьютерная графика</v>
      </c>
      <c r="J436" s="59">
        <f>Данные!J436</f>
        <v>0</v>
      </c>
      <c r="K436" s="59">
        <f>Данные!K436</f>
        <v>108</v>
      </c>
      <c r="L436" s="59">
        <f>Данные!L436</f>
        <v>216</v>
      </c>
      <c r="M436" s="60">
        <f t="shared" si="54"/>
        <v>32.4</v>
      </c>
      <c r="N436" s="60">
        <f t="shared" ca="1" si="55"/>
        <v>11.57</v>
      </c>
      <c r="O436" s="60">
        <f t="shared" ca="1" si="56"/>
        <v>7.25</v>
      </c>
      <c r="P436" s="60">
        <f t="shared" ca="1" si="57"/>
        <v>7.25</v>
      </c>
      <c r="Q436" s="54">
        <f>Данные!Q436</f>
        <v>0</v>
      </c>
      <c r="R436" s="54">
        <f>Данные!R436</f>
        <v>0</v>
      </c>
      <c r="S436" s="54">
        <f>Данные!S436</f>
        <v>0</v>
      </c>
      <c r="T436" s="54">
        <f>Данные!T436</f>
        <v>0</v>
      </c>
      <c r="U436" s="54">
        <f>Данные!U436</f>
        <v>0</v>
      </c>
      <c r="V436" s="54">
        <f>Данные!V436</f>
        <v>0</v>
      </c>
      <c r="W436" s="54">
        <f ca="1">Данные!W436</f>
        <v>29</v>
      </c>
      <c r="X436" s="54" t="str">
        <f ca="1">Данные!X436</f>
        <v>1</v>
      </c>
      <c r="Y436" s="54" t="str">
        <f ca="1">Данные!Y436</f>
        <v>2</v>
      </c>
      <c r="Z436" s="54">
        <f>Данные!Z436</f>
        <v>0</v>
      </c>
      <c r="AA436" s="54" t="str">
        <f>Данные!AA436</f>
        <v>доп</v>
      </c>
      <c r="AB436" s="101">
        <f t="shared" si="58"/>
        <v>800</v>
      </c>
      <c r="AC436" s="101" t="str">
        <f t="shared" si="59"/>
        <v>ИВТ (бак)</v>
      </c>
      <c r="AD436" s="101" t="str">
        <f t="shared" si="60"/>
        <v/>
      </c>
      <c r="AE436" s="102">
        <f t="shared" ca="1" si="61"/>
        <v>382.46999999999997</v>
      </c>
      <c r="AF436" s="103">
        <f t="shared" ca="1" si="62"/>
        <v>0.47808749999999994</v>
      </c>
      <c r="AG436" s="101"/>
      <c r="AH436" s="101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Q436" s="72">
        <v>0</v>
      </c>
      <c r="BR436" s="72">
        <v>0</v>
      </c>
      <c r="BS436" s="72">
        <v>0</v>
      </c>
      <c r="BT436" s="72">
        <v>0</v>
      </c>
      <c r="BU436" s="72">
        <v>0</v>
      </c>
      <c r="BV436" s="72">
        <v>0</v>
      </c>
      <c r="BW436" s="72">
        <v>0</v>
      </c>
      <c r="BX436" s="72">
        <v>0</v>
      </c>
      <c r="BY436" s="72">
        <v>0</v>
      </c>
      <c r="BZ436" s="72">
        <v>0</v>
      </c>
      <c r="CA436" s="72">
        <v>0</v>
      </c>
      <c r="CB436" s="72">
        <v>0</v>
      </c>
      <c r="CC436" s="72">
        <v>0</v>
      </c>
      <c r="CD436" s="72">
        <v>0</v>
      </c>
      <c r="CE436" s="72">
        <v>0</v>
      </c>
      <c r="CF436" s="72">
        <v>0</v>
      </c>
      <c r="CG436" s="72">
        <v>0</v>
      </c>
      <c r="CH436" s="72">
        <v>0</v>
      </c>
      <c r="CI436" s="72">
        <v>0</v>
      </c>
      <c r="CJ436" s="72">
        <v>0</v>
      </c>
      <c r="CK436" s="72">
        <v>0</v>
      </c>
      <c r="CL436" s="72">
        <v>0</v>
      </c>
      <c r="CM436" s="72">
        <v>0</v>
      </c>
      <c r="CN436" s="72">
        <v>0</v>
      </c>
      <c r="CO436" s="72">
        <v>0</v>
      </c>
      <c r="CP436" s="72">
        <v>0</v>
      </c>
      <c r="CQ436" s="72">
        <v>0</v>
      </c>
      <c r="CR436" s="72">
        <v>0</v>
      </c>
      <c r="CS436" s="72">
        <v>0</v>
      </c>
      <c r="CT436" s="72">
        <v>0</v>
      </c>
      <c r="CU436" s="72">
        <v>0</v>
      </c>
      <c r="CV436" s="72">
        <v>0</v>
      </c>
      <c r="CW436" s="72">
        <v>0</v>
      </c>
      <c r="CX436" s="72">
        <v>0</v>
      </c>
      <c r="CY436" s="72">
        <v>0</v>
      </c>
      <c r="CZ436" s="72">
        <v>0</v>
      </c>
      <c r="DA436" s="72">
        <v>0</v>
      </c>
      <c r="DB436" s="72">
        <v>0</v>
      </c>
      <c r="DC436" s="72">
        <v>0</v>
      </c>
      <c r="DD436" s="72">
        <v>0</v>
      </c>
      <c r="DE436" s="72">
        <v>0</v>
      </c>
      <c r="DF436" s="72">
        <v>0</v>
      </c>
      <c r="DG436" s="72">
        <v>0</v>
      </c>
      <c r="DH436" s="72">
        <v>0</v>
      </c>
      <c r="DI436" s="72">
        <v>0</v>
      </c>
      <c r="DJ436" s="72">
        <v>0</v>
      </c>
      <c r="DK436" s="72">
        <v>0</v>
      </c>
      <c r="DL436" s="72">
        <v>0</v>
      </c>
      <c r="DM436" s="72">
        <v>0</v>
      </c>
      <c r="DN436" s="72">
        <v>0</v>
      </c>
      <c r="DO436" s="72">
        <v>0</v>
      </c>
      <c r="DP436" s="72">
        <v>0</v>
      </c>
      <c r="DQ436" s="72">
        <v>0</v>
      </c>
      <c r="DR436" s="72">
        <v>0</v>
      </c>
      <c r="DS436" s="72">
        <v>0</v>
      </c>
      <c r="DT436" s="72">
        <v>0</v>
      </c>
      <c r="DU436" s="72">
        <v>0</v>
      </c>
      <c r="DV436" s="72">
        <v>0</v>
      </c>
      <c r="DW436" s="72">
        <v>0</v>
      </c>
      <c r="DX436" s="72">
        <v>0</v>
      </c>
      <c r="DY436" s="72">
        <v>0</v>
      </c>
      <c r="DZ436" s="72">
        <v>0</v>
      </c>
      <c r="EA436" s="72">
        <v>0</v>
      </c>
      <c r="EB436" s="72">
        <v>0</v>
      </c>
      <c r="EC436" s="72">
        <v>0</v>
      </c>
      <c r="ED436" s="72">
        <v>0</v>
      </c>
      <c r="EE436" s="72">
        <v>0</v>
      </c>
      <c r="EF436" s="72">
        <v>0</v>
      </c>
      <c r="EG436" s="72">
        <v>0</v>
      </c>
      <c r="EH436" s="72">
        <v>0</v>
      </c>
      <c r="EI436" s="72">
        <v>0</v>
      </c>
      <c r="EJ436" s="72">
        <v>0</v>
      </c>
      <c r="EK436" s="72">
        <v>0</v>
      </c>
      <c r="EL436" s="72">
        <v>0</v>
      </c>
    </row>
    <row r="437" spans="1:142" x14ac:dyDescent="0.35">
      <c r="A437" s="59">
        <f>Данные!A437</f>
        <v>6368</v>
      </c>
      <c r="B437" s="59">
        <f>Данные!B437</f>
        <v>2020</v>
      </c>
      <c r="C437" s="59" t="str">
        <f>Данные!C437</f>
        <v>компьютерных технологий и электронного обучения</v>
      </c>
      <c r="D437" s="59" t="str">
        <f>Данные!D437</f>
        <v>Авксентьева Елена Юрьевна</v>
      </c>
      <c r="E437" s="59" t="str">
        <f>Данные!E437</f>
        <v>кандидат педагогических наук</v>
      </c>
      <c r="F437" s="59" t="str">
        <f>Данные!F437</f>
        <v>доцент</v>
      </c>
      <c r="G437" s="59">
        <f>Данные!G437</f>
        <v>1</v>
      </c>
      <c r="H437" s="59" t="str">
        <f>Данные!H437</f>
        <v>3 курс 2018 год/пост</v>
      </c>
      <c r="I437" s="59" t="str">
        <f>Данные!I437</f>
        <v>Модуль "Организация ЭВМ". Сети и телекоммуникации</v>
      </c>
      <c r="J437" s="59">
        <f>Данные!J437</f>
        <v>18</v>
      </c>
      <c r="K437" s="59">
        <f>Данные!K437</f>
        <v>0</v>
      </c>
      <c r="L437" s="59">
        <f>Данные!L437</f>
        <v>108</v>
      </c>
      <c r="M437" s="60">
        <f t="shared" si="54"/>
        <v>12.6</v>
      </c>
      <c r="N437" s="60">
        <f t="shared" ca="1" si="55"/>
        <v>11.57</v>
      </c>
      <c r="O437" s="60">
        <f t="shared" ca="1" si="56"/>
        <v>7.25</v>
      </c>
      <c r="P437" s="60">
        <f t="shared" ca="1" si="57"/>
        <v>7.25</v>
      </c>
      <c r="Q437" s="54">
        <f>Данные!Q437</f>
        <v>0</v>
      </c>
      <c r="R437" s="54">
        <f>Данные!R437</f>
        <v>0</v>
      </c>
      <c r="S437" s="54">
        <f>Данные!S437</f>
        <v>0</v>
      </c>
      <c r="T437" s="54">
        <f>Данные!T437</f>
        <v>0</v>
      </c>
      <c r="U437" s="54">
        <f>Данные!U437</f>
        <v>0</v>
      </c>
      <c r="V437" s="54">
        <f>Данные!V437</f>
        <v>0</v>
      </c>
      <c r="W437" s="54">
        <f ca="1">Данные!W437</f>
        <v>29</v>
      </c>
      <c r="X437" s="54" t="str">
        <f ca="1">Данные!X437</f>
        <v>1</v>
      </c>
      <c r="Y437" s="54" t="str">
        <f ca="1">Данные!Y437</f>
        <v>2</v>
      </c>
      <c r="Z437" s="54">
        <f>Данные!Z437</f>
        <v>0</v>
      </c>
      <c r="AA437" s="54" t="str">
        <f>Данные!AA437</f>
        <v>осн</v>
      </c>
      <c r="AB437" s="101">
        <f t="shared" si="58"/>
        <v>800</v>
      </c>
      <c r="AC437" s="101" t="str">
        <f t="shared" si="59"/>
        <v>ИВТ (бак)</v>
      </c>
      <c r="AD437" s="101" t="str">
        <f t="shared" si="60"/>
        <v/>
      </c>
      <c r="AE437" s="102">
        <f t="shared" ca="1" si="61"/>
        <v>164.67</v>
      </c>
      <c r="AF437" s="103">
        <f t="shared" ca="1" si="62"/>
        <v>0.20583749999999998</v>
      </c>
      <c r="AG437" s="101"/>
      <c r="AH437" s="101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Q437" s="72">
        <v>0</v>
      </c>
      <c r="BR437" s="72">
        <v>0</v>
      </c>
      <c r="BS437" s="72">
        <v>0</v>
      </c>
      <c r="BT437" s="72">
        <v>0</v>
      </c>
      <c r="BU437" s="72">
        <v>0</v>
      </c>
      <c r="BV437" s="72">
        <v>0</v>
      </c>
      <c r="BW437" s="72">
        <v>0</v>
      </c>
      <c r="BX437" s="72">
        <v>0</v>
      </c>
      <c r="BY437" s="72">
        <v>0</v>
      </c>
      <c r="BZ437" s="72">
        <v>0</v>
      </c>
      <c r="CA437" s="72">
        <v>0</v>
      </c>
      <c r="CB437" s="72">
        <v>0</v>
      </c>
      <c r="CC437" s="72">
        <v>0</v>
      </c>
      <c r="CD437" s="72">
        <v>0</v>
      </c>
      <c r="CE437" s="72">
        <v>0</v>
      </c>
      <c r="CF437" s="72">
        <v>0</v>
      </c>
      <c r="CG437" s="72">
        <v>0</v>
      </c>
      <c r="CH437" s="72">
        <v>0</v>
      </c>
      <c r="CI437" s="72">
        <v>0</v>
      </c>
      <c r="CJ437" s="72">
        <v>0</v>
      </c>
      <c r="CK437" s="72">
        <v>0</v>
      </c>
      <c r="CL437" s="72">
        <v>0</v>
      </c>
      <c r="CM437" s="72">
        <v>0</v>
      </c>
      <c r="CN437" s="72">
        <v>0</v>
      </c>
      <c r="CO437" s="72">
        <v>0</v>
      </c>
      <c r="CP437" s="72">
        <v>0</v>
      </c>
      <c r="CQ437" s="72">
        <v>0</v>
      </c>
      <c r="CR437" s="72">
        <v>0</v>
      </c>
      <c r="CS437" s="72">
        <v>0</v>
      </c>
      <c r="CT437" s="72">
        <v>0</v>
      </c>
      <c r="CU437" s="72">
        <v>0</v>
      </c>
      <c r="CV437" s="72">
        <v>0</v>
      </c>
      <c r="CW437" s="72">
        <v>0</v>
      </c>
      <c r="CX437" s="72">
        <v>0</v>
      </c>
      <c r="CY437" s="72">
        <v>0</v>
      </c>
      <c r="CZ437" s="72">
        <v>0</v>
      </c>
      <c r="DA437" s="72">
        <v>0</v>
      </c>
      <c r="DB437" s="72">
        <v>0</v>
      </c>
      <c r="DC437" s="72">
        <v>0</v>
      </c>
      <c r="DD437" s="72">
        <v>0</v>
      </c>
      <c r="DE437" s="72">
        <v>0</v>
      </c>
      <c r="DF437" s="72">
        <v>0</v>
      </c>
      <c r="DG437" s="72">
        <v>0</v>
      </c>
      <c r="DH437" s="72">
        <v>0</v>
      </c>
      <c r="DI437" s="72">
        <v>0</v>
      </c>
      <c r="DJ437" s="72">
        <v>0</v>
      </c>
      <c r="DK437" s="72">
        <v>0</v>
      </c>
      <c r="DL437" s="72">
        <v>0</v>
      </c>
      <c r="DM437" s="72">
        <v>0</v>
      </c>
      <c r="DN437" s="72">
        <v>0</v>
      </c>
      <c r="DO437" s="72">
        <v>0</v>
      </c>
      <c r="DP437" s="72">
        <v>0</v>
      </c>
      <c r="DQ437" s="72">
        <v>0</v>
      </c>
      <c r="DR437" s="72">
        <v>0</v>
      </c>
      <c r="DS437" s="72">
        <v>0</v>
      </c>
      <c r="DT437" s="72">
        <v>0</v>
      </c>
      <c r="DU437" s="72">
        <v>0</v>
      </c>
      <c r="DV437" s="72">
        <v>0</v>
      </c>
      <c r="DW437" s="72">
        <v>0</v>
      </c>
      <c r="DX437" s="72">
        <v>0</v>
      </c>
      <c r="DY437" s="72">
        <v>0</v>
      </c>
      <c r="DZ437" s="72">
        <v>0</v>
      </c>
      <c r="EA437" s="72">
        <v>0</v>
      </c>
      <c r="EB437" s="72">
        <v>0</v>
      </c>
      <c r="EC437" s="72">
        <v>0</v>
      </c>
      <c r="ED437" s="72">
        <v>0</v>
      </c>
      <c r="EE437" s="72">
        <v>0</v>
      </c>
      <c r="EF437" s="72">
        <v>0</v>
      </c>
      <c r="EG437" s="72">
        <v>0</v>
      </c>
      <c r="EH437" s="72">
        <v>0</v>
      </c>
      <c r="EI437" s="72">
        <v>0</v>
      </c>
      <c r="EJ437" s="72">
        <v>0</v>
      </c>
      <c r="EK437" s="72">
        <v>0</v>
      </c>
      <c r="EL437" s="72">
        <v>0</v>
      </c>
    </row>
    <row r="438" spans="1:142" x14ac:dyDescent="0.35">
      <c r="A438" s="59">
        <f>Данные!A438</f>
        <v>6368</v>
      </c>
      <c r="B438" s="59">
        <f>Данные!B438</f>
        <v>2020</v>
      </c>
      <c r="C438" s="59" t="str">
        <f>Данные!C438</f>
        <v>компьютерных технологий и электронного обучения</v>
      </c>
      <c r="D438" s="59" t="str">
        <f>Данные!D438</f>
        <v>Аксютин Павел Александрович</v>
      </c>
      <c r="E438" s="59" t="str">
        <f>Данные!E438</f>
        <v>нет</v>
      </c>
      <c r="F438" s="59" t="str">
        <f>Данные!F438</f>
        <v>ассистент</v>
      </c>
      <c r="G438" s="59">
        <f>Данные!G438</f>
        <v>0.25</v>
      </c>
      <c r="H438" s="59" t="str">
        <f>Данные!H438</f>
        <v>3 курс 2018 год/пост</v>
      </c>
      <c r="I438" s="59" t="str">
        <f>Данные!I438</f>
        <v>Модуль "Информационные технологии". Дисциплины и курсы по выбору. Прикладные информационные технологии</v>
      </c>
      <c r="J438" s="59">
        <f>Данные!J438</f>
        <v>0</v>
      </c>
      <c r="K438" s="59">
        <f>Данные!K438</f>
        <v>44</v>
      </c>
      <c r="L438" s="59">
        <f>Данные!L438</f>
        <v>66</v>
      </c>
      <c r="M438" s="60">
        <f t="shared" si="54"/>
        <v>11</v>
      </c>
      <c r="N438" s="60">
        <f t="shared" ca="1" si="55"/>
        <v>11.57</v>
      </c>
      <c r="O438" s="60">
        <f t="shared" ca="1" si="56"/>
        <v>7.25</v>
      </c>
      <c r="P438" s="60">
        <f t="shared" ca="1" si="57"/>
        <v>7.25</v>
      </c>
      <c r="Q438" s="54">
        <f>Данные!Q438</f>
        <v>0</v>
      </c>
      <c r="R438" s="54">
        <f>Данные!R438</f>
        <v>0</v>
      </c>
      <c r="S438" s="54">
        <f>Данные!S438</f>
        <v>0</v>
      </c>
      <c r="T438" s="54">
        <f>Данные!T438</f>
        <v>0</v>
      </c>
      <c r="U438" s="54">
        <f>Данные!U438</f>
        <v>0</v>
      </c>
      <c r="V438" s="54">
        <f>Данные!V438</f>
        <v>0</v>
      </c>
      <c r="W438" s="54">
        <f ca="1">Данные!W438</f>
        <v>29</v>
      </c>
      <c r="X438" s="54" t="str">
        <f ca="1">Данные!X438</f>
        <v>1</v>
      </c>
      <c r="Y438" s="54" t="str">
        <f ca="1">Данные!Y438</f>
        <v>2</v>
      </c>
      <c r="Z438" s="54">
        <f>Данные!Z438</f>
        <v>0</v>
      </c>
      <c r="AA438" s="54">
        <f>Данные!AA438</f>
        <v>0</v>
      </c>
      <c r="AB438" s="101">
        <f t="shared" si="58"/>
        <v>900</v>
      </c>
      <c r="AC438" s="101" t="str">
        <f t="shared" si="59"/>
        <v>ИВТ (бак)</v>
      </c>
      <c r="AD438" s="101" t="str">
        <f t="shared" si="60"/>
        <v/>
      </c>
      <c r="AE438" s="102">
        <f t="shared" ca="1" si="61"/>
        <v>147.07</v>
      </c>
      <c r="AF438" s="103">
        <f t="shared" ca="1" si="62"/>
        <v>0.16341111111111109</v>
      </c>
      <c r="AG438" s="101"/>
      <c r="AH438" s="101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Q438" s="72">
        <v>0</v>
      </c>
      <c r="BR438" s="72">
        <v>0</v>
      </c>
      <c r="BS438" s="72">
        <v>0</v>
      </c>
      <c r="BT438" s="72">
        <v>0</v>
      </c>
      <c r="BU438" s="72">
        <v>0</v>
      </c>
      <c r="BV438" s="72">
        <v>0</v>
      </c>
      <c r="BW438" s="72">
        <v>0</v>
      </c>
      <c r="BX438" s="72">
        <v>0</v>
      </c>
      <c r="BY438" s="72">
        <v>0</v>
      </c>
      <c r="BZ438" s="72">
        <v>0</v>
      </c>
      <c r="CA438" s="72">
        <v>0</v>
      </c>
      <c r="CB438" s="72">
        <v>0</v>
      </c>
      <c r="CC438" s="72">
        <v>0</v>
      </c>
      <c r="CD438" s="72">
        <v>0</v>
      </c>
      <c r="CE438" s="72">
        <v>0</v>
      </c>
      <c r="CF438" s="72">
        <v>0</v>
      </c>
      <c r="CG438" s="72">
        <v>0</v>
      </c>
      <c r="CH438" s="72">
        <v>0</v>
      </c>
      <c r="CI438" s="72">
        <v>0</v>
      </c>
      <c r="CJ438" s="72">
        <v>0</v>
      </c>
      <c r="CK438" s="72">
        <v>0</v>
      </c>
      <c r="CL438" s="72">
        <v>0</v>
      </c>
      <c r="CM438" s="72">
        <v>0</v>
      </c>
      <c r="CN438" s="72">
        <v>0</v>
      </c>
      <c r="CO438" s="72">
        <v>0</v>
      </c>
      <c r="CP438" s="72">
        <v>0</v>
      </c>
      <c r="CQ438" s="72">
        <v>0</v>
      </c>
      <c r="CR438" s="72">
        <v>0</v>
      </c>
      <c r="CS438" s="72">
        <v>0</v>
      </c>
      <c r="CT438" s="72">
        <v>0</v>
      </c>
      <c r="CU438" s="72">
        <v>0</v>
      </c>
      <c r="CV438" s="72">
        <v>0</v>
      </c>
      <c r="CW438" s="72">
        <v>0</v>
      </c>
      <c r="CX438" s="72">
        <v>0</v>
      </c>
      <c r="CY438" s="72">
        <v>0</v>
      </c>
      <c r="CZ438" s="72">
        <v>0</v>
      </c>
      <c r="DA438" s="72">
        <v>0</v>
      </c>
      <c r="DB438" s="72">
        <v>0</v>
      </c>
      <c r="DC438" s="72">
        <v>0</v>
      </c>
      <c r="DD438" s="72">
        <v>0</v>
      </c>
      <c r="DE438" s="72">
        <v>0</v>
      </c>
      <c r="DF438" s="72">
        <v>0</v>
      </c>
      <c r="DG438" s="72">
        <v>0</v>
      </c>
      <c r="DH438" s="72">
        <v>0</v>
      </c>
      <c r="DI438" s="72">
        <v>0</v>
      </c>
      <c r="DJ438" s="72">
        <v>0</v>
      </c>
      <c r="DK438" s="72">
        <v>0</v>
      </c>
      <c r="DL438" s="72">
        <v>0</v>
      </c>
      <c r="DM438" s="72">
        <v>0</v>
      </c>
      <c r="DN438" s="72">
        <v>0</v>
      </c>
      <c r="DO438" s="72">
        <v>0</v>
      </c>
      <c r="DP438" s="72">
        <v>0</v>
      </c>
      <c r="DQ438" s="72">
        <v>0</v>
      </c>
      <c r="DR438" s="72">
        <v>0</v>
      </c>
      <c r="DS438" s="72">
        <v>0</v>
      </c>
      <c r="DT438" s="72">
        <v>0</v>
      </c>
      <c r="DU438" s="72">
        <v>0</v>
      </c>
      <c r="DV438" s="72">
        <v>0</v>
      </c>
      <c r="DW438" s="72">
        <v>0</v>
      </c>
      <c r="DX438" s="72">
        <v>0</v>
      </c>
      <c r="DY438" s="72">
        <v>0</v>
      </c>
      <c r="DZ438" s="72">
        <v>0</v>
      </c>
      <c r="EA438" s="72">
        <v>0</v>
      </c>
      <c r="EB438" s="72">
        <v>0</v>
      </c>
      <c r="EC438" s="72">
        <v>0</v>
      </c>
      <c r="ED438" s="72">
        <v>0</v>
      </c>
      <c r="EE438" s="72">
        <v>0</v>
      </c>
      <c r="EF438" s="72">
        <v>0</v>
      </c>
      <c r="EG438" s="72">
        <v>0</v>
      </c>
      <c r="EH438" s="72">
        <v>0</v>
      </c>
      <c r="EI438" s="72">
        <v>0</v>
      </c>
      <c r="EJ438" s="72">
        <v>0</v>
      </c>
      <c r="EK438" s="72">
        <v>0</v>
      </c>
      <c r="EL438" s="72">
        <v>0</v>
      </c>
    </row>
    <row r="439" spans="1:142" x14ac:dyDescent="0.35">
      <c r="A439" s="59">
        <f>Данные!A439</f>
        <v>6368</v>
      </c>
      <c r="B439" s="59">
        <f>Данные!B439</f>
        <v>2020</v>
      </c>
      <c r="C439" s="59" t="str">
        <f>Данные!C439</f>
        <v>компьютерных технологий и электронного обучения</v>
      </c>
      <c r="D439" s="59" t="str">
        <f>Данные!D439</f>
        <v>Аксютин Павел Александрович</v>
      </c>
      <c r="E439" s="59" t="str">
        <f>Данные!E439</f>
        <v>нет</v>
      </c>
      <c r="F439" s="59" t="str">
        <f>Данные!F439</f>
        <v>ассистент</v>
      </c>
      <c r="G439" s="59">
        <f>Данные!G439</f>
        <v>0.25</v>
      </c>
      <c r="H439" s="59" t="str">
        <f>Данные!H439</f>
        <v>3 курс 2018 год/пост</v>
      </c>
      <c r="I439" s="59" t="str">
        <f>Данные!I439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439" s="59">
        <f>Данные!J439</f>
        <v>0</v>
      </c>
      <c r="K439" s="59">
        <f>Данные!K439</f>
        <v>0</v>
      </c>
      <c r="L439" s="59">
        <f>Данные!L439</f>
        <v>0</v>
      </c>
      <c r="M439" s="60">
        <f t="shared" si="54"/>
        <v>0</v>
      </c>
      <c r="N439" s="60">
        <f t="shared" ca="1" si="55"/>
        <v>11.57</v>
      </c>
      <c r="O439" s="60">
        <f t="shared" ca="1" si="56"/>
        <v>7.25</v>
      </c>
      <c r="P439" s="60">
        <f t="shared" ca="1" si="57"/>
        <v>7.25</v>
      </c>
      <c r="Q439" s="54">
        <f>Данные!Q439</f>
        <v>0</v>
      </c>
      <c r="R439" s="54">
        <f>Данные!R439</f>
        <v>0</v>
      </c>
      <c r="S439" s="54">
        <f>Данные!S439</f>
        <v>0</v>
      </c>
      <c r="T439" s="54">
        <f>Данные!T439</f>
        <v>0</v>
      </c>
      <c r="U439" s="54">
        <f>Данные!U439</f>
        <v>52</v>
      </c>
      <c r="V439" s="54">
        <f>Данные!V439</f>
        <v>0</v>
      </c>
      <c r="W439" s="54">
        <f ca="1">Данные!W439</f>
        <v>29</v>
      </c>
      <c r="X439" s="54" t="str">
        <f ca="1">Данные!X439</f>
        <v>1</v>
      </c>
      <c r="Y439" s="54" t="str">
        <f ca="1">Данные!Y439</f>
        <v>2</v>
      </c>
      <c r="Z439" s="54">
        <f>Данные!Z439</f>
        <v>0</v>
      </c>
      <c r="AA439" s="54" t="str">
        <f>Данные!AA439</f>
        <v>доп</v>
      </c>
      <c r="AB439" s="101">
        <f t="shared" si="58"/>
        <v>900</v>
      </c>
      <c r="AC439" s="101" t="str">
        <f t="shared" si="59"/>
        <v>ИВТ (бак)</v>
      </c>
      <c r="AD439" s="101" t="str">
        <f t="shared" si="60"/>
        <v/>
      </c>
      <c r="AE439" s="102">
        <f t="shared" ca="1" si="61"/>
        <v>78.069999999999993</v>
      </c>
      <c r="AF439" s="103">
        <f t="shared" ca="1" si="62"/>
        <v>8.6744444444444443E-2</v>
      </c>
      <c r="AG439" s="101"/>
      <c r="AH439" s="101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Q439" s="72">
        <v>0</v>
      </c>
      <c r="BR439" s="72">
        <v>0</v>
      </c>
      <c r="BS439" s="72">
        <v>0</v>
      </c>
      <c r="BT439" s="72">
        <v>0</v>
      </c>
      <c r="BU439" s="72">
        <v>0</v>
      </c>
      <c r="BV439" s="72">
        <v>0</v>
      </c>
      <c r="BW439" s="72">
        <v>0</v>
      </c>
      <c r="BX439" s="72">
        <v>0</v>
      </c>
      <c r="BY439" s="72">
        <v>0</v>
      </c>
      <c r="BZ439" s="72">
        <v>0</v>
      </c>
      <c r="CA439" s="72">
        <v>0</v>
      </c>
      <c r="CB439" s="72">
        <v>0</v>
      </c>
      <c r="CC439" s="72">
        <v>0</v>
      </c>
      <c r="CD439" s="72">
        <v>0</v>
      </c>
      <c r="CE439" s="72">
        <v>0</v>
      </c>
      <c r="CF439" s="72">
        <v>0</v>
      </c>
      <c r="CG439" s="72">
        <v>0</v>
      </c>
      <c r="CH439" s="72">
        <v>0</v>
      </c>
      <c r="CI439" s="72">
        <v>0</v>
      </c>
      <c r="CJ439" s="72">
        <v>0</v>
      </c>
      <c r="CK439" s="72">
        <v>0</v>
      </c>
      <c r="CL439" s="72">
        <v>0</v>
      </c>
      <c r="CM439" s="72">
        <v>0</v>
      </c>
      <c r="CN439" s="72">
        <v>0</v>
      </c>
      <c r="CO439" s="72">
        <v>0</v>
      </c>
      <c r="CP439" s="72">
        <v>0</v>
      </c>
      <c r="CQ439" s="72">
        <v>0</v>
      </c>
      <c r="CR439" s="72">
        <v>0</v>
      </c>
      <c r="CS439" s="72">
        <v>0</v>
      </c>
      <c r="CT439" s="72">
        <v>0</v>
      </c>
      <c r="CU439" s="72">
        <v>0</v>
      </c>
      <c r="CV439" s="72">
        <v>0</v>
      </c>
      <c r="CW439" s="72">
        <v>0</v>
      </c>
      <c r="CX439" s="72">
        <v>0</v>
      </c>
      <c r="CY439" s="72">
        <v>0</v>
      </c>
      <c r="CZ439" s="72">
        <v>0</v>
      </c>
      <c r="DA439" s="72">
        <v>0</v>
      </c>
      <c r="DB439" s="72">
        <v>0</v>
      </c>
      <c r="DC439" s="72">
        <v>0</v>
      </c>
      <c r="DD439" s="72">
        <v>0</v>
      </c>
      <c r="DE439" s="72">
        <v>0</v>
      </c>
      <c r="DF439" s="72">
        <v>0</v>
      </c>
      <c r="DG439" s="72">
        <v>0</v>
      </c>
      <c r="DH439" s="72">
        <v>0</v>
      </c>
      <c r="DI439" s="72">
        <v>0</v>
      </c>
      <c r="DJ439" s="72">
        <v>0</v>
      </c>
      <c r="DK439" s="72">
        <v>0</v>
      </c>
      <c r="DL439" s="72">
        <v>0</v>
      </c>
      <c r="DM439" s="72">
        <v>0</v>
      </c>
      <c r="DN439" s="72">
        <v>0</v>
      </c>
      <c r="DO439" s="72">
        <v>0</v>
      </c>
      <c r="DP439" s="72">
        <v>0</v>
      </c>
      <c r="DQ439" s="72">
        <v>0</v>
      </c>
      <c r="DR439" s="72">
        <v>0</v>
      </c>
      <c r="DS439" s="72">
        <v>0</v>
      </c>
      <c r="DT439" s="72">
        <v>0</v>
      </c>
      <c r="DU439" s="72">
        <v>0</v>
      </c>
      <c r="DV439" s="72">
        <v>0</v>
      </c>
      <c r="DW439" s="72">
        <v>0</v>
      </c>
      <c r="DX439" s="72">
        <v>0</v>
      </c>
      <c r="DY439" s="72">
        <v>0</v>
      </c>
      <c r="DZ439" s="72">
        <v>0</v>
      </c>
      <c r="EA439" s="72">
        <v>0</v>
      </c>
      <c r="EB439" s="72">
        <v>0</v>
      </c>
      <c r="EC439" s="72">
        <v>0</v>
      </c>
      <c r="ED439" s="72">
        <v>0</v>
      </c>
      <c r="EE439" s="72">
        <v>0</v>
      </c>
      <c r="EF439" s="72">
        <v>0</v>
      </c>
      <c r="EG439" s="72">
        <v>0</v>
      </c>
      <c r="EH439" s="72">
        <v>0</v>
      </c>
      <c r="EI439" s="72">
        <v>0</v>
      </c>
      <c r="EJ439" s="72">
        <v>0</v>
      </c>
      <c r="EK439" s="72">
        <v>0</v>
      </c>
      <c r="EL439" s="72">
        <v>0</v>
      </c>
    </row>
    <row r="440" spans="1:142" x14ac:dyDescent="0.35">
      <c r="A440" s="59">
        <f>Данные!A440</f>
        <v>6368</v>
      </c>
      <c r="B440" s="59">
        <f>Данные!B440</f>
        <v>2020</v>
      </c>
      <c r="C440" s="59" t="str">
        <f>Данные!C440</f>
        <v>компьютерных технологий и электронного обучения</v>
      </c>
      <c r="D440" s="59" t="str">
        <f>Данные!D440</f>
        <v>Атаян Ануш Михайловна</v>
      </c>
      <c r="E440" s="59" t="str">
        <f>Данные!E440</f>
        <v>кандидат педагогических наук</v>
      </c>
      <c r="F440" s="59" t="str">
        <f>Данные!F440</f>
        <v>доцент</v>
      </c>
      <c r="G440" s="59">
        <f>Данные!G440</f>
        <v>1</v>
      </c>
      <c r="H440" s="59" t="str">
        <f>Данные!H440</f>
        <v>3 курс 2018 год/пост</v>
      </c>
      <c r="I440" s="59" t="str">
        <f>Данные!I440</f>
        <v>Модуль "Информационные технологии". Информационные технологии и системы бизнес-аналитики</v>
      </c>
      <c r="J440" s="59">
        <f>Данные!J440</f>
        <v>18</v>
      </c>
      <c r="K440" s="59">
        <f>Данные!K440</f>
        <v>0</v>
      </c>
      <c r="L440" s="59">
        <f>Данные!L440</f>
        <v>108</v>
      </c>
      <c r="M440" s="60">
        <f t="shared" si="54"/>
        <v>12.6</v>
      </c>
      <c r="N440" s="60">
        <f t="shared" ca="1" si="55"/>
        <v>11.57</v>
      </c>
      <c r="O440" s="60">
        <f t="shared" ca="1" si="56"/>
        <v>7.25</v>
      </c>
      <c r="P440" s="60">
        <f t="shared" ca="1" si="57"/>
        <v>7.25</v>
      </c>
      <c r="Q440" s="54">
        <f>Данные!Q440</f>
        <v>0</v>
      </c>
      <c r="R440" s="54">
        <f>Данные!R440</f>
        <v>0</v>
      </c>
      <c r="S440" s="54">
        <f>Данные!S440</f>
        <v>0</v>
      </c>
      <c r="T440" s="54">
        <f>Данные!T440</f>
        <v>0</v>
      </c>
      <c r="U440" s="54">
        <f>Данные!U440</f>
        <v>0</v>
      </c>
      <c r="V440" s="54">
        <f>Данные!V440</f>
        <v>0</v>
      </c>
      <c r="W440" s="54">
        <f ca="1">Данные!W440</f>
        <v>29</v>
      </c>
      <c r="X440" s="54" t="str">
        <f ca="1">Данные!X440</f>
        <v>1</v>
      </c>
      <c r="Y440" s="54" t="str">
        <f ca="1">Данные!Y440</f>
        <v>2</v>
      </c>
      <c r="Z440" s="54">
        <f>Данные!Z440</f>
        <v>0</v>
      </c>
      <c r="AA440" s="54" t="str">
        <f>Данные!AA440</f>
        <v>доп</v>
      </c>
      <c r="AB440" s="101">
        <f t="shared" si="58"/>
        <v>800</v>
      </c>
      <c r="AC440" s="101" t="str">
        <f t="shared" si="59"/>
        <v>ИВТ (бак)</v>
      </c>
      <c r="AD440" s="101" t="str">
        <f t="shared" si="60"/>
        <v/>
      </c>
      <c r="AE440" s="102">
        <f t="shared" ca="1" si="61"/>
        <v>164.67</v>
      </c>
      <c r="AF440" s="103">
        <f t="shared" ca="1" si="62"/>
        <v>0.20583749999999998</v>
      </c>
      <c r="AG440" s="101"/>
      <c r="AH440" s="101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Q440" s="72">
        <v>0</v>
      </c>
      <c r="BR440" s="72">
        <v>0</v>
      </c>
      <c r="BS440" s="72">
        <v>0</v>
      </c>
      <c r="BT440" s="72">
        <v>0</v>
      </c>
      <c r="BU440" s="72">
        <v>0</v>
      </c>
      <c r="BV440" s="72">
        <v>0</v>
      </c>
      <c r="BW440" s="72">
        <v>0</v>
      </c>
      <c r="BX440" s="72">
        <v>0</v>
      </c>
      <c r="BY440" s="72">
        <v>0</v>
      </c>
      <c r="BZ440" s="72">
        <v>0</v>
      </c>
      <c r="CA440" s="72">
        <v>0</v>
      </c>
      <c r="CB440" s="72">
        <v>0</v>
      </c>
      <c r="CC440" s="72">
        <v>0</v>
      </c>
      <c r="CD440" s="72">
        <v>0</v>
      </c>
      <c r="CE440" s="72">
        <v>0</v>
      </c>
      <c r="CF440" s="72">
        <v>0</v>
      </c>
      <c r="CG440" s="72">
        <v>0</v>
      </c>
      <c r="CH440" s="72">
        <v>0</v>
      </c>
      <c r="CI440" s="72">
        <v>0</v>
      </c>
      <c r="CJ440" s="72">
        <v>0</v>
      </c>
      <c r="CK440" s="72">
        <v>0</v>
      </c>
      <c r="CL440" s="72">
        <v>0</v>
      </c>
      <c r="CM440" s="72">
        <v>0</v>
      </c>
      <c r="CN440" s="72">
        <v>0</v>
      </c>
      <c r="CO440" s="72">
        <v>0</v>
      </c>
      <c r="CP440" s="72">
        <v>0</v>
      </c>
      <c r="CQ440" s="72">
        <v>0</v>
      </c>
      <c r="CR440" s="72">
        <v>0</v>
      </c>
      <c r="CS440" s="72">
        <v>0</v>
      </c>
      <c r="CT440" s="72">
        <v>0</v>
      </c>
      <c r="CU440" s="72">
        <v>0</v>
      </c>
      <c r="CV440" s="72">
        <v>0</v>
      </c>
      <c r="CW440" s="72">
        <v>0</v>
      </c>
      <c r="CX440" s="72">
        <v>0</v>
      </c>
      <c r="CY440" s="72">
        <v>0</v>
      </c>
      <c r="CZ440" s="72">
        <v>0</v>
      </c>
      <c r="DA440" s="72">
        <v>0</v>
      </c>
      <c r="DB440" s="72">
        <v>0</v>
      </c>
      <c r="DC440" s="72">
        <v>0</v>
      </c>
      <c r="DD440" s="72">
        <v>0</v>
      </c>
      <c r="DE440" s="72">
        <v>0</v>
      </c>
      <c r="DF440" s="72">
        <v>0</v>
      </c>
      <c r="DG440" s="72">
        <v>0</v>
      </c>
      <c r="DH440" s="72">
        <v>0</v>
      </c>
      <c r="DI440" s="72">
        <v>0</v>
      </c>
      <c r="DJ440" s="72">
        <v>0</v>
      </c>
      <c r="DK440" s="72">
        <v>0</v>
      </c>
      <c r="DL440" s="72">
        <v>0</v>
      </c>
      <c r="DM440" s="72">
        <v>0</v>
      </c>
      <c r="DN440" s="72">
        <v>0</v>
      </c>
      <c r="DO440" s="72">
        <v>0</v>
      </c>
      <c r="DP440" s="72">
        <v>0</v>
      </c>
      <c r="DQ440" s="72">
        <v>0</v>
      </c>
      <c r="DR440" s="72">
        <v>0</v>
      </c>
      <c r="DS440" s="72">
        <v>0</v>
      </c>
      <c r="DT440" s="72">
        <v>0</v>
      </c>
      <c r="DU440" s="72">
        <v>0</v>
      </c>
      <c r="DV440" s="72">
        <v>0</v>
      </c>
      <c r="DW440" s="72">
        <v>0</v>
      </c>
      <c r="DX440" s="72">
        <v>0</v>
      </c>
      <c r="DY440" s="72">
        <v>0</v>
      </c>
      <c r="DZ440" s="72">
        <v>0</v>
      </c>
      <c r="EA440" s="72">
        <v>0</v>
      </c>
      <c r="EB440" s="72">
        <v>0</v>
      </c>
      <c r="EC440" s="72">
        <v>0</v>
      </c>
      <c r="ED440" s="72">
        <v>0</v>
      </c>
      <c r="EE440" s="72">
        <v>0</v>
      </c>
      <c r="EF440" s="72">
        <v>0</v>
      </c>
      <c r="EG440" s="72">
        <v>0</v>
      </c>
      <c r="EH440" s="72">
        <v>0</v>
      </c>
      <c r="EI440" s="72">
        <v>0</v>
      </c>
      <c r="EJ440" s="72">
        <v>0</v>
      </c>
      <c r="EK440" s="72">
        <v>0</v>
      </c>
      <c r="EL440" s="72">
        <v>0</v>
      </c>
    </row>
    <row r="441" spans="1:142" x14ac:dyDescent="0.35">
      <c r="A441" s="59">
        <f>Данные!A441</f>
        <v>6368</v>
      </c>
      <c r="B441" s="59">
        <f>Данные!B441</f>
        <v>2020</v>
      </c>
      <c r="C441" s="59" t="str">
        <f>Данные!C441</f>
        <v>компьютерных технологий и электронного обучения</v>
      </c>
      <c r="D441" s="59" t="str">
        <f>Данные!D441</f>
        <v>Атаян Ануш Михайловна</v>
      </c>
      <c r="E441" s="59" t="str">
        <f>Данные!E441</f>
        <v>кандидат педагогических наук</v>
      </c>
      <c r="F441" s="59" t="str">
        <f>Данные!F441</f>
        <v>доцент</v>
      </c>
      <c r="G441" s="59">
        <f>Данные!G441</f>
        <v>1</v>
      </c>
      <c r="H441" s="59" t="str">
        <f>Данные!H441</f>
        <v>3 курс 2018 год/пост</v>
      </c>
      <c r="I441" s="59" t="str">
        <f>Данные!I441</f>
        <v>Модуль "Информационные технологии в управлении в IT-компании".  Основы электронного управления</v>
      </c>
      <c r="J441" s="59">
        <f>Данные!J441</f>
        <v>18</v>
      </c>
      <c r="K441" s="59">
        <f>Данные!K441</f>
        <v>0</v>
      </c>
      <c r="L441" s="59">
        <f>Данные!L441</f>
        <v>54</v>
      </c>
      <c r="M441" s="60">
        <f t="shared" si="54"/>
        <v>7.2</v>
      </c>
      <c r="N441" s="60">
        <f t="shared" ca="1" si="55"/>
        <v>11.57</v>
      </c>
      <c r="O441" s="60">
        <f t="shared" ca="1" si="56"/>
        <v>7.25</v>
      </c>
      <c r="P441" s="60">
        <f t="shared" ca="1" si="57"/>
        <v>7.25</v>
      </c>
      <c r="Q441" s="54">
        <f>Данные!Q441</f>
        <v>0</v>
      </c>
      <c r="R441" s="54">
        <f>Данные!R441</f>
        <v>0</v>
      </c>
      <c r="S441" s="54">
        <f>Данные!S441</f>
        <v>0</v>
      </c>
      <c r="T441" s="54">
        <f>Данные!T441</f>
        <v>0</v>
      </c>
      <c r="U441" s="54">
        <f>Данные!U441</f>
        <v>0</v>
      </c>
      <c r="V441" s="54">
        <f>Данные!V441</f>
        <v>0</v>
      </c>
      <c r="W441" s="54">
        <f ca="1">Данные!W441</f>
        <v>29</v>
      </c>
      <c r="X441" s="54" t="str">
        <f ca="1">Данные!X441</f>
        <v>1</v>
      </c>
      <c r="Y441" s="54" t="str">
        <f ca="1">Данные!Y441</f>
        <v>2</v>
      </c>
      <c r="Z441" s="54">
        <f>Данные!Z441</f>
        <v>0</v>
      </c>
      <c r="AA441" s="54" t="str">
        <f>Данные!AA441</f>
        <v>осн</v>
      </c>
      <c r="AB441" s="101">
        <f t="shared" si="58"/>
        <v>800</v>
      </c>
      <c r="AC441" s="101" t="str">
        <f t="shared" si="59"/>
        <v>ИВТ (бак)</v>
      </c>
      <c r="AD441" s="101" t="str">
        <f t="shared" si="60"/>
        <v/>
      </c>
      <c r="AE441" s="102">
        <f t="shared" ca="1" si="61"/>
        <v>105.27000000000001</v>
      </c>
      <c r="AF441" s="103">
        <f t="shared" ca="1" si="62"/>
        <v>0.13158750000000002</v>
      </c>
      <c r="AG441" s="101"/>
      <c r="AH441" s="10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Q441" s="72">
        <v>0</v>
      </c>
      <c r="BR441" s="72">
        <v>0</v>
      </c>
      <c r="BS441" s="72">
        <v>0</v>
      </c>
      <c r="BT441" s="72">
        <v>0</v>
      </c>
      <c r="BU441" s="72">
        <v>0</v>
      </c>
      <c r="BV441" s="72">
        <v>0</v>
      </c>
      <c r="BW441" s="72">
        <v>0</v>
      </c>
      <c r="BX441" s="72">
        <v>0</v>
      </c>
      <c r="BY441" s="72">
        <v>0</v>
      </c>
      <c r="BZ441" s="72">
        <v>0</v>
      </c>
      <c r="CA441" s="72">
        <v>0</v>
      </c>
      <c r="CB441" s="72">
        <v>0</v>
      </c>
      <c r="CC441" s="72">
        <v>0</v>
      </c>
      <c r="CD441" s="72">
        <v>0</v>
      </c>
      <c r="CE441" s="72">
        <v>0</v>
      </c>
      <c r="CF441" s="72">
        <v>0</v>
      </c>
      <c r="CG441" s="72">
        <v>0</v>
      </c>
      <c r="CH441" s="72">
        <v>0</v>
      </c>
      <c r="CI441" s="72">
        <v>0</v>
      </c>
      <c r="CJ441" s="72">
        <v>0</v>
      </c>
      <c r="CK441" s="72">
        <v>0</v>
      </c>
      <c r="CL441" s="72">
        <v>0</v>
      </c>
      <c r="CM441" s="72">
        <v>0</v>
      </c>
      <c r="CN441" s="72">
        <v>0</v>
      </c>
      <c r="CO441" s="72">
        <v>0</v>
      </c>
      <c r="CP441" s="72">
        <v>0</v>
      </c>
      <c r="CQ441" s="72">
        <v>0</v>
      </c>
      <c r="CR441" s="72">
        <v>0</v>
      </c>
      <c r="CS441" s="72">
        <v>0</v>
      </c>
      <c r="CT441" s="72">
        <v>0</v>
      </c>
      <c r="CU441" s="72">
        <v>0</v>
      </c>
      <c r="CV441" s="72">
        <v>0</v>
      </c>
      <c r="CW441" s="72">
        <v>0</v>
      </c>
      <c r="CX441" s="72">
        <v>0</v>
      </c>
      <c r="CY441" s="72">
        <v>0</v>
      </c>
      <c r="CZ441" s="72">
        <v>0</v>
      </c>
      <c r="DA441" s="72">
        <v>0</v>
      </c>
      <c r="DB441" s="72">
        <v>0</v>
      </c>
      <c r="DC441" s="72">
        <v>0</v>
      </c>
      <c r="DD441" s="72">
        <v>0</v>
      </c>
      <c r="DE441" s="72">
        <v>0</v>
      </c>
      <c r="DF441" s="72">
        <v>0</v>
      </c>
      <c r="DG441" s="72">
        <v>0</v>
      </c>
      <c r="DH441" s="72">
        <v>0</v>
      </c>
      <c r="DI441" s="72">
        <v>0</v>
      </c>
      <c r="DJ441" s="72">
        <v>0</v>
      </c>
      <c r="DK441" s="72">
        <v>0</v>
      </c>
      <c r="DL441" s="72">
        <v>0</v>
      </c>
      <c r="DM441" s="72">
        <v>0</v>
      </c>
      <c r="DN441" s="72">
        <v>0</v>
      </c>
      <c r="DO441" s="72">
        <v>0</v>
      </c>
      <c r="DP441" s="72">
        <v>0</v>
      </c>
      <c r="DQ441" s="72">
        <v>0</v>
      </c>
      <c r="DR441" s="72">
        <v>0</v>
      </c>
      <c r="DS441" s="72">
        <v>0</v>
      </c>
      <c r="DT441" s="72">
        <v>0</v>
      </c>
      <c r="DU441" s="72">
        <v>0</v>
      </c>
      <c r="DV441" s="72">
        <v>0</v>
      </c>
      <c r="DW441" s="72">
        <v>0</v>
      </c>
      <c r="DX441" s="72">
        <v>0</v>
      </c>
      <c r="DY441" s="72">
        <v>0</v>
      </c>
      <c r="DZ441" s="72">
        <v>0</v>
      </c>
      <c r="EA441" s="72">
        <v>0</v>
      </c>
      <c r="EB441" s="72">
        <v>0</v>
      </c>
      <c r="EC441" s="72">
        <v>0</v>
      </c>
      <c r="ED441" s="72">
        <v>0</v>
      </c>
      <c r="EE441" s="72">
        <v>0</v>
      </c>
      <c r="EF441" s="72">
        <v>0</v>
      </c>
      <c r="EG441" s="72">
        <v>0</v>
      </c>
      <c r="EH441" s="72">
        <v>0</v>
      </c>
      <c r="EI441" s="72">
        <v>0</v>
      </c>
      <c r="EJ441" s="72">
        <v>0</v>
      </c>
      <c r="EK441" s="72">
        <v>0</v>
      </c>
      <c r="EL441" s="72">
        <v>0</v>
      </c>
    </row>
    <row r="442" spans="1:142" x14ac:dyDescent="0.35">
      <c r="A442" s="59">
        <f>Данные!A442</f>
        <v>6368</v>
      </c>
      <c r="B442" s="59">
        <f>Данные!B442</f>
        <v>2020</v>
      </c>
      <c r="C442" s="59" t="str">
        <f>Данные!C442</f>
        <v>компьютерных технологий и электронного обучения</v>
      </c>
      <c r="D442" s="59" t="str">
        <f>Данные!D442</f>
        <v>Атаян Ануш Михайловна</v>
      </c>
      <c r="E442" s="59" t="str">
        <f>Данные!E442</f>
        <v>кандидат педагогических наук</v>
      </c>
      <c r="F442" s="59" t="str">
        <f>Данные!F442</f>
        <v>доцент</v>
      </c>
      <c r="G442" s="59">
        <f>Данные!G442</f>
        <v>1</v>
      </c>
      <c r="H442" s="59" t="str">
        <f>Данные!H442</f>
        <v>3 курс 2018 год/пост</v>
      </c>
      <c r="I442" s="59" t="str">
        <f>Данные!I442</f>
        <v>Модуль "Информационные технологии в управлении в IT-компании".  IT-менеджмент</v>
      </c>
      <c r="J442" s="59">
        <f>Данные!J442</f>
        <v>0</v>
      </c>
      <c r="K442" s="59">
        <f>Данные!K442</f>
        <v>36</v>
      </c>
      <c r="L442" s="59">
        <f>Данные!L442</f>
        <v>0</v>
      </c>
      <c r="M442" s="60">
        <f t="shared" si="54"/>
        <v>3.6</v>
      </c>
      <c r="N442" s="60">
        <f t="shared" ca="1" si="55"/>
        <v>11.57</v>
      </c>
      <c r="O442" s="60">
        <f t="shared" ca="1" si="56"/>
        <v>7.25</v>
      </c>
      <c r="P442" s="60">
        <f t="shared" ca="1" si="57"/>
        <v>7.25</v>
      </c>
      <c r="Q442" s="54">
        <f>Данные!Q442</f>
        <v>0</v>
      </c>
      <c r="R442" s="54">
        <f>Данные!R442</f>
        <v>0</v>
      </c>
      <c r="S442" s="54">
        <f>Данные!S442</f>
        <v>0</v>
      </c>
      <c r="T442" s="54">
        <f>Данные!T442</f>
        <v>0</v>
      </c>
      <c r="U442" s="54">
        <f>Данные!U442</f>
        <v>0</v>
      </c>
      <c r="V442" s="54">
        <f>Данные!V442</f>
        <v>0</v>
      </c>
      <c r="W442" s="54">
        <f ca="1">Данные!W442</f>
        <v>29</v>
      </c>
      <c r="X442" s="54" t="str">
        <f ca="1">Данные!X442</f>
        <v>1</v>
      </c>
      <c r="Y442" s="54" t="str">
        <f ca="1">Данные!Y442</f>
        <v>2</v>
      </c>
      <c r="Z442" s="54">
        <f>Данные!Z442</f>
        <v>0</v>
      </c>
      <c r="AA442" s="54" t="str">
        <f>Данные!AA442</f>
        <v>осн</v>
      </c>
      <c r="AB442" s="101">
        <f t="shared" si="58"/>
        <v>800</v>
      </c>
      <c r="AC442" s="101" t="str">
        <f t="shared" si="59"/>
        <v>ИВТ (бак)</v>
      </c>
      <c r="AD442" s="101" t="str">
        <f t="shared" si="60"/>
        <v/>
      </c>
      <c r="AE442" s="102">
        <f t="shared" ca="1" si="61"/>
        <v>65.67</v>
      </c>
      <c r="AF442" s="103">
        <f t="shared" ca="1" si="62"/>
        <v>8.2087500000000008E-2</v>
      </c>
      <c r="AG442" s="101"/>
      <c r="AH442" s="101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Q442" s="72">
        <v>0</v>
      </c>
      <c r="BR442" s="72">
        <v>0</v>
      </c>
      <c r="BS442" s="72">
        <v>0</v>
      </c>
      <c r="BT442" s="72">
        <v>0</v>
      </c>
      <c r="BU442" s="72">
        <v>0</v>
      </c>
      <c r="BV442" s="72">
        <v>0</v>
      </c>
      <c r="BW442" s="72">
        <v>0</v>
      </c>
      <c r="BX442" s="72">
        <v>0</v>
      </c>
      <c r="BY442" s="72">
        <v>0</v>
      </c>
      <c r="BZ442" s="72">
        <v>0</v>
      </c>
      <c r="CA442" s="72">
        <v>0</v>
      </c>
      <c r="CB442" s="72">
        <v>0</v>
      </c>
      <c r="CC442" s="72">
        <v>0</v>
      </c>
      <c r="CD442" s="72">
        <v>0</v>
      </c>
      <c r="CE442" s="72">
        <v>0</v>
      </c>
      <c r="CF442" s="72">
        <v>0</v>
      </c>
      <c r="CG442" s="72">
        <v>0</v>
      </c>
      <c r="CH442" s="72">
        <v>0</v>
      </c>
      <c r="CI442" s="72">
        <v>0</v>
      </c>
      <c r="CJ442" s="72">
        <v>0</v>
      </c>
      <c r="CK442" s="72">
        <v>0</v>
      </c>
      <c r="CL442" s="72">
        <v>0</v>
      </c>
      <c r="CM442" s="72">
        <v>0</v>
      </c>
      <c r="CN442" s="72">
        <v>0</v>
      </c>
      <c r="CO442" s="72">
        <v>0</v>
      </c>
      <c r="CP442" s="72">
        <v>0</v>
      </c>
      <c r="CQ442" s="72">
        <v>0</v>
      </c>
      <c r="CR442" s="72">
        <v>0</v>
      </c>
      <c r="CS442" s="72">
        <v>0</v>
      </c>
      <c r="CT442" s="72">
        <v>0</v>
      </c>
      <c r="CU442" s="72">
        <v>0</v>
      </c>
      <c r="CV442" s="72">
        <v>0</v>
      </c>
      <c r="CW442" s="72">
        <v>0</v>
      </c>
      <c r="CX442" s="72">
        <v>0</v>
      </c>
      <c r="CY442" s="72">
        <v>0</v>
      </c>
      <c r="CZ442" s="72">
        <v>0</v>
      </c>
      <c r="DA442" s="72">
        <v>0</v>
      </c>
      <c r="DB442" s="72">
        <v>0</v>
      </c>
      <c r="DC442" s="72">
        <v>0</v>
      </c>
      <c r="DD442" s="72">
        <v>0</v>
      </c>
      <c r="DE442" s="72">
        <v>0</v>
      </c>
      <c r="DF442" s="72">
        <v>0</v>
      </c>
      <c r="DG442" s="72">
        <v>0</v>
      </c>
      <c r="DH442" s="72">
        <v>0</v>
      </c>
      <c r="DI442" s="72">
        <v>0</v>
      </c>
      <c r="DJ442" s="72">
        <v>0</v>
      </c>
      <c r="DK442" s="72">
        <v>0</v>
      </c>
      <c r="DL442" s="72">
        <v>0</v>
      </c>
      <c r="DM442" s="72">
        <v>0</v>
      </c>
      <c r="DN442" s="72">
        <v>0</v>
      </c>
      <c r="DO442" s="72">
        <v>0</v>
      </c>
      <c r="DP442" s="72">
        <v>0</v>
      </c>
      <c r="DQ442" s="72">
        <v>0</v>
      </c>
      <c r="DR442" s="72">
        <v>0</v>
      </c>
      <c r="DS442" s="72">
        <v>0</v>
      </c>
      <c r="DT442" s="72">
        <v>0</v>
      </c>
      <c r="DU442" s="72">
        <v>0</v>
      </c>
      <c r="DV442" s="72">
        <v>0</v>
      </c>
      <c r="DW442" s="72">
        <v>0</v>
      </c>
      <c r="DX442" s="72">
        <v>0</v>
      </c>
      <c r="DY442" s="72">
        <v>0</v>
      </c>
      <c r="DZ442" s="72">
        <v>0</v>
      </c>
      <c r="EA442" s="72">
        <v>0</v>
      </c>
      <c r="EB442" s="72">
        <v>0</v>
      </c>
      <c r="EC442" s="72">
        <v>0</v>
      </c>
      <c r="ED442" s="72">
        <v>0</v>
      </c>
      <c r="EE442" s="72">
        <v>0</v>
      </c>
      <c r="EF442" s="72">
        <v>0</v>
      </c>
      <c r="EG442" s="72">
        <v>0</v>
      </c>
      <c r="EH442" s="72">
        <v>0</v>
      </c>
      <c r="EI442" s="72">
        <v>0</v>
      </c>
      <c r="EJ442" s="72">
        <v>0</v>
      </c>
      <c r="EK442" s="72">
        <v>0</v>
      </c>
      <c r="EL442" s="72">
        <v>0</v>
      </c>
    </row>
    <row r="443" spans="1:142" x14ac:dyDescent="0.35">
      <c r="A443" s="59">
        <f>Данные!A443</f>
        <v>6368</v>
      </c>
      <c r="B443" s="59">
        <f>Данные!B443</f>
        <v>2020</v>
      </c>
      <c r="C443" s="59" t="str">
        <f>Данные!C443</f>
        <v>компьютерных технологий и электронного обучения</v>
      </c>
      <c r="D443" s="59" t="str">
        <f>Данные!D443</f>
        <v>Атаян Ануш Михайловна</v>
      </c>
      <c r="E443" s="59" t="str">
        <f>Данные!E443</f>
        <v>кандидат педагогических наук</v>
      </c>
      <c r="F443" s="59" t="str">
        <f>Данные!F443</f>
        <v>доцент</v>
      </c>
      <c r="G443" s="59">
        <f>Данные!G443</f>
        <v>1</v>
      </c>
      <c r="H443" s="59" t="str">
        <f>Данные!H443</f>
        <v>3 курс 2018 год/пост</v>
      </c>
      <c r="I443" s="59" t="str">
        <f>Данные!I443</f>
        <v>Модуль "Информационные технологии". Дисциплины и курсы по выбору. Прикладные информационные технологии</v>
      </c>
      <c r="J443" s="59">
        <f>Данные!J443</f>
        <v>0</v>
      </c>
      <c r="K443" s="59">
        <f>Данные!K443</f>
        <v>0</v>
      </c>
      <c r="L443" s="59">
        <f>Данные!L443</f>
        <v>0</v>
      </c>
      <c r="M443" s="60">
        <f t="shared" si="54"/>
        <v>0</v>
      </c>
      <c r="N443" s="60">
        <f t="shared" ca="1" si="55"/>
        <v>11.57</v>
      </c>
      <c r="O443" s="60">
        <f t="shared" ca="1" si="56"/>
        <v>7.25</v>
      </c>
      <c r="P443" s="60">
        <f t="shared" ca="1" si="57"/>
        <v>7.25</v>
      </c>
      <c r="Q443" s="54">
        <f>Данные!Q443</f>
        <v>0</v>
      </c>
      <c r="R443" s="54">
        <f>Данные!R443</f>
        <v>0</v>
      </c>
      <c r="S443" s="54">
        <f>Данные!S443</f>
        <v>0</v>
      </c>
      <c r="T443" s="54">
        <f>Данные!T443</f>
        <v>0</v>
      </c>
      <c r="U443" s="54">
        <f>Данные!U443</f>
        <v>0</v>
      </c>
      <c r="V443" s="54">
        <f>Данные!V443</f>
        <v>0</v>
      </c>
      <c r="W443" s="54">
        <f ca="1">Данные!W443</f>
        <v>29</v>
      </c>
      <c r="X443" s="54" t="str">
        <f ca="1">Данные!X443</f>
        <v>1</v>
      </c>
      <c r="Y443" s="54" t="str">
        <f ca="1">Данные!Y443</f>
        <v>2</v>
      </c>
      <c r="Z443" s="54">
        <f>Данные!Z443</f>
        <v>0</v>
      </c>
      <c r="AA443" s="54" t="str">
        <f>Данные!AA443</f>
        <v>осн</v>
      </c>
      <c r="AB443" s="101">
        <f t="shared" si="58"/>
        <v>800</v>
      </c>
      <c r="AC443" s="101" t="str">
        <f t="shared" si="59"/>
        <v>ИВТ (бак)</v>
      </c>
      <c r="AD443" s="101" t="str">
        <f t="shared" si="60"/>
        <v/>
      </c>
      <c r="AE443" s="102">
        <f t="shared" ca="1" si="61"/>
        <v>26.07</v>
      </c>
      <c r="AF443" s="103">
        <f t="shared" ca="1" si="62"/>
        <v>3.2587499999999998E-2</v>
      </c>
      <c r="AG443" s="101"/>
      <c r="AH443" s="101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Q443" s="72">
        <v>0</v>
      </c>
      <c r="BR443" s="72">
        <v>0</v>
      </c>
      <c r="BS443" s="72">
        <v>0</v>
      </c>
      <c r="BT443" s="72">
        <v>0</v>
      </c>
      <c r="BU443" s="72">
        <v>0</v>
      </c>
      <c r="BV443" s="72">
        <v>0</v>
      </c>
      <c r="BW443" s="72">
        <v>0</v>
      </c>
      <c r="BX443" s="72">
        <v>0</v>
      </c>
      <c r="BY443" s="72">
        <v>0</v>
      </c>
      <c r="BZ443" s="72">
        <v>0</v>
      </c>
      <c r="CA443" s="72">
        <v>0</v>
      </c>
      <c r="CB443" s="72">
        <v>0</v>
      </c>
      <c r="CC443" s="72">
        <v>0</v>
      </c>
      <c r="CD443" s="72">
        <v>0</v>
      </c>
      <c r="CE443" s="72">
        <v>0</v>
      </c>
      <c r="CF443" s="72">
        <v>0</v>
      </c>
      <c r="CG443" s="72">
        <v>0</v>
      </c>
      <c r="CH443" s="72">
        <v>0</v>
      </c>
      <c r="CI443" s="72">
        <v>0</v>
      </c>
      <c r="CJ443" s="72">
        <v>0</v>
      </c>
      <c r="CK443" s="72">
        <v>0</v>
      </c>
      <c r="CL443" s="72">
        <v>0</v>
      </c>
      <c r="CM443" s="72">
        <v>0</v>
      </c>
      <c r="CN443" s="72">
        <v>0</v>
      </c>
      <c r="CO443" s="72">
        <v>0</v>
      </c>
      <c r="CP443" s="72">
        <v>0</v>
      </c>
      <c r="CQ443" s="72">
        <v>0</v>
      </c>
      <c r="CR443" s="72">
        <v>0</v>
      </c>
      <c r="CS443" s="72">
        <v>0</v>
      </c>
      <c r="CT443" s="72">
        <v>0</v>
      </c>
      <c r="CU443" s="72">
        <v>0</v>
      </c>
      <c r="CV443" s="72">
        <v>0</v>
      </c>
      <c r="CW443" s="72">
        <v>0</v>
      </c>
      <c r="CX443" s="72">
        <v>0</v>
      </c>
      <c r="CY443" s="72">
        <v>0</v>
      </c>
      <c r="CZ443" s="72">
        <v>0</v>
      </c>
      <c r="DA443" s="72">
        <v>0</v>
      </c>
      <c r="DB443" s="72">
        <v>0</v>
      </c>
      <c r="DC443" s="72">
        <v>0</v>
      </c>
      <c r="DD443" s="72">
        <v>0</v>
      </c>
      <c r="DE443" s="72">
        <v>0</v>
      </c>
      <c r="DF443" s="72">
        <v>0</v>
      </c>
      <c r="DG443" s="72">
        <v>0</v>
      </c>
      <c r="DH443" s="72">
        <v>0</v>
      </c>
      <c r="DI443" s="72">
        <v>0</v>
      </c>
      <c r="DJ443" s="72">
        <v>0</v>
      </c>
      <c r="DK443" s="72">
        <v>0</v>
      </c>
      <c r="DL443" s="72">
        <v>0</v>
      </c>
      <c r="DM443" s="72">
        <v>0</v>
      </c>
      <c r="DN443" s="72">
        <v>0</v>
      </c>
      <c r="DO443" s="72">
        <v>0</v>
      </c>
      <c r="DP443" s="72">
        <v>0</v>
      </c>
      <c r="DQ443" s="72">
        <v>0</v>
      </c>
      <c r="DR443" s="72">
        <v>0</v>
      </c>
      <c r="DS443" s="72">
        <v>0</v>
      </c>
      <c r="DT443" s="72">
        <v>0</v>
      </c>
      <c r="DU443" s="72">
        <v>0</v>
      </c>
      <c r="DV443" s="72">
        <v>0</v>
      </c>
      <c r="DW443" s="72">
        <v>0</v>
      </c>
      <c r="DX443" s="72">
        <v>0</v>
      </c>
      <c r="DY443" s="72">
        <v>0</v>
      </c>
      <c r="DZ443" s="72">
        <v>0</v>
      </c>
      <c r="EA443" s="72">
        <v>0</v>
      </c>
      <c r="EB443" s="72">
        <v>0</v>
      </c>
      <c r="EC443" s="72">
        <v>0</v>
      </c>
      <c r="ED443" s="72">
        <v>0</v>
      </c>
      <c r="EE443" s="72">
        <v>0</v>
      </c>
      <c r="EF443" s="72">
        <v>0</v>
      </c>
      <c r="EG443" s="72">
        <v>0</v>
      </c>
      <c r="EH443" s="72">
        <v>0</v>
      </c>
      <c r="EI443" s="72">
        <v>0</v>
      </c>
      <c r="EJ443" s="72">
        <v>0</v>
      </c>
      <c r="EK443" s="72">
        <v>0</v>
      </c>
      <c r="EL443" s="72">
        <v>0</v>
      </c>
    </row>
    <row r="444" spans="1:142" x14ac:dyDescent="0.35">
      <c r="A444" s="59">
        <f>Данные!A444</f>
        <v>6368</v>
      </c>
      <c r="B444" s="59">
        <f>Данные!B444</f>
        <v>2020</v>
      </c>
      <c r="C444" s="59" t="str">
        <f>Данные!C444</f>
        <v>компьютерных технологий и электронного обучения</v>
      </c>
      <c r="D444" s="59" t="str">
        <f>Данные!D444</f>
        <v>Власов Дмитрий Викторович</v>
      </c>
      <c r="E444" s="59" t="str">
        <f>Данные!E444</f>
        <v>нет</v>
      </c>
      <c r="F444" s="59" t="str">
        <f>Данные!F444</f>
        <v>эксперт-программист</v>
      </c>
      <c r="G444" s="59">
        <f>Данные!G444</f>
        <v>1</v>
      </c>
      <c r="H444" s="59" t="str">
        <f>Данные!H444</f>
        <v>3 курс 2018 год/пост</v>
      </c>
      <c r="I444" s="59" t="str">
        <f>Данные!I444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444" s="59">
        <f>Данные!J444</f>
        <v>0</v>
      </c>
      <c r="K444" s="59">
        <f>Данные!K444</f>
        <v>0</v>
      </c>
      <c r="L444" s="59">
        <f>Данные!L444</f>
        <v>0</v>
      </c>
      <c r="M444" s="60">
        <f t="shared" si="54"/>
        <v>0</v>
      </c>
      <c r="N444" s="60">
        <f t="shared" ca="1" si="55"/>
        <v>11.57</v>
      </c>
      <c r="O444" s="60">
        <f t="shared" ca="1" si="56"/>
        <v>7.25</v>
      </c>
      <c r="P444" s="60">
        <f t="shared" ca="1" si="57"/>
        <v>7.25</v>
      </c>
      <c r="Q444" s="54">
        <f>Данные!Q444</f>
        <v>0</v>
      </c>
      <c r="R444" s="54">
        <f>Данные!R444</f>
        <v>0</v>
      </c>
      <c r="S444" s="54">
        <f>Данные!S444</f>
        <v>0</v>
      </c>
      <c r="T444" s="54">
        <f>Данные!T444</f>
        <v>0</v>
      </c>
      <c r="U444" s="54">
        <f>Данные!U444</f>
        <v>52</v>
      </c>
      <c r="V444" s="54">
        <f>Данные!V444</f>
        <v>0</v>
      </c>
      <c r="W444" s="54">
        <f ca="1">Данные!W444</f>
        <v>29</v>
      </c>
      <c r="X444" s="54" t="str">
        <f ca="1">Данные!X444</f>
        <v>1</v>
      </c>
      <c r="Y444" s="54" t="str">
        <f ca="1">Данные!Y444</f>
        <v>2</v>
      </c>
      <c r="Z444" s="54">
        <f>Данные!Z444</f>
        <v>0</v>
      </c>
      <c r="AA444" s="54" t="str">
        <f>Данные!AA444</f>
        <v>осн</v>
      </c>
      <c r="AB444" s="101">
        <f t="shared" si="58"/>
        <v>900</v>
      </c>
      <c r="AC444" s="101" t="str">
        <f t="shared" si="59"/>
        <v>ИВТ (бак)</v>
      </c>
      <c r="AD444" s="101" t="str">
        <f t="shared" si="60"/>
        <v/>
      </c>
      <c r="AE444" s="102">
        <f t="shared" ca="1" si="61"/>
        <v>78.069999999999993</v>
      </c>
      <c r="AF444" s="103">
        <f t="shared" ca="1" si="62"/>
        <v>8.6744444444444443E-2</v>
      </c>
      <c r="AG444" s="101"/>
      <c r="AH444" s="101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Q444" s="72">
        <v>0</v>
      </c>
      <c r="BR444" s="72">
        <v>0</v>
      </c>
      <c r="BS444" s="72">
        <v>0</v>
      </c>
      <c r="BT444" s="72">
        <v>0</v>
      </c>
      <c r="BU444" s="72">
        <v>0</v>
      </c>
      <c r="BV444" s="72">
        <v>0</v>
      </c>
      <c r="BW444" s="72">
        <v>0</v>
      </c>
      <c r="BX444" s="72">
        <v>0</v>
      </c>
      <c r="BY444" s="72">
        <v>0</v>
      </c>
      <c r="BZ444" s="72">
        <v>0</v>
      </c>
      <c r="CA444" s="72">
        <v>0</v>
      </c>
      <c r="CB444" s="72">
        <v>0</v>
      </c>
      <c r="CC444" s="72">
        <v>0</v>
      </c>
      <c r="CD444" s="72">
        <v>0</v>
      </c>
      <c r="CE444" s="72">
        <v>0</v>
      </c>
      <c r="CF444" s="72">
        <v>0</v>
      </c>
      <c r="CG444" s="72">
        <v>0</v>
      </c>
      <c r="CH444" s="72">
        <v>0</v>
      </c>
      <c r="CI444" s="72">
        <v>0</v>
      </c>
      <c r="CJ444" s="72">
        <v>0</v>
      </c>
      <c r="CK444" s="72">
        <v>0</v>
      </c>
      <c r="CL444" s="72">
        <v>0</v>
      </c>
      <c r="CM444" s="72">
        <v>0</v>
      </c>
      <c r="CN444" s="72">
        <v>0</v>
      </c>
      <c r="CO444" s="72">
        <v>0</v>
      </c>
      <c r="CP444" s="72">
        <v>0</v>
      </c>
      <c r="CQ444" s="72">
        <v>0</v>
      </c>
      <c r="CR444" s="72">
        <v>0</v>
      </c>
      <c r="CS444" s="72">
        <v>0</v>
      </c>
      <c r="CT444" s="72">
        <v>0</v>
      </c>
      <c r="CU444" s="72">
        <v>0</v>
      </c>
      <c r="CV444" s="72">
        <v>0</v>
      </c>
      <c r="CW444" s="72">
        <v>0</v>
      </c>
      <c r="CX444" s="72">
        <v>0</v>
      </c>
      <c r="CY444" s="72">
        <v>0</v>
      </c>
      <c r="CZ444" s="72">
        <v>0</v>
      </c>
      <c r="DA444" s="72">
        <v>0</v>
      </c>
      <c r="DB444" s="72">
        <v>0</v>
      </c>
      <c r="DC444" s="72">
        <v>0</v>
      </c>
      <c r="DD444" s="72">
        <v>0</v>
      </c>
      <c r="DE444" s="72">
        <v>0</v>
      </c>
      <c r="DF444" s="72">
        <v>0</v>
      </c>
      <c r="DG444" s="72">
        <v>0</v>
      </c>
      <c r="DH444" s="72">
        <v>0</v>
      </c>
      <c r="DI444" s="72">
        <v>0</v>
      </c>
      <c r="DJ444" s="72">
        <v>0</v>
      </c>
      <c r="DK444" s="72">
        <v>0</v>
      </c>
      <c r="DL444" s="72">
        <v>0</v>
      </c>
      <c r="DM444" s="72">
        <v>0</v>
      </c>
      <c r="DN444" s="72">
        <v>0</v>
      </c>
      <c r="DO444" s="72">
        <v>0</v>
      </c>
      <c r="DP444" s="72">
        <v>0</v>
      </c>
      <c r="DQ444" s="72">
        <v>0</v>
      </c>
      <c r="DR444" s="72">
        <v>0</v>
      </c>
      <c r="DS444" s="72">
        <v>0</v>
      </c>
      <c r="DT444" s="72">
        <v>0</v>
      </c>
      <c r="DU444" s="72">
        <v>0</v>
      </c>
      <c r="DV444" s="72">
        <v>0</v>
      </c>
      <c r="DW444" s="72">
        <v>0</v>
      </c>
      <c r="DX444" s="72">
        <v>0</v>
      </c>
      <c r="DY444" s="72">
        <v>0</v>
      </c>
      <c r="DZ444" s="72">
        <v>0</v>
      </c>
      <c r="EA444" s="72">
        <v>0</v>
      </c>
      <c r="EB444" s="72">
        <v>0</v>
      </c>
      <c r="EC444" s="72">
        <v>0</v>
      </c>
      <c r="ED444" s="72">
        <v>0</v>
      </c>
      <c r="EE444" s="72">
        <v>0</v>
      </c>
      <c r="EF444" s="72">
        <v>0</v>
      </c>
      <c r="EG444" s="72">
        <v>0</v>
      </c>
      <c r="EH444" s="72">
        <v>0</v>
      </c>
      <c r="EI444" s="72">
        <v>0</v>
      </c>
      <c r="EJ444" s="72">
        <v>0</v>
      </c>
      <c r="EK444" s="72">
        <v>0</v>
      </c>
      <c r="EL444" s="72">
        <v>0</v>
      </c>
    </row>
    <row r="445" spans="1:142" x14ac:dyDescent="0.35">
      <c r="A445" s="59">
        <f>Данные!A445</f>
        <v>6368</v>
      </c>
      <c r="B445" s="59">
        <f>Данные!B445</f>
        <v>2020</v>
      </c>
      <c r="C445" s="59" t="str">
        <f>Данные!C445</f>
        <v>компьютерных технологий и электронного обучения</v>
      </c>
      <c r="D445" s="59" t="str">
        <f>Данные!D445</f>
        <v>Власова Елена Зотиковна</v>
      </c>
      <c r="E445" s="59" t="str">
        <f>Данные!E445</f>
        <v>доктор педагогических наук</v>
      </c>
      <c r="F445" s="59" t="str">
        <f>Данные!F445</f>
        <v>заведующий кафедрой</v>
      </c>
      <c r="G445" s="59">
        <f>Данные!G445</f>
        <v>1</v>
      </c>
      <c r="H445" s="59" t="str">
        <f>Данные!H445</f>
        <v>3 курс 2018 год/пост</v>
      </c>
      <c r="I445" s="59" t="str">
        <f>Данные!I445</f>
        <v>Модуль "Информационные технологии"</v>
      </c>
      <c r="J445" s="59">
        <f>Данные!J445</f>
        <v>0</v>
      </c>
      <c r="K445" s="59">
        <f>Данные!K445</f>
        <v>0</v>
      </c>
      <c r="L445" s="59">
        <f>Данные!L445</f>
        <v>0</v>
      </c>
      <c r="M445" s="60">
        <f t="shared" si="54"/>
        <v>0</v>
      </c>
      <c r="N445" s="60">
        <f t="shared" ca="1" si="55"/>
        <v>11.57</v>
      </c>
      <c r="O445" s="60">
        <f t="shared" ca="1" si="56"/>
        <v>7.25</v>
      </c>
      <c r="P445" s="60">
        <f t="shared" ca="1" si="57"/>
        <v>7.25</v>
      </c>
      <c r="Q445" s="54">
        <f>Данные!Q445</f>
        <v>0</v>
      </c>
      <c r="R445" s="54">
        <f>Данные!R445</f>
        <v>0</v>
      </c>
      <c r="S445" s="54">
        <f>Данные!S445</f>
        <v>0</v>
      </c>
      <c r="T445" s="54">
        <f>Данные!T445</f>
        <v>0</v>
      </c>
      <c r="U445" s="54">
        <f>Данные!U445</f>
        <v>0</v>
      </c>
      <c r="V445" s="54">
        <f>Данные!V445</f>
        <v>0</v>
      </c>
      <c r="W445" s="54">
        <f ca="1">Данные!W445</f>
        <v>29</v>
      </c>
      <c r="X445" s="54" t="str">
        <f ca="1">Данные!X445</f>
        <v>1</v>
      </c>
      <c r="Y445" s="54" t="str">
        <f ca="1">Данные!Y445</f>
        <v>2</v>
      </c>
      <c r="Z445" s="54">
        <f>Данные!Z445</f>
        <v>0</v>
      </c>
      <c r="AA445" s="54">
        <f>Данные!AA445</f>
        <v>0</v>
      </c>
      <c r="AB445" s="101">
        <f t="shared" si="58"/>
        <v>700</v>
      </c>
      <c r="AC445" s="101" t="str">
        <f t="shared" si="59"/>
        <v>ИВТ (бак)</v>
      </c>
      <c r="AD445" s="101" t="str">
        <f t="shared" si="60"/>
        <v/>
      </c>
      <c r="AE445" s="102">
        <f t="shared" ca="1" si="61"/>
        <v>26.07</v>
      </c>
      <c r="AF445" s="103">
        <f t="shared" ca="1" si="62"/>
        <v>3.724285714285714E-2</v>
      </c>
      <c r="AG445" s="101"/>
      <c r="AH445" s="101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Q445" s="72">
        <v>0</v>
      </c>
      <c r="BR445" s="72">
        <v>0</v>
      </c>
      <c r="BS445" s="72">
        <v>0</v>
      </c>
      <c r="BT445" s="72">
        <v>0</v>
      </c>
      <c r="BU445" s="72">
        <v>0</v>
      </c>
      <c r="BV445" s="72">
        <v>0</v>
      </c>
      <c r="BW445" s="72">
        <v>0</v>
      </c>
      <c r="BX445" s="72">
        <v>0</v>
      </c>
      <c r="BY445" s="72">
        <v>0</v>
      </c>
      <c r="BZ445" s="72">
        <v>0</v>
      </c>
      <c r="CA445" s="72">
        <v>0</v>
      </c>
      <c r="CB445" s="72">
        <v>0</v>
      </c>
      <c r="CC445" s="72">
        <v>0</v>
      </c>
      <c r="CD445" s="72">
        <v>0</v>
      </c>
      <c r="CE445" s="72">
        <v>0</v>
      </c>
      <c r="CF445" s="72">
        <v>0</v>
      </c>
      <c r="CG445" s="72">
        <v>0</v>
      </c>
      <c r="CH445" s="72">
        <v>0</v>
      </c>
      <c r="CI445" s="72">
        <v>0</v>
      </c>
      <c r="CJ445" s="72">
        <v>0</v>
      </c>
      <c r="CK445" s="72">
        <v>0</v>
      </c>
      <c r="CL445" s="72">
        <v>0</v>
      </c>
      <c r="CM445" s="72">
        <v>0</v>
      </c>
      <c r="CN445" s="72">
        <v>0</v>
      </c>
      <c r="CO445" s="72">
        <v>0</v>
      </c>
      <c r="CP445" s="72">
        <v>0</v>
      </c>
      <c r="CQ445" s="72">
        <v>0</v>
      </c>
      <c r="CR445" s="72">
        <v>0</v>
      </c>
      <c r="CS445" s="72">
        <v>0</v>
      </c>
      <c r="CT445" s="72">
        <v>0</v>
      </c>
      <c r="CU445" s="72">
        <v>0</v>
      </c>
      <c r="CV445" s="72">
        <v>0</v>
      </c>
      <c r="CW445" s="72">
        <v>0</v>
      </c>
      <c r="CX445" s="72">
        <v>0</v>
      </c>
      <c r="CY445" s="72">
        <v>0</v>
      </c>
      <c r="CZ445" s="72">
        <v>0</v>
      </c>
      <c r="DA445" s="72">
        <v>0</v>
      </c>
      <c r="DB445" s="72">
        <v>0</v>
      </c>
      <c r="DC445" s="72">
        <v>0</v>
      </c>
      <c r="DD445" s="72">
        <v>0</v>
      </c>
      <c r="DE445" s="72">
        <v>0</v>
      </c>
      <c r="DF445" s="72">
        <v>0</v>
      </c>
      <c r="DG445" s="72">
        <v>0</v>
      </c>
      <c r="DH445" s="72">
        <v>0</v>
      </c>
      <c r="DI445" s="72">
        <v>0</v>
      </c>
      <c r="DJ445" s="72">
        <v>0</v>
      </c>
      <c r="DK445" s="72">
        <v>0</v>
      </c>
      <c r="DL445" s="72">
        <v>0</v>
      </c>
      <c r="DM445" s="72">
        <v>0</v>
      </c>
      <c r="DN445" s="72">
        <v>0</v>
      </c>
      <c r="DO445" s="72">
        <v>0</v>
      </c>
      <c r="DP445" s="72">
        <v>0</v>
      </c>
      <c r="DQ445" s="72">
        <v>0</v>
      </c>
      <c r="DR445" s="72">
        <v>0</v>
      </c>
      <c r="DS445" s="72">
        <v>0</v>
      </c>
      <c r="DT445" s="72">
        <v>0</v>
      </c>
      <c r="DU445" s="72">
        <v>0</v>
      </c>
      <c r="DV445" s="72">
        <v>0</v>
      </c>
      <c r="DW445" s="72">
        <v>0</v>
      </c>
      <c r="DX445" s="72">
        <v>0</v>
      </c>
      <c r="DY445" s="72">
        <v>0</v>
      </c>
      <c r="DZ445" s="72">
        <v>0</v>
      </c>
      <c r="EA445" s="72">
        <v>0</v>
      </c>
      <c r="EB445" s="72">
        <v>0</v>
      </c>
      <c r="EC445" s="72">
        <v>0</v>
      </c>
      <c r="ED445" s="72">
        <v>0</v>
      </c>
      <c r="EE445" s="72">
        <v>0</v>
      </c>
      <c r="EF445" s="72">
        <v>0</v>
      </c>
      <c r="EG445" s="72">
        <v>0</v>
      </c>
      <c r="EH445" s="72">
        <v>0</v>
      </c>
      <c r="EI445" s="72">
        <v>0</v>
      </c>
      <c r="EJ445" s="72">
        <v>0</v>
      </c>
      <c r="EK445" s="72">
        <v>0</v>
      </c>
      <c r="EL445" s="72">
        <v>0</v>
      </c>
    </row>
    <row r="446" spans="1:142" x14ac:dyDescent="0.35">
      <c r="A446" s="59">
        <f>Данные!A446</f>
        <v>6368</v>
      </c>
      <c r="B446" s="59">
        <f>Данные!B446</f>
        <v>2020</v>
      </c>
      <c r="C446" s="59" t="str">
        <f>Данные!C446</f>
        <v>компьютерных технологий и электронного обучения</v>
      </c>
      <c r="D446" s="59" t="str">
        <f>Данные!D446</f>
        <v>Власова Елена Зотиковна</v>
      </c>
      <c r="E446" s="59" t="str">
        <f>Данные!E446</f>
        <v>доктор педагогических наук</v>
      </c>
      <c r="F446" s="59" t="str">
        <f>Данные!F446</f>
        <v>заведующий кафедрой</v>
      </c>
      <c r="G446" s="59">
        <f>Данные!G446</f>
        <v>1</v>
      </c>
      <c r="H446" s="59" t="str">
        <f>Данные!H446</f>
        <v>3 курс 2018 год/пост</v>
      </c>
      <c r="I446" s="59" t="str">
        <f>Данные!I446</f>
        <v>Модуль "Информационные технологии". Дисциплины и курсы по выбору. Прикладные информационные технологии</v>
      </c>
      <c r="J446" s="59">
        <f>Данные!J446</f>
        <v>0</v>
      </c>
      <c r="K446" s="59">
        <f>Данные!K446</f>
        <v>0</v>
      </c>
      <c r="L446" s="59">
        <f>Данные!L446</f>
        <v>0</v>
      </c>
      <c r="M446" s="60">
        <f t="shared" si="54"/>
        <v>0</v>
      </c>
      <c r="N446" s="60">
        <f t="shared" ca="1" si="55"/>
        <v>11.57</v>
      </c>
      <c r="O446" s="60">
        <f t="shared" ca="1" si="56"/>
        <v>7.25</v>
      </c>
      <c r="P446" s="60">
        <f t="shared" ca="1" si="57"/>
        <v>7.25</v>
      </c>
      <c r="Q446" s="54">
        <f>Данные!Q446</f>
        <v>0</v>
      </c>
      <c r="R446" s="54">
        <f>Данные!R446</f>
        <v>0</v>
      </c>
      <c r="S446" s="54">
        <f>Данные!S446</f>
        <v>0</v>
      </c>
      <c r="T446" s="54">
        <f>Данные!T446</f>
        <v>0</v>
      </c>
      <c r="U446" s="54">
        <f>Данные!U446</f>
        <v>0</v>
      </c>
      <c r="V446" s="54">
        <f>Данные!V446</f>
        <v>0</v>
      </c>
      <c r="W446" s="54">
        <f ca="1">Данные!W446</f>
        <v>29</v>
      </c>
      <c r="X446" s="54" t="str">
        <f ca="1">Данные!X446</f>
        <v>1</v>
      </c>
      <c r="Y446" s="54" t="str">
        <f ca="1">Данные!Y446</f>
        <v>2</v>
      </c>
      <c r="Z446" s="54">
        <f>Данные!Z446</f>
        <v>0</v>
      </c>
      <c r="AA446" s="54">
        <f>Данные!AA446</f>
        <v>0</v>
      </c>
      <c r="AB446" s="101">
        <f t="shared" si="58"/>
        <v>700</v>
      </c>
      <c r="AC446" s="101" t="str">
        <f t="shared" si="59"/>
        <v>ИВТ (бак)</v>
      </c>
      <c r="AD446" s="101" t="str">
        <f t="shared" si="60"/>
        <v/>
      </c>
      <c r="AE446" s="102">
        <f t="shared" ca="1" si="61"/>
        <v>26.07</v>
      </c>
      <c r="AF446" s="103">
        <f t="shared" ca="1" si="62"/>
        <v>3.724285714285714E-2</v>
      </c>
      <c r="AG446" s="101"/>
      <c r="AH446" s="101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Q446" s="72">
        <v>0</v>
      </c>
      <c r="BR446" s="72">
        <v>0</v>
      </c>
      <c r="BS446" s="72">
        <v>0</v>
      </c>
      <c r="BT446" s="72">
        <v>0</v>
      </c>
      <c r="BU446" s="72">
        <v>0</v>
      </c>
      <c r="BV446" s="72">
        <v>0</v>
      </c>
      <c r="BW446" s="72">
        <v>0</v>
      </c>
      <c r="BX446" s="72">
        <v>0</v>
      </c>
      <c r="BY446" s="72">
        <v>0</v>
      </c>
      <c r="BZ446" s="72">
        <v>0</v>
      </c>
      <c r="CA446" s="72">
        <v>0</v>
      </c>
      <c r="CB446" s="72">
        <v>0</v>
      </c>
      <c r="CC446" s="72">
        <v>0</v>
      </c>
      <c r="CD446" s="72">
        <v>0</v>
      </c>
      <c r="CE446" s="72">
        <v>0</v>
      </c>
      <c r="CF446" s="72">
        <v>0</v>
      </c>
      <c r="CG446" s="72">
        <v>0</v>
      </c>
      <c r="CH446" s="72">
        <v>0</v>
      </c>
      <c r="CI446" s="72">
        <v>0</v>
      </c>
      <c r="CJ446" s="72">
        <v>0</v>
      </c>
      <c r="CK446" s="72">
        <v>0</v>
      </c>
      <c r="CL446" s="72">
        <v>0</v>
      </c>
      <c r="CM446" s="72">
        <v>0</v>
      </c>
      <c r="CN446" s="72">
        <v>0</v>
      </c>
      <c r="CO446" s="72">
        <v>0</v>
      </c>
      <c r="CP446" s="72">
        <v>0</v>
      </c>
      <c r="CQ446" s="72">
        <v>0</v>
      </c>
      <c r="CR446" s="72">
        <v>0</v>
      </c>
      <c r="CS446" s="72">
        <v>0</v>
      </c>
      <c r="CT446" s="72">
        <v>0</v>
      </c>
      <c r="CU446" s="72">
        <v>0</v>
      </c>
      <c r="CV446" s="72">
        <v>0</v>
      </c>
      <c r="CW446" s="72">
        <v>0</v>
      </c>
      <c r="CX446" s="72">
        <v>0</v>
      </c>
      <c r="CY446" s="72">
        <v>0</v>
      </c>
      <c r="CZ446" s="72">
        <v>0</v>
      </c>
      <c r="DA446" s="72">
        <v>0</v>
      </c>
      <c r="DB446" s="72">
        <v>0</v>
      </c>
      <c r="DC446" s="72">
        <v>0</v>
      </c>
      <c r="DD446" s="72">
        <v>0</v>
      </c>
      <c r="DE446" s="72">
        <v>0</v>
      </c>
      <c r="DF446" s="72">
        <v>0</v>
      </c>
      <c r="DG446" s="72">
        <v>0</v>
      </c>
      <c r="DH446" s="72">
        <v>0</v>
      </c>
      <c r="DI446" s="72">
        <v>0</v>
      </c>
      <c r="DJ446" s="72">
        <v>0</v>
      </c>
      <c r="DK446" s="72">
        <v>0</v>
      </c>
      <c r="DL446" s="72">
        <v>0</v>
      </c>
      <c r="DM446" s="72">
        <v>0</v>
      </c>
      <c r="DN446" s="72">
        <v>0</v>
      </c>
      <c r="DO446" s="72">
        <v>0</v>
      </c>
      <c r="DP446" s="72">
        <v>0</v>
      </c>
      <c r="DQ446" s="72">
        <v>0</v>
      </c>
      <c r="DR446" s="72">
        <v>0</v>
      </c>
      <c r="DS446" s="72">
        <v>0</v>
      </c>
      <c r="DT446" s="72">
        <v>0</v>
      </c>
      <c r="DU446" s="72">
        <v>0</v>
      </c>
      <c r="DV446" s="72">
        <v>0</v>
      </c>
      <c r="DW446" s="72">
        <v>0</v>
      </c>
      <c r="DX446" s="72">
        <v>0</v>
      </c>
      <c r="DY446" s="72">
        <v>0</v>
      </c>
      <c r="DZ446" s="72">
        <v>0</v>
      </c>
      <c r="EA446" s="72">
        <v>0</v>
      </c>
      <c r="EB446" s="72">
        <v>0</v>
      </c>
      <c r="EC446" s="72">
        <v>0</v>
      </c>
      <c r="ED446" s="72">
        <v>0</v>
      </c>
      <c r="EE446" s="72">
        <v>0</v>
      </c>
      <c r="EF446" s="72">
        <v>0</v>
      </c>
      <c r="EG446" s="72">
        <v>0</v>
      </c>
      <c r="EH446" s="72">
        <v>0</v>
      </c>
      <c r="EI446" s="72">
        <v>0</v>
      </c>
      <c r="EJ446" s="72">
        <v>0</v>
      </c>
      <c r="EK446" s="72">
        <v>0</v>
      </c>
      <c r="EL446" s="72">
        <v>0</v>
      </c>
    </row>
    <row r="447" spans="1:142" x14ac:dyDescent="0.35">
      <c r="A447" s="59">
        <f>Данные!A447</f>
        <v>6368</v>
      </c>
      <c r="B447" s="59">
        <f>Данные!B447</f>
        <v>2020</v>
      </c>
      <c r="C447" s="59" t="str">
        <f>Данные!C447</f>
        <v>компьютерных технологий и электронного обучения</v>
      </c>
      <c r="D447" s="59" t="str">
        <f>Данные!D447</f>
        <v>Власова Елена Зотиковна</v>
      </c>
      <c r="E447" s="59" t="str">
        <f>Данные!E447</f>
        <v>доктор педагогических наук</v>
      </c>
      <c r="F447" s="59" t="str">
        <f>Данные!F447</f>
        <v>заведующий кафедрой</v>
      </c>
      <c r="G447" s="59">
        <f>Данные!G447</f>
        <v>1</v>
      </c>
      <c r="H447" s="59" t="str">
        <f>Данные!H447</f>
        <v>3 курс 2018 год/пост</v>
      </c>
      <c r="I447" s="59" t="str">
        <f>Данные!I447</f>
        <v>Модуль "Информационные технологии". Основы корпоративного электронного обучения</v>
      </c>
      <c r="J447" s="59">
        <f>Данные!J447</f>
        <v>6</v>
      </c>
      <c r="K447" s="59">
        <f>Данные!K447</f>
        <v>0</v>
      </c>
      <c r="L447" s="59">
        <f>Данные!L447</f>
        <v>0</v>
      </c>
      <c r="M447" s="60">
        <f t="shared" si="54"/>
        <v>0.6</v>
      </c>
      <c r="N447" s="60">
        <f t="shared" ca="1" si="55"/>
        <v>11.57</v>
      </c>
      <c r="O447" s="60">
        <f t="shared" ca="1" si="56"/>
        <v>7.25</v>
      </c>
      <c r="P447" s="60">
        <f t="shared" ca="1" si="57"/>
        <v>7.25</v>
      </c>
      <c r="Q447" s="54">
        <f>Данные!Q447</f>
        <v>0</v>
      </c>
      <c r="R447" s="54">
        <f>Данные!R447</f>
        <v>0</v>
      </c>
      <c r="S447" s="54">
        <f>Данные!S447</f>
        <v>0</v>
      </c>
      <c r="T447" s="54">
        <f>Данные!T447</f>
        <v>0</v>
      </c>
      <c r="U447" s="54">
        <f>Данные!U447</f>
        <v>0</v>
      </c>
      <c r="V447" s="54">
        <f>Данные!V447</f>
        <v>0</v>
      </c>
      <c r="W447" s="54">
        <f ca="1">Данные!W447</f>
        <v>29</v>
      </c>
      <c r="X447" s="54" t="str">
        <f ca="1">Данные!X447</f>
        <v>1</v>
      </c>
      <c r="Y447" s="54" t="str">
        <f ca="1">Данные!Y447</f>
        <v>2</v>
      </c>
      <c r="Z447" s="54">
        <f>Данные!Z447</f>
        <v>0</v>
      </c>
      <c r="AA447" s="54" t="str">
        <f>Данные!AA447</f>
        <v>осн</v>
      </c>
      <c r="AB447" s="101">
        <f t="shared" si="58"/>
        <v>700</v>
      </c>
      <c r="AC447" s="101" t="str">
        <f t="shared" si="59"/>
        <v>ИВТ (бак)</v>
      </c>
      <c r="AD447" s="101" t="str">
        <f t="shared" si="60"/>
        <v/>
      </c>
      <c r="AE447" s="102">
        <f t="shared" ca="1" si="61"/>
        <v>32.67</v>
      </c>
      <c r="AF447" s="103">
        <f t="shared" ca="1" si="62"/>
        <v>4.6671428571428572E-2</v>
      </c>
      <c r="AG447" s="101"/>
      <c r="AH447" s="101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Q447" s="72">
        <v>0</v>
      </c>
      <c r="BR447" s="72">
        <v>0</v>
      </c>
      <c r="BS447" s="72">
        <v>0</v>
      </c>
      <c r="BT447" s="72">
        <v>0</v>
      </c>
      <c r="BU447" s="72">
        <v>0</v>
      </c>
      <c r="BV447" s="72">
        <v>0</v>
      </c>
      <c r="BW447" s="72">
        <v>0</v>
      </c>
      <c r="BX447" s="72">
        <v>0</v>
      </c>
      <c r="BY447" s="72">
        <v>0</v>
      </c>
      <c r="BZ447" s="72">
        <v>0</v>
      </c>
      <c r="CA447" s="72">
        <v>0</v>
      </c>
      <c r="CB447" s="72">
        <v>0</v>
      </c>
      <c r="CC447" s="72">
        <v>0</v>
      </c>
      <c r="CD447" s="72">
        <v>0</v>
      </c>
      <c r="CE447" s="72">
        <v>0</v>
      </c>
      <c r="CF447" s="72">
        <v>0</v>
      </c>
      <c r="CG447" s="72">
        <v>0</v>
      </c>
      <c r="CH447" s="72">
        <v>0</v>
      </c>
      <c r="CI447" s="72">
        <v>0</v>
      </c>
      <c r="CJ447" s="72">
        <v>0</v>
      </c>
      <c r="CK447" s="72">
        <v>0</v>
      </c>
      <c r="CL447" s="72">
        <v>0</v>
      </c>
      <c r="CM447" s="72">
        <v>0</v>
      </c>
      <c r="CN447" s="72">
        <v>0</v>
      </c>
      <c r="CO447" s="72">
        <v>0</v>
      </c>
      <c r="CP447" s="72">
        <v>0</v>
      </c>
      <c r="CQ447" s="72">
        <v>0</v>
      </c>
      <c r="CR447" s="72">
        <v>0</v>
      </c>
      <c r="CS447" s="72">
        <v>0</v>
      </c>
      <c r="CT447" s="72">
        <v>0</v>
      </c>
      <c r="CU447" s="72">
        <v>0</v>
      </c>
      <c r="CV447" s="72">
        <v>0</v>
      </c>
      <c r="CW447" s="72">
        <v>0</v>
      </c>
      <c r="CX447" s="72">
        <v>0</v>
      </c>
      <c r="CY447" s="72">
        <v>0</v>
      </c>
      <c r="CZ447" s="72">
        <v>0</v>
      </c>
      <c r="DA447" s="72">
        <v>0</v>
      </c>
      <c r="DB447" s="72">
        <v>0</v>
      </c>
      <c r="DC447" s="72">
        <v>0</v>
      </c>
      <c r="DD447" s="72">
        <v>0</v>
      </c>
      <c r="DE447" s="72">
        <v>0</v>
      </c>
      <c r="DF447" s="72">
        <v>0</v>
      </c>
      <c r="DG447" s="72">
        <v>0</v>
      </c>
      <c r="DH447" s="72">
        <v>0</v>
      </c>
      <c r="DI447" s="72">
        <v>0</v>
      </c>
      <c r="DJ447" s="72">
        <v>0</v>
      </c>
      <c r="DK447" s="72">
        <v>0</v>
      </c>
      <c r="DL447" s="72">
        <v>0</v>
      </c>
      <c r="DM447" s="72">
        <v>0</v>
      </c>
      <c r="DN447" s="72">
        <v>0</v>
      </c>
      <c r="DO447" s="72">
        <v>0</v>
      </c>
      <c r="DP447" s="72">
        <v>0</v>
      </c>
      <c r="DQ447" s="72">
        <v>0</v>
      </c>
      <c r="DR447" s="72">
        <v>0</v>
      </c>
      <c r="DS447" s="72">
        <v>0</v>
      </c>
      <c r="DT447" s="72">
        <v>0</v>
      </c>
      <c r="DU447" s="72">
        <v>0</v>
      </c>
      <c r="DV447" s="72">
        <v>0</v>
      </c>
      <c r="DW447" s="72">
        <v>0</v>
      </c>
      <c r="DX447" s="72">
        <v>0</v>
      </c>
      <c r="DY447" s="72">
        <v>0</v>
      </c>
      <c r="DZ447" s="72">
        <v>0</v>
      </c>
      <c r="EA447" s="72">
        <v>0</v>
      </c>
      <c r="EB447" s="72">
        <v>0</v>
      </c>
      <c r="EC447" s="72">
        <v>0</v>
      </c>
      <c r="ED447" s="72">
        <v>0</v>
      </c>
      <c r="EE447" s="72">
        <v>0</v>
      </c>
      <c r="EF447" s="72">
        <v>0</v>
      </c>
      <c r="EG447" s="72">
        <v>0</v>
      </c>
      <c r="EH447" s="72">
        <v>0</v>
      </c>
      <c r="EI447" s="72">
        <v>0</v>
      </c>
      <c r="EJ447" s="72">
        <v>0</v>
      </c>
      <c r="EK447" s="72">
        <v>0</v>
      </c>
      <c r="EL447" s="72">
        <v>0</v>
      </c>
    </row>
    <row r="448" spans="1:142" x14ac:dyDescent="0.35">
      <c r="A448" s="59">
        <f>Данные!A448</f>
        <v>6368</v>
      </c>
      <c r="B448" s="59">
        <f>Данные!B448</f>
        <v>2020</v>
      </c>
      <c r="C448" s="59" t="str">
        <f>Данные!C448</f>
        <v>компьютерных технологий и электронного обучения</v>
      </c>
      <c r="D448" s="59" t="str">
        <f>Данные!D448</f>
        <v>Воробьев Владимир Иванович</v>
      </c>
      <c r="E448" s="59" t="str">
        <f>Данные!E448</f>
        <v>доктор технических наук</v>
      </c>
      <c r="F448" s="59" t="str">
        <f>Данные!F448</f>
        <v>внешний</v>
      </c>
      <c r="G448" s="59">
        <f>Данные!G448</f>
        <v>1</v>
      </c>
      <c r="H448" s="59" t="str">
        <f>Данные!H448</f>
        <v>3 курс 2018 год/пост</v>
      </c>
      <c r="I448" s="59" t="str">
        <f>Данные!I448</f>
        <v>Модуль "Информационные ресурсы и средства профессиональной деятельности инженера". Управление программными проектами</v>
      </c>
      <c r="J448" s="59">
        <f>Данные!J448</f>
        <v>18</v>
      </c>
      <c r="K448" s="59">
        <f>Данные!K448</f>
        <v>0</v>
      </c>
      <c r="L448" s="59">
        <f>Данные!L448</f>
        <v>0</v>
      </c>
      <c r="M448" s="60">
        <f t="shared" si="54"/>
        <v>1.8</v>
      </c>
      <c r="N448" s="60">
        <f t="shared" ca="1" si="55"/>
        <v>11.57</v>
      </c>
      <c r="O448" s="60">
        <f t="shared" ca="1" si="56"/>
        <v>7.25</v>
      </c>
      <c r="P448" s="60">
        <f t="shared" ca="1" si="57"/>
        <v>7.25</v>
      </c>
      <c r="Q448" s="54">
        <f>Данные!Q448</f>
        <v>36</v>
      </c>
      <c r="R448" s="54">
        <f>Данные!R448</f>
        <v>0</v>
      </c>
      <c r="S448" s="54">
        <f>Данные!S448</f>
        <v>0</v>
      </c>
      <c r="T448" s="54">
        <f>Данные!T448</f>
        <v>0</v>
      </c>
      <c r="U448" s="54">
        <f>Данные!U448</f>
        <v>0</v>
      </c>
      <c r="V448" s="54">
        <f>Данные!V448</f>
        <v>0</v>
      </c>
      <c r="W448" s="54">
        <f ca="1">Данные!W448</f>
        <v>29</v>
      </c>
      <c r="X448" s="54" t="str">
        <f ca="1">Данные!X448</f>
        <v>1</v>
      </c>
      <c r="Y448" s="54" t="str">
        <f ca="1">Данные!Y448</f>
        <v>2</v>
      </c>
      <c r="Z448" s="54">
        <f>Данные!Z448</f>
        <v>0</v>
      </c>
      <c r="AA448" s="54">
        <f>Данные!AA448</f>
        <v>0</v>
      </c>
      <c r="AB448" s="101">
        <f t="shared" si="58"/>
        <v>900</v>
      </c>
      <c r="AC448" s="101" t="str">
        <f t="shared" si="59"/>
        <v>ИВТ (бак)</v>
      </c>
      <c r="AD448" s="101" t="str">
        <f t="shared" si="60"/>
        <v/>
      </c>
      <c r="AE448" s="102">
        <f t="shared" ca="1" si="61"/>
        <v>81.87</v>
      </c>
      <c r="AF448" s="103">
        <f t="shared" ca="1" si="62"/>
        <v>9.0966666666666668E-2</v>
      </c>
      <c r="AG448" s="101"/>
      <c r="AH448" s="101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Q448" s="72">
        <v>0</v>
      </c>
      <c r="BR448" s="72">
        <v>0</v>
      </c>
      <c r="BS448" s="72">
        <v>0</v>
      </c>
      <c r="BT448" s="72">
        <v>0</v>
      </c>
      <c r="BU448" s="72">
        <v>0</v>
      </c>
      <c r="BV448" s="72">
        <v>0</v>
      </c>
      <c r="BW448" s="72">
        <v>0</v>
      </c>
      <c r="BX448" s="72">
        <v>0</v>
      </c>
      <c r="BY448" s="72">
        <v>0</v>
      </c>
      <c r="BZ448" s="72">
        <v>0</v>
      </c>
      <c r="CA448" s="72">
        <v>0</v>
      </c>
      <c r="CB448" s="72">
        <v>0</v>
      </c>
      <c r="CC448" s="72">
        <v>0</v>
      </c>
      <c r="CD448" s="72">
        <v>0</v>
      </c>
      <c r="CE448" s="72">
        <v>0</v>
      </c>
      <c r="CF448" s="72">
        <v>0</v>
      </c>
      <c r="CG448" s="72">
        <v>0</v>
      </c>
      <c r="CH448" s="72">
        <v>0</v>
      </c>
      <c r="CI448" s="72">
        <v>0</v>
      </c>
      <c r="CJ448" s="72">
        <v>0</v>
      </c>
      <c r="CK448" s="72">
        <v>0</v>
      </c>
      <c r="CL448" s="72">
        <v>0</v>
      </c>
      <c r="CM448" s="72">
        <v>0</v>
      </c>
      <c r="CN448" s="72">
        <v>0</v>
      </c>
      <c r="CO448" s="72">
        <v>0</v>
      </c>
      <c r="CP448" s="72">
        <v>0</v>
      </c>
      <c r="CQ448" s="72">
        <v>0</v>
      </c>
      <c r="CR448" s="72">
        <v>0</v>
      </c>
      <c r="CS448" s="72">
        <v>0</v>
      </c>
      <c r="CT448" s="72">
        <v>0</v>
      </c>
      <c r="CU448" s="72">
        <v>0</v>
      </c>
      <c r="CV448" s="72">
        <v>0</v>
      </c>
      <c r="CW448" s="72">
        <v>0</v>
      </c>
      <c r="CX448" s="72">
        <v>0</v>
      </c>
      <c r="CY448" s="72">
        <v>0</v>
      </c>
      <c r="CZ448" s="72">
        <v>0</v>
      </c>
      <c r="DA448" s="72">
        <v>0</v>
      </c>
      <c r="DB448" s="72">
        <v>0</v>
      </c>
      <c r="DC448" s="72">
        <v>0</v>
      </c>
      <c r="DD448" s="72">
        <v>0</v>
      </c>
      <c r="DE448" s="72">
        <v>0</v>
      </c>
      <c r="DF448" s="72">
        <v>0</v>
      </c>
      <c r="DG448" s="72">
        <v>0</v>
      </c>
      <c r="DH448" s="72">
        <v>0</v>
      </c>
      <c r="DI448" s="72">
        <v>0</v>
      </c>
      <c r="DJ448" s="72">
        <v>0</v>
      </c>
      <c r="DK448" s="72">
        <v>0</v>
      </c>
      <c r="DL448" s="72">
        <v>0</v>
      </c>
      <c r="DM448" s="72">
        <v>0</v>
      </c>
      <c r="DN448" s="72">
        <v>0</v>
      </c>
      <c r="DO448" s="72">
        <v>0</v>
      </c>
      <c r="DP448" s="72">
        <v>0</v>
      </c>
      <c r="DQ448" s="72">
        <v>0</v>
      </c>
      <c r="DR448" s="72">
        <v>0</v>
      </c>
      <c r="DS448" s="72">
        <v>0</v>
      </c>
      <c r="DT448" s="72">
        <v>0</v>
      </c>
      <c r="DU448" s="72">
        <v>0</v>
      </c>
      <c r="DV448" s="72">
        <v>0</v>
      </c>
      <c r="DW448" s="72">
        <v>0</v>
      </c>
      <c r="DX448" s="72">
        <v>0</v>
      </c>
      <c r="DY448" s="72">
        <v>0</v>
      </c>
      <c r="DZ448" s="72">
        <v>0</v>
      </c>
      <c r="EA448" s="72">
        <v>0</v>
      </c>
      <c r="EB448" s="72">
        <v>0</v>
      </c>
      <c r="EC448" s="72">
        <v>0</v>
      </c>
      <c r="ED448" s="72">
        <v>0</v>
      </c>
      <c r="EE448" s="72">
        <v>0</v>
      </c>
      <c r="EF448" s="72">
        <v>0</v>
      </c>
      <c r="EG448" s="72">
        <v>0</v>
      </c>
      <c r="EH448" s="72">
        <v>0</v>
      </c>
      <c r="EI448" s="72">
        <v>0</v>
      </c>
      <c r="EJ448" s="72">
        <v>0</v>
      </c>
      <c r="EK448" s="72">
        <v>0</v>
      </c>
      <c r="EL448" s="72">
        <v>0</v>
      </c>
    </row>
    <row r="449" spans="1:142" x14ac:dyDescent="0.35">
      <c r="A449" s="59">
        <f>Данные!A449</f>
        <v>6368</v>
      </c>
      <c r="B449" s="59">
        <f>Данные!B449</f>
        <v>2020</v>
      </c>
      <c r="C449" s="59" t="str">
        <f>Данные!C449</f>
        <v>компьютерных технологий и электронного обучения</v>
      </c>
      <c r="D449" s="59" t="str">
        <f>Данные!D449</f>
        <v>Государев Илья Борисович</v>
      </c>
      <c r="E449" s="59" t="str">
        <f>Данные!E449</f>
        <v>кандидат педагогических наук</v>
      </c>
      <c r="F449" s="59" t="str">
        <f>Данные!F449</f>
        <v>доцент</v>
      </c>
      <c r="G449" s="59">
        <f>Данные!G449</f>
        <v>1</v>
      </c>
      <c r="H449" s="59" t="str">
        <f>Данные!H449</f>
        <v>3 курс 2018 год/пост</v>
      </c>
      <c r="I449" s="59" t="str">
        <f>Данные!I449</f>
        <v>Модуль "Информационные технологии". Информационные технологии в изучении иностранных языков</v>
      </c>
      <c r="J449" s="59">
        <f>Данные!J449</f>
        <v>0</v>
      </c>
      <c r="K449" s="59">
        <f>Данные!K449</f>
        <v>0</v>
      </c>
      <c r="L449" s="59">
        <f>Данные!L449</f>
        <v>108</v>
      </c>
      <c r="M449" s="60">
        <f t="shared" si="54"/>
        <v>10.8</v>
      </c>
      <c r="N449" s="60">
        <f t="shared" ca="1" si="55"/>
        <v>11.57</v>
      </c>
      <c r="O449" s="60">
        <f t="shared" ca="1" si="56"/>
        <v>7.25</v>
      </c>
      <c r="P449" s="60">
        <f t="shared" ca="1" si="57"/>
        <v>7.25</v>
      </c>
      <c r="Q449" s="54">
        <f>Данные!Q449</f>
        <v>0</v>
      </c>
      <c r="R449" s="54">
        <f>Данные!R449</f>
        <v>0</v>
      </c>
      <c r="S449" s="54">
        <f>Данные!S449</f>
        <v>0</v>
      </c>
      <c r="T449" s="54">
        <f>Данные!T449</f>
        <v>0</v>
      </c>
      <c r="U449" s="54">
        <f>Данные!U449</f>
        <v>0</v>
      </c>
      <c r="V449" s="54">
        <f>Данные!V449</f>
        <v>0</v>
      </c>
      <c r="W449" s="54">
        <f ca="1">Данные!W449</f>
        <v>29</v>
      </c>
      <c r="X449" s="54" t="str">
        <f ca="1">Данные!X449</f>
        <v>1</v>
      </c>
      <c r="Y449" s="54" t="str">
        <f ca="1">Данные!Y449</f>
        <v>2</v>
      </c>
      <c r="Z449" s="54">
        <f>Данные!Z449</f>
        <v>0</v>
      </c>
      <c r="AA449" s="54" t="str">
        <f>Данные!AA449</f>
        <v>осн</v>
      </c>
      <c r="AB449" s="101">
        <f t="shared" si="58"/>
        <v>800</v>
      </c>
      <c r="AC449" s="101" t="str">
        <f t="shared" si="59"/>
        <v>ИВТ (бак)</v>
      </c>
      <c r="AD449" s="101" t="str">
        <f t="shared" si="60"/>
        <v/>
      </c>
      <c r="AE449" s="102">
        <f t="shared" ca="1" si="61"/>
        <v>144.87</v>
      </c>
      <c r="AF449" s="103">
        <f t="shared" ca="1" si="62"/>
        <v>0.18108750000000001</v>
      </c>
      <c r="AG449" s="101"/>
      <c r="AH449" s="101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Q449" s="72">
        <v>0</v>
      </c>
      <c r="BR449" s="72">
        <v>0</v>
      </c>
      <c r="BS449" s="72">
        <v>0</v>
      </c>
      <c r="BT449" s="72">
        <v>0</v>
      </c>
      <c r="BU449" s="72">
        <v>0</v>
      </c>
      <c r="BV449" s="72">
        <v>0</v>
      </c>
      <c r="BW449" s="72">
        <v>0</v>
      </c>
      <c r="BX449" s="72">
        <v>0</v>
      </c>
      <c r="BY449" s="72">
        <v>0</v>
      </c>
      <c r="BZ449" s="72">
        <v>0</v>
      </c>
      <c r="CA449" s="72">
        <v>0</v>
      </c>
      <c r="CB449" s="72">
        <v>0</v>
      </c>
      <c r="CC449" s="72">
        <v>0</v>
      </c>
      <c r="CD449" s="72">
        <v>0</v>
      </c>
      <c r="CE449" s="72">
        <v>0</v>
      </c>
      <c r="CF449" s="72">
        <v>0</v>
      </c>
      <c r="CG449" s="72">
        <v>0</v>
      </c>
      <c r="CH449" s="72">
        <v>0</v>
      </c>
      <c r="CI449" s="72">
        <v>0</v>
      </c>
      <c r="CJ449" s="72">
        <v>0</v>
      </c>
      <c r="CK449" s="72">
        <v>0</v>
      </c>
      <c r="CL449" s="72">
        <v>0</v>
      </c>
      <c r="CM449" s="72">
        <v>0</v>
      </c>
      <c r="CN449" s="72">
        <v>0</v>
      </c>
      <c r="CO449" s="72">
        <v>0</v>
      </c>
      <c r="CP449" s="72">
        <v>0</v>
      </c>
      <c r="CQ449" s="72">
        <v>0</v>
      </c>
      <c r="CR449" s="72">
        <v>0</v>
      </c>
      <c r="CS449" s="72">
        <v>0</v>
      </c>
      <c r="CT449" s="72">
        <v>0</v>
      </c>
      <c r="CU449" s="72">
        <v>0</v>
      </c>
      <c r="CV449" s="72">
        <v>0</v>
      </c>
      <c r="CW449" s="72">
        <v>0</v>
      </c>
      <c r="CX449" s="72">
        <v>0</v>
      </c>
      <c r="CY449" s="72">
        <v>0</v>
      </c>
      <c r="CZ449" s="72">
        <v>0</v>
      </c>
      <c r="DA449" s="72">
        <v>0</v>
      </c>
      <c r="DB449" s="72">
        <v>0</v>
      </c>
      <c r="DC449" s="72">
        <v>0</v>
      </c>
      <c r="DD449" s="72">
        <v>0</v>
      </c>
      <c r="DE449" s="72">
        <v>0</v>
      </c>
      <c r="DF449" s="72">
        <v>0</v>
      </c>
      <c r="DG449" s="72">
        <v>0</v>
      </c>
      <c r="DH449" s="72">
        <v>0</v>
      </c>
      <c r="DI449" s="72">
        <v>0</v>
      </c>
      <c r="DJ449" s="72">
        <v>0</v>
      </c>
      <c r="DK449" s="72">
        <v>0</v>
      </c>
      <c r="DL449" s="72">
        <v>0</v>
      </c>
      <c r="DM449" s="72">
        <v>0</v>
      </c>
      <c r="DN449" s="72">
        <v>0</v>
      </c>
      <c r="DO449" s="72">
        <v>0</v>
      </c>
      <c r="DP449" s="72">
        <v>0</v>
      </c>
      <c r="DQ449" s="72">
        <v>0</v>
      </c>
      <c r="DR449" s="72">
        <v>0</v>
      </c>
      <c r="DS449" s="72">
        <v>0</v>
      </c>
      <c r="DT449" s="72">
        <v>0</v>
      </c>
      <c r="DU449" s="72">
        <v>0</v>
      </c>
      <c r="DV449" s="72">
        <v>0</v>
      </c>
      <c r="DW449" s="72">
        <v>0</v>
      </c>
      <c r="DX449" s="72">
        <v>0</v>
      </c>
      <c r="DY449" s="72">
        <v>0</v>
      </c>
      <c r="DZ449" s="72">
        <v>0</v>
      </c>
      <c r="EA449" s="72">
        <v>0</v>
      </c>
      <c r="EB449" s="72">
        <v>0</v>
      </c>
      <c r="EC449" s="72">
        <v>0</v>
      </c>
      <c r="ED449" s="72">
        <v>0</v>
      </c>
      <c r="EE449" s="72">
        <v>0</v>
      </c>
      <c r="EF449" s="72">
        <v>0</v>
      </c>
      <c r="EG449" s="72">
        <v>0</v>
      </c>
      <c r="EH449" s="72">
        <v>0</v>
      </c>
      <c r="EI449" s="72">
        <v>0</v>
      </c>
      <c r="EJ449" s="72">
        <v>0</v>
      </c>
      <c r="EK449" s="72">
        <v>0</v>
      </c>
      <c r="EL449" s="72">
        <v>0</v>
      </c>
    </row>
    <row r="450" spans="1:142" x14ac:dyDescent="0.35">
      <c r="A450" s="59">
        <f>Данные!A450</f>
        <v>6368</v>
      </c>
      <c r="B450" s="59">
        <f>Данные!B450</f>
        <v>2020</v>
      </c>
      <c r="C450" s="59" t="str">
        <f>Данные!C450</f>
        <v>компьютерных технологий и электронного обучения</v>
      </c>
      <c r="D450" s="59" t="str">
        <f>Данные!D450</f>
        <v>Государев Илья Борисович</v>
      </c>
      <c r="E450" s="59" t="str">
        <f>Данные!E450</f>
        <v>кандидат педагогических наук</v>
      </c>
      <c r="F450" s="59" t="str">
        <f>Данные!F450</f>
        <v>доцент</v>
      </c>
      <c r="G450" s="59">
        <f>Данные!G450</f>
        <v>1</v>
      </c>
      <c r="H450" s="59" t="str">
        <f>Данные!H450</f>
        <v>3 курс 2018 год/пост</v>
      </c>
      <c r="I450" s="59" t="str">
        <f>Данные!I450</f>
        <v>Модуль "Системное и прикладное программное обеспечение". Программирование</v>
      </c>
      <c r="J450" s="59">
        <f>Данные!J450</f>
        <v>36</v>
      </c>
      <c r="K450" s="59">
        <f>Данные!K450</f>
        <v>0</v>
      </c>
      <c r="L450" s="59">
        <f>Данные!L450</f>
        <v>0</v>
      </c>
      <c r="M450" s="60">
        <f t="shared" si="54"/>
        <v>3.6</v>
      </c>
      <c r="N450" s="60">
        <f t="shared" ca="1" si="55"/>
        <v>11.57</v>
      </c>
      <c r="O450" s="60">
        <f t="shared" ca="1" si="56"/>
        <v>7.25</v>
      </c>
      <c r="P450" s="60">
        <f t="shared" ca="1" si="57"/>
        <v>7.25</v>
      </c>
      <c r="Q450" s="54">
        <f>Данные!Q450</f>
        <v>0</v>
      </c>
      <c r="R450" s="54">
        <f>Данные!R450</f>
        <v>0</v>
      </c>
      <c r="S450" s="54">
        <f>Данные!S450</f>
        <v>0</v>
      </c>
      <c r="T450" s="54">
        <f>Данные!T450</f>
        <v>0</v>
      </c>
      <c r="U450" s="54">
        <f>Данные!U450</f>
        <v>0</v>
      </c>
      <c r="V450" s="54">
        <f>Данные!V450</f>
        <v>0</v>
      </c>
      <c r="W450" s="54">
        <f ca="1">Данные!W450</f>
        <v>29</v>
      </c>
      <c r="X450" s="54" t="str">
        <f ca="1">Данные!X450</f>
        <v>1</v>
      </c>
      <c r="Y450" s="54" t="str">
        <f ca="1">Данные!Y450</f>
        <v>2</v>
      </c>
      <c r="Z450" s="54">
        <f>Данные!Z450</f>
        <v>0</v>
      </c>
      <c r="AA450" s="54" t="str">
        <f>Данные!AA450</f>
        <v>осн</v>
      </c>
      <c r="AB450" s="101">
        <f t="shared" si="58"/>
        <v>800</v>
      </c>
      <c r="AC450" s="101" t="str">
        <f t="shared" si="59"/>
        <v>ИВТ (бак)</v>
      </c>
      <c r="AD450" s="101" t="str">
        <f t="shared" si="60"/>
        <v/>
      </c>
      <c r="AE450" s="102">
        <f t="shared" ca="1" si="61"/>
        <v>65.67</v>
      </c>
      <c r="AF450" s="103">
        <f t="shared" ca="1" si="62"/>
        <v>8.2087500000000008E-2</v>
      </c>
      <c r="AG450" s="101"/>
      <c r="AH450" s="101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Q450" s="72">
        <v>0</v>
      </c>
      <c r="BR450" s="72">
        <v>0</v>
      </c>
      <c r="BS450" s="72">
        <v>0</v>
      </c>
      <c r="BT450" s="72">
        <v>0</v>
      </c>
      <c r="BU450" s="72">
        <v>0</v>
      </c>
      <c r="BV450" s="72">
        <v>0</v>
      </c>
      <c r="BW450" s="72">
        <v>0</v>
      </c>
      <c r="BX450" s="72">
        <v>0</v>
      </c>
      <c r="BY450" s="72">
        <v>0</v>
      </c>
      <c r="BZ450" s="72">
        <v>0</v>
      </c>
      <c r="CA450" s="72">
        <v>0</v>
      </c>
      <c r="CB450" s="72">
        <v>0</v>
      </c>
      <c r="CC450" s="72">
        <v>0</v>
      </c>
      <c r="CD450" s="72">
        <v>0</v>
      </c>
      <c r="CE450" s="72">
        <v>0</v>
      </c>
      <c r="CF450" s="72">
        <v>0</v>
      </c>
      <c r="CG450" s="72">
        <v>0</v>
      </c>
      <c r="CH450" s="72">
        <v>0</v>
      </c>
      <c r="CI450" s="72">
        <v>0</v>
      </c>
      <c r="CJ450" s="72">
        <v>0</v>
      </c>
      <c r="CK450" s="72">
        <v>0</v>
      </c>
      <c r="CL450" s="72">
        <v>0</v>
      </c>
      <c r="CM450" s="72">
        <v>0</v>
      </c>
      <c r="CN450" s="72">
        <v>0</v>
      </c>
      <c r="CO450" s="72">
        <v>0</v>
      </c>
      <c r="CP450" s="72">
        <v>0</v>
      </c>
      <c r="CQ450" s="72">
        <v>0</v>
      </c>
      <c r="CR450" s="72">
        <v>0</v>
      </c>
      <c r="CS450" s="72">
        <v>0</v>
      </c>
      <c r="CT450" s="72">
        <v>0</v>
      </c>
      <c r="CU450" s="72">
        <v>0</v>
      </c>
      <c r="CV450" s="72">
        <v>0</v>
      </c>
      <c r="CW450" s="72">
        <v>0</v>
      </c>
      <c r="CX450" s="72">
        <v>0</v>
      </c>
      <c r="CY450" s="72">
        <v>0</v>
      </c>
      <c r="CZ450" s="72">
        <v>0</v>
      </c>
      <c r="DA450" s="72">
        <v>0</v>
      </c>
      <c r="DB450" s="72">
        <v>0</v>
      </c>
      <c r="DC450" s="72">
        <v>0</v>
      </c>
      <c r="DD450" s="72">
        <v>0</v>
      </c>
      <c r="DE450" s="72">
        <v>0</v>
      </c>
      <c r="DF450" s="72">
        <v>0</v>
      </c>
      <c r="DG450" s="72">
        <v>0</v>
      </c>
      <c r="DH450" s="72">
        <v>0</v>
      </c>
      <c r="DI450" s="72">
        <v>0</v>
      </c>
      <c r="DJ450" s="72">
        <v>0</v>
      </c>
      <c r="DK450" s="72">
        <v>0</v>
      </c>
      <c r="DL450" s="72">
        <v>0</v>
      </c>
      <c r="DM450" s="72">
        <v>0</v>
      </c>
      <c r="DN450" s="72">
        <v>0</v>
      </c>
      <c r="DO450" s="72">
        <v>0</v>
      </c>
      <c r="DP450" s="72">
        <v>0</v>
      </c>
      <c r="DQ450" s="72">
        <v>0</v>
      </c>
      <c r="DR450" s="72">
        <v>0</v>
      </c>
      <c r="DS450" s="72">
        <v>0</v>
      </c>
      <c r="DT450" s="72">
        <v>0</v>
      </c>
      <c r="DU450" s="72">
        <v>0</v>
      </c>
      <c r="DV450" s="72">
        <v>0</v>
      </c>
      <c r="DW450" s="72">
        <v>0</v>
      </c>
      <c r="DX450" s="72">
        <v>0</v>
      </c>
      <c r="DY450" s="72">
        <v>0</v>
      </c>
      <c r="DZ450" s="72">
        <v>0</v>
      </c>
      <c r="EA450" s="72">
        <v>0</v>
      </c>
      <c r="EB450" s="72">
        <v>0</v>
      </c>
      <c r="EC450" s="72">
        <v>0</v>
      </c>
      <c r="ED450" s="72">
        <v>0</v>
      </c>
      <c r="EE450" s="72">
        <v>0</v>
      </c>
      <c r="EF450" s="72">
        <v>0</v>
      </c>
      <c r="EG450" s="72">
        <v>0</v>
      </c>
      <c r="EH450" s="72">
        <v>0</v>
      </c>
      <c r="EI450" s="72">
        <v>0</v>
      </c>
      <c r="EJ450" s="72">
        <v>0</v>
      </c>
      <c r="EK450" s="72">
        <v>0</v>
      </c>
      <c r="EL450" s="72">
        <v>0</v>
      </c>
    </row>
    <row r="451" spans="1:142" x14ac:dyDescent="0.35">
      <c r="A451" s="59">
        <f>Данные!A451</f>
        <v>6368</v>
      </c>
      <c r="B451" s="59">
        <f>Данные!B451</f>
        <v>2020</v>
      </c>
      <c r="C451" s="59" t="str">
        <f>Данные!C451</f>
        <v>компьютерных технологий и электронного обучения</v>
      </c>
      <c r="D451" s="59" t="str">
        <f>Данные!D451</f>
        <v>Жуков Николай Николаевич</v>
      </c>
      <c r="E451" s="59" t="str">
        <f>Данные!E451</f>
        <v>нет</v>
      </c>
      <c r="F451" s="59" t="str">
        <f>Данные!F451</f>
        <v>ассистент</v>
      </c>
      <c r="G451" s="59">
        <f>Данные!G451</f>
        <v>1</v>
      </c>
      <c r="H451" s="59" t="str">
        <f>Данные!H451</f>
        <v>3 курс 2018 год/пост</v>
      </c>
      <c r="I451" s="59" t="str">
        <f>Данные!I451</f>
        <v>Модуль "Системное и прикладное программное обеспечение". Программирование</v>
      </c>
      <c r="J451" s="59">
        <f>Данные!J451</f>
        <v>0</v>
      </c>
      <c r="K451" s="59">
        <f>Данные!K451</f>
        <v>0</v>
      </c>
      <c r="L451" s="59">
        <f>Данные!L451</f>
        <v>216</v>
      </c>
      <c r="M451" s="60">
        <f t="shared" si="54"/>
        <v>21.6</v>
      </c>
      <c r="N451" s="60">
        <f t="shared" ca="1" si="55"/>
        <v>11.57</v>
      </c>
      <c r="O451" s="60">
        <f t="shared" ca="1" si="56"/>
        <v>7.25</v>
      </c>
      <c r="P451" s="60">
        <f t="shared" ca="1" si="57"/>
        <v>7.25</v>
      </c>
      <c r="Q451" s="54">
        <f>Данные!Q451</f>
        <v>0</v>
      </c>
      <c r="R451" s="54">
        <f>Данные!R451</f>
        <v>0</v>
      </c>
      <c r="S451" s="54">
        <f>Данные!S451</f>
        <v>0</v>
      </c>
      <c r="T451" s="54">
        <f>Данные!T451</f>
        <v>0</v>
      </c>
      <c r="U451" s="54">
        <f>Данные!U451</f>
        <v>0</v>
      </c>
      <c r="V451" s="54">
        <f>Данные!V451</f>
        <v>0</v>
      </c>
      <c r="W451" s="54">
        <f ca="1">Данные!W451</f>
        <v>29</v>
      </c>
      <c r="X451" s="54" t="str">
        <f ca="1">Данные!X451</f>
        <v>1</v>
      </c>
      <c r="Y451" s="54" t="str">
        <f ca="1">Данные!Y451</f>
        <v>2</v>
      </c>
      <c r="Z451" s="54">
        <f>Данные!Z451</f>
        <v>0</v>
      </c>
      <c r="AA451" s="54" t="str">
        <f>Данные!AA451</f>
        <v>осн</v>
      </c>
      <c r="AB451" s="101">
        <f t="shared" si="58"/>
        <v>900</v>
      </c>
      <c r="AC451" s="101" t="str">
        <f t="shared" si="59"/>
        <v>ИВТ (бак)</v>
      </c>
      <c r="AD451" s="101" t="str">
        <f t="shared" si="60"/>
        <v/>
      </c>
      <c r="AE451" s="102">
        <f t="shared" ca="1" si="61"/>
        <v>263.66999999999996</v>
      </c>
      <c r="AF451" s="103">
        <f t="shared" ca="1" si="62"/>
        <v>0.2929666666666666</v>
      </c>
      <c r="AG451" s="101"/>
      <c r="AH451" s="10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Q451" s="72">
        <v>0</v>
      </c>
      <c r="BR451" s="72">
        <v>0</v>
      </c>
      <c r="BS451" s="72">
        <v>0</v>
      </c>
      <c r="BT451" s="72">
        <v>0</v>
      </c>
      <c r="BU451" s="72">
        <v>0</v>
      </c>
      <c r="BV451" s="72">
        <v>0</v>
      </c>
      <c r="BW451" s="72">
        <v>0</v>
      </c>
      <c r="BX451" s="72">
        <v>0</v>
      </c>
      <c r="BY451" s="72">
        <v>0</v>
      </c>
      <c r="BZ451" s="72">
        <v>0</v>
      </c>
      <c r="CA451" s="72">
        <v>0</v>
      </c>
      <c r="CB451" s="72">
        <v>0</v>
      </c>
      <c r="CC451" s="72">
        <v>0</v>
      </c>
      <c r="CD451" s="72">
        <v>0</v>
      </c>
      <c r="CE451" s="72">
        <v>0</v>
      </c>
      <c r="CF451" s="72">
        <v>0</v>
      </c>
      <c r="CG451" s="72">
        <v>0</v>
      </c>
      <c r="CH451" s="72">
        <v>0</v>
      </c>
      <c r="CI451" s="72">
        <v>0</v>
      </c>
      <c r="CJ451" s="72">
        <v>0</v>
      </c>
      <c r="CK451" s="72">
        <v>0</v>
      </c>
      <c r="CL451" s="72">
        <v>0</v>
      </c>
      <c r="CM451" s="72">
        <v>0</v>
      </c>
      <c r="CN451" s="72">
        <v>0</v>
      </c>
      <c r="CO451" s="72">
        <v>0</v>
      </c>
      <c r="CP451" s="72">
        <v>0</v>
      </c>
      <c r="CQ451" s="72">
        <v>0</v>
      </c>
      <c r="CR451" s="72">
        <v>0</v>
      </c>
      <c r="CS451" s="72">
        <v>0</v>
      </c>
      <c r="CT451" s="72">
        <v>0</v>
      </c>
      <c r="CU451" s="72">
        <v>0</v>
      </c>
      <c r="CV451" s="72">
        <v>0</v>
      </c>
      <c r="CW451" s="72">
        <v>0</v>
      </c>
      <c r="CX451" s="72">
        <v>0</v>
      </c>
      <c r="CY451" s="72">
        <v>0</v>
      </c>
      <c r="CZ451" s="72">
        <v>0</v>
      </c>
      <c r="DA451" s="72">
        <v>0</v>
      </c>
      <c r="DB451" s="72">
        <v>0</v>
      </c>
      <c r="DC451" s="72">
        <v>0</v>
      </c>
      <c r="DD451" s="72">
        <v>0</v>
      </c>
      <c r="DE451" s="72">
        <v>0</v>
      </c>
      <c r="DF451" s="72">
        <v>0</v>
      </c>
      <c r="DG451" s="72">
        <v>0</v>
      </c>
      <c r="DH451" s="72">
        <v>0</v>
      </c>
      <c r="DI451" s="72">
        <v>0</v>
      </c>
      <c r="DJ451" s="72">
        <v>0</v>
      </c>
      <c r="DK451" s="72">
        <v>0</v>
      </c>
      <c r="DL451" s="72">
        <v>0</v>
      </c>
      <c r="DM451" s="72">
        <v>0</v>
      </c>
      <c r="DN451" s="72">
        <v>0</v>
      </c>
      <c r="DO451" s="72">
        <v>0</v>
      </c>
      <c r="DP451" s="72">
        <v>0</v>
      </c>
      <c r="DQ451" s="72">
        <v>0</v>
      </c>
      <c r="DR451" s="72">
        <v>0</v>
      </c>
      <c r="DS451" s="72">
        <v>0</v>
      </c>
      <c r="DT451" s="72">
        <v>0</v>
      </c>
      <c r="DU451" s="72">
        <v>0</v>
      </c>
      <c r="DV451" s="72">
        <v>0</v>
      </c>
      <c r="DW451" s="72">
        <v>0</v>
      </c>
      <c r="DX451" s="72">
        <v>0</v>
      </c>
      <c r="DY451" s="72">
        <v>0</v>
      </c>
      <c r="DZ451" s="72">
        <v>0</v>
      </c>
      <c r="EA451" s="72">
        <v>0</v>
      </c>
      <c r="EB451" s="72">
        <v>0</v>
      </c>
      <c r="EC451" s="72">
        <v>0</v>
      </c>
      <c r="ED451" s="72">
        <v>0</v>
      </c>
      <c r="EE451" s="72">
        <v>0</v>
      </c>
      <c r="EF451" s="72">
        <v>0</v>
      </c>
      <c r="EG451" s="72">
        <v>0</v>
      </c>
      <c r="EH451" s="72">
        <v>0</v>
      </c>
      <c r="EI451" s="72">
        <v>0</v>
      </c>
      <c r="EJ451" s="72">
        <v>0</v>
      </c>
      <c r="EK451" s="72">
        <v>0</v>
      </c>
      <c r="EL451" s="72">
        <v>0</v>
      </c>
    </row>
    <row r="452" spans="1:142" x14ac:dyDescent="0.35">
      <c r="A452" s="59">
        <f>Данные!A452</f>
        <v>6368</v>
      </c>
      <c r="B452" s="59">
        <f>Данные!B452</f>
        <v>2020</v>
      </c>
      <c r="C452" s="59" t="str">
        <f>Данные!C452</f>
        <v>компьютерных технологий и электронного обучения</v>
      </c>
      <c r="D452" s="59" t="str">
        <f>Данные!D452</f>
        <v>Копыльцов Александр Васильевич</v>
      </c>
      <c r="E452" s="59" t="str">
        <f>Данные!E452</f>
        <v>доктор технических наук</v>
      </c>
      <c r="F452" s="59" t="str">
        <f>Данные!F452</f>
        <v>внешний</v>
      </c>
      <c r="G452" s="59">
        <f>Данные!G452</f>
        <v>1</v>
      </c>
      <c r="H452" s="59" t="str">
        <f>Данные!H452</f>
        <v>3 курс 2018 год/пост</v>
      </c>
      <c r="I452" s="59" t="str">
        <f>Данные!I452</f>
        <v>Модуль "Информационные ресурсы и средства профессиональной деятельности инженера". Управление программными проектами</v>
      </c>
      <c r="J452" s="59">
        <f>Данные!J452</f>
        <v>0</v>
      </c>
      <c r="K452" s="59">
        <f>Данные!K452</f>
        <v>0</v>
      </c>
      <c r="L452" s="59">
        <f>Данные!L452</f>
        <v>0</v>
      </c>
      <c r="M452" s="60">
        <f t="shared" ref="M452:M515" si="63">SUM(J452:L452)/10</f>
        <v>0</v>
      </c>
      <c r="N452" s="60">
        <f t="shared" ref="N452:N515" ca="1" si="64">2+(0.33*W452)</f>
        <v>11.57</v>
      </c>
      <c r="O452" s="60">
        <f t="shared" ref="O452:O515" ca="1" si="65">0.25*W452</f>
        <v>7.25</v>
      </c>
      <c r="P452" s="60">
        <f t="shared" ref="P452:P515" ca="1" si="66">0.25*W452</f>
        <v>7.25</v>
      </c>
      <c r="Q452" s="54">
        <f>Данные!Q452</f>
        <v>26</v>
      </c>
      <c r="R452" s="54">
        <f>Данные!R452</f>
        <v>0</v>
      </c>
      <c r="S452" s="54">
        <f>Данные!S452</f>
        <v>0</v>
      </c>
      <c r="T452" s="54">
        <f>Данные!T452</f>
        <v>0</v>
      </c>
      <c r="U452" s="54">
        <f>Данные!U452</f>
        <v>0</v>
      </c>
      <c r="V452" s="54">
        <f>Данные!V452</f>
        <v>0</v>
      </c>
      <c r="W452" s="54">
        <f ca="1">Данные!W452</f>
        <v>29</v>
      </c>
      <c r="X452" s="54" t="str">
        <f ca="1">Данные!X452</f>
        <v>1</v>
      </c>
      <c r="Y452" s="54" t="str">
        <f ca="1">Данные!Y452</f>
        <v>2</v>
      </c>
      <c r="Z452" s="54">
        <f>Данные!Z452</f>
        <v>0</v>
      </c>
      <c r="AA452" s="54" t="str">
        <f>Данные!AA452</f>
        <v>осн</v>
      </c>
      <c r="AB452" s="101">
        <f t="shared" ref="AB452:AB515" si="67">VLOOKUP(F452, $BN$3:$BO$15, 2, 0)</f>
        <v>900</v>
      </c>
      <c r="AC452" s="101" t="str">
        <f t="shared" ref="AC452:AC515" si="68">IF(IFERROR(MATCH(H452, $AK$4:$BL$4, 0), 0)&gt;=1, "ИВТ (бак)", IF(IFERROR(MATCH(H452, $AK$5:$BL$5, 0), 0)&gt;=1, "КЭО (маг)", ""))</f>
        <v>ИВТ (бак)</v>
      </c>
      <c r="AD452" s="101" t="str">
        <f t="shared" ref="AD452:AD515" si="69">IF(IFERROR(MATCH(H452, $AK$4:$AN$4, 0), 0)=1, "2015–2016", IF(IFERROR(MATCH(H452, $AO$4:$AR$4, 0), 0)=1, "2016–2017", IF(IFERROR(MATCH(H452, $AS$4:$AV$4, 0), 0)=1, "2017–2018", IF(IFERROR(MATCH(H452, $AW$4:$AZ$4, 0), 0)=1, "2018–2019", IF(IFERROR(MATCH(H452, $BA$4:$BD$4, 0), 0)=1, "2019–2020", IF(IFERROR(MATCH(H452, $BE$4:$BH$4, 0), 0)=1, "2020–2021", IF(IFERROR(MATCH(H452, $BI$4:$BL$4, 0), 0)=1, "2021–2022", "")))))))</f>
        <v/>
      </c>
      <c r="AE452" s="102">
        <f t="shared" ref="AE452:AE515" ca="1" si="70">SUM(J452:V452)</f>
        <v>52.07</v>
      </c>
      <c r="AF452" s="103">
        <f t="shared" ca="1" si="62"/>
        <v>5.7855555555555556E-2</v>
      </c>
      <c r="AG452" s="101"/>
      <c r="AH452" s="101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Q452" s="72">
        <v>0</v>
      </c>
      <c r="BR452" s="72">
        <v>0</v>
      </c>
      <c r="BS452" s="72">
        <v>0</v>
      </c>
      <c r="BT452" s="72">
        <v>0</v>
      </c>
      <c r="BU452" s="72">
        <v>0</v>
      </c>
      <c r="BV452" s="72">
        <v>0</v>
      </c>
      <c r="BW452" s="72">
        <v>0</v>
      </c>
      <c r="BX452" s="72">
        <v>0</v>
      </c>
      <c r="BY452" s="72">
        <v>0</v>
      </c>
      <c r="BZ452" s="72">
        <v>0</v>
      </c>
      <c r="CA452" s="72">
        <v>0</v>
      </c>
      <c r="CB452" s="72">
        <v>0</v>
      </c>
      <c r="CC452" s="72">
        <v>0</v>
      </c>
      <c r="CD452" s="72">
        <v>0</v>
      </c>
      <c r="CE452" s="72">
        <v>0</v>
      </c>
      <c r="CF452" s="72">
        <v>0</v>
      </c>
      <c r="CG452" s="72">
        <v>0</v>
      </c>
      <c r="CH452" s="72">
        <v>0</v>
      </c>
      <c r="CI452" s="72">
        <v>0</v>
      </c>
      <c r="CJ452" s="72">
        <v>0</v>
      </c>
      <c r="CK452" s="72">
        <v>0</v>
      </c>
      <c r="CL452" s="72">
        <v>0</v>
      </c>
      <c r="CM452" s="72">
        <v>0</v>
      </c>
      <c r="CN452" s="72">
        <v>0</v>
      </c>
      <c r="CO452" s="72">
        <v>0</v>
      </c>
      <c r="CP452" s="72">
        <v>0</v>
      </c>
      <c r="CQ452" s="72">
        <v>0</v>
      </c>
      <c r="CR452" s="72">
        <v>0</v>
      </c>
      <c r="CS452" s="72">
        <v>0</v>
      </c>
      <c r="CT452" s="72">
        <v>0</v>
      </c>
      <c r="CU452" s="72">
        <v>0</v>
      </c>
      <c r="CV452" s="72">
        <v>0</v>
      </c>
      <c r="CW452" s="72">
        <v>0</v>
      </c>
      <c r="CX452" s="72">
        <v>0</v>
      </c>
      <c r="CY452" s="72">
        <v>0</v>
      </c>
      <c r="CZ452" s="72">
        <v>0</v>
      </c>
      <c r="DA452" s="72">
        <v>0</v>
      </c>
      <c r="DB452" s="72">
        <v>0</v>
      </c>
      <c r="DC452" s="72">
        <v>0</v>
      </c>
      <c r="DD452" s="72">
        <v>0</v>
      </c>
      <c r="DE452" s="72">
        <v>0</v>
      </c>
      <c r="DF452" s="72">
        <v>0</v>
      </c>
      <c r="DG452" s="72">
        <v>0</v>
      </c>
      <c r="DH452" s="72">
        <v>0</v>
      </c>
      <c r="DI452" s="72">
        <v>0</v>
      </c>
      <c r="DJ452" s="72">
        <v>0</v>
      </c>
      <c r="DK452" s="72">
        <v>0</v>
      </c>
      <c r="DL452" s="72">
        <v>0</v>
      </c>
      <c r="DM452" s="72">
        <v>0</v>
      </c>
      <c r="DN452" s="72">
        <v>0</v>
      </c>
      <c r="DO452" s="72">
        <v>0</v>
      </c>
      <c r="DP452" s="72">
        <v>0</v>
      </c>
      <c r="DQ452" s="72">
        <v>0</v>
      </c>
      <c r="DR452" s="72">
        <v>0</v>
      </c>
      <c r="DS452" s="72">
        <v>0</v>
      </c>
      <c r="DT452" s="72">
        <v>0</v>
      </c>
      <c r="DU452" s="72">
        <v>0</v>
      </c>
      <c r="DV452" s="72">
        <v>0</v>
      </c>
      <c r="DW452" s="72">
        <v>0</v>
      </c>
      <c r="DX452" s="72">
        <v>0</v>
      </c>
      <c r="DY452" s="72">
        <v>0</v>
      </c>
      <c r="DZ452" s="72">
        <v>0</v>
      </c>
      <c r="EA452" s="72">
        <v>0</v>
      </c>
      <c r="EB452" s="72">
        <v>0</v>
      </c>
      <c r="EC452" s="72">
        <v>0</v>
      </c>
      <c r="ED452" s="72">
        <v>0</v>
      </c>
      <c r="EE452" s="72">
        <v>0</v>
      </c>
      <c r="EF452" s="72">
        <v>0</v>
      </c>
      <c r="EG452" s="72">
        <v>0</v>
      </c>
      <c r="EH452" s="72">
        <v>0</v>
      </c>
      <c r="EI452" s="72">
        <v>0</v>
      </c>
      <c r="EJ452" s="72">
        <v>0</v>
      </c>
      <c r="EK452" s="72">
        <v>0</v>
      </c>
      <c r="EL452" s="72">
        <v>0</v>
      </c>
    </row>
    <row r="453" spans="1:142" x14ac:dyDescent="0.35">
      <c r="A453" s="59">
        <f>Данные!A453</f>
        <v>6368</v>
      </c>
      <c r="B453" s="59">
        <f>Данные!B453</f>
        <v>2020</v>
      </c>
      <c r="C453" s="59" t="str">
        <f>Данные!C453</f>
        <v>компьютерных технологий и электронного обучения</v>
      </c>
      <c r="D453" s="59" t="str">
        <f>Данные!D453</f>
        <v>Жуков Николай Николаевич</v>
      </c>
      <c r="E453" s="59" t="str">
        <f>Данные!E453</f>
        <v>нет</v>
      </c>
      <c r="F453" s="59" t="str">
        <f>Данные!F453</f>
        <v>ассистент</v>
      </c>
      <c r="G453" s="59">
        <f>Данные!G453</f>
        <v>1</v>
      </c>
      <c r="H453" s="59" t="str">
        <f>Данные!H453</f>
        <v>3 курс 2018 год/пост</v>
      </c>
      <c r="I453" s="59" t="str">
        <f>Данные!I453</f>
        <v>Модуль "Информационные ресурсы и средства профессиональной деятельности инженера". Управление программными проектами</v>
      </c>
      <c r="J453" s="59">
        <f>Данные!J453</f>
        <v>0</v>
      </c>
      <c r="K453" s="59">
        <f>Данные!K453</f>
        <v>0</v>
      </c>
      <c r="L453" s="59">
        <f>Данные!L453</f>
        <v>108</v>
      </c>
      <c r="M453" s="60">
        <f t="shared" si="63"/>
        <v>10.8</v>
      </c>
      <c r="N453" s="60">
        <f t="shared" ca="1" si="64"/>
        <v>11.57</v>
      </c>
      <c r="O453" s="60">
        <f t="shared" ca="1" si="65"/>
        <v>7.25</v>
      </c>
      <c r="P453" s="60">
        <f t="shared" ca="1" si="66"/>
        <v>7.25</v>
      </c>
      <c r="Q453" s="54">
        <f>Данные!Q453</f>
        <v>16</v>
      </c>
      <c r="R453" s="54">
        <f>Данные!R453</f>
        <v>0</v>
      </c>
      <c r="S453" s="54">
        <f>Данные!S453</f>
        <v>0</v>
      </c>
      <c r="T453" s="54">
        <f>Данные!T453</f>
        <v>0</v>
      </c>
      <c r="U453" s="54">
        <f>Данные!U453</f>
        <v>0</v>
      </c>
      <c r="V453" s="54">
        <f>Данные!V453</f>
        <v>0</v>
      </c>
      <c r="W453" s="54">
        <f ca="1">Данные!W453</f>
        <v>29</v>
      </c>
      <c r="X453" s="54" t="str">
        <f ca="1">Данные!X453</f>
        <v>1</v>
      </c>
      <c r="Y453" s="54" t="str">
        <f ca="1">Данные!Y453</f>
        <v>2</v>
      </c>
      <c r="Z453" s="54">
        <f>Данные!Z453</f>
        <v>0</v>
      </c>
      <c r="AA453" s="54" t="str">
        <f>Данные!AA453</f>
        <v>осн</v>
      </c>
      <c r="AB453" s="101">
        <f t="shared" si="67"/>
        <v>900</v>
      </c>
      <c r="AC453" s="101" t="str">
        <f t="shared" si="68"/>
        <v>ИВТ (бак)</v>
      </c>
      <c r="AD453" s="101" t="str">
        <f t="shared" si="69"/>
        <v/>
      </c>
      <c r="AE453" s="102">
        <f t="shared" ca="1" si="70"/>
        <v>160.87</v>
      </c>
      <c r="AF453" s="103">
        <f t="shared" ref="AF453:AF516" ca="1" si="71">AE453/AB453</f>
        <v>0.17874444444444446</v>
      </c>
      <c r="AG453" s="101"/>
      <c r="AH453" s="101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Q453" s="72">
        <v>0</v>
      </c>
      <c r="BR453" s="72">
        <v>0</v>
      </c>
      <c r="BS453" s="72">
        <v>0</v>
      </c>
      <c r="BT453" s="72">
        <v>0</v>
      </c>
      <c r="BU453" s="72">
        <v>0</v>
      </c>
      <c r="BV453" s="72">
        <v>0</v>
      </c>
      <c r="BW453" s="72">
        <v>0</v>
      </c>
      <c r="BX453" s="72">
        <v>0</v>
      </c>
      <c r="BY453" s="72">
        <v>0</v>
      </c>
      <c r="BZ453" s="72">
        <v>0</v>
      </c>
      <c r="CA453" s="72">
        <v>0</v>
      </c>
      <c r="CB453" s="72">
        <v>0</v>
      </c>
      <c r="CC453" s="72">
        <v>0</v>
      </c>
      <c r="CD453" s="72">
        <v>0</v>
      </c>
      <c r="CE453" s="72">
        <v>0</v>
      </c>
      <c r="CF453" s="72">
        <v>0</v>
      </c>
      <c r="CG453" s="72">
        <v>0</v>
      </c>
      <c r="CH453" s="72">
        <v>0</v>
      </c>
      <c r="CI453" s="72">
        <v>0</v>
      </c>
      <c r="CJ453" s="72">
        <v>0</v>
      </c>
      <c r="CK453" s="72">
        <v>0</v>
      </c>
      <c r="CL453" s="72">
        <v>0</v>
      </c>
      <c r="CM453" s="72">
        <v>0</v>
      </c>
      <c r="CN453" s="72">
        <v>0</v>
      </c>
      <c r="CO453" s="72">
        <v>0</v>
      </c>
      <c r="CP453" s="72">
        <v>0</v>
      </c>
      <c r="CQ453" s="72">
        <v>0</v>
      </c>
      <c r="CR453" s="72">
        <v>0</v>
      </c>
      <c r="CS453" s="72">
        <v>0</v>
      </c>
      <c r="CT453" s="72">
        <v>0</v>
      </c>
      <c r="CU453" s="72">
        <v>0</v>
      </c>
      <c r="CV453" s="72">
        <v>0</v>
      </c>
      <c r="CW453" s="72">
        <v>0</v>
      </c>
      <c r="CX453" s="72">
        <v>0</v>
      </c>
      <c r="CY453" s="72">
        <v>0</v>
      </c>
      <c r="CZ453" s="72">
        <v>0</v>
      </c>
      <c r="DA453" s="72">
        <v>0</v>
      </c>
      <c r="DB453" s="72">
        <v>0</v>
      </c>
      <c r="DC453" s="72">
        <v>0</v>
      </c>
      <c r="DD453" s="72">
        <v>0</v>
      </c>
      <c r="DE453" s="72">
        <v>0</v>
      </c>
      <c r="DF453" s="72">
        <v>0</v>
      </c>
      <c r="DG453" s="72">
        <v>0</v>
      </c>
      <c r="DH453" s="72">
        <v>0</v>
      </c>
      <c r="DI453" s="72">
        <v>0</v>
      </c>
      <c r="DJ453" s="72">
        <v>0</v>
      </c>
      <c r="DK453" s="72">
        <v>0</v>
      </c>
      <c r="DL453" s="72">
        <v>0</v>
      </c>
      <c r="DM453" s="72">
        <v>0</v>
      </c>
      <c r="DN453" s="72">
        <v>0</v>
      </c>
      <c r="DO453" s="72">
        <v>0</v>
      </c>
      <c r="DP453" s="72">
        <v>0</v>
      </c>
      <c r="DQ453" s="72">
        <v>0</v>
      </c>
      <c r="DR453" s="72">
        <v>0</v>
      </c>
      <c r="DS453" s="72">
        <v>0</v>
      </c>
      <c r="DT453" s="72">
        <v>0</v>
      </c>
      <c r="DU453" s="72">
        <v>0</v>
      </c>
      <c r="DV453" s="72">
        <v>0</v>
      </c>
      <c r="DW453" s="72">
        <v>0</v>
      </c>
      <c r="DX453" s="72">
        <v>0</v>
      </c>
      <c r="DY453" s="72">
        <v>0</v>
      </c>
      <c r="DZ453" s="72">
        <v>0</v>
      </c>
      <c r="EA453" s="72">
        <v>0</v>
      </c>
      <c r="EB453" s="72">
        <v>0</v>
      </c>
      <c r="EC453" s="72">
        <v>0</v>
      </c>
      <c r="ED453" s="72">
        <v>0</v>
      </c>
      <c r="EE453" s="72">
        <v>0</v>
      </c>
      <c r="EF453" s="72">
        <v>0</v>
      </c>
      <c r="EG453" s="72">
        <v>0</v>
      </c>
      <c r="EH453" s="72">
        <v>0</v>
      </c>
      <c r="EI453" s="72">
        <v>0</v>
      </c>
      <c r="EJ453" s="72">
        <v>0</v>
      </c>
      <c r="EK453" s="72">
        <v>0</v>
      </c>
      <c r="EL453" s="72">
        <v>0</v>
      </c>
    </row>
    <row r="454" spans="1:142" x14ac:dyDescent="0.35">
      <c r="A454" s="59">
        <f>Данные!A454</f>
        <v>6368</v>
      </c>
      <c r="B454" s="59">
        <f>Данные!B454</f>
        <v>2020</v>
      </c>
      <c r="C454" s="59" t="str">
        <f>Данные!C454</f>
        <v>компьютерных технологий и электронного обучения</v>
      </c>
      <c r="D454" s="59" t="str">
        <f>Данные!D454</f>
        <v>Жуков Николай Николаевич</v>
      </c>
      <c r="E454" s="59" t="str">
        <f>Данные!E454</f>
        <v>нет</v>
      </c>
      <c r="F454" s="59" t="str">
        <f>Данные!F454</f>
        <v>ассистент</v>
      </c>
      <c r="G454" s="59">
        <f>Данные!G454</f>
        <v>1</v>
      </c>
      <c r="H454" s="59" t="str">
        <f>Данные!H454</f>
        <v>3 курс 2018 год/пост</v>
      </c>
      <c r="I454" s="59" t="str">
        <f>Данные!I454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454" s="59">
        <f>Данные!J454</f>
        <v>0</v>
      </c>
      <c r="K454" s="59">
        <f>Данные!K454</f>
        <v>0</v>
      </c>
      <c r="L454" s="59">
        <f>Данные!L454</f>
        <v>0</v>
      </c>
      <c r="M454" s="60">
        <f t="shared" si="63"/>
        <v>0</v>
      </c>
      <c r="N454" s="60">
        <f t="shared" ca="1" si="64"/>
        <v>11.57</v>
      </c>
      <c r="O454" s="60">
        <f t="shared" ca="1" si="65"/>
        <v>7.25</v>
      </c>
      <c r="P454" s="60">
        <f t="shared" ca="1" si="66"/>
        <v>7.25</v>
      </c>
      <c r="Q454" s="54">
        <f>Данные!Q454</f>
        <v>0</v>
      </c>
      <c r="R454" s="54">
        <f>Данные!R454</f>
        <v>0</v>
      </c>
      <c r="S454" s="54">
        <f>Данные!S454</f>
        <v>0</v>
      </c>
      <c r="T454" s="54">
        <f>Данные!T454</f>
        <v>0</v>
      </c>
      <c r="U454" s="54">
        <f>Данные!U454</f>
        <v>0</v>
      </c>
      <c r="V454" s="54">
        <f>Данные!V454</f>
        <v>0</v>
      </c>
      <c r="W454" s="54">
        <f ca="1">Данные!W454</f>
        <v>29</v>
      </c>
      <c r="X454" s="54" t="str">
        <f ca="1">Данные!X454</f>
        <v>1</v>
      </c>
      <c r="Y454" s="54" t="str">
        <f ca="1">Данные!Y454</f>
        <v>2</v>
      </c>
      <c r="Z454" s="54">
        <f>Данные!Z454</f>
        <v>0</v>
      </c>
      <c r="AA454" s="54" t="str">
        <f>Данные!AA454</f>
        <v>осн</v>
      </c>
      <c r="AB454" s="101">
        <f t="shared" si="67"/>
        <v>900</v>
      </c>
      <c r="AC454" s="101" t="str">
        <f t="shared" si="68"/>
        <v>ИВТ (бак)</v>
      </c>
      <c r="AD454" s="101" t="str">
        <f t="shared" si="69"/>
        <v/>
      </c>
      <c r="AE454" s="102">
        <f t="shared" ca="1" si="70"/>
        <v>26.07</v>
      </c>
      <c r="AF454" s="103">
        <f t="shared" ca="1" si="71"/>
        <v>2.8966666666666668E-2</v>
      </c>
      <c r="AG454" s="101"/>
      <c r="AH454" s="101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Q454" s="72">
        <v>0</v>
      </c>
      <c r="BR454" s="72">
        <v>0</v>
      </c>
      <c r="BS454" s="72">
        <v>0</v>
      </c>
      <c r="BT454" s="72">
        <v>0</v>
      </c>
      <c r="BU454" s="72">
        <v>0</v>
      </c>
      <c r="BV454" s="72">
        <v>0</v>
      </c>
      <c r="BW454" s="72">
        <v>0</v>
      </c>
      <c r="BX454" s="72">
        <v>0</v>
      </c>
      <c r="BY454" s="72">
        <v>0</v>
      </c>
      <c r="BZ454" s="72">
        <v>0</v>
      </c>
      <c r="CA454" s="72">
        <v>0</v>
      </c>
      <c r="CB454" s="72">
        <v>0</v>
      </c>
      <c r="CC454" s="72">
        <v>0</v>
      </c>
      <c r="CD454" s="72">
        <v>0</v>
      </c>
      <c r="CE454" s="72">
        <v>0</v>
      </c>
      <c r="CF454" s="72">
        <v>0</v>
      </c>
      <c r="CG454" s="72">
        <v>0</v>
      </c>
      <c r="CH454" s="72">
        <v>0</v>
      </c>
      <c r="CI454" s="72">
        <v>0</v>
      </c>
      <c r="CJ454" s="72">
        <v>0</v>
      </c>
      <c r="CK454" s="72">
        <v>0</v>
      </c>
      <c r="CL454" s="72">
        <v>0</v>
      </c>
      <c r="CM454" s="72">
        <v>0</v>
      </c>
      <c r="CN454" s="72">
        <v>0</v>
      </c>
      <c r="CO454" s="72">
        <v>0</v>
      </c>
      <c r="CP454" s="72">
        <v>0</v>
      </c>
      <c r="CQ454" s="72">
        <v>0</v>
      </c>
      <c r="CR454" s="72">
        <v>0</v>
      </c>
      <c r="CS454" s="72">
        <v>0</v>
      </c>
      <c r="CT454" s="72">
        <v>0</v>
      </c>
      <c r="CU454" s="72">
        <v>0</v>
      </c>
      <c r="CV454" s="72">
        <v>0</v>
      </c>
      <c r="CW454" s="72">
        <v>0</v>
      </c>
      <c r="CX454" s="72">
        <v>0</v>
      </c>
      <c r="CY454" s="72">
        <v>0</v>
      </c>
      <c r="CZ454" s="72">
        <v>0</v>
      </c>
      <c r="DA454" s="72">
        <v>0</v>
      </c>
      <c r="DB454" s="72">
        <v>0</v>
      </c>
      <c r="DC454" s="72">
        <v>0</v>
      </c>
      <c r="DD454" s="72">
        <v>0</v>
      </c>
      <c r="DE454" s="72">
        <v>0</v>
      </c>
      <c r="DF454" s="72">
        <v>0</v>
      </c>
      <c r="DG454" s="72">
        <v>0</v>
      </c>
      <c r="DH454" s="72">
        <v>0</v>
      </c>
      <c r="DI454" s="72">
        <v>0</v>
      </c>
      <c r="DJ454" s="72">
        <v>0</v>
      </c>
      <c r="DK454" s="72">
        <v>0</v>
      </c>
      <c r="DL454" s="72">
        <v>0</v>
      </c>
      <c r="DM454" s="72">
        <v>0</v>
      </c>
      <c r="DN454" s="72">
        <v>0</v>
      </c>
      <c r="DO454" s="72">
        <v>0</v>
      </c>
      <c r="DP454" s="72">
        <v>0</v>
      </c>
      <c r="DQ454" s="72">
        <v>0</v>
      </c>
      <c r="DR454" s="72">
        <v>0</v>
      </c>
      <c r="DS454" s="72">
        <v>0</v>
      </c>
      <c r="DT454" s="72">
        <v>0</v>
      </c>
      <c r="DU454" s="72">
        <v>0</v>
      </c>
      <c r="DV454" s="72">
        <v>0</v>
      </c>
      <c r="DW454" s="72">
        <v>0</v>
      </c>
      <c r="DX454" s="72">
        <v>0</v>
      </c>
      <c r="DY454" s="72">
        <v>0</v>
      </c>
      <c r="DZ454" s="72">
        <v>0</v>
      </c>
      <c r="EA454" s="72">
        <v>0</v>
      </c>
      <c r="EB454" s="72">
        <v>0</v>
      </c>
      <c r="EC454" s="72">
        <v>0</v>
      </c>
      <c r="ED454" s="72">
        <v>0</v>
      </c>
      <c r="EE454" s="72">
        <v>0</v>
      </c>
      <c r="EF454" s="72">
        <v>0</v>
      </c>
      <c r="EG454" s="72">
        <v>0</v>
      </c>
      <c r="EH454" s="72">
        <v>0</v>
      </c>
      <c r="EI454" s="72">
        <v>0</v>
      </c>
      <c r="EJ454" s="72">
        <v>0</v>
      </c>
      <c r="EK454" s="72">
        <v>0</v>
      </c>
      <c r="EL454" s="72">
        <v>0</v>
      </c>
    </row>
    <row r="455" spans="1:142" x14ac:dyDescent="0.35">
      <c r="A455" s="59">
        <f>Данные!A455</f>
        <v>6368</v>
      </c>
      <c r="B455" s="59">
        <f>Данные!B455</f>
        <v>2020</v>
      </c>
      <c r="C455" s="59" t="str">
        <f>Данные!C455</f>
        <v>компьютерных технологий и электронного обучения</v>
      </c>
      <c r="D455" s="59" t="str">
        <f>Данные!D455</f>
        <v>Жуков Николай Николаевич</v>
      </c>
      <c r="E455" s="59" t="str">
        <f>Данные!E455</f>
        <v>нет</v>
      </c>
      <c r="F455" s="59" t="str">
        <f>Данные!F455</f>
        <v>ассистент</v>
      </c>
      <c r="G455" s="59">
        <f>Данные!G455</f>
        <v>1</v>
      </c>
      <c r="H455" s="59" t="str">
        <f>Данные!H455</f>
        <v>3 курс 2018 год/пост</v>
      </c>
      <c r="I455" s="59" t="str">
        <f>Данные!I455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455" s="59">
        <f>Данные!J455</f>
        <v>0</v>
      </c>
      <c r="K455" s="59">
        <f>Данные!K455</f>
        <v>0</v>
      </c>
      <c r="L455" s="59">
        <f>Данные!L455</f>
        <v>0</v>
      </c>
      <c r="M455" s="60">
        <f t="shared" si="63"/>
        <v>0</v>
      </c>
      <c r="N455" s="60">
        <f t="shared" ca="1" si="64"/>
        <v>11.57</v>
      </c>
      <c r="O455" s="60">
        <f t="shared" ca="1" si="65"/>
        <v>7.25</v>
      </c>
      <c r="P455" s="60">
        <f t="shared" ca="1" si="66"/>
        <v>7.25</v>
      </c>
      <c r="Q455" s="54">
        <f>Данные!Q455</f>
        <v>0</v>
      </c>
      <c r="R455" s="54">
        <f>Данные!R455</f>
        <v>0</v>
      </c>
      <c r="S455" s="54">
        <f>Данные!S455</f>
        <v>0</v>
      </c>
      <c r="T455" s="54">
        <f>Данные!T455</f>
        <v>0</v>
      </c>
      <c r="U455" s="54">
        <f>Данные!U455</f>
        <v>33</v>
      </c>
      <c r="V455" s="54">
        <f>Данные!V455</f>
        <v>0</v>
      </c>
      <c r="W455" s="54">
        <f ca="1">Данные!W455</f>
        <v>29</v>
      </c>
      <c r="X455" s="54" t="str">
        <f ca="1">Данные!X455</f>
        <v>1</v>
      </c>
      <c r="Y455" s="54" t="str">
        <f ca="1">Данные!Y455</f>
        <v>2</v>
      </c>
      <c r="Z455" s="54">
        <f>Данные!Z455</f>
        <v>0</v>
      </c>
      <c r="AA455" s="54" t="str">
        <f>Данные!AA455</f>
        <v>осн</v>
      </c>
      <c r="AB455" s="101">
        <f t="shared" si="67"/>
        <v>900</v>
      </c>
      <c r="AC455" s="101" t="str">
        <f t="shared" si="68"/>
        <v>ИВТ (бак)</v>
      </c>
      <c r="AD455" s="101" t="str">
        <f t="shared" si="69"/>
        <v/>
      </c>
      <c r="AE455" s="102">
        <f t="shared" ca="1" si="70"/>
        <v>59.07</v>
      </c>
      <c r="AF455" s="103">
        <f t="shared" ca="1" si="71"/>
        <v>6.5633333333333335E-2</v>
      </c>
      <c r="AG455" s="101"/>
      <c r="AH455" s="101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Q455" s="72">
        <v>0</v>
      </c>
      <c r="BR455" s="72">
        <v>0</v>
      </c>
      <c r="BS455" s="72">
        <v>0</v>
      </c>
      <c r="BT455" s="72">
        <v>0</v>
      </c>
      <c r="BU455" s="72">
        <v>0</v>
      </c>
      <c r="BV455" s="72">
        <v>0</v>
      </c>
      <c r="BW455" s="72">
        <v>0</v>
      </c>
      <c r="BX455" s="72">
        <v>0</v>
      </c>
      <c r="BY455" s="72">
        <v>0</v>
      </c>
      <c r="BZ455" s="72">
        <v>0</v>
      </c>
      <c r="CA455" s="72">
        <v>0</v>
      </c>
      <c r="CB455" s="72">
        <v>0</v>
      </c>
      <c r="CC455" s="72">
        <v>0</v>
      </c>
      <c r="CD455" s="72">
        <v>0</v>
      </c>
      <c r="CE455" s="72">
        <v>0</v>
      </c>
      <c r="CF455" s="72">
        <v>0</v>
      </c>
      <c r="CG455" s="72">
        <v>0</v>
      </c>
      <c r="CH455" s="72">
        <v>0</v>
      </c>
      <c r="CI455" s="72">
        <v>0</v>
      </c>
      <c r="CJ455" s="72">
        <v>0</v>
      </c>
      <c r="CK455" s="72">
        <v>0</v>
      </c>
      <c r="CL455" s="72">
        <v>0</v>
      </c>
      <c r="CM455" s="72">
        <v>0</v>
      </c>
      <c r="CN455" s="72">
        <v>0</v>
      </c>
      <c r="CO455" s="72">
        <v>0</v>
      </c>
      <c r="CP455" s="72">
        <v>0</v>
      </c>
      <c r="CQ455" s="72">
        <v>0</v>
      </c>
      <c r="CR455" s="72">
        <v>0</v>
      </c>
      <c r="CS455" s="72">
        <v>0</v>
      </c>
      <c r="CT455" s="72">
        <v>0</v>
      </c>
      <c r="CU455" s="72">
        <v>0</v>
      </c>
      <c r="CV455" s="72">
        <v>0</v>
      </c>
      <c r="CW455" s="72">
        <v>0</v>
      </c>
      <c r="CX455" s="72">
        <v>0</v>
      </c>
      <c r="CY455" s="72">
        <v>0</v>
      </c>
      <c r="CZ455" s="72">
        <v>0</v>
      </c>
      <c r="DA455" s="72">
        <v>0</v>
      </c>
      <c r="DB455" s="72">
        <v>0</v>
      </c>
      <c r="DC455" s="72">
        <v>0</v>
      </c>
      <c r="DD455" s="72">
        <v>0</v>
      </c>
      <c r="DE455" s="72">
        <v>0</v>
      </c>
      <c r="DF455" s="72">
        <v>0</v>
      </c>
      <c r="DG455" s="72">
        <v>0</v>
      </c>
      <c r="DH455" s="72">
        <v>0</v>
      </c>
      <c r="DI455" s="72">
        <v>0</v>
      </c>
      <c r="DJ455" s="72">
        <v>0</v>
      </c>
      <c r="DK455" s="72">
        <v>0</v>
      </c>
      <c r="DL455" s="72">
        <v>0</v>
      </c>
      <c r="DM455" s="72">
        <v>0</v>
      </c>
      <c r="DN455" s="72">
        <v>0</v>
      </c>
      <c r="DO455" s="72">
        <v>0</v>
      </c>
      <c r="DP455" s="72">
        <v>0</v>
      </c>
      <c r="DQ455" s="72">
        <v>0</v>
      </c>
      <c r="DR455" s="72">
        <v>0</v>
      </c>
      <c r="DS455" s="72">
        <v>0</v>
      </c>
      <c r="DT455" s="72">
        <v>0</v>
      </c>
      <c r="DU455" s="72">
        <v>0</v>
      </c>
      <c r="DV455" s="72">
        <v>0</v>
      </c>
      <c r="DW455" s="72">
        <v>0</v>
      </c>
      <c r="DX455" s="72">
        <v>0</v>
      </c>
      <c r="DY455" s="72">
        <v>0</v>
      </c>
      <c r="DZ455" s="72">
        <v>0</v>
      </c>
      <c r="EA455" s="72">
        <v>0</v>
      </c>
      <c r="EB455" s="72">
        <v>0</v>
      </c>
      <c r="EC455" s="72">
        <v>0</v>
      </c>
      <c r="ED455" s="72">
        <v>0</v>
      </c>
      <c r="EE455" s="72">
        <v>0</v>
      </c>
      <c r="EF455" s="72">
        <v>0</v>
      </c>
      <c r="EG455" s="72">
        <v>0</v>
      </c>
      <c r="EH455" s="72">
        <v>0</v>
      </c>
      <c r="EI455" s="72">
        <v>0</v>
      </c>
      <c r="EJ455" s="72">
        <v>0</v>
      </c>
      <c r="EK455" s="72">
        <v>0</v>
      </c>
      <c r="EL455" s="72">
        <v>0</v>
      </c>
    </row>
    <row r="456" spans="1:142" x14ac:dyDescent="0.35">
      <c r="A456" s="59">
        <f>Данные!A456</f>
        <v>6368</v>
      </c>
      <c r="B456" s="59">
        <f>Данные!B456</f>
        <v>2020</v>
      </c>
      <c r="C456" s="59" t="str">
        <f>Данные!C456</f>
        <v>компьютерных технологий и электронного обучения</v>
      </c>
      <c r="D456" s="59" t="str">
        <f>Данные!D456</f>
        <v>Карпова Наталья Александровна</v>
      </c>
      <c r="E456" s="59" t="str">
        <f>Данные!E456</f>
        <v>кандидат технических наук</v>
      </c>
      <c r="F456" s="59" t="str">
        <f>Данные!F456</f>
        <v>доцент</v>
      </c>
      <c r="G456" s="59">
        <f>Данные!G456</f>
        <v>0.75</v>
      </c>
      <c r="H456" s="59" t="str">
        <f>Данные!H456</f>
        <v>3 курс 2018 год/пост</v>
      </c>
      <c r="I456" s="59" t="str">
        <f>Данные!I456</f>
        <v>Модуль "Информационные технологии". Дисциплины и курсы по выбору. Прикладные информационные технологии</v>
      </c>
      <c r="J456" s="59">
        <f>Данные!J456</f>
        <v>28</v>
      </c>
      <c r="K456" s="59">
        <f>Данные!K456</f>
        <v>0</v>
      </c>
      <c r="L456" s="59">
        <f>Данные!L456</f>
        <v>0</v>
      </c>
      <c r="M456" s="60">
        <f t="shared" si="63"/>
        <v>2.8</v>
      </c>
      <c r="N456" s="60">
        <f t="shared" ca="1" si="64"/>
        <v>11.57</v>
      </c>
      <c r="O456" s="60">
        <f t="shared" ca="1" si="65"/>
        <v>7.25</v>
      </c>
      <c r="P456" s="60">
        <f t="shared" ca="1" si="66"/>
        <v>7.25</v>
      </c>
      <c r="Q456" s="54">
        <f>Данные!Q456</f>
        <v>0</v>
      </c>
      <c r="R456" s="54">
        <f>Данные!R456</f>
        <v>0</v>
      </c>
      <c r="S456" s="54">
        <f>Данные!S456</f>
        <v>0</v>
      </c>
      <c r="T456" s="54">
        <f>Данные!T456</f>
        <v>0</v>
      </c>
      <c r="U456" s="54">
        <f>Данные!U456</f>
        <v>0</v>
      </c>
      <c r="V456" s="54">
        <f>Данные!V456</f>
        <v>0</v>
      </c>
      <c r="W456" s="54">
        <f ca="1">Данные!W456</f>
        <v>29</v>
      </c>
      <c r="X456" s="54" t="str">
        <f ca="1">Данные!X456</f>
        <v>1</v>
      </c>
      <c r="Y456" s="54" t="str">
        <f ca="1">Данные!Y456</f>
        <v>2</v>
      </c>
      <c r="Z456" s="54">
        <f>Данные!Z456</f>
        <v>0</v>
      </c>
      <c r="AA456" s="54" t="str">
        <f>Данные!AA456</f>
        <v>осн</v>
      </c>
      <c r="AB456" s="101">
        <f t="shared" si="67"/>
        <v>800</v>
      </c>
      <c r="AC456" s="101" t="str">
        <f t="shared" si="68"/>
        <v>ИВТ (бак)</v>
      </c>
      <c r="AD456" s="101" t="str">
        <f t="shared" si="69"/>
        <v/>
      </c>
      <c r="AE456" s="102">
        <f t="shared" ca="1" si="70"/>
        <v>56.870000000000005</v>
      </c>
      <c r="AF456" s="103">
        <f t="shared" ca="1" si="71"/>
        <v>7.1087500000000012E-2</v>
      </c>
      <c r="AG456" s="101"/>
      <c r="AH456" s="101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Q456" s="72">
        <v>0</v>
      </c>
      <c r="BR456" s="72">
        <v>0</v>
      </c>
      <c r="BS456" s="72">
        <v>0</v>
      </c>
      <c r="BT456" s="72">
        <v>0</v>
      </c>
      <c r="BU456" s="72">
        <v>0</v>
      </c>
      <c r="BV456" s="72">
        <v>0</v>
      </c>
      <c r="BW456" s="72">
        <v>0</v>
      </c>
      <c r="BX456" s="72">
        <v>0</v>
      </c>
      <c r="BY456" s="72">
        <v>0</v>
      </c>
      <c r="BZ456" s="72">
        <v>0</v>
      </c>
      <c r="CA456" s="72">
        <v>0</v>
      </c>
      <c r="CB456" s="72">
        <v>0</v>
      </c>
      <c r="CC456" s="72">
        <v>0</v>
      </c>
      <c r="CD456" s="72">
        <v>0</v>
      </c>
      <c r="CE456" s="72">
        <v>0</v>
      </c>
      <c r="CF456" s="72">
        <v>0</v>
      </c>
      <c r="CG456" s="72">
        <v>0</v>
      </c>
      <c r="CH456" s="72">
        <v>0</v>
      </c>
      <c r="CI456" s="72">
        <v>0</v>
      </c>
      <c r="CJ456" s="72">
        <v>0</v>
      </c>
      <c r="CK456" s="72">
        <v>0</v>
      </c>
      <c r="CL456" s="72">
        <v>0</v>
      </c>
      <c r="CM456" s="72">
        <v>0</v>
      </c>
      <c r="CN456" s="72">
        <v>0</v>
      </c>
      <c r="CO456" s="72">
        <v>0</v>
      </c>
      <c r="CP456" s="72">
        <v>0</v>
      </c>
      <c r="CQ456" s="72">
        <v>0</v>
      </c>
      <c r="CR456" s="72">
        <v>0</v>
      </c>
      <c r="CS456" s="72">
        <v>0</v>
      </c>
      <c r="CT456" s="72">
        <v>0</v>
      </c>
      <c r="CU456" s="72">
        <v>0</v>
      </c>
      <c r="CV456" s="72">
        <v>0</v>
      </c>
      <c r="CW456" s="72">
        <v>0</v>
      </c>
      <c r="CX456" s="72">
        <v>0</v>
      </c>
      <c r="CY456" s="72">
        <v>0</v>
      </c>
      <c r="CZ456" s="72">
        <v>0</v>
      </c>
      <c r="DA456" s="72">
        <v>0</v>
      </c>
      <c r="DB456" s="72">
        <v>0</v>
      </c>
      <c r="DC456" s="72">
        <v>0</v>
      </c>
      <c r="DD456" s="72">
        <v>0</v>
      </c>
      <c r="DE456" s="72">
        <v>0</v>
      </c>
      <c r="DF456" s="72">
        <v>0</v>
      </c>
      <c r="DG456" s="72">
        <v>0</v>
      </c>
      <c r="DH456" s="72">
        <v>0</v>
      </c>
      <c r="DI456" s="72">
        <v>0</v>
      </c>
      <c r="DJ456" s="72">
        <v>0</v>
      </c>
      <c r="DK456" s="72">
        <v>0</v>
      </c>
      <c r="DL456" s="72">
        <v>0</v>
      </c>
      <c r="DM456" s="72">
        <v>0</v>
      </c>
      <c r="DN456" s="72">
        <v>0</v>
      </c>
      <c r="DO456" s="72">
        <v>0</v>
      </c>
      <c r="DP456" s="72">
        <v>0</v>
      </c>
      <c r="DQ456" s="72">
        <v>0</v>
      </c>
      <c r="DR456" s="72">
        <v>0</v>
      </c>
      <c r="DS456" s="72">
        <v>0</v>
      </c>
      <c r="DT456" s="72">
        <v>0</v>
      </c>
      <c r="DU456" s="72">
        <v>0</v>
      </c>
      <c r="DV456" s="72">
        <v>0</v>
      </c>
      <c r="DW456" s="72">
        <v>0</v>
      </c>
      <c r="DX456" s="72">
        <v>0</v>
      </c>
      <c r="DY456" s="72">
        <v>0</v>
      </c>
      <c r="DZ456" s="72">
        <v>0</v>
      </c>
      <c r="EA456" s="72">
        <v>0</v>
      </c>
      <c r="EB456" s="72">
        <v>0</v>
      </c>
      <c r="EC456" s="72">
        <v>0</v>
      </c>
      <c r="ED456" s="72">
        <v>0</v>
      </c>
      <c r="EE456" s="72">
        <v>0</v>
      </c>
      <c r="EF456" s="72">
        <v>0</v>
      </c>
      <c r="EG456" s="72">
        <v>0</v>
      </c>
      <c r="EH456" s="72">
        <v>0</v>
      </c>
      <c r="EI456" s="72">
        <v>0</v>
      </c>
      <c r="EJ456" s="72">
        <v>0</v>
      </c>
      <c r="EK456" s="72">
        <v>0</v>
      </c>
      <c r="EL456" s="72">
        <v>0</v>
      </c>
    </row>
    <row r="457" spans="1:142" x14ac:dyDescent="0.35">
      <c r="A457" s="59">
        <f>Данные!A457</f>
        <v>6368</v>
      </c>
      <c r="B457" s="59">
        <f>Данные!B457</f>
        <v>2020</v>
      </c>
      <c r="C457" s="59" t="str">
        <f>Данные!C457</f>
        <v>компьютерных технологий и электронного обучения</v>
      </c>
      <c r="D457" s="59" t="str">
        <f>Данные!D457</f>
        <v>Иванова Екатерина Алексеевна</v>
      </c>
      <c r="E457" s="59" t="str">
        <f>Данные!E457</f>
        <v>нет</v>
      </c>
      <c r="F457" s="59" t="str">
        <f>Данные!F457</f>
        <v>ассистент</v>
      </c>
      <c r="G457" s="59">
        <f>Данные!G457</f>
        <v>0.25</v>
      </c>
      <c r="H457" s="59" t="str">
        <f>Данные!H457</f>
        <v>3 курс 2018 год/пост</v>
      </c>
      <c r="I457" s="59" t="str">
        <f>Данные!I457</f>
        <v>Модуль "Информационные технологии". Дисциплины и курсы по выбору. Прикладные информационные технологии</v>
      </c>
      <c r="J457" s="59">
        <f>Данные!J457</f>
        <v>0</v>
      </c>
      <c r="K457" s="59">
        <f>Данные!K457</f>
        <v>0</v>
      </c>
      <c r="L457" s="59">
        <f>Данные!L457</f>
        <v>0</v>
      </c>
      <c r="M457" s="60">
        <f t="shared" si="63"/>
        <v>0</v>
      </c>
      <c r="N457" s="60">
        <f t="shared" ca="1" si="64"/>
        <v>11.57</v>
      </c>
      <c r="O457" s="60">
        <f t="shared" ca="1" si="65"/>
        <v>7.25</v>
      </c>
      <c r="P457" s="60">
        <f t="shared" ca="1" si="66"/>
        <v>7.25</v>
      </c>
      <c r="Q457" s="54">
        <f>Данные!Q457</f>
        <v>0</v>
      </c>
      <c r="R457" s="54">
        <f>Данные!R457</f>
        <v>0</v>
      </c>
      <c r="S457" s="54">
        <f>Данные!S457</f>
        <v>0</v>
      </c>
      <c r="T457" s="54">
        <f>Данные!T457</f>
        <v>0</v>
      </c>
      <c r="U457" s="54">
        <f>Данные!U457</f>
        <v>0</v>
      </c>
      <c r="V457" s="54">
        <f>Данные!V457</f>
        <v>0</v>
      </c>
      <c r="W457" s="54">
        <f ca="1">Данные!W457</f>
        <v>29</v>
      </c>
      <c r="X457" s="54" t="str">
        <f ca="1">Данные!X457</f>
        <v>1</v>
      </c>
      <c r="Y457" s="54" t="str">
        <f ca="1">Данные!Y457</f>
        <v>2</v>
      </c>
      <c r="Z457" s="54">
        <f>Данные!Z457</f>
        <v>0</v>
      </c>
      <c r="AA457" s="54" t="str">
        <f>Данные!AA457</f>
        <v>осн</v>
      </c>
      <c r="AB457" s="101">
        <f t="shared" si="67"/>
        <v>900</v>
      </c>
      <c r="AC457" s="101" t="str">
        <f t="shared" si="68"/>
        <v>ИВТ (бак)</v>
      </c>
      <c r="AD457" s="101" t="str">
        <f t="shared" si="69"/>
        <v/>
      </c>
      <c r="AE457" s="102">
        <f t="shared" ca="1" si="70"/>
        <v>26.07</v>
      </c>
      <c r="AF457" s="103">
        <f t="shared" ca="1" si="71"/>
        <v>2.8966666666666668E-2</v>
      </c>
      <c r="AG457" s="101"/>
      <c r="AH457" s="101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Q457" s="72">
        <v>0</v>
      </c>
      <c r="BR457" s="72">
        <v>0</v>
      </c>
      <c r="BS457" s="72">
        <v>0</v>
      </c>
      <c r="BT457" s="72">
        <v>0</v>
      </c>
      <c r="BU457" s="72">
        <v>0</v>
      </c>
      <c r="BV457" s="72">
        <v>0</v>
      </c>
      <c r="BW457" s="72">
        <v>0</v>
      </c>
      <c r="BX457" s="72">
        <v>0</v>
      </c>
      <c r="BY457" s="72">
        <v>0</v>
      </c>
      <c r="BZ457" s="72">
        <v>0</v>
      </c>
      <c r="CA457" s="72">
        <v>0</v>
      </c>
      <c r="CB457" s="72">
        <v>0</v>
      </c>
      <c r="CC457" s="72">
        <v>0</v>
      </c>
      <c r="CD457" s="72">
        <v>0</v>
      </c>
      <c r="CE457" s="72">
        <v>0</v>
      </c>
      <c r="CF457" s="72">
        <v>0</v>
      </c>
      <c r="CG457" s="72">
        <v>0</v>
      </c>
      <c r="CH457" s="72">
        <v>0</v>
      </c>
      <c r="CI457" s="72">
        <v>0</v>
      </c>
      <c r="CJ457" s="72">
        <v>0</v>
      </c>
      <c r="CK457" s="72">
        <v>0</v>
      </c>
      <c r="CL457" s="72">
        <v>0</v>
      </c>
      <c r="CM457" s="72">
        <v>0</v>
      </c>
      <c r="CN457" s="72">
        <v>0</v>
      </c>
      <c r="CO457" s="72">
        <v>0</v>
      </c>
      <c r="CP457" s="72">
        <v>0</v>
      </c>
      <c r="CQ457" s="72">
        <v>0</v>
      </c>
      <c r="CR457" s="72">
        <v>0</v>
      </c>
      <c r="CS457" s="72">
        <v>0</v>
      </c>
      <c r="CT457" s="72">
        <v>0</v>
      </c>
      <c r="CU457" s="72">
        <v>0</v>
      </c>
      <c r="CV457" s="72">
        <v>0</v>
      </c>
      <c r="CW457" s="72">
        <v>0</v>
      </c>
      <c r="CX457" s="72">
        <v>0</v>
      </c>
      <c r="CY457" s="72">
        <v>0</v>
      </c>
      <c r="CZ457" s="72">
        <v>0</v>
      </c>
      <c r="DA457" s="72">
        <v>0</v>
      </c>
      <c r="DB457" s="72">
        <v>0</v>
      </c>
      <c r="DC457" s="72">
        <v>0</v>
      </c>
      <c r="DD457" s="72">
        <v>0</v>
      </c>
      <c r="DE457" s="72">
        <v>0</v>
      </c>
      <c r="DF457" s="72">
        <v>0</v>
      </c>
      <c r="DG457" s="72">
        <v>0</v>
      </c>
      <c r="DH457" s="72">
        <v>0</v>
      </c>
      <c r="DI457" s="72">
        <v>0</v>
      </c>
      <c r="DJ457" s="72">
        <v>0</v>
      </c>
      <c r="DK457" s="72">
        <v>0</v>
      </c>
      <c r="DL457" s="72">
        <v>0</v>
      </c>
      <c r="DM457" s="72">
        <v>0</v>
      </c>
      <c r="DN457" s="72">
        <v>0</v>
      </c>
      <c r="DO457" s="72">
        <v>0</v>
      </c>
      <c r="DP457" s="72">
        <v>0</v>
      </c>
      <c r="DQ457" s="72">
        <v>0</v>
      </c>
      <c r="DR457" s="72">
        <v>0</v>
      </c>
      <c r="DS457" s="72">
        <v>0</v>
      </c>
      <c r="DT457" s="72">
        <v>0</v>
      </c>
      <c r="DU457" s="72">
        <v>0</v>
      </c>
      <c r="DV457" s="72">
        <v>0</v>
      </c>
      <c r="DW457" s="72">
        <v>0</v>
      </c>
      <c r="DX457" s="72">
        <v>0</v>
      </c>
      <c r="DY457" s="72">
        <v>0</v>
      </c>
      <c r="DZ457" s="72">
        <v>0</v>
      </c>
      <c r="EA457" s="72">
        <v>0</v>
      </c>
      <c r="EB457" s="72">
        <v>0</v>
      </c>
      <c r="EC457" s="72">
        <v>0</v>
      </c>
      <c r="ED457" s="72">
        <v>0</v>
      </c>
      <c r="EE457" s="72">
        <v>0</v>
      </c>
      <c r="EF457" s="72">
        <v>0</v>
      </c>
      <c r="EG457" s="72">
        <v>0</v>
      </c>
      <c r="EH457" s="72">
        <v>0</v>
      </c>
      <c r="EI457" s="72">
        <v>0</v>
      </c>
      <c r="EJ457" s="72">
        <v>0</v>
      </c>
      <c r="EK457" s="72">
        <v>0</v>
      </c>
      <c r="EL457" s="72">
        <v>0</v>
      </c>
    </row>
    <row r="458" spans="1:142" x14ac:dyDescent="0.35">
      <c r="A458" s="59">
        <f>Данные!A458</f>
        <v>6368</v>
      </c>
      <c r="B458" s="59">
        <f>Данные!B458</f>
        <v>2020</v>
      </c>
      <c r="C458" s="59" t="str">
        <f>Данные!C458</f>
        <v>компьютерных технологий и электронного обучения</v>
      </c>
      <c r="D458" s="59" t="str">
        <f>Данные!D458</f>
        <v>Иванова Екатерина Алексеевна</v>
      </c>
      <c r="E458" s="59" t="str">
        <f>Данные!E458</f>
        <v>нет</v>
      </c>
      <c r="F458" s="59" t="str">
        <f>Данные!F458</f>
        <v>ассистент</v>
      </c>
      <c r="G458" s="59">
        <f>Данные!G458</f>
        <v>0.25</v>
      </c>
      <c r="H458" s="59" t="str">
        <f>Данные!H458</f>
        <v>3 курс 2018 год/пост</v>
      </c>
      <c r="I458" s="59" t="str">
        <f>Данные!I458</f>
        <v>Модуль "Информационные технологии". Основы корпоративного электронного обучения</v>
      </c>
      <c r="J458" s="59">
        <f>Данные!J458</f>
        <v>0</v>
      </c>
      <c r="K458" s="59">
        <f>Данные!K458</f>
        <v>24</v>
      </c>
      <c r="L458" s="59">
        <f>Данные!L458</f>
        <v>54</v>
      </c>
      <c r="M458" s="60">
        <f t="shared" si="63"/>
        <v>7.8</v>
      </c>
      <c r="N458" s="60">
        <f t="shared" ca="1" si="64"/>
        <v>11.57</v>
      </c>
      <c r="O458" s="60">
        <f t="shared" ca="1" si="65"/>
        <v>7.25</v>
      </c>
      <c r="P458" s="60">
        <f t="shared" ca="1" si="66"/>
        <v>7.25</v>
      </c>
      <c r="Q458" s="54">
        <f>Данные!Q458</f>
        <v>0</v>
      </c>
      <c r="R458" s="54">
        <f>Данные!R458</f>
        <v>0</v>
      </c>
      <c r="S458" s="54">
        <f>Данные!S458</f>
        <v>0</v>
      </c>
      <c r="T458" s="54">
        <f>Данные!T458</f>
        <v>0</v>
      </c>
      <c r="U458" s="54">
        <f>Данные!U458</f>
        <v>0</v>
      </c>
      <c r="V458" s="54">
        <f>Данные!V458</f>
        <v>0</v>
      </c>
      <c r="W458" s="54">
        <f ca="1">Данные!W458</f>
        <v>29</v>
      </c>
      <c r="X458" s="54" t="str">
        <f ca="1">Данные!X458</f>
        <v>1</v>
      </c>
      <c r="Y458" s="54" t="str">
        <f ca="1">Данные!Y458</f>
        <v>2</v>
      </c>
      <c r="Z458" s="54">
        <f>Данные!Z458</f>
        <v>0</v>
      </c>
      <c r="AA458" s="54" t="str">
        <f>Данные!AA458</f>
        <v>осн</v>
      </c>
      <c r="AB458" s="101">
        <f t="shared" si="67"/>
        <v>900</v>
      </c>
      <c r="AC458" s="101" t="str">
        <f t="shared" si="68"/>
        <v>ИВТ (бак)</v>
      </c>
      <c r="AD458" s="101" t="str">
        <f t="shared" si="69"/>
        <v/>
      </c>
      <c r="AE458" s="102">
        <f t="shared" ca="1" si="70"/>
        <v>111.87</v>
      </c>
      <c r="AF458" s="103">
        <f t="shared" ca="1" si="71"/>
        <v>0.12430000000000001</v>
      </c>
      <c r="AG458" s="101"/>
      <c r="AH458" s="101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Q458" s="72">
        <v>0</v>
      </c>
      <c r="BR458" s="72">
        <v>0</v>
      </c>
      <c r="BS458" s="72">
        <v>0</v>
      </c>
      <c r="BT458" s="72">
        <v>0</v>
      </c>
      <c r="BU458" s="72">
        <v>0</v>
      </c>
      <c r="BV458" s="72">
        <v>0</v>
      </c>
      <c r="BW458" s="72">
        <v>0</v>
      </c>
      <c r="BX458" s="72">
        <v>0</v>
      </c>
      <c r="BY458" s="72">
        <v>0</v>
      </c>
      <c r="BZ458" s="72">
        <v>0</v>
      </c>
      <c r="CA458" s="72">
        <v>0</v>
      </c>
      <c r="CB458" s="72">
        <v>0</v>
      </c>
      <c r="CC458" s="72">
        <v>0</v>
      </c>
      <c r="CD458" s="72">
        <v>0</v>
      </c>
      <c r="CE458" s="72">
        <v>0</v>
      </c>
      <c r="CF458" s="72">
        <v>0</v>
      </c>
      <c r="CG458" s="72">
        <v>0</v>
      </c>
      <c r="CH458" s="72">
        <v>0</v>
      </c>
      <c r="CI458" s="72">
        <v>0</v>
      </c>
      <c r="CJ458" s="72">
        <v>0</v>
      </c>
      <c r="CK458" s="72">
        <v>0</v>
      </c>
      <c r="CL458" s="72">
        <v>0</v>
      </c>
      <c r="CM458" s="72">
        <v>0</v>
      </c>
      <c r="CN458" s="72">
        <v>0</v>
      </c>
      <c r="CO458" s="72">
        <v>0</v>
      </c>
      <c r="CP458" s="72">
        <v>0</v>
      </c>
      <c r="CQ458" s="72">
        <v>0</v>
      </c>
      <c r="CR458" s="72">
        <v>0</v>
      </c>
      <c r="CS458" s="72">
        <v>0</v>
      </c>
      <c r="CT458" s="72">
        <v>0</v>
      </c>
      <c r="CU458" s="72">
        <v>0</v>
      </c>
      <c r="CV458" s="72">
        <v>0</v>
      </c>
      <c r="CW458" s="72">
        <v>0</v>
      </c>
      <c r="CX458" s="72">
        <v>0</v>
      </c>
      <c r="CY458" s="72">
        <v>0</v>
      </c>
      <c r="CZ458" s="72">
        <v>0</v>
      </c>
      <c r="DA458" s="72">
        <v>0</v>
      </c>
      <c r="DB458" s="72">
        <v>0</v>
      </c>
      <c r="DC458" s="72">
        <v>0</v>
      </c>
      <c r="DD458" s="72">
        <v>0</v>
      </c>
      <c r="DE458" s="72">
        <v>0</v>
      </c>
      <c r="DF458" s="72">
        <v>0</v>
      </c>
      <c r="DG458" s="72">
        <v>0</v>
      </c>
      <c r="DH458" s="72">
        <v>0</v>
      </c>
      <c r="DI458" s="72">
        <v>0</v>
      </c>
      <c r="DJ458" s="72">
        <v>0</v>
      </c>
      <c r="DK458" s="72">
        <v>0</v>
      </c>
      <c r="DL458" s="72">
        <v>0</v>
      </c>
      <c r="DM458" s="72">
        <v>0</v>
      </c>
      <c r="DN458" s="72">
        <v>0</v>
      </c>
      <c r="DO458" s="72">
        <v>0</v>
      </c>
      <c r="DP458" s="72">
        <v>0</v>
      </c>
      <c r="DQ458" s="72">
        <v>0</v>
      </c>
      <c r="DR458" s="72">
        <v>0</v>
      </c>
      <c r="DS458" s="72">
        <v>0</v>
      </c>
      <c r="DT458" s="72">
        <v>0</v>
      </c>
      <c r="DU458" s="72">
        <v>0</v>
      </c>
      <c r="DV458" s="72">
        <v>0</v>
      </c>
      <c r="DW458" s="72">
        <v>0</v>
      </c>
      <c r="DX458" s="72">
        <v>0</v>
      </c>
      <c r="DY458" s="72">
        <v>0</v>
      </c>
      <c r="DZ458" s="72">
        <v>0</v>
      </c>
      <c r="EA458" s="72">
        <v>0</v>
      </c>
      <c r="EB458" s="72">
        <v>0</v>
      </c>
      <c r="EC458" s="72">
        <v>0</v>
      </c>
      <c r="ED458" s="72">
        <v>0</v>
      </c>
      <c r="EE458" s="72">
        <v>0</v>
      </c>
      <c r="EF458" s="72">
        <v>0</v>
      </c>
      <c r="EG458" s="72">
        <v>0</v>
      </c>
      <c r="EH458" s="72">
        <v>0</v>
      </c>
      <c r="EI458" s="72">
        <v>0</v>
      </c>
      <c r="EJ458" s="72">
        <v>0</v>
      </c>
      <c r="EK458" s="72">
        <v>0</v>
      </c>
      <c r="EL458" s="72">
        <v>0</v>
      </c>
    </row>
    <row r="459" spans="1:142" x14ac:dyDescent="0.35">
      <c r="A459" s="59">
        <f>Данные!A459</f>
        <v>6368</v>
      </c>
      <c r="B459" s="59">
        <f>Данные!B459</f>
        <v>2020</v>
      </c>
      <c r="C459" s="59" t="str">
        <f>Данные!C459</f>
        <v>компьютерных технологий и электронного обучения</v>
      </c>
      <c r="D459" s="59" t="str">
        <f>Данные!D459</f>
        <v>Ильина Татьяна Сергеевна</v>
      </c>
      <c r="E459" s="59" t="str">
        <f>Данные!E459</f>
        <v>нет</v>
      </c>
      <c r="F459" s="59" t="str">
        <f>Данные!F459</f>
        <v>старший преподаватель</v>
      </c>
      <c r="G459" s="59">
        <f>Данные!G459</f>
        <v>1</v>
      </c>
      <c r="H459" s="59" t="str">
        <f>Данные!H459</f>
        <v>3 курс 2018 год/пост</v>
      </c>
      <c r="I459" s="59" t="str">
        <f>Данные!I459</f>
        <v>Модуль "Информационные технологии"</v>
      </c>
      <c r="J459" s="59">
        <f>Данные!J459</f>
        <v>0</v>
      </c>
      <c r="K459" s="59">
        <f>Данные!K459</f>
        <v>0</v>
      </c>
      <c r="L459" s="59">
        <f>Данные!L459</f>
        <v>0</v>
      </c>
      <c r="M459" s="60">
        <f t="shared" si="63"/>
        <v>0</v>
      </c>
      <c r="N459" s="60">
        <f t="shared" ca="1" si="64"/>
        <v>11.57</v>
      </c>
      <c r="O459" s="60">
        <f t="shared" ca="1" si="65"/>
        <v>7.25</v>
      </c>
      <c r="P459" s="60">
        <f t="shared" ca="1" si="66"/>
        <v>7.25</v>
      </c>
      <c r="Q459" s="54">
        <f>Данные!Q459</f>
        <v>0</v>
      </c>
      <c r="R459" s="54">
        <f>Данные!R459</f>
        <v>0</v>
      </c>
      <c r="S459" s="54">
        <f>Данные!S459</f>
        <v>0</v>
      </c>
      <c r="T459" s="54">
        <f>Данные!T459</f>
        <v>0</v>
      </c>
      <c r="U459" s="54">
        <f>Данные!U459</f>
        <v>0</v>
      </c>
      <c r="V459" s="54">
        <f>Данные!V459</f>
        <v>0</v>
      </c>
      <c r="W459" s="54">
        <f ca="1">Данные!W459</f>
        <v>29</v>
      </c>
      <c r="X459" s="54" t="str">
        <f ca="1">Данные!X459</f>
        <v>1</v>
      </c>
      <c r="Y459" s="54" t="str">
        <f ca="1">Данные!Y459</f>
        <v>2</v>
      </c>
      <c r="Z459" s="54">
        <f>Данные!Z459</f>
        <v>0</v>
      </c>
      <c r="AA459" s="54" t="str">
        <f>Данные!AA459</f>
        <v>осн</v>
      </c>
      <c r="AB459" s="101">
        <f t="shared" si="67"/>
        <v>850</v>
      </c>
      <c r="AC459" s="101" t="str">
        <f t="shared" si="68"/>
        <v>ИВТ (бак)</v>
      </c>
      <c r="AD459" s="101" t="str">
        <f t="shared" si="69"/>
        <v/>
      </c>
      <c r="AE459" s="102">
        <f t="shared" ca="1" si="70"/>
        <v>26.07</v>
      </c>
      <c r="AF459" s="103">
        <f t="shared" ca="1" si="71"/>
        <v>3.067058823529412E-2</v>
      </c>
      <c r="AG459" s="101"/>
      <c r="AH459" s="101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Q459" s="72">
        <v>0</v>
      </c>
      <c r="BR459" s="72">
        <v>0</v>
      </c>
      <c r="BS459" s="72">
        <v>0</v>
      </c>
      <c r="BT459" s="72">
        <v>0</v>
      </c>
      <c r="BU459" s="72">
        <v>0</v>
      </c>
      <c r="BV459" s="72">
        <v>0</v>
      </c>
      <c r="BW459" s="72">
        <v>0</v>
      </c>
      <c r="BX459" s="72">
        <v>0</v>
      </c>
      <c r="BY459" s="72">
        <v>0</v>
      </c>
      <c r="BZ459" s="72">
        <v>0</v>
      </c>
      <c r="CA459" s="72">
        <v>0</v>
      </c>
      <c r="CB459" s="72">
        <v>0</v>
      </c>
      <c r="CC459" s="72">
        <v>0</v>
      </c>
      <c r="CD459" s="72">
        <v>0</v>
      </c>
      <c r="CE459" s="72">
        <v>0</v>
      </c>
      <c r="CF459" s="72">
        <v>0</v>
      </c>
      <c r="CG459" s="72">
        <v>0</v>
      </c>
      <c r="CH459" s="72">
        <v>0</v>
      </c>
      <c r="CI459" s="72">
        <v>0</v>
      </c>
      <c r="CJ459" s="72">
        <v>0</v>
      </c>
      <c r="CK459" s="72">
        <v>0</v>
      </c>
      <c r="CL459" s="72">
        <v>0</v>
      </c>
      <c r="CM459" s="72">
        <v>0</v>
      </c>
      <c r="CN459" s="72">
        <v>0</v>
      </c>
      <c r="CO459" s="72">
        <v>0</v>
      </c>
      <c r="CP459" s="72">
        <v>0</v>
      </c>
      <c r="CQ459" s="72">
        <v>0</v>
      </c>
      <c r="CR459" s="72">
        <v>0</v>
      </c>
      <c r="CS459" s="72">
        <v>0</v>
      </c>
      <c r="CT459" s="72">
        <v>0</v>
      </c>
      <c r="CU459" s="72">
        <v>0</v>
      </c>
      <c r="CV459" s="72">
        <v>0</v>
      </c>
      <c r="CW459" s="72">
        <v>0</v>
      </c>
      <c r="CX459" s="72">
        <v>0</v>
      </c>
      <c r="CY459" s="72">
        <v>0</v>
      </c>
      <c r="CZ459" s="72">
        <v>0</v>
      </c>
      <c r="DA459" s="72">
        <v>0</v>
      </c>
      <c r="DB459" s="72">
        <v>0</v>
      </c>
      <c r="DC459" s="72">
        <v>0</v>
      </c>
      <c r="DD459" s="72">
        <v>0</v>
      </c>
      <c r="DE459" s="72">
        <v>0</v>
      </c>
      <c r="DF459" s="72">
        <v>0</v>
      </c>
      <c r="DG459" s="72">
        <v>0</v>
      </c>
      <c r="DH459" s="72">
        <v>0</v>
      </c>
      <c r="DI459" s="72">
        <v>0</v>
      </c>
      <c r="DJ459" s="72">
        <v>0</v>
      </c>
      <c r="DK459" s="72">
        <v>0</v>
      </c>
      <c r="DL459" s="72">
        <v>0</v>
      </c>
      <c r="DM459" s="72">
        <v>0</v>
      </c>
      <c r="DN459" s="72">
        <v>0</v>
      </c>
      <c r="DO459" s="72">
        <v>0</v>
      </c>
      <c r="DP459" s="72">
        <v>0</v>
      </c>
      <c r="DQ459" s="72">
        <v>0</v>
      </c>
      <c r="DR459" s="72">
        <v>0</v>
      </c>
      <c r="DS459" s="72">
        <v>0</v>
      </c>
      <c r="DT459" s="72">
        <v>0</v>
      </c>
      <c r="DU459" s="72">
        <v>0</v>
      </c>
      <c r="DV459" s="72">
        <v>0</v>
      </c>
      <c r="DW459" s="72">
        <v>0</v>
      </c>
      <c r="DX459" s="72">
        <v>0</v>
      </c>
      <c r="DY459" s="72">
        <v>0</v>
      </c>
      <c r="DZ459" s="72">
        <v>0</v>
      </c>
      <c r="EA459" s="72">
        <v>0</v>
      </c>
      <c r="EB459" s="72">
        <v>0</v>
      </c>
      <c r="EC459" s="72">
        <v>0</v>
      </c>
      <c r="ED459" s="72">
        <v>0</v>
      </c>
      <c r="EE459" s="72">
        <v>0</v>
      </c>
      <c r="EF459" s="72">
        <v>0</v>
      </c>
      <c r="EG459" s="72">
        <v>0</v>
      </c>
      <c r="EH459" s="72">
        <v>0</v>
      </c>
      <c r="EI459" s="72">
        <v>0</v>
      </c>
      <c r="EJ459" s="72">
        <v>0</v>
      </c>
      <c r="EK459" s="72">
        <v>0</v>
      </c>
      <c r="EL459" s="72">
        <v>0</v>
      </c>
    </row>
    <row r="460" spans="1:142" x14ac:dyDescent="0.35">
      <c r="A460" s="59">
        <f>Данные!A460</f>
        <v>6368</v>
      </c>
      <c r="B460" s="59">
        <f>Данные!B460</f>
        <v>2020</v>
      </c>
      <c r="C460" s="59" t="str">
        <f>Данные!C460</f>
        <v>компьютерных технологий и электронного обучения</v>
      </c>
      <c r="D460" s="59" t="str">
        <f>Данные!D460</f>
        <v>Ильина Татьяна Сергеевна</v>
      </c>
      <c r="E460" s="59" t="str">
        <f>Данные!E460</f>
        <v>нет</v>
      </c>
      <c r="F460" s="59" t="str">
        <f>Данные!F460</f>
        <v>старший преподаватель</v>
      </c>
      <c r="G460" s="59">
        <f>Данные!G460</f>
        <v>1</v>
      </c>
      <c r="H460" s="59" t="str">
        <f>Данные!H460</f>
        <v>3 курс 2018 год/пост</v>
      </c>
      <c r="I460" s="59" t="str">
        <f>Данные!I460</f>
        <v>Модуль "Информационные технологии". Техника и технологии представления и публикации информации</v>
      </c>
      <c r="J460" s="59">
        <f>Данные!J460</f>
        <v>18</v>
      </c>
      <c r="K460" s="59">
        <f>Данные!K460</f>
        <v>0</v>
      </c>
      <c r="L460" s="59">
        <f>Данные!L460</f>
        <v>54</v>
      </c>
      <c r="M460" s="60">
        <f t="shared" si="63"/>
        <v>7.2</v>
      </c>
      <c r="N460" s="60">
        <f t="shared" ca="1" si="64"/>
        <v>11.57</v>
      </c>
      <c r="O460" s="60">
        <f t="shared" ca="1" si="65"/>
        <v>7.25</v>
      </c>
      <c r="P460" s="60">
        <f t="shared" ca="1" si="66"/>
        <v>7.25</v>
      </c>
      <c r="Q460" s="54">
        <f>Данные!Q460</f>
        <v>0</v>
      </c>
      <c r="R460" s="54">
        <f>Данные!R460</f>
        <v>0</v>
      </c>
      <c r="S460" s="54">
        <f>Данные!S460</f>
        <v>0</v>
      </c>
      <c r="T460" s="54">
        <f>Данные!T460</f>
        <v>0</v>
      </c>
      <c r="U460" s="54">
        <f>Данные!U460</f>
        <v>0</v>
      </c>
      <c r="V460" s="54">
        <f>Данные!V460</f>
        <v>0</v>
      </c>
      <c r="W460" s="54">
        <f ca="1">Данные!W460</f>
        <v>29</v>
      </c>
      <c r="X460" s="54" t="str">
        <f ca="1">Данные!X460</f>
        <v>1</v>
      </c>
      <c r="Y460" s="54" t="str">
        <f ca="1">Данные!Y460</f>
        <v>2</v>
      </c>
      <c r="Z460" s="54">
        <f>Данные!Z460</f>
        <v>0</v>
      </c>
      <c r="AA460" s="54" t="str">
        <f>Данные!AA460</f>
        <v>осн</v>
      </c>
      <c r="AB460" s="101">
        <f t="shared" si="67"/>
        <v>850</v>
      </c>
      <c r="AC460" s="101" t="str">
        <f t="shared" si="68"/>
        <v>ИВТ (бак)</v>
      </c>
      <c r="AD460" s="101" t="str">
        <f t="shared" si="69"/>
        <v/>
      </c>
      <c r="AE460" s="102">
        <f t="shared" ca="1" si="70"/>
        <v>105.27000000000001</v>
      </c>
      <c r="AF460" s="103">
        <f t="shared" ca="1" si="71"/>
        <v>0.12384705882352942</v>
      </c>
      <c r="AG460" s="101"/>
      <c r="AH460" s="101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Q460" s="72">
        <v>0</v>
      </c>
      <c r="BR460" s="72">
        <v>0</v>
      </c>
      <c r="BS460" s="72">
        <v>0</v>
      </c>
      <c r="BT460" s="72">
        <v>0</v>
      </c>
      <c r="BU460" s="72">
        <v>0</v>
      </c>
      <c r="BV460" s="72">
        <v>0</v>
      </c>
      <c r="BW460" s="72">
        <v>0</v>
      </c>
      <c r="BX460" s="72">
        <v>0</v>
      </c>
      <c r="BY460" s="72">
        <v>0</v>
      </c>
      <c r="BZ460" s="72">
        <v>0</v>
      </c>
      <c r="CA460" s="72">
        <v>0</v>
      </c>
      <c r="CB460" s="72">
        <v>0</v>
      </c>
      <c r="CC460" s="72">
        <v>0</v>
      </c>
      <c r="CD460" s="72">
        <v>0</v>
      </c>
      <c r="CE460" s="72">
        <v>0</v>
      </c>
      <c r="CF460" s="72">
        <v>0</v>
      </c>
      <c r="CG460" s="72">
        <v>0</v>
      </c>
      <c r="CH460" s="72">
        <v>0</v>
      </c>
      <c r="CI460" s="72">
        <v>0</v>
      </c>
      <c r="CJ460" s="72">
        <v>0</v>
      </c>
      <c r="CK460" s="72">
        <v>0</v>
      </c>
      <c r="CL460" s="72">
        <v>0</v>
      </c>
      <c r="CM460" s="72">
        <v>0</v>
      </c>
      <c r="CN460" s="72">
        <v>0</v>
      </c>
      <c r="CO460" s="72">
        <v>0</v>
      </c>
      <c r="CP460" s="72">
        <v>0</v>
      </c>
      <c r="CQ460" s="72">
        <v>0</v>
      </c>
      <c r="CR460" s="72">
        <v>0</v>
      </c>
      <c r="CS460" s="72">
        <v>0</v>
      </c>
      <c r="CT460" s="72">
        <v>0</v>
      </c>
      <c r="CU460" s="72">
        <v>0</v>
      </c>
      <c r="CV460" s="72">
        <v>0</v>
      </c>
      <c r="CW460" s="72">
        <v>0</v>
      </c>
      <c r="CX460" s="72">
        <v>0</v>
      </c>
      <c r="CY460" s="72">
        <v>0</v>
      </c>
      <c r="CZ460" s="72">
        <v>0</v>
      </c>
      <c r="DA460" s="72">
        <v>0</v>
      </c>
      <c r="DB460" s="72">
        <v>0</v>
      </c>
      <c r="DC460" s="72">
        <v>0</v>
      </c>
      <c r="DD460" s="72">
        <v>0</v>
      </c>
      <c r="DE460" s="72">
        <v>0</v>
      </c>
      <c r="DF460" s="72">
        <v>0</v>
      </c>
      <c r="DG460" s="72">
        <v>0</v>
      </c>
      <c r="DH460" s="72">
        <v>0</v>
      </c>
      <c r="DI460" s="72">
        <v>0</v>
      </c>
      <c r="DJ460" s="72">
        <v>0</v>
      </c>
      <c r="DK460" s="72">
        <v>0</v>
      </c>
      <c r="DL460" s="72">
        <v>0</v>
      </c>
      <c r="DM460" s="72">
        <v>0</v>
      </c>
      <c r="DN460" s="72">
        <v>0</v>
      </c>
      <c r="DO460" s="72">
        <v>0</v>
      </c>
      <c r="DP460" s="72">
        <v>0</v>
      </c>
      <c r="DQ460" s="72">
        <v>0</v>
      </c>
      <c r="DR460" s="72">
        <v>0</v>
      </c>
      <c r="DS460" s="72">
        <v>0</v>
      </c>
      <c r="DT460" s="72">
        <v>0</v>
      </c>
      <c r="DU460" s="72">
        <v>0</v>
      </c>
      <c r="DV460" s="72">
        <v>0</v>
      </c>
      <c r="DW460" s="72">
        <v>0</v>
      </c>
      <c r="DX460" s="72">
        <v>0</v>
      </c>
      <c r="DY460" s="72">
        <v>0</v>
      </c>
      <c r="DZ460" s="72">
        <v>0</v>
      </c>
      <c r="EA460" s="72">
        <v>0</v>
      </c>
      <c r="EB460" s="72">
        <v>0</v>
      </c>
      <c r="EC460" s="72">
        <v>0</v>
      </c>
      <c r="ED460" s="72">
        <v>0</v>
      </c>
      <c r="EE460" s="72">
        <v>0</v>
      </c>
      <c r="EF460" s="72">
        <v>0</v>
      </c>
      <c r="EG460" s="72">
        <v>0</v>
      </c>
      <c r="EH460" s="72">
        <v>0</v>
      </c>
      <c r="EI460" s="72">
        <v>0</v>
      </c>
      <c r="EJ460" s="72">
        <v>0</v>
      </c>
      <c r="EK460" s="72">
        <v>0</v>
      </c>
      <c r="EL460" s="72">
        <v>0</v>
      </c>
    </row>
    <row r="461" spans="1:142" x14ac:dyDescent="0.35">
      <c r="A461" s="59">
        <f>Данные!A461</f>
        <v>6368</v>
      </c>
      <c r="B461" s="59">
        <f>Данные!B461</f>
        <v>2020</v>
      </c>
      <c r="C461" s="59" t="str">
        <f>Данные!C461</f>
        <v>компьютерных технологий и электронного обучения</v>
      </c>
      <c r="D461" s="59" t="str">
        <f>Данные!D461</f>
        <v>Карпова Наталья Александровна</v>
      </c>
      <c r="E461" s="59" t="str">
        <f>Данные!E461</f>
        <v>кандидат технических наук</v>
      </c>
      <c r="F461" s="59" t="str">
        <f>Данные!F461</f>
        <v>доцент</v>
      </c>
      <c r="G461" s="59">
        <f>Данные!G461</f>
        <v>0.75</v>
      </c>
      <c r="H461" s="59" t="str">
        <f>Данные!H461</f>
        <v>3 курс 2018 год/пост</v>
      </c>
      <c r="I461" s="59" t="str">
        <f>Данные!I461</f>
        <v>Модуль "Информационные технологии". Интегрированные издательские системы и технологии</v>
      </c>
      <c r="J461" s="59">
        <f>Данные!J461</f>
        <v>16</v>
      </c>
      <c r="K461" s="59">
        <f>Данные!K461</f>
        <v>0</v>
      </c>
      <c r="L461" s="59">
        <f>Данные!L461</f>
        <v>60</v>
      </c>
      <c r="M461" s="60">
        <f t="shared" si="63"/>
        <v>7.6</v>
      </c>
      <c r="N461" s="60">
        <f t="shared" ca="1" si="64"/>
        <v>11.57</v>
      </c>
      <c r="O461" s="60">
        <f t="shared" ca="1" si="65"/>
        <v>7.25</v>
      </c>
      <c r="P461" s="60">
        <f t="shared" ca="1" si="66"/>
        <v>7.25</v>
      </c>
      <c r="Q461" s="54">
        <f>Данные!Q461</f>
        <v>0</v>
      </c>
      <c r="R461" s="54">
        <f>Данные!R461</f>
        <v>0</v>
      </c>
      <c r="S461" s="54">
        <f>Данные!S461</f>
        <v>0</v>
      </c>
      <c r="T461" s="54">
        <f>Данные!T461</f>
        <v>0</v>
      </c>
      <c r="U461" s="54">
        <f>Данные!U461</f>
        <v>0</v>
      </c>
      <c r="V461" s="54">
        <f>Данные!V461</f>
        <v>0</v>
      </c>
      <c r="W461" s="54">
        <f ca="1">Данные!W461</f>
        <v>29</v>
      </c>
      <c r="X461" s="54" t="str">
        <f ca="1">Данные!X461</f>
        <v>1</v>
      </c>
      <c r="Y461" s="54" t="str">
        <f ca="1">Данные!Y461</f>
        <v>2</v>
      </c>
      <c r="Z461" s="54">
        <f>Данные!Z461</f>
        <v>0</v>
      </c>
      <c r="AA461" s="54">
        <f>Данные!AA461</f>
        <v>0</v>
      </c>
      <c r="AB461" s="101">
        <f t="shared" si="67"/>
        <v>800</v>
      </c>
      <c r="AC461" s="101" t="str">
        <f t="shared" si="68"/>
        <v>ИВТ (бак)</v>
      </c>
      <c r="AD461" s="101" t="str">
        <f t="shared" si="69"/>
        <v/>
      </c>
      <c r="AE461" s="102">
        <f t="shared" ca="1" si="70"/>
        <v>109.66999999999999</v>
      </c>
      <c r="AF461" s="103">
        <f t="shared" ca="1" si="71"/>
        <v>0.13708749999999997</v>
      </c>
      <c r="AG461" s="101"/>
      <c r="AH461" s="10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Q461" s="72">
        <v>0</v>
      </c>
      <c r="BR461" s="72">
        <v>0</v>
      </c>
      <c r="BS461" s="72">
        <v>0</v>
      </c>
      <c r="BT461" s="72">
        <v>0</v>
      </c>
      <c r="BU461" s="72">
        <v>0</v>
      </c>
      <c r="BV461" s="72">
        <v>0</v>
      </c>
      <c r="BW461" s="72">
        <v>0</v>
      </c>
      <c r="BX461" s="72">
        <v>0</v>
      </c>
      <c r="BY461" s="72">
        <v>0</v>
      </c>
      <c r="BZ461" s="72">
        <v>0</v>
      </c>
      <c r="CA461" s="72">
        <v>0</v>
      </c>
      <c r="CB461" s="72">
        <v>0</v>
      </c>
      <c r="CC461" s="72">
        <v>0</v>
      </c>
      <c r="CD461" s="72">
        <v>0</v>
      </c>
      <c r="CE461" s="72">
        <v>0</v>
      </c>
      <c r="CF461" s="72">
        <v>0</v>
      </c>
      <c r="CG461" s="72">
        <v>0</v>
      </c>
      <c r="CH461" s="72">
        <v>0</v>
      </c>
      <c r="CI461" s="72">
        <v>0</v>
      </c>
      <c r="CJ461" s="72">
        <v>0</v>
      </c>
      <c r="CK461" s="72">
        <v>0</v>
      </c>
      <c r="CL461" s="72">
        <v>0</v>
      </c>
      <c r="CM461" s="72">
        <v>0</v>
      </c>
      <c r="CN461" s="72">
        <v>0</v>
      </c>
      <c r="CO461" s="72">
        <v>0</v>
      </c>
      <c r="CP461" s="72">
        <v>0</v>
      </c>
      <c r="CQ461" s="72">
        <v>0</v>
      </c>
      <c r="CR461" s="72">
        <v>0</v>
      </c>
      <c r="CS461" s="72">
        <v>0</v>
      </c>
      <c r="CT461" s="72">
        <v>0</v>
      </c>
      <c r="CU461" s="72">
        <v>0</v>
      </c>
      <c r="CV461" s="72">
        <v>0</v>
      </c>
      <c r="CW461" s="72">
        <v>0</v>
      </c>
      <c r="CX461" s="72">
        <v>0</v>
      </c>
      <c r="CY461" s="72">
        <v>0</v>
      </c>
      <c r="CZ461" s="72">
        <v>0</v>
      </c>
      <c r="DA461" s="72">
        <v>0</v>
      </c>
      <c r="DB461" s="72">
        <v>0</v>
      </c>
      <c r="DC461" s="72">
        <v>0</v>
      </c>
      <c r="DD461" s="72">
        <v>0</v>
      </c>
      <c r="DE461" s="72">
        <v>0</v>
      </c>
      <c r="DF461" s="72">
        <v>0</v>
      </c>
      <c r="DG461" s="72">
        <v>0</v>
      </c>
      <c r="DH461" s="72">
        <v>0</v>
      </c>
      <c r="DI461" s="72">
        <v>0</v>
      </c>
      <c r="DJ461" s="72">
        <v>0</v>
      </c>
      <c r="DK461" s="72">
        <v>0</v>
      </c>
      <c r="DL461" s="72">
        <v>0</v>
      </c>
      <c r="DM461" s="72">
        <v>0</v>
      </c>
      <c r="DN461" s="72">
        <v>0</v>
      </c>
      <c r="DO461" s="72">
        <v>0</v>
      </c>
      <c r="DP461" s="72">
        <v>0</v>
      </c>
      <c r="DQ461" s="72">
        <v>0</v>
      </c>
      <c r="DR461" s="72">
        <v>0</v>
      </c>
      <c r="DS461" s="72">
        <v>0</v>
      </c>
      <c r="DT461" s="72">
        <v>0</v>
      </c>
      <c r="DU461" s="72">
        <v>0</v>
      </c>
      <c r="DV461" s="72">
        <v>0</v>
      </c>
      <c r="DW461" s="72">
        <v>0</v>
      </c>
      <c r="DX461" s="72">
        <v>0</v>
      </c>
      <c r="DY461" s="72">
        <v>0</v>
      </c>
      <c r="DZ461" s="72">
        <v>0</v>
      </c>
      <c r="EA461" s="72">
        <v>0</v>
      </c>
      <c r="EB461" s="72">
        <v>0</v>
      </c>
      <c r="EC461" s="72">
        <v>0</v>
      </c>
      <c r="ED461" s="72">
        <v>0</v>
      </c>
      <c r="EE461" s="72">
        <v>0</v>
      </c>
      <c r="EF461" s="72">
        <v>0</v>
      </c>
      <c r="EG461" s="72">
        <v>0</v>
      </c>
      <c r="EH461" s="72">
        <v>0</v>
      </c>
      <c r="EI461" s="72">
        <v>0</v>
      </c>
      <c r="EJ461" s="72">
        <v>0</v>
      </c>
      <c r="EK461" s="72">
        <v>0</v>
      </c>
      <c r="EL461" s="72">
        <v>0</v>
      </c>
    </row>
    <row r="462" spans="1:142" x14ac:dyDescent="0.35">
      <c r="A462" s="59">
        <f>Данные!A462</f>
        <v>4848</v>
      </c>
      <c r="B462" s="59">
        <f>Данные!B462</f>
        <v>2015</v>
      </c>
      <c r="C462" s="59" t="str">
        <f>Данные!C462</f>
        <v>алгебры</v>
      </c>
      <c r="D462" s="59" t="str">
        <f>Данные!D462</f>
        <v>Михайлов Александр Борисович</v>
      </c>
      <c r="E462" s="59" t="str">
        <f>Данные!E462</f>
        <v>кандидат физ.-мат. наук</v>
      </c>
      <c r="F462" s="59" t="str">
        <f>Данные!F462</f>
        <v>доцент</v>
      </c>
      <c r="G462" s="59">
        <f>Данные!G462</f>
        <v>1</v>
      </c>
      <c r="H462" s="59">
        <f>Данные!H462</f>
        <v>14014</v>
      </c>
      <c r="I462" s="59" t="str">
        <f>Данные!I462</f>
        <v>Модуль "Дискретные структуры". Математическая логика и теория алгоритмов</v>
      </c>
      <c r="J462" s="59">
        <f>Данные!J462</f>
        <v>17</v>
      </c>
      <c r="K462" s="59">
        <f>Данные!K462</f>
        <v>17</v>
      </c>
      <c r="L462" s="59">
        <f>Данные!L462</f>
        <v>0</v>
      </c>
      <c r="M462" s="60">
        <f t="shared" si="63"/>
        <v>3.4</v>
      </c>
      <c r="N462" s="60">
        <f t="shared" ca="1" si="64"/>
        <v>6.29</v>
      </c>
      <c r="O462" s="60">
        <f t="shared" ca="1" si="65"/>
        <v>3.25</v>
      </c>
      <c r="P462" s="60">
        <f t="shared" ca="1" si="66"/>
        <v>3.25</v>
      </c>
      <c r="Q462" s="54">
        <f>Данные!Q462</f>
        <v>0</v>
      </c>
      <c r="R462" s="54">
        <f>Данные!R462</f>
        <v>0</v>
      </c>
      <c r="S462" s="54">
        <f>Данные!S462</f>
        <v>0</v>
      </c>
      <c r="T462" s="54">
        <f>Данные!T462</f>
        <v>0</v>
      </c>
      <c r="U462" s="54">
        <f>Данные!U462</f>
        <v>0</v>
      </c>
      <c r="V462" s="54">
        <f>Данные!V462</f>
        <v>0</v>
      </c>
      <c r="W462" s="54">
        <f ca="1">Данные!W462</f>
        <v>13</v>
      </c>
      <c r="X462" s="54" t="str">
        <f ca="1">Данные!X462</f>
        <v>1</v>
      </c>
      <c r="Y462" s="54" t="str">
        <f ca="1">Данные!Y462</f>
        <v>1</v>
      </c>
      <c r="Z462" s="54">
        <f>Данные!Z462</f>
        <v>0</v>
      </c>
      <c r="AA462" s="54" t="str">
        <f>Данные!AA462</f>
        <v>осн</v>
      </c>
      <c r="AB462" s="101">
        <f t="shared" si="67"/>
        <v>800</v>
      </c>
      <c r="AC462" s="101" t="str">
        <f t="shared" si="68"/>
        <v>ИВТ (бак)</v>
      </c>
      <c r="AD462" s="101" t="str">
        <f t="shared" si="69"/>
        <v>2015–2016</v>
      </c>
      <c r="AE462" s="102">
        <f t="shared" ca="1" si="70"/>
        <v>50.19</v>
      </c>
      <c r="AF462" s="103">
        <f t="shared" ca="1" si="71"/>
        <v>6.2737500000000002E-2</v>
      </c>
      <c r="AG462" s="101"/>
      <c r="AH462" s="101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Q462" s="72">
        <v>0</v>
      </c>
      <c r="BR462" s="72">
        <v>0</v>
      </c>
      <c r="BS462" s="72">
        <v>0</v>
      </c>
      <c r="BT462" s="72">
        <v>0</v>
      </c>
      <c r="BU462" s="72">
        <v>0</v>
      </c>
      <c r="BV462" s="72">
        <v>0</v>
      </c>
      <c r="BW462" s="72">
        <v>0</v>
      </c>
      <c r="BX462" s="72">
        <v>0</v>
      </c>
      <c r="BY462" s="72">
        <v>0</v>
      </c>
      <c r="BZ462" s="72">
        <v>0</v>
      </c>
      <c r="CA462" s="72">
        <v>0</v>
      </c>
      <c r="CB462" s="72">
        <v>0</v>
      </c>
      <c r="CC462" s="72">
        <v>0</v>
      </c>
      <c r="CD462" s="72">
        <v>0</v>
      </c>
      <c r="CE462" s="72">
        <v>0</v>
      </c>
      <c r="CF462" s="72">
        <v>0</v>
      </c>
      <c r="CG462" s="72">
        <v>0</v>
      </c>
      <c r="CH462" s="72">
        <v>0</v>
      </c>
      <c r="CI462" s="72">
        <v>0</v>
      </c>
      <c r="CJ462" s="72">
        <v>0</v>
      </c>
      <c r="CK462" s="72">
        <v>0</v>
      </c>
      <c r="CL462" s="72">
        <v>0</v>
      </c>
      <c r="CM462" s="72">
        <v>0</v>
      </c>
      <c r="CN462" s="72">
        <v>0</v>
      </c>
      <c r="CO462" s="72">
        <v>0</v>
      </c>
      <c r="CP462" s="72">
        <v>0</v>
      </c>
      <c r="CQ462" s="72">
        <v>0</v>
      </c>
      <c r="CR462" s="72">
        <v>0</v>
      </c>
      <c r="CS462" s="72">
        <v>0</v>
      </c>
      <c r="CT462" s="72">
        <v>0</v>
      </c>
      <c r="CU462" s="72">
        <v>0</v>
      </c>
      <c r="CV462" s="72">
        <v>0</v>
      </c>
      <c r="CW462" s="72">
        <v>0</v>
      </c>
      <c r="CX462" s="72">
        <v>0</v>
      </c>
      <c r="CY462" s="72">
        <v>0</v>
      </c>
      <c r="CZ462" s="72">
        <v>0</v>
      </c>
      <c r="DA462" s="72">
        <v>0</v>
      </c>
      <c r="DB462" s="72">
        <v>0</v>
      </c>
      <c r="DC462" s="72">
        <v>0</v>
      </c>
      <c r="DD462" s="72">
        <v>0</v>
      </c>
      <c r="DE462" s="72">
        <v>0</v>
      </c>
      <c r="DF462" s="72">
        <v>0</v>
      </c>
      <c r="DG462" s="72">
        <v>0</v>
      </c>
      <c r="DH462" s="72">
        <v>0</v>
      </c>
      <c r="DI462" s="72">
        <v>0</v>
      </c>
      <c r="DJ462" s="72">
        <v>0</v>
      </c>
      <c r="DK462" s="72">
        <v>0</v>
      </c>
      <c r="DL462" s="72">
        <v>0</v>
      </c>
      <c r="DM462" s="72">
        <v>0</v>
      </c>
      <c r="DN462" s="72">
        <v>0</v>
      </c>
      <c r="DO462" s="72">
        <v>0</v>
      </c>
      <c r="DP462" s="72">
        <v>0</v>
      </c>
      <c r="DQ462" s="72">
        <v>0</v>
      </c>
      <c r="DR462" s="72">
        <v>0</v>
      </c>
      <c r="DS462" s="72">
        <v>0</v>
      </c>
      <c r="DT462" s="72">
        <v>0</v>
      </c>
      <c r="DU462" s="72">
        <v>0</v>
      </c>
      <c r="DV462" s="72">
        <v>0</v>
      </c>
      <c r="DW462" s="72">
        <v>0</v>
      </c>
      <c r="DX462" s="72">
        <v>0</v>
      </c>
      <c r="DY462" s="72">
        <v>0</v>
      </c>
      <c r="DZ462" s="72">
        <v>0</v>
      </c>
      <c r="EA462" s="72">
        <v>0</v>
      </c>
      <c r="EB462" s="72">
        <v>0</v>
      </c>
      <c r="EC462" s="72">
        <v>0</v>
      </c>
      <c r="ED462" s="72">
        <v>0</v>
      </c>
      <c r="EE462" s="72">
        <v>0</v>
      </c>
      <c r="EF462" s="72">
        <v>0</v>
      </c>
      <c r="EG462" s="72">
        <v>0</v>
      </c>
      <c r="EH462" s="72">
        <v>0</v>
      </c>
      <c r="EI462" s="72">
        <v>0</v>
      </c>
      <c r="EJ462" s="72">
        <v>0</v>
      </c>
      <c r="EK462" s="72">
        <v>0</v>
      </c>
      <c r="EL462" s="72">
        <v>0</v>
      </c>
    </row>
    <row r="463" spans="1:142" x14ac:dyDescent="0.35">
      <c r="A463" s="59">
        <f>Данные!A463</f>
        <v>4848</v>
      </c>
      <c r="B463" s="59">
        <f>Данные!B463</f>
        <v>2015</v>
      </c>
      <c r="C463" s="59" t="str">
        <f>Данные!C463</f>
        <v>физического воспитания и спортивно-массовой работы</v>
      </c>
      <c r="D463" s="59" t="str">
        <f>Данные!D463</f>
        <v>Васютина Ирина Павловна</v>
      </c>
      <c r="E463" s="59" t="str">
        <f>Данные!E463</f>
        <v>нет</v>
      </c>
      <c r="F463" s="59" t="str">
        <f>Данные!F463</f>
        <v>старший преподаватель</v>
      </c>
      <c r="G463" s="59">
        <f>Данные!G463</f>
        <v>0</v>
      </c>
      <c r="H463" s="59">
        <f>Данные!H463</f>
        <v>14014</v>
      </c>
      <c r="I463" s="59" t="str">
        <f>Данные!I463</f>
        <v>Физическая культура</v>
      </c>
      <c r="J463" s="59">
        <f>Данные!J463</f>
        <v>0</v>
      </c>
      <c r="K463" s="59">
        <f>Данные!K463</f>
        <v>28</v>
      </c>
      <c r="L463" s="59">
        <f>Данные!L463</f>
        <v>0</v>
      </c>
      <c r="M463" s="60">
        <f t="shared" si="63"/>
        <v>2.8</v>
      </c>
      <c r="N463" s="60">
        <f t="shared" ca="1" si="64"/>
        <v>6.29</v>
      </c>
      <c r="O463" s="60">
        <f t="shared" ca="1" si="65"/>
        <v>3.25</v>
      </c>
      <c r="P463" s="60">
        <f t="shared" ca="1" si="66"/>
        <v>3.25</v>
      </c>
      <c r="Q463" s="54">
        <f>Данные!Q463</f>
        <v>0</v>
      </c>
      <c r="R463" s="54">
        <f>Данные!R463</f>
        <v>0</v>
      </c>
      <c r="S463" s="54">
        <f>Данные!S463</f>
        <v>0</v>
      </c>
      <c r="T463" s="54">
        <f>Данные!T463</f>
        <v>0</v>
      </c>
      <c r="U463" s="54">
        <f>Данные!U463</f>
        <v>0</v>
      </c>
      <c r="V463" s="54">
        <f>Данные!V463</f>
        <v>0</v>
      </c>
      <c r="W463" s="54">
        <f ca="1">Данные!W463</f>
        <v>13</v>
      </c>
      <c r="X463" s="54" t="str">
        <f ca="1">Данные!X463</f>
        <v>1</v>
      </c>
      <c r="Y463" s="54" t="str">
        <f ca="1">Данные!Y463</f>
        <v>1</v>
      </c>
      <c r="Z463" s="54">
        <f>Данные!Z463</f>
        <v>0</v>
      </c>
      <c r="AA463" s="54" t="str">
        <f>Данные!AA463</f>
        <v>осн</v>
      </c>
      <c r="AB463" s="101">
        <f t="shared" si="67"/>
        <v>850</v>
      </c>
      <c r="AC463" s="101" t="str">
        <f t="shared" si="68"/>
        <v>ИВТ (бак)</v>
      </c>
      <c r="AD463" s="101" t="str">
        <f t="shared" si="69"/>
        <v>2015–2016</v>
      </c>
      <c r="AE463" s="102">
        <f t="shared" ca="1" si="70"/>
        <v>43.59</v>
      </c>
      <c r="AF463" s="103">
        <f t="shared" ca="1" si="71"/>
        <v>5.1282352941176473E-2</v>
      </c>
      <c r="AG463" s="101"/>
      <c r="AH463" s="101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Q463" s="72">
        <v>0</v>
      </c>
      <c r="BR463" s="72">
        <v>0</v>
      </c>
      <c r="BS463" s="72">
        <v>0</v>
      </c>
      <c r="BT463" s="72">
        <v>0</v>
      </c>
      <c r="BU463" s="72">
        <v>0</v>
      </c>
      <c r="BV463" s="72">
        <v>0</v>
      </c>
      <c r="BW463" s="72">
        <v>0</v>
      </c>
      <c r="BX463" s="72">
        <v>0</v>
      </c>
      <c r="BY463" s="72">
        <v>0</v>
      </c>
      <c r="BZ463" s="72">
        <v>0</v>
      </c>
      <c r="CA463" s="72">
        <v>0</v>
      </c>
      <c r="CB463" s="72">
        <v>0</v>
      </c>
      <c r="CC463" s="72">
        <v>0</v>
      </c>
      <c r="CD463" s="72">
        <v>0</v>
      </c>
      <c r="CE463" s="72">
        <v>0</v>
      </c>
      <c r="CF463" s="72">
        <v>0</v>
      </c>
      <c r="CG463" s="72">
        <v>0</v>
      </c>
      <c r="CH463" s="72">
        <v>0</v>
      </c>
      <c r="CI463" s="72">
        <v>0</v>
      </c>
      <c r="CJ463" s="72">
        <v>0</v>
      </c>
      <c r="CK463" s="72">
        <v>0</v>
      </c>
      <c r="CL463" s="72">
        <v>0</v>
      </c>
      <c r="CM463" s="72">
        <v>0</v>
      </c>
      <c r="CN463" s="72">
        <v>0</v>
      </c>
      <c r="CO463" s="72">
        <v>0</v>
      </c>
      <c r="CP463" s="72">
        <v>0</v>
      </c>
      <c r="CQ463" s="72">
        <v>0</v>
      </c>
      <c r="CR463" s="72">
        <v>0</v>
      </c>
      <c r="CS463" s="72">
        <v>0</v>
      </c>
      <c r="CT463" s="72">
        <v>0</v>
      </c>
      <c r="CU463" s="72">
        <v>0</v>
      </c>
      <c r="CV463" s="72">
        <v>0</v>
      </c>
      <c r="CW463" s="72">
        <v>0</v>
      </c>
      <c r="CX463" s="72">
        <v>0</v>
      </c>
      <c r="CY463" s="72">
        <v>0</v>
      </c>
      <c r="CZ463" s="72">
        <v>0</v>
      </c>
      <c r="DA463" s="72">
        <v>0</v>
      </c>
      <c r="DB463" s="72">
        <v>0</v>
      </c>
      <c r="DC463" s="72">
        <v>0</v>
      </c>
      <c r="DD463" s="72">
        <v>0</v>
      </c>
      <c r="DE463" s="72">
        <v>0</v>
      </c>
      <c r="DF463" s="72">
        <v>0</v>
      </c>
      <c r="DG463" s="72">
        <v>0</v>
      </c>
      <c r="DH463" s="72">
        <v>0</v>
      </c>
      <c r="DI463" s="72">
        <v>0</v>
      </c>
      <c r="DJ463" s="72">
        <v>0</v>
      </c>
      <c r="DK463" s="72">
        <v>0</v>
      </c>
      <c r="DL463" s="72">
        <v>0</v>
      </c>
      <c r="DM463" s="72">
        <v>0</v>
      </c>
      <c r="DN463" s="72">
        <v>0</v>
      </c>
      <c r="DO463" s="72">
        <v>0</v>
      </c>
      <c r="DP463" s="72">
        <v>0</v>
      </c>
      <c r="DQ463" s="72">
        <v>0</v>
      </c>
      <c r="DR463" s="72">
        <v>0</v>
      </c>
      <c r="DS463" s="72">
        <v>0</v>
      </c>
      <c r="DT463" s="72">
        <v>0</v>
      </c>
      <c r="DU463" s="72">
        <v>0</v>
      </c>
      <c r="DV463" s="72">
        <v>0</v>
      </c>
      <c r="DW463" s="72">
        <v>0</v>
      </c>
      <c r="DX463" s="72">
        <v>0</v>
      </c>
      <c r="DY463" s="72">
        <v>0</v>
      </c>
      <c r="DZ463" s="72">
        <v>0</v>
      </c>
      <c r="EA463" s="72">
        <v>0</v>
      </c>
      <c r="EB463" s="72">
        <v>0</v>
      </c>
      <c r="EC463" s="72">
        <v>0</v>
      </c>
      <c r="ED463" s="72">
        <v>0</v>
      </c>
      <c r="EE463" s="72">
        <v>0</v>
      </c>
      <c r="EF463" s="72">
        <v>0</v>
      </c>
      <c r="EG463" s="72">
        <v>0</v>
      </c>
      <c r="EH463" s="72">
        <v>0</v>
      </c>
      <c r="EI463" s="72">
        <v>0</v>
      </c>
      <c r="EJ463" s="72">
        <v>0</v>
      </c>
      <c r="EK463" s="72">
        <v>0</v>
      </c>
      <c r="EL463" s="72">
        <v>0</v>
      </c>
    </row>
    <row r="464" spans="1:142" x14ac:dyDescent="0.35">
      <c r="A464" s="59">
        <f>Данные!A464</f>
        <v>4848</v>
      </c>
      <c r="B464" s="59">
        <f>Данные!B464</f>
        <v>2015</v>
      </c>
      <c r="C464" s="59" t="str">
        <f>Данные!C464</f>
        <v>философии</v>
      </c>
      <c r="D464" s="59" t="str">
        <f>Данные!D464</f>
        <v>Рудаков Леонид Ильич</v>
      </c>
      <c r="E464" s="59" t="str">
        <f>Данные!E464</f>
        <v>доктор философских наук</v>
      </c>
      <c r="F464" s="59" t="str">
        <f>Данные!F464</f>
        <v>профессор</v>
      </c>
      <c r="G464" s="59">
        <f>Данные!G464</f>
        <v>0</v>
      </c>
      <c r="H464" s="59">
        <f>Данные!H464</f>
        <v>14014</v>
      </c>
      <c r="I464" s="59" t="str">
        <f>Данные!I464</f>
        <v>Философия</v>
      </c>
      <c r="J464" s="59">
        <f>Данные!J464</f>
        <v>17</v>
      </c>
      <c r="K464" s="59">
        <f>Данные!K464</f>
        <v>34</v>
      </c>
      <c r="L464" s="59">
        <f>Данные!L464</f>
        <v>0</v>
      </c>
      <c r="M464" s="60">
        <f t="shared" si="63"/>
        <v>5.0999999999999996</v>
      </c>
      <c r="N464" s="60">
        <f t="shared" ca="1" si="64"/>
        <v>6.29</v>
      </c>
      <c r="O464" s="60">
        <f t="shared" ca="1" si="65"/>
        <v>3.25</v>
      </c>
      <c r="P464" s="60">
        <f t="shared" ca="1" si="66"/>
        <v>3.25</v>
      </c>
      <c r="Q464" s="54">
        <f>Данные!Q464</f>
        <v>0</v>
      </c>
      <c r="R464" s="54">
        <f>Данные!R464</f>
        <v>0</v>
      </c>
      <c r="S464" s="54">
        <f>Данные!S464</f>
        <v>0</v>
      </c>
      <c r="T464" s="54">
        <f>Данные!T464</f>
        <v>0</v>
      </c>
      <c r="U464" s="54">
        <f>Данные!U464</f>
        <v>0</v>
      </c>
      <c r="V464" s="54">
        <f>Данные!V464</f>
        <v>0</v>
      </c>
      <c r="W464" s="54">
        <f ca="1">Данные!W464</f>
        <v>13</v>
      </c>
      <c r="X464" s="54" t="str">
        <f ca="1">Данные!X464</f>
        <v>1</v>
      </c>
      <c r="Y464" s="54" t="str">
        <f ca="1">Данные!Y464</f>
        <v>1</v>
      </c>
      <c r="Z464" s="54">
        <f>Данные!Z464</f>
        <v>0</v>
      </c>
      <c r="AA464" s="54" t="str">
        <f>Данные!AA464</f>
        <v>осн</v>
      </c>
      <c r="AB464" s="101">
        <f t="shared" si="67"/>
        <v>750</v>
      </c>
      <c r="AC464" s="101" t="str">
        <f t="shared" si="68"/>
        <v>ИВТ (бак)</v>
      </c>
      <c r="AD464" s="101" t="str">
        <f t="shared" si="69"/>
        <v>2015–2016</v>
      </c>
      <c r="AE464" s="102">
        <f t="shared" ca="1" si="70"/>
        <v>68.89</v>
      </c>
      <c r="AF464" s="103">
        <f t="shared" ca="1" si="71"/>
        <v>9.1853333333333329E-2</v>
      </c>
      <c r="AG464" s="101"/>
      <c r="AH464" s="101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Q464" s="72">
        <v>0</v>
      </c>
      <c r="BR464" s="72">
        <v>0</v>
      </c>
      <c r="BS464" s="72">
        <v>0</v>
      </c>
      <c r="BT464" s="72">
        <v>0</v>
      </c>
      <c r="BU464" s="72">
        <v>0</v>
      </c>
      <c r="BV464" s="72">
        <v>0</v>
      </c>
      <c r="BW464" s="72">
        <v>0</v>
      </c>
      <c r="BX464" s="72">
        <v>0</v>
      </c>
      <c r="BY464" s="72">
        <v>0</v>
      </c>
      <c r="BZ464" s="72">
        <v>0</v>
      </c>
      <c r="CA464" s="72">
        <v>0</v>
      </c>
      <c r="CB464" s="72">
        <v>0</v>
      </c>
      <c r="CC464" s="72">
        <v>0</v>
      </c>
      <c r="CD464" s="72">
        <v>0</v>
      </c>
      <c r="CE464" s="72">
        <v>0</v>
      </c>
      <c r="CF464" s="72">
        <v>0</v>
      </c>
      <c r="CG464" s="72">
        <v>0</v>
      </c>
      <c r="CH464" s="72">
        <v>0</v>
      </c>
      <c r="CI464" s="72">
        <v>0</v>
      </c>
      <c r="CJ464" s="72">
        <v>0</v>
      </c>
      <c r="CK464" s="72">
        <v>0</v>
      </c>
      <c r="CL464" s="72">
        <v>0</v>
      </c>
      <c r="CM464" s="72">
        <v>0</v>
      </c>
      <c r="CN464" s="72">
        <v>0</v>
      </c>
      <c r="CO464" s="72">
        <v>0</v>
      </c>
      <c r="CP464" s="72">
        <v>0</v>
      </c>
      <c r="CQ464" s="72">
        <v>0</v>
      </c>
      <c r="CR464" s="72">
        <v>0</v>
      </c>
      <c r="CS464" s="72">
        <v>0</v>
      </c>
      <c r="CT464" s="72">
        <v>0</v>
      </c>
      <c r="CU464" s="72">
        <v>0</v>
      </c>
      <c r="CV464" s="72">
        <v>0</v>
      </c>
      <c r="CW464" s="72">
        <v>0</v>
      </c>
      <c r="CX464" s="72">
        <v>0</v>
      </c>
      <c r="CY464" s="72">
        <v>0</v>
      </c>
      <c r="CZ464" s="72">
        <v>0</v>
      </c>
      <c r="DA464" s="72">
        <v>0</v>
      </c>
      <c r="DB464" s="72">
        <v>0</v>
      </c>
      <c r="DC464" s="72">
        <v>0</v>
      </c>
      <c r="DD464" s="72">
        <v>0</v>
      </c>
      <c r="DE464" s="72">
        <v>0</v>
      </c>
      <c r="DF464" s="72">
        <v>0</v>
      </c>
      <c r="DG464" s="72">
        <v>0</v>
      </c>
      <c r="DH464" s="72">
        <v>0</v>
      </c>
      <c r="DI464" s="72">
        <v>0</v>
      </c>
      <c r="DJ464" s="72">
        <v>0</v>
      </c>
      <c r="DK464" s="72">
        <v>0</v>
      </c>
      <c r="DL464" s="72">
        <v>0</v>
      </c>
      <c r="DM464" s="72">
        <v>0</v>
      </c>
      <c r="DN464" s="72">
        <v>0</v>
      </c>
      <c r="DO464" s="72">
        <v>0</v>
      </c>
      <c r="DP464" s="72">
        <v>0</v>
      </c>
      <c r="DQ464" s="72">
        <v>0</v>
      </c>
      <c r="DR464" s="72">
        <v>0</v>
      </c>
      <c r="DS464" s="72">
        <v>0</v>
      </c>
      <c r="DT464" s="72">
        <v>0</v>
      </c>
      <c r="DU464" s="72">
        <v>0</v>
      </c>
      <c r="DV464" s="72">
        <v>0</v>
      </c>
      <c r="DW464" s="72">
        <v>0</v>
      </c>
      <c r="DX464" s="72">
        <v>0</v>
      </c>
      <c r="DY464" s="72">
        <v>0</v>
      </c>
      <c r="DZ464" s="72">
        <v>0</v>
      </c>
      <c r="EA464" s="72">
        <v>0</v>
      </c>
      <c r="EB464" s="72">
        <v>0</v>
      </c>
      <c r="EC464" s="72">
        <v>0</v>
      </c>
      <c r="ED464" s="72">
        <v>0</v>
      </c>
      <c r="EE464" s="72">
        <v>0</v>
      </c>
      <c r="EF464" s="72">
        <v>0</v>
      </c>
      <c r="EG464" s="72">
        <v>0</v>
      </c>
      <c r="EH464" s="72">
        <v>0</v>
      </c>
      <c r="EI464" s="72">
        <v>0</v>
      </c>
      <c r="EJ464" s="72">
        <v>0</v>
      </c>
      <c r="EK464" s="72">
        <v>0</v>
      </c>
      <c r="EL464" s="72">
        <v>0</v>
      </c>
    </row>
    <row r="465" spans="1:142" x14ac:dyDescent="0.35">
      <c r="A465" s="59">
        <f>Данные!A465</f>
        <v>4848</v>
      </c>
      <c r="B465" s="59">
        <f>Данные!B465</f>
        <v>2015</v>
      </c>
      <c r="C465" s="59" t="str">
        <f>Данные!C465</f>
        <v>истории</v>
      </c>
      <c r="D465" s="59" t="str">
        <f>Данные!D465</f>
        <v>Ерошкина Ольга Николаевна</v>
      </c>
      <c r="E465" s="59" t="str">
        <f>Данные!E465</f>
        <v>кандидат исторических наук</v>
      </c>
      <c r="F465" s="59" t="str">
        <f>Данные!F465</f>
        <v>доцент</v>
      </c>
      <c r="G465" s="59">
        <f>Данные!G465</f>
        <v>1</v>
      </c>
      <c r="H465" s="59">
        <f>Данные!H465</f>
        <v>14014</v>
      </c>
      <c r="I465" s="59" t="str">
        <f>Данные!I465</f>
        <v>История России</v>
      </c>
      <c r="J465" s="59">
        <f>Данные!J465</f>
        <v>34</v>
      </c>
      <c r="K465" s="59">
        <f>Данные!K465</f>
        <v>17</v>
      </c>
      <c r="L465" s="59">
        <f>Данные!L465</f>
        <v>0</v>
      </c>
      <c r="M465" s="60">
        <f t="shared" si="63"/>
        <v>5.0999999999999996</v>
      </c>
      <c r="N465" s="60">
        <f t="shared" ca="1" si="64"/>
        <v>6.29</v>
      </c>
      <c r="O465" s="60">
        <f t="shared" ca="1" si="65"/>
        <v>3.25</v>
      </c>
      <c r="P465" s="60">
        <f t="shared" ca="1" si="66"/>
        <v>3.25</v>
      </c>
      <c r="Q465" s="54">
        <f>Данные!Q465</f>
        <v>0</v>
      </c>
      <c r="R465" s="54">
        <f>Данные!R465</f>
        <v>0</v>
      </c>
      <c r="S465" s="54">
        <f>Данные!S465</f>
        <v>0</v>
      </c>
      <c r="T465" s="54">
        <f>Данные!T465</f>
        <v>0</v>
      </c>
      <c r="U465" s="54">
        <f>Данные!U465</f>
        <v>0</v>
      </c>
      <c r="V465" s="54">
        <f>Данные!V465</f>
        <v>0</v>
      </c>
      <c r="W465" s="54">
        <f ca="1">Данные!W465</f>
        <v>13</v>
      </c>
      <c r="X465" s="54" t="str">
        <f ca="1">Данные!X465</f>
        <v>1</v>
      </c>
      <c r="Y465" s="54" t="str">
        <f ca="1">Данные!Y465</f>
        <v>1</v>
      </c>
      <c r="Z465" s="54">
        <f>Данные!Z465</f>
        <v>0</v>
      </c>
      <c r="AA465" s="54" t="str">
        <f>Данные!AA465</f>
        <v>осн</v>
      </c>
      <c r="AB465" s="101">
        <f t="shared" si="67"/>
        <v>800</v>
      </c>
      <c r="AC465" s="101" t="str">
        <f t="shared" si="68"/>
        <v>ИВТ (бак)</v>
      </c>
      <c r="AD465" s="101" t="str">
        <f t="shared" si="69"/>
        <v>2015–2016</v>
      </c>
      <c r="AE465" s="102">
        <f t="shared" ca="1" si="70"/>
        <v>68.89</v>
      </c>
      <c r="AF465" s="103">
        <f t="shared" ca="1" si="71"/>
        <v>8.6112499999999995E-2</v>
      </c>
      <c r="AG465" s="101"/>
      <c r="AH465" s="101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Q465" s="72">
        <v>0</v>
      </c>
      <c r="BR465" s="72">
        <v>0</v>
      </c>
      <c r="BS465" s="72">
        <v>0</v>
      </c>
      <c r="BT465" s="72">
        <v>0</v>
      </c>
      <c r="BU465" s="72">
        <v>0</v>
      </c>
      <c r="BV465" s="72">
        <v>0</v>
      </c>
      <c r="BW465" s="72">
        <v>0</v>
      </c>
      <c r="BX465" s="72">
        <v>0</v>
      </c>
      <c r="BY465" s="72">
        <v>0</v>
      </c>
      <c r="BZ465" s="72">
        <v>0</v>
      </c>
      <c r="CA465" s="72">
        <v>0</v>
      </c>
      <c r="CB465" s="72">
        <v>0</v>
      </c>
      <c r="CC465" s="72">
        <v>0</v>
      </c>
      <c r="CD465" s="72">
        <v>0</v>
      </c>
      <c r="CE465" s="72">
        <v>0</v>
      </c>
      <c r="CF465" s="72">
        <v>0</v>
      </c>
      <c r="CG465" s="72">
        <v>0</v>
      </c>
      <c r="CH465" s="72">
        <v>0</v>
      </c>
      <c r="CI465" s="72">
        <v>0</v>
      </c>
      <c r="CJ465" s="72">
        <v>0</v>
      </c>
      <c r="CK465" s="72">
        <v>0</v>
      </c>
      <c r="CL465" s="72">
        <v>0</v>
      </c>
      <c r="CM465" s="72">
        <v>0</v>
      </c>
      <c r="CN465" s="72">
        <v>0</v>
      </c>
      <c r="CO465" s="72">
        <v>0</v>
      </c>
      <c r="CP465" s="72">
        <v>0</v>
      </c>
      <c r="CQ465" s="72">
        <v>0</v>
      </c>
      <c r="CR465" s="72">
        <v>0</v>
      </c>
      <c r="CS465" s="72">
        <v>0</v>
      </c>
      <c r="CT465" s="72">
        <v>0</v>
      </c>
      <c r="CU465" s="72">
        <v>0</v>
      </c>
      <c r="CV465" s="72">
        <v>0</v>
      </c>
      <c r="CW465" s="72">
        <v>0</v>
      </c>
      <c r="CX465" s="72">
        <v>0</v>
      </c>
      <c r="CY465" s="72">
        <v>0</v>
      </c>
      <c r="CZ465" s="72">
        <v>0</v>
      </c>
      <c r="DA465" s="72">
        <v>0</v>
      </c>
      <c r="DB465" s="72">
        <v>0</v>
      </c>
      <c r="DC465" s="72">
        <v>0</v>
      </c>
      <c r="DD465" s="72">
        <v>0</v>
      </c>
      <c r="DE465" s="72">
        <v>0</v>
      </c>
      <c r="DF465" s="72">
        <v>0</v>
      </c>
      <c r="DG465" s="72">
        <v>0</v>
      </c>
      <c r="DH465" s="72">
        <v>0</v>
      </c>
      <c r="DI465" s="72">
        <v>0</v>
      </c>
      <c r="DJ465" s="72">
        <v>0</v>
      </c>
      <c r="DK465" s="72">
        <v>0</v>
      </c>
      <c r="DL465" s="72">
        <v>0</v>
      </c>
      <c r="DM465" s="72">
        <v>0</v>
      </c>
      <c r="DN465" s="72">
        <v>0</v>
      </c>
      <c r="DO465" s="72">
        <v>0</v>
      </c>
      <c r="DP465" s="72">
        <v>0</v>
      </c>
      <c r="DQ465" s="72">
        <v>0</v>
      </c>
      <c r="DR465" s="72">
        <v>0</v>
      </c>
      <c r="DS465" s="72">
        <v>0</v>
      </c>
      <c r="DT465" s="72">
        <v>0</v>
      </c>
      <c r="DU465" s="72">
        <v>0</v>
      </c>
      <c r="DV465" s="72">
        <v>0</v>
      </c>
      <c r="DW465" s="72">
        <v>0</v>
      </c>
      <c r="DX465" s="72">
        <v>0</v>
      </c>
      <c r="DY465" s="72">
        <v>0</v>
      </c>
      <c r="DZ465" s="72">
        <v>0</v>
      </c>
      <c r="EA465" s="72">
        <v>0</v>
      </c>
      <c r="EB465" s="72">
        <v>0</v>
      </c>
      <c r="EC465" s="72">
        <v>0</v>
      </c>
      <c r="ED465" s="72">
        <v>0</v>
      </c>
      <c r="EE465" s="72">
        <v>0</v>
      </c>
      <c r="EF465" s="72">
        <v>0</v>
      </c>
      <c r="EG465" s="72">
        <v>0</v>
      </c>
      <c r="EH465" s="72">
        <v>0</v>
      </c>
      <c r="EI465" s="72">
        <v>0</v>
      </c>
      <c r="EJ465" s="72">
        <v>0</v>
      </c>
      <c r="EK465" s="72">
        <v>0</v>
      </c>
      <c r="EL465" s="72">
        <v>0</v>
      </c>
    </row>
    <row r="466" spans="1:142" x14ac:dyDescent="0.35">
      <c r="A466" s="59">
        <f>Данные!A466</f>
        <v>4848</v>
      </c>
      <c r="B466" s="59">
        <f>Данные!B466</f>
        <v>2015</v>
      </c>
      <c r="C466" s="59" t="str">
        <f>Данные!C466</f>
        <v>социальной безопасности</v>
      </c>
      <c r="D466" s="59" t="str">
        <f>Данные!D466</f>
        <v>Есипова Александра Анатольевна</v>
      </c>
      <c r="E466" s="59" t="str">
        <f>Данные!E466</f>
        <v>кандидат педагогических наук</v>
      </c>
      <c r="F466" s="59" t="str">
        <f>Данные!F466</f>
        <v>доцент</v>
      </c>
      <c r="G466" s="59">
        <f>Данные!G466</f>
        <v>1</v>
      </c>
      <c r="H466" s="59">
        <f>Данные!H466</f>
        <v>14014</v>
      </c>
      <c r="I466" s="59" t="str">
        <f>Данные!I466</f>
        <v>Безопасность жизнедеятельности</v>
      </c>
      <c r="J466" s="59">
        <f>Данные!J466</f>
        <v>17</v>
      </c>
      <c r="K466" s="59">
        <f>Данные!K466</f>
        <v>34</v>
      </c>
      <c r="L466" s="59">
        <f>Данные!L466</f>
        <v>0</v>
      </c>
      <c r="M466" s="60">
        <f t="shared" si="63"/>
        <v>5.0999999999999996</v>
      </c>
      <c r="N466" s="60">
        <f t="shared" ca="1" si="64"/>
        <v>6.29</v>
      </c>
      <c r="O466" s="60">
        <f t="shared" ca="1" si="65"/>
        <v>3.25</v>
      </c>
      <c r="P466" s="60">
        <f t="shared" ca="1" si="66"/>
        <v>3.25</v>
      </c>
      <c r="Q466" s="54">
        <f>Данные!Q466</f>
        <v>0</v>
      </c>
      <c r="R466" s="54">
        <f>Данные!R466</f>
        <v>0</v>
      </c>
      <c r="S466" s="54">
        <f>Данные!S466</f>
        <v>0</v>
      </c>
      <c r="T466" s="54">
        <f>Данные!T466</f>
        <v>0</v>
      </c>
      <c r="U466" s="54">
        <f>Данные!U466</f>
        <v>0</v>
      </c>
      <c r="V466" s="54">
        <f>Данные!V466</f>
        <v>0</v>
      </c>
      <c r="W466" s="54">
        <f ca="1">Данные!W466</f>
        <v>13</v>
      </c>
      <c r="X466" s="54" t="str">
        <f ca="1">Данные!X466</f>
        <v>1</v>
      </c>
      <c r="Y466" s="54" t="str">
        <f ca="1">Данные!Y466</f>
        <v>1</v>
      </c>
      <c r="Z466" s="54">
        <f>Данные!Z466</f>
        <v>0</v>
      </c>
      <c r="AA466" s="54" t="str">
        <f>Данные!AA466</f>
        <v>осн</v>
      </c>
      <c r="AB466" s="101">
        <f t="shared" si="67"/>
        <v>800</v>
      </c>
      <c r="AC466" s="101" t="str">
        <f t="shared" si="68"/>
        <v>ИВТ (бак)</v>
      </c>
      <c r="AD466" s="101" t="str">
        <f t="shared" si="69"/>
        <v>2015–2016</v>
      </c>
      <c r="AE466" s="102">
        <f t="shared" ca="1" si="70"/>
        <v>68.89</v>
      </c>
      <c r="AF466" s="103">
        <f t="shared" ca="1" si="71"/>
        <v>8.6112499999999995E-2</v>
      </c>
      <c r="AG466" s="101"/>
      <c r="AH466" s="101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Q466" s="72">
        <v>0</v>
      </c>
      <c r="BR466" s="72">
        <v>0</v>
      </c>
      <c r="BS466" s="72">
        <v>0</v>
      </c>
      <c r="BT466" s="72">
        <v>0</v>
      </c>
      <c r="BU466" s="72">
        <v>0</v>
      </c>
      <c r="BV466" s="72">
        <v>0</v>
      </c>
      <c r="BW466" s="72">
        <v>0</v>
      </c>
      <c r="BX466" s="72">
        <v>0</v>
      </c>
      <c r="BY466" s="72">
        <v>0</v>
      </c>
      <c r="BZ466" s="72">
        <v>0</v>
      </c>
      <c r="CA466" s="72">
        <v>0</v>
      </c>
      <c r="CB466" s="72">
        <v>0</v>
      </c>
      <c r="CC466" s="72">
        <v>0</v>
      </c>
      <c r="CD466" s="72">
        <v>0</v>
      </c>
      <c r="CE466" s="72">
        <v>0</v>
      </c>
      <c r="CF466" s="72">
        <v>0</v>
      </c>
      <c r="CG466" s="72">
        <v>0</v>
      </c>
      <c r="CH466" s="72">
        <v>0</v>
      </c>
      <c r="CI466" s="72">
        <v>0</v>
      </c>
      <c r="CJ466" s="72">
        <v>0</v>
      </c>
      <c r="CK466" s="72">
        <v>0</v>
      </c>
      <c r="CL466" s="72">
        <v>0</v>
      </c>
      <c r="CM466" s="72">
        <v>0</v>
      </c>
      <c r="CN466" s="72">
        <v>0</v>
      </c>
      <c r="CO466" s="72">
        <v>0</v>
      </c>
      <c r="CP466" s="72">
        <v>0</v>
      </c>
      <c r="CQ466" s="72">
        <v>0</v>
      </c>
      <c r="CR466" s="72">
        <v>0</v>
      </c>
      <c r="CS466" s="72">
        <v>0</v>
      </c>
      <c r="CT466" s="72">
        <v>0</v>
      </c>
      <c r="CU466" s="72">
        <v>0</v>
      </c>
      <c r="CV466" s="72">
        <v>0</v>
      </c>
      <c r="CW466" s="72">
        <v>0</v>
      </c>
      <c r="CX466" s="72">
        <v>0</v>
      </c>
      <c r="CY466" s="72">
        <v>0</v>
      </c>
      <c r="CZ466" s="72">
        <v>0</v>
      </c>
      <c r="DA466" s="72">
        <v>0</v>
      </c>
      <c r="DB466" s="72">
        <v>0</v>
      </c>
      <c r="DC466" s="72">
        <v>0</v>
      </c>
      <c r="DD466" s="72">
        <v>0</v>
      </c>
      <c r="DE466" s="72">
        <v>0</v>
      </c>
      <c r="DF466" s="72">
        <v>0</v>
      </c>
      <c r="DG466" s="72">
        <v>0</v>
      </c>
      <c r="DH466" s="72">
        <v>0</v>
      </c>
      <c r="DI466" s="72">
        <v>0</v>
      </c>
      <c r="DJ466" s="72">
        <v>0</v>
      </c>
      <c r="DK466" s="72">
        <v>0</v>
      </c>
      <c r="DL466" s="72">
        <v>0</v>
      </c>
      <c r="DM466" s="72">
        <v>0</v>
      </c>
      <c r="DN466" s="72">
        <v>0</v>
      </c>
      <c r="DO466" s="72">
        <v>0</v>
      </c>
      <c r="DP466" s="72">
        <v>0</v>
      </c>
      <c r="DQ466" s="72">
        <v>0</v>
      </c>
      <c r="DR466" s="72">
        <v>0</v>
      </c>
      <c r="DS466" s="72">
        <v>0</v>
      </c>
      <c r="DT466" s="72">
        <v>0</v>
      </c>
      <c r="DU466" s="72">
        <v>0</v>
      </c>
      <c r="DV466" s="72">
        <v>0</v>
      </c>
      <c r="DW466" s="72">
        <v>0</v>
      </c>
      <c r="DX466" s="72">
        <v>0</v>
      </c>
      <c r="DY466" s="72">
        <v>0</v>
      </c>
      <c r="DZ466" s="72">
        <v>0</v>
      </c>
      <c r="EA466" s="72">
        <v>0</v>
      </c>
      <c r="EB466" s="72">
        <v>0</v>
      </c>
      <c r="EC466" s="72">
        <v>0</v>
      </c>
      <c r="ED466" s="72">
        <v>0</v>
      </c>
      <c r="EE466" s="72">
        <v>0</v>
      </c>
      <c r="EF466" s="72">
        <v>0</v>
      </c>
      <c r="EG466" s="72">
        <v>0</v>
      </c>
      <c r="EH466" s="72">
        <v>0</v>
      </c>
      <c r="EI466" s="72">
        <v>0</v>
      </c>
      <c r="EJ466" s="72">
        <v>0</v>
      </c>
      <c r="EK466" s="72">
        <v>0</v>
      </c>
      <c r="EL466" s="72">
        <v>0</v>
      </c>
    </row>
    <row r="467" spans="1:142" x14ac:dyDescent="0.35">
      <c r="A467" s="59">
        <f>Данные!A467</f>
        <v>4848</v>
      </c>
      <c r="B467" s="59">
        <f>Данные!B467</f>
        <v>2015</v>
      </c>
      <c r="C467" s="59" t="str">
        <f>Данные!C467</f>
        <v>математического анализа</v>
      </c>
      <c r="D467" s="59" t="str">
        <f>Данные!D467</f>
        <v>Колдунов Андрей Витальевич</v>
      </c>
      <c r="E467" s="59" t="str">
        <f>Данные!E467</f>
        <v>кандидат физ.-мат. наук</v>
      </c>
      <c r="F467" s="59" t="str">
        <f>Данные!F467</f>
        <v>доцент</v>
      </c>
      <c r="G467" s="59">
        <f>Данные!G467</f>
        <v>1</v>
      </c>
      <c r="H467" s="59">
        <f>Данные!H467</f>
        <v>14014</v>
      </c>
      <c r="I467" s="59" t="str">
        <f>Данные!I467</f>
        <v>Модуль "Дискретные структуры". Вероятность и статистика</v>
      </c>
      <c r="J467" s="59">
        <f>Данные!J467</f>
        <v>18</v>
      </c>
      <c r="K467" s="59">
        <f>Данные!K467</f>
        <v>18</v>
      </c>
      <c r="L467" s="59">
        <f>Данные!L467</f>
        <v>0</v>
      </c>
      <c r="M467" s="60">
        <f t="shared" si="63"/>
        <v>3.6</v>
      </c>
      <c r="N467" s="60">
        <f t="shared" ca="1" si="64"/>
        <v>6.29</v>
      </c>
      <c r="O467" s="60">
        <f t="shared" ca="1" si="65"/>
        <v>3.25</v>
      </c>
      <c r="P467" s="60">
        <f t="shared" ca="1" si="66"/>
        <v>3.25</v>
      </c>
      <c r="Q467" s="54">
        <f>Данные!Q467</f>
        <v>0</v>
      </c>
      <c r="R467" s="54">
        <f>Данные!R467</f>
        <v>0</v>
      </c>
      <c r="S467" s="54">
        <f>Данные!S467</f>
        <v>0</v>
      </c>
      <c r="T467" s="54">
        <f>Данные!T467</f>
        <v>0</v>
      </c>
      <c r="U467" s="54">
        <f>Данные!U467</f>
        <v>0</v>
      </c>
      <c r="V467" s="54">
        <f>Данные!V467</f>
        <v>0</v>
      </c>
      <c r="W467" s="54">
        <f ca="1">Данные!W467</f>
        <v>13</v>
      </c>
      <c r="X467" s="54" t="str">
        <f ca="1">Данные!X467</f>
        <v>1</v>
      </c>
      <c r="Y467" s="54" t="str">
        <f ca="1">Данные!Y467</f>
        <v>1</v>
      </c>
      <c r="Z467" s="54">
        <f>Данные!Z467</f>
        <v>0</v>
      </c>
      <c r="AA467" s="54" t="str">
        <f>Данные!AA467</f>
        <v>осн</v>
      </c>
      <c r="AB467" s="101">
        <f t="shared" si="67"/>
        <v>800</v>
      </c>
      <c r="AC467" s="101" t="str">
        <f t="shared" si="68"/>
        <v>ИВТ (бак)</v>
      </c>
      <c r="AD467" s="101" t="str">
        <f t="shared" si="69"/>
        <v>2015–2016</v>
      </c>
      <c r="AE467" s="102">
        <f t="shared" ca="1" si="70"/>
        <v>52.39</v>
      </c>
      <c r="AF467" s="103">
        <f t="shared" ca="1" si="71"/>
        <v>6.5487500000000004E-2</v>
      </c>
      <c r="AG467" s="101"/>
      <c r="AH467" s="101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Q467" s="72">
        <v>0</v>
      </c>
      <c r="BR467" s="72">
        <v>0</v>
      </c>
      <c r="BS467" s="72">
        <v>0</v>
      </c>
      <c r="BT467" s="72">
        <v>0</v>
      </c>
      <c r="BU467" s="72">
        <v>0</v>
      </c>
      <c r="BV467" s="72">
        <v>0</v>
      </c>
      <c r="BW467" s="72">
        <v>0</v>
      </c>
      <c r="BX467" s="72">
        <v>0</v>
      </c>
      <c r="BY467" s="72">
        <v>0</v>
      </c>
      <c r="BZ467" s="72">
        <v>0</v>
      </c>
      <c r="CA467" s="72">
        <v>0</v>
      </c>
      <c r="CB467" s="72">
        <v>0</v>
      </c>
      <c r="CC467" s="72">
        <v>0</v>
      </c>
      <c r="CD467" s="72">
        <v>0</v>
      </c>
      <c r="CE467" s="72">
        <v>0</v>
      </c>
      <c r="CF467" s="72">
        <v>0</v>
      </c>
      <c r="CG467" s="72">
        <v>0</v>
      </c>
      <c r="CH467" s="72">
        <v>0</v>
      </c>
      <c r="CI467" s="72">
        <v>0</v>
      </c>
      <c r="CJ467" s="72">
        <v>0</v>
      </c>
      <c r="CK467" s="72">
        <v>0</v>
      </c>
      <c r="CL467" s="72">
        <v>0</v>
      </c>
      <c r="CM467" s="72">
        <v>0</v>
      </c>
      <c r="CN467" s="72">
        <v>0</v>
      </c>
      <c r="CO467" s="72">
        <v>0</v>
      </c>
      <c r="CP467" s="72">
        <v>0</v>
      </c>
      <c r="CQ467" s="72">
        <v>0</v>
      </c>
      <c r="CR467" s="72">
        <v>0</v>
      </c>
      <c r="CS467" s="72">
        <v>0</v>
      </c>
      <c r="CT467" s="72">
        <v>0</v>
      </c>
      <c r="CU467" s="72">
        <v>0</v>
      </c>
      <c r="CV467" s="72">
        <v>0</v>
      </c>
      <c r="CW467" s="72">
        <v>0</v>
      </c>
      <c r="CX467" s="72">
        <v>0</v>
      </c>
      <c r="CY467" s="72">
        <v>0</v>
      </c>
      <c r="CZ467" s="72">
        <v>0</v>
      </c>
      <c r="DA467" s="72">
        <v>0</v>
      </c>
      <c r="DB467" s="72">
        <v>0</v>
      </c>
      <c r="DC467" s="72">
        <v>0</v>
      </c>
      <c r="DD467" s="72">
        <v>0</v>
      </c>
      <c r="DE467" s="72">
        <v>0</v>
      </c>
      <c r="DF467" s="72">
        <v>0</v>
      </c>
      <c r="DG467" s="72">
        <v>0</v>
      </c>
      <c r="DH467" s="72">
        <v>0</v>
      </c>
      <c r="DI467" s="72">
        <v>0</v>
      </c>
      <c r="DJ467" s="72">
        <v>0</v>
      </c>
      <c r="DK467" s="72">
        <v>0</v>
      </c>
      <c r="DL467" s="72">
        <v>0</v>
      </c>
      <c r="DM467" s="72">
        <v>0</v>
      </c>
      <c r="DN467" s="72">
        <v>0</v>
      </c>
      <c r="DO467" s="72">
        <v>0</v>
      </c>
      <c r="DP467" s="72">
        <v>0</v>
      </c>
      <c r="DQ467" s="72">
        <v>0</v>
      </c>
      <c r="DR467" s="72">
        <v>0</v>
      </c>
      <c r="DS467" s="72">
        <v>0</v>
      </c>
      <c r="DT467" s="72">
        <v>0</v>
      </c>
      <c r="DU467" s="72">
        <v>0</v>
      </c>
      <c r="DV467" s="72">
        <v>0</v>
      </c>
      <c r="DW467" s="72">
        <v>0</v>
      </c>
      <c r="DX467" s="72">
        <v>0</v>
      </c>
      <c r="DY467" s="72">
        <v>0</v>
      </c>
      <c r="DZ467" s="72">
        <v>0</v>
      </c>
      <c r="EA467" s="72">
        <v>0</v>
      </c>
      <c r="EB467" s="72">
        <v>0</v>
      </c>
      <c r="EC467" s="72">
        <v>0</v>
      </c>
      <c r="ED467" s="72">
        <v>0</v>
      </c>
      <c r="EE467" s="72">
        <v>0</v>
      </c>
      <c r="EF467" s="72">
        <v>0</v>
      </c>
      <c r="EG467" s="72">
        <v>0</v>
      </c>
      <c r="EH467" s="72">
        <v>0</v>
      </c>
      <c r="EI467" s="72">
        <v>0</v>
      </c>
      <c r="EJ467" s="72">
        <v>0</v>
      </c>
      <c r="EK467" s="72">
        <v>0</v>
      </c>
      <c r="EL467" s="72">
        <v>0</v>
      </c>
    </row>
    <row r="468" spans="1:142" x14ac:dyDescent="0.35">
      <c r="A468" s="59">
        <f>Данные!A468</f>
        <v>4848</v>
      </c>
      <c r="B468" s="59">
        <f>Данные!B468</f>
        <v>2015</v>
      </c>
      <c r="C468" s="59" t="str">
        <f>Данные!C468</f>
        <v>современных европейских языков</v>
      </c>
      <c r="D468" s="59" t="str">
        <f>Данные!D468</f>
        <v>Качоровская Анна Евгеньевна</v>
      </c>
      <c r="E468" s="59" t="str">
        <f>Данные!E468</f>
        <v>кандидат филологических наук</v>
      </c>
      <c r="F468" s="59" t="str">
        <f>Данные!F468</f>
        <v>и.о.доцент</v>
      </c>
      <c r="G468" s="59">
        <f>Данные!G468</f>
        <v>0.25</v>
      </c>
      <c r="H468" s="59">
        <f>Данные!H468</f>
        <v>14014</v>
      </c>
      <c r="I468" s="59" t="str">
        <f>Данные!I468</f>
        <v>Иностранный язык. Иностранный язык (немецкий)</v>
      </c>
      <c r="J468" s="59">
        <f>Данные!J468</f>
        <v>0</v>
      </c>
      <c r="K468" s="59">
        <f>Данные!K468</f>
        <v>0</v>
      </c>
      <c r="L468" s="59">
        <f>Данные!L468</f>
        <v>34</v>
      </c>
      <c r="M468" s="60">
        <f t="shared" si="63"/>
        <v>3.4</v>
      </c>
      <c r="N468" s="60">
        <f t="shared" ca="1" si="64"/>
        <v>6.29</v>
      </c>
      <c r="O468" s="60">
        <f t="shared" ca="1" si="65"/>
        <v>3.25</v>
      </c>
      <c r="P468" s="60">
        <f t="shared" ca="1" si="66"/>
        <v>3.25</v>
      </c>
      <c r="Q468" s="54">
        <f>Данные!Q468</f>
        <v>0</v>
      </c>
      <c r="R468" s="54">
        <f>Данные!R468</f>
        <v>0</v>
      </c>
      <c r="S468" s="54">
        <f>Данные!S468</f>
        <v>0</v>
      </c>
      <c r="T468" s="54">
        <f>Данные!T468</f>
        <v>0</v>
      </c>
      <c r="U468" s="54">
        <f>Данные!U468</f>
        <v>0</v>
      </c>
      <c r="V468" s="54">
        <f>Данные!V468</f>
        <v>0</v>
      </c>
      <c r="W468" s="54">
        <f ca="1">Данные!W468</f>
        <v>13</v>
      </c>
      <c r="X468" s="54" t="str">
        <f ca="1">Данные!X468</f>
        <v>1</v>
      </c>
      <c r="Y468" s="54" t="str">
        <f ca="1">Данные!Y468</f>
        <v>1</v>
      </c>
      <c r="Z468" s="54">
        <f>Данные!Z468</f>
        <v>0</v>
      </c>
      <c r="AA468" s="54" t="str">
        <f>Данные!AA468</f>
        <v>осн</v>
      </c>
      <c r="AB468" s="101">
        <f t="shared" si="67"/>
        <v>900</v>
      </c>
      <c r="AC468" s="101" t="str">
        <f t="shared" si="68"/>
        <v>ИВТ (бак)</v>
      </c>
      <c r="AD468" s="101" t="str">
        <f>IF(IFERROR(MATCH(H468, $AK$4:$AN$4, 0), 0)=1, "2015–2016", IF(IFERROR(MATCH(H468, $AO$4:$AR$4, 0), 0)=1, "2016–2017", IF(IFERROR(MATCH(H468, $AS$4:$AV$4, 0), 0)=1, "2017–2018", IF(IFERROR(MATCH(H468, $AW$4:$AZ$4, 0), 0)=1, "2018–2019", IF(IFERROR(MATCH(H468, $BA$4:$BD$4, 0), 0)=1, "2019–2020", IF(IFERROR(MATCH(H468, $BE$4:$BH$4, 0), 0)=1, "2020–2021", IF(IFERROR(MATCH(H468, $BI$4:$BL$4, 0), 0)=1, "2021–2022", "")))))))</f>
        <v>2015–2016</v>
      </c>
      <c r="AE468" s="102">
        <f t="shared" ca="1" si="70"/>
        <v>50.19</v>
      </c>
      <c r="AF468" s="103">
        <f t="shared" ca="1" si="71"/>
        <v>5.5766666666666666E-2</v>
      </c>
      <c r="AG468" s="101"/>
      <c r="AH468" s="101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Q468" s="72">
        <v>0</v>
      </c>
      <c r="BR468" s="72">
        <v>0</v>
      </c>
      <c r="BS468" s="72">
        <v>0</v>
      </c>
      <c r="BT468" s="72">
        <v>0</v>
      </c>
      <c r="BU468" s="72">
        <v>0</v>
      </c>
      <c r="BV468" s="72">
        <v>0</v>
      </c>
      <c r="BW468" s="72">
        <v>0</v>
      </c>
      <c r="BX468" s="72">
        <v>0</v>
      </c>
      <c r="BY468" s="72">
        <v>0</v>
      </c>
      <c r="BZ468" s="72">
        <v>0</v>
      </c>
      <c r="CA468" s="72">
        <v>0</v>
      </c>
      <c r="CB468" s="72">
        <v>0</v>
      </c>
      <c r="CC468" s="72">
        <v>0</v>
      </c>
      <c r="CD468" s="72">
        <v>0</v>
      </c>
      <c r="CE468" s="72">
        <v>0</v>
      </c>
      <c r="CF468" s="72">
        <v>0</v>
      </c>
      <c r="CG468" s="72">
        <v>0</v>
      </c>
      <c r="CH468" s="72">
        <v>0</v>
      </c>
      <c r="CI468" s="72">
        <v>0</v>
      </c>
      <c r="CJ468" s="72">
        <v>0</v>
      </c>
      <c r="CK468" s="72">
        <v>0</v>
      </c>
      <c r="CL468" s="72">
        <v>0</v>
      </c>
      <c r="CM468" s="72">
        <v>0</v>
      </c>
      <c r="CN468" s="72">
        <v>0</v>
      </c>
      <c r="CO468" s="72">
        <v>0</v>
      </c>
      <c r="CP468" s="72">
        <v>0</v>
      </c>
      <c r="CQ468" s="72">
        <v>0</v>
      </c>
      <c r="CR468" s="72">
        <v>0</v>
      </c>
      <c r="CS468" s="72">
        <v>0</v>
      </c>
      <c r="CT468" s="72">
        <v>0</v>
      </c>
      <c r="CU468" s="72">
        <v>0</v>
      </c>
      <c r="CV468" s="72">
        <v>0</v>
      </c>
      <c r="CW468" s="72">
        <v>0</v>
      </c>
      <c r="CX468" s="72">
        <v>0</v>
      </c>
      <c r="CY468" s="72">
        <v>0</v>
      </c>
      <c r="CZ468" s="72">
        <v>0</v>
      </c>
      <c r="DA468" s="72">
        <v>0</v>
      </c>
      <c r="DB468" s="72">
        <v>0</v>
      </c>
      <c r="DC468" s="72">
        <v>0</v>
      </c>
      <c r="DD468" s="72">
        <v>0</v>
      </c>
      <c r="DE468" s="72">
        <v>0</v>
      </c>
      <c r="DF468" s="72">
        <v>0</v>
      </c>
      <c r="DG468" s="72">
        <v>0</v>
      </c>
      <c r="DH468" s="72">
        <v>0</v>
      </c>
      <c r="DI468" s="72">
        <v>0</v>
      </c>
      <c r="DJ468" s="72">
        <v>0</v>
      </c>
      <c r="DK468" s="72">
        <v>0</v>
      </c>
      <c r="DL468" s="72">
        <v>0</v>
      </c>
      <c r="DM468" s="72">
        <v>0</v>
      </c>
      <c r="DN468" s="72">
        <v>0</v>
      </c>
      <c r="DO468" s="72">
        <v>0</v>
      </c>
      <c r="DP468" s="72">
        <v>0</v>
      </c>
      <c r="DQ468" s="72">
        <v>0</v>
      </c>
      <c r="DR468" s="72">
        <v>0</v>
      </c>
      <c r="DS468" s="72">
        <v>0</v>
      </c>
      <c r="DT468" s="72">
        <v>0</v>
      </c>
      <c r="DU468" s="72">
        <v>0</v>
      </c>
      <c r="DV468" s="72">
        <v>0</v>
      </c>
      <c r="DW468" s="72">
        <v>0</v>
      </c>
      <c r="DX468" s="72">
        <v>0</v>
      </c>
      <c r="DY468" s="72">
        <v>0</v>
      </c>
      <c r="DZ468" s="72">
        <v>0</v>
      </c>
      <c r="EA468" s="72">
        <v>0</v>
      </c>
      <c r="EB468" s="72">
        <v>0</v>
      </c>
      <c r="EC468" s="72">
        <v>0</v>
      </c>
      <c r="ED468" s="72">
        <v>0</v>
      </c>
      <c r="EE468" s="72">
        <v>0</v>
      </c>
      <c r="EF468" s="72">
        <v>0</v>
      </c>
      <c r="EG468" s="72">
        <v>0</v>
      </c>
      <c r="EH468" s="72">
        <v>0</v>
      </c>
      <c r="EI468" s="72">
        <v>0</v>
      </c>
      <c r="EJ468" s="72">
        <v>0</v>
      </c>
      <c r="EK468" s="72">
        <v>0</v>
      </c>
      <c r="EL468" s="72">
        <v>0</v>
      </c>
    </row>
    <row r="469" spans="1:142" x14ac:dyDescent="0.35">
      <c r="A469" s="59">
        <f>Данные!A469</f>
        <v>4848</v>
      </c>
      <c r="B469" s="59">
        <f>Данные!B469</f>
        <v>2015</v>
      </c>
      <c r="C469" s="59" t="str">
        <f>Данные!C469</f>
        <v>современных европейских языков</v>
      </c>
      <c r="D469" s="59" t="str">
        <f>Данные!D469</f>
        <v>Кузнецова Надежда Леонидовна</v>
      </c>
      <c r="E469" s="59" t="str">
        <f>Данные!E469</f>
        <v>нет</v>
      </c>
      <c r="F469" s="59" t="str">
        <f>Данные!F469</f>
        <v>старший преподаватель</v>
      </c>
      <c r="G469" s="59">
        <f>Данные!G469</f>
        <v>1</v>
      </c>
      <c r="H469" s="59">
        <f>Данные!H469</f>
        <v>14014</v>
      </c>
      <c r="I469" s="59" t="str">
        <f>Данные!I469</f>
        <v>Иностранный язык</v>
      </c>
      <c r="J469" s="59">
        <f>Данные!J469</f>
        <v>0</v>
      </c>
      <c r="K469" s="59">
        <f>Данные!K469</f>
        <v>0</v>
      </c>
      <c r="L469" s="59">
        <f>Данные!L469</f>
        <v>0</v>
      </c>
      <c r="M469" s="60">
        <f t="shared" si="63"/>
        <v>0</v>
      </c>
      <c r="N469" s="60">
        <f t="shared" ca="1" si="64"/>
        <v>6.29</v>
      </c>
      <c r="O469" s="60">
        <f t="shared" ca="1" si="65"/>
        <v>3.25</v>
      </c>
      <c r="P469" s="60">
        <f t="shared" ca="1" si="66"/>
        <v>3.25</v>
      </c>
      <c r="Q469" s="54">
        <f>Данные!Q469</f>
        <v>0</v>
      </c>
      <c r="R469" s="54">
        <f>Данные!R469</f>
        <v>0</v>
      </c>
      <c r="S469" s="54">
        <f>Данные!S469</f>
        <v>0</v>
      </c>
      <c r="T469" s="54">
        <f>Данные!T469</f>
        <v>0</v>
      </c>
      <c r="U469" s="54">
        <f>Данные!U469</f>
        <v>0</v>
      </c>
      <c r="V469" s="54">
        <f>Данные!V469</f>
        <v>0</v>
      </c>
      <c r="W469" s="54">
        <f ca="1">Данные!W469</f>
        <v>13</v>
      </c>
      <c r="X469" s="54" t="str">
        <f ca="1">Данные!X469</f>
        <v>1</v>
      </c>
      <c r="Y469" s="54" t="str">
        <f ca="1">Данные!Y469</f>
        <v>1</v>
      </c>
      <c r="Z469" s="54">
        <f>Данные!Z469</f>
        <v>0</v>
      </c>
      <c r="AA469" s="54" t="str">
        <f>Данные!AA469</f>
        <v>осн</v>
      </c>
      <c r="AB469" s="101">
        <f t="shared" si="67"/>
        <v>850</v>
      </c>
      <c r="AC469" s="101" t="str">
        <f t="shared" si="68"/>
        <v>ИВТ (бак)</v>
      </c>
      <c r="AD469" s="101" t="str">
        <f t="shared" si="69"/>
        <v>2015–2016</v>
      </c>
      <c r="AE469" s="102">
        <f t="shared" ca="1" si="70"/>
        <v>12.79</v>
      </c>
      <c r="AF469" s="103">
        <f t="shared" ca="1" si="71"/>
        <v>1.504705882352941E-2</v>
      </c>
      <c r="AG469" s="101"/>
      <c r="AH469" s="101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Q469" s="72">
        <v>0</v>
      </c>
      <c r="BR469" s="72">
        <v>0</v>
      </c>
      <c r="BS469" s="72">
        <v>0</v>
      </c>
      <c r="BT469" s="72">
        <v>0</v>
      </c>
      <c r="BU469" s="72">
        <v>0</v>
      </c>
      <c r="BV469" s="72">
        <v>0</v>
      </c>
      <c r="BW469" s="72">
        <v>0</v>
      </c>
      <c r="BX469" s="72">
        <v>0</v>
      </c>
      <c r="BY469" s="72">
        <v>0</v>
      </c>
      <c r="BZ469" s="72">
        <v>0</v>
      </c>
      <c r="CA469" s="72">
        <v>0</v>
      </c>
      <c r="CB469" s="72">
        <v>0</v>
      </c>
      <c r="CC469" s="72">
        <v>0</v>
      </c>
      <c r="CD469" s="72">
        <v>0</v>
      </c>
      <c r="CE469" s="72">
        <v>0</v>
      </c>
      <c r="CF469" s="72">
        <v>0</v>
      </c>
      <c r="CG469" s="72">
        <v>0</v>
      </c>
      <c r="CH469" s="72">
        <v>0</v>
      </c>
      <c r="CI469" s="72">
        <v>0</v>
      </c>
      <c r="CJ469" s="72">
        <v>0</v>
      </c>
      <c r="CK469" s="72">
        <v>0</v>
      </c>
      <c r="CL469" s="72">
        <v>0</v>
      </c>
      <c r="CM469" s="72">
        <v>0</v>
      </c>
      <c r="CN469" s="72">
        <v>0</v>
      </c>
      <c r="CO469" s="72">
        <v>0</v>
      </c>
      <c r="CP469" s="72">
        <v>0</v>
      </c>
      <c r="CQ469" s="72">
        <v>0</v>
      </c>
      <c r="CR469" s="72">
        <v>0</v>
      </c>
      <c r="CS469" s="72">
        <v>0</v>
      </c>
      <c r="CT469" s="72">
        <v>0</v>
      </c>
      <c r="CU469" s="72">
        <v>0</v>
      </c>
      <c r="CV469" s="72">
        <v>0</v>
      </c>
      <c r="CW469" s="72">
        <v>0</v>
      </c>
      <c r="CX469" s="72">
        <v>0</v>
      </c>
      <c r="CY469" s="72">
        <v>0</v>
      </c>
      <c r="CZ469" s="72">
        <v>0</v>
      </c>
      <c r="DA469" s="72">
        <v>0</v>
      </c>
      <c r="DB469" s="72">
        <v>0</v>
      </c>
      <c r="DC469" s="72">
        <v>0</v>
      </c>
      <c r="DD469" s="72">
        <v>0</v>
      </c>
      <c r="DE469" s="72">
        <v>0</v>
      </c>
      <c r="DF469" s="72">
        <v>0</v>
      </c>
      <c r="DG469" s="72">
        <v>0</v>
      </c>
      <c r="DH469" s="72">
        <v>0</v>
      </c>
      <c r="DI469" s="72">
        <v>0</v>
      </c>
      <c r="DJ469" s="72">
        <v>0</v>
      </c>
      <c r="DK469" s="72">
        <v>0</v>
      </c>
      <c r="DL469" s="72">
        <v>0</v>
      </c>
      <c r="DM469" s="72">
        <v>0</v>
      </c>
      <c r="DN469" s="72">
        <v>0</v>
      </c>
      <c r="DO469" s="72">
        <v>0</v>
      </c>
      <c r="DP469" s="72">
        <v>0</v>
      </c>
      <c r="DQ469" s="72">
        <v>0</v>
      </c>
      <c r="DR469" s="72">
        <v>0</v>
      </c>
      <c r="DS469" s="72">
        <v>0</v>
      </c>
      <c r="DT469" s="72">
        <v>0</v>
      </c>
      <c r="DU469" s="72">
        <v>0</v>
      </c>
      <c r="DV469" s="72">
        <v>0</v>
      </c>
      <c r="DW469" s="72">
        <v>0</v>
      </c>
      <c r="DX469" s="72">
        <v>0</v>
      </c>
      <c r="DY469" s="72">
        <v>0</v>
      </c>
      <c r="DZ469" s="72">
        <v>0</v>
      </c>
      <c r="EA469" s="72">
        <v>0</v>
      </c>
      <c r="EB469" s="72">
        <v>0</v>
      </c>
      <c r="EC469" s="72">
        <v>0</v>
      </c>
      <c r="ED469" s="72">
        <v>0</v>
      </c>
      <c r="EE469" s="72">
        <v>0</v>
      </c>
      <c r="EF469" s="72">
        <v>0</v>
      </c>
      <c r="EG469" s="72">
        <v>0</v>
      </c>
      <c r="EH469" s="72">
        <v>0</v>
      </c>
      <c r="EI469" s="72">
        <v>0</v>
      </c>
      <c r="EJ469" s="72">
        <v>0</v>
      </c>
      <c r="EK469" s="72">
        <v>0</v>
      </c>
      <c r="EL469" s="72">
        <v>0</v>
      </c>
    </row>
    <row r="470" spans="1:142" x14ac:dyDescent="0.35">
      <c r="A470" s="59">
        <f>Данные!A470</f>
        <v>4848</v>
      </c>
      <c r="B470" s="59">
        <f>Данные!B470</f>
        <v>2015</v>
      </c>
      <c r="C470" s="59" t="str">
        <f>Данные!C470</f>
        <v>современных европейских языков</v>
      </c>
      <c r="D470" s="59" t="str">
        <f>Данные!D470</f>
        <v>Тарамжина Людмила Витольдовна</v>
      </c>
      <c r="E470" s="59" t="str">
        <f>Данные!E470</f>
        <v>кандидат филологических наук</v>
      </c>
      <c r="F470" s="59" t="str">
        <f>Данные!F470</f>
        <v>доцент</v>
      </c>
      <c r="G470" s="59">
        <f>Данные!G470</f>
        <v>0.5</v>
      </c>
      <c r="H470" s="59">
        <f>Данные!H470</f>
        <v>14014</v>
      </c>
      <c r="I470" s="59" t="str">
        <f>Данные!I470</f>
        <v>Иностранный язык</v>
      </c>
      <c r="J470" s="59">
        <f>Данные!J470</f>
        <v>0</v>
      </c>
      <c r="K470" s="59">
        <f>Данные!K470</f>
        <v>0</v>
      </c>
      <c r="L470" s="59">
        <f>Данные!L470</f>
        <v>34</v>
      </c>
      <c r="M470" s="60">
        <f t="shared" si="63"/>
        <v>3.4</v>
      </c>
      <c r="N470" s="60">
        <f t="shared" ca="1" si="64"/>
        <v>6.29</v>
      </c>
      <c r="O470" s="60">
        <f t="shared" ca="1" si="65"/>
        <v>3.25</v>
      </c>
      <c r="P470" s="60">
        <f t="shared" ca="1" si="66"/>
        <v>3.25</v>
      </c>
      <c r="Q470" s="54">
        <f>Данные!Q470</f>
        <v>0</v>
      </c>
      <c r="R470" s="54">
        <f>Данные!R470</f>
        <v>0</v>
      </c>
      <c r="S470" s="54">
        <f>Данные!S470</f>
        <v>0</v>
      </c>
      <c r="T470" s="54">
        <f>Данные!T470</f>
        <v>0</v>
      </c>
      <c r="U470" s="54">
        <f>Данные!U470</f>
        <v>0</v>
      </c>
      <c r="V470" s="54">
        <f>Данные!V470</f>
        <v>0</v>
      </c>
      <c r="W470" s="54">
        <f ca="1">Данные!W470</f>
        <v>13</v>
      </c>
      <c r="X470" s="54" t="str">
        <f ca="1">Данные!X470</f>
        <v>1</v>
      </c>
      <c r="Y470" s="54" t="str">
        <f ca="1">Данные!Y470</f>
        <v>1</v>
      </c>
      <c r="Z470" s="54">
        <f>Данные!Z470</f>
        <v>0</v>
      </c>
      <c r="AA470" s="54" t="str">
        <f>Данные!AA470</f>
        <v>осн</v>
      </c>
      <c r="AB470" s="101">
        <f t="shared" si="67"/>
        <v>800</v>
      </c>
      <c r="AC470" s="101" t="str">
        <f t="shared" si="68"/>
        <v>ИВТ (бак)</v>
      </c>
      <c r="AD470" s="101" t="str">
        <f t="shared" si="69"/>
        <v>2015–2016</v>
      </c>
      <c r="AE470" s="102">
        <f t="shared" ca="1" si="70"/>
        <v>50.19</v>
      </c>
      <c r="AF470" s="103">
        <f t="shared" ca="1" si="71"/>
        <v>6.2737500000000002E-2</v>
      </c>
      <c r="AG470" s="101"/>
      <c r="AH470" s="101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Q470" s="72">
        <v>0</v>
      </c>
      <c r="BR470" s="72">
        <v>0</v>
      </c>
      <c r="BS470" s="72">
        <v>0</v>
      </c>
      <c r="BT470" s="72">
        <v>0</v>
      </c>
      <c r="BU470" s="72">
        <v>0</v>
      </c>
      <c r="BV470" s="72">
        <v>0</v>
      </c>
      <c r="BW470" s="72">
        <v>0</v>
      </c>
      <c r="BX470" s="72">
        <v>0</v>
      </c>
      <c r="BY470" s="72">
        <v>0</v>
      </c>
      <c r="BZ470" s="72">
        <v>0</v>
      </c>
      <c r="CA470" s="72">
        <v>0</v>
      </c>
      <c r="CB470" s="72">
        <v>0</v>
      </c>
      <c r="CC470" s="72">
        <v>0</v>
      </c>
      <c r="CD470" s="72">
        <v>0</v>
      </c>
      <c r="CE470" s="72">
        <v>0</v>
      </c>
      <c r="CF470" s="72">
        <v>0</v>
      </c>
      <c r="CG470" s="72">
        <v>0</v>
      </c>
      <c r="CH470" s="72">
        <v>0</v>
      </c>
      <c r="CI470" s="72">
        <v>0</v>
      </c>
      <c r="CJ470" s="72">
        <v>0</v>
      </c>
      <c r="CK470" s="72">
        <v>0</v>
      </c>
      <c r="CL470" s="72">
        <v>0</v>
      </c>
      <c r="CM470" s="72">
        <v>0</v>
      </c>
      <c r="CN470" s="72">
        <v>0</v>
      </c>
      <c r="CO470" s="72">
        <v>0</v>
      </c>
      <c r="CP470" s="72">
        <v>0</v>
      </c>
      <c r="CQ470" s="72">
        <v>0</v>
      </c>
      <c r="CR470" s="72">
        <v>0</v>
      </c>
      <c r="CS470" s="72">
        <v>0</v>
      </c>
      <c r="CT470" s="72">
        <v>0</v>
      </c>
      <c r="CU470" s="72">
        <v>0</v>
      </c>
      <c r="CV470" s="72">
        <v>0</v>
      </c>
      <c r="CW470" s="72">
        <v>0</v>
      </c>
      <c r="CX470" s="72">
        <v>0</v>
      </c>
      <c r="CY470" s="72">
        <v>0</v>
      </c>
      <c r="CZ470" s="72">
        <v>0</v>
      </c>
      <c r="DA470" s="72">
        <v>0</v>
      </c>
      <c r="DB470" s="72">
        <v>0</v>
      </c>
      <c r="DC470" s="72">
        <v>0</v>
      </c>
      <c r="DD470" s="72">
        <v>0</v>
      </c>
      <c r="DE470" s="72">
        <v>0</v>
      </c>
      <c r="DF470" s="72">
        <v>0</v>
      </c>
      <c r="DG470" s="72">
        <v>0</v>
      </c>
      <c r="DH470" s="72">
        <v>0</v>
      </c>
      <c r="DI470" s="72">
        <v>0</v>
      </c>
      <c r="DJ470" s="72">
        <v>0</v>
      </c>
      <c r="DK470" s="72">
        <v>0</v>
      </c>
      <c r="DL470" s="72">
        <v>0</v>
      </c>
      <c r="DM470" s="72">
        <v>0</v>
      </c>
      <c r="DN470" s="72">
        <v>0</v>
      </c>
      <c r="DO470" s="72">
        <v>0</v>
      </c>
      <c r="DP470" s="72">
        <v>0</v>
      </c>
      <c r="DQ470" s="72">
        <v>0</v>
      </c>
      <c r="DR470" s="72">
        <v>0</v>
      </c>
      <c r="DS470" s="72">
        <v>0</v>
      </c>
      <c r="DT470" s="72">
        <v>0</v>
      </c>
      <c r="DU470" s="72">
        <v>0</v>
      </c>
      <c r="DV470" s="72">
        <v>0</v>
      </c>
      <c r="DW470" s="72">
        <v>0</v>
      </c>
      <c r="DX470" s="72">
        <v>0</v>
      </c>
      <c r="DY470" s="72">
        <v>0</v>
      </c>
      <c r="DZ470" s="72">
        <v>0</v>
      </c>
      <c r="EA470" s="72">
        <v>0</v>
      </c>
      <c r="EB470" s="72">
        <v>0</v>
      </c>
      <c r="EC470" s="72">
        <v>0</v>
      </c>
      <c r="ED470" s="72">
        <v>0</v>
      </c>
      <c r="EE470" s="72">
        <v>0</v>
      </c>
      <c r="EF470" s="72">
        <v>0</v>
      </c>
      <c r="EG470" s="72">
        <v>0</v>
      </c>
      <c r="EH470" s="72">
        <v>0</v>
      </c>
      <c r="EI470" s="72">
        <v>0</v>
      </c>
      <c r="EJ470" s="72">
        <v>0</v>
      </c>
      <c r="EK470" s="72">
        <v>0</v>
      </c>
      <c r="EL470" s="72">
        <v>0</v>
      </c>
    </row>
    <row r="471" spans="1:142" x14ac:dyDescent="0.35">
      <c r="A471" s="59">
        <f>Данные!A471</f>
        <v>4848</v>
      </c>
      <c r="B471" s="59">
        <f>Данные!B471</f>
        <v>2015</v>
      </c>
      <c r="C471" s="59" t="str">
        <f>Данные!C471</f>
        <v>социальной безопасности</v>
      </c>
      <c r="D471" s="59" t="str">
        <f>Данные!D471</f>
        <v>Абдуллаева Любовь Магомедовна</v>
      </c>
      <c r="E471" s="59" t="str">
        <f>Данные!E471</f>
        <v>нет</v>
      </c>
      <c r="F471" s="59" t="str">
        <f>Данные!F471</f>
        <v>старший преподаватель</v>
      </c>
      <c r="G471" s="59">
        <f>Данные!G471</f>
        <v>0.13</v>
      </c>
      <c r="H471" s="59">
        <f>Данные!H471</f>
        <v>14014</v>
      </c>
      <c r="I471" s="59" t="str">
        <f>Данные!I471</f>
        <v>Экология</v>
      </c>
      <c r="J471" s="59">
        <f>Данные!J471</f>
        <v>18</v>
      </c>
      <c r="K471" s="59">
        <f>Данные!K471</f>
        <v>18</v>
      </c>
      <c r="L471" s="59">
        <f>Данные!L471</f>
        <v>0</v>
      </c>
      <c r="M471" s="60">
        <f t="shared" si="63"/>
        <v>3.6</v>
      </c>
      <c r="N471" s="60">
        <f t="shared" ca="1" si="64"/>
        <v>6.29</v>
      </c>
      <c r="O471" s="60">
        <f t="shared" ca="1" si="65"/>
        <v>3.25</v>
      </c>
      <c r="P471" s="60">
        <f t="shared" ca="1" si="66"/>
        <v>3.25</v>
      </c>
      <c r="Q471" s="54">
        <f>Данные!Q471</f>
        <v>0</v>
      </c>
      <c r="R471" s="54">
        <f>Данные!R471</f>
        <v>0</v>
      </c>
      <c r="S471" s="54">
        <f>Данные!S471</f>
        <v>0</v>
      </c>
      <c r="T471" s="54">
        <f>Данные!T471</f>
        <v>0</v>
      </c>
      <c r="U471" s="54">
        <f>Данные!U471</f>
        <v>0</v>
      </c>
      <c r="V471" s="54">
        <f>Данные!V471</f>
        <v>0</v>
      </c>
      <c r="W471" s="54">
        <f ca="1">Данные!W471</f>
        <v>13</v>
      </c>
      <c r="X471" s="54" t="str">
        <f ca="1">Данные!X471</f>
        <v>1</v>
      </c>
      <c r="Y471" s="54" t="str">
        <f ca="1">Данные!Y471</f>
        <v>1</v>
      </c>
      <c r="Z471" s="54">
        <f>Данные!Z471</f>
        <v>0</v>
      </c>
      <c r="AA471" s="54" t="str">
        <f>Данные!AA471</f>
        <v>осн</v>
      </c>
      <c r="AB471" s="101">
        <f t="shared" si="67"/>
        <v>850</v>
      </c>
      <c r="AC471" s="101" t="str">
        <f t="shared" si="68"/>
        <v>ИВТ (бак)</v>
      </c>
      <c r="AD471" s="101" t="str">
        <f t="shared" si="69"/>
        <v>2015–2016</v>
      </c>
      <c r="AE471" s="102">
        <f t="shared" ca="1" si="70"/>
        <v>52.39</v>
      </c>
      <c r="AF471" s="103">
        <f t="shared" ca="1" si="71"/>
        <v>6.1635294117647059E-2</v>
      </c>
      <c r="AG471" s="101"/>
      <c r="AH471" s="10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Q471" s="72">
        <v>0</v>
      </c>
      <c r="BR471" s="72">
        <v>0</v>
      </c>
      <c r="BS471" s="72">
        <v>0</v>
      </c>
      <c r="BT471" s="72">
        <v>0</v>
      </c>
      <c r="BU471" s="72">
        <v>0</v>
      </c>
      <c r="BV471" s="72">
        <v>0</v>
      </c>
      <c r="BW471" s="72">
        <v>0</v>
      </c>
      <c r="BX471" s="72">
        <v>0</v>
      </c>
      <c r="BY471" s="72">
        <v>0</v>
      </c>
      <c r="BZ471" s="72">
        <v>0</v>
      </c>
      <c r="CA471" s="72">
        <v>0</v>
      </c>
      <c r="CB471" s="72">
        <v>0</v>
      </c>
      <c r="CC471" s="72">
        <v>0</v>
      </c>
      <c r="CD471" s="72">
        <v>0</v>
      </c>
      <c r="CE471" s="72">
        <v>0</v>
      </c>
      <c r="CF471" s="72">
        <v>0</v>
      </c>
      <c r="CG471" s="72">
        <v>0</v>
      </c>
      <c r="CH471" s="72">
        <v>0</v>
      </c>
      <c r="CI471" s="72">
        <v>0</v>
      </c>
      <c r="CJ471" s="72">
        <v>0</v>
      </c>
      <c r="CK471" s="72">
        <v>0</v>
      </c>
      <c r="CL471" s="72">
        <v>0</v>
      </c>
      <c r="CM471" s="72">
        <v>0</v>
      </c>
      <c r="CN471" s="72">
        <v>0</v>
      </c>
      <c r="CO471" s="72">
        <v>0</v>
      </c>
      <c r="CP471" s="72">
        <v>0</v>
      </c>
      <c r="CQ471" s="72">
        <v>0</v>
      </c>
      <c r="CR471" s="72">
        <v>0</v>
      </c>
      <c r="CS471" s="72">
        <v>0</v>
      </c>
      <c r="CT471" s="72">
        <v>0</v>
      </c>
      <c r="CU471" s="72">
        <v>0</v>
      </c>
      <c r="CV471" s="72">
        <v>0</v>
      </c>
      <c r="CW471" s="72">
        <v>0</v>
      </c>
      <c r="CX471" s="72">
        <v>0</v>
      </c>
      <c r="CY471" s="72">
        <v>0</v>
      </c>
      <c r="CZ471" s="72">
        <v>0</v>
      </c>
      <c r="DA471" s="72">
        <v>0</v>
      </c>
      <c r="DB471" s="72">
        <v>0</v>
      </c>
      <c r="DC471" s="72">
        <v>0</v>
      </c>
      <c r="DD471" s="72">
        <v>0</v>
      </c>
      <c r="DE471" s="72">
        <v>0</v>
      </c>
      <c r="DF471" s="72">
        <v>0</v>
      </c>
      <c r="DG471" s="72">
        <v>0</v>
      </c>
      <c r="DH471" s="72">
        <v>0</v>
      </c>
      <c r="DI471" s="72">
        <v>0</v>
      </c>
      <c r="DJ471" s="72">
        <v>0</v>
      </c>
      <c r="DK471" s="72">
        <v>0</v>
      </c>
      <c r="DL471" s="72">
        <v>0</v>
      </c>
      <c r="DM471" s="72">
        <v>0</v>
      </c>
      <c r="DN471" s="72">
        <v>0</v>
      </c>
      <c r="DO471" s="72">
        <v>0</v>
      </c>
      <c r="DP471" s="72">
        <v>0</v>
      </c>
      <c r="DQ471" s="72">
        <v>0</v>
      </c>
      <c r="DR471" s="72">
        <v>0</v>
      </c>
      <c r="DS471" s="72">
        <v>0</v>
      </c>
      <c r="DT471" s="72">
        <v>0</v>
      </c>
      <c r="DU471" s="72">
        <v>0</v>
      </c>
      <c r="DV471" s="72">
        <v>0</v>
      </c>
      <c r="DW471" s="72">
        <v>0</v>
      </c>
      <c r="DX471" s="72">
        <v>0</v>
      </c>
      <c r="DY471" s="72">
        <v>0</v>
      </c>
      <c r="DZ471" s="72">
        <v>0</v>
      </c>
      <c r="EA471" s="72">
        <v>0</v>
      </c>
      <c r="EB471" s="72">
        <v>0</v>
      </c>
      <c r="EC471" s="72">
        <v>0</v>
      </c>
      <c r="ED471" s="72">
        <v>0</v>
      </c>
      <c r="EE471" s="72">
        <v>0</v>
      </c>
      <c r="EF471" s="72">
        <v>0</v>
      </c>
      <c r="EG471" s="72">
        <v>0</v>
      </c>
      <c r="EH471" s="72">
        <v>0</v>
      </c>
      <c r="EI471" s="72">
        <v>0</v>
      </c>
      <c r="EJ471" s="72">
        <v>0</v>
      </c>
      <c r="EK471" s="72">
        <v>0</v>
      </c>
      <c r="EL471" s="72">
        <v>0</v>
      </c>
    </row>
    <row r="472" spans="1:142" x14ac:dyDescent="0.35">
      <c r="A472" s="59">
        <f>Данные!A472</f>
        <v>4848</v>
      </c>
      <c r="B472" s="59">
        <f>Данные!B472</f>
        <v>2015</v>
      </c>
      <c r="C472" s="59" t="str">
        <f>Данные!C472</f>
        <v>теории права и гражданско-правового образования</v>
      </c>
      <c r="D472" s="59" t="str">
        <f>Данные!D472</f>
        <v>Еремина Нелли Владимировна</v>
      </c>
      <c r="E472" s="59" t="str">
        <f>Данные!E472</f>
        <v>нет</v>
      </c>
      <c r="F472" s="59" t="str">
        <f>Данные!F472</f>
        <v>старший преподаватель</v>
      </c>
      <c r="G472" s="59">
        <f>Данные!G472</f>
        <v>1</v>
      </c>
      <c r="H472" s="59">
        <f>Данные!H472</f>
        <v>14014</v>
      </c>
      <c r="I472" s="59" t="str">
        <f>Данные!I472</f>
        <v>Правоведение</v>
      </c>
      <c r="J472" s="59">
        <f>Данные!J472</f>
        <v>17</v>
      </c>
      <c r="K472" s="59">
        <f>Данные!K472</f>
        <v>17</v>
      </c>
      <c r="L472" s="59">
        <f>Данные!L472</f>
        <v>0</v>
      </c>
      <c r="M472" s="60">
        <f t="shared" si="63"/>
        <v>3.4</v>
      </c>
      <c r="N472" s="60">
        <f t="shared" ca="1" si="64"/>
        <v>6.29</v>
      </c>
      <c r="O472" s="60">
        <f t="shared" ca="1" si="65"/>
        <v>3.25</v>
      </c>
      <c r="P472" s="60">
        <f t="shared" ca="1" si="66"/>
        <v>3.25</v>
      </c>
      <c r="Q472" s="54">
        <f>Данные!Q472</f>
        <v>0</v>
      </c>
      <c r="R472" s="54">
        <f>Данные!R472</f>
        <v>0</v>
      </c>
      <c r="S472" s="54">
        <f>Данные!S472</f>
        <v>0</v>
      </c>
      <c r="T472" s="54">
        <f>Данные!T472</f>
        <v>0</v>
      </c>
      <c r="U472" s="54">
        <f>Данные!U472</f>
        <v>0</v>
      </c>
      <c r="V472" s="54">
        <f>Данные!V472</f>
        <v>0</v>
      </c>
      <c r="W472" s="54">
        <f ca="1">Данные!W472</f>
        <v>13</v>
      </c>
      <c r="X472" s="54" t="str">
        <f ca="1">Данные!X472</f>
        <v>1</v>
      </c>
      <c r="Y472" s="54" t="str">
        <f ca="1">Данные!Y472</f>
        <v>1</v>
      </c>
      <c r="Z472" s="54">
        <f>Данные!Z472</f>
        <v>0</v>
      </c>
      <c r="AA472" s="54" t="str">
        <f>Данные!AA472</f>
        <v>осн</v>
      </c>
      <c r="AB472" s="101">
        <f t="shared" si="67"/>
        <v>850</v>
      </c>
      <c r="AC472" s="101" t="str">
        <f t="shared" si="68"/>
        <v>ИВТ (бак)</v>
      </c>
      <c r="AD472" s="101" t="str">
        <f t="shared" si="69"/>
        <v>2015–2016</v>
      </c>
      <c r="AE472" s="102">
        <f t="shared" ca="1" si="70"/>
        <v>50.19</v>
      </c>
      <c r="AF472" s="103">
        <f t="shared" ca="1" si="71"/>
        <v>5.9047058823529411E-2</v>
      </c>
      <c r="AG472" s="101"/>
      <c r="AH472" s="101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Q472" s="72">
        <v>0</v>
      </c>
      <c r="BR472" s="72">
        <v>0</v>
      </c>
      <c r="BS472" s="72">
        <v>0</v>
      </c>
      <c r="BT472" s="72">
        <v>0</v>
      </c>
      <c r="BU472" s="72">
        <v>0</v>
      </c>
      <c r="BV472" s="72">
        <v>0</v>
      </c>
      <c r="BW472" s="72">
        <v>0</v>
      </c>
      <c r="BX472" s="72">
        <v>0</v>
      </c>
      <c r="BY472" s="72">
        <v>0</v>
      </c>
      <c r="BZ472" s="72">
        <v>0</v>
      </c>
      <c r="CA472" s="72">
        <v>0</v>
      </c>
      <c r="CB472" s="72">
        <v>0</v>
      </c>
      <c r="CC472" s="72">
        <v>0</v>
      </c>
      <c r="CD472" s="72">
        <v>0</v>
      </c>
      <c r="CE472" s="72">
        <v>0</v>
      </c>
      <c r="CF472" s="72">
        <v>0</v>
      </c>
      <c r="CG472" s="72">
        <v>0</v>
      </c>
      <c r="CH472" s="72">
        <v>0</v>
      </c>
      <c r="CI472" s="72">
        <v>0</v>
      </c>
      <c r="CJ472" s="72">
        <v>0</v>
      </c>
      <c r="CK472" s="72">
        <v>0</v>
      </c>
      <c r="CL472" s="72">
        <v>0</v>
      </c>
      <c r="CM472" s="72">
        <v>0</v>
      </c>
      <c r="CN472" s="72">
        <v>0</v>
      </c>
      <c r="CO472" s="72">
        <v>0</v>
      </c>
      <c r="CP472" s="72">
        <v>0</v>
      </c>
      <c r="CQ472" s="72">
        <v>0</v>
      </c>
      <c r="CR472" s="72">
        <v>0</v>
      </c>
      <c r="CS472" s="72">
        <v>0</v>
      </c>
      <c r="CT472" s="72">
        <v>0</v>
      </c>
      <c r="CU472" s="72">
        <v>0</v>
      </c>
      <c r="CV472" s="72">
        <v>0</v>
      </c>
      <c r="CW472" s="72">
        <v>0</v>
      </c>
      <c r="CX472" s="72">
        <v>0</v>
      </c>
      <c r="CY472" s="72">
        <v>0</v>
      </c>
      <c r="CZ472" s="72">
        <v>0</v>
      </c>
      <c r="DA472" s="72">
        <v>0</v>
      </c>
      <c r="DB472" s="72">
        <v>0</v>
      </c>
      <c r="DC472" s="72">
        <v>0</v>
      </c>
      <c r="DD472" s="72">
        <v>0</v>
      </c>
      <c r="DE472" s="72">
        <v>0</v>
      </c>
      <c r="DF472" s="72">
        <v>0</v>
      </c>
      <c r="DG472" s="72">
        <v>0</v>
      </c>
      <c r="DH472" s="72">
        <v>0</v>
      </c>
      <c r="DI472" s="72">
        <v>0</v>
      </c>
      <c r="DJ472" s="72">
        <v>0</v>
      </c>
      <c r="DK472" s="72">
        <v>0</v>
      </c>
      <c r="DL472" s="72">
        <v>0</v>
      </c>
      <c r="DM472" s="72">
        <v>0</v>
      </c>
      <c r="DN472" s="72">
        <v>0</v>
      </c>
      <c r="DO472" s="72">
        <v>0</v>
      </c>
      <c r="DP472" s="72">
        <v>0</v>
      </c>
      <c r="DQ472" s="72">
        <v>0</v>
      </c>
      <c r="DR472" s="72">
        <v>0</v>
      </c>
      <c r="DS472" s="72">
        <v>0</v>
      </c>
      <c r="DT472" s="72">
        <v>0</v>
      </c>
      <c r="DU472" s="72">
        <v>0</v>
      </c>
      <c r="DV472" s="72">
        <v>0</v>
      </c>
      <c r="DW472" s="72">
        <v>0</v>
      </c>
      <c r="DX472" s="72">
        <v>0</v>
      </c>
      <c r="DY472" s="72">
        <v>0</v>
      </c>
      <c r="DZ472" s="72">
        <v>0</v>
      </c>
      <c r="EA472" s="72">
        <v>0</v>
      </c>
      <c r="EB472" s="72">
        <v>0</v>
      </c>
      <c r="EC472" s="72">
        <v>0</v>
      </c>
      <c r="ED472" s="72">
        <v>0</v>
      </c>
      <c r="EE472" s="72">
        <v>0</v>
      </c>
      <c r="EF472" s="72">
        <v>0</v>
      </c>
      <c r="EG472" s="72">
        <v>0</v>
      </c>
      <c r="EH472" s="72">
        <v>0</v>
      </c>
      <c r="EI472" s="72">
        <v>0</v>
      </c>
      <c r="EJ472" s="72">
        <v>0</v>
      </c>
      <c r="EK472" s="72">
        <v>0</v>
      </c>
      <c r="EL472" s="72">
        <v>0</v>
      </c>
    </row>
    <row r="473" spans="1:142" x14ac:dyDescent="0.35">
      <c r="A473" s="59">
        <f>Данные!A473</f>
        <v>4848</v>
      </c>
      <c r="B473" s="59">
        <f>Данные!B473</f>
        <v>2015</v>
      </c>
      <c r="C473" s="59" t="str">
        <f>Данные!C473</f>
        <v>физической электроники</v>
      </c>
      <c r="D473" s="59" t="str">
        <f>Данные!D473</f>
        <v>Серегин Павел Павлович</v>
      </c>
      <c r="E473" s="59" t="str">
        <f>Данные!E473</f>
        <v>доктор физ.-мат. наук</v>
      </c>
      <c r="F473" s="59" t="str">
        <f>Данные!F473</f>
        <v>профессор</v>
      </c>
      <c r="G473" s="59">
        <f>Данные!G473</f>
        <v>1</v>
      </c>
      <c r="H473" s="59">
        <f>Данные!H473</f>
        <v>14014</v>
      </c>
      <c r="I473" s="59" t="str">
        <f>Данные!I473</f>
        <v>Физика</v>
      </c>
      <c r="J473" s="59">
        <f>Данные!J473</f>
        <v>35</v>
      </c>
      <c r="K473" s="59">
        <f>Данные!K473</f>
        <v>0</v>
      </c>
      <c r="L473" s="59">
        <f>Данные!L473</f>
        <v>70</v>
      </c>
      <c r="M473" s="60">
        <f t="shared" si="63"/>
        <v>10.5</v>
      </c>
      <c r="N473" s="60">
        <f t="shared" ca="1" si="64"/>
        <v>6.29</v>
      </c>
      <c r="O473" s="60">
        <f t="shared" ca="1" si="65"/>
        <v>3.25</v>
      </c>
      <c r="P473" s="60">
        <f t="shared" ca="1" si="66"/>
        <v>3.25</v>
      </c>
      <c r="Q473" s="54">
        <f>Данные!Q473</f>
        <v>0</v>
      </c>
      <c r="R473" s="54">
        <f>Данные!R473</f>
        <v>0</v>
      </c>
      <c r="S473" s="54">
        <f>Данные!S473</f>
        <v>0</v>
      </c>
      <c r="T473" s="54">
        <f>Данные!T473</f>
        <v>0</v>
      </c>
      <c r="U473" s="54">
        <f>Данные!U473</f>
        <v>0</v>
      </c>
      <c r="V473" s="54">
        <f>Данные!V473</f>
        <v>0</v>
      </c>
      <c r="W473" s="54">
        <f ca="1">Данные!W473</f>
        <v>13</v>
      </c>
      <c r="X473" s="54" t="str">
        <f ca="1">Данные!X473</f>
        <v>1</v>
      </c>
      <c r="Y473" s="54" t="str">
        <f ca="1">Данные!Y473</f>
        <v>1</v>
      </c>
      <c r="Z473" s="54">
        <f>Данные!Z473</f>
        <v>0</v>
      </c>
      <c r="AA473" s="54" t="str">
        <f>Данные!AA473</f>
        <v>осн</v>
      </c>
      <c r="AB473" s="101">
        <f t="shared" si="67"/>
        <v>750</v>
      </c>
      <c r="AC473" s="101" t="str">
        <f t="shared" si="68"/>
        <v>ИВТ (бак)</v>
      </c>
      <c r="AD473" s="101" t="str">
        <f t="shared" si="69"/>
        <v>2015–2016</v>
      </c>
      <c r="AE473" s="102">
        <f t="shared" ca="1" si="70"/>
        <v>128.29000000000002</v>
      </c>
      <c r="AF473" s="103">
        <f t="shared" ca="1" si="71"/>
        <v>0.17105333333333336</v>
      </c>
      <c r="AG473" s="101"/>
      <c r="AH473" s="101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Q473" s="72">
        <v>0</v>
      </c>
      <c r="BR473" s="72">
        <v>0</v>
      </c>
      <c r="BS473" s="72">
        <v>0</v>
      </c>
      <c r="BT473" s="72">
        <v>0</v>
      </c>
      <c r="BU473" s="72">
        <v>0</v>
      </c>
      <c r="BV473" s="72">
        <v>0</v>
      </c>
      <c r="BW473" s="72">
        <v>0</v>
      </c>
      <c r="BX473" s="72">
        <v>0</v>
      </c>
      <c r="BY473" s="72">
        <v>0</v>
      </c>
      <c r="BZ473" s="72">
        <v>0</v>
      </c>
      <c r="CA473" s="72">
        <v>0</v>
      </c>
      <c r="CB473" s="72">
        <v>0</v>
      </c>
      <c r="CC473" s="72">
        <v>0</v>
      </c>
      <c r="CD473" s="72">
        <v>0</v>
      </c>
      <c r="CE473" s="72">
        <v>0</v>
      </c>
      <c r="CF473" s="72">
        <v>0</v>
      </c>
      <c r="CG473" s="72">
        <v>0</v>
      </c>
      <c r="CH473" s="72">
        <v>0</v>
      </c>
      <c r="CI473" s="72">
        <v>0</v>
      </c>
      <c r="CJ473" s="72">
        <v>0</v>
      </c>
      <c r="CK473" s="72">
        <v>0</v>
      </c>
      <c r="CL473" s="72">
        <v>0</v>
      </c>
      <c r="CM473" s="72">
        <v>0</v>
      </c>
      <c r="CN473" s="72">
        <v>0</v>
      </c>
      <c r="CO473" s="72">
        <v>0</v>
      </c>
      <c r="CP473" s="72">
        <v>0</v>
      </c>
      <c r="CQ473" s="72">
        <v>0</v>
      </c>
      <c r="CR473" s="72">
        <v>0</v>
      </c>
      <c r="CS473" s="72">
        <v>0</v>
      </c>
      <c r="CT473" s="72">
        <v>0</v>
      </c>
      <c r="CU473" s="72">
        <v>0</v>
      </c>
      <c r="CV473" s="72">
        <v>0</v>
      </c>
      <c r="CW473" s="72">
        <v>0</v>
      </c>
      <c r="CX473" s="72">
        <v>0</v>
      </c>
      <c r="CY473" s="72">
        <v>0</v>
      </c>
      <c r="CZ473" s="72">
        <v>0</v>
      </c>
      <c r="DA473" s="72">
        <v>0</v>
      </c>
      <c r="DB473" s="72">
        <v>0</v>
      </c>
      <c r="DC473" s="72">
        <v>0</v>
      </c>
      <c r="DD473" s="72">
        <v>0</v>
      </c>
      <c r="DE473" s="72">
        <v>0</v>
      </c>
      <c r="DF473" s="72">
        <v>0</v>
      </c>
      <c r="DG473" s="72">
        <v>0</v>
      </c>
      <c r="DH473" s="72">
        <v>0</v>
      </c>
      <c r="DI473" s="72">
        <v>0</v>
      </c>
      <c r="DJ473" s="72">
        <v>0</v>
      </c>
      <c r="DK473" s="72">
        <v>0</v>
      </c>
      <c r="DL473" s="72">
        <v>0</v>
      </c>
      <c r="DM473" s="72">
        <v>0</v>
      </c>
      <c r="DN473" s="72">
        <v>0</v>
      </c>
      <c r="DO473" s="72">
        <v>0</v>
      </c>
      <c r="DP473" s="72">
        <v>0</v>
      </c>
      <c r="DQ473" s="72">
        <v>0</v>
      </c>
      <c r="DR473" s="72">
        <v>0</v>
      </c>
      <c r="DS473" s="72">
        <v>0</v>
      </c>
      <c r="DT473" s="72">
        <v>0</v>
      </c>
      <c r="DU473" s="72">
        <v>0</v>
      </c>
      <c r="DV473" s="72">
        <v>0</v>
      </c>
      <c r="DW473" s="72">
        <v>0</v>
      </c>
      <c r="DX473" s="72">
        <v>0</v>
      </c>
      <c r="DY473" s="72">
        <v>0</v>
      </c>
      <c r="DZ473" s="72">
        <v>0</v>
      </c>
      <c r="EA473" s="72">
        <v>0</v>
      </c>
      <c r="EB473" s="72">
        <v>0</v>
      </c>
      <c r="EC473" s="72">
        <v>0</v>
      </c>
      <c r="ED473" s="72">
        <v>0</v>
      </c>
      <c r="EE473" s="72">
        <v>0</v>
      </c>
      <c r="EF473" s="72">
        <v>0</v>
      </c>
      <c r="EG473" s="72">
        <v>0</v>
      </c>
      <c r="EH473" s="72">
        <v>0</v>
      </c>
      <c r="EI473" s="72">
        <v>0</v>
      </c>
      <c r="EJ473" s="72">
        <v>0</v>
      </c>
      <c r="EK473" s="72">
        <v>0</v>
      </c>
      <c r="EL473" s="72">
        <v>0</v>
      </c>
    </row>
    <row r="474" spans="1:142" x14ac:dyDescent="0.35">
      <c r="A474" s="59">
        <f>Данные!A474</f>
        <v>4848</v>
      </c>
      <c r="B474" s="59">
        <f>Данные!B474</f>
        <v>2015</v>
      </c>
      <c r="C474" s="59" t="str">
        <f>Данные!C474</f>
        <v>экономической теории и экономического образования</v>
      </c>
      <c r="D474" s="59" t="str">
        <f>Данные!D474</f>
        <v>Бендюкова Татьяна Савельевна</v>
      </c>
      <c r="E474" s="59" t="str">
        <f>Данные!E474</f>
        <v>кандидат педагогических наук</v>
      </c>
      <c r="F474" s="59" t="str">
        <f>Данные!F474</f>
        <v>доцент</v>
      </c>
      <c r="G474" s="59">
        <f>Данные!G474</f>
        <v>0.25</v>
      </c>
      <c r="H474" s="59">
        <f>Данные!H474</f>
        <v>14014</v>
      </c>
      <c r="I474" s="59" t="str">
        <f>Данные!I474</f>
        <v>Экономика</v>
      </c>
      <c r="J474" s="59">
        <f>Данные!J474</f>
        <v>17</v>
      </c>
      <c r="K474" s="59">
        <f>Данные!K474</f>
        <v>17</v>
      </c>
      <c r="L474" s="59">
        <f>Данные!L474</f>
        <v>0</v>
      </c>
      <c r="M474" s="60">
        <f t="shared" si="63"/>
        <v>3.4</v>
      </c>
      <c r="N474" s="60">
        <f t="shared" ca="1" si="64"/>
        <v>6.29</v>
      </c>
      <c r="O474" s="60">
        <f t="shared" ca="1" si="65"/>
        <v>3.25</v>
      </c>
      <c r="P474" s="60">
        <f t="shared" ca="1" si="66"/>
        <v>3.25</v>
      </c>
      <c r="Q474" s="54">
        <f>Данные!Q474</f>
        <v>0</v>
      </c>
      <c r="R474" s="54">
        <f>Данные!R474</f>
        <v>0</v>
      </c>
      <c r="S474" s="54">
        <f>Данные!S474</f>
        <v>0</v>
      </c>
      <c r="T474" s="54">
        <f>Данные!T474</f>
        <v>0</v>
      </c>
      <c r="U474" s="54">
        <f>Данные!U474</f>
        <v>0</v>
      </c>
      <c r="V474" s="54">
        <f>Данные!V474</f>
        <v>0</v>
      </c>
      <c r="W474" s="54">
        <f ca="1">Данные!W474</f>
        <v>13</v>
      </c>
      <c r="X474" s="54" t="str">
        <f ca="1">Данные!X474</f>
        <v>1</v>
      </c>
      <c r="Y474" s="54" t="str">
        <f ca="1">Данные!Y474</f>
        <v>1</v>
      </c>
      <c r="Z474" s="54">
        <f>Данные!Z474</f>
        <v>0</v>
      </c>
      <c r="AA474" s="54">
        <f>Данные!AA474</f>
        <v>0</v>
      </c>
      <c r="AB474" s="101">
        <f t="shared" si="67"/>
        <v>800</v>
      </c>
      <c r="AC474" s="101" t="str">
        <f t="shared" si="68"/>
        <v>ИВТ (бак)</v>
      </c>
      <c r="AD474" s="101" t="str">
        <f t="shared" si="69"/>
        <v>2015–2016</v>
      </c>
      <c r="AE474" s="102">
        <f t="shared" ca="1" si="70"/>
        <v>50.19</v>
      </c>
      <c r="AF474" s="103">
        <f t="shared" ca="1" si="71"/>
        <v>6.2737500000000002E-2</v>
      </c>
      <c r="AG474" s="101"/>
      <c r="AH474" s="101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Q474" s="72">
        <v>0</v>
      </c>
      <c r="BR474" s="72">
        <v>0</v>
      </c>
      <c r="BS474" s="72">
        <v>0</v>
      </c>
      <c r="BT474" s="72">
        <v>0</v>
      </c>
      <c r="BU474" s="72">
        <v>0</v>
      </c>
      <c r="BV474" s="72">
        <v>0</v>
      </c>
      <c r="BW474" s="72">
        <v>0</v>
      </c>
      <c r="BX474" s="72">
        <v>0</v>
      </c>
      <c r="BY474" s="72">
        <v>0</v>
      </c>
      <c r="BZ474" s="72">
        <v>0</v>
      </c>
      <c r="CA474" s="72">
        <v>0</v>
      </c>
      <c r="CB474" s="72">
        <v>0</v>
      </c>
      <c r="CC474" s="72">
        <v>0</v>
      </c>
      <c r="CD474" s="72">
        <v>0</v>
      </c>
      <c r="CE474" s="72">
        <v>0</v>
      </c>
      <c r="CF474" s="72">
        <v>0</v>
      </c>
      <c r="CG474" s="72">
        <v>0</v>
      </c>
      <c r="CH474" s="72">
        <v>0</v>
      </c>
      <c r="CI474" s="72">
        <v>0</v>
      </c>
      <c r="CJ474" s="72">
        <v>0</v>
      </c>
      <c r="CK474" s="72">
        <v>0</v>
      </c>
      <c r="CL474" s="72">
        <v>0</v>
      </c>
      <c r="CM474" s="72">
        <v>0</v>
      </c>
      <c r="CN474" s="72">
        <v>0</v>
      </c>
      <c r="CO474" s="72">
        <v>0</v>
      </c>
      <c r="CP474" s="72">
        <v>0</v>
      </c>
      <c r="CQ474" s="72">
        <v>0</v>
      </c>
      <c r="CR474" s="72">
        <v>0</v>
      </c>
      <c r="CS474" s="72">
        <v>0</v>
      </c>
      <c r="CT474" s="72">
        <v>0</v>
      </c>
      <c r="CU474" s="72">
        <v>0</v>
      </c>
      <c r="CV474" s="72">
        <v>0</v>
      </c>
      <c r="CW474" s="72">
        <v>0</v>
      </c>
      <c r="CX474" s="72">
        <v>0</v>
      </c>
      <c r="CY474" s="72">
        <v>0</v>
      </c>
      <c r="CZ474" s="72">
        <v>0</v>
      </c>
      <c r="DA474" s="72">
        <v>0</v>
      </c>
      <c r="DB474" s="72">
        <v>0</v>
      </c>
      <c r="DC474" s="72">
        <v>0</v>
      </c>
      <c r="DD474" s="72">
        <v>0</v>
      </c>
      <c r="DE474" s="72">
        <v>0</v>
      </c>
      <c r="DF474" s="72">
        <v>0</v>
      </c>
      <c r="DG474" s="72">
        <v>0</v>
      </c>
      <c r="DH474" s="72">
        <v>0</v>
      </c>
      <c r="DI474" s="72">
        <v>0</v>
      </c>
      <c r="DJ474" s="72">
        <v>0</v>
      </c>
      <c r="DK474" s="72">
        <v>0</v>
      </c>
      <c r="DL474" s="72">
        <v>0</v>
      </c>
      <c r="DM474" s="72">
        <v>0</v>
      </c>
      <c r="DN474" s="72">
        <v>0</v>
      </c>
      <c r="DO474" s="72">
        <v>0</v>
      </c>
      <c r="DP474" s="72">
        <v>0</v>
      </c>
      <c r="DQ474" s="72">
        <v>0</v>
      </c>
      <c r="DR474" s="72">
        <v>0</v>
      </c>
      <c r="DS474" s="72">
        <v>0</v>
      </c>
      <c r="DT474" s="72">
        <v>0</v>
      </c>
      <c r="DU474" s="72">
        <v>0</v>
      </c>
      <c r="DV474" s="72">
        <v>0</v>
      </c>
      <c r="DW474" s="72">
        <v>0</v>
      </c>
      <c r="DX474" s="72">
        <v>0</v>
      </c>
      <c r="DY474" s="72">
        <v>0</v>
      </c>
      <c r="DZ474" s="72">
        <v>0</v>
      </c>
      <c r="EA474" s="72">
        <v>0</v>
      </c>
      <c r="EB474" s="72">
        <v>0</v>
      </c>
      <c r="EC474" s="72">
        <v>0</v>
      </c>
      <c r="ED474" s="72">
        <v>0</v>
      </c>
      <c r="EE474" s="72">
        <v>0</v>
      </c>
      <c r="EF474" s="72">
        <v>0</v>
      </c>
      <c r="EG474" s="72">
        <v>0</v>
      </c>
      <c r="EH474" s="72">
        <v>0</v>
      </c>
      <c r="EI474" s="72">
        <v>0</v>
      </c>
      <c r="EJ474" s="72">
        <v>0</v>
      </c>
      <c r="EK474" s="72">
        <v>0</v>
      </c>
      <c r="EL474" s="72">
        <v>0</v>
      </c>
    </row>
    <row r="475" spans="1:142" x14ac:dyDescent="0.35">
      <c r="A475" s="59">
        <f>Данные!A475</f>
        <v>4848</v>
      </c>
      <c r="B475" s="59">
        <f>Данные!B475</f>
        <v>2016</v>
      </c>
      <c r="C475" s="59" t="str">
        <f>Данные!C475</f>
        <v>всеобщей истории</v>
      </c>
      <c r="D475" s="59" t="str">
        <f>Данные!D475</f>
        <v>Земляницин Владимир Александрович</v>
      </c>
      <c r="E475" s="59" t="str">
        <f>Данные!E475</f>
        <v>кандидат исторических наук</v>
      </c>
      <c r="F475" s="59" t="str">
        <f>Данные!F475</f>
        <v>доцент</v>
      </c>
      <c r="G475" s="59">
        <f>Данные!G475</f>
        <v>1</v>
      </c>
      <c r="H475" s="59">
        <f>Данные!H475</f>
        <v>15377</v>
      </c>
      <c r="I475" s="59" t="str">
        <f>Данные!I475</f>
        <v>Общеуниверситетский курс по выбору № 1. События всемирной истории в мировой литературе</v>
      </c>
      <c r="J475" s="59">
        <f>Данные!J475</f>
        <v>17</v>
      </c>
      <c r="K475" s="59">
        <f>Данные!K475</f>
        <v>0</v>
      </c>
      <c r="L475" s="59">
        <f>Данные!L475</f>
        <v>0</v>
      </c>
      <c r="M475" s="60">
        <f t="shared" si="63"/>
        <v>1.7</v>
      </c>
      <c r="N475" s="60">
        <f t="shared" ca="1" si="64"/>
        <v>6.29</v>
      </c>
      <c r="O475" s="60">
        <f t="shared" ca="1" si="65"/>
        <v>3.25</v>
      </c>
      <c r="P475" s="60">
        <f t="shared" ca="1" si="66"/>
        <v>3.25</v>
      </c>
      <c r="Q475" s="54">
        <f>Данные!Q475</f>
        <v>0</v>
      </c>
      <c r="R475" s="54">
        <f>Данные!R475</f>
        <v>0</v>
      </c>
      <c r="S475" s="54">
        <f>Данные!S475</f>
        <v>0</v>
      </c>
      <c r="T475" s="54">
        <f>Данные!T475</f>
        <v>0</v>
      </c>
      <c r="U475" s="54">
        <f>Данные!U475</f>
        <v>0</v>
      </c>
      <c r="V475" s="54">
        <f>Данные!V475</f>
        <v>0</v>
      </c>
      <c r="W475" s="54">
        <f ca="1">Данные!W475</f>
        <v>13</v>
      </c>
      <c r="X475" s="54" t="str">
        <f ca="1">Данные!X475</f>
        <v>1</v>
      </c>
      <c r="Y475" s="54" t="str">
        <f ca="1">Данные!Y475</f>
        <v>1</v>
      </c>
      <c r="Z475" s="54">
        <f>Данные!Z475</f>
        <v>0</v>
      </c>
      <c r="AA475" s="54" t="str">
        <f>Данные!AA475</f>
        <v>осн</v>
      </c>
      <c r="AB475" s="101">
        <f t="shared" si="67"/>
        <v>800</v>
      </c>
      <c r="AC475" s="101" t="str">
        <f t="shared" si="68"/>
        <v>ИВТ (бак)</v>
      </c>
      <c r="AD475" s="101" t="str">
        <f t="shared" si="69"/>
        <v/>
      </c>
      <c r="AE475" s="102">
        <f t="shared" ca="1" si="70"/>
        <v>31.49</v>
      </c>
      <c r="AF475" s="103">
        <f t="shared" ca="1" si="71"/>
        <v>3.9362499999999995E-2</v>
      </c>
      <c r="AG475" s="101"/>
      <c r="AH475" s="101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Q475" s="72">
        <v>0</v>
      </c>
      <c r="BR475" s="72">
        <v>0</v>
      </c>
      <c r="BS475" s="72">
        <v>0</v>
      </c>
      <c r="BT475" s="72">
        <v>0</v>
      </c>
      <c r="BU475" s="72">
        <v>0</v>
      </c>
      <c r="BV475" s="72">
        <v>0</v>
      </c>
      <c r="BW475" s="72">
        <v>0</v>
      </c>
      <c r="BX475" s="72">
        <v>0</v>
      </c>
      <c r="BY475" s="72">
        <v>0</v>
      </c>
      <c r="BZ475" s="72">
        <v>0</v>
      </c>
      <c r="CA475" s="72">
        <v>0</v>
      </c>
      <c r="CB475" s="72">
        <v>0</v>
      </c>
      <c r="CC475" s="72">
        <v>0</v>
      </c>
      <c r="CD475" s="72">
        <v>0</v>
      </c>
      <c r="CE475" s="72">
        <v>0</v>
      </c>
      <c r="CF475" s="72">
        <v>0</v>
      </c>
      <c r="CG475" s="72">
        <v>0</v>
      </c>
      <c r="CH475" s="72">
        <v>0</v>
      </c>
      <c r="CI475" s="72">
        <v>0</v>
      </c>
      <c r="CJ475" s="72">
        <v>0</v>
      </c>
      <c r="CK475" s="72">
        <v>0</v>
      </c>
      <c r="CL475" s="72">
        <v>0</v>
      </c>
      <c r="CM475" s="72">
        <v>0</v>
      </c>
      <c r="CN475" s="72">
        <v>0</v>
      </c>
      <c r="CO475" s="72">
        <v>0</v>
      </c>
      <c r="CP475" s="72">
        <v>0</v>
      </c>
      <c r="CQ475" s="72">
        <v>0</v>
      </c>
      <c r="CR475" s="72">
        <v>0</v>
      </c>
      <c r="CS475" s="72">
        <v>0</v>
      </c>
      <c r="CT475" s="72">
        <v>0</v>
      </c>
      <c r="CU475" s="72">
        <v>0</v>
      </c>
      <c r="CV475" s="72">
        <v>0</v>
      </c>
      <c r="CW475" s="72">
        <v>0</v>
      </c>
      <c r="CX475" s="72">
        <v>0</v>
      </c>
      <c r="CY475" s="72">
        <v>0</v>
      </c>
      <c r="CZ475" s="72">
        <v>0</v>
      </c>
      <c r="DA475" s="72">
        <v>0</v>
      </c>
      <c r="DB475" s="72">
        <v>0</v>
      </c>
      <c r="DC475" s="72">
        <v>0</v>
      </c>
      <c r="DD475" s="72">
        <v>0</v>
      </c>
      <c r="DE475" s="72">
        <v>0</v>
      </c>
      <c r="DF475" s="72">
        <v>0</v>
      </c>
      <c r="DG475" s="72">
        <v>0</v>
      </c>
      <c r="DH475" s="72">
        <v>0</v>
      </c>
      <c r="DI475" s="72">
        <v>0</v>
      </c>
      <c r="DJ475" s="72">
        <v>0</v>
      </c>
      <c r="DK475" s="72">
        <v>0</v>
      </c>
      <c r="DL475" s="72">
        <v>0</v>
      </c>
      <c r="DM475" s="72">
        <v>0</v>
      </c>
      <c r="DN475" s="72">
        <v>0</v>
      </c>
      <c r="DO475" s="72">
        <v>0</v>
      </c>
      <c r="DP475" s="72">
        <v>0</v>
      </c>
      <c r="DQ475" s="72">
        <v>0</v>
      </c>
      <c r="DR475" s="72">
        <v>0</v>
      </c>
      <c r="DS475" s="72">
        <v>0</v>
      </c>
      <c r="DT475" s="72">
        <v>0</v>
      </c>
      <c r="DU475" s="72">
        <v>0</v>
      </c>
      <c r="DV475" s="72">
        <v>0</v>
      </c>
      <c r="DW475" s="72">
        <v>0</v>
      </c>
      <c r="DX475" s="72">
        <v>0</v>
      </c>
      <c r="DY475" s="72">
        <v>0</v>
      </c>
      <c r="DZ475" s="72">
        <v>0</v>
      </c>
      <c r="EA475" s="72">
        <v>0</v>
      </c>
      <c r="EB475" s="72">
        <v>0</v>
      </c>
      <c r="EC475" s="72">
        <v>0</v>
      </c>
      <c r="ED475" s="72">
        <v>0</v>
      </c>
      <c r="EE475" s="72">
        <v>0</v>
      </c>
      <c r="EF475" s="72">
        <v>0</v>
      </c>
      <c r="EG475" s="72">
        <v>0</v>
      </c>
      <c r="EH475" s="72">
        <v>0</v>
      </c>
      <c r="EI475" s="72">
        <v>0</v>
      </c>
      <c r="EJ475" s="72">
        <v>0</v>
      </c>
      <c r="EK475" s="72">
        <v>0</v>
      </c>
      <c r="EL475" s="72">
        <v>0</v>
      </c>
    </row>
    <row r="476" spans="1:142" x14ac:dyDescent="0.35">
      <c r="A476" s="59">
        <f>Данные!A476</f>
        <v>4848</v>
      </c>
      <c r="B476" s="59">
        <f>Данные!B476</f>
        <v>2016</v>
      </c>
      <c r="C476" s="59" t="str">
        <f>Данные!C476</f>
        <v>всеобщей истории</v>
      </c>
      <c r="D476" s="59" t="str">
        <f>Данные!D476</f>
        <v>Райкова Вера Алексеевна</v>
      </c>
      <c r="E476" s="59" t="str">
        <f>Данные!E476</f>
        <v>кандидат исторических наук</v>
      </c>
      <c r="F476" s="59" t="str">
        <f>Данные!F476</f>
        <v>доцент</v>
      </c>
      <c r="G476" s="59">
        <f>Данные!G476</f>
        <v>1</v>
      </c>
      <c r="H476" s="59">
        <f>Данные!H476</f>
        <v>15377</v>
      </c>
      <c r="I476" s="59" t="str">
        <f>Данные!I476</f>
        <v>Общеуниверситетский курс по выбору № 2. История общественных движений новейшего времени</v>
      </c>
      <c r="J476" s="59">
        <f>Данные!J476</f>
        <v>17</v>
      </c>
      <c r="K476" s="59">
        <f>Данные!K476</f>
        <v>0</v>
      </c>
      <c r="L476" s="59">
        <f>Данные!L476</f>
        <v>0</v>
      </c>
      <c r="M476" s="60">
        <f t="shared" si="63"/>
        <v>1.7</v>
      </c>
      <c r="N476" s="60">
        <f t="shared" ca="1" si="64"/>
        <v>6.29</v>
      </c>
      <c r="O476" s="60">
        <f t="shared" ca="1" si="65"/>
        <v>3.25</v>
      </c>
      <c r="P476" s="60">
        <f t="shared" ca="1" si="66"/>
        <v>3.25</v>
      </c>
      <c r="Q476" s="54">
        <f>Данные!Q476</f>
        <v>0</v>
      </c>
      <c r="R476" s="54">
        <f>Данные!R476</f>
        <v>0</v>
      </c>
      <c r="S476" s="54">
        <f>Данные!S476</f>
        <v>0</v>
      </c>
      <c r="T476" s="54">
        <f>Данные!T476</f>
        <v>0</v>
      </c>
      <c r="U476" s="54">
        <f>Данные!U476</f>
        <v>0</v>
      </c>
      <c r="V476" s="54">
        <f>Данные!V476</f>
        <v>0</v>
      </c>
      <c r="W476" s="54">
        <f ca="1">Данные!W476</f>
        <v>13</v>
      </c>
      <c r="X476" s="54" t="str">
        <f ca="1">Данные!X476</f>
        <v>1</v>
      </c>
      <c r="Y476" s="54" t="str">
        <f ca="1">Данные!Y476</f>
        <v>1</v>
      </c>
      <c r="Z476" s="54">
        <f>Данные!Z476</f>
        <v>0</v>
      </c>
      <c r="AA476" s="54" t="str">
        <f>Данные!AA476</f>
        <v>осн</v>
      </c>
      <c r="AB476" s="101">
        <f t="shared" si="67"/>
        <v>800</v>
      </c>
      <c r="AC476" s="101" t="str">
        <f t="shared" si="68"/>
        <v>ИВТ (бак)</v>
      </c>
      <c r="AD476" s="101" t="str">
        <f t="shared" si="69"/>
        <v/>
      </c>
      <c r="AE476" s="102">
        <f t="shared" ca="1" si="70"/>
        <v>31.49</v>
      </c>
      <c r="AF476" s="103">
        <f t="shared" ca="1" si="71"/>
        <v>3.9362499999999995E-2</v>
      </c>
      <c r="AG476" s="101"/>
      <c r="AH476" s="101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Q476" s="72">
        <v>0</v>
      </c>
      <c r="BR476" s="72">
        <v>0</v>
      </c>
      <c r="BS476" s="72">
        <v>0</v>
      </c>
      <c r="BT476" s="72">
        <v>0</v>
      </c>
      <c r="BU476" s="72">
        <v>0</v>
      </c>
      <c r="BV476" s="72">
        <v>0</v>
      </c>
      <c r="BW476" s="72">
        <v>0</v>
      </c>
      <c r="BX476" s="72">
        <v>0</v>
      </c>
      <c r="BY476" s="72">
        <v>0</v>
      </c>
      <c r="BZ476" s="72">
        <v>0</v>
      </c>
      <c r="CA476" s="72">
        <v>0</v>
      </c>
      <c r="CB476" s="72">
        <v>0</v>
      </c>
      <c r="CC476" s="72">
        <v>0</v>
      </c>
      <c r="CD476" s="72">
        <v>0</v>
      </c>
      <c r="CE476" s="72">
        <v>0</v>
      </c>
      <c r="CF476" s="72">
        <v>0</v>
      </c>
      <c r="CG476" s="72">
        <v>0</v>
      </c>
      <c r="CH476" s="72">
        <v>0</v>
      </c>
      <c r="CI476" s="72">
        <v>0</v>
      </c>
      <c r="CJ476" s="72">
        <v>0</v>
      </c>
      <c r="CK476" s="72">
        <v>0</v>
      </c>
      <c r="CL476" s="72">
        <v>0</v>
      </c>
      <c r="CM476" s="72">
        <v>0</v>
      </c>
      <c r="CN476" s="72">
        <v>0</v>
      </c>
      <c r="CO476" s="72">
        <v>0</v>
      </c>
      <c r="CP476" s="72">
        <v>0</v>
      </c>
      <c r="CQ476" s="72">
        <v>0</v>
      </c>
      <c r="CR476" s="72">
        <v>0</v>
      </c>
      <c r="CS476" s="72">
        <v>0</v>
      </c>
      <c r="CT476" s="72">
        <v>0</v>
      </c>
      <c r="CU476" s="72">
        <v>0</v>
      </c>
      <c r="CV476" s="72">
        <v>0</v>
      </c>
      <c r="CW476" s="72">
        <v>0</v>
      </c>
      <c r="CX476" s="72">
        <v>0</v>
      </c>
      <c r="CY476" s="72">
        <v>0</v>
      </c>
      <c r="CZ476" s="72">
        <v>0</v>
      </c>
      <c r="DA476" s="72">
        <v>0</v>
      </c>
      <c r="DB476" s="72">
        <v>0</v>
      </c>
      <c r="DC476" s="72">
        <v>0</v>
      </c>
      <c r="DD476" s="72">
        <v>0</v>
      </c>
      <c r="DE476" s="72">
        <v>0</v>
      </c>
      <c r="DF476" s="72">
        <v>0</v>
      </c>
      <c r="DG476" s="72">
        <v>0</v>
      </c>
      <c r="DH476" s="72">
        <v>0</v>
      </c>
      <c r="DI476" s="72">
        <v>0</v>
      </c>
      <c r="DJ476" s="72">
        <v>0</v>
      </c>
      <c r="DK476" s="72">
        <v>0</v>
      </c>
      <c r="DL476" s="72">
        <v>0</v>
      </c>
      <c r="DM476" s="72">
        <v>0</v>
      </c>
      <c r="DN476" s="72">
        <v>0</v>
      </c>
      <c r="DO476" s="72">
        <v>0</v>
      </c>
      <c r="DP476" s="72">
        <v>0</v>
      </c>
      <c r="DQ476" s="72">
        <v>0</v>
      </c>
      <c r="DR476" s="72">
        <v>0</v>
      </c>
      <c r="DS476" s="72">
        <v>0</v>
      </c>
      <c r="DT476" s="72">
        <v>0</v>
      </c>
      <c r="DU476" s="72">
        <v>0</v>
      </c>
      <c r="DV476" s="72">
        <v>0</v>
      </c>
      <c r="DW476" s="72">
        <v>0</v>
      </c>
      <c r="DX476" s="72">
        <v>0</v>
      </c>
      <c r="DY476" s="72">
        <v>0</v>
      </c>
      <c r="DZ476" s="72">
        <v>0</v>
      </c>
      <c r="EA476" s="72">
        <v>0</v>
      </c>
      <c r="EB476" s="72">
        <v>0</v>
      </c>
      <c r="EC476" s="72">
        <v>0</v>
      </c>
      <c r="ED476" s="72">
        <v>0</v>
      </c>
      <c r="EE476" s="72">
        <v>0</v>
      </c>
      <c r="EF476" s="72">
        <v>0</v>
      </c>
      <c r="EG476" s="72">
        <v>0</v>
      </c>
      <c r="EH476" s="72">
        <v>0</v>
      </c>
      <c r="EI476" s="72">
        <v>0</v>
      </c>
      <c r="EJ476" s="72">
        <v>0</v>
      </c>
      <c r="EK476" s="72">
        <v>0</v>
      </c>
      <c r="EL476" s="72">
        <v>0</v>
      </c>
    </row>
    <row r="477" spans="1:142" x14ac:dyDescent="0.35">
      <c r="A477" s="59">
        <f>Данные!A477</f>
        <v>4848</v>
      </c>
      <c r="B477" s="59">
        <f>Данные!B477</f>
        <v>2016</v>
      </c>
      <c r="C477" s="59" t="str">
        <f>Данные!C477</f>
        <v>современных европейских языков</v>
      </c>
      <c r="D477" s="59" t="str">
        <f>Данные!D477</f>
        <v>Кузнецова Надежда Леонидовна</v>
      </c>
      <c r="E477" s="59" t="str">
        <f>Данные!E477</f>
        <v>нет</v>
      </c>
      <c r="F477" s="59" t="str">
        <f>Данные!F477</f>
        <v>старший преподаватель</v>
      </c>
      <c r="G477" s="59">
        <f>Данные!G477</f>
        <v>1</v>
      </c>
      <c r="H477" s="59">
        <f>Данные!H477</f>
        <v>15377</v>
      </c>
      <c r="I477" s="59" t="str">
        <f>Данные!I477</f>
        <v>Практический курс профессионально-ориентированного перевода</v>
      </c>
      <c r="J477" s="59">
        <f>Данные!J477</f>
        <v>0</v>
      </c>
      <c r="K477" s="59">
        <f>Данные!K477</f>
        <v>0</v>
      </c>
      <c r="L477" s="59">
        <f>Данные!L477</f>
        <v>54</v>
      </c>
      <c r="M477" s="60">
        <f t="shared" si="63"/>
        <v>5.4</v>
      </c>
      <c r="N477" s="60">
        <f t="shared" ca="1" si="64"/>
        <v>6.29</v>
      </c>
      <c r="O477" s="60">
        <f t="shared" ca="1" si="65"/>
        <v>3.25</v>
      </c>
      <c r="P477" s="60">
        <f t="shared" ca="1" si="66"/>
        <v>3.25</v>
      </c>
      <c r="Q477" s="54">
        <f>Данные!Q477</f>
        <v>0</v>
      </c>
      <c r="R477" s="54">
        <f>Данные!R477</f>
        <v>0</v>
      </c>
      <c r="S477" s="54">
        <f>Данные!S477</f>
        <v>0</v>
      </c>
      <c r="T477" s="54">
        <f>Данные!T477</f>
        <v>0</v>
      </c>
      <c r="U477" s="54">
        <f>Данные!U477</f>
        <v>0</v>
      </c>
      <c r="V477" s="54">
        <f>Данные!V477</f>
        <v>0</v>
      </c>
      <c r="W477" s="54">
        <f ca="1">Данные!W477</f>
        <v>13</v>
      </c>
      <c r="X477" s="54" t="str">
        <f ca="1">Данные!X477</f>
        <v>1</v>
      </c>
      <c r="Y477" s="54" t="str">
        <f ca="1">Данные!Y477</f>
        <v>1</v>
      </c>
      <c r="Z477" s="54">
        <f>Данные!Z477</f>
        <v>0</v>
      </c>
      <c r="AA477" s="54" t="str">
        <f>Данные!AA477</f>
        <v>осн</v>
      </c>
      <c r="AB477" s="101">
        <f t="shared" si="67"/>
        <v>850</v>
      </c>
      <c r="AC477" s="101" t="str">
        <f t="shared" si="68"/>
        <v>ИВТ (бак)</v>
      </c>
      <c r="AD477" s="101" t="str">
        <f t="shared" si="69"/>
        <v/>
      </c>
      <c r="AE477" s="102">
        <f t="shared" ca="1" si="70"/>
        <v>72.19</v>
      </c>
      <c r="AF477" s="103">
        <f t="shared" ca="1" si="71"/>
        <v>8.4929411764705878E-2</v>
      </c>
      <c r="AG477" s="101"/>
      <c r="AH477" s="101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Q477" s="72">
        <v>0</v>
      </c>
      <c r="BR477" s="72">
        <v>0</v>
      </c>
      <c r="BS477" s="72">
        <v>0</v>
      </c>
      <c r="BT477" s="72">
        <v>0</v>
      </c>
      <c r="BU477" s="72">
        <v>0</v>
      </c>
      <c r="BV477" s="72">
        <v>0</v>
      </c>
      <c r="BW477" s="72">
        <v>0</v>
      </c>
      <c r="BX477" s="72">
        <v>0</v>
      </c>
      <c r="BY477" s="72">
        <v>0</v>
      </c>
      <c r="BZ477" s="72">
        <v>0</v>
      </c>
      <c r="CA477" s="72">
        <v>0</v>
      </c>
      <c r="CB477" s="72">
        <v>0</v>
      </c>
      <c r="CC477" s="72">
        <v>0</v>
      </c>
      <c r="CD477" s="72">
        <v>0</v>
      </c>
      <c r="CE477" s="72">
        <v>0</v>
      </c>
      <c r="CF477" s="72">
        <v>0</v>
      </c>
      <c r="CG477" s="72">
        <v>0</v>
      </c>
      <c r="CH477" s="72">
        <v>0</v>
      </c>
      <c r="CI477" s="72">
        <v>0</v>
      </c>
      <c r="CJ477" s="72">
        <v>0</v>
      </c>
      <c r="CK477" s="72">
        <v>0</v>
      </c>
      <c r="CL477" s="72">
        <v>0</v>
      </c>
      <c r="CM477" s="72">
        <v>0</v>
      </c>
      <c r="CN477" s="72">
        <v>0</v>
      </c>
      <c r="CO477" s="72">
        <v>0</v>
      </c>
      <c r="CP477" s="72">
        <v>0</v>
      </c>
      <c r="CQ477" s="72">
        <v>0</v>
      </c>
      <c r="CR477" s="72">
        <v>0</v>
      </c>
      <c r="CS477" s="72">
        <v>0</v>
      </c>
      <c r="CT477" s="72">
        <v>0</v>
      </c>
      <c r="CU477" s="72">
        <v>0</v>
      </c>
      <c r="CV477" s="72">
        <v>0</v>
      </c>
      <c r="CW477" s="72">
        <v>0</v>
      </c>
      <c r="CX477" s="72">
        <v>0</v>
      </c>
      <c r="CY477" s="72">
        <v>0</v>
      </c>
      <c r="CZ477" s="72">
        <v>0</v>
      </c>
      <c r="DA477" s="72">
        <v>0</v>
      </c>
      <c r="DB477" s="72">
        <v>0</v>
      </c>
      <c r="DC477" s="72">
        <v>0</v>
      </c>
      <c r="DD477" s="72">
        <v>0</v>
      </c>
      <c r="DE477" s="72">
        <v>0</v>
      </c>
      <c r="DF477" s="72">
        <v>0</v>
      </c>
      <c r="DG477" s="72">
        <v>0</v>
      </c>
      <c r="DH477" s="72">
        <v>0</v>
      </c>
      <c r="DI477" s="72">
        <v>0</v>
      </c>
      <c r="DJ477" s="72">
        <v>0</v>
      </c>
      <c r="DK477" s="72">
        <v>0</v>
      </c>
      <c r="DL477" s="72">
        <v>0</v>
      </c>
      <c r="DM477" s="72">
        <v>0</v>
      </c>
      <c r="DN477" s="72">
        <v>0</v>
      </c>
      <c r="DO477" s="72">
        <v>0</v>
      </c>
      <c r="DP477" s="72">
        <v>0</v>
      </c>
      <c r="DQ477" s="72">
        <v>0</v>
      </c>
      <c r="DR477" s="72">
        <v>0</v>
      </c>
      <c r="DS477" s="72">
        <v>0</v>
      </c>
      <c r="DT477" s="72">
        <v>0</v>
      </c>
      <c r="DU477" s="72">
        <v>0</v>
      </c>
      <c r="DV477" s="72">
        <v>0</v>
      </c>
      <c r="DW477" s="72">
        <v>0</v>
      </c>
      <c r="DX477" s="72">
        <v>0</v>
      </c>
      <c r="DY477" s="72">
        <v>0</v>
      </c>
      <c r="DZ477" s="72">
        <v>0</v>
      </c>
      <c r="EA477" s="72">
        <v>0</v>
      </c>
      <c r="EB477" s="72">
        <v>0</v>
      </c>
      <c r="EC477" s="72">
        <v>0</v>
      </c>
      <c r="ED477" s="72">
        <v>0</v>
      </c>
      <c r="EE477" s="72">
        <v>0</v>
      </c>
      <c r="EF477" s="72">
        <v>0</v>
      </c>
      <c r="EG477" s="72">
        <v>0</v>
      </c>
      <c r="EH477" s="72">
        <v>0</v>
      </c>
      <c r="EI477" s="72">
        <v>0</v>
      </c>
      <c r="EJ477" s="72">
        <v>0</v>
      </c>
      <c r="EK477" s="72">
        <v>0</v>
      </c>
      <c r="EL477" s="72">
        <v>0</v>
      </c>
    </row>
    <row r="478" spans="1:142" x14ac:dyDescent="0.35">
      <c r="A478" s="59">
        <f>Данные!A478</f>
        <v>4848</v>
      </c>
      <c r="B478" s="59">
        <f>Данные!B478</f>
        <v>2016</v>
      </c>
      <c r="C478" s="59" t="str">
        <f>Данные!C478</f>
        <v>современных европейских языков</v>
      </c>
      <c r="D478" s="59" t="str">
        <f>Данные!D478</f>
        <v>Кузнецова Надежда Леонидовна</v>
      </c>
      <c r="E478" s="59" t="str">
        <f>Данные!E478</f>
        <v>нет</v>
      </c>
      <c r="F478" s="59" t="str">
        <f>Данные!F478</f>
        <v>старший преподаватель</v>
      </c>
      <c r="G478" s="59">
        <f>Данные!G478</f>
        <v>1</v>
      </c>
      <c r="H478" s="59">
        <f>Данные!H478</f>
        <v>15377</v>
      </c>
      <c r="I478" s="59" t="str">
        <f>Данные!I478</f>
        <v>Специальная лексика в сфере профессиональной коммуникации</v>
      </c>
      <c r="J478" s="59">
        <f>Данные!J478</f>
        <v>0</v>
      </c>
      <c r="K478" s="59">
        <f>Данные!K478</f>
        <v>0</v>
      </c>
      <c r="L478" s="59">
        <f>Данные!L478</f>
        <v>36</v>
      </c>
      <c r="M478" s="60">
        <f t="shared" si="63"/>
        <v>3.6</v>
      </c>
      <c r="N478" s="60">
        <f t="shared" ca="1" si="64"/>
        <v>6.29</v>
      </c>
      <c r="O478" s="60">
        <f t="shared" ca="1" si="65"/>
        <v>3.25</v>
      </c>
      <c r="P478" s="60">
        <f t="shared" ca="1" si="66"/>
        <v>3.25</v>
      </c>
      <c r="Q478" s="54">
        <f>Данные!Q478</f>
        <v>0</v>
      </c>
      <c r="R478" s="54">
        <f>Данные!R478</f>
        <v>0</v>
      </c>
      <c r="S478" s="54">
        <f>Данные!S478</f>
        <v>0</v>
      </c>
      <c r="T478" s="54">
        <f>Данные!T478</f>
        <v>0</v>
      </c>
      <c r="U478" s="54">
        <f>Данные!U478</f>
        <v>0</v>
      </c>
      <c r="V478" s="54">
        <f>Данные!V478</f>
        <v>0</v>
      </c>
      <c r="W478" s="54">
        <f ca="1">Данные!W478</f>
        <v>13</v>
      </c>
      <c r="X478" s="54" t="str">
        <f ca="1">Данные!X478</f>
        <v>1</v>
      </c>
      <c r="Y478" s="54" t="str">
        <f ca="1">Данные!Y478</f>
        <v>1</v>
      </c>
      <c r="Z478" s="54">
        <f>Данные!Z478</f>
        <v>0</v>
      </c>
      <c r="AA478" s="54" t="str">
        <f>Данные!AA478</f>
        <v>осн</v>
      </c>
      <c r="AB478" s="101">
        <f t="shared" si="67"/>
        <v>850</v>
      </c>
      <c r="AC478" s="101" t="str">
        <f t="shared" si="68"/>
        <v>ИВТ (бак)</v>
      </c>
      <c r="AD478" s="101" t="str">
        <f t="shared" si="69"/>
        <v/>
      </c>
      <c r="AE478" s="102">
        <f t="shared" ca="1" si="70"/>
        <v>52.39</v>
      </c>
      <c r="AF478" s="103">
        <f t="shared" ca="1" si="71"/>
        <v>6.1635294117647059E-2</v>
      </c>
      <c r="AG478" s="101"/>
      <c r="AH478" s="101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Q478" s="72">
        <v>0</v>
      </c>
      <c r="BR478" s="72">
        <v>0</v>
      </c>
      <c r="BS478" s="72">
        <v>0</v>
      </c>
      <c r="BT478" s="72">
        <v>0</v>
      </c>
      <c r="BU478" s="72">
        <v>0</v>
      </c>
      <c r="BV478" s="72">
        <v>0</v>
      </c>
      <c r="BW478" s="72">
        <v>0</v>
      </c>
      <c r="BX478" s="72">
        <v>0</v>
      </c>
      <c r="BY478" s="72">
        <v>0</v>
      </c>
      <c r="BZ478" s="72">
        <v>0</v>
      </c>
      <c r="CA478" s="72">
        <v>0</v>
      </c>
      <c r="CB478" s="72">
        <v>0</v>
      </c>
      <c r="CC478" s="72">
        <v>0</v>
      </c>
      <c r="CD478" s="72">
        <v>0</v>
      </c>
      <c r="CE478" s="72">
        <v>0</v>
      </c>
      <c r="CF478" s="72">
        <v>0</v>
      </c>
      <c r="CG478" s="72">
        <v>0</v>
      </c>
      <c r="CH478" s="72">
        <v>0</v>
      </c>
      <c r="CI478" s="72">
        <v>0</v>
      </c>
      <c r="CJ478" s="72">
        <v>0</v>
      </c>
      <c r="CK478" s="72">
        <v>0</v>
      </c>
      <c r="CL478" s="72">
        <v>0</v>
      </c>
      <c r="CM478" s="72">
        <v>0</v>
      </c>
      <c r="CN478" s="72">
        <v>0</v>
      </c>
      <c r="CO478" s="72">
        <v>0</v>
      </c>
      <c r="CP478" s="72">
        <v>0</v>
      </c>
      <c r="CQ478" s="72">
        <v>0</v>
      </c>
      <c r="CR478" s="72">
        <v>0</v>
      </c>
      <c r="CS478" s="72">
        <v>0</v>
      </c>
      <c r="CT478" s="72">
        <v>0</v>
      </c>
      <c r="CU478" s="72">
        <v>0</v>
      </c>
      <c r="CV478" s="72">
        <v>0</v>
      </c>
      <c r="CW478" s="72">
        <v>0</v>
      </c>
      <c r="CX478" s="72">
        <v>0</v>
      </c>
      <c r="CY478" s="72">
        <v>0</v>
      </c>
      <c r="CZ478" s="72">
        <v>0</v>
      </c>
      <c r="DA478" s="72">
        <v>0</v>
      </c>
      <c r="DB478" s="72">
        <v>0</v>
      </c>
      <c r="DC478" s="72">
        <v>0</v>
      </c>
      <c r="DD478" s="72">
        <v>0</v>
      </c>
      <c r="DE478" s="72">
        <v>0</v>
      </c>
      <c r="DF478" s="72">
        <v>0</v>
      </c>
      <c r="DG478" s="72">
        <v>0</v>
      </c>
      <c r="DH478" s="72">
        <v>0</v>
      </c>
      <c r="DI478" s="72">
        <v>0</v>
      </c>
      <c r="DJ478" s="72">
        <v>0</v>
      </c>
      <c r="DK478" s="72">
        <v>0</v>
      </c>
      <c r="DL478" s="72">
        <v>0</v>
      </c>
      <c r="DM478" s="72">
        <v>0</v>
      </c>
      <c r="DN478" s="72">
        <v>0</v>
      </c>
      <c r="DO478" s="72">
        <v>0</v>
      </c>
      <c r="DP478" s="72">
        <v>0</v>
      </c>
      <c r="DQ478" s="72">
        <v>0</v>
      </c>
      <c r="DR478" s="72">
        <v>0</v>
      </c>
      <c r="DS478" s="72">
        <v>0</v>
      </c>
      <c r="DT478" s="72">
        <v>0</v>
      </c>
      <c r="DU478" s="72">
        <v>0</v>
      </c>
      <c r="DV478" s="72">
        <v>0</v>
      </c>
      <c r="DW478" s="72">
        <v>0</v>
      </c>
      <c r="DX478" s="72">
        <v>0</v>
      </c>
      <c r="DY478" s="72">
        <v>0</v>
      </c>
      <c r="DZ478" s="72">
        <v>0</v>
      </c>
      <c r="EA478" s="72">
        <v>0</v>
      </c>
      <c r="EB478" s="72">
        <v>0</v>
      </c>
      <c r="EC478" s="72">
        <v>0</v>
      </c>
      <c r="ED478" s="72">
        <v>0</v>
      </c>
      <c r="EE478" s="72">
        <v>0</v>
      </c>
      <c r="EF478" s="72">
        <v>0</v>
      </c>
      <c r="EG478" s="72">
        <v>0</v>
      </c>
      <c r="EH478" s="72">
        <v>0</v>
      </c>
      <c r="EI478" s="72">
        <v>0</v>
      </c>
      <c r="EJ478" s="72">
        <v>0</v>
      </c>
      <c r="EK478" s="72">
        <v>0</v>
      </c>
      <c r="EL478" s="72">
        <v>0</v>
      </c>
    </row>
    <row r="479" spans="1:142" x14ac:dyDescent="0.35">
      <c r="A479" s="59">
        <f>Данные!A479</f>
        <v>4848</v>
      </c>
      <c r="B479" s="59">
        <f>Данные!B479</f>
        <v>2016</v>
      </c>
      <c r="C479" s="59" t="str">
        <f>Данные!C479</f>
        <v>физического воспитания и спортивно-массовой работы</v>
      </c>
      <c r="D479" s="59" t="str">
        <f>Данные!D479</f>
        <v>Васютина Ирина Павловна</v>
      </c>
      <c r="E479" s="59" t="str">
        <f>Данные!E479</f>
        <v>нет</v>
      </c>
      <c r="F479" s="59" t="str">
        <f>Данные!F479</f>
        <v>старший преподаватель</v>
      </c>
      <c r="G479" s="59">
        <f>Данные!G479</f>
        <v>0</v>
      </c>
      <c r="H479" s="59">
        <f>Данные!H479</f>
        <v>15377</v>
      </c>
      <c r="I479" s="59" t="str">
        <f>Данные!I479</f>
        <v>Физическая культура</v>
      </c>
      <c r="J479" s="59">
        <f>Данные!J479</f>
        <v>0</v>
      </c>
      <c r="K479" s="59">
        <f>Данные!K479</f>
        <v>28</v>
      </c>
      <c r="L479" s="59">
        <f>Данные!L479</f>
        <v>0</v>
      </c>
      <c r="M479" s="60">
        <f t="shared" si="63"/>
        <v>2.8</v>
      </c>
      <c r="N479" s="60">
        <f t="shared" ca="1" si="64"/>
        <v>6.29</v>
      </c>
      <c r="O479" s="60">
        <f t="shared" ca="1" si="65"/>
        <v>3.25</v>
      </c>
      <c r="P479" s="60">
        <f t="shared" ca="1" si="66"/>
        <v>3.25</v>
      </c>
      <c r="Q479" s="54">
        <f>Данные!Q479</f>
        <v>0</v>
      </c>
      <c r="R479" s="54">
        <f>Данные!R479</f>
        <v>0</v>
      </c>
      <c r="S479" s="54">
        <f>Данные!S479</f>
        <v>0</v>
      </c>
      <c r="T479" s="54">
        <f>Данные!T479</f>
        <v>0</v>
      </c>
      <c r="U479" s="54">
        <f>Данные!U479</f>
        <v>0</v>
      </c>
      <c r="V479" s="54">
        <f>Данные!V479</f>
        <v>0</v>
      </c>
      <c r="W479" s="54">
        <f ca="1">Данные!W479</f>
        <v>13</v>
      </c>
      <c r="X479" s="54" t="str">
        <f ca="1">Данные!X479</f>
        <v>1</v>
      </c>
      <c r="Y479" s="54" t="str">
        <f ca="1">Данные!Y479</f>
        <v>1</v>
      </c>
      <c r="Z479" s="54">
        <f>Данные!Z479</f>
        <v>0</v>
      </c>
      <c r="AA479" s="54" t="str">
        <f>Данные!AA479</f>
        <v>осн</v>
      </c>
      <c r="AB479" s="101">
        <f t="shared" si="67"/>
        <v>850</v>
      </c>
      <c r="AC479" s="101" t="str">
        <f t="shared" si="68"/>
        <v>ИВТ (бак)</v>
      </c>
      <c r="AD479" s="101" t="str">
        <f t="shared" si="69"/>
        <v/>
      </c>
      <c r="AE479" s="102">
        <f t="shared" ca="1" si="70"/>
        <v>43.59</v>
      </c>
      <c r="AF479" s="103">
        <f t="shared" ca="1" si="71"/>
        <v>5.1282352941176473E-2</v>
      </c>
      <c r="AG479" s="101"/>
      <c r="AH479" s="101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Q479" s="72">
        <v>0</v>
      </c>
      <c r="BR479" s="72">
        <v>0</v>
      </c>
      <c r="BS479" s="72">
        <v>0</v>
      </c>
      <c r="BT479" s="72">
        <v>0</v>
      </c>
      <c r="BU479" s="72">
        <v>0</v>
      </c>
      <c r="BV479" s="72">
        <v>0</v>
      </c>
      <c r="BW479" s="72">
        <v>0</v>
      </c>
      <c r="BX479" s="72">
        <v>0</v>
      </c>
      <c r="BY479" s="72">
        <v>0</v>
      </c>
      <c r="BZ479" s="72">
        <v>0</v>
      </c>
      <c r="CA479" s="72">
        <v>0</v>
      </c>
      <c r="CB479" s="72">
        <v>0</v>
      </c>
      <c r="CC479" s="72">
        <v>0</v>
      </c>
      <c r="CD479" s="72">
        <v>0</v>
      </c>
      <c r="CE479" s="72">
        <v>0</v>
      </c>
      <c r="CF479" s="72">
        <v>0</v>
      </c>
      <c r="CG479" s="72">
        <v>0</v>
      </c>
      <c r="CH479" s="72">
        <v>0</v>
      </c>
      <c r="CI479" s="72">
        <v>0</v>
      </c>
      <c r="CJ479" s="72">
        <v>0</v>
      </c>
      <c r="CK479" s="72">
        <v>0</v>
      </c>
      <c r="CL479" s="72">
        <v>0</v>
      </c>
      <c r="CM479" s="72">
        <v>0</v>
      </c>
      <c r="CN479" s="72">
        <v>0</v>
      </c>
      <c r="CO479" s="72">
        <v>0</v>
      </c>
      <c r="CP479" s="72">
        <v>0</v>
      </c>
      <c r="CQ479" s="72">
        <v>0</v>
      </c>
      <c r="CR479" s="72">
        <v>0</v>
      </c>
      <c r="CS479" s="72">
        <v>0</v>
      </c>
      <c r="CT479" s="72">
        <v>0</v>
      </c>
      <c r="CU479" s="72">
        <v>0</v>
      </c>
      <c r="CV479" s="72">
        <v>0</v>
      </c>
      <c r="CW479" s="72">
        <v>0</v>
      </c>
      <c r="CX479" s="72">
        <v>0</v>
      </c>
      <c r="CY479" s="72">
        <v>0</v>
      </c>
      <c r="CZ479" s="72">
        <v>0</v>
      </c>
      <c r="DA479" s="72">
        <v>0</v>
      </c>
      <c r="DB479" s="72">
        <v>0</v>
      </c>
      <c r="DC479" s="72">
        <v>0</v>
      </c>
      <c r="DD479" s="72">
        <v>0</v>
      </c>
      <c r="DE479" s="72">
        <v>0</v>
      </c>
      <c r="DF479" s="72">
        <v>0</v>
      </c>
      <c r="DG479" s="72">
        <v>0</v>
      </c>
      <c r="DH479" s="72">
        <v>0</v>
      </c>
      <c r="DI479" s="72">
        <v>0</v>
      </c>
      <c r="DJ479" s="72">
        <v>0</v>
      </c>
      <c r="DK479" s="72">
        <v>0</v>
      </c>
      <c r="DL479" s="72">
        <v>0</v>
      </c>
      <c r="DM479" s="72">
        <v>0</v>
      </c>
      <c r="DN479" s="72">
        <v>0</v>
      </c>
      <c r="DO479" s="72">
        <v>0</v>
      </c>
      <c r="DP479" s="72">
        <v>0</v>
      </c>
      <c r="DQ479" s="72">
        <v>0</v>
      </c>
      <c r="DR479" s="72">
        <v>0</v>
      </c>
      <c r="DS479" s="72">
        <v>0</v>
      </c>
      <c r="DT479" s="72">
        <v>0</v>
      </c>
      <c r="DU479" s="72">
        <v>0</v>
      </c>
      <c r="DV479" s="72">
        <v>0</v>
      </c>
      <c r="DW479" s="72">
        <v>0</v>
      </c>
      <c r="DX479" s="72">
        <v>0</v>
      </c>
      <c r="DY479" s="72">
        <v>0</v>
      </c>
      <c r="DZ479" s="72">
        <v>0</v>
      </c>
      <c r="EA479" s="72">
        <v>0</v>
      </c>
      <c r="EB479" s="72">
        <v>0</v>
      </c>
      <c r="EC479" s="72">
        <v>0</v>
      </c>
      <c r="ED479" s="72">
        <v>0</v>
      </c>
      <c r="EE479" s="72">
        <v>0</v>
      </c>
      <c r="EF479" s="72">
        <v>0</v>
      </c>
      <c r="EG479" s="72">
        <v>0</v>
      </c>
      <c r="EH479" s="72">
        <v>0</v>
      </c>
      <c r="EI479" s="72">
        <v>0</v>
      </c>
      <c r="EJ479" s="72">
        <v>0</v>
      </c>
      <c r="EK479" s="72">
        <v>0</v>
      </c>
      <c r="EL479" s="72">
        <v>0</v>
      </c>
    </row>
    <row r="480" spans="1:142" x14ac:dyDescent="0.35">
      <c r="A480" s="59">
        <f>Данные!A480</f>
        <v>4848</v>
      </c>
      <c r="B480" s="59">
        <f>Данные!B480</f>
        <v>2016</v>
      </c>
      <c r="C480" s="59" t="str">
        <f>Данные!C480</f>
        <v>физической электроники</v>
      </c>
      <c r="D480" s="59" t="str">
        <f>Данные!D480</f>
        <v>Серегин Павел Павлович</v>
      </c>
      <c r="E480" s="59" t="str">
        <f>Данные!E480</f>
        <v>доктор физ.-мат. наук</v>
      </c>
      <c r="F480" s="59" t="str">
        <f>Данные!F480</f>
        <v>профессор</v>
      </c>
      <c r="G480" s="59">
        <f>Данные!G480</f>
        <v>1</v>
      </c>
      <c r="H480" s="59">
        <f>Данные!H480</f>
        <v>15377</v>
      </c>
      <c r="I480" s="59" t="str">
        <f>Данные!I480</f>
        <v>Физика</v>
      </c>
      <c r="J480" s="59">
        <f>Данные!J480</f>
        <v>17</v>
      </c>
      <c r="K480" s="59">
        <f>Данные!K480</f>
        <v>0</v>
      </c>
      <c r="L480" s="59">
        <f>Данные!L480</f>
        <v>34</v>
      </c>
      <c r="M480" s="60">
        <f t="shared" si="63"/>
        <v>5.0999999999999996</v>
      </c>
      <c r="N480" s="60">
        <f t="shared" ca="1" si="64"/>
        <v>6.29</v>
      </c>
      <c r="O480" s="60">
        <f t="shared" ca="1" si="65"/>
        <v>3.25</v>
      </c>
      <c r="P480" s="60">
        <f t="shared" ca="1" si="66"/>
        <v>3.25</v>
      </c>
      <c r="Q480" s="54">
        <f>Данные!Q480</f>
        <v>0</v>
      </c>
      <c r="R480" s="54">
        <f>Данные!R480</f>
        <v>0</v>
      </c>
      <c r="S480" s="54">
        <f>Данные!S480</f>
        <v>0</v>
      </c>
      <c r="T480" s="54">
        <f>Данные!T480</f>
        <v>0</v>
      </c>
      <c r="U480" s="54">
        <f>Данные!U480</f>
        <v>0</v>
      </c>
      <c r="V480" s="54">
        <f>Данные!V480</f>
        <v>0</v>
      </c>
      <c r="W480" s="54">
        <f ca="1">Данные!W480</f>
        <v>13</v>
      </c>
      <c r="X480" s="54" t="str">
        <f ca="1">Данные!X480</f>
        <v>1</v>
      </c>
      <c r="Y480" s="54" t="str">
        <f ca="1">Данные!Y480</f>
        <v>1</v>
      </c>
      <c r="Z480" s="54">
        <f>Данные!Z480</f>
        <v>0</v>
      </c>
      <c r="AA480" s="54" t="str">
        <f>Данные!AA480</f>
        <v>осн</v>
      </c>
      <c r="AB480" s="101">
        <f t="shared" si="67"/>
        <v>750</v>
      </c>
      <c r="AC480" s="101" t="str">
        <f t="shared" si="68"/>
        <v>ИВТ (бак)</v>
      </c>
      <c r="AD480" s="101" t="str">
        <f t="shared" si="69"/>
        <v/>
      </c>
      <c r="AE480" s="102">
        <f t="shared" ca="1" si="70"/>
        <v>68.89</v>
      </c>
      <c r="AF480" s="103">
        <f t="shared" ca="1" si="71"/>
        <v>9.1853333333333329E-2</v>
      </c>
      <c r="AG480" s="101"/>
      <c r="AH480" s="101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Q480" s="72">
        <v>0</v>
      </c>
      <c r="BR480" s="72">
        <v>0</v>
      </c>
      <c r="BS480" s="72">
        <v>0</v>
      </c>
      <c r="BT480" s="72">
        <v>0</v>
      </c>
      <c r="BU480" s="72">
        <v>0</v>
      </c>
      <c r="BV480" s="72">
        <v>0</v>
      </c>
      <c r="BW480" s="72">
        <v>0</v>
      </c>
      <c r="BX480" s="72">
        <v>0</v>
      </c>
      <c r="BY480" s="72">
        <v>0</v>
      </c>
      <c r="BZ480" s="72">
        <v>0</v>
      </c>
      <c r="CA480" s="72">
        <v>0</v>
      </c>
      <c r="CB480" s="72">
        <v>0</v>
      </c>
      <c r="CC480" s="72">
        <v>0</v>
      </c>
      <c r="CD480" s="72">
        <v>0</v>
      </c>
      <c r="CE480" s="72">
        <v>0</v>
      </c>
      <c r="CF480" s="72">
        <v>0</v>
      </c>
      <c r="CG480" s="72">
        <v>0</v>
      </c>
      <c r="CH480" s="72">
        <v>0</v>
      </c>
      <c r="CI480" s="72">
        <v>0</v>
      </c>
      <c r="CJ480" s="72">
        <v>0</v>
      </c>
      <c r="CK480" s="72">
        <v>0</v>
      </c>
      <c r="CL480" s="72">
        <v>0</v>
      </c>
      <c r="CM480" s="72">
        <v>0</v>
      </c>
      <c r="CN480" s="72">
        <v>0</v>
      </c>
      <c r="CO480" s="72">
        <v>0</v>
      </c>
      <c r="CP480" s="72">
        <v>0</v>
      </c>
      <c r="CQ480" s="72">
        <v>0</v>
      </c>
      <c r="CR480" s="72">
        <v>0</v>
      </c>
      <c r="CS480" s="72">
        <v>0</v>
      </c>
      <c r="CT480" s="72">
        <v>0</v>
      </c>
      <c r="CU480" s="72">
        <v>0</v>
      </c>
      <c r="CV480" s="72">
        <v>0</v>
      </c>
      <c r="CW480" s="72">
        <v>0</v>
      </c>
      <c r="CX480" s="72">
        <v>0</v>
      </c>
      <c r="CY480" s="72">
        <v>0</v>
      </c>
      <c r="CZ480" s="72">
        <v>0</v>
      </c>
      <c r="DA480" s="72">
        <v>0</v>
      </c>
      <c r="DB480" s="72">
        <v>0</v>
      </c>
      <c r="DC480" s="72">
        <v>0</v>
      </c>
      <c r="DD480" s="72">
        <v>0</v>
      </c>
      <c r="DE480" s="72">
        <v>0</v>
      </c>
      <c r="DF480" s="72">
        <v>0</v>
      </c>
      <c r="DG480" s="72">
        <v>0</v>
      </c>
      <c r="DH480" s="72">
        <v>0</v>
      </c>
      <c r="DI480" s="72">
        <v>0</v>
      </c>
      <c r="DJ480" s="72">
        <v>0</v>
      </c>
      <c r="DK480" s="72">
        <v>0</v>
      </c>
      <c r="DL480" s="72">
        <v>0</v>
      </c>
      <c r="DM480" s="72">
        <v>0</v>
      </c>
      <c r="DN480" s="72">
        <v>0</v>
      </c>
      <c r="DO480" s="72">
        <v>0</v>
      </c>
      <c r="DP480" s="72">
        <v>0</v>
      </c>
      <c r="DQ480" s="72">
        <v>0</v>
      </c>
      <c r="DR480" s="72">
        <v>0</v>
      </c>
      <c r="DS480" s="72">
        <v>0</v>
      </c>
      <c r="DT480" s="72">
        <v>0</v>
      </c>
      <c r="DU480" s="72">
        <v>0</v>
      </c>
      <c r="DV480" s="72">
        <v>0</v>
      </c>
      <c r="DW480" s="72">
        <v>0</v>
      </c>
      <c r="DX480" s="72">
        <v>0</v>
      </c>
      <c r="DY480" s="72">
        <v>0</v>
      </c>
      <c r="DZ480" s="72">
        <v>0</v>
      </c>
      <c r="EA480" s="72">
        <v>0</v>
      </c>
      <c r="EB480" s="72">
        <v>0</v>
      </c>
      <c r="EC480" s="72">
        <v>0</v>
      </c>
      <c r="ED480" s="72">
        <v>0</v>
      </c>
      <c r="EE480" s="72">
        <v>0</v>
      </c>
      <c r="EF480" s="72">
        <v>0</v>
      </c>
      <c r="EG480" s="72">
        <v>0</v>
      </c>
      <c r="EH480" s="72">
        <v>0</v>
      </c>
      <c r="EI480" s="72">
        <v>0</v>
      </c>
      <c r="EJ480" s="72">
        <v>0</v>
      </c>
      <c r="EK480" s="72">
        <v>0</v>
      </c>
      <c r="EL480" s="72">
        <v>0</v>
      </c>
    </row>
    <row r="481" spans="1:142" x14ac:dyDescent="0.35">
      <c r="A481" s="59">
        <f>Данные!A481</f>
        <v>4848</v>
      </c>
      <c r="B481" s="59">
        <f>Данные!B481</f>
        <v>2017</v>
      </c>
      <c r="C481" s="59" t="str">
        <f>Данные!C481</f>
        <v>компьютерной инженерии и программотехники</v>
      </c>
      <c r="D481" s="59" t="str">
        <f>Данные!D481</f>
        <v>Матюшичев Илья Юрьевич</v>
      </c>
      <c r="E481" s="59" t="str">
        <f>Данные!E481</f>
        <v>кандидат технических наук</v>
      </c>
      <c r="F481" s="59" t="str">
        <f>Данные!F481</f>
        <v>доцент</v>
      </c>
      <c r="G481" s="59">
        <f>Данные!G481</f>
        <v>1</v>
      </c>
      <c r="H481" s="59">
        <f>Данные!H481</f>
        <v>16003</v>
      </c>
      <c r="I481" s="59" t="str">
        <f>Данные!I481</f>
        <v>Защита информации</v>
      </c>
      <c r="J481" s="59">
        <f>Данные!J481</f>
        <v>12</v>
      </c>
      <c r="K481" s="59">
        <f>Данные!K481</f>
        <v>0</v>
      </c>
      <c r="L481" s="59">
        <f>Данные!L481</f>
        <v>24</v>
      </c>
      <c r="M481" s="60">
        <f t="shared" si="63"/>
        <v>3.6</v>
      </c>
      <c r="N481" s="60">
        <f t="shared" ca="1" si="64"/>
        <v>6.29</v>
      </c>
      <c r="O481" s="60">
        <f t="shared" ca="1" si="65"/>
        <v>3.25</v>
      </c>
      <c r="P481" s="60">
        <f t="shared" ca="1" si="66"/>
        <v>3.25</v>
      </c>
      <c r="Q481" s="54">
        <f>Данные!Q481</f>
        <v>0</v>
      </c>
      <c r="R481" s="54">
        <f>Данные!R481</f>
        <v>0</v>
      </c>
      <c r="S481" s="54">
        <f>Данные!S481</f>
        <v>0</v>
      </c>
      <c r="T481" s="54">
        <f>Данные!T481</f>
        <v>0</v>
      </c>
      <c r="U481" s="54">
        <f>Данные!U481</f>
        <v>0</v>
      </c>
      <c r="V481" s="54">
        <f>Данные!V481</f>
        <v>0</v>
      </c>
      <c r="W481" s="54">
        <f ca="1">Данные!W481</f>
        <v>13</v>
      </c>
      <c r="X481" s="54" t="str">
        <f ca="1">Данные!X481</f>
        <v>1</v>
      </c>
      <c r="Y481" s="54" t="str">
        <f ca="1">Данные!Y481</f>
        <v>1</v>
      </c>
      <c r="Z481" s="54">
        <f>Данные!Z481</f>
        <v>0</v>
      </c>
      <c r="AA481" s="54" t="str">
        <f>Данные!AA481</f>
        <v>осн</v>
      </c>
      <c r="AB481" s="101">
        <f t="shared" si="67"/>
        <v>800</v>
      </c>
      <c r="AC481" s="101" t="str">
        <f t="shared" si="68"/>
        <v>ИВТ (бак)</v>
      </c>
      <c r="AD481" s="101" t="str">
        <f t="shared" si="69"/>
        <v/>
      </c>
      <c r="AE481" s="102">
        <f t="shared" ca="1" si="70"/>
        <v>52.39</v>
      </c>
      <c r="AF481" s="103">
        <f t="shared" ca="1" si="71"/>
        <v>6.5487500000000004E-2</v>
      </c>
      <c r="AG481" s="101"/>
      <c r="AH481" s="10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Q481" s="72">
        <v>0</v>
      </c>
      <c r="BR481" s="72">
        <v>0</v>
      </c>
      <c r="BS481" s="72">
        <v>0</v>
      </c>
      <c r="BT481" s="72">
        <v>0</v>
      </c>
      <c r="BU481" s="72">
        <v>0</v>
      </c>
      <c r="BV481" s="72">
        <v>0</v>
      </c>
      <c r="BW481" s="72">
        <v>0</v>
      </c>
      <c r="BX481" s="72">
        <v>0</v>
      </c>
      <c r="BY481" s="72">
        <v>0</v>
      </c>
      <c r="BZ481" s="72">
        <v>0</v>
      </c>
      <c r="CA481" s="72">
        <v>0</v>
      </c>
      <c r="CB481" s="72">
        <v>0</v>
      </c>
      <c r="CC481" s="72">
        <v>0</v>
      </c>
      <c r="CD481" s="72">
        <v>0</v>
      </c>
      <c r="CE481" s="72">
        <v>0</v>
      </c>
      <c r="CF481" s="72">
        <v>0</v>
      </c>
      <c r="CG481" s="72">
        <v>0</v>
      </c>
      <c r="CH481" s="72">
        <v>0</v>
      </c>
      <c r="CI481" s="72">
        <v>0</v>
      </c>
      <c r="CJ481" s="72">
        <v>0</v>
      </c>
      <c r="CK481" s="72">
        <v>0</v>
      </c>
      <c r="CL481" s="72">
        <v>0</v>
      </c>
      <c r="CM481" s="72">
        <v>0</v>
      </c>
      <c r="CN481" s="72">
        <v>0</v>
      </c>
      <c r="CO481" s="72">
        <v>0</v>
      </c>
      <c r="CP481" s="72">
        <v>0</v>
      </c>
      <c r="CQ481" s="72">
        <v>0</v>
      </c>
      <c r="CR481" s="72">
        <v>0</v>
      </c>
      <c r="CS481" s="72">
        <v>0</v>
      </c>
      <c r="CT481" s="72">
        <v>0</v>
      </c>
      <c r="CU481" s="72">
        <v>0</v>
      </c>
      <c r="CV481" s="72">
        <v>0</v>
      </c>
      <c r="CW481" s="72">
        <v>0</v>
      </c>
      <c r="CX481" s="72">
        <v>0</v>
      </c>
      <c r="CY481" s="72">
        <v>0</v>
      </c>
      <c r="CZ481" s="72">
        <v>0</v>
      </c>
      <c r="DA481" s="72">
        <v>0</v>
      </c>
      <c r="DB481" s="72">
        <v>0</v>
      </c>
      <c r="DC481" s="72">
        <v>0</v>
      </c>
      <c r="DD481" s="72">
        <v>0</v>
      </c>
      <c r="DE481" s="72">
        <v>0</v>
      </c>
      <c r="DF481" s="72">
        <v>0</v>
      </c>
      <c r="DG481" s="72">
        <v>0</v>
      </c>
      <c r="DH481" s="72">
        <v>0</v>
      </c>
      <c r="DI481" s="72">
        <v>0</v>
      </c>
      <c r="DJ481" s="72">
        <v>0</v>
      </c>
      <c r="DK481" s="72">
        <v>0</v>
      </c>
      <c r="DL481" s="72">
        <v>0</v>
      </c>
      <c r="DM481" s="72">
        <v>0</v>
      </c>
      <c r="DN481" s="72">
        <v>0</v>
      </c>
      <c r="DO481" s="72">
        <v>0</v>
      </c>
      <c r="DP481" s="72">
        <v>0</v>
      </c>
      <c r="DQ481" s="72">
        <v>0</v>
      </c>
      <c r="DR481" s="72">
        <v>0</v>
      </c>
      <c r="DS481" s="72">
        <v>0</v>
      </c>
      <c r="DT481" s="72">
        <v>0</v>
      </c>
      <c r="DU481" s="72">
        <v>0</v>
      </c>
      <c r="DV481" s="72">
        <v>0</v>
      </c>
      <c r="DW481" s="72">
        <v>0</v>
      </c>
      <c r="DX481" s="72">
        <v>0</v>
      </c>
      <c r="DY481" s="72">
        <v>0</v>
      </c>
      <c r="DZ481" s="72">
        <v>0</v>
      </c>
      <c r="EA481" s="72">
        <v>0</v>
      </c>
      <c r="EB481" s="72">
        <v>0</v>
      </c>
      <c r="EC481" s="72">
        <v>0</v>
      </c>
      <c r="ED481" s="72">
        <v>0</v>
      </c>
      <c r="EE481" s="72">
        <v>0</v>
      </c>
      <c r="EF481" s="72">
        <v>0</v>
      </c>
      <c r="EG481" s="72">
        <v>0</v>
      </c>
      <c r="EH481" s="72">
        <v>0</v>
      </c>
      <c r="EI481" s="72">
        <v>0</v>
      </c>
      <c r="EJ481" s="72">
        <v>0</v>
      </c>
      <c r="EK481" s="72">
        <v>0</v>
      </c>
      <c r="EL481" s="72">
        <v>0</v>
      </c>
    </row>
    <row r="482" spans="1:142" x14ac:dyDescent="0.35">
      <c r="A482" s="59">
        <f>Данные!A482</f>
        <v>4848</v>
      </c>
      <c r="B482" s="59">
        <f>Данные!B482</f>
        <v>2017</v>
      </c>
      <c r="C482" s="59" t="str">
        <f>Данные!C482</f>
        <v>производственных и дизайнерских технологий</v>
      </c>
      <c r="D482" s="59" t="str">
        <f>Данные!D482</f>
        <v>Смирнов Александр Михайлович</v>
      </c>
      <c r="E482" s="59" t="str">
        <f>Данные!E482</f>
        <v>кандидат технических наук</v>
      </c>
      <c r="F482" s="59" t="str">
        <f>Данные!F482</f>
        <v>доцент</v>
      </c>
      <c r="G482" s="59">
        <f>Данные!G482</f>
        <v>1</v>
      </c>
      <c r="H482" s="59">
        <f>Данные!H482</f>
        <v>16003</v>
      </c>
      <c r="I482" s="59" t="str">
        <f>Данные!I482</f>
        <v>Метрология стандартизация и сертификация</v>
      </c>
      <c r="J482" s="59">
        <f>Данные!J482</f>
        <v>17</v>
      </c>
      <c r="K482" s="59">
        <f>Данные!K482</f>
        <v>17</v>
      </c>
      <c r="L482" s="59">
        <f>Данные!L482</f>
        <v>0</v>
      </c>
      <c r="M482" s="60">
        <f t="shared" si="63"/>
        <v>3.4</v>
      </c>
      <c r="N482" s="60">
        <f t="shared" ca="1" si="64"/>
        <v>6.29</v>
      </c>
      <c r="O482" s="60">
        <f t="shared" ca="1" si="65"/>
        <v>3.25</v>
      </c>
      <c r="P482" s="60">
        <f t="shared" ca="1" si="66"/>
        <v>3.25</v>
      </c>
      <c r="Q482" s="54">
        <f>Данные!Q482</f>
        <v>0</v>
      </c>
      <c r="R482" s="54">
        <f>Данные!R482</f>
        <v>0</v>
      </c>
      <c r="S482" s="54">
        <f>Данные!S482</f>
        <v>0</v>
      </c>
      <c r="T482" s="54">
        <f>Данные!T482</f>
        <v>0</v>
      </c>
      <c r="U482" s="54">
        <f>Данные!U482</f>
        <v>0</v>
      </c>
      <c r="V482" s="54">
        <f>Данные!V482</f>
        <v>0</v>
      </c>
      <c r="W482" s="54">
        <f ca="1">Данные!W482</f>
        <v>13</v>
      </c>
      <c r="X482" s="54" t="str">
        <f ca="1">Данные!X482</f>
        <v>1</v>
      </c>
      <c r="Y482" s="54" t="str">
        <f ca="1">Данные!Y482</f>
        <v>1</v>
      </c>
      <c r="Z482" s="54">
        <f>Данные!Z482</f>
        <v>0</v>
      </c>
      <c r="AA482" s="54" t="str">
        <f>Данные!AA482</f>
        <v>осн</v>
      </c>
      <c r="AB482" s="101">
        <f t="shared" si="67"/>
        <v>800</v>
      </c>
      <c r="AC482" s="101" t="str">
        <f t="shared" si="68"/>
        <v>ИВТ (бак)</v>
      </c>
      <c r="AD482" s="101" t="str">
        <f t="shared" si="69"/>
        <v/>
      </c>
      <c r="AE482" s="102">
        <f t="shared" ca="1" si="70"/>
        <v>50.19</v>
      </c>
      <c r="AF482" s="103">
        <f t="shared" ca="1" si="71"/>
        <v>6.2737500000000002E-2</v>
      </c>
      <c r="AG482" s="101"/>
      <c r="AH482" s="101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Q482" s="72">
        <v>0</v>
      </c>
      <c r="BR482" s="72">
        <v>0</v>
      </c>
      <c r="BS482" s="72">
        <v>0</v>
      </c>
      <c r="BT482" s="72">
        <v>0</v>
      </c>
      <c r="BU482" s="72">
        <v>0</v>
      </c>
      <c r="BV482" s="72">
        <v>0</v>
      </c>
      <c r="BW482" s="72">
        <v>0</v>
      </c>
      <c r="BX482" s="72">
        <v>0</v>
      </c>
      <c r="BY482" s="72">
        <v>0</v>
      </c>
      <c r="BZ482" s="72">
        <v>0</v>
      </c>
      <c r="CA482" s="72">
        <v>0</v>
      </c>
      <c r="CB482" s="72">
        <v>0</v>
      </c>
      <c r="CC482" s="72">
        <v>0</v>
      </c>
      <c r="CD482" s="72">
        <v>0</v>
      </c>
      <c r="CE482" s="72">
        <v>0</v>
      </c>
      <c r="CF482" s="72">
        <v>0</v>
      </c>
      <c r="CG482" s="72">
        <v>0</v>
      </c>
      <c r="CH482" s="72">
        <v>0</v>
      </c>
      <c r="CI482" s="72">
        <v>0</v>
      </c>
      <c r="CJ482" s="72">
        <v>0</v>
      </c>
      <c r="CK482" s="72">
        <v>0</v>
      </c>
      <c r="CL482" s="72">
        <v>0</v>
      </c>
      <c r="CM482" s="72">
        <v>0</v>
      </c>
      <c r="CN482" s="72">
        <v>0</v>
      </c>
      <c r="CO482" s="72">
        <v>0</v>
      </c>
      <c r="CP482" s="72">
        <v>0</v>
      </c>
      <c r="CQ482" s="72">
        <v>0</v>
      </c>
      <c r="CR482" s="72">
        <v>0</v>
      </c>
      <c r="CS482" s="72">
        <v>0</v>
      </c>
      <c r="CT482" s="72">
        <v>0</v>
      </c>
      <c r="CU482" s="72">
        <v>0</v>
      </c>
      <c r="CV482" s="72">
        <v>0</v>
      </c>
      <c r="CW482" s="72">
        <v>0</v>
      </c>
      <c r="CX482" s="72">
        <v>0</v>
      </c>
      <c r="CY482" s="72">
        <v>0</v>
      </c>
      <c r="CZ482" s="72">
        <v>0</v>
      </c>
      <c r="DA482" s="72">
        <v>0</v>
      </c>
      <c r="DB482" s="72">
        <v>0</v>
      </c>
      <c r="DC482" s="72">
        <v>0</v>
      </c>
      <c r="DD482" s="72">
        <v>0</v>
      </c>
      <c r="DE482" s="72">
        <v>0</v>
      </c>
      <c r="DF482" s="72">
        <v>0</v>
      </c>
      <c r="DG482" s="72">
        <v>0</v>
      </c>
      <c r="DH482" s="72">
        <v>0</v>
      </c>
      <c r="DI482" s="72">
        <v>0</v>
      </c>
      <c r="DJ482" s="72">
        <v>0</v>
      </c>
      <c r="DK482" s="72">
        <v>0</v>
      </c>
      <c r="DL482" s="72">
        <v>0</v>
      </c>
      <c r="DM482" s="72">
        <v>0</v>
      </c>
      <c r="DN482" s="72">
        <v>0</v>
      </c>
      <c r="DO482" s="72">
        <v>0</v>
      </c>
      <c r="DP482" s="72">
        <v>0</v>
      </c>
      <c r="DQ482" s="72">
        <v>0</v>
      </c>
      <c r="DR482" s="72">
        <v>0</v>
      </c>
      <c r="DS482" s="72">
        <v>0</v>
      </c>
      <c r="DT482" s="72">
        <v>0</v>
      </c>
      <c r="DU482" s="72">
        <v>0</v>
      </c>
      <c r="DV482" s="72">
        <v>0</v>
      </c>
      <c r="DW482" s="72">
        <v>0</v>
      </c>
      <c r="DX482" s="72">
        <v>0</v>
      </c>
      <c r="DY482" s="72">
        <v>0</v>
      </c>
      <c r="DZ482" s="72">
        <v>0</v>
      </c>
      <c r="EA482" s="72">
        <v>0</v>
      </c>
      <c r="EB482" s="72">
        <v>0</v>
      </c>
      <c r="EC482" s="72">
        <v>0</v>
      </c>
      <c r="ED482" s="72">
        <v>0</v>
      </c>
      <c r="EE482" s="72">
        <v>0</v>
      </c>
      <c r="EF482" s="72">
        <v>0</v>
      </c>
      <c r="EG482" s="72">
        <v>0</v>
      </c>
      <c r="EH482" s="72">
        <v>0</v>
      </c>
      <c r="EI482" s="72">
        <v>0</v>
      </c>
      <c r="EJ482" s="72">
        <v>0</v>
      </c>
      <c r="EK482" s="72">
        <v>0</v>
      </c>
      <c r="EL482" s="72">
        <v>0</v>
      </c>
    </row>
    <row r="483" spans="1:142" x14ac:dyDescent="0.35">
      <c r="A483" s="59">
        <f>Данные!A483</f>
        <v>4848</v>
      </c>
      <c r="B483" s="59">
        <f>Данные!B483</f>
        <v>2017</v>
      </c>
      <c r="C483" s="59" t="str">
        <f>Данные!C483</f>
        <v>современных европейских языков</v>
      </c>
      <c r="D483" s="59" t="str">
        <f>Данные!D483</f>
        <v>Кудрявцева Наталья Фаддеевна</v>
      </c>
      <c r="E483" s="59" t="str">
        <f>Данные!E483</f>
        <v>кандидат социологических наук</v>
      </c>
      <c r="F483" s="59" t="str">
        <f>Данные!F483</f>
        <v>доцент</v>
      </c>
      <c r="G483" s="59">
        <f>Данные!G483</f>
        <v>1</v>
      </c>
      <c r="H483" s="59">
        <f>Данные!H483</f>
        <v>16003</v>
      </c>
      <c r="I483" s="59" t="str">
        <f>Данные!I483</f>
        <v>Дисциплины (модули) по выбору. Лексикология и стилистика современных иностранных языков</v>
      </c>
      <c r="J483" s="59">
        <f>Данные!J483</f>
        <v>0</v>
      </c>
      <c r="K483" s="59">
        <f>Данные!K483</f>
        <v>0</v>
      </c>
      <c r="L483" s="59">
        <f>Данные!L483</f>
        <v>0</v>
      </c>
      <c r="M483" s="60">
        <f t="shared" si="63"/>
        <v>0</v>
      </c>
      <c r="N483" s="60">
        <f t="shared" ca="1" si="64"/>
        <v>6.29</v>
      </c>
      <c r="O483" s="60">
        <f t="shared" ca="1" si="65"/>
        <v>3.25</v>
      </c>
      <c r="P483" s="60">
        <f t="shared" ca="1" si="66"/>
        <v>3.25</v>
      </c>
      <c r="Q483" s="54">
        <f>Данные!Q483</f>
        <v>0</v>
      </c>
      <c r="R483" s="54">
        <f>Данные!R483</f>
        <v>0</v>
      </c>
      <c r="S483" s="54">
        <f>Данные!S483</f>
        <v>0</v>
      </c>
      <c r="T483" s="54">
        <f>Данные!T483</f>
        <v>0</v>
      </c>
      <c r="U483" s="54">
        <f>Данные!U483</f>
        <v>0</v>
      </c>
      <c r="V483" s="54">
        <f>Данные!V483</f>
        <v>0</v>
      </c>
      <c r="W483" s="54">
        <f ca="1">Данные!W483</f>
        <v>13</v>
      </c>
      <c r="X483" s="54" t="str">
        <f ca="1">Данные!X483</f>
        <v>1</v>
      </c>
      <c r="Y483" s="54" t="str">
        <f ca="1">Данные!Y483</f>
        <v>1</v>
      </c>
      <c r="Z483" s="54">
        <f>Данные!Z483</f>
        <v>0</v>
      </c>
      <c r="AA483" s="54" t="str">
        <f>Данные!AA483</f>
        <v>осн</v>
      </c>
      <c r="AB483" s="101">
        <f t="shared" si="67"/>
        <v>800</v>
      </c>
      <c r="AC483" s="101" t="str">
        <f t="shared" si="68"/>
        <v>ИВТ (бак)</v>
      </c>
      <c r="AD483" s="101" t="str">
        <f t="shared" si="69"/>
        <v/>
      </c>
      <c r="AE483" s="102">
        <f t="shared" ca="1" si="70"/>
        <v>12.79</v>
      </c>
      <c r="AF483" s="103">
        <f t="shared" ca="1" si="71"/>
        <v>1.5987499999999998E-2</v>
      </c>
      <c r="AG483" s="101"/>
      <c r="AH483" s="101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Q483" s="72">
        <v>0</v>
      </c>
      <c r="BR483" s="72">
        <v>0</v>
      </c>
      <c r="BS483" s="72">
        <v>0</v>
      </c>
      <c r="BT483" s="72">
        <v>0</v>
      </c>
      <c r="BU483" s="72">
        <v>0</v>
      </c>
      <c r="BV483" s="72">
        <v>0</v>
      </c>
      <c r="BW483" s="72">
        <v>0</v>
      </c>
      <c r="BX483" s="72">
        <v>0</v>
      </c>
      <c r="BY483" s="72">
        <v>0</v>
      </c>
      <c r="BZ483" s="72">
        <v>0</v>
      </c>
      <c r="CA483" s="72">
        <v>0</v>
      </c>
      <c r="CB483" s="72">
        <v>0</v>
      </c>
      <c r="CC483" s="72">
        <v>0</v>
      </c>
      <c r="CD483" s="72">
        <v>0</v>
      </c>
      <c r="CE483" s="72">
        <v>0</v>
      </c>
      <c r="CF483" s="72">
        <v>0</v>
      </c>
      <c r="CG483" s="72">
        <v>0</v>
      </c>
      <c r="CH483" s="72">
        <v>0</v>
      </c>
      <c r="CI483" s="72">
        <v>0</v>
      </c>
      <c r="CJ483" s="72">
        <v>0</v>
      </c>
      <c r="CK483" s="72">
        <v>0</v>
      </c>
      <c r="CL483" s="72">
        <v>0</v>
      </c>
      <c r="CM483" s="72">
        <v>0</v>
      </c>
      <c r="CN483" s="72">
        <v>0</v>
      </c>
      <c r="CO483" s="72">
        <v>0</v>
      </c>
      <c r="CP483" s="72">
        <v>0</v>
      </c>
      <c r="CQ483" s="72">
        <v>0</v>
      </c>
      <c r="CR483" s="72">
        <v>0</v>
      </c>
      <c r="CS483" s="72">
        <v>0</v>
      </c>
      <c r="CT483" s="72">
        <v>0</v>
      </c>
      <c r="CU483" s="72">
        <v>0</v>
      </c>
      <c r="CV483" s="72">
        <v>0</v>
      </c>
      <c r="CW483" s="72">
        <v>0</v>
      </c>
      <c r="CX483" s="72">
        <v>0</v>
      </c>
      <c r="CY483" s="72">
        <v>0</v>
      </c>
      <c r="CZ483" s="72">
        <v>0</v>
      </c>
      <c r="DA483" s="72">
        <v>0</v>
      </c>
      <c r="DB483" s="72">
        <v>0</v>
      </c>
      <c r="DC483" s="72">
        <v>0</v>
      </c>
      <c r="DD483" s="72">
        <v>0</v>
      </c>
      <c r="DE483" s="72">
        <v>0</v>
      </c>
      <c r="DF483" s="72">
        <v>0</v>
      </c>
      <c r="DG483" s="72">
        <v>0</v>
      </c>
      <c r="DH483" s="72">
        <v>0</v>
      </c>
      <c r="DI483" s="72">
        <v>0</v>
      </c>
      <c r="DJ483" s="72">
        <v>0</v>
      </c>
      <c r="DK483" s="72">
        <v>0</v>
      </c>
      <c r="DL483" s="72">
        <v>0</v>
      </c>
      <c r="DM483" s="72">
        <v>0</v>
      </c>
      <c r="DN483" s="72">
        <v>0</v>
      </c>
      <c r="DO483" s="72">
        <v>0</v>
      </c>
      <c r="DP483" s="72">
        <v>0</v>
      </c>
      <c r="DQ483" s="72">
        <v>0</v>
      </c>
      <c r="DR483" s="72">
        <v>0</v>
      </c>
      <c r="DS483" s="72">
        <v>0</v>
      </c>
      <c r="DT483" s="72">
        <v>0</v>
      </c>
      <c r="DU483" s="72">
        <v>0</v>
      </c>
      <c r="DV483" s="72">
        <v>0</v>
      </c>
      <c r="DW483" s="72">
        <v>0</v>
      </c>
      <c r="DX483" s="72">
        <v>0</v>
      </c>
      <c r="DY483" s="72">
        <v>0</v>
      </c>
      <c r="DZ483" s="72">
        <v>0</v>
      </c>
      <c r="EA483" s="72">
        <v>0</v>
      </c>
      <c r="EB483" s="72">
        <v>0</v>
      </c>
      <c r="EC483" s="72">
        <v>0</v>
      </c>
      <c r="ED483" s="72">
        <v>0</v>
      </c>
      <c r="EE483" s="72">
        <v>0</v>
      </c>
      <c r="EF483" s="72">
        <v>0</v>
      </c>
      <c r="EG483" s="72">
        <v>0</v>
      </c>
      <c r="EH483" s="72">
        <v>0</v>
      </c>
      <c r="EI483" s="72">
        <v>0</v>
      </c>
      <c r="EJ483" s="72">
        <v>0</v>
      </c>
      <c r="EK483" s="72">
        <v>0</v>
      </c>
      <c r="EL483" s="72">
        <v>0</v>
      </c>
    </row>
    <row r="484" spans="1:142" x14ac:dyDescent="0.35">
      <c r="A484" s="59">
        <f>Данные!A484</f>
        <v>4848</v>
      </c>
      <c r="B484" s="59">
        <f>Данные!B484</f>
        <v>2017</v>
      </c>
      <c r="C484" s="59" t="str">
        <f>Данные!C484</f>
        <v>современных европейских языков</v>
      </c>
      <c r="D484" s="59" t="str">
        <f>Данные!D484</f>
        <v>Пантелеева Людмила Валентиновна</v>
      </c>
      <c r="E484" s="59" t="str">
        <f>Данные!E484</f>
        <v>кандидат филологических наук</v>
      </c>
      <c r="F484" s="59" t="str">
        <f>Данные!F484</f>
        <v>доцент</v>
      </c>
      <c r="G484" s="59">
        <f>Данные!G484</f>
        <v>0.75</v>
      </c>
      <c r="H484" s="59">
        <f>Данные!H484</f>
        <v>16003</v>
      </c>
      <c r="I484" s="59" t="str">
        <f>Данные!I484</f>
        <v>Введение в языкознание</v>
      </c>
      <c r="J484" s="59">
        <f>Данные!J484</f>
        <v>12</v>
      </c>
      <c r="K484" s="59">
        <f>Данные!K484</f>
        <v>6</v>
      </c>
      <c r="L484" s="59">
        <f>Данные!L484</f>
        <v>0</v>
      </c>
      <c r="M484" s="60">
        <f t="shared" si="63"/>
        <v>1.8</v>
      </c>
      <c r="N484" s="60">
        <f t="shared" ca="1" si="64"/>
        <v>6.29</v>
      </c>
      <c r="O484" s="60">
        <f t="shared" ca="1" si="65"/>
        <v>3.25</v>
      </c>
      <c r="P484" s="60">
        <f t="shared" ca="1" si="66"/>
        <v>3.25</v>
      </c>
      <c r="Q484" s="54">
        <f>Данные!Q484</f>
        <v>0</v>
      </c>
      <c r="R484" s="54">
        <f>Данные!R484</f>
        <v>0</v>
      </c>
      <c r="S484" s="54">
        <f>Данные!S484</f>
        <v>0</v>
      </c>
      <c r="T484" s="54">
        <f>Данные!T484</f>
        <v>0</v>
      </c>
      <c r="U484" s="54">
        <f>Данные!U484</f>
        <v>0</v>
      </c>
      <c r="V484" s="54">
        <f>Данные!V484</f>
        <v>0</v>
      </c>
      <c r="W484" s="54">
        <f ca="1">Данные!W484</f>
        <v>13</v>
      </c>
      <c r="X484" s="54" t="str">
        <f ca="1">Данные!X484</f>
        <v>1</v>
      </c>
      <c r="Y484" s="54" t="str">
        <f ca="1">Данные!Y484</f>
        <v>1</v>
      </c>
      <c r="Z484" s="54">
        <f>Данные!Z484</f>
        <v>0</v>
      </c>
      <c r="AA484" s="54" t="str">
        <f>Данные!AA484</f>
        <v>осн</v>
      </c>
      <c r="AB484" s="101">
        <f t="shared" si="67"/>
        <v>800</v>
      </c>
      <c r="AC484" s="101" t="str">
        <f t="shared" si="68"/>
        <v>ИВТ (бак)</v>
      </c>
      <c r="AD484" s="101" t="str">
        <f t="shared" si="69"/>
        <v/>
      </c>
      <c r="AE484" s="102">
        <f t="shared" ca="1" si="70"/>
        <v>32.590000000000003</v>
      </c>
      <c r="AF484" s="103">
        <f t="shared" ca="1" si="71"/>
        <v>4.0737500000000003E-2</v>
      </c>
      <c r="AG484" s="101"/>
      <c r="AH484" s="101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Q484" s="72">
        <v>0</v>
      </c>
      <c r="BR484" s="72">
        <v>0</v>
      </c>
      <c r="BS484" s="72">
        <v>0</v>
      </c>
      <c r="BT484" s="72">
        <v>0</v>
      </c>
      <c r="BU484" s="72">
        <v>0</v>
      </c>
      <c r="BV484" s="72">
        <v>0</v>
      </c>
      <c r="BW484" s="72">
        <v>0</v>
      </c>
      <c r="BX484" s="72">
        <v>0</v>
      </c>
      <c r="BY484" s="72">
        <v>0</v>
      </c>
      <c r="BZ484" s="72">
        <v>0</v>
      </c>
      <c r="CA484" s="72">
        <v>0</v>
      </c>
      <c r="CB484" s="72">
        <v>0</v>
      </c>
      <c r="CC484" s="72">
        <v>0</v>
      </c>
      <c r="CD484" s="72">
        <v>0</v>
      </c>
      <c r="CE484" s="72">
        <v>0</v>
      </c>
      <c r="CF484" s="72">
        <v>0</v>
      </c>
      <c r="CG484" s="72">
        <v>0</v>
      </c>
      <c r="CH484" s="72">
        <v>0</v>
      </c>
      <c r="CI484" s="72">
        <v>0</v>
      </c>
      <c r="CJ484" s="72">
        <v>0</v>
      </c>
      <c r="CK484" s="72">
        <v>0</v>
      </c>
      <c r="CL484" s="72">
        <v>0</v>
      </c>
      <c r="CM484" s="72">
        <v>0</v>
      </c>
      <c r="CN484" s="72">
        <v>0</v>
      </c>
      <c r="CO484" s="72">
        <v>0</v>
      </c>
      <c r="CP484" s="72">
        <v>0</v>
      </c>
      <c r="CQ484" s="72">
        <v>0</v>
      </c>
      <c r="CR484" s="72">
        <v>0</v>
      </c>
      <c r="CS484" s="72">
        <v>0</v>
      </c>
      <c r="CT484" s="72">
        <v>0</v>
      </c>
      <c r="CU484" s="72">
        <v>0</v>
      </c>
      <c r="CV484" s="72">
        <v>0</v>
      </c>
      <c r="CW484" s="72">
        <v>0</v>
      </c>
      <c r="CX484" s="72">
        <v>0</v>
      </c>
      <c r="CY484" s="72">
        <v>0</v>
      </c>
      <c r="CZ484" s="72">
        <v>0</v>
      </c>
      <c r="DA484" s="72">
        <v>0</v>
      </c>
      <c r="DB484" s="72">
        <v>0</v>
      </c>
      <c r="DC484" s="72">
        <v>0</v>
      </c>
      <c r="DD484" s="72">
        <v>0</v>
      </c>
      <c r="DE484" s="72">
        <v>0</v>
      </c>
      <c r="DF484" s="72">
        <v>0</v>
      </c>
      <c r="DG484" s="72">
        <v>0</v>
      </c>
      <c r="DH484" s="72">
        <v>0</v>
      </c>
      <c r="DI484" s="72">
        <v>0</v>
      </c>
      <c r="DJ484" s="72">
        <v>0</v>
      </c>
      <c r="DK484" s="72">
        <v>0</v>
      </c>
      <c r="DL484" s="72">
        <v>0</v>
      </c>
      <c r="DM484" s="72">
        <v>0</v>
      </c>
      <c r="DN484" s="72">
        <v>0</v>
      </c>
      <c r="DO484" s="72">
        <v>0</v>
      </c>
      <c r="DP484" s="72">
        <v>0</v>
      </c>
      <c r="DQ484" s="72">
        <v>0</v>
      </c>
      <c r="DR484" s="72">
        <v>0</v>
      </c>
      <c r="DS484" s="72">
        <v>0</v>
      </c>
      <c r="DT484" s="72">
        <v>0</v>
      </c>
      <c r="DU484" s="72">
        <v>0</v>
      </c>
      <c r="DV484" s="72">
        <v>0</v>
      </c>
      <c r="DW484" s="72">
        <v>0</v>
      </c>
      <c r="DX484" s="72">
        <v>0</v>
      </c>
      <c r="DY484" s="72">
        <v>0</v>
      </c>
      <c r="DZ484" s="72">
        <v>0</v>
      </c>
      <c r="EA484" s="72">
        <v>0</v>
      </c>
      <c r="EB484" s="72">
        <v>0</v>
      </c>
      <c r="EC484" s="72">
        <v>0</v>
      </c>
      <c r="ED484" s="72">
        <v>0</v>
      </c>
      <c r="EE484" s="72">
        <v>0</v>
      </c>
      <c r="EF484" s="72">
        <v>0</v>
      </c>
      <c r="EG484" s="72">
        <v>0</v>
      </c>
      <c r="EH484" s="72">
        <v>0</v>
      </c>
      <c r="EI484" s="72">
        <v>0</v>
      </c>
      <c r="EJ484" s="72">
        <v>0</v>
      </c>
      <c r="EK484" s="72">
        <v>0</v>
      </c>
      <c r="EL484" s="72">
        <v>0</v>
      </c>
    </row>
    <row r="485" spans="1:142" x14ac:dyDescent="0.35">
      <c r="A485" s="59">
        <f>Данные!A485</f>
        <v>4848</v>
      </c>
      <c r="B485" s="59">
        <f>Данные!B485</f>
        <v>2017</v>
      </c>
      <c r="C485" s="59" t="str">
        <f>Данные!C485</f>
        <v>современных европейских языков</v>
      </c>
      <c r="D485" s="59" t="str">
        <f>Данные!D485</f>
        <v>Тарамжина Людмила Витольдовна</v>
      </c>
      <c r="E485" s="59" t="str">
        <f>Данные!E485</f>
        <v>кандидат филологических наук</v>
      </c>
      <c r="F485" s="59" t="str">
        <f>Данные!F485</f>
        <v>доцент</v>
      </c>
      <c r="G485" s="59">
        <f>Данные!G485</f>
        <v>1</v>
      </c>
      <c r="H485" s="59">
        <f>Данные!H485</f>
        <v>16003</v>
      </c>
      <c r="I485" s="59" t="str">
        <f>Данные!I485</f>
        <v>Дисциплины (модули) по выбору. Лексикология и стилистика современных иностранных языков</v>
      </c>
      <c r="J485" s="59">
        <f>Данные!J485</f>
        <v>34</v>
      </c>
      <c r="K485" s="59">
        <f>Данные!K485</f>
        <v>0</v>
      </c>
      <c r="L485" s="59">
        <f>Данные!L485</f>
        <v>20</v>
      </c>
      <c r="M485" s="60">
        <f t="shared" si="63"/>
        <v>5.4</v>
      </c>
      <c r="N485" s="60">
        <f t="shared" ca="1" si="64"/>
        <v>6.29</v>
      </c>
      <c r="O485" s="60">
        <f t="shared" ca="1" si="65"/>
        <v>3.25</v>
      </c>
      <c r="P485" s="60">
        <f t="shared" ca="1" si="66"/>
        <v>3.25</v>
      </c>
      <c r="Q485" s="54">
        <f>Данные!Q485</f>
        <v>0</v>
      </c>
      <c r="R485" s="54">
        <f>Данные!R485</f>
        <v>0</v>
      </c>
      <c r="S485" s="54">
        <f>Данные!S485</f>
        <v>0</v>
      </c>
      <c r="T485" s="54">
        <f>Данные!T485</f>
        <v>0</v>
      </c>
      <c r="U485" s="54">
        <f>Данные!U485</f>
        <v>0</v>
      </c>
      <c r="V485" s="54">
        <f>Данные!V485</f>
        <v>0</v>
      </c>
      <c r="W485" s="54">
        <f ca="1">Данные!W485</f>
        <v>13</v>
      </c>
      <c r="X485" s="54" t="str">
        <f ca="1">Данные!X485</f>
        <v>1</v>
      </c>
      <c r="Y485" s="54" t="str">
        <f ca="1">Данные!Y485</f>
        <v>1</v>
      </c>
      <c r="Z485" s="54">
        <f>Данные!Z485</f>
        <v>0</v>
      </c>
      <c r="AA485" s="54" t="str">
        <f>Данные!AA485</f>
        <v>осн</v>
      </c>
      <c r="AB485" s="101">
        <f t="shared" si="67"/>
        <v>800</v>
      </c>
      <c r="AC485" s="101" t="str">
        <f t="shared" si="68"/>
        <v>ИВТ (бак)</v>
      </c>
      <c r="AD485" s="101" t="str">
        <f t="shared" si="69"/>
        <v/>
      </c>
      <c r="AE485" s="102">
        <f t="shared" ca="1" si="70"/>
        <v>72.19</v>
      </c>
      <c r="AF485" s="103">
        <f t="shared" ca="1" si="71"/>
        <v>9.0237499999999998E-2</v>
      </c>
      <c r="AG485" s="101"/>
      <c r="AH485" s="101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Q485" s="72">
        <v>0</v>
      </c>
      <c r="BR485" s="72">
        <v>0</v>
      </c>
      <c r="BS485" s="72">
        <v>0</v>
      </c>
      <c r="BT485" s="72">
        <v>0</v>
      </c>
      <c r="BU485" s="72">
        <v>0</v>
      </c>
      <c r="BV485" s="72">
        <v>0</v>
      </c>
      <c r="BW485" s="72">
        <v>0</v>
      </c>
      <c r="BX485" s="72">
        <v>0</v>
      </c>
      <c r="BY485" s="72">
        <v>0</v>
      </c>
      <c r="BZ485" s="72">
        <v>0</v>
      </c>
      <c r="CA485" s="72">
        <v>0</v>
      </c>
      <c r="CB485" s="72">
        <v>0</v>
      </c>
      <c r="CC485" s="72">
        <v>0</v>
      </c>
      <c r="CD485" s="72">
        <v>0</v>
      </c>
      <c r="CE485" s="72">
        <v>0</v>
      </c>
      <c r="CF485" s="72">
        <v>0</v>
      </c>
      <c r="CG485" s="72">
        <v>0</v>
      </c>
      <c r="CH485" s="72">
        <v>0</v>
      </c>
      <c r="CI485" s="72">
        <v>0</v>
      </c>
      <c r="CJ485" s="72">
        <v>0</v>
      </c>
      <c r="CK485" s="72">
        <v>0</v>
      </c>
      <c r="CL485" s="72">
        <v>0</v>
      </c>
      <c r="CM485" s="72">
        <v>0</v>
      </c>
      <c r="CN485" s="72">
        <v>0</v>
      </c>
      <c r="CO485" s="72">
        <v>0</v>
      </c>
      <c r="CP485" s="72">
        <v>0</v>
      </c>
      <c r="CQ485" s="72">
        <v>0</v>
      </c>
      <c r="CR485" s="72">
        <v>0</v>
      </c>
      <c r="CS485" s="72">
        <v>0</v>
      </c>
      <c r="CT485" s="72">
        <v>0</v>
      </c>
      <c r="CU485" s="72">
        <v>0</v>
      </c>
      <c r="CV485" s="72">
        <v>0</v>
      </c>
      <c r="CW485" s="72">
        <v>0</v>
      </c>
      <c r="CX485" s="72">
        <v>0</v>
      </c>
      <c r="CY485" s="72">
        <v>0</v>
      </c>
      <c r="CZ485" s="72">
        <v>0</v>
      </c>
      <c r="DA485" s="72">
        <v>0</v>
      </c>
      <c r="DB485" s="72">
        <v>0</v>
      </c>
      <c r="DC485" s="72">
        <v>0</v>
      </c>
      <c r="DD485" s="72">
        <v>0</v>
      </c>
      <c r="DE485" s="72">
        <v>0</v>
      </c>
      <c r="DF485" s="72">
        <v>0</v>
      </c>
      <c r="DG485" s="72">
        <v>0</v>
      </c>
      <c r="DH485" s="72">
        <v>0</v>
      </c>
      <c r="DI485" s="72">
        <v>0</v>
      </c>
      <c r="DJ485" s="72">
        <v>0</v>
      </c>
      <c r="DK485" s="72">
        <v>0</v>
      </c>
      <c r="DL485" s="72">
        <v>0</v>
      </c>
      <c r="DM485" s="72">
        <v>0</v>
      </c>
      <c r="DN485" s="72">
        <v>0</v>
      </c>
      <c r="DO485" s="72">
        <v>0</v>
      </c>
      <c r="DP485" s="72">
        <v>0</v>
      </c>
      <c r="DQ485" s="72">
        <v>0</v>
      </c>
      <c r="DR485" s="72">
        <v>0</v>
      </c>
      <c r="DS485" s="72">
        <v>0</v>
      </c>
      <c r="DT485" s="72">
        <v>0</v>
      </c>
      <c r="DU485" s="72">
        <v>0</v>
      </c>
      <c r="DV485" s="72">
        <v>0</v>
      </c>
      <c r="DW485" s="72">
        <v>0</v>
      </c>
      <c r="DX485" s="72">
        <v>0</v>
      </c>
      <c r="DY485" s="72">
        <v>0</v>
      </c>
      <c r="DZ485" s="72">
        <v>0</v>
      </c>
      <c r="EA485" s="72">
        <v>0</v>
      </c>
      <c r="EB485" s="72">
        <v>0</v>
      </c>
      <c r="EC485" s="72">
        <v>0</v>
      </c>
      <c r="ED485" s="72">
        <v>0</v>
      </c>
      <c r="EE485" s="72">
        <v>0</v>
      </c>
      <c r="EF485" s="72">
        <v>0</v>
      </c>
      <c r="EG485" s="72">
        <v>0</v>
      </c>
      <c r="EH485" s="72">
        <v>0</v>
      </c>
      <c r="EI485" s="72">
        <v>0</v>
      </c>
      <c r="EJ485" s="72">
        <v>0</v>
      </c>
      <c r="EK485" s="72">
        <v>0</v>
      </c>
      <c r="EL485" s="72">
        <v>0</v>
      </c>
    </row>
    <row r="486" spans="1:142" x14ac:dyDescent="0.35">
      <c r="A486" s="59">
        <f>Данные!A486</f>
        <v>4848</v>
      </c>
      <c r="B486" s="59">
        <f>Данные!B486</f>
        <v>2017</v>
      </c>
      <c r="C486" s="59" t="str">
        <f>Данные!C486</f>
        <v>современных европейских языков</v>
      </c>
      <c r="D486" s="59" t="str">
        <f>Данные!D486</f>
        <v>Тарамжина Людмила Витольдовна</v>
      </c>
      <c r="E486" s="59" t="str">
        <f>Данные!E486</f>
        <v>кандидат филологических наук</v>
      </c>
      <c r="F486" s="59" t="str">
        <f>Данные!F486</f>
        <v>доцент</v>
      </c>
      <c r="G486" s="59">
        <f>Данные!G486</f>
        <v>1</v>
      </c>
      <c r="H486" s="59">
        <f>Данные!H486</f>
        <v>16003</v>
      </c>
      <c r="I486" s="59" t="str">
        <f>Данные!I486</f>
        <v>Специальная лексика в сфере профессиональной коммуникации</v>
      </c>
      <c r="J486" s="59">
        <f>Данные!J486</f>
        <v>0</v>
      </c>
      <c r="K486" s="59">
        <f>Данные!K486</f>
        <v>0</v>
      </c>
      <c r="L486" s="59">
        <f>Данные!L486</f>
        <v>34</v>
      </c>
      <c r="M486" s="60">
        <f t="shared" si="63"/>
        <v>3.4</v>
      </c>
      <c r="N486" s="60">
        <f t="shared" ca="1" si="64"/>
        <v>6.29</v>
      </c>
      <c r="O486" s="60">
        <f t="shared" ca="1" si="65"/>
        <v>3.25</v>
      </c>
      <c r="P486" s="60">
        <f t="shared" ca="1" si="66"/>
        <v>3.25</v>
      </c>
      <c r="Q486" s="54">
        <f>Данные!Q486</f>
        <v>0</v>
      </c>
      <c r="R486" s="54">
        <f>Данные!R486</f>
        <v>0</v>
      </c>
      <c r="S486" s="54">
        <f>Данные!S486</f>
        <v>0</v>
      </c>
      <c r="T486" s="54">
        <f>Данные!T486</f>
        <v>0</v>
      </c>
      <c r="U486" s="54">
        <f>Данные!U486</f>
        <v>0</v>
      </c>
      <c r="V486" s="54">
        <f>Данные!V486</f>
        <v>0</v>
      </c>
      <c r="W486" s="54">
        <f ca="1">Данные!W486</f>
        <v>13</v>
      </c>
      <c r="X486" s="54" t="str">
        <f ca="1">Данные!X486</f>
        <v>1</v>
      </c>
      <c r="Y486" s="54" t="str">
        <f ca="1">Данные!Y486</f>
        <v>1</v>
      </c>
      <c r="Z486" s="54">
        <f>Данные!Z486</f>
        <v>0</v>
      </c>
      <c r="AA486" s="54">
        <f>Данные!AA486</f>
        <v>0</v>
      </c>
      <c r="AB486" s="101">
        <f t="shared" si="67"/>
        <v>800</v>
      </c>
      <c r="AC486" s="101" t="str">
        <f t="shared" si="68"/>
        <v>ИВТ (бак)</v>
      </c>
      <c r="AD486" s="101" t="str">
        <f t="shared" si="69"/>
        <v/>
      </c>
      <c r="AE486" s="102">
        <f t="shared" ca="1" si="70"/>
        <v>50.19</v>
      </c>
      <c r="AF486" s="103">
        <f t="shared" ca="1" si="71"/>
        <v>6.2737500000000002E-2</v>
      </c>
      <c r="AG486" s="101"/>
      <c r="AH486" s="101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Q486" s="72">
        <v>0</v>
      </c>
      <c r="BR486" s="72">
        <v>0</v>
      </c>
      <c r="BS486" s="72">
        <v>0</v>
      </c>
      <c r="BT486" s="72">
        <v>0</v>
      </c>
      <c r="BU486" s="72">
        <v>0</v>
      </c>
      <c r="BV486" s="72">
        <v>0</v>
      </c>
      <c r="BW486" s="72">
        <v>0</v>
      </c>
      <c r="BX486" s="72">
        <v>0</v>
      </c>
      <c r="BY486" s="72">
        <v>0</v>
      </c>
      <c r="BZ486" s="72">
        <v>0</v>
      </c>
      <c r="CA486" s="72">
        <v>0</v>
      </c>
      <c r="CB486" s="72">
        <v>0</v>
      </c>
      <c r="CC486" s="72">
        <v>0</v>
      </c>
      <c r="CD486" s="72">
        <v>0</v>
      </c>
      <c r="CE486" s="72">
        <v>0</v>
      </c>
      <c r="CF486" s="72">
        <v>0</v>
      </c>
      <c r="CG486" s="72">
        <v>0</v>
      </c>
      <c r="CH486" s="72">
        <v>0</v>
      </c>
      <c r="CI486" s="72">
        <v>0</v>
      </c>
      <c r="CJ486" s="72">
        <v>0</v>
      </c>
      <c r="CK486" s="72">
        <v>0</v>
      </c>
      <c r="CL486" s="72">
        <v>0</v>
      </c>
      <c r="CM486" s="72">
        <v>0</v>
      </c>
      <c r="CN486" s="72">
        <v>0</v>
      </c>
      <c r="CO486" s="72">
        <v>0</v>
      </c>
      <c r="CP486" s="72">
        <v>0</v>
      </c>
      <c r="CQ486" s="72">
        <v>0</v>
      </c>
      <c r="CR486" s="72">
        <v>0</v>
      </c>
      <c r="CS486" s="72">
        <v>0</v>
      </c>
      <c r="CT486" s="72">
        <v>0</v>
      </c>
      <c r="CU486" s="72">
        <v>0</v>
      </c>
      <c r="CV486" s="72">
        <v>0</v>
      </c>
      <c r="CW486" s="72">
        <v>0</v>
      </c>
      <c r="CX486" s="72">
        <v>0</v>
      </c>
      <c r="CY486" s="72">
        <v>0</v>
      </c>
      <c r="CZ486" s="72">
        <v>0</v>
      </c>
      <c r="DA486" s="72">
        <v>0</v>
      </c>
      <c r="DB486" s="72">
        <v>0</v>
      </c>
      <c r="DC486" s="72">
        <v>0</v>
      </c>
      <c r="DD486" s="72">
        <v>0</v>
      </c>
      <c r="DE486" s="72">
        <v>0</v>
      </c>
      <c r="DF486" s="72">
        <v>0</v>
      </c>
      <c r="DG486" s="72">
        <v>0</v>
      </c>
      <c r="DH486" s="72">
        <v>0</v>
      </c>
      <c r="DI486" s="72">
        <v>0</v>
      </c>
      <c r="DJ486" s="72">
        <v>0</v>
      </c>
      <c r="DK486" s="72">
        <v>0</v>
      </c>
      <c r="DL486" s="72">
        <v>0</v>
      </c>
      <c r="DM486" s="72">
        <v>0</v>
      </c>
      <c r="DN486" s="72">
        <v>0</v>
      </c>
      <c r="DO486" s="72">
        <v>0</v>
      </c>
      <c r="DP486" s="72">
        <v>0</v>
      </c>
      <c r="DQ486" s="72">
        <v>0</v>
      </c>
      <c r="DR486" s="72">
        <v>0</v>
      </c>
      <c r="DS486" s="72">
        <v>0</v>
      </c>
      <c r="DT486" s="72">
        <v>0</v>
      </c>
      <c r="DU486" s="72">
        <v>0</v>
      </c>
      <c r="DV486" s="72">
        <v>0</v>
      </c>
      <c r="DW486" s="72">
        <v>0</v>
      </c>
      <c r="DX486" s="72">
        <v>0</v>
      </c>
      <c r="DY486" s="72">
        <v>0</v>
      </c>
      <c r="DZ486" s="72">
        <v>0</v>
      </c>
      <c r="EA486" s="72">
        <v>0</v>
      </c>
      <c r="EB486" s="72">
        <v>0</v>
      </c>
      <c r="EC486" s="72">
        <v>0</v>
      </c>
      <c r="ED486" s="72">
        <v>0</v>
      </c>
      <c r="EE486" s="72">
        <v>0</v>
      </c>
      <c r="EF486" s="72">
        <v>0</v>
      </c>
      <c r="EG486" s="72">
        <v>0</v>
      </c>
      <c r="EH486" s="72">
        <v>0</v>
      </c>
      <c r="EI486" s="72">
        <v>0</v>
      </c>
      <c r="EJ486" s="72">
        <v>0</v>
      </c>
      <c r="EK486" s="72">
        <v>0</v>
      </c>
      <c r="EL486" s="72">
        <v>0</v>
      </c>
    </row>
    <row r="487" spans="1:142" x14ac:dyDescent="0.35">
      <c r="A487" s="59">
        <f>Данные!A487</f>
        <v>4848</v>
      </c>
      <c r="B487" s="59">
        <f>Данные!B487</f>
        <v>2017</v>
      </c>
      <c r="C487" s="59" t="str">
        <f>Данные!C487</f>
        <v>современных европейских языков</v>
      </c>
      <c r="D487" s="59" t="str">
        <f>Данные!D487</f>
        <v>Швинк Лоренс Ричард</v>
      </c>
      <c r="E487" s="59" t="str">
        <f>Данные!E487</f>
        <v>нет</v>
      </c>
      <c r="F487" s="59" t="str">
        <f>Данные!F487</f>
        <v>старший преподаватель</v>
      </c>
      <c r="G487" s="59">
        <f>Данные!G487</f>
        <v>0.37</v>
      </c>
      <c r="H487" s="59">
        <f>Данные!H487</f>
        <v>16003</v>
      </c>
      <c r="I487" s="59" t="str">
        <f>Данные!I487</f>
        <v>Дисциплины (модули) по выбору. Практический курс иностранного языка</v>
      </c>
      <c r="J487" s="59">
        <f>Данные!J487</f>
        <v>0</v>
      </c>
      <c r="K487" s="59">
        <f>Данные!K487</f>
        <v>0</v>
      </c>
      <c r="L487" s="59">
        <f>Данные!L487</f>
        <v>72</v>
      </c>
      <c r="M487" s="60">
        <f t="shared" si="63"/>
        <v>7.2</v>
      </c>
      <c r="N487" s="60">
        <f t="shared" ca="1" si="64"/>
        <v>6.29</v>
      </c>
      <c r="O487" s="60">
        <f t="shared" ca="1" si="65"/>
        <v>3.25</v>
      </c>
      <c r="P487" s="60">
        <f t="shared" ca="1" si="66"/>
        <v>3.25</v>
      </c>
      <c r="Q487" s="54">
        <f>Данные!Q487</f>
        <v>0</v>
      </c>
      <c r="R487" s="54">
        <f>Данные!R487</f>
        <v>0</v>
      </c>
      <c r="S487" s="54">
        <f>Данные!S487</f>
        <v>0</v>
      </c>
      <c r="T487" s="54">
        <f>Данные!T487</f>
        <v>0</v>
      </c>
      <c r="U487" s="54">
        <f>Данные!U487</f>
        <v>0</v>
      </c>
      <c r="V487" s="54">
        <f>Данные!V487</f>
        <v>0</v>
      </c>
      <c r="W487" s="54">
        <f ca="1">Данные!W487</f>
        <v>13</v>
      </c>
      <c r="X487" s="54" t="str">
        <f ca="1">Данные!X487</f>
        <v>1</v>
      </c>
      <c r="Y487" s="54" t="str">
        <f ca="1">Данные!Y487</f>
        <v>1</v>
      </c>
      <c r="Z487" s="54">
        <f>Данные!Z487</f>
        <v>0</v>
      </c>
      <c r="AA487" s="54">
        <f>Данные!AA487</f>
        <v>0</v>
      </c>
      <c r="AB487" s="101">
        <f t="shared" si="67"/>
        <v>850</v>
      </c>
      <c r="AC487" s="101" t="str">
        <f t="shared" si="68"/>
        <v>ИВТ (бак)</v>
      </c>
      <c r="AD487" s="101" t="str">
        <f t="shared" si="69"/>
        <v/>
      </c>
      <c r="AE487" s="102">
        <f t="shared" ca="1" si="70"/>
        <v>91.990000000000009</v>
      </c>
      <c r="AF487" s="103">
        <f t="shared" ca="1" si="71"/>
        <v>0.10822352941176472</v>
      </c>
      <c r="AG487" s="101"/>
      <c r="AH487" s="101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Q487" s="72">
        <v>0</v>
      </c>
      <c r="BR487" s="72">
        <v>0</v>
      </c>
      <c r="BS487" s="72">
        <v>0</v>
      </c>
      <c r="BT487" s="72">
        <v>0</v>
      </c>
      <c r="BU487" s="72">
        <v>0</v>
      </c>
      <c r="BV487" s="72">
        <v>0</v>
      </c>
      <c r="BW487" s="72">
        <v>0</v>
      </c>
      <c r="BX487" s="72">
        <v>0</v>
      </c>
      <c r="BY487" s="72">
        <v>0</v>
      </c>
      <c r="BZ487" s="72">
        <v>0</v>
      </c>
      <c r="CA487" s="72">
        <v>0</v>
      </c>
      <c r="CB487" s="72">
        <v>0</v>
      </c>
      <c r="CC487" s="72">
        <v>0</v>
      </c>
      <c r="CD487" s="72">
        <v>0</v>
      </c>
      <c r="CE487" s="72">
        <v>0</v>
      </c>
      <c r="CF487" s="72">
        <v>0</v>
      </c>
      <c r="CG487" s="72">
        <v>0</v>
      </c>
      <c r="CH487" s="72">
        <v>0</v>
      </c>
      <c r="CI487" s="72">
        <v>0</v>
      </c>
      <c r="CJ487" s="72">
        <v>0</v>
      </c>
      <c r="CK487" s="72">
        <v>0</v>
      </c>
      <c r="CL487" s="72">
        <v>0</v>
      </c>
      <c r="CM487" s="72">
        <v>0</v>
      </c>
      <c r="CN487" s="72">
        <v>0</v>
      </c>
      <c r="CO487" s="72">
        <v>0</v>
      </c>
      <c r="CP487" s="72">
        <v>0</v>
      </c>
      <c r="CQ487" s="72">
        <v>0</v>
      </c>
      <c r="CR487" s="72">
        <v>0</v>
      </c>
      <c r="CS487" s="72">
        <v>0</v>
      </c>
      <c r="CT487" s="72">
        <v>0</v>
      </c>
      <c r="CU487" s="72">
        <v>0</v>
      </c>
      <c r="CV487" s="72">
        <v>0</v>
      </c>
      <c r="CW487" s="72">
        <v>0</v>
      </c>
      <c r="CX487" s="72">
        <v>0</v>
      </c>
      <c r="CY487" s="72">
        <v>0</v>
      </c>
      <c r="CZ487" s="72">
        <v>0</v>
      </c>
      <c r="DA487" s="72">
        <v>0</v>
      </c>
      <c r="DB487" s="72">
        <v>0</v>
      </c>
      <c r="DC487" s="72">
        <v>0</v>
      </c>
      <c r="DD487" s="72">
        <v>0</v>
      </c>
      <c r="DE487" s="72">
        <v>0</v>
      </c>
      <c r="DF487" s="72">
        <v>0</v>
      </c>
      <c r="DG487" s="72">
        <v>0</v>
      </c>
      <c r="DH487" s="72">
        <v>0</v>
      </c>
      <c r="DI487" s="72">
        <v>0</v>
      </c>
      <c r="DJ487" s="72">
        <v>0</v>
      </c>
      <c r="DK487" s="72">
        <v>0</v>
      </c>
      <c r="DL487" s="72">
        <v>0</v>
      </c>
      <c r="DM487" s="72">
        <v>0</v>
      </c>
      <c r="DN487" s="72">
        <v>0</v>
      </c>
      <c r="DO487" s="72">
        <v>0</v>
      </c>
      <c r="DP487" s="72">
        <v>0</v>
      </c>
      <c r="DQ487" s="72">
        <v>0</v>
      </c>
      <c r="DR487" s="72">
        <v>0</v>
      </c>
      <c r="DS487" s="72">
        <v>0</v>
      </c>
      <c r="DT487" s="72">
        <v>0</v>
      </c>
      <c r="DU487" s="72">
        <v>0</v>
      </c>
      <c r="DV487" s="72">
        <v>0</v>
      </c>
      <c r="DW487" s="72">
        <v>0</v>
      </c>
      <c r="DX487" s="72">
        <v>0</v>
      </c>
      <c r="DY487" s="72">
        <v>0</v>
      </c>
      <c r="DZ487" s="72">
        <v>0</v>
      </c>
      <c r="EA487" s="72">
        <v>0</v>
      </c>
      <c r="EB487" s="72">
        <v>0</v>
      </c>
      <c r="EC487" s="72">
        <v>0</v>
      </c>
      <c r="ED487" s="72">
        <v>0</v>
      </c>
      <c r="EE487" s="72">
        <v>0</v>
      </c>
      <c r="EF487" s="72">
        <v>0</v>
      </c>
      <c r="EG487" s="72">
        <v>0</v>
      </c>
      <c r="EH487" s="72">
        <v>0</v>
      </c>
      <c r="EI487" s="72">
        <v>0</v>
      </c>
      <c r="EJ487" s="72">
        <v>0</v>
      </c>
      <c r="EK487" s="72">
        <v>0</v>
      </c>
      <c r="EL487" s="72">
        <v>0</v>
      </c>
    </row>
    <row r="488" spans="1:142" x14ac:dyDescent="0.35">
      <c r="A488" s="59">
        <f>Данные!A488</f>
        <v>4848</v>
      </c>
      <c r="B488" s="59">
        <f>Данные!B488</f>
        <v>2017</v>
      </c>
      <c r="C488" s="59" t="str">
        <f>Данные!C488</f>
        <v>социального управления</v>
      </c>
      <c r="D488" s="59" t="str">
        <f>Данные!D488</f>
        <v>Дулин Юрий Николаевич</v>
      </c>
      <c r="E488" s="59" t="str">
        <f>Данные!E488</f>
        <v>кандидат экономических наук</v>
      </c>
      <c r="F488" s="59" t="str">
        <f>Данные!F488</f>
        <v>доцент</v>
      </c>
      <c r="G488" s="59">
        <f>Данные!G488</f>
        <v>1</v>
      </c>
      <c r="H488" s="59">
        <f>Данные!H488</f>
        <v>16003</v>
      </c>
      <c r="I488" s="59" t="str">
        <f>Данные!I488</f>
        <v>Дисциплины (модули) по выбору. Менеджмент организации</v>
      </c>
      <c r="J488" s="59">
        <f>Данные!J488</f>
        <v>18</v>
      </c>
      <c r="K488" s="59">
        <f>Данные!K488</f>
        <v>18</v>
      </c>
      <c r="L488" s="59">
        <f>Данные!L488</f>
        <v>0</v>
      </c>
      <c r="M488" s="60">
        <f t="shared" si="63"/>
        <v>3.6</v>
      </c>
      <c r="N488" s="60">
        <f t="shared" ca="1" si="64"/>
        <v>6.29</v>
      </c>
      <c r="O488" s="60">
        <f t="shared" ca="1" si="65"/>
        <v>3.25</v>
      </c>
      <c r="P488" s="60">
        <f t="shared" ca="1" si="66"/>
        <v>3.25</v>
      </c>
      <c r="Q488" s="54">
        <f>Данные!Q488</f>
        <v>0</v>
      </c>
      <c r="R488" s="54">
        <f>Данные!R488</f>
        <v>0</v>
      </c>
      <c r="S488" s="54">
        <f>Данные!S488</f>
        <v>0</v>
      </c>
      <c r="T488" s="54">
        <f>Данные!T488</f>
        <v>0</v>
      </c>
      <c r="U488" s="54">
        <f>Данные!U488</f>
        <v>0</v>
      </c>
      <c r="V488" s="54">
        <f>Данные!V488</f>
        <v>0</v>
      </c>
      <c r="W488" s="54">
        <f ca="1">Данные!W488</f>
        <v>13</v>
      </c>
      <c r="X488" s="54" t="str">
        <f ca="1">Данные!X488</f>
        <v>1</v>
      </c>
      <c r="Y488" s="54" t="str">
        <f ca="1">Данные!Y488</f>
        <v>1</v>
      </c>
      <c r="Z488" s="54">
        <f>Данные!Z488</f>
        <v>0</v>
      </c>
      <c r="AA488" s="54">
        <f>Данные!AA488</f>
        <v>0</v>
      </c>
      <c r="AB488" s="101">
        <f t="shared" si="67"/>
        <v>800</v>
      </c>
      <c r="AC488" s="101" t="str">
        <f t="shared" si="68"/>
        <v>ИВТ (бак)</v>
      </c>
      <c r="AD488" s="101" t="str">
        <f t="shared" si="69"/>
        <v/>
      </c>
      <c r="AE488" s="102">
        <f t="shared" ca="1" si="70"/>
        <v>52.39</v>
      </c>
      <c r="AF488" s="103">
        <f t="shared" ca="1" si="71"/>
        <v>6.5487500000000004E-2</v>
      </c>
      <c r="AG488" s="101"/>
      <c r="AH488" s="101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Q488" s="72">
        <v>0</v>
      </c>
      <c r="BR488" s="72">
        <v>0</v>
      </c>
      <c r="BS488" s="72">
        <v>0</v>
      </c>
      <c r="BT488" s="72">
        <v>0</v>
      </c>
      <c r="BU488" s="72">
        <v>0</v>
      </c>
      <c r="BV488" s="72">
        <v>0</v>
      </c>
      <c r="BW488" s="72">
        <v>0</v>
      </c>
      <c r="BX488" s="72">
        <v>0</v>
      </c>
      <c r="BY488" s="72">
        <v>0</v>
      </c>
      <c r="BZ488" s="72">
        <v>0</v>
      </c>
      <c r="CA488" s="72">
        <v>0</v>
      </c>
      <c r="CB488" s="72">
        <v>0</v>
      </c>
      <c r="CC488" s="72">
        <v>0</v>
      </c>
      <c r="CD488" s="72">
        <v>0</v>
      </c>
      <c r="CE488" s="72">
        <v>0</v>
      </c>
      <c r="CF488" s="72">
        <v>0</v>
      </c>
      <c r="CG488" s="72">
        <v>0</v>
      </c>
      <c r="CH488" s="72">
        <v>0</v>
      </c>
      <c r="CI488" s="72">
        <v>0</v>
      </c>
      <c r="CJ488" s="72">
        <v>0</v>
      </c>
      <c r="CK488" s="72">
        <v>0</v>
      </c>
      <c r="CL488" s="72">
        <v>0</v>
      </c>
      <c r="CM488" s="72">
        <v>0</v>
      </c>
      <c r="CN488" s="72">
        <v>0</v>
      </c>
      <c r="CO488" s="72">
        <v>0</v>
      </c>
      <c r="CP488" s="72">
        <v>0</v>
      </c>
      <c r="CQ488" s="72">
        <v>0</v>
      </c>
      <c r="CR488" s="72">
        <v>0</v>
      </c>
      <c r="CS488" s="72">
        <v>0</v>
      </c>
      <c r="CT488" s="72">
        <v>0</v>
      </c>
      <c r="CU488" s="72">
        <v>0</v>
      </c>
      <c r="CV488" s="72">
        <v>0</v>
      </c>
      <c r="CW488" s="72">
        <v>0</v>
      </c>
      <c r="CX488" s="72">
        <v>0</v>
      </c>
      <c r="CY488" s="72">
        <v>0</v>
      </c>
      <c r="CZ488" s="72">
        <v>0</v>
      </c>
      <c r="DA488" s="72">
        <v>0</v>
      </c>
      <c r="DB488" s="72">
        <v>0</v>
      </c>
      <c r="DC488" s="72">
        <v>0</v>
      </c>
      <c r="DD488" s="72">
        <v>0</v>
      </c>
      <c r="DE488" s="72">
        <v>0</v>
      </c>
      <c r="DF488" s="72">
        <v>0</v>
      </c>
      <c r="DG488" s="72">
        <v>0</v>
      </c>
      <c r="DH488" s="72">
        <v>0</v>
      </c>
      <c r="DI488" s="72">
        <v>0</v>
      </c>
      <c r="DJ488" s="72">
        <v>0</v>
      </c>
      <c r="DK488" s="72">
        <v>0</v>
      </c>
      <c r="DL488" s="72">
        <v>0</v>
      </c>
      <c r="DM488" s="72">
        <v>0</v>
      </c>
      <c r="DN488" s="72">
        <v>0</v>
      </c>
      <c r="DO488" s="72">
        <v>0</v>
      </c>
      <c r="DP488" s="72">
        <v>0</v>
      </c>
      <c r="DQ488" s="72">
        <v>0</v>
      </c>
      <c r="DR488" s="72">
        <v>0</v>
      </c>
      <c r="DS488" s="72">
        <v>0</v>
      </c>
      <c r="DT488" s="72">
        <v>0</v>
      </c>
      <c r="DU488" s="72">
        <v>0</v>
      </c>
      <c r="DV488" s="72">
        <v>0</v>
      </c>
      <c r="DW488" s="72">
        <v>0</v>
      </c>
      <c r="DX488" s="72">
        <v>0</v>
      </c>
      <c r="DY488" s="72">
        <v>0</v>
      </c>
      <c r="DZ488" s="72">
        <v>0</v>
      </c>
      <c r="EA488" s="72">
        <v>0</v>
      </c>
      <c r="EB488" s="72">
        <v>0</v>
      </c>
      <c r="EC488" s="72">
        <v>0</v>
      </c>
      <c r="ED488" s="72">
        <v>0</v>
      </c>
      <c r="EE488" s="72">
        <v>0</v>
      </c>
      <c r="EF488" s="72">
        <v>0</v>
      </c>
      <c r="EG488" s="72">
        <v>0</v>
      </c>
      <c r="EH488" s="72">
        <v>0</v>
      </c>
      <c r="EI488" s="72">
        <v>0</v>
      </c>
      <c r="EJ488" s="72">
        <v>0</v>
      </c>
      <c r="EK488" s="72">
        <v>0</v>
      </c>
      <c r="EL488" s="72">
        <v>0</v>
      </c>
    </row>
    <row r="489" spans="1:142" x14ac:dyDescent="0.35">
      <c r="A489" s="59">
        <f>Данные!A489</f>
        <v>4848</v>
      </c>
      <c r="B489" s="59">
        <f>Данные!B489</f>
        <v>2017</v>
      </c>
      <c r="C489" s="59" t="str">
        <f>Данные!C489</f>
        <v>физической электроники</v>
      </c>
      <c r="D489" s="59" t="str">
        <f>Данные!D489</f>
        <v>Маслов Вадим Владимирович</v>
      </c>
      <c r="E489" s="59" t="str">
        <f>Данные!E489</f>
        <v>кандидат физ.-мат. наук</v>
      </c>
      <c r="F489" s="59" t="str">
        <f>Данные!F489</f>
        <v>доцент</v>
      </c>
      <c r="G489" s="59">
        <f>Данные!G489</f>
        <v>0.5</v>
      </c>
      <c r="H489" s="59">
        <f>Данные!H489</f>
        <v>16003</v>
      </c>
      <c r="I489" s="59" t="str">
        <f>Данные!I489</f>
        <v>Электротехника электроника и схемотехника</v>
      </c>
      <c r="J489" s="59">
        <f>Данные!J489</f>
        <v>16</v>
      </c>
      <c r="K489" s="59">
        <f>Данные!K489</f>
        <v>16</v>
      </c>
      <c r="L489" s="59">
        <f>Данные!L489</f>
        <v>16</v>
      </c>
      <c r="M489" s="60">
        <f t="shared" si="63"/>
        <v>4.8</v>
      </c>
      <c r="N489" s="60">
        <f t="shared" ca="1" si="64"/>
        <v>6.29</v>
      </c>
      <c r="O489" s="60">
        <f t="shared" ca="1" si="65"/>
        <v>3.25</v>
      </c>
      <c r="P489" s="60">
        <f t="shared" ca="1" si="66"/>
        <v>3.25</v>
      </c>
      <c r="Q489" s="54">
        <f>Данные!Q489</f>
        <v>0</v>
      </c>
      <c r="R489" s="54">
        <f>Данные!R489</f>
        <v>0</v>
      </c>
      <c r="S489" s="54">
        <f>Данные!S489</f>
        <v>0</v>
      </c>
      <c r="T489" s="54">
        <f>Данные!T489</f>
        <v>0</v>
      </c>
      <c r="U489" s="54">
        <f>Данные!U489</f>
        <v>0</v>
      </c>
      <c r="V489" s="54">
        <f>Данные!V489</f>
        <v>0</v>
      </c>
      <c r="W489" s="54">
        <f ca="1">Данные!W489</f>
        <v>13</v>
      </c>
      <c r="X489" s="54" t="str">
        <f ca="1">Данные!X489</f>
        <v>1</v>
      </c>
      <c r="Y489" s="54" t="str">
        <f ca="1">Данные!Y489</f>
        <v>1</v>
      </c>
      <c r="Z489" s="54">
        <f>Данные!Z489</f>
        <v>0</v>
      </c>
      <c r="AA489" s="54" t="str">
        <f>Данные!AA489</f>
        <v>осн</v>
      </c>
      <c r="AB489" s="101">
        <f t="shared" si="67"/>
        <v>800</v>
      </c>
      <c r="AC489" s="101" t="str">
        <f t="shared" si="68"/>
        <v>ИВТ (бак)</v>
      </c>
      <c r="AD489" s="101" t="str">
        <f t="shared" si="69"/>
        <v/>
      </c>
      <c r="AE489" s="102">
        <f t="shared" ca="1" si="70"/>
        <v>65.59</v>
      </c>
      <c r="AF489" s="103">
        <f t="shared" ca="1" si="71"/>
        <v>8.1987500000000005E-2</v>
      </c>
      <c r="AG489" s="101"/>
      <c r="AH489" s="101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Q489" s="72">
        <v>0</v>
      </c>
      <c r="BR489" s="72">
        <v>0</v>
      </c>
      <c r="BS489" s="72">
        <v>0</v>
      </c>
      <c r="BT489" s="72">
        <v>0</v>
      </c>
      <c r="BU489" s="72">
        <v>0</v>
      </c>
      <c r="BV489" s="72">
        <v>0</v>
      </c>
      <c r="BW489" s="72">
        <v>0</v>
      </c>
      <c r="BX489" s="72">
        <v>0</v>
      </c>
      <c r="BY489" s="72">
        <v>0</v>
      </c>
      <c r="BZ489" s="72">
        <v>0</v>
      </c>
      <c r="CA489" s="72">
        <v>0</v>
      </c>
      <c r="CB489" s="72">
        <v>0</v>
      </c>
      <c r="CC489" s="72">
        <v>0</v>
      </c>
      <c r="CD489" s="72">
        <v>0</v>
      </c>
      <c r="CE489" s="72">
        <v>0</v>
      </c>
      <c r="CF489" s="72">
        <v>0</v>
      </c>
      <c r="CG489" s="72">
        <v>0</v>
      </c>
      <c r="CH489" s="72">
        <v>0</v>
      </c>
      <c r="CI489" s="72">
        <v>0</v>
      </c>
      <c r="CJ489" s="72">
        <v>0</v>
      </c>
      <c r="CK489" s="72">
        <v>0</v>
      </c>
      <c r="CL489" s="72">
        <v>0</v>
      </c>
      <c r="CM489" s="72">
        <v>0</v>
      </c>
      <c r="CN489" s="72">
        <v>0</v>
      </c>
      <c r="CO489" s="72">
        <v>0</v>
      </c>
      <c r="CP489" s="72">
        <v>0</v>
      </c>
      <c r="CQ489" s="72">
        <v>0</v>
      </c>
      <c r="CR489" s="72">
        <v>0</v>
      </c>
      <c r="CS489" s="72">
        <v>0</v>
      </c>
      <c r="CT489" s="72">
        <v>0</v>
      </c>
      <c r="CU489" s="72">
        <v>0</v>
      </c>
      <c r="CV489" s="72">
        <v>0</v>
      </c>
      <c r="CW489" s="72">
        <v>0</v>
      </c>
      <c r="CX489" s="72">
        <v>0</v>
      </c>
      <c r="CY489" s="72">
        <v>0</v>
      </c>
      <c r="CZ489" s="72">
        <v>0</v>
      </c>
      <c r="DA489" s="72">
        <v>0</v>
      </c>
      <c r="DB489" s="72">
        <v>0</v>
      </c>
      <c r="DC489" s="72">
        <v>0</v>
      </c>
      <c r="DD489" s="72">
        <v>0</v>
      </c>
      <c r="DE489" s="72">
        <v>0</v>
      </c>
      <c r="DF489" s="72">
        <v>0</v>
      </c>
      <c r="DG489" s="72">
        <v>0</v>
      </c>
      <c r="DH489" s="72">
        <v>0</v>
      </c>
      <c r="DI489" s="72">
        <v>0</v>
      </c>
      <c r="DJ489" s="72">
        <v>0</v>
      </c>
      <c r="DK489" s="72">
        <v>0</v>
      </c>
      <c r="DL489" s="72">
        <v>0</v>
      </c>
      <c r="DM489" s="72">
        <v>0</v>
      </c>
      <c r="DN489" s="72">
        <v>0</v>
      </c>
      <c r="DO489" s="72">
        <v>0</v>
      </c>
      <c r="DP489" s="72">
        <v>0</v>
      </c>
      <c r="DQ489" s="72">
        <v>0</v>
      </c>
      <c r="DR489" s="72">
        <v>0</v>
      </c>
      <c r="DS489" s="72">
        <v>0</v>
      </c>
      <c r="DT489" s="72">
        <v>0</v>
      </c>
      <c r="DU489" s="72">
        <v>0</v>
      </c>
      <c r="DV489" s="72">
        <v>0</v>
      </c>
      <c r="DW489" s="72">
        <v>0</v>
      </c>
      <c r="DX489" s="72">
        <v>0</v>
      </c>
      <c r="DY489" s="72">
        <v>0</v>
      </c>
      <c r="DZ489" s="72">
        <v>0</v>
      </c>
      <c r="EA489" s="72">
        <v>0</v>
      </c>
      <c r="EB489" s="72">
        <v>0</v>
      </c>
      <c r="EC489" s="72">
        <v>0</v>
      </c>
      <c r="ED489" s="72">
        <v>0</v>
      </c>
      <c r="EE489" s="72">
        <v>0</v>
      </c>
      <c r="EF489" s="72">
        <v>0</v>
      </c>
      <c r="EG489" s="72">
        <v>0</v>
      </c>
      <c r="EH489" s="72">
        <v>0</v>
      </c>
      <c r="EI489" s="72">
        <v>0</v>
      </c>
      <c r="EJ489" s="72">
        <v>0</v>
      </c>
      <c r="EK489" s="72">
        <v>0</v>
      </c>
      <c r="EL489" s="72">
        <v>0</v>
      </c>
    </row>
    <row r="490" spans="1:142" x14ac:dyDescent="0.35">
      <c r="A490" s="59">
        <f>Данные!A490</f>
        <v>4848</v>
      </c>
      <c r="B490" s="59">
        <f>Данные!B490</f>
        <v>2018</v>
      </c>
      <c r="C490" s="59" t="str">
        <f>Данные!C490</f>
        <v>геологии и геоэкологии</v>
      </c>
      <c r="D490" s="59" t="str">
        <f>Данные!D490</f>
        <v>Любимов Александр Владимирович</v>
      </c>
      <c r="E490" s="59" t="str">
        <f>Данные!E490</f>
        <v>доктор сельскохоз. наук</v>
      </c>
      <c r="F490" s="59" t="str">
        <f>Данные!F490</f>
        <v>профессор</v>
      </c>
      <c r="G490" s="59">
        <f>Данные!G490</f>
        <v>1</v>
      </c>
      <c r="H490" s="59">
        <f>Данные!H490</f>
        <v>17231</v>
      </c>
      <c r="I490" s="59" t="str">
        <f>Данные!I490</f>
        <v>Модуль "Информационные системы". Геоинформационные системы</v>
      </c>
      <c r="J490" s="59">
        <f>Данные!J490</f>
        <v>0</v>
      </c>
      <c r="K490" s="59">
        <f>Данные!K490</f>
        <v>18</v>
      </c>
      <c r="L490" s="59">
        <f>Данные!L490</f>
        <v>0</v>
      </c>
      <c r="M490" s="60">
        <f t="shared" si="63"/>
        <v>1.8</v>
      </c>
      <c r="N490" s="60">
        <f t="shared" ca="1" si="64"/>
        <v>6.29</v>
      </c>
      <c r="O490" s="60">
        <f t="shared" ca="1" si="65"/>
        <v>3.25</v>
      </c>
      <c r="P490" s="60">
        <f t="shared" ca="1" si="66"/>
        <v>3.25</v>
      </c>
      <c r="Q490" s="54">
        <f>Данные!Q490</f>
        <v>0</v>
      </c>
      <c r="R490" s="54">
        <f>Данные!R490</f>
        <v>0</v>
      </c>
      <c r="S490" s="54">
        <f>Данные!S490</f>
        <v>0</v>
      </c>
      <c r="T490" s="54">
        <f>Данные!T490</f>
        <v>0</v>
      </c>
      <c r="U490" s="54">
        <f>Данные!U490</f>
        <v>0</v>
      </c>
      <c r="V490" s="54">
        <f>Данные!V490</f>
        <v>0</v>
      </c>
      <c r="W490" s="54">
        <f ca="1">Данные!W490</f>
        <v>13</v>
      </c>
      <c r="X490" s="54" t="str">
        <f ca="1">Данные!X490</f>
        <v>1</v>
      </c>
      <c r="Y490" s="54" t="str">
        <f ca="1">Данные!Y490</f>
        <v>1</v>
      </c>
      <c r="Z490" s="54">
        <f>Данные!Z490</f>
        <v>0</v>
      </c>
      <c r="AA490" s="54" t="str">
        <f>Данные!AA490</f>
        <v>осн</v>
      </c>
      <c r="AB490" s="101">
        <f t="shared" si="67"/>
        <v>750</v>
      </c>
      <c r="AC490" s="101" t="str">
        <f t="shared" si="68"/>
        <v>ИВТ (бак)</v>
      </c>
      <c r="AD490" s="101" t="str">
        <f t="shared" si="69"/>
        <v/>
      </c>
      <c r="AE490" s="102">
        <f t="shared" ca="1" si="70"/>
        <v>32.590000000000003</v>
      </c>
      <c r="AF490" s="103">
        <f t="shared" ca="1" si="71"/>
        <v>4.3453333333333337E-2</v>
      </c>
      <c r="AG490" s="101"/>
      <c r="AH490" s="101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Q490" s="72">
        <v>0</v>
      </c>
      <c r="BR490" s="72">
        <v>0</v>
      </c>
      <c r="BS490" s="72">
        <v>0</v>
      </c>
      <c r="BT490" s="72">
        <v>0</v>
      </c>
      <c r="BU490" s="72">
        <v>0</v>
      </c>
      <c r="BV490" s="72">
        <v>0</v>
      </c>
      <c r="BW490" s="72">
        <v>0</v>
      </c>
      <c r="BX490" s="72">
        <v>0</v>
      </c>
      <c r="BY490" s="72">
        <v>0</v>
      </c>
      <c r="BZ490" s="72">
        <v>0</v>
      </c>
      <c r="CA490" s="72">
        <v>0</v>
      </c>
      <c r="CB490" s="72">
        <v>0</v>
      </c>
      <c r="CC490" s="72">
        <v>0</v>
      </c>
      <c r="CD490" s="72">
        <v>0</v>
      </c>
      <c r="CE490" s="72">
        <v>0</v>
      </c>
      <c r="CF490" s="72">
        <v>0</v>
      </c>
      <c r="CG490" s="72">
        <v>0</v>
      </c>
      <c r="CH490" s="72">
        <v>0</v>
      </c>
      <c r="CI490" s="72">
        <v>0</v>
      </c>
      <c r="CJ490" s="72">
        <v>0</v>
      </c>
      <c r="CK490" s="72">
        <v>0</v>
      </c>
      <c r="CL490" s="72">
        <v>0</v>
      </c>
      <c r="CM490" s="72">
        <v>0</v>
      </c>
      <c r="CN490" s="72">
        <v>0</v>
      </c>
      <c r="CO490" s="72">
        <v>0</v>
      </c>
      <c r="CP490" s="72">
        <v>0</v>
      </c>
      <c r="CQ490" s="72">
        <v>0</v>
      </c>
      <c r="CR490" s="72">
        <v>0</v>
      </c>
      <c r="CS490" s="72">
        <v>0</v>
      </c>
      <c r="CT490" s="72">
        <v>0</v>
      </c>
      <c r="CU490" s="72">
        <v>0</v>
      </c>
      <c r="CV490" s="72">
        <v>0</v>
      </c>
      <c r="CW490" s="72">
        <v>0</v>
      </c>
      <c r="CX490" s="72">
        <v>0</v>
      </c>
      <c r="CY490" s="72">
        <v>0</v>
      </c>
      <c r="CZ490" s="72">
        <v>0</v>
      </c>
      <c r="DA490" s="72">
        <v>0</v>
      </c>
      <c r="DB490" s="72">
        <v>0</v>
      </c>
      <c r="DC490" s="72">
        <v>0</v>
      </c>
      <c r="DD490" s="72">
        <v>0</v>
      </c>
      <c r="DE490" s="72">
        <v>0</v>
      </c>
      <c r="DF490" s="72">
        <v>0</v>
      </c>
      <c r="DG490" s="72">
        <v>0</v>
      </c>
      <c r="DH490" s="72">
        <v>0</v>
      </c>
      <c r="DI490" s="72">
        <v>0</v>
      </c>
      <c r="DJ490" s="72">
        <v>0</v>
      </c>
      <c r="DK490" s="72">
        <v>0</v>
      </c>
      <c r="DL490" s="72">
        <v>0</v>
      </c>
      <c r="DM490" s="72">
        <v>0</v>
      </c>
      <c r="DN490" s="72">
        <v>0</v>
      </c>
      <c r="DO490" s="72">
        <v>0</v>
      </c>
      <c r="DP490" s="72">
        <v>0</v>
      </c>
      <c r="DQ490" s="72">
        <v>0</v>
      </c>
      <c r="DR490" s="72">
        <v>0</v>
      </c>
      <c r="DS490" s="72">
        <v>0</v>
      </c>
      <c r="DT490" s="72">
        <v>0</v>
      </c>
      <c r="DU490" s="72">
        <v>0</v>
      </c>
      <c r="DV490" s="72">
        <v>0</v>
      </c>
      <c r="DW490" s="72">
        <v>0</v>
      </c>
      <c r="DX490" s="72">
        <v>0</v>
      </c>
      <c r="DY490" s="72">
        <v>0</v>
      </c>
      <c r="DZ490" s="72">
        <v>0</v>
      </c>
      <c r="EA490" s="72">
        <v>0</v>
      </c>
      <c r="EB490" s="72">
        <v>0</v>
      </c>
      <c r="EC490" s="72">
        <v>0</v>
      </c>
      <c r="ED490" s="72">
        <v>0</v>
      </c>
      <c r="EE490" s="72">
        <v>0</v>
      </c>
      <c r="EF490" s="72">
        <v>0</v>
      </c>
      <c r="EG490" s="72">
        <v>0</v>
      </c>
      <c r="EH490" s="72">
        <v>0</v>
      </c>
      <c r="EI490" s="72">
        <v>0</v>
      </c>
      <c r="EJ490" s="72">
        <v>0</v>
      </c>
      <c r="EK490" s="72">
        <v>0</v>
      </c>
      <c r="EL490" s="72">
        <v>0</v>
      </c>
    </row>
    <row r="491" spans="1:142" x14ac:dyDescent="0.35">
      <c r="A491" s="59">
        <f>Данные!A491</f>
        <v>4848</v>
      </c>
      <c r="B491" s="59">
        <f>Данные!B491</f>
        <v>2018</v>
      </c>
      <c r="C491" s="59" t="str">
        <f>Данные!C491</f>
        <v>русского языка</v>
      </c>
      <c r="D491" s="59" t="str">
        <f>Данные!D491</f>
        <v>Силантьев Евгений Евгеньевич</v>
      </c>
      <c r="E491" s="59" t="str">
        <f>Данные!E491</f>
        <v>кандидат филологических наук</v>
      </c>
      <c r="F491" s="59" t="str">
        <f>Данные!F491</f>
        <v>доцент</v>
      </c>
      <c r="G491" s="59">
        <f>Данные!G491</f>
        <v>0.75</v>
      </c>
      <c r="H491" s="59">
        <f>Данные!H491</f>
        <v>17231</v>
      </c>
      <c r="I491" s="59" t="str">
        <f>Данные!I491</f>
        <v>Вариативные модули. Модуль "Теоретические и практические аспекты переводоведения". Дисциплины и курсы по выбору. Стилистика русского языка и культура речи</v>
      </c>
      <c r="J491" s="59">
        <f>Данные!J491</f>
        <v>18</v>
      </c>
      <c r="K491" s="59">
        <f>Данные!K491</f>
        <v>18</v>
      </c>
      <c r="L491" s="59">
        <f>Данные!L491</f>
        <v>0</v>
      </c>
      <c r="M491" s="60">
        <f t="shared" si="63"/>
        <v>3.6</v>
      </c>
      <c r="N491" s="60">
        <f t="shared" ca="1" si="64"/>
        <v>6.29</v>
      </c>
      <c r="O491" s="60">
        <f t="shared" ca="1" si="65"/>
        <v>3.25</v>
      </c>
      <c r="P491" s="60">
        <f t="shared" ca="1" si="66"/>
        <v>3.25</v>
      </c>
      <c r="Q491" s="54">
        <f>Данные!Q491</f>
        <v>0</v>
      </c>
      <c r="R491" s="54">
        <f>Данные!R491</f>
        <v>0</v>
      </c>
      <c r="S491" s="54">
        <f>Данные!S491</f>
        <v>0</v>
      </c>
      <c r="T491" s="54">
        <f>Данные!T491</f>
        <v>0</v>
      </c>
      <c r="U491" s="54">
        <f>Данные!U491</f>
        <v>0</v>
      </c>
      <c r="V491" s="54">
        <f>Данные!V491</f>
        <v>0</v>
      </c>
      <c r="W491" s="54">
        <f ca="1">Данные!W491</f>
        <v>13</v>
      </c>
      <c r="X491" s="54" t="str">
        <f ca="1">Данные!X491</f>
        <v>1</v>
      </c>
      <c r="Y491" s="54" t="str">
        <f ca="1">Данные!Y491</f>
        <v>1</v>
      </c>
      <c r="Z491" s="54">
        <f>Данные!Z491</f>
        <v>0</v>
      </c>
      <c r="AA491" s="54" t="str">
        <f>Данные!AA491</f>
        <v>осн</v>
      </c>
      <c r="AB491" s="101">
        <f t="shared" si="67"/>
        <v>800</v>
      </c>
      <c r="AC491" s="101" t="str">
        <f t="shared" si="68"/>
        <v>ИВТ (бак)</v>
      </c>
      <c r="AD491" s="101" t="str">
        <f t="shared" si="69"/>
        <v/>
      </c>
      <c r="AE491" s="102">
        <f t="shared" ca="1" si="70"/>
        <v>52.39</v>
      </c>
      <c r="AF491" s="103">
        <f t="shared" ca="1" si="71"/>
        <v>6.5487500000000004E-2</v>
      </c>
      <c r="AG491" s="101"/>
      <c r="AH491" s="10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Q491" s="72">
        <v>0</v>
      </c>
      <c r="BR491" s="72">
        <v>0</v>
      </c>
      <c r="BS491" s="72">
        <v>0</v>
      </c>
      <c r="BT491" s="72">
        <v>0</v>
      </c>
      <c r="BU491" s="72">
        <v>0</v>
      </c>
      <c r="BV491" s="72">
        <v>0</v>
      </c>
      <c r="BW491" s="72">
        <v>0</v>
      </c>
      <c r="BX491" s="72">
        <v>0</v>
      </c>
      <c r="BY491" s="72">
        <v>0</v>
      </c>
      <c r="BZ491" s="72">
        <v>0</v>
      </c>
      <c r="CA491" s="72">
        <v>0</v>
      </c>
      <c r="CB491" s="72">
        <v>0</v>
      </c>
      <c r="CC491" s="72">
        <v>0</v>
      </c>
      <c r="CD491" s="72">
        <v>0</v>
      </c>
      <c r="CE491" s="72">
        <v>0</v>
      </c>
      <c r="CF491" s="72">
        <v>0</v>
      </c>
      <c r="CG491" s="72">
        <v>0</v>
      </c>
      <c r="CH491" s="72">
        <v>0</v>
      </c>
      <c r="CI491" s="72">
        <v>0</v>
      </c>
      <c r="CJ491" s="72">
        <v>0</v>
      </c>
      <c r="CK491" s="72">
        <v>0</v>
      </c>
      <c r="CL491" s="72">
        <v>0</v>
      </c>
      <c r="CM491" s="72">
        <v>0</v>
      </c>
      <c r="CN491" s="72">
        <v>0</v>
      </c>
      <c r="CO491" s="72">
        <v>0</v>
      </c>
      <c r="CP491" s="72">
        <v>0</v>
      </c>
      <c r="CQ491" s="72">
        <v>0</v>
      </c>
      <c r="CR491" s="72">
        <v>0</v>
      </c>
      <c r="CS491" s="72">
        <v>0</v>
      </c>
      <c r="CT491" s="72">
        <v>0</v>
      </c>
      <c r="CU491" s="72">
        <v>0</v>
      </c>
      <c r="CV491" s="72">
        <v>0</v>
      </c>
      <c r="CW491" s="72">
        <v>0</v>
      </c>
      <c r="CX491" s="72">
        <v>0</v>
      </c>
      <c r="CY491" s="72">
        <v>0</v>
      </c>
      <c r="CZ491" s="72">
        <v>0</v>
      </c>
      <c r="DA491" s="72">
        <v>0</v>
      </c>
      <c r="DB491" s="72">
        <v>0</v>
      </c>
      <c r="DC491" s="72">
        <v>0</v>
      </c>
      <c r="DD491" s="72">
        <v>0</v>
      </c>
      <c r="DE491" s="72">
        <v>0</v>
      </c>
      <c r="DF491" s="72">
        <v>0</v>
      </c>
      <c r="DG491" s="72">
        <v>0</v>
      </c>
      <c r="DH491" s="72">
        <v>0</v>
      </c>
      <c r="DI491" s="72">
        <v>0</v>
      </c>
      <c r="DJ491" s="72">
        <v>0</v>
      </c>
      <c r="DK491" s="72">
        <v>0</v>
      </c>
      <c r="DL491" s="72">
        <v>0</v>
      </c>
      <c r="DM491" s="72">
        <v>0</v>
      </c>
      <c r="DN491" s="72">
        <v>0</v>
      </c>
      <c r="DO491" s="72">
        <v>0</v>
      </c>
      <c r="DP491" s="72">
        <v>0</v>
      </c>
      <c r="DQ491" s="72">
        <v>0</v>
      </c>
      <c r="DR491" s="72">
        <v>0</v>
      </c>
      <c r="DS491" s="72">
        <v>0</v>
      </c>
      <c r="DT491" s="72">
        <v>0</v>
      </c>
      <c r="DU491" s="72">
        <v>0</v>
      </c>
      <c r="DV491" s="72">
        <v>0</v>
      </c>
      <c r="DW491" s="72">
        <v>0</v>
      </c>
      <c r="DX491" s="72">
        <v>0</v>
      </c>
      <c r="DY491" s="72">
        <v>0</v>
      </c>
      <c r="DZ491" s="72">
        <v>0</v>
      </c>
      <c r="EA491" s="72">
        <v>0</v>
      </c>
      <c r="EB491" s="72">
        <v>0</v>
      </c>
      <c r="EC491" s="72">
        <v>0</v>
      </c>
      <c r="ED491" s="72">
        <v>0</v>
      </c>
      <c r="EE491" s="72">
        <v>0</v>
      </c>
      <c r="EF491" s="72">
        <v>0</v>
      </c>
      <c r="EG491" s="72">
        <v>0</v>
      </c>
      <c r="EH491" s="72">
        <v>0</v>
      </c>
      <c r="EI491" s="72">
        <v>0</v>
      </c>
      <c r="EJ491" s="72">
        <v>0</v>
      </c>
      <c r="EK491" s="72">
        <v>0</v>
      </c>
      <c r="EL491" s="72">
        <v>0</v>
      </c>
    </row>
    <row r="492" spans="1:142" x14ac:dyDescent="0.35">
      <c r="A492" s="59">
        <f>Данные!A492</f>
        <v>4848</v>
      </c>
      <c r="B492" s="59">
        <f>Данные!B492</f>
        <v>2018</v>
      </c>
      <c r="C492" s="59" t="str">
        <f>Данные!C492</f>
        <v>современных европейских языков</v>
      </c>
      <c r="D492" s="59" t="str">
        <f>Данные!D492</f>
        <v>Кудрявцева Наталья Фаддеевна</v>
      </c>
      <c r="E492" s="59" t="str">
        <f>Данные!E492</f>
        <v>кандидат социологических наук</v>
      </c>
      <c r="F492" s="59" t="str">
        <f>Данные!F492</f>
        <v>доцент</v>
      </c>
      <c r="G492" s="59">
        <f>Данные!G492</f>
        <v>1</v>
      </c>
      <c r="H492" s="59">
        <f>Данные!H492</f>
        <v>17231</v>
      </c>
      <c r="I492" s="59" t="str">
        <f>Данные!I492</f>
        <v>Вариативные модули. Модуль "Теоретические и практические аспекты переводоведения"</v>
      </c>
      <c r="J492" s="59">
        <f>Данные!J492</f>
        <v>0</v>
      </c>
      <c r="K492" s="59">
        <f>Данные!K492</f>
        <v>0</v>
      </c>
      <c r="L492" s="59">
        <f>Данные!L492</f>
        <v>0</v>
      </c>
      <c r="M492" s="60">
        <f t="shared" si="63"/>
        <v>0</v>
      </c>
      <c r="N492" s="60">
        <f t="shared" ca="1" si="64"/>
        <v>6.29</v>
      </c>
      <c r="O492" s="60">
        <f t="shared" ca="1" si="65"/>
        <v>3.25</v>
      </c>
      <c r="P492" s="60">
        <f t="shared" ca="1" si="66"/>
        <v>3.25</v>
      </c>
      <c r="Q492" s="54">
        <f>Данные!Q492</f>
        <v>0</v>
      </c>
      <c r="R492" s="54">
        <f>Данные!R492</f>
        <v>0</v>
      </c>
      <c r="S492" s="54">
        <f>Данные!S492</f>
        <v>0</v>
      </c>
      <c r="T492" s="54">
        <f>Данные!T492</f>
        <v>0</v>
      </c>
      <c r="U492" s="54">
        <f>Данные!U492</f>
        <v>0</v>
      </c>
      <c r="V492" s="54">
        <f>Данные!V492</f>
        <v>0</v>
      </c>
      <c r="W492" s="54">
        <f ca="1">Данные!W492</f>
        <v>13</v>
      </c>
      <c r="X492" s="54" t="str">
        <f ca="1">Данные!X492</f>
        <v>1</v>
      </c>
      <c r="Y492" s="54" t="str">
        <f ca="1">Данные!Y492</f>
        <v>1</v>
      </c>
      <c r="Z492" s="54">
        <f>Данные!Z492</f>
        <v>0</v>
      </c>
      <c r="AA492" s="54" t="str">
        <f>Данные!AA492</f>
        <v>осн</v>
      </c>
      <c r="AB492" s="101">
        <f t="shared" si="67"/>
        <v>800</v>
      </c>
      <c r="AC492" s="101" t="str">
        <f t="shared" si="68"/>
        <v>ИВТ (бак)</v>
      </c>
      <c r="AD492" s="101" t="str">
        <f t="shared" si="69"/>
        <v/>
      </c>
      <c r="AE492" s="102">
        <f t="shared" ca="1" si="70"/>
        <v>12.79</v>
      </c>
      <c r="AF492" s="103">
        <f t="shared" ca="1" si="71"/>
        <v>1.5987499999999998E-2</v>
      </c>
      <c r="AG492" s="101"/>
      <c r="AH492" s="101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Q492" s="72">
        <v>0</v>
      </c>
      <c r="BR492" s="72">
        <v>0</v>
      </c>
      <c r="BS492" s="72">
        <v>0</v>
      </c>
      <c r="BT492" s="72">
        <v>0</v>
      </c>
      <c r="BU492" s="72">
        <v>0</v>
      </c>
      <c r="BV492" s="72">
        <v>0</v>
      </c>
      <c r="BW492" s="72">
        <v>0</v>
      </c>
      <c r="BX492" s="72">
        <v>0</v>
      </c>
      <c r="BY492" s="72">
        <v>0</v>
      </c>
      <c r="BZ492" s="72">
        <v>0</v>
      </c>
      <c r="CA492" s="72">
        <v>0</v>
      </c>
      <c r="CB492" s="72">
        <v>0</v>
      </c>
      <c r="CC492" s="72">
        <v>0</v>
      </c>
      <c r="CD492" s="72">
        <v>0</v>
      </c>
      <c r="CE492" s="72">
        <v>0</v>
      </c>
      <c r="CF492" s="72">
        <v>0</v>
      </c>
      <c r="CG492" s="72">
        <v>0</v>
      </c>
      <c r="CH492" s="72">
        <v>0</v>
      </c>
      <c r="CI492" s="72">
        <v>0</v>
      </c>
      <c r="CJ492" s="72">
        <v>0</v>
      </c>
      <c r="CK492" s="72">
        <v>0</v>
      </c>
      <c r="CL492" s="72">
        <v>0</v>
      </c>
      <c r="CM492" s="72">
        <v>0</v>
      </c>
      <c r="CN492" s="72">
        <v>0</v>
      </c>
      <c r="CO492" s="72">
        <v>0</v>
      </c>
      <c r="CP492" s="72">
        <v>0</v>
      </c>
      <c r="CQ492" s="72">
        <v>0</v>
      </c>
      <c r="CR492" s="72">
        <v>0</v>
      </c>
      <c r="CS492" s="72">
        <v>0</v>
      </c>
      <c r="CT492" s="72">
        <v>0</v>
      </c>
      <c r="CU492" s="72">
        <v>0</v>
      </c>
      <c r="CV492" s="72">
        <v>0</v>
      </c>
      <c r="CW492" s="72">
        <v>0</v>
      </c>
      <c r="CX492" s="72">
        <v>0</v>
      </c>
      <c r="CY492" s="72">
        <v>0</v>
      </c>
      <c r="CZ492" s="72">
        <v>0</v>
      </c>
      <c r="DA492" s="72">
        <v>0</v>
      </c>
      <c r="DB492" s="72">
        <v>0</v>
      </c>
      <c r="DC492" s="72">
        <v>0</v>
      </c>
      <c r="DD492" s="72">
        <v>0</v>
      </c>
      <c r="DE492" s="72">
        <v>0</v>
      </c>
      <c r="DF492" s="72">
        <v>0</v>
      </c>
      <c r="DG492" s="72">
        <v>0</v>
      </c>
      <c r="DH492" s="72">
        <v>0</v>
      </c>
      <c r="DI492" s="72">
        <v>0</v>
      </c>
      <c r="DJ492" s="72">
        <v>0</v>
      </c>
      <c r="DK492" s="72">
        <v>0</v>
      </c>
      <c r="DL492" s="72">
        <v>0</v>
      </c>
      <c r="DM492" s="72">
        <v>0</v>
      </c>
      <c r="DN492" s="72">
        <v>0</v>
      </c>
      <c r="DO492" s="72">
        <v>0</v>
      </c>
      <c r="DP492" s="72">
        <v>0</v>
      </c>
      <c r="DQ492" s="72">
        <v>0</v>
      </c>
      <c r="DR492" s="72">
        <v>0</v>
      </c>
      <c r="DS492" s="72">
        <v>0</v>
      </c>
      <c r="DT492" s="72">
        <v>0</v>
      </c>
      <c r="DU492" s="72">
        <v>0</v>
      </c>
      <c r="DV492" s="72">
        <v>0</v>
      </c>
      <c r="DW492" s="72">
        <v>0</v>
      </c>
      <c r="DX492" s="72">
        <v>0</v>
      </c>
      <c r="DY492" s="72">
        <v>0</v>
      </c>
      <c r="DZ492" s="72">
        <v>0</v>
      </c>
      <c r="EA492" s="72">
        <v>0</v>
      </c>
      <c r="EB492" s="72">
        <v>0</v>
      </c>
      <c r="EC492" s="72">
        <v>0</v>
      </c>
      <c r="ED492" s="72">
        <v>0</v>
      </c>
      <c r="EE492" s="72">
        <v>0</v>
      </c>
      <c r="EF492" s="72">
        <v>0</v>
      </c>
      <c r="EG492" s="72">
        <v>0</v>
      </c>
      <c r="EH492" s="72">
        <v>0</v>
      </c>
      <c r="EI492" s="72">
        <v>0</v>
      </c>
      <c r="EJ492" s="72">
        <v>0</v>
      </c>
      <c r="EK492" s="72">
        <v>0</v>
      </c>
      <c r="EL492" s="72">
        <v>0</v>
      </c>
    </row>
    <row r="493" spans="1:142" x14ac:dyDescent="0.35">
      <c r="A493" s="59">
        <f>Данные!A493</f>
        <v>4848</v>
      </c>
      <c r="B493" s="59">
        <f>Данные!B493</f>
        <v>2018</v>
      </c>
      <c r="C493" s="59" t="str">
        <f>Данные!C493</f>
        <v>современных европейских языков</v>
      </c>
      <c r="D493" s="59" t="str">
        <f>Данные!D493</f>
        <v>Кудрявцева Наталья Фаддеевна</v>
      </c>
      <c r="E493" s="59" t="str">
        <f>Данные!E493</f>
        <v>кандидат социологических наук</v>
      </c>
      <c r="F493" s="59" t="str">
        <f>Данные!F493</f>
        <v>доцент</v>
      </c>
      <c r="G493" s="59">
        <f>Данные!G493</f>
        <v>1</v>
      </c>
      <c r="H493" s="59">
        <f>Данные!H493</f>
        <v>17231</v>
      </c>
      <c r="I493" s="59" t="str">
        <f>Данные!I493</f>
        <v>Вариативные модули. Модуль "Теоретические и практические аспекты переводоведения". Дисциплины и курсы по выбору. Терминология профессионального общения на иностранном языке</v>
      </c>
      <c r="J493" s="59">
        <f>Данные!J493</f>
        <v>36</v>
      </c>
      <c r="K493" s="59">
        <f>Данные!K493</f>
        <v>36</v>
      </c>
      <c r="L493" s="59">
        <f>Данные!L493</f>
        <v>0</v>
      </c>
      <c r="M493" s="60">
        <f t="shared" si="63"/>
        <v>7.2</v>
      </c>
      <c r="N493" s="60">
        <f t="shared" ca="1" si="64"/>
        <v>6.29</v>
      </c>
      <c r="O493" s="60">
        <f t="shared" ca="1" si="65"/>
        <v>3.25</v>
      </c>
      <c r="P493" s="60">
        <f t="shared" ca="1" si="66"/>
        <v>3.25</v>
      </c>
      <c r="Q493" s="54">
        <f>Данные!Q493</f>
        <v>0</v>
      </c>
      <c r="R493" s="54">
        <f>Данные!R493</f>
        <v>0</v>
      </c>
      <c r="S493" s="54">
        <f>Данные!S493</f>
        <v>0</v>
      </c>
      <c r="T493" s="54">
        <f>Данные!T493</f>
        <v>0</v>
      </c>
      <c r="U493" s="54">
        <f>Данные!U493</f>
        <v>0</v>
      </c>
      <c r="V493" s="54">
        <f>Данные!V493</f>
        <v>0</v>
      </c>
      <c r="W493" s="54">
        <f ca="1">Данные!W493</f>
        <v>13</v>
      </c>
      <c r="X493" s="54" t="str">
        <f ca="1">Данные!X493</f>
        <v>1</v>
      </c>
      <c r="Y493" s="54" t="str">
        <f ca="1">Данные!Y493</f>
        <v>1</v>
      </c>
      <c r="Z493" s="54">
        <f>Данные!Z493</f>
        <v>0</v>
      </c>
      <c r="AA493" s="54" t="str">
        <f>Данные!AA493</f>
        <v>осн</v>
      </c>
      <c r="AB493" s="101">
        <f t="shared" si="67"/>
        <v>800</v>
      </c>
      <c r="AC493" s="101" t="str">
        <f t="shared" si="68"/>
        <v>ИВТ (бак)</v>
      </c>
      <c r="AD493" s="101" t="str">
        <f t="shared" si="69"/>
        <v/>
      </c>
      <c r="AE493" s="102">
        <f t="shared" ca="1" si="70"/>
        <v>91.990000000000009</v>
      </c>
      <c r="AF493" s="103">
        <f t="shared" ca="1" si="71"/>
        <v>0.11498750000000001</v>
      </c>
      <c r="AG493" s="101"/>
      <c r="AH493" s="101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Q493" s="72">
        <v>0</v>
      </c>
      <c r="BR493" s="72">
        <v>0</v>
      </c>
      <c r="BS493" s="72">
        <v>0</v>
      </c>
      <c r="BT493" s="72">
        <v>0</v>
      </c>
      <c r="BU493" s="72">
        <v>0</v>
      </c>
      <c r="BV493" s="72">
        <v>0</v>
      </c>
      <c r="BW493" s="72">
        <v>0</v>
      </c>
      <c r="BX493" s="72">
        <v>0</v>
      </c>
      <c r="BY493" s="72">
        <v>0</v>
      </c>
      <c r="BZ493" s="72">
        <v>0</v>
      </c>
      <c r="CA493" s="72">
        <v>0</v>
      </c>
      <c r="CB493" s="72">
        <v>0</v>
      </c>
      <c r="CC493" s="72">
        <v>0</v>
      </c>
      <c r="CD493" s="72">
        <v>0</v>
      </c>
      <c r="CE493" s="72">
        <v>0</v>
      </c>
      <c r="CF493" s="72">
        <v>0</v>
      </c>
      <c r="CG493" s="72">
        <v>0</v>
      </c>
      <c r="CH493" s="72">
        <v>0</v>
      </c>
      <c r="CI493" s="72">
        <v>0</v>
      </c>
      <c r="CJ493" s="72">
        <v>0</v>
      </c>
      <c r="CK493" s="72">
        <v>0</v>
      </c>
      <c r="CL493" s="72">
        <v>0</v>
      </c>
      <c r="CM493" s="72">
        <v>0</v>
      </c>
      <c r="CN493" s="72">
        <v>0</v>
      </c>
      <c r="CO493" s="72">
        <v>0</v>
      </c>
      <c r="CP493" s="72">
        <v>0</v>
      </c>
      <c r="CQ493" s="72">
        <v>0</v>
      </c>
      <c r="CR493" s="72">
        <v>0</v>
      </c>
      <c r="CS493" s="72">
        <v>0</v>
      </c>
      <c r="CT493" s="72">
        <v>0</v>
      </c>
      <c r="CU493" s="72">
        <v>0</v>
      </c>
      <c r="CV493" s="72">
        <v>0</v>
      </c>
      <c r="CW493" s="72">
        <v>0</v>
      </c>
      <c r="CX493" s="72">
        <v>0</v>
      </c>
      <c r="CY493" s="72">
        <v>0</v>
      </c>
      <c r="CZ493" s="72">
        <v>0</v>
      </c>
      <c r="DA493" s="72">
        <v>0</v>
      </c>
      <c r="DB493" s="72">
        <v>0</v>
      </c>
      <c r="DC493" s="72">
        <v>0</v>
      </c>
      <c r="DD493" s="72">
        <v>0</v>
      </c>
      <c r="DE493" s="72">
        <v>0</v>
      </c>
      <c r="DF493" s="72">
        <v>0</v>
      </c>
      <c r="DG493" s="72">
        <v>0</v>
      </c>
      <c r="DH493" s="72">
        <v>0</v>
      </c>
      <c r="DI493" s="72">
        <v>0</v>
      </c>
      <c r="DJ493" s="72">
        <v>0</v>
      </c>
      <c r="DK493" s="72">
        <v>0</v>
      </c>
      <c r="DL493" s="72">
        <v>0</v>
      </c>
      <c r="DM493" s="72">
        <v>0</v>
      </c>
      <c r="DN493" s="72">
        <v>0</v>
      </c>
      <c r="DO493" s="72">
        <v>0</v>
      </c>
      <c r="DP493" s="72">
        <v>0</v>
      </c>
      <c r="DQ493" s="72">
        <v>0</v>
      </c>
      <c r="DR493" s="72">
        <v>0</v>
      </c>
      <c r="DS493" s="72">
        <v>0</v>
      </c>
      <c r="DT493" s="72">
        <v>0</v>
      </c>
      <c r="DU493" s="72">
        <v>0</v>
      </c>
      <c r="DV493" s="72">
        <v>0</v>
      </c>
      <c r="DW493" s="72">
        <v>0</v>
      </c>
      <c r="DX493" s="72">
        <v>0</v>
      </c>
      <c r="DY493" s="72">
        <v>0</v>
      </c>
      <c r="DZ493" s="72">
        <v>0</v>
      </c>
      <c r="EA493" s="72">
        <v>0</v>
      </c>
      <c r="EB493" s="72">
        <v>0</v>
      </c>
      <c r="EC493" s="72">
        <v>0</v>
      </c>
      <c r="ED493" s="72">
        <v>0</v>
      </c>
      <c r="EE493" s="72">
        <v>0</v>
      </c>
      <c r="EF493" s="72">
        <v>0</v>
      </c>
      <c r="EG493" s="72">
        <v>0</v>
      </c>
      <c r="EH493" s="72">
        <v>0</v>
      </c>
      <c r="EI493" s="72">
        <v>0</v>
      </c>
      <c r="EJ493" s="72">
        <v>0</v>
      </c>
      <c r="EK493" s="72">
        <v>0</v>
      </c>
      <c r="EL493" s="72">
        <v>0</v>
      </c>
    </row>
    <row r="494" spans="1:142" x14ac:dyDescent="0.35">
      <c r="A494" s="59">
        <f>Данные!A494</f>
        <v>4848</v>
      </c>
      <c r="B494" s="59">
        <f>Данные!B494</f>
        <v>2018</v>
      </c>
      <c r="C494" s="59" t="str">
        <f>Данные!C494</f>
        <v>современных европейских языков</v>
      </c>
      <c r="D494" s="59" t="str">
        <f>Данные!D494</f>
        <v>Кудрявцева Наталья Фаддеевна</v>
      </c>
      <c r="E494" s="59" t="str">
        <f>Данные!E494</f>
        <v>кандидат социологических наук</v>
      </c>
      <c r="F494" s="59" t="str">
        <f>Данные!F494</f>
        <v>доцент</v>
      </c>
      <c r="G494" s="59">
        <f>Данные!G494</f>
        <v>1</v>
      </c>
      <c r="H494" s="59">
        <f>Данные!H494</f>
        <v>17231</v>
      </c>
      <c r="I494" s="59" t="str">
        <f>Данные!I494</f>
        <v>Дисциплины (модули) по выбору. Иностранный язык в профессиональной сфере</v>
      </c>
      <c r="J494" s="59">
        <f>Данные!J494</f>
        <v>0</v>
      </c>
      <c r="K494" s="59">
        <f>Данные!K494</f>
        <v>0</v>
      </c>
      <c r="L494" s="59">
        <f>Данные!L494</f>
        <v>36</v>
      </c>
      <c r="M494" s="60">
        <f t="shared" si="63"/>
        <v>3.6</v>
      </c>
      <c r="N494" s="60">
        <f t="shared" ca="1" si="64"/>
        <v>6.29</v>
      </c>
      <c r="O494" s="60">
        <f t="shared" ca="1" si="65"/>
        <v>3.25</v>
      </c>
      <c r="P494" s="60">
        <f t="shared" ca="1" si="66"/>
        <v>3.25</v>
      </c>
      <c r="Q494" s="54">
        <f>Данные!Q494</f>
        <v>0</v>
      </c>
      <c r="R494" s="54">
        <f>Данные!R494</f>
        <v>0</v>
      </c>
      <c r="S494" s="54">
        <f>Данные!S494</f>
        <v>0</v>
      </c>
      <c r="T494" s="54">
        <f>Данные!T494</f>
        <v>0</v>
      </c>
      <c r="U494" s="54">
        <f>Данные!U494</f>
        <v>0</v>
      </c>
      <c r="V494" s="54">
        <f>Данные!V494</f>
        <v>0</v>
      </c>
      <c r="W494" s="54">
        <f ca="1">Данные!W494</f>
        <v>13</v>
      </c>
      <c r="X494" s="54" t="str">
        <f ca="1">Данные!X494</f>
        <v>1</v>
      </c>
      <c r="Y494" s="54" t="str">
        <f ca="1">Данные!Y494</f>
        <v>1</v>
      </c>
      <c r="Z494" s="54">
        <f>Данные!Z494</f>
        <v>0</v>
      </c>
      <c r="AA494" s="54" t="str">
        <f>Данные!AA494</f>
        <v>осн</v>
      </c>
      <c r="AB494" s="101">
        <f t="shared" si="67"/>
        <v>800</v>
      </c>
      <c r="AC494" s="101" t="str">
        <f t="shared" si="68"/>
        <v>ИВТ (бак)</v>
      </c>
      <c r="AD494" s="101" t="str">
        <f t="shared" si="69"/>
        <v/>
      </c>
      <c r="AE494" s="102">
        <f t="shared" ca="1" si="70"/>
        <v>52.39</v>
      </c>
      <c r="AF494" s="103">
        <f t="shared" ca="1" si="71"/>
        <v>6.5487500000000004E-2</v>
      </c>
      <c r="AG494" s="101"/>
      <c r="AH494" s="101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Q494" s="72">
        <v>0</v>
      </c>
      <c r="BR494" s="72">
        <v>0</v>
      </c>
      <c r="BS494" s="72">
        <v>0</v>
      </c>
      <c r="BT494" s="72">
        <v>0</v>
      </c>
      <c r="BU494" s="72">
        <v>0</v>
      </c>
      <c r="BV494" s="72">
        <v>0</v>
      </c>
      <c r="BW494" s="72">
        <v>0</v>
      </c>
      <c r="BX494" s="72">
        <v>0</v>
      </c>
      <c r="BY494" s="72">
        <v>0</v>
      </c>
      <c r="BZ494" s="72">
        <v>0</v>
      </c>
      <c r="CA494" s="72">
        <v>0</v>
      </c>
      <c r="CB494" s="72">
        <v>0</v>
      </c>
      <c r="CC494" s="72">
        <v>0</v>
      </c>
      <c r="CD494" s="72">
        <v>0</v>
      </c>
      <c r="CE494" s="72">
        <v>0</v>
      </c>
      <c r="CF494" s="72">
        <v>0</v>
      </c>
      <c r="CG494" s="72">
        <v>0</v>
      </c>
      <c r="CH494" s="72">
        <v>0</v>
      </c>
      <c r="CI494" s="72">
        <v>0</v>
      </c>
      <c r="CJ494" s="72">
        <v>0</v>
      </c>
      <c r="CK494" s="72">
        <v>0</v>
      </c>
      <c r="CL494" s="72">
        <v>0</v>
      </c>
      <c r="CM494" s="72">
        <v>0</v>
      </c>
      <c r="CN494" s="72">
        <v>0</v>
      </c>
      <c r="CO494" s="72">
        <v>0</v>
      </c>
      <c r="CP494" s="72">
        <v>0</v>
      </c>
      <c r="CQ494" s="72">
        <v>0</v>
      </c>
      <c r="CR494" s="72">
        <v>0</v>
      </c>
      <c r="CS494" s="72">
        <v>0</v>
      </c>
      <c r="CT494" s="72">
        <v>0</v>
      </c>
      <c r="CU494" s="72">
        <v>0</v>
      </c>
      <c r="CV494" s="72">
        <v>0</v>
      </c>
      <c r="CW494" s="72">
        <v>0</v>
      </c>
      <c r="CX494" s="72">
        <v>0</v>
      </c>
      <c r="CY494" s="72">
        <v>0</v>
      </c>
      <c r="CZ494" s="72">
        <v>0</v>
      </c>
      <c r="DA494" s="72">
        <v>0</v>
      </c>
      <c r="DB494" s="72">
        <v>0</v>
      </c>
      <c r="DC494" s="72">
        <v>0</v>
      </c>
      <c r="DD494" s="72">
        <v>0</v>
      </c>
      <c r="DE494" s="72">
        <v>0</v>
      </c>
      <c r="DF494" s="72">
        <v>0</v>
      </c>
      <c r="DG494" s="72">
        <v>0</v>
      </c>
      <c r="DH494" s="72">
        <v>0</v>
      </c>
      <c r="DI494" s="72">
        <v>0</v>
      </c>
      <c r="DJ494" s="72">
        <v>0</v>
      </c>
      <c r="DK494" s="72">
        <v>0</v>
      </c>
      <c r="DL494" s="72">
        <v>0</v>
      </c>
      <c r="DM494" s="72">
        <v>0</v>
      </c>
      <c r="DN494" s="72">
        <v>0</v>
      </c>
      <c r="DO494" s="72">
        <v>0</v>
      </c>
      <c r="DP494" s="72">
        <v>0</v>
      </c>
      <c r="DQ494" s="72">
        <v>0</v>
      </c>
      <c r="DR494" s="72">
        <v>0</v>
      </c>
      <c r="DS494" s="72">
        <v>0</v>
      </c>
      <c r="DT494" s="72">
        <v>0</v>
      </c>
      <c r="DU494" s="72">
        <v>0</v>
      </c>
      <c r="DV494" s="72">
        <v>0</v>
      </c>
      <c r="DW494" s="72">
        <v>0</v>
      </c>
      <c r="DX494" s="72">
        <v>0</v>
      </c>
      <c r="DY494" s="72">
        <v>0</v>
      </c>
      <c r="DZ494" s="72">
        <v>0</v>
      </c>
      <c r="EA494" s="72">
        <v>0</v>
      </c>
      <c r="EB494" s="72">
        <v>0</v>
      </c>
      <c r="EC494" s="72">
        <v>0</v>
      </c>
      <c r="ED494" s="72">
        <v>0</v>
      </c>
      <c r="EE494" s="72">
        <v>0</v>
      </c>
      <c r="EF494" s="72">
        <v>0</v>
      </c>
      <c r="EG494" s="72">
        <v>0</v>
      </c>
      <c r="EH494" s="72">
        <v>0</v>
      </c>
      <c r="EI494" s="72">
        <v>0</v>
      </c>
      <c r="EJ494" s="72">
        <v>0</v>
      </c>
      <c r="EK494" s="72">
        <v>0</v>
      </c>
      <c r="EL494" s="72">
        <v>0</v>
      </c>
    </row>
    <row r="495" spans="1:142" x14ac:dyDescent="0.35">
      <c r="A495" s="59">
        <f>Данные!A495</f>
        <v>4848</v>
      </c>
      <c r="B495" s="59">
        <f>Данные!B495</f>
        <v>2018</v>
      </c>
      <c r="C495" s="59" t="str">
        <f>Данные!C495</f>
        <v>современных европейских языков</v>
      </c>
      <c r="D495" s="59" t="str">
        <f>Данные!D495</f>
        <v>Пантелеева Людмила Валентиновна</v>
      </c>
      <c r="E495" s="59" t="str">
        <f>Данные!E495</f>
        <v>кандидат филологических наук</v>
      </c>
      <c r="F495" s="59" t="str">
        <f>Данные!F495</f>
        <v>доцент</v>
      </c>
      <c r="G495" s="59">
        <f>Данные!G495</f>
        <v>0.75</v>
      </c>
      <c r="H495" s="59">
        <f>Данные!H495</f>
        <v>17231</v>
      </c>
      <c r="I495" s="59" t="str">
        <f>Данные!I495</f>
        <v>Вариативные модули. Модуль "Теоретические и практические аспекты переводоведения". Дисциплины и курсы по выбору. Теория перевода</v>
      </c>
      <c r="J495" s="59">
        <f>Данные!J495</f>
        <v>18</v>
      </c>
      <c r="K495" s="59">
        <f>Данные!K495</f>
        <v>18</v>
      </c>
      <c r="L495" s="59">
        <f>Данные!L495</f>
        <v>0</v>
      </c>
      <c r="M495" s="60">
        <f t="shared" si="63"/>
        <v>3.6</v>
      </c>
      <c r="N495" s="60">
        <f t="shared" ca="1" si="64"/>
        <v>6.29</v>
      </c>
      <c r="O495" s="60">
        <f t="shared" ca="1" si="65"/>
        <v>3.25</v>
      </c>
      <c r="P495" s="60">
        <f t="shared" ca="1" si="66"/>
        <v>3.25</v>
      </c>
      <c r="Q495" s="54">
        <f>Данные!Q495</f>
        <v>0</v>
      </c>
      <c r="R495" s="54">
        <f>Данные!R495</f>
        <v>0</v>
      </c>
      <c r="S495" s="54">
        <f>Данные!S495</f>
        <v>0</v>
      </c>
      <c r="T495" s="54">
        <f>Данные!T495</f>
        <v>0</v>
      </c>
      <c r="U495" s="54">
        <f>Данные!U495</f>
        <v>0</v>
      </c>
      <c r="V495" s="54">
        <f>Данные!V495</f>
        <v>0</v>
      </c>
      <c r="W495" s="54">
        <f ca="1">Данные!W495</f>
        <v>13</v>
      </c>
      <c r="X495" s="54" t="str">
        <f ca="1">Данные!X495</f>
        <v>1</v>
      </c>
      <c r="Y495" s="54" t="str">
        <f ca="1">Данные!Y495</f>
        <v>1</v>
      </c>
      <c r="Z495" s="54">
        <f>Данные!Z495</f>
        <v>0</v>
      </c>
      <c r="AA495" s="54" t="str">
        <f>Данные!AA495</f>
        <v>осн</v>
      </c>
      <c r="AB495" s="101">
        <f t="shared" si="67"/>
        <v>800</v>
      </c>
      <c r="AC495" s="101" t="str">
        <f t="shared" si="68"/>
        <v>ИВТ (бак)</v>
      </c>
      <c r="AD495" s="101" t="str">
        <f t="shared" si="69"/>
        <v/>
      </c>
      <c r="AE495" s="102">
        <f t="shared" ca="1" si="70"/>
        <v>52.39</v>
      </c>
      <c r="AF495" s="103">
        <f t="shared" ca="1" si="71"/>
        <v>6.5487500000000004E-2</v>
      </c>
      <c r="AG495" s="101"/>
      <c r="AH495" s="101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Q495" s="72">
        <v>0</v>
      </c>
      <c r="BR495" s="72">
        <v>0</v>
      </c>
      <c r="BS495" s="72">
        <v>0</v>
      </c>
      <c r="BT495" s="72">
        <v>0</v>
      </c>
      <c r="BU495" s="72">
        <v>0</v>
      </c>
      <c r="BV495" s="72">
        <v>0</v>
      </c>
      <c r="BW495" s="72">
        <v>0</v>
      </c>
      <c r="BX495" s="72">
        <v>0</v>
      </c>
      <c r="BY495" s="72">
        <v>0</v>
      </c>
      <c r="BZ495" s="72">
        <v>0</v>
      </c>
      <c r="CA495" s="72">
        <v>0</v>
      </c>
      <c r="CB495" s="72">
        <v>0</v>
      </c>
      <c r="CC495" s="72">
        <v>0</v>
      </c>
      <c r="CD495" s="72">
        <v>0</v>
      </c>
      <c r="CE495" s="72">
        <v>0</v>
      </c>
      <c r="CF495" s="72">
        <v>0</v>
      </c>
      <c r="CG495" s="72">
        <v>0</v>
      </c>
      <c r="CH495" s="72">
        <v>0</v>
      </c>
      <c r="CI495" s="72">
        <v>0</v>
      </c>
      <c r="CJ495" s="72">
        <v>0</v>
      </c>
      <c r="CK495" s="72">
        <v>0</v>
      </c>
      <c r="CL495" s="72">
        <v>0</v>
      </c>
      <c r="CM495" s="72">
        <v>0</v>
      </c>
      <c r="CN495" s="72">
        <v>0</v>
      </c>
      <c r="CO495" s="72">
        <v>0</v>
      </c>
      <c r="CP495" s="72">
        <v>0</v>
      </c>
      <c r="CQ495" s="72">
        <v>0</v>
      </c>
      <c r="CR495" s="72">
        <v>0</v>
      </c>
      <c r="CS495" s="72">
        <v>0</v>
      </c>
      <c r="CT495" s="72">
        <v>0</v>
      </c>
      <c r="CU495" s="72">
        <v>0</v>
      </c>
      <c r="CV495" s="72">
        <v>0</v>
      </c>
      <c r="CW495" s="72">
        <v>0</v>
      </c>
      <c r="CX495" s="72">
        <v>0</v>
      </c>
      <c r="CY495" s="72">
        <v>0</v>
      </c>
      <c r="CZ495" s="72">
        <v>0</v>
      </c>
      <c r="DA495" s="72">
        <v>0</v>
      </c>
      <c r="DB495" s="72">
        <v>0</v>
      </c>
      <c r="DC495" s="72">
        <v>0</v>
      </c>
      <c r="DD495" s="72">
        <v>0</v>
      </c>
      <c r="DE495" s="72">
        <v>0</v>
      </c>
      <c r="DF495" s="72">
        <v>0</v>
      </c>
      <c r="DG495" s="72">
        <v>0</v>
      </c>
      <c r="DH495" s="72">
        <v>0</v>
      </c>
      <c r="DI495" s="72">
        <v>0</v>
      </c>
      <c r="DJ495" s="72">
        <v>0</v>
      </c>
      <c r="DK495" s="72">
        <v>0</v>
      </c>
      <c r="DL495" s="72">
        <v>0</v>
      </c>
      <c r="DM495" s="72">
        <v>0</v>
      </c>
      <c r="DN495" s="72">
        <v>0</v>
      </c>
      <c r="DO495" s="72">
        <v>0</v>
      </c>
      <c r="DP495" s="72">
        <v>0</v>
      </c>
      <c r="DQ495" s="72">
        <v>0</v>
      </c>
      <c r="DR495" s="72">
        <v>0</v>
      </c>
      <c r="DS495" s="72">
        <v>0</v>
      </c>
      <c r="DT495" s="72">
        <v>0</v>
      </c>
      <c r="DU495" s="72">
        <v>0</v>
      </c>
      <c r="DV495" s="72">
        <v>0</v>
      </c>
      <c r="DW495" s="72">
        <v>0</v>
      </c>
      <c r="DX495" s="72">
        <v>0</v>
      </c>
      <c r="DY495" s="72">
        <v>0</v>
      </c>
      <c r="DZ495" s="72">
        <v>0</v>
      </c>
      <c r="EA495" s="72">
        <v>0</v>
      </c>
      <c r="EB495" s="72">
        <v>0</v>
      </c>
      <c r="EC495" s="72">
        <v>0</v>
      </c>
      <c r="ED495" s="72">
        <v>0</v>
      </c>
      <c r="EE495" s="72">
        <v>0</v>
      </c>
      <c r="EF495" s="72">
        <v>0</v>
      </c>
      <c r="EG495" s="72">
        <v>0</v>
      </c>
      <c r="EH495" s="72">
        <v>0</v>
      </c>
      <c r="EI495" s="72">
        <v>0</v>
      </c>
      <c r="EJ495" s="72">
        <v>0</v>
      </c>
      <c r="EK495" s="72">
        <v>0</v>
      </c>
      <c r="EL495" s="72">
        <v>0</v>
      </c>
    </row>
    <row r="496" spans="1:142" x14ac:dyDescent="0.35">
      <c r="A496" s="59">
        <f>Данные!A496</f>
        <v>4848</v>
      </c>
      <c r="B496" s="59">
        <f>Данные!B496</f>
        <v>2018</v>
      </c>
      <c r="C496" s="59" t="str">
        <f>Данные!C496</f>
        <v>современных европейских языков</v>
      </c>
      <c r="D496" s="59" t="str">
        <f>Данные!D496</f>
        <v>Швинк Лоренс Ричард</v>
      </c>
      <c r="E496" s="59" t="str">
        <f>Данные!E496</f>
        <v>нет</v>
      </c>
      <c r="F496" s="59" t="str">
        <f>Данные!F496</f>
        <v>старший преподаватель</v>
      </c>
      <c r="G496" s="59">
        <f>Данные!G496</f>
        <v>0.37</v>
      </c>
      <c r="H496" s="59">
        <f>Данные!H496</f>
        <v>17231</v>
      </c>
      <c r="I496" s="59" t="str">
        <f>Данные!I496</f>
        <v>Вариативные модули</v>
      </c>
      <c r="J496" s="59">
        <f>Данные!J496</f>
        <v>0</v>
      </c>
      <c r="K496" s="59">
        <f>Данные!K496</f>
        <v>0</v>
      </c>
      <c r="L496" s="59">
        <f>Данные!L496</f>
        <v>0</v>
      </c>
      <c r="M496" s="60">
        <f t="shared" si="63"/>
        <v>0</v>
      </c>
      <c r="N496" s="60">
        <f t="shared" ca="1" si="64"/>
        <v>6.29</v>
      </c>
      <c r="O496" s="60">
        <f t="shared" ca="1" si="65"/>
        <v>3.25</v>
      </c>
      <c r="P496" s="60">
        <f t="shared" ca="1" si="66"/>
        <v>3.25</v>
      </c>
      <c r="Q496" s="54">
        <f>Данные!Q496</f>
        <v>0</v>
      </c>
      <c r="R496" s="54">
        <f>Данные!R496</f>
        <v>0</v>
      </c>
      <c r="S496" s="54">
        <f>Данные!S496</f>
        <v>0</v>
      </c>
      <c r="T496" s="54">
        <f>Данные!T496</f>
        <v>0</v>
      </c>
      <c r="U496" s="54">
        <f>Данные!U496</f>
        <v>0</v>
      </c>
      <c r="V496" s="54">
        <f>Данные!V496</f>
        <v>0</v>
      </c>
      <c r="W496" s="54">
        <f ca="1">Данные!W496</f>
        <v>13</v>
      </c>
      <c r="X496" s="54" t="str">
        <f ca="1">Данные!X496</f>
        <v>1</v>
      </c>
      <c r="Y496" s="54" t="str">
        <f ca="1">Данные!Y496</f>
        <v>1</v>
      </c>
      <c r="Z496" s="54">
        <f>Данные!Z496</f>
        <v>0</v>
      </c>
      <c r="AA496" s="54" t="str">
        <f>Данные!AA496</f>
        <v>осн</v>
      </c>
      <c r="AB496" s="101">
        <f t="shared" si="67"/>
        <v>850</v>
      </c>
      <c r="AC496" s="101" t="str">
        <f t="shared" si="68"/>
        <v>ИВТ (бак)</v>
      </c>
      <c r="AD496" s="101" t="str">
        <f t="shared" si="69"/>
        <v/>
      </c>
      <c r="AE496" s="102">
        <f t="shared" ca="1" si="70"/>
        <v>12.79</v>
      </c>
      <c r="AF496" s="103">
        <f t="shared" ca="1" si="71"/>
        <v>1.504705882352941E-2</v>
      </c>
      <c r="AG496" s="101"/>
      <c r="AH496" s="101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Q496" s="72">
        <v>0</v>
      </c>
      <c r="BR496" s="72">
        <v>0</v>
      </c>
      <c r="BS496" s="72">
        <v>0</v>
      </c>
      <c r="BT496" s="72">
        <v>0</v>
      </c>
      <c r="BU496" s="72">
        <v>0</v>
      </c>
      <c r="BV496" s="72">
        <v>0</v>
      </c>
      <c r="BW496" s="72">
        <v>0</v>
      </c>
      <c r="BX496" s="72">
        <v>0</v>
      </c>
      <c r="BY496" s="72">
        <v>0</v>
      </c>
      <c r="BZ496" s="72">
        <v>0</v>
      </c>
      <c r="CA496" s="72">
        <v>0</v>
      </c>
      <c r="CB496" s="72">
        <v>0</v>
      </c>
      <c r="CC496" s="72">
        <v>0</v>
      </c>
      <c r="CD496" s="72">
        <v>0</v>
      </c>
      <c r="CE496" s="72">
        <v>0</v>
      </c>
      <c r="CF496" s="72">
        <v>0</v>
      </c>
      <c r="CG496" s="72">
        <v>0</v>
      </c>
      <c r="CH496" s="72">
        <v>0</v>
      </c>
      <c r="CI496" s="72">
        <v>0</v>
      </c>
      <c r="CJ496" s="72">
        <v>0</v>
      </c>
      <c r="CK496" s="72">
        <v>0</v>
      </c>
      <c r="CL496" s="72">
        <v>0</v>
      </c>
      <c r="CM496" s="72">
        <v>0</v>
      </c>
      <c r="CN496" s="72">
        <v>0</v>
      </c>
      <c r="CO496" s="72">
        <v>0</v>
      </c>
      <c r="CP496" s="72">
        <v>0</v>
      </c>
      <c r="CQ496" s="72">
        <v>0</v>
      </c>
      <c r="CR496" s="72">
        <v>0</v>
      </c>
      <c r="CS496" s="72">
        <v>0</v>
      </c>
      <c r="CT496" s="72">
        <v>0</v>
      </c>
      <c r="CU496" s="72">
        <v>0</v>
      </c>
      <c r="CV496" s="72">
        <v>0</v>
      </c>
      <c r="CW496" s="72">
        <v>0</v>
      </c>
      <c r="CX496" s="72">
        <v>0</v>
      </c>
      <c r="CY496" s="72">
        <v>0</v>
      </c>
      <c r="CZ496" s="72">
        <v>0</v>
      </c>
      <c r="DA496" s="72">
        <v>0</v>
      </c>
      <c r="DB496" s="72">
        <v>0</v>
      </c>
      <c r="DC496" s="72">
        <v>0</v>
      </c>
      <c r="DD496" s="72">
        <v>0</v>
      </c>
      <c r="DE496" s="72">
        <v>0</v>
      </c>
      <c r="DF496" s="72">
        <v>0</v>
      </c>
      <c r="DG496" s="72">
        <v>0</v>
      </c>
      <c r="DH496" s="72">
        <v>0</v>
      </c>
      <c r="DI496" s="72">
        <v>0</v>
      </c>
      <c r="DJ496" s="72">
        <v>0</v>
      </c>
      <c r="DK496" s="72">
        <v>0</v>
      </c>
      <c r="DL496" s="72">
        <v>0</v>
      </c>
      <c r="DM496" s="72">
        <v>0</v>
      </c>
      <c r="DN496" s="72">
        <v>0</v>
      </c>
      <c r="DO496" s="72">
        <v>0</v>
      </c>
      <c r="DP496" s="72">
        <v>0</v>
      </c>
      <c r="DQ496" s="72">
        <v>0</v>
      </c>
      <c r="DR496" s="72">
        <v>0</v>
      </c>
      <c r="DS496" s="72">
        <v>0</v>
      </c>
      <c r="DT496" s="72">
        <v>0</v>
      </c>
      <c r="DU496" s="72">
        <v>0</v>
      </c>
      <c r="DV496" s="72">
        <v>0</v>
      </c>
      <c r="DW496" s="72">
        <v>0</v>
      </c>
      <c r="DX496" s="72">
        <v>0</v>
      </c>
      <c r="DY496" s="72">
        <v>0</v>
      </c>
      <c r="DZ496" s="72">
        <v>0</v>
      </c>
      <c r="EA496" s="72">
        <v>0</v>
      </c>
      <c r="EB496" s="72">
        <v>0</v>
      </c>
      <c r="EC496" s="72">
        <v>0</v>
      </c>
      <c r="ED496" s="72">
        <v>0</v>
      </c>
      <c r="EE496" s="72">
        <v>0</v>
      </c>
      <c r="EF496" s="72">
        <v>0</v>
      </c>
      <c r="EG496" s="72">
        <v>0</v>
      </c>
      <c r="EH496" s="72">
        <v>0</v>
      </c>
      <c r="EI496" s="72">
        <v>0</v>
      </c>
      <c r="EJ496" s="72">
        <v>0</v>
      </c>
      <c r="EK496" s="72">
        <v>0</v>
      </c>
      <c r="EL496" s="72">
        <v>0</v>
      </c>
    </row>
    <row r="497" spans="1:142" x14ac:dyDescent="0.35">
      <c r="A497" s="59">
        <f>Данные!A497</f>
        <v>4848</v>
      </c>
      <c r="B497" s="59">
        <f>Данные!B497</f>
        <v>2018</v>
      </c>
      <c r="C497" s="59" t="str">
        <f>Данные!C497</f>
        <v>современных европейских языков</v>
      </c>
      <c r="D497" s="59" t="str">
        <f>Данные!D497</f>
        <v>Швинк Лоренс Ричард</v>
      </c>
      <c r="E497" s="59" t="str">
        <f>Данные!E497</f>
        <v>нет</v>
      </c>
      <c r="F497" s="59" t="str">
        <f>Данные!F497</f>
        <v>старший преподаватель</v>
      </c>
      <c r="G497" s="59">
        <f>Данные!G497</f>
        <v>0.37</v>
      </c>
      <c r="H497" s="59">
        <f>Данные!H497</f>
        <v>17231</v>
      </c>
      <c r="I497" s="59" t="str">
        <f>Данные!I497</f>
        <v>Вариативные модули. Модуль "Теоретические и практические аспекты переводоведения". Дисциплины и курсы по выбору. Грамматика английского языка</v>
      </c>
      <c r="J497" s="59">
        <f>Данные!J497</f>
        <v>18</v>
      </c>
      <c r="K497" s="59">
        <f>Данные!K497</f>
        <v>18</v>
      </c>
      <c r="L497" s="59">
        <f>Данные!L497</f>
        <v>0</v>
      </c>
      <c r="M497" s="60">
        <f t="shared" si="63"/>
        <v>3.6</v>
      </c>
      <c r="N497" s="60">
        <f t="shared" ca="1" si="64"/>
        <v>6.29</v>
      </c>
      <c r="O497" s="60">
        <f t="shared" ca="1" si="65"/>
        <v>3.25</v>
      </c>
      <c r="P497" s="60">
        <f t="shared" ca="1" si="66"/>
        <v>3.25</v>
      </c>
      <c r="Q497" s="54">
        <f>Данные!Q497</f>
        <v>0</v>
      </c>
      <c r="R497" s="54">
        <f>Данные!R497</f>
        <v>0</v>
      </c>
      <c r="S497" s="54">
        <f>Данные!S497</f>
        <v>0</v>
      </c>
      <c r="T497" s="54">
        <f>Данные!T497</f>
        <v>0</v>
      </c>
      <c r="U497" s="54">
        <f>Данные!U497</f>
        <v>0</v>
      </c>
      <c r="V497" s="54">
        <f>Данные!V497</f>
        <v>0</v>
      </c>
      <c r="W497" s="54">
        <f ca="1">Данные!W497</f>
        <v>13</v>
      </c>
      <c r="X497" s="54" t="str">
        <f ca="1">Данные!X497</f>
        <v>1</v>
      </c>
      <c r="Y497" s="54" t="str">
        <f ca="1">Данные!Y497</f>
        <v>1</v>
      </c>
      <c r="Z497" s="54">
        <f>Данные!Z497</f>
        <v>0</v>
      </c>
      <c r="AA497" s="54" t="str">
        <f>Данные!AA497</f>
        <v>осн</v>
      </c>
      <c r="AB497" s="101">
        <f t="shared" si="67"/>
        <v>850</v>
      </c>
      <c r="AC497" s="101" t="str">
        <f t="shared" si="68"/>
        <v>ИВТ (бак)</v>
      </c>
      <c r="AD497" s="101" t="str">
        <f t="shared" si="69"/>
        <v/>
      </c>
      <c r="AE497" s="102">
        <f t="shared" ca="1" si="70"/>
        <v>52.39</v>
      </c>
      <c r="AF497" s="103">
        <f t="shared" ca="1" si="71"/>
        <v>6.1635294117647059E-2</v>
      </c>
      <c r="AG497" s="101"/>
      <c r="AH497" s="101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Q497" s="72">
        <v>0</v>
      </c>
      <c r="BR497" s="72">
        <v>0</v>
      </c>
      <c r="BS497" s="72">
        <v>0</v>
      </c>
      <c r="BT497" s="72">
        <v>0</v>
      </c>
      <c r="BU497" s="72">
        <v>0</v>
      </c>
      <c r="BV497" s="72">
        <v>0</v>
      </c>
      <c r="BW497" s="72">
        <v>0</v>
      </c>
      <c r="BX497" s="72">
        <v>0</v>
      </c>
      <c r="BY497" s="72">
        <v>0</v>
      </c>
      <c r="BZ497" s="72">
        <v>0</v>
      </c>
      <c r="CA497" s="72">
        <v>0</v>
      </c>
      <c r="CB497" s="72">
        <v>0</v>
      </c>
      <c r="CC497" s="72">
        <v>0</v>
      </c>
      <c r="CD497" s="72">
        <v>0</v>
      </c>
      <c r="CE497" s="72">
        <v>0</v>
      </c>
      <c r="CF497" s="72">
        <v>0</v>
      </c>
      <c r="CG497" s="72">
        <v>0</v>
      </c>
      <c r="CH497" s="72">
        <v>0</v>
      </c>
      <c r="CI497" s="72">
        <v>0</v>
      </c>
      <c r="CJ497" s="72">
        <v>0</v>
      </c>
      <c r="CK497" s="72">
        <v>0</v>
      </c>
      <c r="CL497" s="72">
        <v>0</v>
      </c>
      <c r="CM497" s="72">
        <v>0</v>
      </c>
      <c r="CN497" s="72">
        <v>0</v>
      </c>
      <c r="CO497" s="72">
        <v>0</v>
      </c>
      <c r="CP497" s="72">
        <v>0</v>
      </c>
      <c r="CQ497" s="72">
        <v>0</v>
      </c>
      <c r="CR497" s="72">
        <v>0</v>
      </c>
      <c r="CS497" s="72">
        <v>0</v>
      </c>
      <c r="CT497" s="72">
        <v>0</v>
      </c>
      <c r="CU497" s="72">
        <v>0</v>
      </c>
      <c r="CV497" s="72">
        <v>0</v>
      </c>
      <c r="CW497" s="72">
        <v>0</v>
      </c>
      <c r="CX497" s="72">
        <v>0</v>
      </c>
      <c r="CY497" s="72">
        <v>0</v>
      </c>
      <c r="CZ497" s="72">
        <v>0</v>
      </c>
      <c r="DA497" s="72">
        <v>0</v>
      </c>
      <c r="DB497" s="72">
        <v>0</v>
      </c>
      <c r="DC497" s="72">
        <v>0</v>
      </c>
      <c r="DD497" s="72">
        <v>0</v>
      </c>
      <c r="DE497" s="72">
        <v>0</v>
      </c>
      <c r="DF497" s="72">
        <v>0</v>
      </c>
      <c r="DG497" s="72">
        <v>0</v>
      </c>
      <c r="DH497" s="72">
        <v>0</v>
      </c>
      <c r="DI497" s="72">
        <v>0</v>
      </c>
      <c r="DJ497" s="72">
        <v>0</v>
      </c>
      <c r="DK497" s="72">
        <v>0</v>
      </c>
      <c r="DL497" s="72">
        <v>0</v>
      </c>
      <c r="DM497" s="72">
        <v>0</v>
      </c>
      <c r="DN497" s="72">
        <v>0</v>
      </c>
      <c r="DO497" s="72">
        <v>0</v>
      </c>
      <c r="DP497" s="72">
        <v>0</v>
      </c>
      <c r="DQ497" s="72">
        <v>0</v>
      </c>
      <c r="DR497" s="72">
        <v>0</v>
      </c>
      <c r="DS497" s="72">
        <v>0</v>
      </c>
      <c r="DT497" s="72">
        <v>0</v>
      </c>
      <c r="DU497" s="72">
        <v>0</v>
      </c>
      <c r="DV497" s="72">
        <v>0</v>
      </c>
      <c r="DW497" s="72">
        <v>0</v>
      </c>
      <c r="DX497" s="72">
        <v>0</v>
      </c>
      <c r="DY497" s="72">
        <v>0</v>
      </c>
      <c r="DZ497" s="72">
        <v>0</v>
      </c>
      <c r="EA497" s="72">
        <v>0</v>
      </c>
      <c r="EB497" s="72">
        <v>0</v>
      </c>
      <c r="EC497" s="72">
        <v>0</v>
      </c>
      <c r="ED497" s="72">
        <v>0</v>
      </c>
      <c r="EE497" s="72">
        <v>0</v>
      </c>
      <c r="EF497" s="72">
        <v>0</v>
      </c>
      <c r="EG497" s="72">
        <v>0</v>
      </c>
      <c r="EH497" s="72">
        <v>0</v>
      </c>
      <c r="EI497" s="72">
        <v>0</v>
      </c>
      <c r="EJ497" s="72">
        <v>0</v>
      </c>
      <c r="EK497" s="72">
        <v>0</v>
      </c>
      <c r="EL497" s="72">
        <v>0</v>
      </c>
    </row>
    <row r="498" spans="1:142" x14ac:dyDescent="0.35">
      <c r="A498" s="59">
        <f>Данные!A498</f>
        <v>4848</v>
      </c>
      <c r="B498" s="59">
        <f>Данные!B498</f>
        <v>2018</v>
      </c>
      <c r="C498" s="59" t="str">
        <f>Данные!C498</f>
        <v>современных европейских языков</v>
      </c>
      <c r="D498" s="59" t="str">
        <f>Данные!D498</f>
        <v>Швинк Лоренс Ричард</v>
      </c>
      <c r="E498" s="59" t="str">
        <f>Данные!E498</f>
        <v>нет</v>
      </c>
      <c r="F498" s="59" t="str">
        <f>Данные!F498</f>
        <v>старший преподаватель</v>
      </c>
      <c r="G498" s="59">
        <f>Данные!G498</f>
        <v>0.37</v>
      </c>
      <c r="H498" s="59">
        <f>Данные!H498</f>
        <v>17231</v>
      </c>
      <c r="I498" s="59" t="str">
        <f>Данные!I498</f>
        <v>Вариативные модули. Модуль "Теоретические и практические аспекты переводоведения". Дисциплины и курсы по выбору. Практикум по переводу</v>
      </c>
      <c r="J498" s="59">
        <f>Данные!J498</f>
        <v>18</v>
      </c>
      <c r="K498" s="59">
        <f>Данные!K498</f>
        <v>18</v>
      </c>
      <c r="L498" s="59">
        <f>Данные!L498</f>
        <v>0</v>
      </c>
      <c r="M498" s="60">
        <f t="shared" si="63"/>
        <v>3.6</v>
      </c>
      <c r="N498" s="60">
        <f t="shared" ca="1" si="64"/>
        <v>6.29</v>
      </c>
      <c r="O498" s="60">
        <f t="shared" ca="1" si="65"/>
        <v>3.25</v>
      </c>
      <c r="P498" s="60">
        <f t="shared" ca="1" si="66"/>
        <v>3.25</v>
      </c>
      <c r="Q498" s="54">
        <f>Данные!Q498</f>
        <v>0</v>
      </c>
      <c r="R498" s="54">
        <f>Данные!R498</f>
        <v>0</v>
      </c>
      <c r="S498" s="54">
        <f>Данные!S498</f>
        <v>0</v>
      </c>
      <c r="T498" s="54">
        <f>Данные!T498</f>
        <v>0</v>
      </c>
      <c r="U498" s="54">
        <f>Данные!U498</f>
        <v>0</v>
      </c>
      <c r="V498" s="54">
        <f>Данные!V498</f>
        <v>0</v>
      </c>
      <c r="W498" s="54">
        <f ca="1">Данные!W498</f>
        <v>13</v>
      </c>
      <c r="X498" s="54" t="str">
        <f ca="1">Данные!X498</f>
        <v>1</v>
      </c>
      <c r="Y498" s="54" t="str">
        <f ca="1">Данные!Y498</f>
        <v>1</v>
      </c>
      <c r="Z498" s="54">
        <f>Данные!Z498</f>
        <v>0</v>
      </c>
      <c r="AA498" s="54" t="str">
        <f>Данные!AA498</f>
        <v>осн</v>
      </c>
      <c r="AB498" s="101">
        <f t="shared" si="67"/>
        <v>850</v>
      </c>
      <c r="AC498" s="101" t="str">
        <f t="shared" si="68"/>
        <v>ИВТ (бак)</v>
      </c>
      <c r="AD498" s="101" t="str">
        <f t="shared" si="69"/>
        <v/>
      </c>
      <c r="AE498" s="102">
        <f t="shared" ca="1" si="70"/>
        <v>52.39</v>
      </c>
      <c r="AF498" s="103">
        <f t="shared" ca="1" si="71"/>
        <v>6.1635294117647059E-2</v>
      </c>
      <c r="AG498" s="101"/>
      <c r="AH498" s="101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Q498" s="72">
        <v>0</v>
      </c>
      <c r="BR498" s="72">
        <v>0</v>
      </c>
      <c r="BS498" s="72">
        <v>0</v>
      </c>
      <c r="BT498" s="72">
        <v>0</v>
      </c>
      <c r="BU498" s="72">
        <v>0</v>
      </c>
      <c r="BV498" s="72">
        <v>0</v>
      </c>
      <c r="BW498" s="72">
        <v>0</v>
      </c>
      <c r="BX498" s="72">
        <v>0</v>
      </c>
      <c r="BY498" s="72">
        <v>0</v>
      </c>
      <c r="BZ498" s="72">
        <v>0</v>
      </c>
      <c r="CA498" s="72">
        <v>0</v>
      </c>
      <c r="CB498" s="72">
        <v>0</v>
      </c>
      <c r="CC498" s="72">
        <v>0</v>
      </c>
      <c r="CD498" s="72">
        <v>0</v>
      </c>
      <c r="CE498" s="72">
        <v>0</v>
      </c>
      <c r="CF498" s="72">
        <v>0</v>
      </c>
      <c r="CG498" s="72">
        <v>0</v>
      </c>
      <c r="CH498" s="72">
        <v>0</v>
      </c>
      <c r="CI498" s="72">
        <v>0</v>
      </c>
      <c r="CJ498" s="72">
        <v>0</v>
      </c>
      <c r="CK498" s="72">
        <v>0</v>
      </c>
      <c r="CL498" s="72">
        <v>0</v>
      </c>
      <c r="CM498" s="72">
        <v>0</v>
      </c>
      <c r="CN498" s="72">
        <v>0</v>
      </c>
      <c r="CO498" s="72">
        <v>0</v>
      </c>
      <c r="CP498" s="72">
        <v>0</v>
      </c>
      <c r="CQ498" s="72">
        <v>0</v>
      </c>
      <c r="CR498" s="72">
        <v>0</v>
      </c>
      <c r="CS498" s="72">
        <v>0</v>
      </c>
      <c r="CT498" s="72">
        <v>0</v>
      </c>
      <c r="CU498" s="72">
        <v>0</v>
      </c>
      <c r="CV498" s="72">
        <v>0</v>
      </c>
      <c r="CW498" s="72">
        <v>0</v>
      </c>
      <c r="CX498" s="72">
        <v>0</v>
      </c>
      <c r="CY498" s="72">
        <v>0</v>
      </c>
      <c r="CZ498" s="72">
        <v>0</v>
      </c>
      <c r="DA498" s="72">
        <v>0</v>
      </c>
      <c r="DB498" s="72">
        <v>0</v>
      </c>
      <c r="DC498" s="72">
        <v>0</v>
      </c>
      <c r="DD498" s="72">
        <v>0</v>
      </c>
      <c r="DE498" s="72">
        <v>0</v>
      </c>
      <c r="DF498" s="72">
        <v>0</v>
      </c>
      <c r="DG498" s="72">
        <v>0</v>
      </c>
      <c r="DH498" s="72">
        <v>0</v>
      </c>
      <c r="DI498" s="72">
        <v>0</v>
      </c>
      <c r="DJ498" s="72">
        <v>0</v>
      </c>
      <c r="DK498" s="72">
        <v>0</v>
      </c>
      <c r="DL498" s="72">
        <v>0</v>
      </c>
      <c r="DM498" s="72">
        <v>0</v>
      </c>
      <c r="DN498" s="72">
        <v>0</v>
      </c>
      <c r="DO498" s="72">
        <v>0</v>
      </c>
      <c r="DP498" s="72">
        <v>0</v>
      </c>
      <c r="DQ498" s="72">
        <v>0</v>
      </c>
      <c r="DR498" s="72">
        <v>0</v>
      </c>
      <c r="DS498" s="72">
        <v>0</v>
      </c>
      <c r="DT498" s="72">
        <v>0</v>
      </c>
      <c r="DU498" s="72">
        <v>0</v>
      </c>
      <c r="DV498" s="72">
        <v>0</v>
      </c>
      <c r="DW498" s="72">
        <v>0</v>
      </c>
      <c r="DX498" s="72">
        <v>0</v>
      </c>
      <c r="DY498" s="72">
        <v>0</v>
      </c>
      <c r="DZ498" s="72">
        <v>0</v>
      </c>
      <c r="EA498" s="72">
        <v>0</v>
      </c>
      <c r="EB498" s="72">
        <v>0</v>
      </c>
      <c r="EC498" s="72">
        <v>0</v>
      </c>
      <c r="ED498" s="72">
        <v>0</v>
      </c>
      <c r="EE498" s="72">
        <v>0</v>
      </c>
      <c r="EF498" s="72">
        <v>0</v>
      </c>
      <c r="EG498" s="72">
        <v>0</v>
      </c>
      <c r="EH498" s="72">
        <v>0</v>
      </c>
      <c r="EI498" s="72">
        <v>0</v>
      </c>
      <c r="EJ498" s="72">
        <v>0</v>
      </c>
      <c r="EK498" s="72">
        <v>0</v>
      </c>
      <c r="EL498" s="72">
        <v>0</v>
      </c>
    </row>
    <row r="499" spans="1:142" x14ac:dyDescent="0.35">
      <c r="A499" s="59">
        <f>Данные!A499</f>
        <v>4848</v>
      </c>
      <c r="B499" s="59">
        <f>Данные!B499</f>
        <v>2018</v>
      </c>
      <c r="C499" s="59" t="str">
        <f>Данные!C499</f>
        <v>физической электроники</v>
      </c>
      <c r="D499" s="59" t="str">
        <f>Данные!D499</f>
        <v>Гасумянц Виталий Эдуардович</v>
      </c>
      <c r="E499" s="59" t="str">
        <f>Данные!E499</f>
        <v>доктор физ.-мат. наук</v>
      </c>
      <c r="F499" s="59" t="str">
        <f>Данные!F499</f>
        <v>профессор</v>
      </c>
      <c r="G499" s="59">
        <f>Данные!G499</f>
        <v>0.5</v>
      </c>
      <c r="H499" s="59">
        <f>Данные!H499</f>
        <v>17231</v>
      </c>
      <c r="I499" s="59" t="str">
        <f>Данные!I499</f>
        <v>Модуль "Физические основы ЭВМ"</v>
      </c>
      <c r="J499" s="59">
        <f>Данные!J499</f>
        <v>0</v>
      </c>
      <c r="K499" s="59">
        <f>Данные!K499</f>
        <v>0</v>
      </c>
      <c r="L499" s="59">
        <f>Данные!L499</f>
        <v>0</v>
      </c>
      <c r="M499" s="60">
        <f t="shared" si="63"/>
        <v>0</v>
      </c>
      <c r="N499" s="60">
        <f t="shared" ca="1" si="64"/>
        <v>6.29</v>
      </c>
      <c r="O499" s="60">
        <f t="shared" ca="1" si="65"/>
        <v>3.25</v>
      </c>
      <c r="P499" s="60">
        <f t="shared" ca="1" si="66"/>
        <v>3.25</v>
      </c>
      <c r="Q499" s="54">
        <f>Данные!Q499</f>
        <v>0</v>
      </c>
      <c r="R499" s="54">
        <f>Данные!R499</f>
        <v>0</v>
      </c>
      <c r="S499" s="54">
        <f>Данные!S499</f>
        <v>0</v>
      </c>
      <c r="T499" s="54">
        <f>Данные!T499</f>
        <v>0</v>
      </c>
      <c r="U499" s="54">
        <f>Данные!U499</f>
        <v>0</v>
      </c>
      <c r="V499" s="54">
        <f>Данные!V499</f>
        <v>0</v>
      </c>
      <c r="W499" s="54">
        <f ca="1">Данные!W499</f>
        <v>13</v>
      </c>
      <c r="X499" s="54" t="str">
        <f ca="1">Данные!X499</f>
        <v>1</v>
      </c>
      <c r="Y499" s="54" t="str">
        <f ca="1">Данные!Y499</f>
        <v>1</v>
      </c>
      <c r="Z499" s="54">
        <f>Данные!Z499</f>
        <v>0</v>
      </c>
      <c r="AA499" s="54">
        <f>Данные!AA499</f>
        <v>0</v>
      </c>
      <c r="AB499" s="101">
        <f t="shared" si="67"/>
        <v>750</v>
      </c>
      <c r="AC499" s="101" t="str">
        <f t="shared" si="68"/>
        <v>ИВТ (бак)</v>
      </c>
      <c r="AD499" s="101" t="str">
        <f t="shared" si="69"/>
        <v/>
      </c>
      <c r="AE499" s="102">
        <f t="shared" ca="1" si="70"/>
        <v>12.79</v>
      </c>
      <c r="AF499" s="103">
        <f t="shared" ca="1" si="71"/>
        <v>1.7053333333333334E-2</v>
      </c>
      <c r="AG499" s="101"/>
      <c r="AH499" s="101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Q499" s="72">
        <v>0</v>
      </c>
      <c r="BR499" s="72">
        <v>0</v>
      </c>
      <c r="BS499" s="72">
        <v>0</v>
      </c>
      <c r="BT499" s="72">
        <v>0</v>
      </c>
      <c r="BU499" s="72">
        <v>0</v>
      </c>
      <c r="BV499" s="72">
        <v>0</v>
      </c>
      <c r="BW499" s="72">
        <v>0</v>
      </c>
      <c r="BX499" s="72">
        <v>0</v>
      </c>
      <c r="BY499" s="72">
        <v>0</v>
      </c>
      <c r="BZ499" s="72">
        <v>0</v>
      </c>
      <c r="CA499" s="72">
        <v>0</v>
      </c>
      <c r="CB499" s="72">
        <v>0</v>
      </c>
      <c r="CC499" s="72">
        <v>0</v>
      </c>
      <c r="CD499" s="72">
        <v>0</v>
      </c>
      <c r="CE499" s="72">
        <v>0</v>
      </c>
      <c r="CF499" s="72">
        <v>0</v>
      </c>
      <c r="CG499" s="72">
        <v>0</v>
      </c>
      <c r="CH499" s="72">
        <v>0</v>
      </c>
      <c r="CI499" s="72">
        <v>0</v>
      </c>
      <c r="CJ499" s="72">
        <v>0</v>
      </c>
      <c r="CK499" s="72">
        <v>0</v>
      </c>
      <c r="CL499" s="72">
        <v>0</v>
      </c>
      <c r="CM499" s="72">
        <v>0</v>
      </c>
      <c r="CN499" s="72">
        <v>0</v>
      </c>
      <c r="CO499" s="72">
        <v>0</v>
      </c>
      <c r="CP499" s="72">
        <v>0</v>
      </c>
      <c r="CQ499" s="72">
        <v>0</v>
      </c>
      <c r="CR499" s="72">
        <v>0</v>
      </c>
      <c r="CS499" s="72">
        <v>0</v>
      </c>
      <c r="CT499" s="72">
        <v>0</v>
      </c>
      <c r="CU499" s="72">
        <v>0</v>
      </c>
      <c r="CV499" s="72">
        <v>0</v>
      </c>
      <c r="CW499" s="72">
        <v>0</v>
      </c>
      <c r="CX499" s="72">
        <v>0</v>
      </c>
      <c r="CY499" s="72">
        <v>0</v>
      </c>
      <c r="CZ499" s="72">
        <v>0</v>
      </c>
      <c r="DA499" s="72">
        <v>0</v>
      </c>
      <c r="DB499" s="72">
        <v>0</v>
      </c>
      <c r="DC499" s="72">
        <v>0</v>
      </c>
      <c r="DD499" s="72">
        <v>0</v>
      </c>
      <c r="DE499" s="72">
        <v>0</v>
      </c>
      <c r="DF499" s="72">
        <v>0</v>
      </c>
      <c r="DG499" s="72">
        <v>0</v>
      </c>
      <c r="DH499" s="72">
        <v>0</v>
      </c>
      <c r="DI499" s="72">
        <v>0</v>
      </c>
      <c r="DJ499" s="72">
        <v>0</v>
      </c>
      <c r="DK499" s="72">
        <v>0</v>
      </c>
      <c r="DL499" s="72">
        <v>0</v>
      </c>
      <c r="DM499" s="72">
        <v>0</v>
      </c>
      <c r="DN499" s="72">
        <v>0</v>
      </c>
      <c r="DO499" s="72">
        <v>0</v>
      </c>
      <c r="DP499" s="72">
        <v>0</v>
      </c>
      <c r="DQ499" s="72">
        <v>0</v>
      </c>
      <c r="DR499" s="72">
        <v>0</v>
      </c>
      <c r="DS499" s="72">
        <v>0</v>
      </c>
      <c r="DT499" s="72">
        <v>0</v>
      </c>
      <c r="DU499" s="72">
        <v>0</v>
      </c>
      <c r="DV499" s="72">
        <v>0</v>
      </c>
      <c r="DW499" s="72">
        <v>0</v>
      </c>
      <c r="DX499" s="72">
        <v>0</v>
      </c>
      <c r="DY499" s="72">
        <v>0</v>
      </c>
      <c r="DZ499" s="72">
        <v>0</v>
      </c>
      <c r="EA499" s="72">
        <v>0</v>
      </c>
      <c r="EB499" s="72">
        <v>0</v>
      </c>
      <c r="EC499" s="72">
        <v>0</v>
      </c>
      <c r="ED499" s="72">
        <v>0</v>
      </c>
      <c r="EE499" s="72">
        <v>0</v>
      </c>
      <c r="EF499" s="72">
        <v>0</v>
      </c>
      <c r="EG499" s="72">
        <v>0</v>
      </c>
      <c r="EH499" s="72">
        <v>0</v>
      </c>
      <c r="EI499" s="72">
        <v>0</v>
      </c>
      <c r="EJ499" s="72">
        <v>0</v>
      </c>
      <c r="EK499" s="72">
        <v>0</v>
      </c>
      <c r="EL499" s="72">
        <v>0</v>
      </c>
    </row>
    <row r="500" spans="1:142" x14ac:dyDescent="0.35">
      <c r="A500" s="59">
        <f>Данные!A500</f>
        <v>4848</v>
      </c>
      <c r="B500" s="59">
        <f>Данные!B500</f>
        <v>2018</v>
      </c>
      <c r="C500" s="59" t="str">
        <f>Данные!C500</f>
        <v>физической электроники</v>
      </c>
      <c r="D500" s="59" t="str">
        <f>Данные!D500</f>
        <v>Гасумянц Виталий Эдуардович</v>
      </c>
      <c r="E500" s="59" t="str">
        <f>Данные!E500</f>
        <v>доктор физ.-мат. наук</v>
      </c>
      <c r="F500" s="59" t="str">
        <f>Данные!F500</f>
        <v>профессор</v>
      </c>
      <c r="G500" s="59">
        <f>Данные!G500</f>
        <v>0.5</v>
      </c>
      <c r="H500" s="59">
        <f>Данные!H500</f>
        <v>17231</v>
      </c>
      <c r="I500" s="59" t="str">
        <f>Данные!I500</f>
        <v>Модуль "Физические основы ЭВМ". Физические основы микроэлектроники</v>
      </c>
      <c r="J500" s="59">
        <f>Данные!J500</f>
        <v>18</v>
      </c>
      <c r="K500" s="59">
        <f>Данные!K500</f>
        <v>18</v>
      </c>
      <c r="L500" s="59">
        <f>Данные!L500</f>
        <v>0</v>
      </c>
      <c r="M500" s="60">
        <f t="shared" si="63"/>
        <v>3.6</v>
      </c>
      <c r="N500" s="60">
        <f t="shared" ca="1" si="64"/>
        <v>6.29</v>
      </c>
      <c r="O500" s="60">
        <f t="shared" ca="1" si="65"/>
        <v>3.25</v>
      </c>
      <c r="P500" s="60">
        <f t="shared" ca="1" si="66"/>
        <v>3.25</v>
      </c>
      <c r="Q500" s="54">
        <f>Данные!Q500</f>
        <v>0</v>
      </c>
      <c r="R500" s="54">
        <f>Данные!R500</f>
        <v>0</v>
      </c>
      <c r="S500" s="54">
        <f>Данные!S500</f>
        <v>0</v>
      </c>
      <c r="T500" s="54">
        <f>Данные!T500</f>
        <v>0</v>
      </c>
      <c r="U500" s="54">
        <f>Данные!U500</f>
        <v>0</v>
      </c>
      <c r="V500" s="54">
        <f>Данные!V500</f>
        <v>0</v>
      </c>
      <c r="W500" s="54">
        <f ca="1">Данные!W500</f>
        <v>13</v>
      </c>
      <c r="X500" s="54" t="str">
        <f ca="1">Данные!X500</f>
        <v>1</v>
      </c>
      <c r="Y500" s="54" t="str">
        <f ca="1">Данные!Y500</f>
        <v>1</v>
      </c>
      <c r="Z500" s="54">
        <f>Данные!Z500</f>
        <v>0</v>
      </c>
      <c r="AA500" s="54" t="str">
        <f>Данные!AA500</f>
        <v>осн</v>
      </c>
      <c r="AB500" s="101">
        <f t="shared" si="67"/>
        <v>750</v>
      </c>
      <c r="AC500" s="101" t="str">
        <f t="shared" si="68"/>
        <v>ИВТ (бак)</v>
      </c>
      <c r="AD500" s="101" t="str">
        <f t="shared" si="69"/>
        <v/>
      </c>
      <c r="AE500" s="102">
        <f t="shared" ca="1" si="70"/>
        <v>52.39</v>
      </c>
      <c r="AF500" s="103">
        <f t="shared" ca="1" si="71"/>
        <v>6.9853333333333337E-2</v>
      </c>
      <c r="AG500" s="101"/>
      <c r="AH500" s="101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Q500" s="72">
        <v>0</v>
      </c>
      <c r="BR500" s="72">
        <v>0</v>
      </c>
      <c r="BS500" s="72">
        <v>0</v>
      </c>
      <c r="BT500" s="72">
        <v>0</v>
      </c>
      <c r="BU500" s="72">
        <v>0</v>
      </c>
      <c r="BV500" s="72">
        <v>0</v>
      </c>
      <c r="BW500" s="72">
        <v>0</v>
      </c>
      <c r="BX500" s="72">
        <v>0</v>
      </c>
      <c r="BY500" s="72">
        <v>0</v>
      </c>
      <c r="BZ500" s="72">
        <v>0</v>
      </c>
      <c r="CA500" s="72">
        <v>0</v>
      </c>
      <c r="CB500" s="72">
        <v>0</v>
      </c>
      <c r="CC500" s="72">
        <v>0</v>
      </c>
      <c r="CD500" s="72">
        <v>0</v>
      </c>
      <c r="CE500" s="72">
        <v>0</v>
      </c>
      <c r="CF500" s="72">
        <v>0</v>
      </c>
      <c r="CG500" s="72">
        <v>0</v>
      </c>
      <c r="CH500" s="72">
        <v>0</v>
      </c>
      <c r="CI500" s="72">
        <v>0</v>
      </c>
      <c r="CJ500" s="72">
        <v>0</v>
      </c>
      <c r="CK500" s="72">
        <v>0</v>
      </c>
      <c r="CL500" s="72">
        <v>0</v>
      </c>
      <c r="CM500" s="72">
        <v>0</v>
      </c>
      <c r="CN500" s="72">
        <v>0</v>
      </c>
      <c r="CO500" s="72">
        <v>0</v>
      </c>
      <c r="CP500" s="72">
        <v>0</v>
      </c>
      <c r="CQ500" s="72">
        <v>0</v>
      </c>
      <c r="CR500" s="72">
        <v>0</v>
      </c>
      <c r="CS500" s="72">
        <v>0</v>
      </c>
      <c r="CT500" s="72">
        <v>0</v>
      </c>
      <c r="CU500" s="72">
        <v>0</v>
      </c>
      <c r="CV500" s="72">
        <v>0</v>
      </c>
      <c r="CW500" s="72">
        <v>0</v>
      </c>
      <c r="CX500" s="72">
        <v>0</v>
      </c>
      <c r="CY500" s="72">
        <v>0</v>
      </c>
      <c r="CZ500" s="72">
        <v>0</v>
      </c>
      <c r="DA500" s="72">
        <v>0</v>
      </c>
      <c r="DB500" s="72">
        <v>0</v>
      </c>
      <c r="DC500" s="72">
        <v>0</v>
      </c>
      <c r="DD500" s="72">
        <v>0</v>
      </c>
      <c r="DE500" s="72">
        <v>0</v>
      </c>
      <c r="DF500" s="72">
        <v>0</v>
      </c>
      <c r="DG500" s="72">
        <v>0</v>
      </c>
      <c r="DH500" s="72">
        <v>0</v>
      </c>
      <c r="DI500" s="72">
        <v>0</v>
      </c>
      <c r="DJ500" s="72">
        <v>0</v>
      </c>
      <c r="DK500" s="72">
        <v>0</v>
      </c>
      <c r="DL500" s="72">
        <v>0</v>
      </c>
      <c r="DM500" s="72">
        <v>0</v>
      </c>
      <c r="DN500" s="72">
        <v>0</v>
      </c>
      <c r="DO500" s="72">
        <v>0</v>
      </c>
      <c r="DP500" s="72">
        <v>0</v>
      </c>
      <c r="DQ500" s="72">
        <v>0</v>
      </c>
      <c r="DR500" s="72">
        <v>0</v>
      </c>
      <c r="DS500" s="72">
        <v>0</v>
      </c>
      <c r="DT500" s="72">
        <v>0</v>
      </c>
      <c r="DU500" s="72">
        <v>0</v>
      </c>
      <c r="DV500" s="72">
        <v>0</v>
      </c>
      <c r="DW500" s="72">
        <v>0</v>
      </c>
      <c r="DX500" s="72">
        <v>0</v>
      </c>
      <c r="DY500" s="72">
        <v>0</v>
      </c>
      <c r="DZ500" s="72">
        <v>0</v>
      </c>
      <c r="EA500" s="72">
        <v>0</v>
      </c>
      <c r="EB500" s="72">
        <v>0</v>
      </c>
      <c r="EC500" s="72">
        <v>0</v>
      </c>
      <c r="ED500" s="72">
        <v>0</v>
      </c>
      <c r="EE500" s="72">
        <v>0</v>
      </c>
      <c r="EF500" s="72">
        <v>0</v>
      </c>
      <c r="EG500" s="72">
        <v>0</v>
      </c>
      <c r="EH500" s="72">
        <v>0</v>
      </c>
      <c r="EI500" s="72">
        <v>0</v>
      </c>
      <c r="EJ500" s="72">
        <v>0</v>
      </c>
      <c r="EK500" s="72">
        <v>0</v>
      </c>
      <c r="EL500" s="72">
        <v>0</v>
      </c>
    </row>
    <row r="501" spans="1:142" x14ac:dyDescent="0.35">
      <c r="A501" s="59">
        <f>Данные!A501</f>
        <v>4848</v>
      </c>
      <c r="B501" s="59">
        <f>Данные!B501</f>
        <v>2018</v>
      </c>
      <c r="C501" s="59" t="str">
        <f>Данные!C501</f>
        <v>физической электроники</v>
      </c>
      <c r="D501" s="59" t="str">
        <f>Данные!D501</f>
        <v>Хинич Иосиф Исаакович</v>
      </c>
      <c r="E501" s="59" t="str">
        <f>Данные!E501</f>
        <v>доктор педагогических наук</v>
      </c>
      <c r="F501" s="59" t="str">
        <f>Данные!F501</f>
        <v>профессор</v>
      </c>
      <c r="G501" s="59">
        <f>Данные!G501</f>
        <v>0.75</v>
      </c>
      <c r="H501" s="59">
        <f>Данные!H501</f>
        <v>17231</v>
      </c>
      <c r="I501" s="59" t="str">
        <f>Данные!I501</f>
        <v>Модуль "Физические основы ЭВМ"</v>
      </c>
      <c r="J501" s="59">
        <f>Данные!J501</f>
        <v>0</v>
      </c>
      <c r="K501" s="59">
        <f>Данные!K501</f>
        <v>0</v>
      </c>
      <c r="L501" s="59">
        <f>Данные!L501</f>
        <v>0</v>
      </c>
      <c r="M501" s="60">
        <f t="shared" si="63"/>
        <v>0</v>
      </c>
      <c r="N501" s="60">
        <f t="shared" ca="1" si="64"/>
        <v>6.29</v>
      </c>
      <c r="O501" s="60">
        <f t="shared" ca="1" si="65"/>
        <v>3.25</v>
      </c>
      <c r="P501" s="60">
        <f t="shared" ca="1" si="66"/>
        <v>3.25</v>
      </c>
      <c r="Q501" s="54">
        <f>Данные!Q501</f>
        <v>0</v>
      </c>
      <c r="R501" s="54">
        <f>Данные!R501</f>
        <v>0</v>
      </c>
      <c r="S501" s="54">
        <f>Данные!S501</f>
        <v>0</v>
      </c>
      <c r="T501" s="54">
        <f>Данные!T501</f>
        <v>0</v>
      </c>
      <c r="U501" s="54">
        <f>Данные!U501</f>
        <v>0</v>
      </c>
      <c r="V501" s="54">
        <f>Данные!V501</f>
        <v>0</v>
      </c>
      <c r="W501" s="54">
        <f ca="1">Данные!W501</f>
        <v>13</v>
      </c>
      <c r="X501" s="54" t="str">
        <f ca="1">Данные!X501</f>
        <v>1</v>
      </c>
      <c r="Y501" s="54" t="str">
        <f ca="1">Данные!Y501</f>
        <v>1</v>
      </c>
      <c r="Z501" s="54">
        <f>Данные!Z501</f>
        <v>0</v>
      </c>
      <c r="AA501" s="54" t="str">
        <f>Данные!AA501</f>
        <v>осн</v>
      </c>
      <c r="AB501" s="101">
        <f t="shared" si="67"/>
        <v>750</v>
      </c>
      <c r="AC501" s="101" t="str">
        <f t="shared" si="68"/>
        <v>ИВТ (бак)</v>
      </c>
      <c r="AD501" s="101" t="str">
        <f t="shared" si="69"/>
        <v/>
      </c>
      <c r="AE501" s="102">
        <f t="shared" ca="1" si="70"/>
        <v>12.79</v>
      </c>
      <c r="AF501" s="103">
        <f t="shared" ca="1" si="71"/>
        <v>1.7053333333333334E-2</v>
      </c>
      <c r="AG501" s="101"/>
      <c r="AH501" s="1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Q501" s="72">
        <v>0</v>
      </c>
      <c r="BR501" s="72">
        <v>0</v>
      </c>
      <c r="BS501" s="72">
        <v>0</v>
      </c>
      <c r="BT501" s="72">
        <v>0</v>
      </c>
      <c r="BU501" s="72">
        <v>0</v>
      </c>
      <c r="BV501" s="72">
        <v>0</v>
      </c>
      <c r="BW501" s="72">
        <v>0</v>
      </c>
      <c r="BX501" s="72">
        <v>0</v>
      </c>
      <c r="BY501" s="72">
        <v>0</v>
      </c>
      <c r="BZ501" s="72">
        <v>0</v>
      </c>
      <c r="CA501" s="72">
        <v>0</v>
      </c>
      <c r="CB501" s="72">
        <v>0</v>
      </c>
      <c r="CC501" s="72">
        <v>0</v>
      </c>
      <c r="CD501" s="72">
        <v>0</v>
      </c>
      <c r="CE501" s="72">
        <v>0</v>
      </c>
      <c r="CF501" s="72">
        <v>0</v>
      </c>
      <c r="CG501" s="72">
        <v>0</v>
      </c>
      <c r="CH501" s="72">
        <v>0</v>
      </c>
      <c r="CI501" s="72">
        <v>0</v>
      </c>
      <c r="CJ501" s="72">
        <v>0</v>
      </c>
      <c r="CK501" s="72">
        <v>0</v>
      </c>
      <c r="CL501" s="72">
        <v>0</v>
      </c>
      <c r="CM501" s="72">
        <v>0</v>
      </c>
      <c r="CN501" s="72">
        <v>0</v>
      </c>
      <c r="CO501" s="72">
        <v>0</v>
      </c>
      <c r="CP501" s="72">
        <v>0</v>
      </c>
      <c r="CQ501" s="72">
        <v>0</v>
      </c>
      <c r="CR501" s="72">
        <v>0</v>
      </c>
      <c r="CS501" s="72">
        <v>0</v>
      </c>
      <c r="CT501" s="72">
        <v>0</v>
      </c>
      <c r="CU501" s="72">
        <v>0</v>
      </c>
      <c r="CV501" s="72">
        <v>0</v>
      </c>
      <c r="CW501" s="72">
        <v>0</v>
      </c>
      <c r="CX501" s="72">
        <v>0</v>
      </c>
      <c r="CY501" s="72">
        <v>0</v>
      </c>
      <c r="CZ501" s="72">
        <v>0</v>
      </c>
      <c r="DA501" s="72">
        <v>0</v>
      </c>
      <c r="DB501" s="72">
        <v>0</v>
      </c>
      <c r="DC501" s="72">
        <v>0</v>
      </c>
      <c r="DD501" s="72">
        <v>0</v>
      </c>
      <c r="DE501" s="72">
        <v>0</v>
      </c>
      <c r="DF501" s="72">
        <v>0</v>
      </c>
      <c r="DG501" s="72">
        <v>0</v>
      </c>
      <c r="DH501" s="72">
        <v>0</v>
      </c>
      <c r="DI501" s="72">
        <v>0</v>
      </c>
      <c r="DJ501" s="72">
        <v>0</v>
      </c>
      <c r="DK501" s="72">
        <v>0</v>
      </c>
      <c r="DL501" s="72">
        <v>0</v>
      </c>
      <c r="DM501" s="72">
        <v>0</v>
      </c>
      <c r="DN501" s="72">
        <v>0</v>
      </c>
      <c r="DO501" s="72">
        <v>0</v>
      </c>
      <c r="DP501" s="72">
        <v>0</v>
      </c>
      <c r="DQ501" s="72">
        <v>0</v>
      </c>
      <c r="DR501" s="72">
        <v>0</v>
      </c>
      <c r="DS501" s="72">
        <v>0</v>
      </c>
      <c r="DT501" s="72">
        <v>0</v>
      </c>
      <c r="DU501" s="72">
        <v>0</v>
      </c>
      <c r="DV501" s="72">
        <v>0</v>
      </c>
      <c r="DW501" s="72">
        <v>0</v>
      </c>
      <c r="DX501" s="72">
        <v>0</v>
      </c>
      <c r="DY501" s="72">
        <v>0</v>
      </c>
      <c r="DZ501" s="72">
        <v>0</v>
      </c>
      <c r="EA501" s="72">
        <v>0</v>
      </c>
      <c r="EB501" s="72">
        <v>0</v>
      </c>
      <c r="EC501" s="72">
        <v>0</v>
      </c>
      <c r="ED501" s="72">
        <v>0</v>
      </c>
      <c r="EE501" s="72">
        <v>0</v>
      </c>
      <c r="EF501" s="72">
        <v>0</v>
      </c>
      <c r="EG501" s="72">
        <v>0</v>
      </c>
      <c r="EH501" s="72">
        <v>0</v>
      </c>
      <c r="EI501" s="72">
        <v>0</v>
      </c>
      <c r="EJ501" s="72">
        <v>0</v>
      </c>
      <c r="EK501" s="72">
        <v>0</v>
      </c>
      <c r="EL501" s="72">
        <v>0</v>
      </c>
    </row>
    <row r="502" spans="1:142" x14ac:dyDescent="0.35">
      <c r="A502" s="59">
        <f>Данные!A502</f>
        <v>4848</v>
      </c>
      <c r="B502" s="59">
        <f>Данные!B502</f>
        <v>2018</v>
      </c>
      <c r="C502" s="59" t="str">
        <f>Данные!C502</f>
        <v>физической электроники</v>
      </c>
      <c r="D502" s="59" t="str">
        <f>Данные!D502</f>
        <v>Хинич Иосиф Исаакович</v>
      </c>
      <c r="E502" s="59" t="str">
        <f>Данные!E502</f>
        <v>доктор педагогических наук</v>
      </c>
      <c r="F502" s="59" t="str">
        <f>Данные!F502</f>
        <v>профессор</v>
      </c>
      <c r="G502" s="59">
        <f>Данные!G502</f>
        <v>0.75</v>
      </c>
      <c r="H502" s="59">
        <f>Данные!H502</f>
        <v>17231</v>
      </c>
      <c r="I502" s="59" t="str">
        <f>Данные!I502</f>
        <v>Модуль "Физические основы ЭВМ". Введение в нанотехнологии</v>
      </c>
      <c r="J502" s="59">
        <f>Данные!J502</f>
        <v>9</v>
      </c>
      <c r="K502" s="59">
        <f>Данные!K502</f>
        <v>0</v>
      </c>
      <c r="L502" s="59">
        <f>Данные!L502</f>
        <v>27</v>
      </c>
      <c r="M502" s="60">
        <f t="shared" si="63"/>
        <v>3.6</v>
      </c>
      <c r="N502" s="60">
        <f t="shared" ca="1" si="64"/>
        <v>6.29</v>
      </c>
      <c r="O502" s="60">
        <f t="shared" ca="1" si="65"/>
        <v>3.25</v>
      </c>
      <c r="P502" s="60">
        <f t="shared" ca="1" si="66"/>
        <v>3.25</v>
      </c>
      <c r="Q502" s="54">
        <f>Данные!Q502</f>
        <v>0</v>
      </c>
      <c r="R502" s="54">
        <f>Данные!R502</f>
        <v>0</v>
      </c>
      <c r="S502" s="54">
        <f>Данные!S502</f>
        <v>0</v>
      </c>
      <c r="T502" s="54">
        <f>Данные!T502</f>
        <v>0</v>
      </c>
      <c r="U502" s="54">
        <f>Данные!U502</f>
        <v>0</v>
      </c>
      <c r="V502" s="54">
        <f>Данные!V502</f>
        <v>0</v>
      </c>
      <c r="W502" s="54">
        <f ca="1">Данные!W502</f>
        <v>13</v>
      </c>
      <c r="X502" s="54" t="str">
        <f ca="1">Данные!X502</f>
        <v>1</v>
      </c>
      <c r="Y502" s="54" t="str">
        <f ca="1">Данные!Y502</f>
        <v>1</v>
      </c>
      <c r="Z502" s="54">
        <f>Данные!Z502</f>
        <v>0</v>
      </c>
      <c r="AA502" s="54" t="str">
        <f>Данные!AA502</f>
        <v>осн</v>
      </c>
      <c r="AB502" s="101">
        <f t="shared" si="67"/>
        <v>750</v>
      </c>
      <c r="AC502" s="101" t="str">
        <f t="shared" si="68"/>
        <v>ИВТ (бак)</v>
      </c>
      <c r="AD502" s="101" t="str">
        <f t="shared" si="69"/>
        <v/>
      </c>
      <c r="AE502" s="102">
        <f t="shared" ca="1" si="70"/>
        <v>52.39</v>
      </c>
      <c r="AF502" s="103">
        <f t="shared" ca="1" si="71"/>
        <v>6.9853333333333337E-2</v>
      </c>
      <c r="AG502" s="101"/>
      <c r="AH502" s="101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Q502" s="72">
        <v>0</v>
      </c>
      <c r="BR502" s="72">
        <v>0</v>
      </c>
      <c r="BS502" s="72">
        <v>0</v>
      </c>
      <c r="BT502" s="72">
        <v>0</v>
      </c>
      <c r="BU502" s="72">
        <v>0</v>
      </c>
      <c r="BV502" s="72">
        <v>0</v>
      </c>
      <c r="BW502" s="72">
        <v>0</v>
      </c>
      <c r="BX502" s="72">
        <v>0</v>
      </c>
      <c r="BY502" s="72">
        <v>0</v>
      </c>
      <c r="BZ502" s="72">
        <v>0</v>
      </c>
      <c r="CA502" s="72">
        <v>0</v>
      </c>
      <c r="CB502" s="72">
        <v>0</v>
      </c>
      <c r="CC502" s="72">
        <v>0</v>
      </c>
      <c r="CD502" s="72">
        <v>0</v>
      </c>
      <c r="CE502" s="72">
        <v>0</v>
      </c>
      <c r="CF502" s="72">
        <v>0</v>
      </c>
      <c r="CG502" s="72">
        <v>0</v>
      </c>
      <c r="CH502" s="72">
        <v>0</v>
      </c>
      <c r="CI502" s="72">
        <v>0</v>
      </c>
      <c r="CJ502" s="72">
        <v>0</v>
      </c>
      <c r="CK502" s="72">
        <v>0</v>
      </c>
      <c r="CL502" s="72">
        <v>0</v>
      </c>
      <c r="CM502" s="72">
        <v>0</v>
      </c>
      <c r="CN502" s="72">
        <v>0</v>
      </c>
      <c r="CO502" s="72">
        <v>0</v>
      </c>
      <c r="CP502" s="72">
        <v>0</v>
      </c>
      <c r="CQ502" s="72">
        <v>0</v>
      </c>
      <c r="CR502" s="72">
        <v>0</v>
      </c>
      <c r="CS502" s="72">
        <v>0</v>
      </c>
      <c r="CT502" s="72">
        <v>0</v>
      </c>
      <c r="CU502" s="72">
        <v>0</v>
      </c>
      <c r="CV502" s="72">
        <v>0</v>
      </c>
      <c r="CW502" s="72">
        <v>0</v>
      </c>
      <c r="CX502" s="72">
        <v>0</v>
      </c>
      <c r="CY502" s="72">
        <v>0</v>
      </c>
      <c r="CZ502" s="72">
        <v>0</v>
      </c>
      <c r="DA502" s="72">
        <v>0</v>
      </c>
      <c r="DB502" s="72">
        <v>0</v>
      </c>
      <c r="DC502" s="72">
        <v>0</v>
      </c>
      <c r="DD502" s="72">
        <v>0</v>
      </c>
      <c r="DE502" s="72">
        <v>0</v>
      </c>
      <c r="DF502" s="72">
        <v>0</v>
      </c>
      <c r="DG502" s="72">
        <v>0</v>
      </c>
      <c r="DH502" s="72">
        <v>0</v>
      </c>
      <c r="DI502" s="72">
        <v>0</v>
      </c>
      <c r="DJ502" s="72">
        <v>0</v>
      </c>
      <c r="DK502" s="72">
        <v>0</v>
      </c>
      <c r="DL502" s="72">
        <v>0</v>
      </c>
      <c r="DM502" s="72">
        <v>0</v>
      </c>
      <c r="DN502" s="72">
        <v>0</v>
      </c>
      <c r="DO502" s="72">
        <v>0</v>
      </c>
      <c r="DP502" s="72">
        <v>0</v>
      </c>
      <c r="DQ502" s="72">
        <v>0</v>
      </c>
      <c r="DR502" s="72">
        <v>0</v>
      </c>
      <c r="DS502" s="72">
        <v>0</v>
      </c>
      <c r="DT502" s="72">
        <v>0</v>
      </c>
      <c r="DU502" s="72">
        <v>0</v>
      </c>
      <c r="DV502" s="72">
        <v>0</v>
      </c>
      <c r="DW502" s="72">
        <v>0</v>
      </c>
      <c r="DX502" s="72">
        <v>0</v>
      </c>
      <c r="DY502" s="72">
        <v>0</v>
      </c>
      <c r="DZ502" s="72">
        <v>0</v>
      </c>
      <c r="EA502" s="72">
        <v>0</v>
      </c>
      <c r="EB502" s="72">
        <v>0</v>
      </c>
      <c r="EC502" s="72">
        <v>0</v>
      </c>
      <c r="ED502" s="72">
        <v>0</v>
      </c>
      <c r="EE502" s="72">
        <v>0</v>
      </c>
      <c r="EF502" s="72">
        <v>0</v>
      </c>
      <c r="EG502" s="72">
        <v>0</v>
      </c>
      <c r="EH502" s="72">
        <v>0</v>
      </c>
      <c r="EI502" s="72">
        <v>0</v>
      </c>
      <c r="EJ502" s="72">
        <v>0</v>
      </c>
      <c r="EK502" s="72">
        <v>0</v>
      </c>
      <c r="EL502" s="72">
        <v>0</v>
      </c>
    </row>
    <row r="503" spans="1:142" x14ac:dyDescent="0.35">
      <c r="A503" s="59">
        <f>Данные!A503</f>
        <v>4858</v>
      </c>
      <c r="B503" s="59">
        <f>Данные!B503</f>
        <v>2016</v>
      </c>
      <c r="C503" s="59" t="str">
        <f>Данные!C503</f>
        <v>алгебры</v>
      </c>
      <c r="D503" s="59" t="str">
        <f>Данные!D503</f>
        <v>Певзнер Игорь Михайлович</v>
      </c>
      <c r="E503" s="59" t="str">
        <f>Данные!E503</f>
        <v>кандидат физ.-мат. наук</v>
      </c>
      <c r="F503" s="59" t="str">
        <f>Данные!F503</f>
        <v>доцент</v>
      </c>
      <c r="G503" s="59">
        <f>Данные!G503</f>
        <v>1</v>
      </c>
      <c r="H503" s="59">
        <f>Данные!H503</f>
        <v>15177</v>
      </c>
      <c r="I503" s="59" t="str">
        <f>Данные!I503</f>
        <v>Модуль "Дискретные структуры". Математическая логика и теория алгоритмов</v>
      </c>
      <c r="J503" s="59">
        <f>Данные!J503</f>
        <v>18</v>
      </c>
      <c r="K503" s="59">
        <f>Данные!K503</f>
        <v>18</v>
      </c>
      <c r="L503" s="59">
        <f>Данные!L503</f>
        <v>0</v>
      </c>
      <c r="M503" s="60">
        <f t="shared" si="63"/>
        <v>3.6</v>
      </c>
      <c r="N503" s="60">
        <f t="shared" ca="1" si="64"/>
        <v>10.91</v>
      </c>
      <c r="O503" s="60">
        <f t="shared" ca="1" si="65"/>
        <v>6.75</v>
      </c>
      <c r="P503" s="60">
        <f t="shared" ca="1" si="66"/>
        <v>6.75</v>
      </c>
      <c r="Q503" s="54">
        <f>Данные!Q503</f>
        <v>0</v>
      </c>
      <c r="R503" s="54">
        <f>Данные!R503</f>
        <v>0</v>
      </c>
      <c r="S503" s="54">
        <f>Данные!S503</f>
        <v>0</v>
      </c>
      <c r="T503" s="54">
        <f>Данные!T503</f>
        <v>0</v>
      </c>
      <c r="U503" s="54">
        <f>Данные!U503</f>
        <v>0</v>
      </c>
      <c r="V503" s="54">
        <f>Данные!V503</f>
        <v>0</v>
      </c>
      <c r="W503" s="54">
        <f ca="1">Данные!W503</f>
        <v>27</v>
      </c>
      <c r="X503" s="54" t="str">
        <f ca="1">Данные!X503</f>
        <v>1</v>
      </c>
      <c r="Y503" s="54" t="str">
        <f ca="1">Данные!Y503</f>
        <v>2</v>
      </c>
      <c r="Z503" s="54">
        <f>Данные!Z503</f>
        <v>0</v>
      </c>
      <c r="AA503" s="54" t="str">
        <f>Данные!AA503</f>
        <v>осн</v>
      </c>
      <c r="AB503" s="101">
        <f t="shared" si="67"/>
        <v>800</v>
      </c>
      <c r="AC503" s="101" t="str">
        <f t="shared" si="68"/>
        <v>ИВТ (бак)</v>
      </c>
      <c r="AD503" s="101" t="str">
        <f t="shared" si="69"/>
        <v>2016–2017</v>
      </c>
      <c r="AE503" s="102">
        <f t="shared" ca="1" si="70"/>
        <v>64.010000000000005</v>
      </c>
      <c r="AF503" s="103">
        <f t="shared" ca="1" si="71"/>
        <v>8.00125E-2</v>
      </c>
      <c r="AG503" s="101"/>
      <c r="AH503" s="101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Q503" s="72">
        <v>0</v>
      </c>
      <c r="BR503" s="72">
        <v>0</v>
      </c>
      <c r="BS503" s="72">
        <v>0</v>
      </c>
      <c r="BT503" s="72">
        <v>0</v>
      </c>
      <c r="BU503" s="72">
        <v>0</v>
      </c>
      <c r="BV503" s="72">
        <v>0</v>
      </c>
      <c r="BW503" s="72">
        <v>0</v>
      </c>
      <c r="BX503" s="72">
        <v>0</v>
      </c>
      <c r="BY503" s="72">
        <v>0</v>
      </c>
      <c r="BZ503" s="72">
        <v>0</v>
      </c>
      <c r="CA503" s="72">
        <v>0</v>
      </c>
      <c r="CB503" s="72">
        <v>0</v>
      </c>
      <c r="CC503" s="72">
        <v>0</v>
      </c>
      <c r="CD503" s="72">
        <v>0</v>
      </c>
      <c r="CE503" s="72">
        <v>0</v>
      </c>
      <c r="CF503" s="72">
        <v>0</v>
      </c>
      <c r="CG503" s="72">
        <v>0</v>
      </c>
      <c r="CH503" s="72">
        <v>0</v>
      </c>
      <c r="CI503" s="72">
        <v>0</v>
      </c>
      <c r="CJ503" s="72">
        <v>0</v>
      </c>
      <c r="CK503" s="72">
        <v>0</v>
      </c>
      <c r="CL503" s="72">
        <v>0</v>
      </c>
      <c r="CM503" s="72">
        <v>0</v>
      </c>
      <c r="CN503" s="72">
        <v>0</v>
      </c>
      <c r="CO503" s="72">
        <v>0</v>
      </c>
      <c r="CP503" s="72">
        <v>0</v>
      </c>
      <c r="CQ503" s="72">
        <v>0</v>
      </c>
      <c r="CR503" s="72">
        <v>0</v>
      </c>
      <c r="CS503" s="72">
        <v>0</v>
      </c>
      <c r="CT503" s="72">
        <v>0</v>
      </c>
      <c r="CU503" s="72">
        <v>0</v>
      </c>
      <c r="CV503" s="72">
        <v>0</v>
      </c>
      <c r="CW503" s="72">
        <v>0</v>
      </c>
      <c r="CX503" s="72">
        <v>0</v>
      </c>
      <c r="CY503" s="72">
        <v>0</v>
      </c>
      <c r="CZ503" s="72">
        <v>0</v>
      </c>
      <c r="DA503" s="72">
        <v>0</v>
      </c>
      <c r="DB503" s="72">
        <v>0</v>
      </c>
      <c r="DC503" s="72">
        <v>0</v>
      </c>
      <c r="DD503" s="72">
        <v>0</v>
      </c>
      <c r="DE503" s="72">
        <v>0</v>
      </c>
      <c r="DF503" s="72">
        <v>0</v>
      </c>
      <c r="DG503" s="72">
        <v>0</v>
      </c>
      <c r="DH503" s="72">
        <v>0</v>
      </c>
      <c r="DI503" s="72">
        <v>0</v>
      </c>
      <c r="DJ503" s="72">
        <v>0</v>
      </c>
      <c r="DK503" s="72">
        <v>0</v>
      </c>
      <c r="DL503" s="72">
        <v>0</v>
      </c>
      <c r="DM503" s="72">
        <v>0</v>
      </c>
      <c r="DN503" s="72">
        <v>0</v>
      </c>
      <c r="DO503" s="72">
        <v>0</v>
      </c>
      <c r="DP503" s="72">
        <v>0</v>
      </c>
      <c r="DQ503" s="72">
        <v>0</v>
      </c>
      <c r="DR503" s="72">
        <v>0</v>
      </c>
      <c r="DS503" s="72">
        <v>0</v>
      </c>
      <c r="DT503" s="72">
        <v>0</v>
      </c>
      <c r="DU503" s="72">
        <v>0</v>
      </c>
      <c r="DV503" s="72">
        <v>0</v>
      </c>
      <c r="DW503" s="72">
        <v>0</v>
      </c>
      <c r="DX503" s="72">
        <v>0</v>
      </c>
      <c r="DY503" s="72">
        <v>0</v>
      </c>
      <c r="DZ503" s="72">
        <v>0</v>
      </c>
      <c r="EA503" s="72">
        <v>0</v>
      </c>
      <c r="EB503" s="72">
        <v>0</v>
      </c>
      <c r="EC503" s="72">
        <v>0</v>
      </c>
      <c r="ED503" s="72">
        <v>0</v>
      </c>
      <c r="EE503" s="72">
        <v>0</v>
      </c>
      <c r="EF503" s="72">
        <v>0</v>
      </c>
      <c r="EG503" s="72">
        <v>0</v>
      </c>
      <c r="EH503" s="72">
        <v>0</v>
      </c>
      <c r="EI503" s="72">
        <v>0</v>
      </c>
      <c r="EJ503" s="72">
        <v>0</v>
      </c>
      <c r="EK503" s="72">
        <v>0</v>
      </c>
      <c r="EL503" s="72">
        <v>0</v>
      </c>
    </row>
    <row r="504" spans="1:142" x14ac:dyDescent="0.35">
      <c r="A504" s="59">
        <f>Данные!A504</f>
        <v>4858</v>
      </c>
      <c r="B504" s="59">
        <f>Данные!B504</f>
        <v>2016</v>
      </c>
      <c r="C504" s="59" t="str">
        <f>Данные!C504</f>
        <v>физического воспитания и спортивно-массовой работы</v>
      </c>
      <c r="D504" s="59" t="str">
        <f>Данные!D504</f>
        <v>Васютина Ирина Павловна</v>
      </c>
      <c r="E504" s="59" t="str">
        <f>Данные!E504</f>
        <v>нет</v>
      </c>
      <c r="F504" s="59" t="str">
        <f>Данные!F504</f>
        <v>старший преподаватель</v>
      </c>
      <c r="G504" s="59">
        <f>Данные!G504</f>
        <v>0</v>
      </c>
      <c r="H504" s="59">
        <f>Данные!H504</f>
        <v>15177</v>
      </c>
      <c r="I504" s="59" t="str">
        <f>Данные!I504</f>
        <v>Физическая культура</v>
      </c>
      <c r="J504" s="59">
        <f>Данные!J504</f>
        <v>0</v>
      </c>
      <c r="K504" s="59">
        <f>Данные!K504</f>
        <v>28</v>
      </c>
      <c r="L504" s="59">
        <f>Данные!L504</f>
        <v>0</v>
      </c>
      <c r="M504" s="60">
        <f t="shared" si="63"/>
        <v>2.8</v>
      </c>
      <c r="N504" s="60">
        <f t="shared" ca="1" si="64"/>
        <v>10.91</v>
      </c>
      <c r="O504" s="60">
        <f t="shared" ca="1" si="65"/>
        <v>6.75</v>
      </c>
      <c r="P504" s="60">
        <f t="shared" ca="1" si="66"/>
        <v>6.75</v>
      </c>
      <c r="Q504" s="54">
        <f>Данные!Q504</f>
        <v>0</v>
      </c>
      <c r="R504" s="54">
        <f>Данные!R504</f>
        <v>0</v>
      </c>
      <c r="S504" s="54">
        <f>Данные!S504</f>
        <v>0</v>
      </c>
      <c r="T504" s="54">
        <f>Данные!T504</f>
        <v>0</v>
      </c>
      <c r="U504" s="54">
        <f>Данные!U504</f>
        <v>0</v>
      </c>
      <c r="V504" s="54">
        <f>Данные!V504</f>
        <v>0</v>
      </c>
      <c r="W504" s="54">
        <f ca="1">Данные!W504</f>
        <v>27</v>
      </c>
      <c r="X504" s="54" t="str">
        <f ca="1">Данные!X504</f>
        <v>1</v>
      </c>
      <c r="Y504" s="54" t="str">
        <f ca="1">Данные!Y504</f>
        <v>2</v>
      </c>
      <c r="Z504" s="54">
        <f>Данные!Z504</f>
        <v>0</v>
      </c>
      <c r="AA504" s="54" t="str">
        <f>Данные!AA504</f>
        <v>осн</v>
      </c>
      <c r="AB504" s="101">
        <f t="shared" si="67"/>
        <v>850</v>
      </c>
      <c r="AC504" s="101" t="str">
        <f t="shared" si="68"/>
        <v>ИВТ (бак)</v>
      </c>
      <c r="AD504" s="101" t="str">
        <f t="shared" si="69"/>
        <v>2016–2017</v>
      </c>
      <c r="AE504" s="102">
        <f t="shared" ca="1" si="70"/>
        <v>55.21</v>
      </c>
      <c r="AF504" s="103">
        <f t="shared" ca="1" si="71"/>
        <v>6.4952941176470588E-2</v>
      </c>
      <c r="AG504" s="101"/>
      <c r="AH504" s="101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Q504" s="72">
        <v>0</v>
      </c>
      <c r="BR504" s="72">
        <v>0</v>
      </c>
      <c r="BS504" s="72">
        <v>0</v>
      </c>
      <c r="BT504" s="72">
        <v>0</v>
      </c>
      <c r="BU504" s="72">
        <v>0</v>
      </c>
      <c r="BV504" s="72">
        <v>0</v>
      </c>
      <c r="BW504" s="72">
        <v>0</v>
      </c>
      <c r="BX504" s="72">
        <v>0</v>
      </c>
      <c r="BY504" s="72">
        <v>0</v>
      </c>
      <c r="BZ504" s="72">
        <v>0</v>
      </c>
      <c r="CA504" s="72">
        <v>0</v>
      </c>
      <c r="CB504" s="72">
        <v>0</v>
      </c>
      <c r="CC504" s="72">
        <v>0</v>
      </c>
      <c r="CD504" s="72">
        <v>0</v>
      </c>
      <c r="CE504" s="72">
        <v>0</v>
      </c>
      <c r="CF504" s="72">
        <v>0</v>
      </c>
      <c r="CG504" s="72">
        <v>0</v>
      </c>
      <c r="CH504" s="72">
        <v>0</v>
      </c>
      <c r="CI504" s="72">
        <v>0</v>
      </c>
      <c r="CJ504" s="72">
        <v>0</v>
      </c>
      <c r="CK504" s="72">
        <v>0</v>
      </c>
      <c r="CL504" s="72">
        <v>0</v>
      </c>
      <c r="CM504" s="72">
        <v>0</v>
      </c>
      <c r="CN504" s="72">
        <v>0</v>
      </c>
      <c r="CO504" s="72">
        <v>0</v>
      </c>
      <c r="CP504" s="72">
        <v>0</v>
      </c>
      <c r="CQ504" s="72">
        <v>0</v>
      </c>
      <c r="CR504" s="72">
        <v>0</v>
      </c>
      <c r="CS504" s="72">
        <v>0</v>
      </c>
      <c r="CT504" s="72">
        <v>0</v>
      </c>
      <c r="CU504" s="72">
        <v>0</v>
      </c>
      <c r="CV504" s="72">
        <v>0</v>
      </c>
      <c r="CW504" s="72">
        <v>0</v>
      </c>
      <c r="CX504" s="72">
        <v>0</v>
      </c>
      <c r="CY504" s="72">
        <v>0</v>
      </c>
      <c r="CZ504" s="72">
        <v>0</v>
      </c>
      <c r="DA504" s="72">
        <v>0</v>
      </c>
      <c r="DB504" s="72">
        <v>0</v>
      </c>
      <c r="DC504" s="72">
        <v>0</v>
      </c>
      <c r="DD504" s="72">
        <v>0</v>
      </c>
      <c r="DE504" s="72">
        <v>0</v>
      </c>
      <c r="DF504" s="72">
        <v>0</v>
      </c>
      <c r="DG504" s="72">
        <v>0</v>
      </c>
      <c r="DH504" s="72">
        <v>0</v>
      </c>
      <c r="DI504" s="72">
        <v>0</v>
      </c>
      <c r="DJ504" s="72">
        <v>0</v>
      </c>
      <c r="DK504" s="72">
        <v>0</v>
      </c>
      <c r="DL504" s="72">
        <v>0</v>
      </c>
      <c r="DM504" s="72">
        <v>0</v>
      </c>
      <c r="DN504" s="72">
        <v>0</v>
      </c>
      <c r="DO504" s="72">
        <v>0</v>
      </c>
      <c r="DP504" s="72">
        <v>0</v>
      </c>
      <c r="DQ504" s="72">
        <v>0</v>
      </c>
      <c r="DR504" s="72">
        <v>0</v>
      </c>
      <c r="DS504" s="72">
        <v>0</v>
      </c>
      <c r="DT504" s="72">
        <v>0</v>
      </c>
      <c r="DU504" s="72">
        <v>0</v>
      </c>
      <c r="DV504" s="72">
        <v>0</v>
      </c>
      <c r="DW504" s="72">
        <v>0</v>
      </c>
      <c r="DX504" s="72">
        <v>0</v>
      </c>
      <c r="DY504" s="72">
        <v>0</v>
      </c>
      <c r="DZ504" s="72">
        <v>0</v>
      </c>
      <c r="EA504" s="72">
        <v>0</v>
      </c>
      <c r="EB504" s="72">
        <v>0</v>
      </c>
      <c r="EC504" s="72">
        <v>0</v>
      </c>
      <c r="ED504" s="72">
        <v>0</v>
      </c>
      <c r="EE504" s="72">
        <v>0</v>
      </c>
      <c r="EF504" s="72">
        <v>0</v>
      </c>
      <c r="EG504" s="72">
        <v>0</v>
      </c>
      <c r="EH504" s="72">
        <v>0</v>
      </c>
      <c r="EI504" s="72">
        <v>0</v>
      </c>
      <c r="EJ504" s="72">
        <v>0</v>
      </c>
      <c r="EK504" s="72">
        <v>0</v>
      </c>
      <c r="EL504" s="72">
        <v>0</v>
      </c>
    </row>
    <row r="505" spans="1:142" x14ac:dyDescent="0.35">
      <c r="A505" s="59">
        <f>Данные!A505</f>
        <v>4858</v>
      </c>
      <c r="B505" s="59">
        <f>Данные!B505</f>
        <v>2016</v>
      </c>
      <c r="C505" s="59" t="str">
        <f>Данные!C505</f>
        <v>социальной безопасности</v>
      </c>
      <c r="D505" s="59" t="str">
        <f>Данные!D505</f>
        <v>Есипова Александра Анатольевна</v>
      </c>
      <c r="E505" s="59" t="str">
        <f>Данные!E505</f>
        <v>кандидат педагогических наук</v>
      </c>
      <c r="F505" s="59" t="str">
        <f>Данные!F505</f>
        <v>доцент</v>
      </c>
      <c r="G505" s="59">
        <f>Данные!G505</f>
        <v>1</v>
      </c>
      <c r="H505" s="59">
        <f>Данные!H505</f>
        <v>15177</v>
      </c>
      <c r="I505" s="59" t="str">
        <f>Данные!I505</f>
        <v>Безопасность жизнедеятельности</v>
      </c>
      <c r="J505" s="59">
        <f>Данные!J505</f>
        <v>17</v>
      </c>
      <c r="K505" s="59">
        <f>Данные!K505</f>
        <v>34</v>
      </c>
      <c r="L505" s="59">
        <f>Данные!L505</f>
        <v>0</v>
      </c>
      <c r="M505" s="60">
        <f t="shared" si="63"/>
        <v>5.0999999999999996</v>
      </c>
      <c r="N505" s="60">
        <f t="shared" ca="1" si="64"/>
        <v>10.91</v>
      </c>
      <c r="O505" s="60">
        <f t="shared" ca="1" si="65"/>
        <v>6.75</v>
      </c>
      <c r="P505" s="60">
        <f t="shared" ca="1" si="66"/>
        <v>6.75</v>
      </c>
      <c r="Q505" s="54">
        <f>Данные!Q505</f>
        <v>0</v>
      </c>
      <c r="R505" s="54">
        <f>Данные!R505</f>
        <v>0</v>
      </c>
      <c r="S505" s="54">
        <f>Данные!S505</f>
        <v>0</v>
      </c>
      <c r="T505" s="54">
        <f>Данные!T505</f>
        <v>0</v>
      </c>
      <c r="U505" s="54">
        <f>Данные!U505</f>
        <v>0</v>
      </c>
      <c r="V505" s="54">
        <f>Данные!V505</f>
        <v>0</v>
      </c>
      <c r="W505" s="54">
        <f ca="1">Данные!W505</f>
        <v>27</v>
      </c>
      <c r="X505" s="54" t="str">
        <f ca="1">Данные!X505</f>
        <v>1</v>
      </c>
      <c r="Y505" s="54" t="str">
        <f ca="1">Данные!Y505</f>
        <v>2</v>
      </c>
      <c r="Z505" s="54">
        <f>Данные!Z505</f>
        <v>0</v>
      </c>
      <c r="AA505" s="54" t="str">
        <f>Данные!AA505</f>
        <v>осн</v>
      </c>
      <c r="AB505" s="101">
        <f t="shared" si="67"/>
        <v>800</v>
      </c>
      <c r="AC505" s="101" t="str">
        <f t="shared" si="68"/>
        <v>ИВТ (бак)</v>
      </c>
      <c r="AD505" s="101" t="str">
        <f t="shared" si="69"/>
        <v>2016–2017</v>
      </c>
      <c r="AE505" s="102">
        <f t="shared" ca="1" si="70"/>
        <v>80.510000000000005</v>
      </c>
      <c r="AF505" s="103">
        <f t="shared" ca="1" si="71"/>
        <v>0.1006375</v>
      </c>
      <c r="AG505" s="101"/>
      <c r="AH505" s="101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Q505" s="72">
        <v>0</v>
      </c>
      <c r="BR505" s="72">
        <v>0</v>
      </c>
      <c r="BS505" s="72">
        <v>0</v>
      </c>
      <c r="BT505" s="72">
        <v>0</v>
      </c>
      <c r="BU505" s="72">
        <v>0</v>
      </c>
      <c r="BV505" s="72">
        <v>0</v>
      </c>
      <c r="BW505" s="72">
        <v>0</v>
      </c>
      <c r="BX505" s="72">
        <v>0</v>
      </c>
      <c r="BY505" s="72">
        <v>0</v>
      </c>
      <c r="BZ505" s="72">
        <v>0</v>
      </c>
      <c r="CA505" s="72">
        <v>0</v>
      </c>
      <c r="CB505" s="72">
        <v>0</v>
      </c>
      <c r="CC505" s="72">
        <v>0</v>
      </c>
      <c r="CD505" s="72">
        <v>0</v>
      </c>
      <c r="CE505" s="72">
        <v>0</v>
      </c>
      <c r="CF505" s="72">
        <v>0</v>
      </c>
      <c r="CG505" s="72">
        <v>0</v>
      </c>
      <c r="CH505" s="72">
        <v>0</v>
      </c>
      <c r="CI505" s="72">
        <v>0</v>
      </c>
      <c r="CJ505" s="72">
        <v>0</v>
      </c>
      <c r="CK505" s="72">
        <v>0</v>
      </c>
      <c r="CL505" s="72">
        <v>0</v>
      </c>
      <c r="CM505" s="72">
        <v>0</v>
      </c>
      <c r="CN505" s="72">
        <v>0</v>
      </c>
      <c r="CO505" s="72">
        <v>0</v>
      </c>
      <c r="CP505" s="72">
        <v>0</v>
      </c>
      <c r="CQ505" s="72">
        <v>0</v>
      </c>
      <c r="CR505" s="72">
        <v>0</v>
      </c>
      <c r="CS505" s="72">
        <v>0</v>
      </c>
      <c r="CT505" s="72">
        <v>0</v>
      </c>
      <c r="CU505" s="72">
        <v>0</v>
      </c>
      <c r="CV505" s="72">
        <v>0</v>
      </c>
      <c r="CW505" s="72">
        <v>0</v>
      </c>
      <c r="CX505" s="72">
        <v>0</v>
      </c>
      <c r="CY505" s="72">
        <v>0</v>
      </c>
      <c r="CZ505" s="72">
        <v>0</v>
      </c>
      <c r="DA505" s="72">
        <v>0</v>
      </c>
      <c r="DB505" s="72">
        <v>0</v>
      </c>
      <c r="DC505" s="72">
        <v>0</v>
      </c>
      <c r="DD505" s="72">
        <v>0</v>
      </c>
      <c r="DE505" s="72">
        <v>0</v>
      </c>
      <c r="DF505" s="72">
        <v>0</v>
      </c>
      <c r="DG505" s="72">
        <v>0</v>
      </c>
      <c r="DH505" s="72">
        <v>0</v>
      </c>
      <c r="DI505" s="72">
        <v>0</v>
      </c>
      <c r="DJ505" s="72">
        <v>0</v>
      </c>
      <c r="DK505" s="72">
        <v>0</v>
      </c>
      <c r="DL505" s="72">
        <v>0</v>
      </c>
      <c r="DM505" s="72">
        <v>0</v>
      </c>
      <c r="DN505" s="72">
        <v>0</v>
      </c>
      <c r="DO505" s="72">
        <v>0</v>
      </c>
      <c r="DP505" s="72">
        <v>0</v>
      </c>
      <c r="DQ505" s="72">
        <v>0</v>
      </c>
      <c r="DR505" s="72">
        <v>0</v>
      </c>
      <c r="DS505" s="72">
        <v>0</v>
      </c>
      <c r="DT505" s="72">
        <v>0</v>
      </c>
      <c r="DU505" s="72">
        <v>0</v>
      </c>
      <c r="DV505" s="72">
        <v>0</v>
      </c>
      <c r="DW505" s="72">
        <v>0</v>
      </c>
      <c r="DX505" s="72">
        <v>0</v>
      </c>
      <c r="DY505" s="72">
        <v>0</v>
      </c>
      <c r="DZ505" s="72">
        <v>0</v>
      </c>
      <c r="EA505" s="72">
        <v>0</v>
      </c>
      <c r="EB505" s="72">
        <v>0</v>
      </c>
      <c r="EC505" s="72">
        <v>0</v>
      </c>
      <c r="ED505" s="72">
        <v>0</v>
      </c>
      <c r="EE505" s="72">
        <v>0</v>
      </c>
      <c r="EF505" s="72">
        <v>0</v>
      </c>
      <c r="EG505" s="72">
        <v>0</v>
      </c>
      <c r="EH505" s="72">
        <v>0</v>
      </c>
      <c r="EI505" s="72">
        <v>0</v>
      </c>
      <c r="EJ505" s="72">
        <v>0</v>
      </c>
      <c r="EK505" s="72">
        <v>0</v>
      </c>
      <c r="EL505" s="72">
        <v>0</v>
      </c>
    </row>
    <row r="506" spans="1:142" x14ac:dyDescent="0.35">
      <c r="A506" s="59">
        <f>Данные!A506</f>
        <v>4858</v>
      </c>
      <c r="B506" s="59">
        <f>Данные!B506</f>
        <v>2016</v>
      </c>
      <c r="C506" s="59" t="str">
        <f>Данные!C506</f>
        <v>философии</v>
      </c>
      <c r="D506" s="59" t="str">
        <f>Данные!D506</f>
        <v>Рудаков Леонид Ильич</v>
      </c>
      <c r="E506" s="59" t="str">
        <f>Данные!E506</f>
        <v>доктор философских наук</v>
      </c>
      <c r="F506" s="59" t="str">
        <f>Данные!F506</f>
        <v>профессор</v>
      </c>
      <c r="G506" s="59">
        <f>Данные!G506</f>
        <v>0</v>
      </c>
      <c r="H506" s="59">
        <f>Данные!H506</f>
        <v>15177</v>
      </c>
      <c r="I506" s="59" t="str">
        <f>Данные!I506</f>
        <v>Философия</v>
      </c>
      <c r="J506" s="59">
        <f>Данные!J506</f>
        <v>17</v>
      </c>
      <c r="K506" s="59">
        <f>Данные!K506</f>
        <v>34</v>
      </c>
      <c r="L506" s="59">
        <f>Данные!L506</f>
        <v>0</v>
      </c>
      <c r="M506" s="60">
        <f t="shared" si="63"/>
        <v>5.0999999999999996</v>
      </c>
      <c r="N506" s="60">
        <f t="shared" ca="1" si="64"/>
        <v>10.91</v>
      </c>
      <c r="O506" s="60">
        <f t="shared" ca="1" si="65"/>
        <v>6.75</v>
      </c>
      <c r="P506" s="60">
        <f t="shared" ca="1" si="66"/>
        <v>6.75</v>
      </c>
      <c r="Q506" s="54">
        <f>Данные!Q506</f>
        <v>0</v>
      </c>
      <c r="R506" s="54">
        <f>Данные!R506</f>
        <v>0</v>
      </c>
      <c r="S506" s="54">
        <f>Данные!S506</f>
        <v>0</v>
      </c>
      <c r="T506" s="54">
        <f>Данные!T506</f>
        <v>0</v>
      </c>
      <c r="U506" s="54">
        <f>Данные!U506</f>
        <v>0</v>
      </c>
      <c r="V506" s="54">
        <f>Данные!V506</f>
        <v>0</v>
      </c>
      <c r="W506" s="54">
        <f ca="1">Данные!W506</f>
        <v>27</v>
      </c>
      <c r="X506" s="54" t="str">
        <f ca="1">Данные!X506</f>
        <v>1</v>
      </c>
      <c r="Y506" s="54" t="str">
        <f ca="1">Данные!Y506</f>
        <v>2</v>
      </c>
      <c r="Z506" s="54">
        <f>Данные!Z506</f>
        <v>0</v>
      </c>
      <c r="AA506" s="54">
        <f>Данные!AA506</f>
        <v>0</v>
      </c>
      <c r="AB506" s="101">
        <f t="shared" si="67"/>
        <v>750</v>
      </c>
      <c r="AC506" s="101" t="str">
        <f t="shared" si="68"/>
        <v>ИВТ (бак)</v>
      </c>
      <c r="AD506" s="101" t="str">
        <f t="shared" si="69"/>
        <v>2016–2017</v>
      </c>
      <c r="AE506" s="102">
        <f t="shared" ca="1" si="70"/>
        <v>80.510000000000005</v>
      </c>
      <c r="AF506" s="103">
        <f t="shared" ca="1" si="71"/>
        <v>0.10734666666666667</v>
      </c>
      <c r="AG506" s="101"/>
      <c r="AH506" s="101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Q506" s="72">
        <v>0</v>
      </c>
      <c r="BR506" s="72">
        <v>0</v>
      </c>
      <c r="BS506" s="72">
        <v>0</v>
      </c>
      <c r="BT506" s="72">
        <v>0</v>
      </c>
      <c r="BU506" s="72">
        <v>0</v>
      </c>
      <c r="BV506" s="72">
        <v>0</v>
      </c>
      <c r="BW506" s="72">
        <v>0</v>
      </c>
      <c r="BX506" s="72">
        <v>0</v>
      </c>
      <c r="BY506" s="72">
        <v>0</v>
      </c>
      <c r="BZ506" s="72">
        <v>0</v>
      </c>
      <c r="CA506" s="72">
        <v>0</v>
      </c>
      <c r="CB506" s="72">
        <v>0</v>
      </c>
      <c r="CC506" s="72">
        <v>0</v>
      </c>
      <c r="CD506" s="72">
        <v>0</v>
      </c>
      <c r="CE506" s="72">
        <v>0</v>
      </c>
      <c r="CF506" s="72">
        <v>0</v>
      </c>
      <c r="CG506" s="72">
        <v>0</v>
      </c>
      <c r="CH506" s="72">
        <v>0</v>
      </c>
      <c r="CI506" s="72">
        <v>0</v>
      </c>
      <c r="CJ506" s="72">
        <v>0</v>
      </c>
      <c r="CK506" s="72">
        <v>0</v>
      </c>
      <c r="CL506" s="72">
        <v>0</v>
      </c>
      <c r="CM506" s="72">
        <v>0</v>
      </c>
      <c r="CN506" s="72">
        <v>0</v>
      </c>
      <c r="CO506" s="72">
        <v>0</v>
      </c>
      <c r="CP506" s="72">
        <v>0</v>
      </c>
      <c r="CQ506" s="72">
        <v>0</v>
      </c>
      <c r="CR506" s="72">
        <v>0</v>
      </c>
      <c r="CS506" s="72">
        <v>0</v>
      </c>
      <c r="CT506" s="72">
        <v>0</v>
      </c>
      <c r="CU506" s="72">
        <v>0</v>
      </c>
      <c r="CV506" s="72">
        <v>0</v>
      </c>
      <c r="CW506" s="72">
        <v>0</v>
      </c>
      <c r="CX506" s="72">
        <v>0</v>
      </c>
      <c r="CY506" s="72">
        <v>0</v>
      </c>
      <c r="CZ506" s="72">
        <v>0</v>
      </c>
      <c r="DA506" s="72">
        <v>0</v>
      </c>
      <c r="DB506" s="72">
        <v>0</v>
      </c>
      <c r="DC506" s="72">
        <v>0</v>
      </c>
      <c r="DD506" s="72">
        <v>0</v>
      </c>
      <c r="DE506" s="72">
        <v>0</v>
      </c>
      <c r="DF506" s="72">
        <v>0</v>
      </c>
      <c r="DG506" s="72">
        <v>0</v>
      </c>
      <c r="DH506" s="72">
        <v>0</v>
      </c>
      <c r="DI506" s="72">
        <v>0</v>
      </c>
      <c r="DJ506" s="72">
        <v>0</v>
      </c>
      <c r="DK506" s="72">
        <v>0</v>
      </c>
      <c r="DL506" s="72">
        <v>0</v>
      </c>
      <c r="DM506" s="72">
        <v>0</v>
      </c>
      <c r="DN506" s="72">
        <v>0</v>
      </c>
      <c r="DO506" s="72">
        <v>0</v>
      </c>
      <c r="DP506" s="72">
        <v>0</v>
      </c>
      <c r="DQ506" s="72">
        <v>0</v>
      </c>
      <c r="DR506" s="72">
        <v>0</v>
      </c>
      <c r="DS506" s="72">
        <v>0</v>
      </c>
      <c r="DT506" s="72">
        <v>0</v>
      </c>
      <c r="DU506" s="72">
        <v>0</v>
      </c>
      <c r="DV506" s="72">
        <v>0</v>
      </c>
      <c r="DW506" s="72">
        <v>0</v>
      </c>
      <c r="DX506" s="72">
        <v>0</v>
      </c>
      <c r="DY506" s="72">
        <v>0</v>
      </c>
      <c r="DZ506" s="72">
        <v>0</v>
      </c>
      <c r="EA506" s="72">
        <v>0</v>
      </c>
      <c r="EB506" s="72">
        <v>0</v>
      </c>
      <c r="EC506" s="72">
        <v>0</v>
      </c>
      <c r="ED506" s="72">
        <v>0</v>
      </c>
      <c r="EE506" s="72">
        <v>0</v>
      </c>
      <c r="EF506" s="72">
        <v>0</v>
      </c>
      <c r="EG506" s="72">
        <v>0</v>
      </c>
      <c r="EH506" s="72">
        <v>0</v>
      </c>
      <c r="EI506" s="72">
        <v>0</v>
      </c>
      <c r="EJ506" s="72">
        <v>0</v>
      </c>
      <c r="EK506" s="72">
        <v>0</v>
      </c>
      <c r="EL506" s="72">
        <v>0</v>
      </c>
    </row>
    <row r="507" spans="1:142" x14ac:dyDescent="0.35">
      <c r="A507" s="59">
        <f>Данные!A507</f>
        <v>4858</v>
      </c>
      <c r="B507" s="59">
        <f>Данные!B507</f>
        <v>2016</v>
      </c>
      <c r="C507" s="59" t="str">
        <f>Данные!C507</f>
        <v>истории</v>
      </c>
      <c r="D507" s="59" t="str">
        <f>Данные!D507</f>
        <v>Лапина Ирина Александровна</v>
      </c>
      <c r="E507" s="59" t="str">
        <f>Данные!E507</f>
        <v>кандидат исторических наук</v>
      </c>
      <c r="F507" s="59" t="str">
        <f>Данные!F507</f>
        <v>доцент</v>
      </c>
      <c r="G507" s="59">
        <f>Данные!G507</f>
        <v>1</v>
      </c>
      <c r="H507" s="59">
        <f>Данные!H507</f>
        <v>15177</v>
      </c>
      <c r="I507" s="59" t="str">
        <f>Данные!I507</f>
        <v>История России</v>
      </c>
      <c r="J507" s="59">
        <f>Данные!J507</f>
        <v>34</v>
      </c>
      <c r="K507" s="59">
        <f>Данные!K507</f>
        <v>17</v>
      </c>
      <c r="L507" s="59">
        <f>Данные!L507</f>
        <v>0</v>
      </c>
      <c r="M507" s="60">
        <f t="shared" si="63"/>
        <v>5.0999999999999996</v>
      </c>
      <c r="N507" s="60">
        <f t="shared" ca="1" si="64"/>
        <v>10.91</v>
      </c>
      <c r="O507" s="60">
        <f t="shared" ca="1" si="65"/>
        <v>6.75</v>
      </c>
      <c r="P507" s="60">
        <f t="shared" ca="1" si="66"/>
        <v>6.75</v>
      </c>
      <c r="Q507" s="54">
        <f>Данные!Q507</f>
        <v>0</v>
      </c>
      <c r="R507" s="54">
        <f>Данные!R507</f>
        <v>0</v>
      </c>
      <c r="S507" s="54">
        <f>Данные!S507</f>
        <v>0</v>
      </c>
      <c r="T507" s="54">
        <f>Данные!T507</f>
        <v>12</v>
      </c>
      <c r="U507" s="54">
        <f>Данные!U507</f>
        <v>0</v>
      </c>
      <c r="V507" s="54">
        <f>Данные!V507</f>
        <v>0</v>
      </c>
      <c r="W507" s="54">
        <f ca="1">Данные!W507</f>
        <v>27</v>
      </c>
      <c r="X507" s="54" t="str">
        <f ca="1">Данные!X507</f>
        <v>1</v>
      </c>
      <c r="Y507" s="54" t="str">
        <f ca="1">Данные!Y507</f>
        <v>2</v>
      </c>
      <c r="Z507" s="54">
        <f>Данные!Z507</f>
        <v>0</v>
      </c>
      <c r="AA507" s="54" t="str">
        <f>Данные!AA507</f>
        <v>осн</v>
      </c>
      <c r="AB507" s="101">
        <f t="shared" si="67"/>
        <v>800</v>
      </c>
      <c r="AC507" s="101" t="str">
        <f t="shared" si="68"/>
        <v>ИВТ (бак)</v>
      </c>
      <c r="AD507" s="101" t="str">
        <f t="shared" si="69"/>
        <v>2016–2017</v>
      </c>
      <c r="AE507" s="102">
        <f t="shared" ca="1" si="70"/>
        <v>92.51</v>
      </c>
      <c r="AF507" s="103">
        <f t="shared" ca="1" si="71"/>
        <v>0.1156375</v>
      </c>
      <c r="AG507" s="101"/>
      <c r="AH507" s="101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Q507" s="72">
        <v>0</v>
      </c>
      <c r="BR507" s="72">
        <v>0</v>
      </c>
      <c r="BS507" s="72">
        <v>0</v>
      </c>
      <c r="BT507" s="72">
        <v>0</v>
      </c>
      <c r="BU507" s="72">
        <v>0</v>
      </c>
      <c r="BV507" s="72">
        <v>0</v>
      </c>
      <c r="BW507" s="72">
        <v>0</v>
      </c>
      <c r="BX507" s="72">
        <v>0</v>
      </c>
      <c r="BY507" s="72">
        <v>0</v>
      </c>
      <c r="BZ507" s="72">
        <v>0</v>
      </c>
      <c r="CA507" s="72">
        <v>0</v>
      </c>
      <c r="CB507" s="72">
        <v>0</v>
      </c>
      <c r="CC507" s="72">
        <v>0</v>
      </c>
      <c r="CD507" s="72">
        <v>0</v>
      </c>
      <c r="CE507" s="72">
        <v>0</v>
      </c>
      <c r="CF507" s="72">
        <v>0</v>
      </c>
      <c r="CG507" s="72">
        <v>0</v>
      </c>
      <c r="CH507" s="72">
        <v>0</v>
      </c>
      <c r="CI507" s="72">
        <v>0</v>
      </c>
      <c r="CJ507" s="72">
        <v>0</v>
      </c>
      <c r="CK507" s="72">
        <v>0</v>
      </c>
      <c r="CL507" s="72">
        <v>0</v>
      </c>
      <c r="CM507" s="72">
        <v>0</v>
      </c>
      <c r="CN507" s="72">
        <v>0</v>
      </c>
      <c r="CO507" s="72">
        <v>0</v>
      </c>
      <c r="CP507" s="72">
        <v>0</v>
      </c>
      <c r="CQ507" s="72">
        <v>0</v>
      </c>
      <c r="CR507" s="72">
        <v>0</v>
      </c>
      <c r="CS507" s="72">
        <v>0</v>
      </c>
      <c r="CT507" s="72">
        <v>0</v>
      </c>
      <c r="CU507" s="72">
        <v>0</v>
      </c>
      <c r="CV507" s="72">
        <v>0</v>
      </c>
      <c r="CW507" s="72">
        <v>0</v>
      </c>
      <c r="CX507" s="72">
        <v>0</v>
      </c>
      <c r="CY507" s="72">
        <v>0</v>
      </c>
      <c r="CZ507" s="72">
        <v>0</v>
      </c>
      <c r="DA507" s="72">
        <v>0</v>
      </c>
      <c r="DB507" s="72">
        <v>0</v>
      </c>
      <c r="DC507" s="72">
        <v>0</v>
      </c>
      <c r="DD507" s="72">
        <v>0</v>
      </c>
      <c r="DE507" s="72">
        <v>0</v>
      </c>
      <c r="DF507" s="72">
        <v>0</v>
      </c>
      <c r="DG507" s="72">
        <v>0</v>
      </c>
      <c r="DH507" s="72">
        <v>0</v>
      </c>
      <c r="DI507" s="72">
        <v>0</v>
      </c>
      <c r="DJ507" s="72">
        <v>0</v>
      </c>
      <c r="DK507" s="72">
        <v>0</v>
      </c>
      <c r="DL507" s="72">
        <v>0</v>
      </c>
      <c r="DM507" s="72">
        <v>0</v>
      </c>
      <c r="DN507" s="72">
        <v>0</v>
      </c>
      <c r="DO507" s="72">
        <v>0</v>
      </c>
      <c r="DP507" s="72">
        <v>0</v>
      </c>
      <c r="DQ507" s="72">
        <v>0</v>
      </c>
      <c r="DR507" s="72">
        <v>0</v>
      </c>
      <c r="DS507" s="72">
        <v>0</v>
      </c>
      <c r="DT507" s="72">
        <v>0</v>
      </c>
      <c r="DU507" s="72">
        <v>0</v>
      </c>
      <c r="DV507" s="72">
        <v>0</v>
      </c>
      <c r="DW507" s="72">
        <v>0</v>
      </c>
      <c r="DX507" s="72">
        <v>0</v>
      </c>
      <c r="DY507" s="72">
        <v>0</v>
      </c>
      <c r="DZ507" s="72">
        <v>0</v>
      </c>
      <c r="EA507" s="72">
        <v>0</v>
      </c>
      <c r="EB507" s="72">
        <v>0</v>
      </c>
      <c r="EC507" s="72">
        <v>0</v>
      </c>
      <c r="ED507" s="72">
        <v>0</v>
      </c>
      <c r="EE507" s="72">
        <v>0</v>
      </c>
      <c r="EF507" s="72">
        <v>0</v>
      </c>
      <c r="EG507" s="72">
        <v>0</v>
      </c>
      <c r="EH507" s="72">
        <v>0</v>
      </c>
      <c r="EI507" s="72">
        <v>0</v>
      </c>
      <c r="EJ507" s="72">
        <v>0</v>
      </c>
      <c r="EK507" s="72">
        <v>0</v>
      </c>
      <c r="EL507" s="72">
        <v>0</v>
      </c>
    </row>
    <row r="508" spans="1:142" x14ac:dyDescent="0.35">
      <c r="A508" s="59">
        <f>Данные!A508</f>
        <v>4858</v>
      </c>
      <c r="B508" s="59">
        <f>Данные!B508</f>
        <v>2016</v>
      </c>
      <c r="C508" s="59" t="str">
        <f>Данные!C508</f>
        <v>математического анализа</v>
      </c>
      <c r="D508" s="59" t="str">
        <f>Данные!D508</f>
        <v>Косова Ирина Святославна</v>
      </c>
      <c r="E508" s="59" t="str">
        <f>Данные!E508</f>
        <v>кандидат педагогических наук</v>
      </c>
      <c r="F508" s="59" t="str">
        <f>Данные!F508</f>
        <v>доцент</v>
      </c>
      <c r="G508" s="59">
        <f>Данные!G508</f>
        <v>1</v>
      </c>
      <c r="H508" s="59">
        <f>Данные!H508</f>
        <v>15177</v>
      </c>
      <c r="I508" s="59" t="str">
        <f>Данные!I508</f>
        <v>Модуль "Дискретные структуры". Вероятность и статистика</v>
      </c>
      <c r="J508" s="59">
        <f>Данные!J508</f>
        <v>18</v>
      </c>
      <c r="K508" s="59">
        <f>Данные!K508</f>
        <v>18</v>
      </c>
      <c r="L508" s="59">
        <f>Данные!L508</f>
        <v>0</v>
      </c>
      <c r="M508" s="60">
        <f t="shared" si="63"/>
        <v>3.6</v>
      </c>
      <c r="N508" s="60">
        <f t="shared" ca="1" si="64"/>
        <v>10.91</v>
      </c>
      <c r="O508" s="60">
        <f t="shared" ca="1" si="65"/>
        <v>6.75</v>
      </c>
      <c r="P508" s="60">
        <f t="shared" ca="1" si="66"/>
        <v>6.75</v>
      </c>
      <c r="Q508" s="54">
        <f>Данные!Q508</f>
        <v>0</v>
      </c>
      <c r="R508" s="54">
        <f>Данные!R508</f>
        <v>0</v>
      </c>
      <c r="S508" s="54">
        <f>Данные!S508</f>
        <v>0</v>
      </c>
      <c r="T508" s="54">
        <f>Данные!T508</f>
        <v>0</v>
      </c>
      <c r="U508" s="54">
        <f>Данные!U508</f>
        <v>0</v>
      </c>
      <c r="V508" s="54">
        <f>Данные!V508</f>
        <v>0</v>
      </c>
      <c r="W508" s="54">
        <f ca="1">Данные!W508</f>
        <v>27</v>
      </c>
      <c r="X508" s="54" t="str">
        <f ca="1">Данные!X508</f>
        <v>1</v>
      </c>
      <c r="Y508" s="54" t="str">
        <f ca="1">Данные!Y508</f>
        <v>2</v>
      </c>
      <c r="Z508" s="54">
        <f>Данные!Z508</f>
        <v>0</v>
      </c>
      <c r="AA508" s="54" t="str">
        <f>Данные!AA508</f>
        <v>осн</v>
      </c>
      <c r="AB508" s="101">
        <f t="shared" si="67"/>
        <v>800</v>
      </c>
      <c r="AC508" s="101" t="str">
        <f t="shared" si="68"/>
        <v>ИВТ (бак)</v>
      </c>
      <c r="AD508" s="101" t="str">
        <f t="shared" si="69"/>
        <v>2016–2017</v>
      </c>
      <c r="AE508" s="102">
        <f t="shared" ca="1" si="70"/>
        <v>64.010000000000005</v>
      </c>
      <c r="AF508" s="103">
        <f t="shared" ca="1" si="71"/>
        <v>8.00125E-2</v>
      </c>
      <c r="AG508" s="101"/>
      <c r="AH508" s="101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Q508" s="72">
        <v>0</v>
      </c>
      <c r="BR508" s="72">
        <v>0</v>
      </c>
      <c r="BS508" s="72">
        <v>0</v>
      </c>
      <c r="BT508" s="72">
        <v>0</v>
      </c>
      <c r="BU508" s="72">
        <v>0</v>
      </c>
      <c r="BV508" s="72">
        <v>0</v>
      </c>
      <c r="BW508" s="72">
        <v>0</v>
      </c>
      <c r="BX508" s="72">
        <v>0</v>
      </c>
      <c r="BY508" s="72">
        <v>0</v>
      </c>
      <c r="BZ508" s="72">
        <v>0</v>
      </c>
      <c r="CA508" s="72">
        <v>0</v>
      </c>
      <c r="CB508" s="72">
        <v>0</v>
      </c>
      <c r="CC508" s="72">
        <v>0</v>
      </c>
      <c r="CD508" s="72">
        <v>0</v>
      </c>
      <c r="CE508" s="72">
        <v>0</v>
      </c>
      <c r="CF508" s="72">
        <v>0</v>
      </c>
      <c r="CG508" s="72">
        <v>0</v>
      </c>
      <c r="CH508" s="72">
        <v>0</v>
      </c>
      <c r="CI508" s="72">
        <v>0</v>
      </c>
      <c r="CJ508" s="72">
        <v>0</v>
      </c>
      <c r="CK508" s="72">
        <v>0</v>
      </c>
      <c r="CL508" s="72">
        <v>0</v>
      </c>
      <c r="CM508" s="72">
        <v>0</v>
      </c>
      <c r="CN508" s="72">
        <v>0</v>
      </c>
      <c r="CO508" s="72">
        <v>0</v>
      </c>
      <c r="CP508" s="72">
        <v>0</v>
      </c>
      <c r="CQ508" s="72">
        <v>0</v>
      </c>
      <c r="CR508" s="72">
        <v>0</v>
      </c>
      <c r="CS508" s="72">
        <v>0</v>
      </c>
      <c r="CT508" s="72">
        <v>0</v>
      </c>
      <c r="CU508" s="72">
        <v>0</v>
      </c>
      <c r="CV508" s="72">
        <v>0</v>
      </c>
      <c r="CW508" s="72">
        <v>0</v>
      </c>
      <c r="CX508" s="72">
        <v>0</v>
      </c>
      <c r="CY508" s="72">
        <v>0</v>
      </c>
      <c r="CZ508" s="72">
        <v>0</v>
      </c>
      <c r="DA508" s="72">
        <v>0</v>
      </c>
      <c r="DB508" s="72">
        <v>0</v>
      </c>
      <c r="DC508" s="72">
        <v>0</v>
      </c>
      <c r="DD508" s="72">
        <v>0</v>
      </c>
      <c r="DE508" s="72">
        <v>0</v>
      </c>
      <c r="DF508" s="72">
        <v>0</v>
      </c>
      <c r="DG508" s="72">
        <v>0</v>
      </c>
      <c r="DH508" s="72">
        <v>0</v>
      </c>
      <c r="DI508" s="72">
        <v>0</v>
      </c>
      <c r="DJ508" s="72">
        <v>0</v>
      </c>
      <c r="DK508" s="72">
        <v>0</v>
      </c>
      <c r="DL508" s="72">
        <v>0</v>
      </c>
      <c r="DM508" s="72">
        <v>0</v>
      </c>
      <c r="DN508" s="72">
        <v>0</v>
      </c>
      <c r="DO508" s="72">
        <v>0</v>
      </c>
      <c r="DP508" s="72">
        <v>0</v>
      </c>
      <c r="DQ508" s="72">
        <v>0</v>
      </c>
      <c r="DR508" s="72">
        <v>0</v>
      </c>
      <c r="DS508" s="72">
        <v>0</v>
      </c>
      <c r="DT508" s="72">
        <v>0</v>
      </c>
      <c r="DU508" s="72">
        <v>0</v>
      </c>
      <c r="DV508" s="72">
        <v>0</v>
      </c>
      <c r="DW508" s="72">
        <v>0</v>
      </c>
      <c r="DX508" s="72">
        <v>0</v>
      </c>
      <c r="DY508" s="72">
        <v>0</v>
      </c>
      <c r="DZ508" s="72">
        <v>0</v>
      </c>
      <c r="EA508" s="72">
        <v>0</v>
      </c>
      <c r="EB508" s="72">
        <v>0</v>
      </c>
      <c r="EC508" s="72">
        <v>0</v>
      </c>
      <c r="ED508" s="72">
        <v>0</v>
      </c>
      <c r="EE508" s="72">
        <v>0</v>
      </c>
      <c r="EF508" s="72">
        <v>0</v>
      </c>
      <c r="EG508" s="72">
        <v>0</v>
      </c>
      <c r="EH508" s="72">
        <v>0</v>
      </c>
      <c r="EI508" s="72">
        <v>0</v>
      </c>
      <c r="EJ508" s="72">
        <v>0</v>
      </c>
      <c r="EK508" s="72">
        <v>0</v>
      </c>
      <c r="EL508" s="72">
        <v>0</v>
      </c>
    </row>
    <row r="509" spans="1:142" x14ac:dyDescent="0.35">
      <c r="A509" s="59">
        <f>Данные!A509</f>
        <v>4858</v>
      </c>
      <c r="B509" s="59">
        <f>Данные!B509</f>
        <v>2016</v>
      </c>
      <c r="C509" s="59" t="str">
        <f>Данные!C509</f>
        <v>современных европейских языков</v>
      </c>
      <c r="D509" s="59" t="str">
        <f>Данные!D509</f>
        <v>Василькова Ирина Генриховна</v>
      </c>
      <c r="E509" s="59" t="str">
        <f>Данные!E509</f>
        <v>нет</v>
      </c>
      <c r="F509" s="59" t="str">
        <f>Данные!F509</f>
        <v>старший преподаватель</v>
      </c>
      <c r="G509" s="59">
        <f>Данные!G509</f>
        <v>0.5</v>
      </c>
      <c r="H509" s="59">
        <f>Данные!H509</f>
        <v>15177</v>
      </c>
      <c r="I509" s="59" t="str">
        <f>Данные!I509</f>
        <v>Иностранный язык</v>
      </c>
      <c r="J509" s="59">
        <f>Данные!J509</f>
        <v>0</v>
      </c>
      <c r="K509" s="59">
        <f>Данные!K509</f>
        <v>0</v>
      </c>
      <c r="L509" s="59">
        <f>Данные!L509</f>
        <v>68</v>
      </c>
      <c r="M509" s="60">
        <f t="shared" si="63"/>
        <v>6.8</v>
      </c>
      <c r="N509" s="60">
        <f t="shared" ca="1" si="64"/>
        <v>10.91</v>
      </c>
      <c r="O509" s="60">
        <f t="shared" ca="1" si="65"/>
        <v>6.75</v>
      </c>
      <c r="P509" s="60">
        <f t="shared" ca="1" si="66"/>
        <v>6.75</v>
      </c>
      <c r="Q509" s="54">
        <f>Данные!Q509</f>
        <v>0</v>
      </c>
      <c r="R509" s="54">
        <f>Данные!R509</f>
        <v>0</v>
      </c>
      <c r="S509" s="54">
        <f>Данные!S509</f>
        <v>0</v>
      </c>
      <c r="T509" s="54">
        <f>Данные!T509</f>
        <v>6</v>
      </c>
      <c r="U509" s="54">
        <f>Данные!U509</f>
        <v>0</v>
      </c>
      <c r="V509" s="54">
        <f>Данные!V509</f>
        <v>0</v>
      </c>
      <c r="W509" s="54">
        <f ca="1">Данные!W509</f>
        <v>27</v>
      </c>
      <c r="X509" s="54" t="str">
        <f ca="1">Данные!X509</f>
        <v>1</v>
      </c>
      <c r="Y509" s="54" t="str">
        <f ca="1">Данные!Y509</f>
        <v>2</v>
      </c>
      <c r="Z509" s="54">
        <f>Данные!Z509</f>
        <v>0</v>
      </c>
      <c r="AA509" s="54" t="str">
        <f>Данные!AA509</f>
        <v>осн</v>
      </c>
      <c r="AB509" s="101">
        <f t="shared" si="67"/>
        <v>850</v>
      </c>
      <c r="AC509" s="101" t="str">
        <f t="shared" si="68"/>
        <v>ИВТ (бак)</v>
      </c>
      <c r="AD509" s="101" t="str">
        <f t="shared" si="69"/>
        <v>2016–2017</v>
      </c>
      <c r="AE509" s="102">
        <f t="shared" ca="1" si="70"/>
        <v>105.21</v>
      </c>
      <c r="AF509" s="103">
        <f t="shared" ca="1" si="71"/>
        <v>0.12377647058823529</v>
      </c>
      <c r="AG509" s="101"/>
      <c r="AH509" s="101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Q509" s="72">
        <v>0</v>
      </c>
      <c r="BR509" s="72">
        <v>0</v>
      </c>
      <c r="BS509" s="72">
        <v>0</v>
      </c>
      <c r="BT509" s="72">
        <v>0</v>
      </c>
      <c r="BU509" s="72">
        <v>0</v>
      </c>
      <c r="BV509" s="72">
        <v>0</v>
      </c>
      <c r="BW509" s="72">
        <v>0</v>
      </c>
      <c r="BX509" s="72">
        <v>0</v>
      </c>
      <c r="BY509" s="72">
        <v>0</v>
      </c>
      <c r="BZ509" s="72">
        <v>0</v>
      </c>
      <c r="CA509" s="72">
        <v>0</v>
      </c>
      <c r="CB509" s="72">
        <v>0</v>
      </c>
      <c r="CC509" s="72">
        <v>0</v>
      </c>
      <c r="CD509" s="72">
        <v>0</v>
      </c>
      <c r="CE509" s="72">
        <v>0</v>
      </c>
      <c r="CF509" s="72">
        <v>0</v>
      </c>
      <c r="CG509" s="72">
        <v>0</v>
      </c>
      <c r="CH509" s="72">
        <v>0</v>
      </c>
      <c r="CI509" s="72">
        <v>0</v>
      </c>
      <c r="CJ509" s="72">
        <v>0</v>
      </c>
      <c r="CK509" s="72">
        <v>0</v>
      </c>
      <c r="CL509" s="72">
        <v>0</v>
      </c>
      <c r="CM509" s="72">
        <v>0</v>
      </c>
      <c r="CN509" s="72">
        <v>0</v>
      </c>
      <c r="CO509" s="72">
        <v>0</v>
      </c>
      <c r="CP509" s="72">
        <v>0</v>
      </c>
      <c r="CQ509" s="72">
        <v>0</v>
      </c>
      <c r="CR509" s="72">
        <v>0</v>
      </c>
      <c r="CS509" s="72">
        <v>0</v>
      </c>
      <c r="CT509" s="72">
        <v>0</v>
      </c>
      <c r="CU509" s="72">
        <v>0</v>
      </c>
      <c r="CV509" s="72">
        <v>0</v>
      </c>
      <c r="CW509" s="72">
        <v>0</v>
      </c>
      <c r="CX509" s="72">
        <v>0</v>
      </c>
      <c r="CY509" s="72">
        <v>0</v>
      </c>
      <c r="CZ509" s="72">
        <v>0</v>
      </c>
      <c r="DA509" s="72">
        <v>0</v>
      </c>
      <c r="DB509" s="72">
        <v>0</v>
      </c>
      <c r="DC509" s="72">
        <v>0</v>
      </c>
      <c r="DD509" s="72">
        <v>0</v>
      </c>
      <c r="DE509" s="72">
        <v>0</v>
      </c>
      <c r="DF509" s="72">
        <v>0</v>
      </c>
      <c r="DG509" s="72">
        <v>0</v>
      </c>
      <c r="DH509" s="72">
        <v>0</v>
      </c>
      <c r="DI509" s="72">
        <v>0</v>
      </c>
      <c r="DJ509" s="72">
        <v>0</v>
      </c>
      <c r="DK509" s="72">
        <v>0</v>
      </c>
      <c r="DL509" s="72">
        <v>0</v>
      </c>
      <c r="DM509" s="72">
        <v>0</v>
      </c>
      <c r="DN509" s="72">
        <v>0</v>
      </c>
      <c r="DO509" s="72">
        <v>0</v>
      </c>
      <c r="DP509" s="72">
        <v>0</v>
      </c>
      <c r="DQ509" s="72">
        <v>0</v>
      </c>
      <c r="DR509" s="72">
        <v>0</v>
      </c>
      <c r="DS509" s="72">
        <v>0</v>
      </c>
      <c r="DT509" s="72">
        <v>0</v>
      </c>
      <c r="DU509" s="72">
        <v>0</v>
      </c>
      <c r="DV509" s="72">
        <v>0</v>
      </c>
      <c r="DW509" s="72">
        <v>0</v>
      </c>
      <c r="DX509" s="72">
        <v>0</v>
      </c>
      <c r="DY509" s="72">
        <v>0</v>
      </c>
      <c r="DZ509" s="72">
        <v>0</v>
      </c>
      <c r="EA509" s="72">
        <v>0</v>
      </c>
      <c r="EB509" s="72">
        <v>0</v>
      </c>
      <c r="EC509" s="72">
        <v>0</v>
      </c>
      <c r="ED509" s="72">
        <v>0</v>
      </c>
      <c r="EE509" s="72">
        <v>0</v>
      </c>
      <c r="EF509" s="72">
        <v>0</v>
      </c>
      <c r="EG509" s="72">
        <v>0</v>
      </c>
      <c r="EH509" s="72">
        <v>0</v>
      </c>
      <c r="EI509" s="72">
        <v>0</v>
      </c>
      <c r="EJ509" s="72">
        <v>0</v>
      </c>
      <c r="EK509" s="72">
        <v>0</v>
      </c>
      <c r="EL509" s="72">
        <v>0</v>
      </c>
    </row>
    <row r="510" spans="1:142" x14ac:dyDescent="0.35">
      <c r="A510" s="59">
        <f>Данные!A510</f>
        <v>4858</v>
      </c>
      <c r="B510" s="59">
        <f>Данные!B510</f>
        <v>2016</v>
      </c>
      <c r="C510" s="59" t="str">
        <f>Данные!C510</f>
        <v>современных европейских языков</v>
      </c>
      <c r="D510" s="59" t="str">
        <f>Данные!D510</f>
        <v>Порязь Надежда Вадимовна</v>
      </c>
      <c r="E510" s="59" t="str">
        <f>Данные!E510</f>
        <v>нет</v>
      </c>
      <c r="F510" s="59" t="str">
        <f>Данные!F510</f>
        <v>старший преподаватель</v>
      </c>
      <c r="G510" s="59">
        <f>Данные!G510</f>
        <v>0.75</v>
      </c>
      <c r="H510" s="59">
        <f>Данные!H510</f>
        <v>15177</v>
      </c>
      <c r="I510" s="59" t="str">
        <f>Данные!I510</f>
        <v>Иностранный язык</v>
      </c>
      <c r="J510" s="59">
        <f>Данные!J510</f>
        <v>0</v>
      </c>
      <c r="K510" s="59">
        <f>Данные!K510</f>
        <v>0</v>
      </c>
      <c r="L510" s="59">
        <f>Данные!L510</f>
        <v>68</v>
      </c>
      <c r="M510" s="60">
        <f t="shared" si="63"/>
        <v>6.8</v>
      </c>
      <c r="N510" s="60">
        <f t="shared" ca="1" si="64"/>
        <v>10.91</v>
      </c>
      <c r="O510" s="60">
        <f t="shared" ca="1" si="65"/>
        <v>6.75</v>
      </c>
      <c r="P510" s="60">
        <f t="shared" ca="1" si="66"/>
        <v>6.75</v>
      </c>
      <c r="Q510" s="54">
        <f>Данные!Q510</f>
        <v>0</v>
      </c>
      <c r="R510" s="54">
        <f>Данные!R510</f>
        <v>0</v>
      </c>
      <c r="S510" s="54">
        <f>Данные!S510</f>
        <v>0</v>
      </c>
      <c r="T510" s="54">
        <f>Данные!T510</f>
        <v>18</v>
      </c>
      <c r="U510" s="54">
        <f>Данные!U510</f>
        <v>0</v>
      </c>
      <c r="V510" s="54">
        <f>Данные!V510</f>
        <v>0</v>
      </c>
      <c r="W510" s="54">
        <f ca="1">Данные!W510</f>
        <v>27</v>
      </c>
      <c r="X510" s="54" t="str">
        <f ca="1">Данные!X510</f>
        <v>1</v>
      </c>
      <c r="Y510" s="54" t="str">
        <f ca="1">Данные!Y510</f>
        <v>2</v>
      </c>
      <c r="Z510" s="54">
        <f>Данные!Z510</f>
        <v>0</v>
      </c>
      <c r="AA510" s="54" t="str">
        <f>Данные!AA510</f>
        <v>осн</v>
      </c>
      <c r="AB510" s="101">
        <f t="shared" si="67"/>
        <v>850</v>
      </c>
      <c r="AC510" s="101" t="str">
        <f t="shared" si="68"/>
        <v>ИВТ (бак)</v>
      </c>
      <c r="AD510" s="101" t="str">
        <f t="shared" si="69"/>
        <v>2016–2017</v>
      </c>
      <c r="AE510" s="102">
        <f t="shared" ca="1" si="70"/>
        <v>117.21</v>
      </c>
      <c r="AF510" s="103">
        <f t="shared" ca="1" si="71"/>
        <v>0.13789411764705881</v>
      </c>
      <c r="AG510" s="101"/>
      <c r="AH510" s="101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Q510" s="72">
        <v>0</v>
      </c>
      <c r="BR510" s="72">
        <v>0</v>
      </c>
      <c r="BS510" s="72">
        <v>0</v>
      </c>
      <c r="BT510" s="72">
        <v>0</v>
      </c>
      <c r="BU510" s="72">
        <v>0</v>
      </c>
      <c r="BV510" s="72">
        <v>0</v>
      </c>
      <c r="BW510" s="72">
        <v>0</v>
      </c>
      <c r="BX510" s="72">
        <v>0</v>
      </c>
      <c r="BY510" s="72">
        <v>0</v>
      </c>
      <c r="BZ510" s="72">
        <v>0</v>
      </c>
      <c r="CA510" s="72">
        <v>0</v>
      </c>
      <c r="CB510" s="72">
        <v>0</v>
      </c>
      <c r="CC510" s="72">
        <v>0</v>
      </c>
      <c r="CD510" s="72">
        <v>0</v>
      </c>
      <c r="CE510" s="72">
        <v>0</v>
      </c>
      <c r="CF510" s="72">
        <v>0</v>
      </c>
      <c r="CG510" s="72">
        <v>0</v>
      </c>
      <c r="CH510" s="72">
        <v>0</v>
      </c>
      <c r="CI510" s="72">
        <v>0</v>
      </c>
      <c r="CJ510" s="72">
        <v>0</v>
      </c>
      <c r="CK510" s="72">
        <v>0</v>
      </c>
      <c r="CL510" s="72">
        <v>0</v>
      </c>
      <c r="CM510" s="72">
        <v>0</v>
      </c>
      <c r="CN510" s="72">
        <v>0</v>
      </c>
      <c r="CO510" s="72">
        <v>0</v>
      </c>
      <c r="CP510" s="72">
        <v>0</v>
      </c>
      <c r="CQ510" s="72">
        <v>0</v>
      </c>
      <c r="CR510" s="72">
        <v>0</v>
      </c>
      <c r="CS510" s="72">
        <v>0</v>
      </c>
      <c r="CT510" s="72">
        <v>0</v>
      </c>
      <c r="CU510" s="72">
        <v>0</v>
      </c>
      <c r="CV510" s="72">
        <v>0</v>
      </c>
      <c r="CW510" s="72">
        <v>0</v>
      </c>
      <c r="CX510" s="72">
        <v>0</v>
      </c>
      <c r="CY510" s="72">
        <v>0</v>
      </c>
      <c r="CZ510" s="72">
        <v>0</v>
      </c>
      <c r="DA510" s="72">
        <v>0</v>
      </c>
      <c r="DB510" s="72">
        <v>0</v>
      </c>
      <c r="DC510" s="72">
        <v>0</v>
      </c>
      <c r="DD510" s="72">
        <v>0</v>
      </c>
      <c r="DE510" s="72">
        <v>0</v>
      </c>
      <c r="DF510" s="72">
        <v>0</v>
      </c>
      <c r="DG510" s="72">
        <v>0</v>
      </c>
      <c r="DH510" s="72">
        <v>0</v>
      </c>
      <c r="DI510" s="72">
        <v>0</v>
      </c>
      <c r="DJ510" s="72">
        <v>0</v>
      </c>
      <c r="DK510" s="72">
        <v>0</v>
      </c>
      <c r="DL510" s="72">
        <v>0</v>
      </c>
      <c r="DM510" s="72">
        <v>0</v>
      </c>
      <c r="DN510" s="72">
        <v>0</v>
      </c>
      <c r="DO510" s="72">
        <v>0</v>
      </c>
      <c r="DP510" s="72">
        <v>0</v>
      </c>
      <c r="DQ510" s="72">
        <v>0</v>
      </c>
      <c r="DR510" s="72">
        <v>0</v>
      </c>
      <c r="DS510" s="72">
        <v>0</v>
      </c>
      <c r="DT510" s="72">
        <v>0</v>
      </c>
      <c r="DU510" s="72">
        <v>0</v>
      </c>
      <c r="DV510" s="72">
        <v>0</v>
      </c>
      <c r="DW510" s="72">
        <v>0</v>
      </c>
      <c r="DX510" s="72">
        <v>0</v>
      </c>
      <c r="DY510" s="72">
        <v>0</v>
      </c>
      <c r="DZ510" s="72">
        <v>0</v>
      </c>
      <c r="EA510" s="72">
        <v>0</v>
      </c>
      <c r="EB510" s="72">
        <v>0</v>
      </c>
      <c r="EC510" s="72">
        <v>0</v>
      </c>
      <c r="ED510" s="72">
        <v>0</v>
      </c>
      <c r="EE510" s="72">
        <v>0</v>
      </c>
      <c r="EF510" s="72">
        <v>0</v>
      </c>
      <c r="EG510" s="72">
        <v>0</v>
      </c>
      <c r="EH510" s="72">
        <v>0</v>
      </c>
      <c r="EI510" s="72">
        <v>0</v>
      </c>
      <c r="EJ510" s="72">
        <v>0</v>
      </c>
      <c r="EK510" s="72">
        <v>0</v>
      </c>
      <c r="EL510" s="72">
        <v>0</v>
      </c>
    </row>
    <row r="511" spans="1:142" x14ac:dyDescent="0.35">
      <c r="A511" s="59">
        <f>Данные!A511</f>
        <v>4858</v>
      </c>
      <c r="B511" s="59">
        <f>Данные!B511</f>
        <v>2016</v>
      </c>
      <c r="C511" s="59" t="str">
        <f>Данные!C511</f>
        <v>социальной безопасности</v>
      </c>
      <c r="D511" s="59" t="str">
        <f>Данные!D511</f>
        <v>Абдуллаева Любовь Магомедовна</v>
      </c>
      <c r="E511" s="59" t="str">
        <f>Данные!E511</f>
        <v>нет</v>
      </c>
      <c r="F511" s="59" t="str">
        <f>Данные!F511</f>
        <v>старший преподаватель</v>
      </c>
      <c r="G511" s="59">
        <f>Данные!G511</f>
        <v>0.12</v>
      </c>
      <c r="H511" s="59">
        <f>Данные!H511</f>
        <v>15177</v>
      </c>
      <c r="I511" s="59" t="str">
        <f>Данные!I511</f>
        <v>Экология</v>
      </c>
      <c r="J511" s="59">
        <f>Данные!J511</f>
        <v>18</v>
      </c>
      <c r="K511" s="59">
        <f>Данные!K511</f>
        <v>18</v>
      </c>
      <c r="L511" s="59">
        <f>Данные!L511</f>
        <v>0</v>
      </c>
      <c r="M511" s="60">
        <f t="shared" si="63"/>
        <v>3.6</v>
      </c>
      <c r="N511" s="60">
        <f t="shared" ca="1" si="64"/>
        <v>10.91</v>
      </c>
      <c r="O511" s="60">
        <f t="shared" ca="1" si="65"/>
        <v>6.75</v>
      </c>
      <c r="P511" s="60">
        <f t="shared" ca="1" si="66"/>
        <v>6.75</v>
      </c>
      <c r="Q511" s="54">
        <f>Данные!Q511</f>
        <v>0</v>
      </c>
      <c r="R511" s="54">
        <f>Данные!R511</f>
        <v>0</v>
      </c>
      <c r="S511" s="54">
        <f>Данные!S511</f>
        <v>0</v>
      </c>
      <c r="T511" s="54">
        <f>Данные!T511</f>
        <v>0</v>
      </c>
      <c r="U511" s="54">
        <f>Данные!U511</f>
        <v>0</v>
      </c>
      <c r="V511" s="54">
        <f>Данные!V511</f>
        <v>0</v>
      </c>
      <c r="W511" s="54">
        <f ca="1">Данные!W511</f>
        <v>27</v>
      </c>
      <c r="X511" s="54" t="str">
        <f ca="1">Данные!X511</f>
        <v>1</v>
      </c>
      <c r="Y511" s="54" t="str">
        <f ca="1">Данные!Y511</f>
        <v>2</v>
      </c>
      <c r="Z511" s="54">
        <f>Данные!Z511</f>
        <v>0</v>
      </c>
      <c r="AA511" s="54" t="str">
        <f>Данные!AA511</f>
        <v>осн</v>
      </c>
      <c r="AB511" s="101">
        <f t="shared" si="67"/>
        <v>850</v>
      </c>
      <c r="AC511" s="101" t="str">
        <f t="shared" si="68"/>
        <v>ИВТ (бак)</v>
      </c>
      <c r="AD511" s="101" t="str">
        <f t="shared" si="69"/>
        <v>2016–2017</v>
      </c>
      <c r="AE511" s="102">
        <f t="shared" ca="1" si="70"/>
        <v>64.010000000000005</v>
      </c>
      <c r="AF511" s="103">
        <f t="shared" ca="1" si="71"/>
        <v>7.5305882352941181E-2</v>
      </c>
      <c r="AG511" s="101"/>
      <c r="AH511" s="10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Q511" s="72">
        <v>0</v>
      </c>
      <c r="BR511" s="72">
        <v>0</v>
      </c>
      <c r="BS511" s="72">
        <v>0</v>
      </c>
      <c r="BT511" s="72">
        <v>0</v>
      </c>
      <c r="BU511" s="72">
        <v>0</v>
      </c>
      <c r="BV511" s="72">
        <v>0</v>
      </c>
      <c r="BW511" s="72">
        <v>0</v>
      </c>
      <c r="BX511" s="72">
        <v>0</v>
      </c>
      <c r="BY511" s="72">
        <v>0</v>
      </c>
      <c r="BZ511" s="72">
        <v>0</v>
      </c>
      <c r="CA511" s="72">
        <v>0</v>
      </c>
      <c r="CB511" s="72">
        <v>0</v>
      </c>
      <c r="CC511" s="72">
        <v>0</v>
      </c>
      <c r="CD511" s="72">
        <v>0</v>
      </c>
      <c r="CE511" s="72">
        <v>0</v>
      </c>
      <c r="CF511" s="72">
        <v>0</v>
      </c>
      <c r="CG511" s="72">
        <v>0</v>
      </c>
      <c r="CH511" s="72">
        <v>0</v>
      </c>
      <c r="CI511" s="72">
        <v>0</v>
      </c>
      <c r="CJ511" s="72">
        <v>0</v>
      </c>
      <c r="CK511" s="72">
        <v>0</v>
      </c>
      <c r="CL511" s="72">
        <v>0</v>
      </c>
      <c r="CM511" s="72">
        <v>0</v>
      </c>
      <c r="CN511" s="72">
        <v>0</v>
      </c>
      <c r="CO511" s="72">
        <v>0</v>
      </c>
      <c r="CP511" s="72">
        <v>0</v>
      </c>
      <c r="CQ511" s="72">
        <v>0</v>
      </c>
      <c r="CR511" s="72">
        <v>0</v>
      </c>
      <c r="CS511" s="72">
        <v>0</v>
      </c>
      <c r="CT511" s="72">
        <v>0</v>
      </c>
      <c r="CU511" s="72">
        <v>0</v>
      </c>
      <c r="CV511" s="72">
        <v>0</v>
      </c>
      <c r="CW511" s="72">
        <v>0</v>
      </c>
      <c r="CX511" s="72">
        <v>0</v>
      </c>
      <c r="CY511" s="72">
        <v>0</v>
      </c>
      <c r="CZ511" s="72">
        <v>0</v>
      </c>
      <c r="DA511" s="72">
        <v>0</v>
      </c>
      <c r="DB511" s="72">
        <v>0</v>
      </c>
      <c r="DC511" s="72">
        <v>0</v>
      </c>
      <c r="DD511" s="72">
        <v>0</v>
      </c>
      <c r="DE511" s="72">
        <v>0</v>
      </c>
      <c r="DF511" s="72">
        <v>0</v>
      </c>
      <c r="DG511" s="72">
        <v>0</v>
      </c>
      <c r="DH511" s="72">
        <v>0</v>
      </c>
      <c r="DI511" s="72">
        <v>0</v>
      </c>
      <c r="DJ511" s="72">
        <v>0</v>
      </c>
      <c r="DK511" s="72">
        <v>0</v>
      </c>
      <c r="DL511" s="72">
        <v>0</v>
      </c>
      <c r="DM511" s="72">
        <v>0</v>
      </c>
      <c r="DN511" s="72">
        <v>0</v>
      </c>
      <c r="DO511" s="72">
        <v>0</v>
      </c>
      <c r="DP511" s="72">
        <v>0</v>
      </c>
      <c r="DQ511" s="72">
        <v>0</v>
      </c>
      <c r="DR511" s="72">
        <v>0</v>
      </c>
      <c r="DS511" s="72">
        <v>0</v>
      </c>
      <c r="DT511" s="72">
        <v>0</v>
      </c>
      <c r="DU511" s="72">
        <v>0</v>
      </c>
      <c r="DV511" s="72">
        <v>0</v>
      </c>
      <c r="DW511" s="72">
        <v>0</v>
      </c>
      <c r="DX511" s="72">
        <v>0</v>
      </c>
      <c r="DY511" s="72">
        <v>0</v>
      </c>
      <c r="DZ511" s="72">
        <v>0</v>
      </c>
      <c r="EA511" s="72">
        <v>0</v>
      </c>
      <c r="EB511" s="72">
        <v>0</v>
      </c>
      <c r="EC511" s="72">
        <v>0</v>
      </c>
      <c r="ED511" s="72">
        <v>0</v>
      </c>
      <c r="EE511" s="72">
        <v>0</v>
      </c>
      <c r="EF511" s="72">
        <v>0</v>
      </c>
      <c r="EG511" s="72">
        <v>0</v>
      </c>
      <c r="EH511" s="72">
        <v>0</v>
      </c>
      <c r="EI511" s="72">
        <v>0</v>
      </c>
      <c r="EJ511" s="72">
        <v>0</v>
      </c>
      <c r="EK511" s="72">
        <v>0</v>
      </c>
      <c r="EL511" s="72">
        <v>0</v>
      </c>
    </row>
    <row r="512" spans="1:142" x14ac:dyDescent="0.35">
      <c r="A512" s="59">
        <f>Данные!A512</f>
        <v>4858</v>
      </c>
      <c r="B512" s="59">
        <f>Данные!B512</f>
        <v>2016</v>
      </c>
      <c r="C512" s="59" t="str">
        <f>Данные!C512</f>
        <v>теории права и гражданско-правового образования</v>
      </c>
      <c r="D512" s="59" t="str">
        <f>Данные!D512</f>
        <v>Разуваев Николай Викторович</v>
      </c>
      <c r="E512" s="59" t="str">
        <f>Данные!E512</f>
        <v>кандидат юридических наук</v>
      </c>
      <c r="F512" s="59" t="str">
        <f>Данные!F512</f>
        <v>доцент</v>
      </c>
      <c r="G512" s="59">
        <f>Данные!G512</f>
        <v>0.5</v>
      </c>
      <c r="H512" s="59">
        <f>Данные!H512</f>
        <v>15177</v>
      </c>
      <c r="I512" s="59" t="str">
        <f>Данные!I512</f>
        <v>Правоведение</v>
      </c>
      <c r="J512" s="59">
        <f>Данные!J512</f>
        <v>18</v>
      </c>
      <c r="K512" s="59">
        <f>Данные!K512</f>
        <v>18</v>
      </c>
      <c r="L512" s="59">
        <f>Данные!L512</f>
        <v>0</v>
      </c>
      <c r="M512" s="60">
        <f t="shared" si="63"/>
        <v>3.6</v>
      </c>
      <c r="N512" s="60">
        <f t="shared" ca="1" si="64"/>
        <v>10.91</v>
      </c>
      <c r="O512" s="60">
        <f t="shared" ca="1" si="65"/>
        <v>6.75</v>
      </c>
      <c r="P512" s="60">
        <f t="shared" ca="1" si="66"/>
        <v>6.75</v>
      </c>
      <c r="Q512" s="54">
        <f>Данные!Q512</f>
        <v>0</v>
      </c>
      <c r="R512" s="54">
        <f>Данные!R512</f>
        <v>0</v>
      </c>
      <c r="S512" s="54">
        <f>Данные!S512</f>
        <v>0</v>
      </c>
      <c r="T512" s="54">
        <f>Данные!T512</f>
        <v>0</v>
      </c>
      <c r="U512" s="54">
        <f>Данные!U512</f>
        <v>0</v>
      </c>
      <c r="V512" s="54">
        <f>Данные!V512</f>
        <v>0</v>
      </c>
      <c r="W512" s="54">
        <f ca="1">Данные!W512</f>
        <v>27</v>
      </c>
      <c r="X512" s="54" t="str">
        <f ca="1">Данные!X512</f>
        <v>1</v>
      </c>
      <c r="Y512" s="54" t="str">
        <f ca="1">Данные!Y512</f>
        <v>2</v>
      </c>
      <c r="Z512" s="54">
        <f>Данные!Z512</f>
        <v>0</v>
      </c>
      <c r="AA512" s="54" t="str">
        <f>Данные!AA512</f>
        <v>осн</v>
      </c>
      <c r="AB512" s="101">
        <f t="shared" si="67"/>
        <v>800</v>
      </c>
      <c r="AC512" s="101" t="str">
        <f t="shared" si="68"/>
        <v>ИВТ (бак)</v>
      </c>
      <c r="AD512" s="101" t="str">
        <f t="shared" si="69"/>
        <v>2016–2017</v>
      </c>
      <c r="AE512" s="102">
        <f t="shared" ca="1" si="70"/>
        <v>64.010000000000005</v>
      </c>
      <c r="AF512" s="103">
        <f t="shared" ca="1" si="71"/>
        <v>8.00125E-2</v>
      </c>
      <c r="AG512" s="101"/>
      <c r="AH512" s="101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Q512" s="72">
        <v>0</v>
      </c>
      <c r="BR512" s="72">
        <v>0</v>
      </c>
      <c r="BS512" s="72">
        <v>0</v>
      </c>
      <c r="BT512" s="72">
        <v>0</v>
      </c>
      <c r="BU512" s="72">
        <v>0</v>
      </c>
      <c r="BV512" s="72">
        <v>0</v>
      </c>
      <c r="BW512" s="72">
        <v>0</v>
      </c>
      <c r="BX512" s="72">
        <v>0</v>
      </c>
      <c r="BY512" s="72">
        <v>0</v>
      </c>
      <c r="BZ512" s="72">
        <v>0</v>
      </c>
      <c r="CA512" s="72">
        <v>0</v>
      </c>
      <c r="CB512" s="72">
        <v>0</v>
      </c>
      <c r="CC512" s="72">
        <v>0</v>
      </c>
      <c r="CD512" s="72">
        <v>0</v>
      </c>
      <c r="CE512" s="72">
        <v>0</v>
      </c>
      <c r="CF512" s="72">
        <v>0</v>
      </c>
      <c r="CG512" s="72">
        <v>0</v>
      </c>
      <c r="CH512" s="72">
        <v>0</v>
      </c>
      <c r="CI512" s="72">
        <v>0</v>
      </c>
      <c r="CJ512" s="72">
        <v>0</v>
      </c>
      <c r="CK512" s="72">
        <v>0</v>
      </c>
      <c r="CL512" s="72">
        <v>0</v>
      </c>
      <c r="CM512" s="72">
        <v>0</v>
      </c>
      <c r="CN512" s="72">
        <v>0</v>
      </c>
      <c r="CO512" s="72">
        <v>0</v>
      </c>
      <c r="CP512" s="72">
        <v>0</v>
      </c>
      <c r="CQ512" s="72">
        <v>0</v>
      </c>
      <c r="CR512" s="72">
        <v>0</v>
      </c>
      <c r="CS512" s="72">
        <v>0</v>
      </c>
      <c r="CT512" s="72">
        <v>0</v>
      </c>
      <c r="CU512" s="72">
        <v>0</v>
      </c>
      <c r="CV512" s="72">
        <v>0</v>
      </c>
      <c r="CW512" s="72">
        <v>0</v>
      </c>
      <c r="CX512" s="72">
        <v>0</v>
      </c>
      <c r="CY512" s="72">
        <v>0</v>
      </c>
      <c r="CZ512" s="72">
        <v>0</v>
      </c>
      <c r="DA512" s="72">
        <v>0</v>
      </c>
      <c r="DB512" s="72">
        <v>0</v>
      </c>
      <c r="DC512" s="72">
        <v>0</v>
      </c>
      <c r="DD512" s="72">
        <v>0</v>
      </c>
      <c r="DE512" s="72">
        <v>0</v>
      </c>
      <c r="DF512" s="72">
        <v>0</v>
      </c>
      <c r="DG512" s="72">
        <v>0</v>
      </c>
      <c r="DH512" s="72">
        <v>0</v>
      </c>
      <c r="DI512" s="72">
        <v>0</v>
      </c>
      <c r="DJ512" s="72">
        <v>0</v>
      </c>
      <c r="DK512" s="72">
        <v>0</v>
      </c>
      <c r="DL512" s="72">
        <v>0</v>
      </c>
      <c r="DM512" s="72">
        <v>0</v>
      </c>
      <c r="DN512" s="72">
        <v>0</v>
      </c>
      <c r="DO512" s="72">
        <v>0</v>
      </c>
      <c r="DP512" s="72">
        <v>0</v>
      </c>
      <c r="DQ512" s="72">
        <v>0</v>
      </c>
      <c r="DR512" s="72">
        <v>0</v>
      </c>
      <c r="DS512" s="72">
        <v>0</v>
      </c>
      <c r="DT512" s="72">
        <v>0</v>
      </c>
      <c r="DU512" s="72">
        <v>0</v>
      </c>
      <c r="DV512" s="72">
        <v>0</v>
      </c>
      <c r="DW512" s="72">
        <v>0</v>
      </c>
      <c r="DX512" s="72">
        <v>0</v>
      </c>
      <c r="DY512" s="72">
        <v>0</v>
      </c>
      <c r="DZ512" s="72">
        <v>0</v>
      </c>
      <c r="EA512" s="72">
        <v>0</v>
      </c>
      <c r="EB512" s="72">
        <v>0</v>
      </c>
      <c r="EC512" s="72">
        <v>0</v>
      </c>
      <c r="ED512" s="72">
        <v>0</v>
      </c>
      <c r="EE512" s="72">
        <v>0</v>
      </c>
      <c r="EF512" s="72">
        <v>0</v>
      </c>
      <c r="EG512" s="72">
        <v>0</v>
      </c>
      <c r="EH512" s="72">
        <v>0</v>
      </c>
      <c r="EI512" s="72">
        <v>0</v>
      </c>
      <c r="EJ512" s="72">
        <v>0</v>
      </c>
      <c r="EK512" s="72">
        <v>0</v>
      </c>
      <c r="EL512" s="72">
        <v>0</v>
      </c>
    </row>
    <row r="513" spans="1:142" x14ac:dyDescent="0.35">
      <c r="A513" s="59">
        <f>Данные!A513</f>
        <v>4858</v>
      </c>
      <c r="B513" s="59">
        <f>Данные!B513</f>
        <v>2016</v>
      </c>
      <c r="C513" s="59" t="str">
        <f>Данные!C513</f>
        <v>физической электроники</v>
      </c>
      <c r="D513" s="59" t="str">
        <f>Данные!D513</f>
        <v>Серегин Павел Павлович</v>
      </c>
      <c r="E513" s="59" t="str">
        <f>Данные!E513</f>
        <v>доктор физ.-мат. наук</v>
      </c>
      <c r="F513" s="59" t="str">
        <f>Данные!F513</f>
        <v>профессор</v>
      </c>
      <c r="G513" s="59">
        <f>Данные!G513</f>
        <v>1</v>
      </c>
      <c r="H513" s="59">
        <f>Данные!H513</f>
        <v>15177</v>
      </c>
      <c r="I513" s="59" t="str">
        <f>Данные!I513</f>
        <v>Физика</v>
      </c>
      <c r="J513" s="59">
        <f>Данные!J513</f>
        <v>36</v>
      </c>
      <c r="K513" s="59">
        <f>Данные!K513</f>
        <v>0</v>
      </c>
      <c r="L513" s="59">
        <f>Данные!L513</f>
        <v>144</v>
      </c>
      <c r="M513" s="60">
        <f t="shared" si="63"/>
        <v>18</v>
      </c>
      <c r="N513" s="60">
        <f t="shared" ca="1" si="64"/>
        <v>10.91</v>
      </c>
      <c r="O513" s="60">
        <f t="shared" ca="1" si="65"/>
        <v>6.75</v>
      </c>
      <c r="P513" s="60">
        <f t="shared" ca="1" si="66"/>
        <v>6.75</v>
      </c>
      <c r="Q513" s="54">
        <f>Данные!Q513</f>
        <v>0</v>
      </c>
      <c r="R513" s="54">
        <f>Данные!R513</f>
        <v>0</v>
      </c>
      <c r="S513" s="54">
        <f>Данные!S513</f>
        <v>0</v>
      </c>
      <c r="T513" s="54">
        <f>Данные!T513</f>
        <v>0</v>
      </c>
      <c r="U513" s="54">
        <f>Данные!U513</f>
        <v>0</v>
      </c>
      <c r="V513" s="54">
        <f>Данные!V513</f>
        <v>0</v>
      </c>
      <c r="W513" s="54">
        <f ca="1">Данные!W513</f>
        <v>27</v>
      </c>
      <c r="X513" s="54" t="str">
        <f ca="1">Данные!X513</f>
        <v>1</v>
      </c>
      <c r="Y513" s="54" t="str">
        <f ca="1">Данные!Y513</f>
        <v>2</v>
      </c>
      <c r="Z513" s="54">
        <f>Данные!Z513</f>
        <v>0</v>
      </c>
      <c r="AA513" s="54" t="str">
        <f>Данные!AA513</f>
        <v>осн</v>
      </c>
      <c r="AB513" s="101">
        <f t="shared" si="67"/>
        <v>750</v>
      </c>
      <c r="AC513" s="101" t="str">
        <f t="shared" si="68"/>
        <v>ИВТ (бак)</v>
      </c>
      <c r="AD513" s="101" t="str">
        <f t="shared" si="69"/>
        <v>2016–2017</v>
      </c>
      <c r="AE513" s="102">
        <f t="shared" ca="1" si="70"/>
        <v>222.41</v>
      </c>
      <c r="AF513" s="103">
        <f t="shared" ca="1" si="71"/>
        <v>0.29654666666666668</v>
      </c>
      <c r="AG513" s="101"/>
      <c r="AH513" s="101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Q513" s="72">
        <v>0</v>
      </c>
      <c r="BR513" s="72">
        <v>0</v>
      </c>
      <c r="BS513" s="72">
        <v>0</v>
      </c>
      <c r="BT513" s="72">
        <v>0</v>
      </c>
      <c r="BU513" s="72">
        <v>0</v>
      </c>
      <c r="BV513" s="72">
        <v>0</v>
      </c>
      <c r="BW513" s="72">
        <v>0</v>
      </c>
      <c r="BX513" s="72">
        <v>0</v>
      </c>
      <c r="BY513" s="72">
        <v>0</v>
      </c>
      <c r="BZ513" s="72">
        <v>0</v>
      </c>
      <c r="CA513" s="72">
        <v>0</v>
      </c>
      <c r="CB513" s="72">
        <v>0</v>
      </c>
      <c r="CC513" s="72">
        <v>0</v>
      </c>
      <c r="CD513" s="72">
        <v>0</v>
      </c>
      <c r="CE513" s="72">
        <v>0</v>
      </c>
      <c r="CF513" s="72">
        <v>0</v>
      </c>
      <c r="CG513" s="72">
        <v>0</v>
      </c>
      <c r="CH513" s="72">
        <v>0</v>
      </c>
      <c r="CI513" s="72">
        <v>0</v>
      </c>
      <c r="CJ513" s="72">
        <v>0</v>
      </c>
      <c r="CK513" s="72">
        <v>0</v>
      </c>
      <c r="CL513" s="72">
        <v>0</v>
      </c>
      <c r="CM513" s="72">
        <v>0</v>
      </c>
      <c r="CN513" s="72">
        <v>0</v>
      </c>
      <c r="CO513" s="72">
        <v>0</v>
      </c>
      <c r="CP513" s="72">
        <v>0</v>
      </c>
      <c r="CQ513" s="72">
        <v>0</v>
      </c>
      <c r="CR513" s="72">
        <v>0</v>
      </c>
      <c r="CS513" s="72">
        <v>0</v>
      </c>
      <c r="CT513" s="72">
        <v>0</v>
      </c>
      <c r="CU513" s="72">
        <v>0</v>
      </c>
      <c r="CV513" s="72">
        <v>0</v>
      </c>
      <c r="CW513" s="72">
        <v>0</v>
      </c>
      <c r="CX513" s="72">
        <v>0</v>
      </c>
      <c r="CY513" s="72">
        <v>0</v>
      </c>
      <c r="CZ513" s="72">
        <v>0</v>
      </c>
      <c r="DA513" s="72">
        <v>0</v>
      </c>
      <c r="DB513" s="72">
        <v>0</v>
      </c>
      <c r="DC513" s="72">
        <v>0</v>
      </c>
      <c r="DD513" s="72">
        <v>0</v>
      </c>
      <c r="DE513" s="72">
        <v>0</v>
      </c>
      <c r="DF513" s="72">
        <v>0</v>
      </c>
      <c r="DG513" s="72">
        <v>0</v>
      </c>
      <c r="DH513" s="72">
        <v>0</v>
      </c>
      <c r="DI513" s="72">
        <v>0</v>
      </c>
      <c r="DJ513" s="72">
        <v>0</v>
      </c>
      <c r="DK513" s="72">
        <v>0</v>
      </c>
      <c r="DL513" s="72">
        <v>0</v>
      </c>
      <c r="DM513" s="72">
        <v>0</v>
      </c>
      <c r="DN513" s="72">
        <v>0</v>
      </c>
      <c r="DO513" s="72">
        <v>0</v>
      </c>
      <c r="DP513" s="72">
        <v>0</v>
      </c>
      <c r="DQ513" s="72">
        <v>0</v>
      </c>
      <c r="DR513" s="72">
        <v>0</v>
      </c>
      <c r="DS513" s="72">
        <v>0</v>
      </c>
      <c r="DT513" s="72">
        <v>0</v>
      </c>
      <c r="DU513" s="72">
        <v>0</v>
      </c>
      <c r="DV513" s="72">
        <v>0</v>
      </c>
      <c r="DW513" s="72">
        <v>0</v>
      </c>
      <c r="DX513" s="72">
        <v>0</v>
      </c>
      <c r="DY513" s="72">
        <v>0</v>
      </c>
      <c r="DZ513" s="72">
        <v>0</v>
      </c>
      <c r="EA513" s="72">
        <v>0</v>
      </c>
      <c r="EB513" s="72">
        <v>0</v>
      </c>
      <c r="EC513" s="72">
        <v>0</v>
      </c>
      <c r="ED513" s="72">
        <v>0</v>
      </c>
      <c r="EE513" s="72">
        <v>0</v>
      </c>
      <c r="EF513" s="72">
        <v>0</v>
      </c>
      <c r="EG513" s="72">
        <v>0</v>
      </c>
      <c r="EH513" s="72">
        <v>0</v>
      </c>
      <c r="EI513" s="72">
        <v>0</v>
      </c>
      <c r="EJ513" s="72">
        <v>0</v>
      </c>
      <c r="EK513" s="72">
        <v>0</v>
      </c>
      <c r="EL513" s="72">
        <v>0</v>
      </c>
    </row>
    <row r="514" spans="1:142" x14ac:dyDescent="0.35">
      <c r="A514" s="59">
        <f>Данные!A514</f>
        <v>4858</v>
      </c>
      <c r="B514" s="59">
        <f>Данные!B514</f>
        <v>2016</v>
      </c>
      <c r="C514" s="59" t="str">
        <f>Данные!C514</f>
        <v>экономической теории и экономического образования</v>
      </c>
      <c r="D514" s="59" t="str">
        <f>Данные!D514</f>
        <v>Богатова Елена Владимировна</v>
      </c>
      <c r="E514" s="59" t="str">
        <f>Данные!E514</f>
        <v>кандидат экономических наук</v>
      </c>
      <c r="F514" s="59" t="str">
        <f>Данные!F514</f>
        <v>доцент</v>
      </c>
      <c r="G514" s="59">
        <f>Данные!G514</f>
        <v>0.5</v>
      </c>
      <c r="H514" s="59">
        <f>Данные!H514</f>
        <v>15177</v>
      </c>
      <c r="I514" s="59" t="str">
        <f>Данные!I514</f>
        <v>Экономика</v>
      </c>
      <c r="J514" s="59">
        <f>Данные!J514</f>
        <v>18</v>
      </c>
      <c r="K514" s="59">
        <f>Данные!K514</f>
        <v>18</v>
      </c>
      <c r="L514" s="59">
        <f>Данные!L514</f>
        <v>0</v>
      </c>
      <c r="M514" s="60">
        <f t="shared" si="63"/>
        <v>3.6</v>
      </c>
      <c r="N514" s="60">
        <f t="shared" ca="1" si="64"/>
        <v>10.91</v>
      </c>
      <c r="O514" s="60">
        <f t="shared" ca="1" si="65"/>
        <v>6.75</v>
      </c>
      <c r="P514" s="60">
        <f t="shared" ca="1" si="66"/>
        <v>6.75</v>
      </c>
      <c r="Q514" s="54">
        <f>Данные!Q514</f>
        <v>0</v>
      </c>
      <c r="R514" s="54">
        <f>Данные!R514</f>
        <v>0</v>
      </c>
      <c r="S514" s="54">
        <f>Данные!S514</f>
        <v>0</v>
      </c>
      <c r="T514" s="54">
        <f>Данные!T514</f>
        <v>0</v>
      </c>
      <c r="U514" s="54">
        <f>Данные!U514</f>
        <v>0</v>
      </c>
      <c r="V514" s="54">
        <f>Данные!V514</f>
        <v>0</v>
      </c>
      <c r="W514" s="54">
        <f ca="1">Данные!W514</f>
        <v>27</v>
      </c>
      <c r="X514" s="54" t="str">
        <f ca="1">Данные!X514</f>
        <v>1</v>
      </c>
      <c r="Y514" s="54" t="str">
        <f ca="1">Данные!Y514</f>
        <v>2</v>
      </c>
      <c r="Z514" s="54">
        <f>Данные!Z514</f>
        <v>0</v>
      </c>
      <c r="AA514" s="54" t="str">
        <f>Данные!AA514</f>
        <v>осн</v>
      </c>
      <c r="AB514" s="101">
        <f t="shared" si="67"/>
        <v>800</v>
      </c>
      <c r="AC514" s="101" t="str">
        <f t="shared" si="68"/>
        <v>ИВТ (бак)</v>
      </c>
      <c r="AD514" s="101" t="str">
        <f t="shared" si="69"/>
        <v>2016–2017</v>
      </c>
      <c r="AE514" s="102">
        <f t="shared" ca="1" si="70"/>
        <v>64.010000000000005</v>
      </c>
      <c r="AF514" s="103">
        <f t="shared" ca="1" si="71"/>
        <v>8.00125E-2</v>
      </c>
      <c r="AG514" s="101"/>
      <c r="AH514" s="101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Q514" s="72">
        <v>0</v>
      </c>
      <c r="BR514" s="72">
        <v>0</v>
      </c>
      <c r="BS514" s="72">
        <v>0</v>
      </c>
      <c r="BT514" s="72">
        <v>0</v>
      </c>
      <c r="BU514" s="72">
        <v>0</v>
      </c>
      <c r="BV514" s="72">
        <v>0</v>
      </c>
      <c r="BW514" s="72">
        <v>0</v>
      </c>
      <c r="BX514" s="72">
        <v>0</v>
      </c>
      <c r="BY514" s="72">
        <v>0</v>
      </c>
      <c r="BZ514" s="72">
        <v>0</v>
      </c>
      <c r="CA514" s="72">
        <v>0</v>
      </c>
      <c r="CB514" s="72">
        <v>0</v>
      </c>
      <c r="CC514" s="72">
        <v>0</v>
      </c>
      <c r="CD514" s="72">
        <v>0</v>
      </c>
      <c r="CE514" s="72">
        <v>0</v>
      </c>
      <c r="CF514" s="72">
        <v>0</v>
      </c>
      <c r="CG514" s="72">
        <v>0</v>
      </c>
      <c r="CH514" s="72">
        <v>0</v>
      </c>
      <c r="CI514" s="72">
        <v>0</v>
      </c>
      <c r="CJ514" s="72">
        <v>0</v>
      </c>
      <c r="CK514" s="72">
        <v>0</v>
      </c>
      <c r="CL514" s="72">
        <v>0</v>
      </c>
      <c r="CM514" s="72">
        <v>0</v>
      </c>
      <c r="CN514" s="72">
        <v>0</v>
      </c>
      <c r="CO514" s="72">
        <v>0</v>
      </c>
      <c r="CP514" s="72">
        <v>0</v>
      </c>
      <c r="CQ514" s="72">
        <v>0</v>
      </c>
      <c r="CR514" s="72">
        <v>0</v>
      </c>
      <c r="CS514" s="72">
        <v>0</v>
      </c>
      <c r="CT514" s="72">
        <v>0</v>
      </c>
      <c r="CU514" s="72">
        <v>0</v>
      </c>
      <c r="CV514" s="72">
        <v>0</v>
      </c>
      <c r="CW514" s="72">
        <v>0</v>
      </c>
      <c r="CX514" s="72">
        <v>0</v>
      </c>
      <c r="CY514" s="72">
        <v>0</v>
      </c>
      <c r="CZ514" s="72">
        <v>0</v>
      </c>
      <c r="DA514" s="72">
        <v>0</v>
      </c>
      <c r="DB514" s="72">
        <v>0</v>
      </c>
      <c r="DC514" s="72">
        <v>0</v>
      </c>
      <c r="DD514" s="72">
        <v>0</v>
      </c>
      <c r="DE514" s="72">
        <v>0</v>
      </c>
      <c r="DF514" s="72">
        <v>0</v>
      </c>
      <c r="DG514" s="72">
        <v>0</v>
      </c>
      <c r="DH514" s="72">
        <v>0</v>
      </c>
      <c r="DI514" s="72">
        <v>0</v>
      </c>
      <c r="DJ514" s="72">
        <v>0</v>
      </c>
      <c r="DK514" s="72">
        <v>0</v>
      </c>
      <c r="DL514" s="72">
        <v>0</v>
      </c>
      <c r="DM514" s="72">
        <v>0</v>
      </c>
      <c r="DN514" s="72">
        <v>0</v>
      </c>
      <c r="DO514" s="72">
        <v>0</v>
      </c>
      <c r="DP514" s="72">
        <v>0</v>
      </c>
      <c r="DQ514" s="72">
        <v>0</v>
      </c>
      <c r="DR514" s="72">
        <v>0</v>
      </c>
      <c r="DS514" s="72">
        <v>0</v>
      </c>
      <c r="DT514" s="72">
        <v>0</v>
      </c>
      <c r="DU514" s="72">
        <v>0</v>
      </c>
      <c r="DV514" s="72">
        <v>0</v>
      </c>
      <c r="DW514" s="72">
        <v>0</v>
      </c>
      <c r="DX514" s="72">
        <v>0</v>
      </c>
      <c r="DY514" s="72">
        <v>0</v>
      </c>
      <c r="DZ514" s="72">
        <v>0</v>
      </c>
      <c r="EA514" s="72">
        <v>0</v>
      </c>
      <c r="EB514" s="72">
        <v>0</v>
      </c>
      <c r="EC514" s="72">
        <v>0</v>
      </c>
      <c r="ED514" s="72">
        <v>0</v>
      </c>
      <c r="EE514" s="72">
        <v>0</v>
      </c>
      <c r="EF514" s="72">
        <v>0</v>
      </c>
      <c r="EG514" s="72">
        <v>0</v>
      </c>
      <c r="EH514" s="72">
        <v>0</v>
      </c>
      <c r="EI514" s="72">
        <v>0</v>
      </c>
      <c r="EJ514" s="72">
        <v>0</v>
      </c>
      <c r="EK514" s="72">
        <v>0</v>
      </c>
      <c r="EL514" s="72">
        <v>0</v>
      </c>
    </row>
    <row r="515" spans="1:142" x14ac:dyDescent="0.35">
      <c r="A515" s="59">
        <f>Данные!A515</f>
        <v>4858</v>
      </c>
      <c r="B515" s="59">
        <f>Данные!B515</f>
        <v>2017</v>
      </c>
      <c r="C515" s="59" t="str">
        <f>Данные!C515</f>
        <v>всеобщей истории</v>
      </c>
      <c r="D515" s="59" t="str">
        <f>Данные!D515</f>
        <v>Земляницин Владимир Александрович</v>
      </c>
      <c r="E515" s="59" t="str">
        <f>Данные!E515</f>
        <v>кандидат исторических наук</v>
      </c>
      <c r="F515" s="59" t="str">
        <f>Данные!F515</f>
        <v>доцент</v>
      </c>
      <c r="G515" s="59">
        <f>Данные!G515</f>
        <v>1</v>
      </c>
      <c r="H515" s="59">
        <f>Данные!H515</f>
        <v>16002</v>
      </c>
      <c r="I515" s="59" t="str">
        <f>Данные!I515</f>
        <v>Общеуниверситетский курс по выбору № 1. События всемирной истории в мировой литературе</v>
      </c>
      <c r="J515" s="59">
        <f>Данные!J515</f>
        <v>17</v>
      </c>
      <c r="K515" s="59">
        <f>Данные!K515</f>
        <v>0</v>
      </c>
      <c r="L515" s="59">
        <f>Данные!L515</f>
        <v>0</v>
      </c>
      <c r="M515" s="60">
        <f t="shared" si="63"/>
        <v>1.7</v>
      </c>
      <c r="N515" s="60">
        <f t="shared" ca="1" si="64"/>
        <v>10.91</v>
      </c>
      <c r="O515" s="60">
        <f t="shared" ca="1" si="65"/>
        <v>6.75</v>
      </c>
      <c r="P515" s="60">
        <f t="shared" ca="1" si="66"/>
        <v>6.75</v>
      </c>
      <c r="Q515" s="54">
        <f>Данные!Q515</f>
        <v>0</v>
      </c>
      <c r="R515" s="54">
        <f>Данные!R515</f>
        <v>0</v>
      </c>
      <c r="S515" s="54">
        <f>Данные!S515</f>
        <v>0</v>
      </c>
      <c r="T515" s="54">
        <f>Данные!T515</f>
        <v>0</v>
      </c>
      <c r="U515" s="54">
        <f>Данные!U515</f>
        <v>0</v>
      </c>
      <c r="V515" s="54">
        <f>Данные!V515</f>
        <v>0</v>
      </c>
      <c r="W515" s="54">
        <f ca="1">Данные!W515</f>
        <v>27</v>
      </c>
      <c r="X515" s="54" t="str">
        <f ca="1">Данные!X515</f>
        <v>1</v>
      </c>
      <c r="Y515" s="54" t="str">
        <f ca="1">Данные!Y515</f>
        <v>2</v>
      </c>
      <c r="Z515" s="54">
        <f>Данные!Z515</f>
        <v>0</v>
      </c>
      <c r="AA515" s="54">
        <f>Данные!AA515</f>
        <v>0</v>
      </c>
      <c r="AB515" s="101">
        <f t="shared" si="67"/>
        <v>800</v>
      </c>
      <c r="AC515" s="101" t="str">
        <f t="shared" si="68"/>
        <v>ИВТ (бак)</v>
      </c>
      <c r="AD515" s="101" t="str">
        <f t="shared" si="69"/>
        <v/>
      </c>
      <c r="AE515" s="102">
        <f t="shared" ca="1" si="70"/>
        <v>43.11</v>
      </c>
      <c r="AF515" s="103">
        <f t="shared" ca="1" si="71"/>
        <v>5.3887499999999998E-2</v>
      </c>
      <c r="AG515" s="101"/>
      <c r="AH515" s="101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Q515" s="72">
        <v>0</v>
      </c>
      <c r="BR515" s="72">
        <v>0</v>
      </c>
      <c r="BS515" s="72">
        <v>0</v>
      </c>
      <c r="BT515" s="72">
        <v>0</v>
      </c>
      <c r="BU515" s="72">
        <v>0</v>
      </c>
      <c r="BV515" s="72">
        <v>0</v>
      </c>
      <c r="BW515" s="72">
        <v>0</v>
      </c>
      <c r="BX515" s="72">
        <v>0</v>
      </c>
      <c r="BY515" s="72">
        <v>0</v>
      </c>
      <c r="BZ515" s="72">
        <v>0</v>
      </c>
      <c r="CA515" s="72">
        <v>0</v>
      </c>
      <c r="CB515" s="72">
        <v>0</v>
      </c>
      <c r="CC515" s="72">
        <v>0</v>
      </c>
      <c r="CD515" s="72">
        <v>0</v>
      </c>
      <c r="CE515" s="72">
        <v>0</v>
      </c>
      <c r="CF515" s="72">
        <v>0</v>
      </c>
      <c r="CG515" s="72">
        <v>0</v>
      </c>
      <c r="CH515" s="72">
        <v>0</v>
      </c>
      <c r="CI515" s="72">
        <v>0</v>
      </c>
      <c r="CJ515" s="72">
        <v>0</v>
      </c>
      <c r="CK515" s="72">
        <v>0</v>
      </c>
      <c r="CL515" s="72">
        <v>0</v>
      </c>
      <c r="CM515" s="72">
        <v>0</v>
      </c>
      <c r="CN515" s="72">
        <v>0</v>
      </c>
      <c r="CO515" s="72">
        <v>0</v>
      </c>
      <c r="CP515" s="72">
        <v>0</v>
      </c>
      <c r="CQ515" s="72">
        <v>0</v>
      </c>
      <c r="CR515" s="72">
        <v>0</v>
      </c>
      <c r="CS515" s="72">
        <v>0</v>
      </c>
      <c r="CT515" s="72">
        <v>0</v>
      </c>
      <c r="CU515" s="72">
        <v>0</v>
      </c>
      <c r="CV515" s="72">
        <v>0</v>
      </c>
      <c r="CW515" s="72">
        <v>0</v>
      </c>
      <c r="CX515" s="72">
        <v>0</v>
      </c>
      <c r="CY515" s="72">
        <v>0</v>
      </c>
      <c r="CZ515" s="72">
        <v>0</v>
      </c>
      <c r="DA515" s="72">
        <v>0</v>
      </c>
      <c r="DB515" s="72">
        <v>0</v>
      </c>
      <c r="DC515" s="72">
        <v>0</v>
      </c>
      <c r="DD515" s="72">
        <v>0</v>
      </c>
      <c r="DE515" s="72">
        <v>0</v>
      </c>
      <c r="DF515" s="72">
        <v>0</v>
      </c>
      <c r="DG515" s="72">
        <v>0</v>
      </c>
      <c r="DH515" s="72">
        <v>0</v>
      </c>
      <c r="DI515" s="72">
        <v>0</v>
      </c>
      <c r="DJ515" s="72">
        <v>0</v>
      </c>
      <c r="DK515" s="72">
        <v>0</v>
      </c>
      <c r="DL515" s="72">
        <v>0</v>
      </c>
      <c r="DM515" s="72">
        <v>0</v>
      </c>
      <c r="DN515" s="72">
        <v>0</v>
      </c>
      <c r="DO515" s="72">
        <v>0</v>
      </c>
      <c r="DP515" s="72">
        <v>0</v>
      </c>
      <c r="DQ515" s="72">
        <v>0</v>
      </c>
      <c r="DR515" s="72">
        <v>0</v>
      </c>
      <c r="DS515" s="72">
        <v>0</v>
      </c>
      <c r="DT515" s="72">
        <v>0</v>
      </c>
      <c r="DU515" s="72">
        <v>0</v>
      </c>
      <c r="DV515" s="72">
        <v>0</v>
      </c>
      <c r="DW515" s="72">
        <v>0</v>
      </c>
      <c r="DX515" s="72">
        <v>0</v>
      </c>
      <c r="DY515" s="72">
        <v>0</v>
      </c>
      <c r="DZ515" s="72">
        <v>0</v>
      </c>
      <c r="EA515" s="72">
        <v>0</v>
      </c>
      <c r="EB515" s="72">
        <v>0</v>
      </c>
      <c r="EC515" s="72">
        <v>0</v>
      </c>
      <c r="ED515" s="72">
        <v>0</v>
      </c>
      <c r="EE515" s="72">
        <v>0</v>
      </c>
      <c r="EF515" s="72">
        <v>0</v>
      </c>
      <c r="EG515" s="72">
        <v>0</v>
      </c>
      <c r="EH515" s="72">
        <v>0</v>
      </c>
      <c r="EI515" s="72">
        <v>0</v>
      </c>
      <c r="EJ515" s="72">
        <v>0</v>
      </c>
      <c r="EK515" s="72">
        <v>0</v>
      </c>
      <c r="EL515" s="72">
        <v>0</v>
      </c>
    </row>
    <row r="516" spans="1:142" x14ac:dyDescent="0.35">
      <c r="A516" s="59">
        <f>Данные!A516</f>
        <v>4858</v>
      </c>
      <c r="B516" s="59">
        <f>Данные!B516</f>
        <v>2017</v>
      </c>
      <c r="C516" s="59" t="str">
        <f>Данные!C516</f>
        <v>всеобщей истории</v>
      </c>
      <c r="D516" s="59" t="str">
        <f>Данные!D516</f>
        <v>Райкова Вера Алексеевна</v>
      </c>
      <c r="E516" s="59" t="str">
        <f>Данные!E516</f>
        <v>кандидат исторических наук</v>
      </c>
      <c r="F516" s="59" t="str">
        <f>Данные!F516</f>
        <v>доцент</v>
      </c>
      <c r="G516" s="59">
        <f>Данные!G516</f>
        <v>1</v>
      </c>
      <c r="H516" s="59">
        <f>Данные!H516</f>
        <v>16002</v>
      </c>
      <c r="I516" s="59" t="str">
        <f>Данные!I516</f>
        <v>Общеуниверситетский курс по выбору №2. История общественных движений новейшего времени</v>
      </c>
      <c r="J516" s="59">
        <f>Данные!J516</f>
        <v>17</v>
      </c>
      <c r="K516" s="59">
        <f>Данные!K516</f>
        <v>0</v>
      </c>
      <c r="L516" s="59">
        <f>Данные!L516</f>
        <v>0</v>
      </c>
      <c r="M516" s="60">
        <f t="shared" ref="M516:M579" si="72">SUM(J516:L516)/10</f>
        <v>1.7</v>
      </c>
      <c r="N516" s="60">
        <f t="shared" ref="N516:N579" ca="1" si="73">2+(0.33*W516)</f>
        <v>10.91</v>
      </c>
      <c r="O516" s="60">
        <f t="shared" ref="O516:O579" ca="1" si="74">0.25*W516</f>
        <v>6.75</v>
      </c>
      <c r="P516" s="60">
        <f t="shared" ref="P516:P579" ca="1" si="75">0.25*W516</f>
        <v>6.75</v>
      </c>
      <c r="Q516" s="54">
        <f>Данные!Q516</f>
        <v>0</v>
      </c>
      <c r="R516" s="54">
        <f>Данные!R516</f>
        <v>0</v>
      </c>
      <c r="S516" s="54">
        <f>Данные!S516</f>
        <v>0</v>
      </c>
      <c r="T516" s="54">
        <f>Данные!T516</f>
        <v>0</v>
      </c>
      <c r="U516" s="54">
        <f>Данные!U516</f>
        <v>0</v>
      </c>
      <c r="V516" s="54">
        <f>Данные!V516</f>
        <v>0</v>
      </c>
      <c r="W516" s="54">
        <f ca="1">Данные!W516</f>
        <v>27</v>
      </c>
      <c r="X516" s="54" t="str">
        <f ca="1">Данные!X516</f>
        <v>1</v>
      </c>
      <c r="Y516" s="54" t="str">
        <f ca="1">Данные!Y516</f>
        <v>2</v>
      </c>
      <c r="Z516" s="54">
        <f>Данные!Z516</f>
        <v>0</v>
      </c>
      <c r="AA516" s="54">
        <f>Данные!AA516</f>
        <v>0</v>
      </c>
      <c r="AB516" s="101">
        <f t="shared" ref="AB516:AB579" si="76">VLOOKUP(F516, $BN$3:$BO$15, 2, 0)</f>
        <v>800</v>
      </c>
      <c r="AC516" s="101" t="str">
        <f t="shared" ref="AC516:AC579" si="77">IF(IFERROR(MATCH(H516, $AK$4:$BL$4, 0), 0)&gt;=1, "ИВТ (бак)", IF(IFERROR(MATCH(H516, $AK$5:$BL$5, 0), 0)&gt;=1, "КЭО (маг)", ""))</f>
        <v>ИВТ (бак)</v>
      </c>
      <c r="AD516" s="101" t="str">
        <f t="shared" ref="AD516:AD579" si="78">IF(IFERROR(MATCH(H516, $AK$4:$AN$4, 0), 0)=1, "2015–2016", IF(IFERROR(MATCH(H516, $AO$4:$AR$4, 0), 0)=1, "2016–2017", IF(IFERROR(MATCH(H516, $AS$4:$AV$4, 0), 0)=1, "2017–2018", IF(IFERROR(MATCH(H516, $AW$4:$AZ$4, 0), 0)=1, "2018–2019", IF(IFERROR(MATCH(H516, $BA$4:$BD$4, 0), 0)=1, "2019–2020", IF(IFERROR(MATCH(H516, $BE$4:$BH$4, 0), 0)=1, "2020–2021", IF(IFERROR(MATCH(H516, $BI$4:$BL$4, 0), 0)=1, "2021–2022", "")))))))</f>
        <v/>
      </c>
      <c r="AE516" s="102">
        <f t="shared" ref="AE516:AE579" ca="1" si="79">SUM(J516:V516)</f>
        <v>43.11</v>
      </c>
      <c r="AF516" s="103">
        <f t="shared" ca="1" si="71"/>
        <v>5.3887499999999998E-2</v>
      </c>
      <c r="AG516" s="101"/>
      <c r="AH516" s="101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Q516" s="72">
        <v>0</v>
      </c>
      <c r="BR516" s="72">
        <v>0</v>
      </c>
      <c r="BS516" s="72">
        <v>0</v>
      </c>
      <c r="BT516" s="72">
        <v>0</v>
      </c>
      <c r="BU516" s="72">
        <v>0</v>
      </c>
      <c r="BV516" s="72">
        <v>0</v>
      </c>
      <c r="BW516" s="72">
        <v>0</v>
      </c>
      <c r="BX516" s="72">
        <v>0</v>
      </c>
      <c r="BY516" s="72">
        <v>0</v>
      </c>
      <c r="BZ516" s="72">
        <v>0</v>
      </c>
      <c r="CA516" s="72">
        <v>0</v>
      </c>
      <c r="CB516" s="72">
        <v>0</v>
      </c>
      <c r="CC516" s="72">
        <v>0</v>
      </c>
      <c r="CD516" s="72">
        <v>0</v>
      </c>
      <c r="CE516" s="72">
        <v>0</v>
      </c>
      <c r="CF516" s="72">
        <v>0</v>
      </c>
      <c r="CG516" s="72">
        <v>0</v>
      </c>
      <c r="CH516" s="72">
        <v>0</v>
      </c>
      <c r="CI516" s="72">
        <v>0</v>
      </c>
      <c r="CJ516" s="72">
        <v>0</v>
      </c>
      <c r="CK516" s="72">
        <v>0</v>
      </c>
      <c r="CL516" s="72">
        <v>0</v>
      </c>
      <c r="CM516" s="72">
        <v>0</v>
      </c>
      <c r="CN516" s="72">
        <v>0</v>
      </c>
      <c r="CO516" s="72">
        <v>0</v>
      </c>
      <c r="CP516" s="72">
        <v>0</v>
      </c>
      <c r="CQ516" s="72">
        <v>0</v>
      </c>
      <c r="CR516" s="72">
        <v>0</v>
      </c>
      <c r="CS516" s="72">
        <v>0</v>
      </c>
      <c r="CT516" s="72">
        <v>0</v>
      </c>
      <c r="CU516" s="72">
        <v>0</v>
      </c>
      <c r="CV516" s="72">
        <v>0</v>
      </c>
      <c r="CW516" s="72">
        <v>0</v>
      </c>
      <c r="CX516" s="72">
        <v>0</v>
      </c>
      <c r="CY516" s="72">
        <v>0</v>
      </c>
      <c r="CZ516" s="72">
        <v>0</v>
      </c>
      <c r="DA516" s="72">
        <v>0</v>
      </c>
      <c r="DB516" s="72">
        <v>0</v>
      </c>
      <c r="DC516" s="72">
        <v>0</v>
      </c>
      <c r="DD516" s="72">
        <v>0</v>
      </c>
      <c r="DE516" s="72">
        <v>0</v>
      </c>
      <c r="DF516" s="72">
        <v>0</v>
      </c>
      <c r="DG516" s="72">
        <v>0</v>
      </c>
      <c r="DH516" s="72">
        <v>0</v>
      </c>
      <c r="DI516" s="72">
        <v>0</v>
      </c>
      <c r="DJ516" s="72">
        <v>0</v>
      </c>
      <c r="DK516" s="72">
        <v>0</v>
      </c>
      <c r="DL516" s="72">
        <v>0</v>
      </c>
      <c r="DM516" s="72">
        <v>0</v>
      </c>
      <c r="DN516" s="72">
        <v>0</v>
      </c>
      <c r="DO516" s="72">
        <v>0</v>
      </c>
      <c r="DP516" s="72">
        <v>0</v>
      </c>
      <c r="DQ516" s="72">
        <v>0</v>
      </c>
      <c r="DR516" s="72">
        <v>0</v>
      </c>
      <c r="DS516" s="72">
        <v>0</v>
      </c>
      <c r="DT516" s="72">
        <v>0</v>
      </c>
      <c r="DU516" s="72">
        <v>0</v>
      </c>
      <c r="DV516" s="72">
        <v>0</v>
      </c>
      <c r="DW516" s="72">
        <v>0</v>
      </c>
      <c r="DX516" s="72">
        <v>0</v>
      </c>
      <c r="DY516" s="72">
        <v>0</v>
      </c>
      <c r="DZ516" s="72">
        <v>0</v>
      </c>
      <c r="EA516" s="72">
        <v>0</v>
      </c>
      <c r="EB516" s="72">
        <v>0</v>
      </c>
      <c r="EC516" s="72">
        <v>0</v>
      </c>
      <c r="ED516" s="72">
        <v>0</v>
      </c>
      <c r="EE516" s="72">
        <v>0</v>
      </c>
      <c r="EF516" s="72">
        <v>0</v>
      </c>
      <c r="EG516" s="72">
        <v>0</v>
      </c>
      <c r="EH516" s="72">
        <v>0</v>
      </c>
      <c r="EI516" s="72">
        <v>0</v>
      </c>
      <c r="EJ516" s="72">
        <v>0</v>
      </c>
      <c r="EK516" s="72">
        <v>0</v>
      </c>
      <c r="EL516" s="72">
        <v>0</v>
      </c>
    </row>
    <row r="517" spans="1:142" x14ac:dyDescent="0.35">
      <c r="A517" s="59">
        <f>Данные!A517</f>
        <v>4858</v>
      </c>
      <c r="B517" s="59">
        <f>Данные!B517</f>
        <v>2017</v>
      </c>
      <c r="C517" s="59">
        <f>Данные!C517</f>
        <v>0</v>
      </c>
      <c r="D517" s="59" t="str">
        <f>Данные!D517</f>
        <v>Пальтиель Лев Романович</v>
      </c>
      <c r="E517" s="59" t="str">
        <f>Данные!E517</f>
        <v>кандидат химических наук</v>
      </c>
      <c r="F517" s="59" t="str">
        <f>Данные!F517</f>
        <v>доцент</v>
      </c>
      <c r="G517" s="59">
        <f>Данные!G517</f>
        <v>0</v>
      </c>
      <c r="H517" s="59">
        <f>Данные!H517</f>
        <v>16002</v>
      </c>
      <c r="I517" s="59" t="str">
        <f>Данные!I517</f>
        <v>Физическая культура и спорт</v>
      </c>
      <c r="J517" s="59">
        <f>Данные!J517</f>
        <v>0</v>
      </c>
      <c r="K517" s="59">
        <f>Данные!K517</f>
        <v>28</v>
      </c>
      <c r="L517" s="59">
        <f>Данные!L517</f>
        <v>0</v>
      </c>
      <c r="M517" s="60">
        <f t="shared" si="72"/>
        <v>2.8</v>
      </c>
      <c r="N517" s="60">
        <f t="shared" ca="1" si="73"/>
        <v>10.91</v>
      </c>
      <c r="O517" s="60">
        <f t="shared" ca="1" si="74"/>
        <v>6.75</v>
      </c>
      <c r="P517" s="60">
        <f t="shared" ca="1" si="75"/>
        <v>6.75</v>
      </c>
      <c r="Q517" s="54">
        <f>Данные!Q517</f>
        <v>0</v>
      </c>
      <c r="R517" s="54">
        <f>Данные!R517</f>
        <v>0</v>
      </c>
      <c r="S517" s="54">
        <f>Данные!S517</f>
        <v>0</v>
      </c>
      <c r="T517" s="54">
        <f>Данные!T517</f>
        <v>0</v>
      </c>
      <c r="U517" s="54">
        <f>Данные!U517</f>
        <v>0</v>
      </c>
      <c r="V517" s="54">
        <f>Данные!V517</f>
        <v>0</v>
      </c>
      <c r="W517" s="54">
        <f ca="1">Данные!W517</f>
        <v>27</v>
      </c>
      <c r="X517" s="54" t="str">
        <f ca="1">Данные!X517</f>
        <v>1</v>
      </c>
      <c r="Y517" s="54" t="str">
        <f ca="1">Данные!Y517</f>
        <v>2</v>
      </c>
      <c r="Z517" s="54">
        <f>Данные!Z517</f>
        <v>0</v>
      </c>
      <c r="AA517" s="54" t="str">
        <f>Данные!AA517</f>
        <v>осн</v>
      </c>
      <c r="AB517" s="101">
        <f t="shared" si="76"/>
        <v>800</v>
      </c>
      <c r="AC517" s="101" t="str">
        <f t="shared" si="77"/>
        <v>ИВТ (бак)</v>
      </c>
      <c r="AD517" s="101" t="str">
        <f t="shared" si="78"/>
        <v/>
      </c>
      <c r="AE517" s="102">
        <f t="shared" ca="1" si="79"/>
        <v>55.21</v>
      </c>
      <c r="AF517" s="103">
        <f t="shared" ref="AF517:AF580" ca="1" si="80">AE517/AB517</f>
        <v>6.9012500000000004E-2</v>
      </c>
      <c r="AG517" s="101"/>
      <c r="AH517" s="101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Q517" s="72">
        <v>0</v>
      </c>
      <c r="BR517" s="72">
        <v>0</v>
      </c>
      <c r="BS517" s="72">
        <v>0</v>
      </c>
      <c r="BT517" s="72">
        <v>0</v>
      </c>
      <c r="BU517" s="72">
        <v>0</v>
      </c>
      <c r="BV517" s="72">
        <v>0</v>
      </c>
      <c r="BW517" s="72">
        <v>0</v>
      </c>
      <c r="BX517" s="72">
        <v>0</v>
      </c>
      <c r="BY517" s="72">
        <v>0</v>
      </c>
      <c r="BZ517" s="72">
        <v>0</v>
      </c>
      <c r="CA517" s="72">
        <v>0</v>
      </c>
      <c r="CB517" s="72">
        <v>0</v>
      </c>
      <c r="CC517" s="72">
        <v>0</v>
      </c>
      <c r="CD517" s="72">
        <v>0</v>
      </c>
      <c r="CE517" s="72">
        <v>0</v>
      </c>
      <c r="CF517" s="72">
        <v>0</v>
      </c>
      <c r="CG517" s="72">
        <v>0</v>
      </c>
      <c r="CH517" s="72">
        <v>0</v>
      </c>
      <c r="CI517" s="72">
        <v>0</v>
      </c>
      <c r="CJ517" s="72">
        <v>0</v>
      </c>
      <c r="CK517" s="72">
        <v>0</v>
      </c>
      <c r="CL517" s="72">
        <v>0</v>
      </c>
      <c r="CM517" s="72">
        <v>0</v>
      </c>
      <c r="CN517" s="72">
        <v>0</v>
      </c>
      <c r="CO517" s="72">
        <v>0</v>
      </c>
      <c r="CP517" s="72">
        <v>0</v>
      </c>
      <c r="CQ517" s="72">
        <v>0</v>
      </c>
      <c r="CR517" s="72">
        <v>0</v>
      </c>
      <c r="CS517" s="72">
        <v>0</v>
      </c>
      <c r="CT517" s="72">
        <v>0</v>
      </c>
      <c r="CU517" s="72">
        <v>0</v>
      </c>
      <c r="CV517" s="72">
        <v>0</v>
      </c>
      <c r="CW517" s="72">
        <v>0</v>
      </c>
      <c r="CX517" s="72">
        <v>0</v>
      </c>
      <c r="CY517" s="72">
        <v>0</v>
      </c>
      <c r="CZ517" s="72">
        <v>0</v>
      </c>
      <c r="DA517" s="72">
        <v>0</v>
      </c>
      <c r="DB517" s="72">
        <v>0</v>
      </c>
      <c r="DC517" s="72">
        <v>0</v>
      </c>
      <c r="DD517" s="72">
        <v>0</v>
      </c>
      <c r="DE517" s="72">
        <v>0</v>
      </c>
      <c r="DF517" s="72">
        <v>0</v>
      </c>
      <c r="DG517" s="72">
        <v>0</v>
      </c>
      <c r="DH517" s="72">
        <v>0</v>
      </c>
      <c r="DI517" s="72">
        <v>0</v>
      </c>
      <c r="DJ517" s="72">
        <v>0</v>
      </c>
      <c r="DK517" s="72">
        <v>0</v>
      </c>
      <c r="DL517" s="72">
        <v>0</v>
      </c>
      <c r="DM517" s="72">
        <v>0</v>
      </c>
      <c r="DN517" s="72">
        <v>0</v>
      </c>
      <c r="DO517" s="72">
        <v>0</v>
      </c>
      <c r="DP517" s="72">
        <v>0</v>
      </c>
      <c r="DQ517" s="72">
        <v>0</v>
      </c>
      <c r="DR517" s="72">
        <v>0</v>
      </c>
      <c r="DS517" s="72">
        <v>0</v>
      </c>
      <c r="DT517" s="72">
        <v>0</v>
      </c>
      <c r="DU517" s="72">
        <v>0</v>
      </c>
      <c r="DV517" s="72">
        <v>0</v>
      </c>
      <c r="DW517" s="72">
        <v>0</v>
      </c>
      <c r="DX517" s="72">
        <v>0</v>
      </c>
      <c r="DY517" s="72">
        <v>0</v>
      </c>
      <c r="DZ517" s="72">
        <v>0</v>
      </c>
      <c r="EA517" s="72">
        <v>0</v>
      </c>
      <c r="EB517" s="72">
        <v>0</v>
      </c>
      <c r="EC517" s="72">
        <v>0</v>
      </c>
      <c r="ED517" s="72">
        <v>0</v>
      </c>
      <c r="EE517" s="72">
        <v>0</v>
      </c>
      <c r="EF517" s="72">
        <v>0</v>
      </c>
      <c r="EG517" s="72">
        <v>0</v>
      </c>
      <c r="EH517" s="72">
        <v>0</v>
      </c>
      <c r="EI517" s="72">
        <v>0</v>
      </c>
      <c r="EJ517" s="72">
        <v>0</v>
      </c>
      <c r="EK517" s="72">
        <v>0</v>
      </c>
      <c r="EL517" s="72">
        <v>0</v>
      </c>
    </row>
    <row r="518" spans="1:142" x14ac:dyDescent="0.35">
      <c r="A518" s="59">
        <f>Данные!A518</f>
        <v>4858</v>
      </c>
      <c r="B518" s="59">
        <f>Данные!B518</f>
        <v>2017</v>
      </c>
      <c r="C518" s="59" t="str">
        <f>Данные!C518</f>
        <v>современных европейских языков</v>
      </c>
      <c r="D518" s="59" t="str">
        <f>Данные!D518</f>
        <v>Кузнецова Надежда Леонидовна</v>
      </c>
      <c r="E518" s="59" t="str">
        <f>Данные!E518</f>
        <v>нет</v>
      </c>
      <c r="F518" s="59" t="str">
        <f>Данные!F518</f>
        <v>старший преподаватель</v>
      </c>
      <c r="G518" s="59">
        <f>Данные!G518</f>
        <v>1</v>
      </c>
      <c r="H518" s="59">
        <f>Данные!H518</f>
        <v>16002</v>
      </c>
      <c r="I518" s="59" t="str">
        <f>Данные!I518</f>
        <v>Специальная лексика в сфере профессиональной коммуникации</v>
      </c>
      <c r="J518" s="59">
        <f>Данные!J518</f>
        <v>0</v>
      </c>
      <c r="K518" s="59">
        <f>Данные!K518</f>
        <v>0</v>
      </c>
      <c r="L518" s="59">
        <f>Данные!L518</f>
        <v>36</v>
      </c>
      <c r="M518" s="60">
        <f t="shared" si="72"/>
        <v>3.6</v>
      </c>
      <c r="N518" s="60">
        <f t="shared" ca="1" si="73"/>
        <v>10.91</v>
      </c>
      <c r="O518" s="60">
        <f t="shared" ca="1" si="74"/>
        <v>6.75</v>
      </c>
      <c r="P518" s="60">
        <f t="shared" ca="1" si="75"/>
        <v>6.75</v>
      </c>
      <c r="Q518" s="54">
        <f>Данные!Q518</f>
        <v>0</v>
      </c>
      <c r="R518" s="54">
        <f>Данные!R518</f>
        <v>0</v>
      </c>
      <c r="S518" s="54">
        <f>Данные!S518</f>
        <v>0</v>
      </c>
      <c r="T518" s="54">
        <f>Данные!T518</f>
        <v>0</v>
      </c>
      <c r="U518" s="54">
        <f>Данные!U518</f>
        <v>0</v>
      </c>
      <c r="V518" s="54">
        <f>Данные!V518</f>
        <v>0</v>
      </c>
      <c r="W518" s="54">
        <f ca="1">Данные!W518</f>
        <v>27</v>
      </c>
      <c r="X518" s="54" t="str">
        <f ca="1">Данные!X518</f>
        <v>1</v>
      </c>
      <c r="Y518" s="54" t="str">
        <f ca="1">Данные!Y518</f>
        <v>2</v>
      </c>
      <c r="Z518" s="54">
        <f>Данные!Z518</f>
        <v>0</v>
      </c>
      <c r="AA518" s="54" t="str">
        <f>Данные!AA518</f>
        <v>осн</v>
      </c>
      <c r="AB518" s="101">
        <f t="shared" si="76"/>
        <v>850</v>
      </c>
      <c r="AC518" s="101" t="str">
        <f t="shared" si="77"/>
        <v>ИВТ (бак)</v>
      </c>
      <c r="AD518" s="101" t="str">
        <f t="shared" si="78"/>
        <v/>
      </c>
      <c r="AE518" s="102">
        <f t="shared" ca="1" si="79"/>
        <v>64.010000000000005</v>
      </c>
      <c r="AF518" s="103">
        <f t="shared" ca="1" si="80"/>
        <v>7.5305882352941181E-2</v>
      </c>
      <c r="AG518" s="101"/>
      <c r="AH518" s="101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Q518" s="72">
        <v>0</v>
      </c>
      <c r="BR518" s="72">
        <v>0</v>
      </c>
      <c r="BS518" s="72">
        <v>0</v>
      </c>
      <c r="BT518" s="72">
        <v>0</v>
      </c>
      <c r="BU518" s="72">
        <v>0</v>
      </c>
      <c r="BV518" s="72">
        <v>0</v>
      </c>
      <c r="BW518" s="72">
        <v>0</v>
      </c>
      <c r="BX518" s="72">
        <v>0</v>
      </c>
      <c r="BY518" s="72">
        <v>0</v>
      </c>
      <c r="BZ518" s="72">
        <v>0</v>
      </c>
      <c r="CA518" s="72">
        <v>0</v>
      </c>
      <c r="CB518" s="72">
        <v>0</v>
      </c>
      <c r="CC518" s="72">
        <v>0</v>
      </c>
      <c r="CD518" s="72">
        <v>0</v>
      </c>
      <c r="CE518" s="72">
        <v>0</v>
      </c>
      <c r="CF518" s="72">
        <v>0</v>
      </c>
      <c r="CG518" s="72">
        <v>0</v>
      </c>
      <c r="CH518" s="72">
        <v>0</v>
      </c>
      <c r="CI518" s="72">
        <v>0</v>
      </c>
      <c r="CJ518" s="72">
        <v>0</v>
      </c>
      <c r="CK518" s="72">
        <v>0</v>
      </c>
      <c r="CL518" s="72">
        <v>0</v>
      </c>
      <c r="CM518" s="72">
        <v>0</v>
      </c>
      <c r="CN518" s="72">
        <v>0</v>
      </c>
      <c r="CO518" s="72">
        <v>0</v>
      </c>
      <c r="CP518" s="72">
        <v>0</v>
      </c>
      <c r="CQ518" s="72">
        <v>0</v>
      </c>
      <c r="CR518" s="72">
        <v>0</v>
      </c>
      <c r="CS518" s="72">
        <v>0</v>
      </c>
      <c r="CT518" s="72">
        <v>0</v>
      </c>
      <c r="CU518" s="72">
        <v>0</v>
      </c>
      <c r="CV518" s="72">
        <v>0</v>
      </c>
      <c r="CW518" s="72">
        <v>0</v>
      </c>
      <c r="CX518" s="72">
        <v>0</v>
      </c>
      <c r="CY518" s="72">
        <v>0</v>
      </c>
      <c r="CZ518" s="72">
        <v>0</v>
      </c>
      <c r="DA518" s="72">
        <v>0</v>
      </c>
      <c r="DB518" s="72">
        <v>0</v>
      </c>
      <c r="DC518" s="72">
        <v>0</v>
      </c>
      <c r="DD518" s="72">
        <v>0</v>
      </c>
      <c r="DE518" s="72">
        <v>0</v>
      </c>
      <c r="DF518" s="72">
        <v>0</v>
      </c>
      <c r="DG518" s="72">
        <v>0</v>
      </c>
      <c r="DH518" s="72">
        <v>0</v>
      </c>
      <c r="DI518" s="72">
        <v>0</v>
      </c>
      <c r="DJ518" s="72">
        <v>0</v>
      </c>
      <c r="DK518" s="72">
        <v>0</v>
      </c>
      <c r="DL518" s="72">
        <v>0</v>
      </c>
      <c r="DM518" s="72">
        <v>0</v>
      </c>
      <c r="DN518" s="72">
        <v>0</v>
      </c>
      <c r="DO518" s="72">
        <v>0</v>
      </c>
      <c r="DP518" s="72">
        <v>0</v>
      </c>
      <c r="DQ518" s="72">
        <v>0</v>
      </c>
      <c r="DR518" s="72">
        <v>0</v>
      </c>
      <c r="DS518" s="72">
        <v>0</v>
      </c>
      <c r="DT518" s="72">
        <v>0</v>
      </c>
      <c r="DU518" s="72">
        <v>0</v>
      </c>
      <c r="DV518" s="72">
        <v>0</v>
      </c>
      <c r="DW518" s="72">
        <v>0</v>
      </c>
      <c r="DX518" s="72">
        <v>0</v>
      </c>
      <c r="DY518" s="72">
        <v>0</v>
      </c>
      <c r="DZ518" s="72">
        <v>0</v>
      </c>
      <c r="EA518" s="72">
        <v>0</v>
      </c>
      <c r="EB518" s="72">
        <v>0</v>
      </c>
      <c r="EC518" s="72">
        <v>0</v>
      </c>
      <c r="ED518" s="72">
        <v>0</v>
      </c>
      <c r="EE518" s="72">
        <v>0</v>
      </c>
      <c r="EF518" s="72">
        <v>0</v>
      </c>
      <c r="EG518" s="72">
        <v>0</v>
      </c>
      <c r="EH518" s="72">
        <v>0</v>
      </c>
      <c r="EI518" s="72">
        <v>0</v>
      </c>
      <c r="EJ518" s="72">
        <v>0</v>
      </c>
      <c r="EK518" s="72">
        <v>0</v>
      </c>
      <c r="EL518" s="72">
        <v>0</v>
      </c>
    </row>
    <row r="519" spans="1:142" x14ac:dyDescent="0.35">
      <c r="A519" s="59">
        <f>Данные!A519</f>
        <v>4858</v>
      </c>
      <c r="B519" s="59">
        <f>Данные!B519</f>
        <v>2017</v>
      </c>
      <c r="C519" s="59" t="str">
        <f>Данные!C519</f>
        <v>современных европейских языков</v>
      </c>
      <c r="D519" s="59" t="str">
        <f>Данные!D519</f>
        <v>Порязь Надежда Вадимовна</v>
      </c>
      <c r="E519" s="59" t="str">
        <f>Данные!E519</f>
        <v>нет</v>
      </c>
      <c r="F519" s="59" t="str">
        <f>Данные!F519</f>
        <v>старший преподаватель</v>
      </c>
      <c r="G519" s="59">
        <f>Данные!G519</f>
        <v>0.75</v>
      </c>
      <c r="H519" s="59">
        <f>Данные!H519</f>
        <v>16002</v>
      </c>
      <c r="I519" s="59" t="str">
        <f>Данные!I519</f>
        <v>Практический курс профессионально-ориентированного перевода</v>
      </c>
      <c r="J519" s="59">
        <f>Данные!J519</f>
        <v>0</v>
      </c>
      <c r="K519" s="59">
        <f>Данные!K519</f>
        <v>0</v>
      </c>
      <c r="L519" s="59">
        <f>Данные!L519</f>
        <v>108</v>
      </c>
      <c r="M519" s="60">
        <f t="shared" si="72"/>
        <v>10.8</v>
      </c>
      <c r="N519" s="60">
        <f t="shared" ca="1" si="73"/>
        <v>10.91</v>
      </c>
      <c r="O519" s="60">
        <f t="shared" ca="1" si="74"/>
        <v>6.75</v>
      </c>
      <c r="P519" s="60">
        <f t="shared" ca="1" si="75"/>
        <v>6.75</v>
      </c>
      <c r="Q519" s="54">
        <f>Данные!Q519</f>
        <v>0</v>
      </c>
      <c r="R519" s="54">
        <f>Данные!R519</f>
        <v>0</v>
      </c>
      <c r="S519" s="54">
        <f>Данные!S519</f>
        <v>0</v>
      </c>
      <c r="T519" s="54">
        <f>Данные!T519</f>
        <v>0</v>
      </c>
      <c r="U519" s="54">
        <f>Данные!U519</f>
        <v>0</v>
      </c>
      <c r="V519" s="54">
        <f>Данные!V519</f>
        <v>0</v>
      </c>
      <c r="W519" s="54">
        <f ca="1">Данные!W519</f>
        <v>27</v>
      </c>
      <c r="X519" s="54" t="str">
        <f ca="1">Данные!X519</f>
        <v>1</v>
      </c>
      <c r="Y519" s="54" t="str">
        <f ca="1">Данные!Y519</f>
        <v>2</v>
      </c>
      <c r="Z519" s="54">
        <f>Данные!Z519</f>
        <v>0</v>
      </c>
      <c r="AA519" s="54" t="str">
        <f>Данные!AA519</f>
        <v>осн</v>
      </c>
      <c r="AB519" s="101">
        <f t="shared" si="76"/>
        <v>850</v>
      </c>
      <c r="AC519" s="101" t="str">
        <f t="shared" si="77"/>
        <v>ИВТ (бак)</v>
      </c>
      <c r="AD519" s="101" t="str">
        <f t="shared" si="78"/>
        <v/>
      </c>
      <c r="AE519" s="102">
        <f t="shared" ca="1" si="79"/>
        <v>143.21</v>
      </c>
      <c r="AF519" s="103">
        <f t="shared" ca="1" si="80"/>
        <v>0.16848235294117647</v>
      </c>
      <c r="AG519" s="101"/>
      <c r="AH519" s="101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Q519" s="72">
        <v>0</v>
      </c>
      <c r="BR519" s="72">
        <v>0</v>
      </c>
      <c r="BS519" s="72">
        <v>0</v>
      </c>
      <c r="BT519" s="72">
        <v>0</v>
      </c>
      <c r="BU519" s="72">
        <v>0</v>
      </c>
      <c r="BV519" s="72">
        <v>0</v>
      </c>
      <c r="BW519" s="72">
        <v>0</v>
      </c>
      <c r="BX519" s="72">
        <v>0</v>
      </c>
      <c r="BY519" s="72">
        <v>0</v>
      </c>
      <c r="BZ519" s="72">
        <v>0</v>
      </c>
      <c r="CA519" s="72">
        <v>0</v>
      </c>
      <c r="CB519" s="72">
        <v>0</v>
      </c>
      <c r="CC519" s="72">
        <v>0</v>
      </c>
      <c r="CD519" s="72">
        <v>0</v>
      </c>
      <c r="CE519" s="72">
        <v>0</v>
      </c>
      <c r="CF519" s="72">
        <v>0</v>
      </c>
      <c r="CG519" s="72">
        <v>0</v>
      </c>
      <c r="CH519" s="72">
        <v>0</v>
      </c>
      <c r="CI519" s="72">
        <v>0</v>
      </c>
      <c r="CJ519" s="72">
        <v>0</v>
      </c>
      <c r="CK519" s="72">
        <v>0</v>
      </c>
      <c r="CL519" s="72">
        <v>0</v>
      </c>
      <c r="CM519" s="72">
        <v>0</v>
      </c>
      <c r="CN519" s="72">
        <v>0</v>
      </c>
      <c r="CO519" s="72">
        <v>0</v>
      </c>
      <c r="CP519" s="72">
        <v>0</v>
      </c>
      <c r="CQ519" s="72">
        <v>0</v>
      </c>
      <c r="CR519" s="72">
        <v>0</v>
      </c>
      <c r="CS519" s="72">
        <v>0</v>
      </c>
      <c r="CT519" s="72">
        <v>0</v>
      </c>
      <c r="CU519" s="72">
        <v>0</v>
      </c>
      <c r="CV519" s="72">
        <v>0</v>
      </c>
      <c r="CW519" s="72">
        <v>0</v>
      </c>
      <c r="CX519" s="72">
        <v>0</v>
      </c>
      <c r="CY519" s="72">
        <v>0</v>
      </c>
      <c r="CZ519" s="72">
        <v>0</v>
      </c>
      <c r="DA519" s="72">
        <v>0</v>
      </c>
      <c r="DB519" s="72">
        <v>0</v>
      </c>
      <c r="DC519" s="72">
        <v>0</v>
      </c>
      <c r="DD519" s="72">
        <v>0</v>
      </c>
      <c r="DE519" s="72">
        <v>0</v>
      </c>
      <c r="DF519" s="72">
        <v>0</v>
      </c>
      <c r="DG519" s="72">
        <v>0</v>
      </c>
      <c r="DH519" s="72">
        <v>0</v>
      </c>
      <c r="DI519" s="72">
        <v>0</v>
      </c>
      <c r="DJ519" s="72">
        <v>0</v>
      </c>
      <c r="DK519" s="72">
        <v>0</v>
      </c>
      <c r="DL519" s="72">
        <v>0</v>
      </c>
      <c r="DM519" s="72">
        <v>0</v>
      </c>
      <c r="DN519" s="72">
        <v>0</v>
      </c>
      <c r="DO519" s="72">
        <v>0</v>
      </c>
      <c r="DP519" s="72">
        <v>0</v>
      </c>
      <c r="DQ519" s="72">
        <v>0</v>
      </c>
      <c r="DR519" s="72">
        <v>0</v>
      </c>
      <c r="DS519" s="72">
        <v>0</v>
      </c>
      <c r="DT519" s="72">
        <v>0</v>
      </c>
      <c r="DU519" s="72">
        <v>0</v>
      </c>
      <c r="DV519" s="72">
        <v>0</v>
      </c>
      <c r="DW519" s="72">
        <v>0</v>
      </c>
      <c r="DX519" s="72">
        <v>0</v>
      </c>
      <c r="DY519" s="72">
        <v>0</v>
      </c>
      <c r="DZ519" s="72">
        <v>0</v>
      </c>
      <c r="EA519" s="72">
        <v>0</v>
      </c>
      <c r="EB519" s="72">
        <v>0</v>
      </c>
      <c r="EC519" s="72">
        <v>0</v>
      </c>
      <c r="ED519" s="72">
        <v>0</v>
      </c>
      <c r="EE519" s="72">
        <v>0</v>
      </c>
      <c r="EF519" s="72">
        <v>0</v>
      </c>
      <c r="EG519" s="72">
        <v>0</v>
      </c>
      <c r="EH519" s="72">
        <v>0</v>
      </c>
      <c r="EI519" s="72">
        <v>0</v>
      </c>
      <c r="EJ519" s="72">
        <v>0</v>
      </c>
      <c r="EK519" s="72">
        <v>0</v>
      </c>
      <c r="EL519" s="72">
        <v>0</v>
      </c>
    </row>
    <row r="520" spans="1:142" x14ac:dyDescent="0.35">
      <c r="A520" s="59">
        <f>Данные!A520</f>
        <v>4858</v>
      </c>
      <c r="B520" s="59">
        <f>Данные!B520</f>
        <v>2017</v>
      </c>
      <c r="C520" s="59" t="str">
        <f>Данные!C520</f>
        <v>современных европейских языков</v>
      </c>
      <c r="D520" s="59" t="str">
        <f>Данные!D520</f>
        <v>Порязь Надежда Вадимовна</v>
      </c>
      <c r="E520" s="59" t="str">
        <f>Данные!E520</f>
        <v>нет</v>
      </c>
      <c r="F520" s="59" t="str">
        <f>Данные!F520</f>
        <v>старший преподаватель</v>
      </c>
      <c r="G520" s="59">
        <f>Данные!G520</f>
        <v>0.75</v>
      </c>
      <c r="H520" s="59">
        <f>Данные!H520</f>
        <v>16002</v>
      </c>
      <c r="I520" s="59" t="str">
        <f>Данные!I520</f>
        <v>Специальная лексика в сфере профессиональной коммуникации</v>
      </c>
      <c r="J520" s="59">
        <f>Данные!J520</f>
        <v>0</v>
      </c>
      <c r="K520" s="59">
        <f>Данные!K520</f>
        <v>0</v>
      </c>
      <c r="L520" s="59">
        <f>Данные!L520</f>
        <v>36</v>
      </c>
      <c r="M520" s="60">
        <f t="shared" si="72"/>
        <v>3.6</v>
      </c>
      <c r="N520" s="60">
        <f t="shared" ca="1" si="73"/>
        <v>10.91</v>
      </c>
      <c r="O520" s="60">
        <f t="shared" ca="1" si="74"/>
        <v>6.75</v>
      </c>
      <c r="P520" s="60">
        <f t="shared" ca="1" si="75"/>
        <v>6.75</v>
      </c>
      <c r="Q520" s="54">
        <f>Данные!Q520</f>
        <v>0</v>
      </c>
      <c r="R520" s="54">
        <f>Данные!R520</f>
        <v>0</v>
      </c>
      <c r="S520" s="54">
        <f>Данные!S520</f>
        <v>0</v>
      </c>
      <c r="T520" s="54">
        <f>Данные!T520</f>
        <v>0</v>
      </c>
      <c r="U520" s="54">
        <f>Данные!U520</f>
        <v>0</v>
      </c>
      <c r="V520" s="54">
        <f>Данные!V520</f>
        <v>0</v>
      </c>
      <c r="W520" s="54">
        <f ca="1">Данные!W520</f>
        <v>27</v>
      </c>
      <c r="X520" s="54" t="str">
        <f ca="1">Данные!X520</f>
        <v>1</v>
      </c>
      <c r="Y520" s="54" t="str">
        <f ca="1">Данные!Y520</f>
        <v>2</v>
      </c>
      <c r="Z520" s="54">
        <f>Данные!Z520</f>
        <v>0</v>
      </c>
      <c r="AA520" s="54" t="str">
        <f>Данные!AA520</f>
        <v>осн</v>
      </c>
      <c r="AB520" s="101">
        <f t="shared" si="76"/>
        <v>850</v>
      </c>
      <c r="AC520" s="101" t="str">
        <f t="shared" si="77"/>
        <v>ИВТ (бак)</v>
      </c>
      <c r="AD520" s="101" t="str">
        <f t="shared" si="78"/>
        <v/>
      </c>
      <c r="AE520" s="102">
        <f t="shared" ca="1" si="79"/>
        <v>64.010000000000005</v>
      </c>
      <c r="AF520" s="103">
        <f t="shared" ca="1" si="80"/>
        <v>7.5305882352941181E-2</v>
      </c>
      <c r="AG520" s="101"/>
      <c r="AH520" s="101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Q520" s="72">
        <v>0</v>
      </c>
      <c r="BR520" s="72">
        <v>0</v>
      </c>
      <c r="BS520" s="72">
        <v>0</v>
      </c>
      <c r="BT520" s="72">
        <v>0</v>
      </c>
      <c r="BU520" s="72">
        <v>0</v>
      </c>
      <c r="BV520" s="72">
        <v>0</v>
      </c>
      <c r="BW520" s="72">
        <v>0</v>
      </c>
      <c r="BX520" s="72">
        <v>0</v>
      </c>
      <c r="BY520" s="72">
        <v>0</v>
      </c>
      <c r="BZ520" s="72">
        <v>0</v>
      </c>
      <c r="CA520" s="72">
        <v>0</v>
      </c>
      <c r="CB520" s="72">
        <v>0</v>
      </c>
      <c r="CC520" s="72">
        <v>0</v>
      </c>
      <c r="CD520" s="72">
        <v>0</v>
      </c>
      <c r="CE520" s="72">
        <v>0</v>
      </c>
      <c r="CF520" s="72">
        <v>0</v>
      </c>
      <c r="CG520" s="72">
        <v>0</v>
      </c>
      <c r="CH520" s="72">
        <v>0</v>
      </c>
      <c r="CI520" s="72">
        <v>0</v>
      </c>
      <c r="CJ520" s="72">
        <v>0</v>
      </c>
      <c r="CK520" s="72">
        <v>0</v>
      </c>
      <c r="CL520" s="72">
        <v>0</v>
      </c>
      <c r="CM520" s="72">
        <v>0</v>
      </c>
      <c r="CN520" s="72">
        <v>0</v>
      </c>
      <c r="CO520" s="72">
        <v>0</v>
      </c>
      <c r="CP520" s="72">
        <v>0</v>
      </c>
      <c r="CQ520" s="72">
        <v>0</v>
      </c>
      <c r="CR520" s="72">
        <v>0</v>
      </c>
      <c r="CS520" s="72">
        <v>0</v>
      </c>
      <c r="CT520" s="72">
        <v>0</v>
      </c>
      <c r="CU520" s="72">
        <v>0</v>
      </c>
      <c r="CV520" s="72">
        <v>0</v>
      </c>
      <c r="CW520" s="72">
        <v>0</v>
      </c>
      <c r="CX520" s="72">
        <v>0</v>
      </c>
      <c r="CY520" s="72">
        <v>0</v>
      </c>
      <c r="CZ520" s="72">
        <v>0</v>
      </c>
      <c r="DA520" s="72">
        <v>0</v>
      </c>
      <c r="DB520" s="72">
        <v>0</v>
      </c>
      <c r="DC520" s="72">
        <v>0</v>
      </c>
      <c r="DD520" s="72">
        <v>0</v>
      </c>
      <c r="DE520" s="72">
        <v>0</v>
      </c>
      <c r="DF520" s="72">
        <v>0</v>
      </c>
      <c r="DG520" s="72">
        <v>0</v>
      </c>
      <c r="DH520" s="72">
        <v>0</v>
      </c>
      <c r="DI520" s="72">
        <v>0</v>
      </c>
      <c r="DJ520" s="72">
        <v>0</v>
      </c>
      <c r="DK520" s="72">
        <v>0</v>
      </c>
      <c r="DL520" s="72">
        <v>0</v>
      </c>
      <c r="DM520" s="72">
        <v>0</v>
      </c>
      <c r="DN520" s="72">
        <v>0</v>
      </c>
      <c r="DO520" s="72">
        <v>0</v>
      </c>
      <c r="DP520" s="72">
        <v>0</v>
      </c>
      <c r="DQ520" s="72">
        <v>0</v>
      </c>
      <c r="DR520" s="72">
        <v>0</v>
      </c>
      <c r="DS520" s="72">
        <v>0</v>
      </c>
      <c r="DT520" s="72">
        <v>0</v>
      </c>
      <c r="DU520" s="72">
        <v>0</v>
      </c>
      <c r="DV520" s="72">
        <v>0</v>
      </c>
      <c r="DW520" s="72">
        <v>0</v>
      </c>
      <c r="DX520" s="72">
        <v>0</v>
      </c>
      <c r="DY520" s="72">
        <v>0</v>
      </c>
      <c r="DZ520" s="72">
        <v>0</v>
      </c>
      <c r="EA520" s="72">
        <v>0</v>
      </c>
      <c r="EB520" s="72">
        <v>0</v>
      </c>
      <c r="EC520" s="72">
        <v>0</v>
      </c>
      <c r="ED520" s="72">
        <v>0</v>
      </c>
      <c r="EE520" s="72">
        <v>0</v>
      </c>
      <c r="EF520" s="72">
        <v>0</v>
      </c>
      <c r="EG520" s="72">
        <v>0</v>
      </c>
      <c r="EH520" s="72">
        <v>0</v>
      </c>
      <c r="EI520" s="72">
        <v>0</v>
      </c>
      <c r="EJ520" s="72">
        <v>0</v>
      </c>
      <c r="EK520" s="72">
        <v>0</v>
      </c>
      <c r="EL520" s="72">
        <v>0</v>
      </c>
    </row>
    <row r="521" spans="1:142" x14ac:dyDescent="0.35">
      <c r="A521" s="59">
        <f>Данные!A521</f>
        <v>4858</v>
      </c>
      <c r="B521" s="59">
        <f>Данные!B521</f>
        <v>2017</v>
      </c>
      <c r="C521" s="59" t="str">
        <f>Данные!C521</f>
        <v>физической электроники</v>
      </c>
      <c r="D521" s="59" t="str">
        <f>Данные!D521</f>
        <v>Серегин Павел Павлович</v>
      </c>
      <c r="E521" s="59" t="str">
        <f>Данные!E521</f>
        <v>доктор физ.-мат. наук</v>
      </c>
      <c r="F521" s="59" t="str">
        <f>Данные!F521</f>
        <v>профессор</v>
      </c>
      <c r="G521" s="59">
        <f>Данные!G521</f>
        <v>1</v>
      </c>
      <c r="H521" s="59">
        <f>Данные!H521</f>
        <v>16002</v>
      </c>
      <c r="I521" s="59" t="str">
        <f>Данные!I521</f>
        <v>Физика</v>
      </c>
      <c r="J521" s="59">
        <f>Данные!J521</f>
        <v>18</v>
      </c>
      <c r="K521" s="59">
        <f>Данные!K521</f>
        <v>0</v>
      </c>
      <c r="L521" s="59">
        <f>Данные!L521</f>
        <v>72</v>
      </c>
      <c r="M521" s="60">
        <f t="shared" si="72"/>
        <v>9</v>
      </c>
      <c r="N521" s="60">
        <f t="shared" ca="1" si="73"/>
        <v>10.91</v>
      </c>
      <c r="O521" s="60">
        <f t="shared" ca="1" si="74"/>
        <v>6.75</v>
      </c>
      <c r="P521" s="60">
        <f t="shared" ca="1" si="75"/>
        <v>6.75</v>
      </c>
      <c r="Q521" s="54">
        <f>Данные!Q521</f>
        <v>0</v>
      </c>
      <c r="R521" s="54">
        <f>Данные!R521</f>
        <v>0</v>
      </c>
      <c r="S521" s="54">
        <f>Данные!S521</f>
        <v>0</v>
      </c>
      <c r="T521" s="54">
        <f>Данные!T521</f>
        <v>0</v>
      </c>
      <c r="U521" s="54">
        <f>Данные!U521</f>
        <v>0</v>
      </c>
      <c r="V521" s="54">
        <f>Данные!V521</f>
        <v>0</v>
      </c>
      <c r="W521" s="54">
        <f ca="1">Данные!W521</f>
        <v>27</v>
      </c>
      <c r="X521" s="54" t="str">
        <f ca="1">Данные!X521</f>
        <v>1</v>
      </c>
      <c r="Y521" s="54" t="str">
        <f ca="1">Данные!Y521</f>
        <v>2</v>
      </c>
      <c r="Z521" s="54">
        <f>Данные!Z521</f>
        <v>0</v>
      </c>
      <c r="AA521" s="54" t="str">
        <f>Данные!AA521</f>
        <v>осн</v>
      </c>
      <c r="AB521" s="101">
        <f t="shared" si="76"/>
        <v>750</v>
      </c>
      <c r="AC521" s="101" t="str">
        <f t="shared" si="77"/>
        <v>ИВТ (бак)</v>
      </c>
      <c r="AD521" s="101" t="str">
        <f t="shared" si="78"/>
        <v/>
      </c>
      <c r="AE521" s="102">
        <f t="shared" ca="1" si="79"/>
        <v>123.41</v>
      </c>
      <c r="AF521" s="103">
        <f t="shared" ca="1" si="80"/>
        <v>0.16454666666666667</v>
      </c>
      <c r="AG521" s="101"/>
      <c r="AH521" s="10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Q521" s="72">
        <v>0</v>
      </c>
      <c r="BR521" s="72">
        <v>0</v>
      </c>
      <c r="BS521" s="72">
        <v>0</v>
      </c>
      <c r="BT521" s="72">
        <v>0</v>
      </c>
      <c r="BU521" s="72">
        <v>0</v>
      </c>
      <c r="BV521" s="72">
        <v>0</v>
      </c>
      <c r="BW521" s="72">
        <v>0</v>
      </c>
      <c r="BX521" s="72">
        <v>0</v>
      </c>
      <c r="BY521" s="72">
        <v>0</v>
      </c>
      <c r="BZ521" s="72">
        <v>0</v>
      </c>
      <c r="CA521" s="72">
        <v>0</v>
      </c>
      <c r="CB521" s="72">
        <v>0</v>
      </c>
      <c r="CC521" s="72">
        <v>0</v>
      </c>
      <c r="CD521" s="72">
        <v>0</v>
      </c>
      <c r="CE521" s="72">
        <v>0</v>
      </c>
      <c r="CF521" s="72">
        <v>0</v>
      </c>
      <c r="CG521" s="72">
        <v>0</v>
      </c>
      <c r="CH521" s="72">
        <v>0</v>
      </c>
      <c r="CI521" s="72">
        <v>0</v>
      </c>
      <c r="CJ521" s="72">
        <v>0</v>
      </c>
      <c r="CK521" s="72">
        <v>0</v>
      </c>
      <c r="CL521" s="72">
        <v>0</v>
      </c>
      <c r="CM521" s="72">
        <v>0</v>
      </c>
      <c r="CN521" s="72">
        <v>0</v>
      </c>
      <c r="CO521" s="72">
        <v>0</v>
      </c>
      <c r="CP521" s="72">
        <v>0</v>
      </c>
      <c r="CQ521" s="72">
        <v>0</v>
      </c>
      <c r="CR521" s="72">
        <v>0</v>
      </c>
      <c r="CS521" s="72">
        <v>0</v>
      </c>
      <c r="CT521" s="72">
        <v>0</v>
      </c>
      <c r="CU521" s="72">
        <v>0</v>
      </c>
      <c r="CV521" s="72">
        <v>0</v>
      </c>
      <c r="CW521" s="72">
        <v>0</v>
      </c>
      <c r="CX521" s="72">
        <v>0</v>
      </c>
      <c r="CY521" s="72">
        <v>0</v>
      </c>
      <c r="CZ521" s="72">
        <v>0</v>
      </c>
      <c r="DA521" s="72">
        <v>0</v>
      </c>
      <c r="DB521" s="72">
        <v>0</v>
      </c>
      <c r="DC521" s="72">
        <v>0</v>
      </c>
      <c r="DD521" s="72">
        <v>0</v>
      </c>
      <c r="DE521" s="72">
        <v>0</v>
      </c>
      <c r="DF521" s="72">
        <v>0</v>
      </c>
      <c r="DG521" s="72">
        <v>0</v>
      </c>
      <c r="DH521" s="72">
        <v>0</v>
      </c>
      <c r="DI521" s="72">
        <v>0</v>
      </c>
      <c r="DJ521" s="72">
        <v>0</v>
      </c>
      <c r="DK521" s="72">
        <v>0</v>
      </c>
      <c r="DL521" s="72">
        <v>0</v>
      </c>
      <c r="DM521" s="72">
        <v>0</v>
      </c>
      <c r="DN521" s="72">
        <v>0</v>
      </c>
      <c r="DO521" s="72">
        <v>0</v>
      </c>
      <c r="DP521" s="72">
        <v>0</v>
      </c>
      <c r="DQ521" s="72">
        <v>0</v>
      </c>
      <c r="DR521" s="72">
        <v>0</v>
      </c>
      <c r="DS521" s="72">
        <v>0</v>
      </c>
      <c r="DT521" s="72">
        <v>0</v>
      </c>
      <c r="DU521" s="72">
        <v>0</v>
      </c>
      <c r="DV521" s="72">
        <v>0</v>
      </c>
      <c r="DW521" s="72">
        <v>0</v>
      </c>
      <c r="DX521" s="72">
        <v>0</v>
      </c>
      <c r="DY521" s="72">
        <v>0</v>
      </c>
      <c r="DZ521" s="72">
        <v>0</v>
      </c>
      <c r="EA521" s="72">
        <v>0</v>
      </c>
      <c r="EB521" s="72">
        <v>0</v>
      </c>
      <c r="EC521" s="72">
        <v>0</v>
      </c>
      <c r="ED521" s="72">
        <v>0</v>
      </c>
      <c r="EE521" s="72">
        <v>0</v>
      </c>
      <c r="EF521" s="72">
        <v>0</v>
      </c>
      <c r="EG521" s="72">
        <v>0</v>
      </c>
      <c r="EH521" s="72">
        <v>0</v>
      </c>
      <c r="EI521" s="72">
        <v>0</v>
      </c>
      <c r="EJ521" s="72">
        <v>0</v>
      </c>
      <c r="EK521" s="72">
        <v>0</v>
      </c>
      <c r="EL521" s="72">
        <v>0</v>
      </c>
    </row>
    <row r="522" spans="1:142" x14ac:dyDescent="0.35">
      <c r="A522" s="59">
        <f>Данные!A522</f>
        <v>4858</v>
      </c>
      <c r="B522" s="59">
        <f>Данные!B522</f>
        <v>2018</v>
      </c>
      <c r="C522" s="59" t="str">
        <f>Данные!C522</f>
        <v>компьютерной инженерии и программотехники</v>
      </c>
      <c r="D522" s="59" t="str">
        <f>Данные!D522</f>
        <v>Матюшичев Илья Юрьевич</v>
      </c>
      <c r="E522" s="59" t="str">
        <f>Данные!E522</f>
        <v>кандидат технических наук</v>
      </c>
      <c r="F522" s="59" t="str">
        <f>Данные!F522</f>
        <v>доцент</v>
      </c>
      <c r="G522" s="59">
        <f>Данные!G522</f>
        <v>1</v>
      </c>
      <c r="H522" s="59">
        <f>Данные!H522</f>
        <v>17232</v>
      </c>
      <c r="I522" s="59" t="str">
        <f>Данные!I522</f>
        <v>Защита информации</v>
      </c>
      <c r="J522" s="59">
        <f>Данные!J522</f>
        <v>12</v>
      </c>
      <c r="K522" s="59">
        <f>Данные!K522</f>
        <v>0</v>
      </c>
      <c r="L522" s="59">
        <f>Данные!L522</f>
        <v>48</v>
      </c>
      <c r="M522" s="60">
        <f t="shared" si="72"/>
        <v>6</v>
      </c>
      <c r="N522" s="60">
        <f t="shared" ca="1" si="73"/>
        <v>10.91</v>
      </c>
      <c r="O522" s="60">
        <f t="shared" ca="1" si="74"/>
        <v>6.75</v>
      </c>
      <c r="P522" s="60">
        <f t="shared" ca="1" si="75"/>
        <v>6.75</v>
      </c>
      <c r="Q522" s="54">
        <f>Данные!Q522</f>
        <v>0</v>
      </c>
      <c r="R522" s="54">
        <f>Данные!R522</f>
        <v>0</v>
      </c>
      <c r="S522" s="54">
        <f>Данные!S522</f>
        <v>0</v>
      </c>
      <c r="T522" s="54">
        <f>Данные!T522</f>
        <v>0</v>
      </c>
      <c r="U522" s="54">
        <f>Данные!U522</f>
        <v>0</v>
      </c>
      <c r="V522" s="54">
        <f>Данные!V522</f>
        <v>0</v>
      </c>
      <c r="W522" s="54">
        <f ca="1">Данные!W522</f>
        <v>27</v>
      </c>
      <c r="X522" s="54" t="str">
        <f ca="1">Данные!X522</f>
        <v>1</v>
      </c>
      <c r="Y522" s="54" t="str">
        <f ca="1">Данные!Y522</f>
        <v>2</v>
      </c>
      <c r="Z522" s="54">
        <f>Данные!Z522</f>
        <v>0</v>
      </c>
      <c r="AA522" s="54" t="str">
        <f>Данные!AA522</f>
        <v>осн</v>
      </c>
      <c r="AB522" s="101">
        <f t="shared" si="76"/>
        <v>800</v>
      </c>
      <c r="AC522" s="101" t="str">
        <f t="shared" si="77"/>
        <v>ИВТ (бак)</v>
      </c>
      <c r="AD522" s="101" t="str">
        <f t="shared" si="78"/>
        <v/>
      </c>
      <c r="AE522" s="102">
        <f t="shared" ca="1" si="79"/>
        <v>90.41</v>
      </c>
      <c r="AF522" s="103">
        <f t="shared" ca="1" si="80"/>
        <v>0.1130125</v>
      </c>
      <c r="AG522" s="101"/>
      <c r="AH522" s="101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Q522" s="72">
        <v>0</v>
      </c>
      <c r="BR522" s="72">
        <v>0</v>
      </c>
      <c r="BS522" s="72">
        <v>0</v>
      </c>
      <c r="BT522" s="72">
        <v>0</v>
      </c>
      <c r="BU522" s="72">
        <v>0</v>
      </c>
      <c r="BV522" s="72">
        <v>0</v>
      </c>
      <c r="BW522" s="72">
        <v>0</v>
      </c>
      <c r="BX522" s="72">
        <v>0</v>
      </c>
      <c r="BY522" s="72">
        <v>0</v>
      </c>
      <c r="BZ522" s="72">
        <v>0</v>
      </c>
      <c r="CA522" s="72">
        <v>0</v>
      </c>
      <c r="CB522" s="72">
        <v>0</v>
      </c>
      <c r="CC522" s="72">
        <v>0</v>
      </c>
      <c r="CD522" s="72">
        <v>0</v>
      </c>
      <c r="CE522" s="72">
        <v>0</v>
      </c>
      <c r="CF522" s="72">
        <v>0</v>
      </c>
      <c r="CG522" s="72">
        <v>0</v>
      </c>
      <c r="CH522" s="72">
        <v>0</v>
      </c>
      <c r="CI522" s="72">
        <v>0</v>
      </c>
      <c r="CJ522" s="72">
        <v>0</v>
      </c>
      <c r="CK522" s="72">
        <v>0</v>
      </c>
      <c r="CL522" s="72">
        <v>0</v>
      </c>
      <c r="CM522" s="72">
        <v>0</v>
      </c>
      <c r="CN522" s="72">
        <v>0</v>
      </c>
      <c r="CO522" s="72">
        <v>0</v>
      </c>
      <c r="CP522" s="72">
        <v>0</v>
      </c>
      <c r="CQ522" s="72">
        <v>0</v>
      </c>
      <c r="CR522" s="72">
        <v>0</v>
      </c>
      <c r="CS522" s="72">
        <v>0</v>
      </c>
      <c r="CT522" s="72">
        <v>0</v>
      </c>
      <c r="CU522" s="72">
        <v>0</v>
      </c>
      <c r="CV522" s="72">
        <v>0</v>
      </c>
      <c r="CW522" s="72">
        <v>0</v>
      </c>
      <c r="CX522" s="72">
        <v>0</v>
      </c>
      <c r="CY522" s="72">
        <v>0</v>
      </c>
      <c r="CZ522" s="72">
        <v>0</v>
      </c>
      <c r="DA522" s="72">
        <v>0</v>
      </c>
      <c r="DB522" s="72">
        <v>0</v>
      </c>
      <c r="DC522" s="72">
        <v>0</v>
      </c>
      <c r="DD522" s="72">
        <v>0</v>
      </c>
      <c r="DE522" s="72">
        <v>0</v>
      </c>
      <c r="DF522" s="72">
        <v>0</v>
      </c>
      <c r="DG522" s="72">
        <v>0</v>
      </c>
      <c r="DH522" s="72">
        <v>0</v>
      </c>
      <c r="DI522" s="72">
        <v>0</v>
      </c>
      <c r="DJ522" s="72">
        <v>0</v>
      </c>
      <c r="DK522" s="72">
        <v>0</v>
      </c>
      <c r="DL522" s="72">
        <v>0</v>
      </c>
      <c r="DM522" s="72">
        <v>0</v>
      </c>
      <c r="DN522" s="72">
        <v>0</v>
      </c>
      <c r="DO522" s="72">
        <v>0</v>
      </c>
      <c r="DP522" s="72">
        <v>0</v>
      </c>
      <c r="DQ522" s="72">
        <v>0</v>
      </c>
      <c r="DR522" s="72">
        <v>0</v>
      </c>
      <c r="DS522" s="72">
        <v>0</v>
      </c>
      <c r="DT522" s="72">
        <v>0</v>
      </c>
      <c r="DU522" s="72">
        <v>0</v>
      </c>
      <c r="DV522" s="72">
        <v>0</v>
      </c>
      <c r="DW522" s="72">
        <v>0</v>
      </c>
      <c r="DX522" s="72">
        <v>0</v>
      </c>
      <c r="DY522" s="72">
        <v>0</v>
      </c>
      <c r="DZ522" s="72">
        <v>0</v>
      </c>
      <c r="EA522" s="72">
        <v>0</v>
      </c>
      <c r="EB522" s="72">
        <v>0</v>
      </c>
      <c r="EC522" s="72">
        <v>0</v>
      </c>
      <c r="ED522" s="72">
        <v>0</v>
      </c>
      <c r="EE522" s="72">
        <v>0</v>
      </c>
      <c r="EF522" s="72">
        <v>0</v>
      </c>
      <c r="EG522" s="72">
        <v>0</v>
      </c>
      <c r="EH522" s="72">
        <v>0</v>
      </c>
      <c r="EI522" s="72">
        <v>0</v>
      </c>
      <c r="EJ522" s="72">
        <v>0</v>
      </c>
      <c r="EK522" s="72">
        <v>0</v>
      </c>
      <c r="EL522" s="72">
        <v>0</v>
      </c>
    </row>
    <row r="523" spans="1:142" x14ac:dyDescent="0.35">
      <c r="A523" s="59">
        <f>Данные!A523</f>
        <v>4858</v>
      </c>
      <c r="B523" s="59">
        <f>Данные!B523</f>
        <v>2018</v>
      </c>
      <c r="C523" s="59" t="str">
        <f>Данные!C523</f>
        <v>производственных и дизайнерских технологий</v>
      </c>
      <c r="D523" s="59" t="str">
        <f>Данные!D523</f>
        <v>Васильев Сергей Васильевич</v>
      </c>
      <c r="E523" s="59" t="str">
        <f>Данные!E523</f>
        <v>кандидат педагогических наук</v>
      </c>
      <c r="F523" s="59" t="str">
        <f>Данные!F523</f>
        <v>доцент</v>
      </c>
      <c r="G523" s="59">
        <f>Данные!G523</f>
        <v>0.75</v>
      </c>
      <c r="H523" s="59">
        <f>Данные!H523</f>
        <v>17232</v>
      </c>
      <c r="I523" s="59" t="str">
        <f>Данные!I523</f>
        <v>Метрология, стандартизация и сертификация</v>
      </c>
      <c r="J523" s="59">
        <f>Данные!J523</f>
        <v>18</v>
      </c>
      <c r="K523" s="59">
        <f>Данные!K523</f>
        <v>18</v>
      </c>
      <c r="L523" s="59">
        <f>Данные!L523</f>
        <v>0</v>
      </c>
      <c r="M523" s="60">
        <f t="shared" si="72"/>
        <v>3.6</v>
      </c>
      <c r="N523" s="60">
        <f t="shared" ca="1" si="73"/>
        <v>10.91</v>
      </c>
      <c r="O523" s="60">
        <f t="shared" ca="1" si="74"/>
        <v>6.75</v>
      </c>
      <c r="P523" s="60">
        <f t="shared" ca="1" si="75"/>
        <v>6.75</v>
      </c>
      <c r="Q523" s="54">
        <f>Данные!Q523</f>
        <v>0</v>
      </c>
      <c r="R523" s="54">
        <f>Данные!R523</f>
        <v>0</v>
      </c>
      <c r="S523" s="54">
        <f>Данные!S523</f>
        <v>0</v>
      </c>
      <c r="T523" s="54">
        <f>Данные!T523</f>
        <v>0</v>
      </c>
      <c r="U523" s="54">
        <f>Данные!U523</f>
        <v>0</v>
      </c>
      <c r="V523" s="54">
        <f>Данные!V523</f>
        <v>0</v>
      </c>
      <c r="W523" s="54">
        <f ca="1">Данные!W523</f>
        <v>27</v>
      </c>
      <c r="X523" s="54" t="str">
        <f ca="1">Данные!X523</f>
        <v>1</v>
      </c>
      <c r="Y523" s="54" t="str">
        <f ca="1">Данные!Y523</f>
        <v>2</v>
      </c>
      <c r="Z523" s="54">
        <f>Данные!Z523</f>
        <v>0</v>
      </c>
      <c r="AA523" s="54" t="str">
        <f>Данные!AA523</f>
        <v>осн</v>
      </c>
      <c r="AB523" s="101">
        <f t="shared" si="76"/>
        <v>800</v>
      </c>
      <c r="AC523" s="101" t="str">
        <f t="shared" si="77"/>
        <v>ИВТ (бак)</v>
      </c>
      <c r="AD523" s="101" t="str">
        <f t="shared" si="78"/>
        <v/>
      </c>
      <c r="AE523" s="102">
        <f t="shared" ca="1" si="79"/>
        <v>64.010000000000005</v>
      </c>
      <c r="AF523" s="103">
        <f t="shared" ca="1" si="80"/>
        <v>8.00125E-2</v>
      </c>
      <c r="AG523" s="101"/>
      <c r="AH523" s="101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Q523" s="72">
        <v>0</v>
      </c>
      <c r="BR523" s="72">
        <v>0</v>
      </c>
      <c r="BS523" s="72">
        <v>0</v>
      </c>
      <c r="BT523" s="72">
        <v>0</v>
      </c>
      <c r="BU523" s="72">
        <v>0</v>
      </c>
      <c r="BV523" s="72">
        <v>0</v>
      </c>
      <c r="BW523" s="72">
        <v>0</v>
      </c>
      <c r="BX523" s="72">
        <v>0</v>
      </c>
      <c r="BY523" s="72">
        <v>0</v>
      </c>
      <c r="BZ523" s="72">
        <v>0</v>
      </c>
      <c r="CA523" s="72">
        <v>0</v>
      </c>
      <c r="CB523" s="72">
        <v>0</v>
      </c>
      <c r="CC523" s="72">
        <v>0</v>
      </c>
      <c r="CD523" s="72">
        <v>0</v>
      </c>
      <c r="CE523" s="72">
        <v>0</v>
      </c>
      <c r="CF523" s="72">
        <v>0</v>
      </c>
      <c r="CG523" s="72">
        <v>0</v>
      </c>
      <c r="CH523" s="72">
        <v>0</v>
      </c>
      <c r="CI523" s="72">
        <v>0</v>
      </c>
      <c r="CJ523" s="72">
        <v>0</v>
      </c>
      <c r="CK523" s="72">
        <v>0</v>
      </c>
      <c r="CL523" s="72">
        <v>0</v>
      </c>
      <c r="CM523" s="72">
        <v>0</v>
      </c>
      <c r="CN523" s="72">
        <v>0</v>
      </c>
      <c r="CO523" s="72">
        <v>0</v>
      </c>
      <c r="CP523" s="72">
        <v>0</v>
      </c>
      <c r="CQ523" s="72">
        <v>0</v>
      </c>
      <c r="CR523" s="72">
        <v>0</v>
      </c>
      <c r="CS523" s="72">
        <v>0</v>
      </c>
      <c r="CT523" s="72">
        <v>0</v>
      </c>
      <c r="CU523" s="72">
        <v>0</v>
      </c>
      <c r="CV523" s="72">
        <v>0</v>
      </c>
      <c r="CW523" s="72">
        <v>0</v>
      </c>
      <c r="CX523" s="72">
        <v>0</v>
      </c>
      <c r="CY523" s="72">
        <v>0</v>
      </c>
      <c r="CZ523" s="72">
        <v>0</v>
      </c>
      <c r="DA523" s="72">
        <v>0</v>
      </c>
      <c r="DB523" s="72">
        <v>0</v>
      </c>
      <c r="DC523" s="72">
        <v>0</v>
      </c>
      <c r="DD523" s="72">
        <v>0</v>
      </c>
      <c r="DE523" s="72">
        <v>0</v>
      </c>
      <c r="DF523" s="72">
        <v>0</v>
      </c>
      <c r="DG523" s="72">
        <v>0</v>
      </c>
      <c r="DH523" s="72">
        <v>0</v>
      </c>
      <c r="DI523" s="72">
        <v>0</v>
      </c>
      <c r="DJ523" s="72">
        <v>0</v>
      </c>
      <c r="DK523" s="72">
        <v>0</v>
      </c>
      <c r="DL523" s="72">
        <v>0</v>
      </c>
      <c r="DM523" s="72">
        <v>0</v>
      </c>
      <c r="DN523" s="72">
        <v>0</v>
      </c>
      <c r="DO523" s="72">
        <v>0</v>
      </c>
      <c r="DP523" s="72">
        <v>0</v>
      </c>
      <c r="DQ523" s="72">
        <v>0</v>
      </c>
      <c r="DR523" s="72">
        <v>0</v>
      </c>
      <c r="DS523" s="72">
        <v>0</v>
      </c>
      <c r="DT523" s="72">
        <v>0</v>
      </c>
      <c r="DU523" s="72">
        <v>0</v>
      </c>
      <c r="DV523" s="72">
        <v>0</v>
      </c>
      <c r="DW523" s="72">
        <v>0</v>
      </c>
      <c r="DX523" s="72">
        <v>0</v>
      </c>
      <c r="DY523" s="72">
        <v>0</v>
      </c>
      <c r="DZ523" s="72">
        <v>0</v>
      </c>
      <c r="EA523" s="72">
        <v>0</v>
      </c>
      <c r="EB523" s="72">
        <v>0</v>
      </c>
      <c r="EC523" s="72">
        <v>0</v>
      </c>
      <c r="ED523" s="72">
        <v>0</v>
      </c>
      <c r="EE523" s="72">
        <v>0</v>
      </c>
      <c r="EF523" s="72">
        <v>0</v>
      </c>
      <c r="EG523" s="72">
        <v>0</v>
      </c>
      <c r="EH523" s="72">
        <v>0</v>
      </c>
      <c r="EI523" s="72">
        <v>0</v>
      </c>
      <c r="EJ523" s="72">
        <v>0</v>
      </c>
      <c r="EK523" s="72">
        <v>0</v>
      </c>
      <c r="EL523" s="72">
        <v>0</v>
      </c>
    </row>
    <row r="524" spans="1:142" x14ac:dyDescent="0.35">
      <c r="A524" s="59">
        <f>Данные!A524</f>
        <v>4858</v>
      </c>
      <c r="B524" s="59">
        <f>Данные!B524</f>
        <v>2018</v>
      </c>
      <c r="C524" s="59" t="str">
        <f>Данные!C524</f>
        <v>современных европейских языков</v>
      </c>
      <c r="D524" s="59" t="str">
        <f>Данные!D524</f>
        <v>Пантелеева Людмила Валентиновна</v>
      </c>
      <c r="E524" s="59" t="str">
        <f>Данные!E524</f>
        <v>кандидат филологических наук</v>
      </c>
      <c r="F524" s="59" t="str">
        <f>Данные!F524</f>
        <v>доцент</v>
      </c>
      <c r="G524" s="59">
        <f>Данные!G524</f>
        <v>0</v>
      </c>
      <c r="H524" s="59">
        <f>Данные!H524</f>
        <v>17232</v>
      </c>
      <c r="I524" s="59" t="str">
        <f>Данные!I524</f>
        <v>Введение в языкознание</v>
      </c>
      <c r="J524" s="59">
        <f>Данные!J524</f>
        <v>0</v>
      </c>
      <c r="K524" s="59">
        <f>Данные!K524</f>
        <v>0</v>
      </c>
      <c r="L524" s="59">
        <f>Данные!L524</f>
        <v>36</v>
      </c>
      <c r="M524" s="60">
        <f t="shared" si="72"/>
        <v>3.6</v>
      </c>
      <c r="N524" s="60">
        <f t="shared" ca="1" si="73"/>
        <v>10.91</v>
      </c>
      <c r="O524" s="60">
        <f t="shared" ca="1" si="74"/>
        <v>6.75</v>
      </c>
      <c r="P524" s="60">
        <f t="shared" ca="1" si="75"/>
        <v>6.75</v>
      </c>
      <c r="Q524" s="54">
        <f>Данные!Q524</f>
        <v>0</v>
      </c>
      <c r="R524" s="54">
        <f>Данные!R524</f>
        <v>0</v>
      </c>
      <c r="S524" s="54">
        <f>Данные!S524</f>
        <v>0</v>
      </c>
      <c r="T524" s="54">
        <f>Данные!T524</f>
        <v>0</v>
      </c>
      <c r="U524" s="54">
        <f>Данные!U524</f>
        <v>0</v>
      </c>
      <c r="V524" s="54">
        <f>Данные!V524</f>
        <v>0</v>
      </c>
      <c r="W524" s="54">
        <f ca="1">Данные!W524</f>
        <v>27</v>
      </c>
      <c r="X524" s="54" t="str">
        <f ca="1">Данные!X524</f>
        <v>1</v>
      </c>
      <c r="Y524" s="54" t="str">
        <f ca="1">Данные!Y524</f>
        <v>2</v>
      </c>
      <c r="Z524" s="54">
        <f>Данные!Z524</f>
        <v>0</v>
      </c>
      <c r="AA524" s="54" t="str">
        <f>Данные!AA524</f>
        <v>осн</v>
      </c>
      <c r="AB524" s="101">
        <f t="shared" si="76"/>
        <v>800</v>
      </c>
      <c r="AC524" s="101" t="str">
        <f t="shared" si="77"/>
        <v>ИВТ (бак)</v>
      </c>
      <c r="AD524" s="101" t="str">
        <f t="shared" si="78"/>
        <v/>
      </c>
      <c r="AE524" s="102">
        <f t="shared" ca="1" si="79"/>
        <v>64.010000000000005</v>
      </c>
      <c r="AF524" s="103">
        <f t="shared" ca="1" si="80"/>
        <v>8.00125E-2</v>
      </c>
      <c r="AG524" s="101"/>
      <c r="AH524" s="101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Q524" s="72">
        <v>0</v>
      </c>
      <c r="BR524" s="72">
        <v>0</v>
      </c>
      <c r="BS524" s="72">
        <v>0</v>
      </c>
      <c r="BT524" s="72">
        <v>0</v>
      </c>
      <c r="BU524" s="72">
        <v>0</v>
      </c>
      <c r="BV524" s="72">
        <v>0</v>
      </c>
      <c r="BW524" s="72">
        <v>0</v>
      </c>
      <c r="BX524" s="72">
        <v>0</v>
      </c>
      <c r="BY524" s="72">
        <v>0</v>
      </c>
      <c r="BZ524" s="72">
        <v>0</v>
      </c>
      <c r="CA524" s="72">
        <v>0</v>
      </c>
      <c r="CB524" s="72">
        <v>0</v>
      </c>
      <c r="CC524" s="72">
        <v>0</v>
      </c>
      <c r="CD524" s="72">
        <v>0</v>
      </c>
      <c r="CE524" s="72">
        <v>0</v>
      </c>
      <c r="CF524" s="72">
        <v>0</v>
      </c>
      <c r="CG524" s="72">
        <v>0</v>
      </c>
      <c r="CH524" s="72">
        <v>0</v>
      </c>
      <c r="CI524" s="72">
        <v>0</v>
      </c>
      <c r="CJ524" s="72">
        <v>0</v>
      </c>
      <c r="CK524" s="72">
        <v>0</v>
      </c>
      <c r="CL524" s="72">
        <v>0</v>
      </c>
      <c r="CM524" s="72">
        <v>0</v>
      </c>
      <c r="CN524" s="72">
        <v>0</v>
      </c>
      <c r="CO524" s="72">
        <v>0</v>
      </c>
      <c r="CP524" s="72">
        <v>0</v>
      </c>
      <c r="CQ524" s="72">
        <v>0</v>
      </c>
      <c r="CR524" s="72">
        <v>0</v>
      </c>
      <c r="CS524" s="72">
        <v>0</v>
      </c>
      <c r="CT524" s="72">
        <v>0</v>
      </c>
      <c r="CU524" s="72">
        <v>0</v>
      </c>
      <c r="CV524" s="72">
        <v>0</v>
      </c>
      <c r="CW524" s="72">
        <v>0</v>
      </c>
      <c r="CX524" s="72">
        <v>0</v>
      </c>
      <c r="CY524" s="72">
        <v>0</v>
      </c>
      <c r="CZ524" s="72">
        <v>0</v>
      </c>
      <c r="DA524" s="72">
        <v>0</v>
      </c>
      <c r="DB524" s="72">
        <v>0</v>
      </c>
      <c r="DC524" s="72">
        <v>0</v>
      </c>
      <c r="DD524" s="72">
        <v>0</v>
      </c>
      <c r="DE524" s="72">
        <v>0</v>
      </c>
      <c r="DF524" s="72">
        <v>0</v>
      </c>
      <c r="DG524" s="72">
        <v>0</v>
      </c>
      <c r="DH524" s="72">
        <v>0</v>
      </c>
      <c r="DI524" s="72">
        <v>0</v>
      </c>
      <c r="DJ524" s="72">
        <v>0</v>
      </c>
      <c r="DK524" s="72">
        <v>0</v>
      </c>
      <c r="DL524" s="72">
        <v>0</v>
      </c>
      <c r="DM524" s="72">
        <v>0</v>
      </c>
      <c r="DN524" s="72">
        <v>0</v>
      </c>
      <c r="DO524" s="72">
        <v>0</v>
      </c>
      <c r="DP524" s="72">
        <v>0</v>
      </c>
      <c r="DQ524" s="72">
        <v>0</v>
      </c>
      <c r="DR524" s="72">
        <v>0</v>
      </c>
      <c r="DS524" s="72">
        <v>0</v>
      </c>
      <c r="DT524" s="72">
        <v>0</v>
      </c>
      <c r="DU524" s="72">
        <v>0</v>
      </c>
      <c r="DV524" s="72">
        <v>0</v>
      </c>
      <c r="DW524" s="72">
        <v>0</v>
      </c>
      <c r="DX524" s="72">
        <v>0</v>
      </c>
      <c r="DY524" s="72">
        <v>0</v>
      </c>
      <c r="DZ524" s="72">
        <v>0</v>
      </c>
      <c r="EA524" s="72">
        <v>0</v>
      </c>
      <c r="EB524" s="72">
        <v>0</v>
      </c>
      <c r="EC524" s="72">
        <v>0</v>
      </c>
      <c r="ED524" s="72">
        <v>0</v>
      </c>
      <c r="EE524" s="72">
        <v>0</v>
      </c>
      <c r="EF524" s="72">
        <v>0</v>
      </c>
      <c r="EG524" s="72">
        <v>0</v>
      </c>
      <c r="EH524" s="72">
        <v>0</v>
      </c>
      <c r="EI524" s="72">
        <v>0</v>
      </c>
      <c r="EJ524" s="72">
        <v>0</v>
      </c>
      <c r="EK524" s="72">
        <v>0</v>
      </c>
      <c r="EL524" s="72">
        <v>0</v>
      </c>
    </row>
    <row r="525" spans="1:142" ht="25.5" customHeight="1" x14ac:dyDescent="0.35">
      <c r="A525" s="59">
        <f>Данные!A525</f>
        <v>4858</v>
      </c>
      <c r="B525" s="59">
        <f>Данные!B525</f>
        <v>2018</v>
      </c>
      <c r="C525" s="59" t="str">
        <f>Данные!C525</f>
        <v>современных европейских языков</v>
      </c>
      <c r="D525" s="59" t="str">
        <f>Данные!D525</f>
        <v>Кудрявцева Наталья Фаддеевна</v>
      </c>
      <c r="E525" s="59" t="str">
        <f>Данные!E525</f>
        <v>кандидат социологических наук</v>
      </c>
      <c r="F525" s="59" t="str">
        <f>Данные!F525</f>
        <v>доцент</v>
      </c>
      <c r="G525" s="59">
        <f>Данные!G525</f>
        <v>1</v>
      </c>
      <c r="H525" s="59">
        <f>Данные!H525</f>
        <v>17232</v>
      </c>
      <c r="I525" s="59" t="str">
        <f>Данные!I525</f>
        <v>Дисциплины (модули) по выбору. Лексикология и стилистика современных иностранных языков</v>
      </c>
      <c r="J525" s="59">
        <f>Данные!J525</f>
        <v>0</v>
      </c>
      <c r="K525" s="59">
        <f>Данные!K525</f>
        <v>0</v>
      </c>
      <c r="L525" s="59">
        <f>Данные!L525</f>
        <v>54</v>
      </c>
      <c r="M525" s="60">
        <f t="shared" si="72"/>
        <v>5.4</v>
      </c>
      <c r="N525" s="60">
        <f t="shared" ca="1" si="73"/>
        <v>10.91</v>
      </c>
      <c r="O525" s="60">
        <f t="shared" ca="1" si="74"/>
        <v>6.75</v>
      </c>
      <c r="P525" s="60">
        <f t="shared" ca="1" si="75"/>
        <v>6.75</v>
      </c>
      <c r="Q525" s="54">
        <f>Данные!Q525</f>
        <v>0</v>
      </c>
      <c r="R525" s="54">
        <f>Данные!R525</f>
        <v>0</v>
      </c>
      <c r="S525" s="54">
        <f>Данные!S525</f>
        <v>0</v>
      </c>
      <c r="T525" s="54">
        <f>Данные!T525</f>
        <v>0</v>
      </c>
      <c r="U525" s="54">
        <f>Данные!U525</f>
        <v>0</v>
      </c>
      <c r="V525" s="54">
        <f>Данные!V525</f>
        <v>0</v>
      </c>
      <c r="W525" s="54">
        <f ca="1">Данные!W525</f>
        <v>27</v>
      </c>
      <c r="X525" s="54" t="str">
        <f ca="1">Данные!X525</f>
        <v>1</v>
      </c>
      <c r="Y525" s="54" t="str">
        <f ca="1">Данные!Y525</f>
        <v>2</v>
      </c>
      <c r="Z525" s="54">
        <f>Данные!Z525</f>
        <v>0</v>
      </c>
      <c r="AA525" s="54">
        <f>Данные!AA525</f>
        <v>0</v>
      </c>
      <c r="AB525" s="101">
        <f t="shared" si="76"/>
        <v>800</v>
      </c>
      <c r="AC525" s="101" t="str">
        <f t="shared" si="77"/>
        <v>ИВТ (бак)</v>
      </c>
      <c r="AD525" s="101" t="str">
        <f t="shared" si="78"/>
        <v/>
      </c>
      <c r="AE525" s="102">
        <f t="shared" ca="1" si="79"/>
        <v>83.81</v>
      </c>
      <c r="AF525" s="103">
        <f t="shared" ca="1" si="80"/>
        <v>0.10476250000000001</v>
      </c>
      <c r="AG525" s="101"/>
      <c r="AH525" s="101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Q525" s="72">
        <v>0</v>
      </c>
      <c r="BR525" s="72">
        <v>0</v>
      </c>
      <c r="BS525" s="72">
        <v>0</v>
      </c>
      <c r="BT525" s="72">
        <v>0</v>
      </c>
      <c r="BU525" s="72">
        <v>0</v>
      </c>
      <c r="BV525" s="72">
        <v>0</v>
      </c>
      <c r="BW525" s="72">
        <v>0</v>
      </c>
      <c r="BX525" s="72">
        <v>0</v>
      </c>
      <c r="BY525" s="72">
        <v>0</v>
      </c>
      <c r="BZ525" s="72">
        <v>0</v>
      </c>
      <c r="CA525" s="72">
        <v>0</v>
      </c>
      <c r="CB525" s="72">
        <v>0</v>
      </c>
      <c r="CC525" s="72">
        <v>0</v>
      </c>
      <c r="CD525" s="72">
        <v>0</v>
      </c>
      <c r="CE525" s="72">
        <v>0</v>
      </c>
      <c r="CF525" s="72">
        <v>0</v>
      </c>
      <c r="CG525" s="72">
        <v>0</v>
      </c>
      <c r="CH525" s="72">
        <v>0</v>
      </c>
      <c r="CI525" s="72">
        <v>0</v>
      </c>
      <c r="CJ525" s="72">
        <v>0</v>
      </c>
      <c r="CK525" s="72">
        <v>0</v>
      </c>
      <c r="CL525" s="72">
        <v>0</v>
      </c>
      <c r="CM525" s="72">
        <v>0</v>
      </c>
      <c r="CN525" s="72">
        <v>0</v>
      </c>
      <c r="CO525" s="72">
        <v>0</v>
      </c>
      <c r="CP525" s="72">
        <v>0</v>
      </c>
      <c r="CQ525" s="72">
        <v>0</v>
      </c>
      <c r="CR525" s="72">
        <v>0</v>
      </c>
      <c r="CS525" s="72">
        <v>0</v>
      </c>
      <c r="CT525" s="72">
        <v>0</v>
      </c>
      <c r="CU525" s="72">
        <v>0</v>
      </c>
      <c r="CV525" s="72">
        <v>0</v>
      </c>
      <c r="CW525" s="72">
        <v>0</v>
      </c>
      <c r="CX525" s="72">
        <v>0</v>
      </c>
      <c r="CY525" s="72">
        <v>0</v>
      </c>
      <c r="CZ525" s="72">
        <v>0</v>
      </c>
      <c r="DA525" s="72">
        <v>0</v>
      </c>
      <c r="DB525" s="72">
        <v>0</v>
      </c>
      <c r="DC525" s="72">
        <v>0</v>
      </c>
      <c r="DD525" s="72">
        <v>0</v>
      </c>
      <c r="DE525" s="72">
        <v>0</v>
      </c>
      <c r="DF525" s="72">
        <v>0</v>
      </c>
      <c r="DG525" s="72">
        <v>0</v>
      </c>
      <c r="DH525" s="72">
        <v>0</v>
      </c>
      <c r="DI525" s="72">
        <v>0</v>
      </c>
      <c r="DJ525" s="72">
        <v>0</v>
      </c>
      <c r="DK525" s="72">
        <v>0</v>
      </c>
      <c r="DL525" s="72">
        <v>0</v>
      </c>
      <c r="DM525" s="72">
        <v>0</v>
      </c>
      <c r="DN525" s="72">
        <v>0</v>
      </c>
      <c r="DO525" s="72">
        <v>0</v>
      </c>
      <c r="DP525" s="72">
        <v>0</v>
      </c>
      <c r="DQ525" s="72">
        <v>0</v>
      </c>
      <c r="DR525" s="72">
        <v>0</v>
      </c>
      <c r="DS525" s="72">
        <v>0</v>
      </c>
      <c r="DT525" s="72">
        <v>0</v>
      </c>
      <c r="DU525" s="72">
        <v>0</v>
      </c>
      <c r="DV525" s="72">
        <v>0</v>
      </c>
      <c r="DW525" s="72">
        <v>0</v>
      </c>
      <c r="DX525" s="72">
        <v>0</v>
      </c>
      <c r="DY525" s="72">
        <v>0</v>
      </c>
      <c r="DZ525" s="72">
        <v>0</v>
      </c>
      <c r="EA525" s="72">
        <v>0</v>
      </c>
      <c r="EB525" s="72">
        <v>0</v>
      </c>
      <c r="EC525" s="72">
        <v>0</v>
      </c>
      <c r="ED525" s="72">
        <v>0</v>
      </c>
      <c r="EE525" s="72">
        <v>0</v>
      </c>
      <c r="EF525" s="72">
        <v>0</v>
      </c>
      <c r="EG525" s="72">
        <v>0</v>
      </c>
      <c r="EH525" s="72">
        <v>0</v>
      </c>
      <c r="EI525" s="72">
        <v>0</v>
      </c>
      <c r="EJ525" s="72">
        <v>0</v>
      </c>
      <c r="EK525" s="72">
        <v>0</v>
      </c>
      <c r="EL525" s="72">
        <v>0</v>
      </c>
    </row>
    <row r="526" spans="1:142" x14ac:dyDescent="0.35">
      <c r="A526" s="59">
        <f>Данные!A526</f>
        <v>4858</v>
      </c>
      <c r="B526" s="59">
        <f>Данные!B526</f>
        <v>2018</v>
      </c>
      <c r="C526" s="59" t="str">
        <f>Данные!C526</f>
        <v>современных европейских языков</v>
      </c>
      <c r="D526" s="59" t="str">
        <f>Данные!D526</f>
        <v>Порязь Надежда Вадимовна</v>
      </c>
      <c r="E526" s="59" t="str">
        <f>Данные!E526</f>
        <v>нет</v>
      </c>
      <c r="F526" s="59" t="str">
        <f>Данные!F526</f>
        <v>старший преподаватель</v>
      </c>
      <c r="G526" s="59">
        <f>Данные!G526</f>
        <v>0.5</v>
      </c>
      <c r="H526" s="59">
        <f>Данные!H526</f>
        <v>17232</v>
      </c>
      <c r="I526" s="59" t="str">
        <f>Данные!I526</f>
        <v>Специальная лексика в сфере профессиональной коммуникации</v>
      </c>
      <c r="J526" s="59">
        <f>Данные!J526</f>
        <v>0</v>
      </c>
      <c r="K526" s="59">
        <f>Данные!K526</f>
        <v>0</v>
      </c>
      <c r="L526" s="59">
        <f>Данные!L526</f>
        <v>36</v>
      </c>
      <c r="M526" s="60">
        <f t="shared" si="72"/>
        <v>3.6</v>
      </c>
      <c r="N526" s="60">
        <f t="shared" ca="1" si="73"/>
        <v>10.91</v>
      </c>
      <c r="O526" s="60">
        <f t="shared" ca="1" si="74"/>
        <v>6.75</v>
      </c>
      <c r="P526" s="60">
        <f t="shared" ca="1" si="75"/>
        <v>6.75</v>
      </c>
      <c r="Q526" s="54">
        <f>Данные!Q526</f>
        <v>0</v>
      </c>
      <c r="R526" s="54">
        <f>Данные!R526</f>
        <v>0</v>
      </c>
      <c r="S526" s="54">
        <f>Данные!S526</f>
        <v>0</v>
      </c>
      <c r="T526" s="54">
        <f>Данные!T526</f>
        <v>0</v>
      </c>
      <c r="U526" s="54">
        <f>Данные!U526</f>
        <v>0</v>
      </c>
      <c r="V526" s="54">
        <f>Данные!V526</f>
        <v>0</v>
      </c>
      <c r="W526" s="54">
        <f ca="1">Данные!W526</f>
        <v>27</v>
      </c>
      <c r="X526" s="54" t="str">
        <f ca="1">Данные!X526</f>
        <v>1</v>
      </c>
      <c r="Y526" s="54" t="str">
        <f ca="1">Данные!Y526</f>
        <v>2</v>
      </c>
      <c r="Z526" s="54">
        <f>Данные!Z526</f>
        <v>0</v>
      </c>
      <c r="AA526" s="54" t="str">
        <f>Данные!AA526</f>
        <v>осн</v>
      </c>
      <c r="AB526" s="101">
        <f t="shared" si="76"/>
        <v>850</v>
      </c>
      <c r="AC526" s="101" t="str">
        <f t="shared" si="77"/>
        <v>ИВТ (бак)</v>
      </c>
      <c r="AD526" s="101" t="str">
        <f t="shared" si="78"/>
        <v/>
      </c>
      <c r="AE526" s="102">
        <f t="shared" ca="1" si="79"/>
        <v>64.010000000000005</v>
      </c>
      <c r="AF526" s="103">
        <f t="shared" ca="1" si="80"/>
        <v>7.5305882352941181E-2</v>
      </c>
      <c r="AG526" s="101"/>
      <c r="AH526" s="101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Q526" s="72">
        <v>0</v>
      </c>
      <c r="BR526" s="72">
        <v>0</v>
      </c>
      <c r="BS526" s="72">
        <v>0</v>
      </c>
      <c r="BT526" s="72">
        <v>0</v>
      </c>
      <c r="BU526" s="72">
        <v>0</v>
      </c>
      <c r="BV526" s="72">
        <v>0</v>
      </c>
      <c r="BW526" s="72">
        <v>0</v>
      </c>
      <c r="BX526" s="72">
        <v>0</v>
      </c>
      <c r="BY526" s="72">
        <v>0</v>
      </c>
      <c r="BZ526" s="72">
        <v>0</v>
      </c>
      <c r="CA526" s="72">
        <v>0</v>
      </c>
      <c r="CB526" s="72">
        <v>0</v>
      </c>
      <c r="CC526" s="72">
        <v>0</v>
      </c>
      <c r="CD526" s="72">
        <v>0</v>
      </c>
      <c r="CE526" s="72">
        <v>0</v>
      </c>
      <c r="CF526" s="72">
        <v>0</v>
      </c>
      <c r="CG526" s="72">
        <v>0</v>
      </c>
      <c r="CH526" s="72">
        <v>0</v>
      </c>
      <c r="CI526" s="72">
        <v>0</v>
      </c>
      <c r="CJ526" s="72">
        <v>0</v>
      </c>
      <c r="CK526" s="72">
        <v>0</v>
      </c>
      <c r="CL526" s="72">
        <v>0</v>
      </c>
      <c r="CM526" s="72">
        <v>0</v>
      </c>
      <c r="CN526" s="72">
        <v>0</v>
      </c>
      <c r="CO526" s="72">
        <v>0</v>
      </c>
      <c r="CP526" s="72">
        <v>0</v>
      </c>
      <c r="CQ526" s="72">
        <v>0</v>
      </c>
      <c r="CR526" s="72">
        <v>0</v>
      </c>
      <c r="CS526" s="72">
        <v>0</v>
      </c>
      <c r="CT526" s="72">
        <v>0</v>
      </c>
      <c r="CU526" s="72">
        <v>0</v>
      </c>
      <c r="CV526" s="72">
        <v>0</v>
      </c>
      <c r="CW526" s="72">
        <v>0</v>
      </c>
      <c r="CX526" s="72">
        <v>0</v>
      </c>
      <c r="CY526" s="72">
        <v>0</v>
      </c>
      <c r="CZ526" s="72">
        <v>0</v>
      </c>
      <c r="DA526" s="72">
        <v>0</v>
      </c>
      <c r="DB526" s="72">
        <v>0</v>
      </c>
      <c r="DC526" s="72">
        <v>0</v>
      </c>
      <c r="DD526" s="72">
        <v>0</v>
      </c>
      <c r="DE526" s="72">
        <v>0</v>
      </c>
      <c r="DF526" s="72">
        <v>0</v>
      </c>
      <c r="DG526" s="72">
        <v>0</v>
      </c>
      <c r="DH526" s="72">
        <v>0</v>
      </c>
      <c r="DI526" s="72">
        <v>0</v>
      </c>
      <c r="DJ526" s="72">
        <v>0</v>
      </c>
      <c r="DK526" s="72">
        <v>0</v>
      </c>
      <c r="DL526" s="72">
        <v>0</v>
      </c>
      <c r="DM526" s="72">
        <v>0</v>
      </c>
      <c r="DN526" s="72">
        <v>0</v>
      </c>
      <c r="DO526" s="72">
        <v>0</v>
      </c>
      <c r="DP526" s="72">
        <v>0</v>
      </c>
      <c r="DQ526" s="72">
        <v>0</v>
      </c>
      <c r="DR526" s="72">
        <v>0</v>
      </c>
      <c r="DS526" s="72">
        <v>0</v>
      </c>
      <c r="DT526" s="72">
        <v>0</v>
      </c>
      <c r="DU526" s="72">
        <v>0</v>
      </c>
      <c r="DV526" s="72">
        <v>0</v>
      </c>
      <c r="DW526" s="72">
        <v>0</v>
      </c>
      <c r="DX526" s="72">
        <v>0</v>
      </c>
      <c r="DY526" s="72">
        <v>0</v>
      </c>
      <c r="DZ526" s="72">
        <v>0</v>
      </c>
      <c r="EA526" s="72">
        <v>0</v>
      </c>
      <c r="EB526" s="72">
        <v>0</v>
      </c>
      <c r="EC526" s="72">
        <v>0</v>
      </c>
      <c r="ED526" s="72">
        <v>0</v>
      </c>
      <c r="EE526" s="72">
        <v>0</v>
      </c>
      <c r="EF526" s="72">
        <v>0</v>
      </c>
      <c r="EG526" s="72">
        <v>0</v>
      </c>
      <c r="EH526" s="72">
        <v>0</v>
      </c>
      <c r="EI526" s="72">
        <v>0</v>
      </c>
      <c r="EJ526" s="72">
        <v>0</v>
      </c>
      <c r="EK526" s="72">
        <v>0</v>
      </c>
      <c r="EL526" s="72">
        <v>0</v>
      </c>
    </row>
    <row r="527" spans="1:142" x14ac:dyDescent="0.35">
      <c r="A527" s="59">
        <f>Данные!A527</f>
        <v>4858</v>
      </c>
      <c r="B527" s="59">
        <f>Данные!B527</f>
        <v>2018</v>
      </c>
      <c r="C527" s="59" t="str">
        <f>Данные!C527</f>
        <v>современных европейских языков</v>
      </c>
      <c r="D527" s="59" t="str">
        <f>Данные!D527</f>
        <v>Тарамжина Людмила Витольдовна</v>
      </c>
      <c r="E527" s="59" t="str">
        <f>Данные!E527</f>
        <v>кандидат филологических наук</v>
      </c>
      <c r="F527" s="59" t="str">
        <f>Данные!F527</f>
        <v>доцент</v>
      </c>
      <c r="G527" s="59">
        <f>Данные!G527</f>
        <v>1</v>
      </c>
      <c r="H527" s="59">
        <f>Данные!H527</f>
        <v>17232</v>
      </c>
      <c r="I527" s="59" t="str">
        <f>Данные!I527</f>
        <v>Дисциплины (модули) по выбору. Лексикология и стилистика современных иностранных языков</v>
      </c>
      <c r="J527" s="59">
        <f>Данные!J527</f>
        <v>0</v>
      </c>
      <c r="K527" s="59">
        <f>Данные!K527</f>
        <v>0</v>
      </c>
      <c r="L527" s="59">
        <f>Данные!L527</f>
        <v>54</v>
      </c>
      <c r="M527" s="60">
        <f t="shared" si="72"/>
        <v>5.4</v>
      </c>
      <c r="N527" s="60">
        <f t="shared" ca="1" si="73"/>
        <v>10.91</v>
      </c>
      <c r="O527" s="60">
        <f t="shared" ca="1" si="74"/>
        <v>6.75</v>
      </c>
      <c r="P527" s="60">
        <f t="shared" ca="1" si="75"/>
        <v>6.75</v>
      </c>
      <c r="Q527" s="54">
        <f>Данные!Q527</f>
        <v>0</v>
      </c>
      <c r="R527" s="54">
        <f>Данные!R527</f>
        <v>0</v>
      </c>
      <c r="S527" s="54">
        <f>Данные!S527</f>
        <v>0</v>
      </c>
      <c r="T527" s="54">
        <f>Данные!T527</f>
        <v>0</v>
      </c>
      <c r="U527" s="54">
        <f>Данные!U527</f>
        <v>0</v>
      </c>
      <c r="V527" s="54">
        <f>Данные!V527</f>
        <v>0</v>
      </c>
      <c r="W527" s="54">
        <f ca="1">Данные!W527</f>
        <v>27</v>
      </c>
      <c r="X527" s="54" t="str">
        <f ca="1">Данные!X527</f>
        <v>1</v>
      </c>
      <c r="Y527" s="54" t="str">
        <f ca="1">Данные!Y527</f>
        <v>2</v>
      </c>
      <c r="Z527" s="54">
        <f>Данные!Z527</f>
        <v>0</v>
      </c>
      <c r="AA527" s="54" t="str">
        <f>Данные!AA527</f>
        <v>осн</v>
      </c>
      <c r="AB527" s="101">
        <f t="shared" si="76"/>
        <v>800</v>
      </c>
      <c r="AC527" s="101" t="str">
        <f t="shared" si="77"/>
        <v>ИВТ (бак)</v>
      </c>
      <c r="AD527" s="101" t="str">
        <f t="shared" si="78"/>
        <v/>
      </c>
      <c r="AE527" s="102">
        <f t="shared" ca="1" si="79"/>
        <v>83.81</v>
      </c>
      <c r="AF527" s="103">
        <f t="shared" ca="1" si="80"/>
        <v>0.10476250000000001</v>
      </c>
      <c r="AG527" s="101"/>
      <c r="AH527" s="101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Q527" s="72">
        <v>0</v>
      </c>
      <c r="BR527" s="72">
        <v>0</v>
      </c>
      <c r="BS527" s="72">
        <v>0</v>
      </c>
      <c r="BT527" s="72">
        <v>0</v>
      </c>
      <c r="BU527" s="72">
        <v>0</v>
      </c>
      <c r="BV527" s="72">
        <v>0</v>
      </c>
      <c r="BW527" s="72">
        <v>0</v>
      </c>
      <c r="BX527" s="72">
        <v>0</v>
      </c>
      <c r="BY527" s="72">
        <v>0</v>
      </c>
      <c r="BZ527" s="72">
        <v>0</v>
      </c>
      <c r="CA527" s="72">
        <v>0</v>
      </c>
      <c r="CB527" s="72">
        <v>0</v>
      </c>
      <c r="CC527" s="72">
        <v>0</v>
      </c>
      <c r="CD527" s="72">
        <v>0</v>
      </c>
      <c r="CE527" s="72">
        <v>0</v>
      </c>
      <c r="CF527" s="72">
        <v>0</v>
      </c>
      <c r="CG527" s="72">
        <v>0</v>
      </c>
      <c r="CH527" s="72">
        <v>0</v>
      </c>
      <c r="CI527" s="72">
        <v>0</v>
      </c>
      <c r="CJ527" s="72">
        <v>0</v>
      </c>
      <c r="CK527" s="72">
        <v>0</v>
      </c>
      <c r="CL527" s="72">
        <v>0</v>
      </c>
      <c r="CM527" s="72">
        <v>0</v>
      </c>
      <c r="CN527" s="72">
        <v>0</v>
      </c>
      <c r="CO527" s="72">
        <v>0</v>
      </c>
      <c r="CP527" s="72">
        <v>0</v>
      </c>
      <c r="CQ527" s="72">
        <v>0</v>
      </c>
      <c r="CR527" s="72">
        <v>0</v>
      </c>
      <c r="CS527" s="72">
        <v>0</v>
      </c>
      <c r="CT527" s="72">
        <v>0</v>
      </c>
      <c r="CU527" s="72">
        <v>0</v>
      </c>
      <c r="CV527" s="72">
        <v>0</v>
      </c>
      <c r="CW527" s="72">
        <v>0</v>
      </c>
      <c r="CX527" s="72">
        <v>0</v>
      </c>
      <c r="CY527" s="72">
        <v>0</v>
      </c>
      <c r="CZ527" s="72">
        <v>0</v>
      </c>
      <c r="DA527" s="72">
        <v>0</v>
      </c>
      <c r="DB527" s="72">
        <v>0</v>
      </c>
      <c r="DC527" s="72">
        <v>0</v>
      </c>
      <c r="DD527" s="72">
        <v>0</v>
      </c>
      <c r="DE527" s="72">
        <v>0</v>
      </c>
      <c r="DF527" s="72">
        <v>0</v>
      </c>
      <c r="DG527" s="72">
        <v>0</v>
      </c>
      <c r="DH527" s="72">
        <v>0</v>
      </c>
      <c r="DI527" s="72">
        <v>0</v>
      </c>
      <c r="DJ527" s="72">
        <v>0</v>
      </c>
      <c r="DK527" s="72">
        <v>0</v>
      </c>
      <c r="DL527" s="72">
        <v>0</v>
      </c>
      <c r="DM527" s="72">
        <v>0</v>
      </c>
      <c r="DN527" s="72">
        <v>0</v>
      </c>
      <c r="DO527" s="72">
        <v>0</v>
      </c>
      <c r="DP527" s="72">
        <v>0</v>
      </c>
      <c r="DQ527" s="72">
        <v>0</v>
      </c>
      <c r="DR527" s="72">
        <v>0</v>
      </c>
      <c r="DS527" s="72">
        <v>0</v>
      </c>
      <c r="DT527" s="72">
        <v>0</v>
      </c>
      <c r="DU527" s="72">
        <v>0</v>
      </c>
      <c r="DV527" s="72">
        <v>0</v>
      </c>
      <c r="DW527" s="72">
        <v>0</v>
      </c>
      <c r="DX527" s="72">
        <v>0</v>
      </c>
      <c r="DY527" s="72">
        <v>0</v>
      </c>
      <c r="DZ527" s="72">
        <v>0</v>
      </c>
      <c r="EA527" s="72">
        <v>0</v>
      </c>
      <c r="EB527" s="72">
        <v>0</v>
      </c>
      <c r="EC527" s="72">
        <v>0</v>
      </c>
      <c r="ED527" s="72">
        <v>0</v>
      </c>
      <c r="EE527" s="72">
        <v>0</v>
      </c>
      <c r="EF527" s="72">
        <v>0</v>
      </c>
      <c r="EG527" s="72">
        <v>0</v>
      </c>
      <c r="EH527" s="72">
        <v>0</v>
      </c>
      <c r="EI527" s="72">
        <v>0</v>
      </c>
      <c r="EJ527" s="72">
        <v>0</v>
      </c>
      <c r="EK527" s="72">
        <v>0</v>
      </c>
      <c r="EL527" s="72">
        <v>0</v>
      </c>
    </row>
    <row r="528" spans="1:142" x14ac:dyDescent="0.35">
      <c r="A528" s="59">
        <f>Данные!A528</f>
        <v>4858</v>
      </c>
      <c r="B528" s="59">
        <f>Данные!B528</f>
        <v>2018</v>
      </c>
      <c r="C528" s="59" t="str">
        <f>Данные!C528</f>
        <v>современных европейских языков</v>
      </c>
      <c r="D528" s="59" t="str">
        <f>Данные!D528</f>
        <v>Тарамжина Людмила Витольдовна</v>
      </c>
      <c r="E528" s="59" t="str">
        <f>Данные!E528</f>
        <v>кандидат филологических наук</v>
      </c>
      <c r="F528" s="59" t="str">
        <f>Данные!F528</f>
        <v>доцент</v>
      </c>
      <c r="G528" s="59">
        <f>Данные!G528</f>
        <v>1</v>
      </c>
      <c r="H528" s="59">
        <f>Данные!H528</f>
        <v>17232</v>
      </c>
      <c r="I528" s="59" t="str">
        <f>Данные!I528</f>
        <v>Специальная лексика в сфере профессиональной коммуникации</v>
      </c>
      <c r="J528" s="59">
        <f>Данные!J528</f>
        <v>0</v>
      </c>
      <c r="K528" s="59">
        <f>Данные!K528</f>
        <v>0</v>
      </c>
      <c r="L528" s="59">
        <f>Данные!L528</f>
        <v>36</v>
      </c>
      <c r="M528" s="60">
        <f t="shared" si="72"/>
        <v>3.6</v>
      </c>
      <c r="N528" s="60">
        <f t="shared" ca="1" si="73"/>
        <v>10.91</v>
      </c>
      <c r="O528" s="60">
        <f t="shared" ca="1" si="74"/>
        <v>6.75</v>
      </c>
      <c r="P528" s="60">
        <f t="shared" ca="1" si="75"/>
        <v>6.75</v>
      </c>
      <c r="Q528" s="54">
        <f>Данные!Q528</f>
        <v>0</v>
      </c>
      <c r="R528" s="54">
        <f>Данные!R528</f>
        <v>0</v>
      </c>
      <c r="S528" s="54">
        <f>Данные!S528</f>
        <v>0</v>
      </c>
      <c r="T528" s="54">
        <f>Данные!T528</f>
        <v>0</v>
      </c>
      <c r="U528" s="54">
        <f>Данные!U528</f>
        <v>0</v>
      </c>
      <c r="V528" s="54">
        <f>Данные!V528</f>
        <v>0</v>
      </c>
      <c r="W528" s="54">
        <f ca="1">Данные!W528</f>
        <v>27</v>
      </c>
      <c r="X528" s="54" t="str">
        <f ca="1">Данные!X528</f>
        <v>1</v>
      </c>
      <c r="Y528" s="54" t="str">
        <f ca="1">Данные!Y528</f>
        <v>2</v>
      </c>
      <c r="Z528" s="54">
        <f>Данные!Z528</f>
        <v>0</v>
      </c>
      <c r="AA528" s="54" t="str">
        <f>Данные!AA528</f>
        <v>осн</v>
      </c>
      <c r="AB528" s="101">
        <f t="shared" si="76"/>
        <v>800</v>
      </c>
      <c r="AC528" s="101" t="str">
        <f t="shared" si="77"/>
        <v>ИВТ (бак)</v>
      </c>
      <c r="AD528" s="101" t="str">
        <f t="shared" si="78"/>
        <v/>
      </c>
      <c r="AE528" s="102">
        <f t="shared" ca="1" si="79"/>
        <v>64.010000000000005</v>
      </c>
      <c r="AF528" s="103">
        <f t="shared" ca="1" si="80"/>
        <v>8.00125E-2</v>
      </c>
      <c r="AG528" s="101"/>
      <c r="AH528" s="101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Q528" s="72">
        <v>0</v>
      </c>
      <c r="BR528" s="72">
        <v>0</v>
      </c>
      <c r="BS528" s="72">
        <v>0</v>
      </c>
      <c r="BT528" s="72">
        <v>0</v>
      </c>
      <c r="BU528" s="72">
        <v>0</v>
      </c>
      <c r="BV528" s="72">
        <v>0</v>
      </c>
      <c r="BW528" s="72">
        <v>0</v>
      </c>
      <c r="BX528" s="72">
        <v>0</v>
      </c>
      <c r="BY528" s="72">
        <v>0</v>
      </c>
      <c r="BZ528" s="72">
        <v>0</v>
      </c>
      <c r="CA528" s="72">
        <v>0</v>
      </c>
      <c r="CB528" s="72">
        <v>0</v>
      </c>
      <c r="CC528" s="72">
        <v>0</v>
      </c>
      <c r="CD528" s="72">
        <v>0</v>
      </c>
      <c r="CE528" s="72">
        <v>0</v>
      </c>
      <c r="CF528" s="72">
        <v>0</v>
      </c>
      <c r="CG528" s="72">
        <v>0</v>
      </c>
      <c r="CH528" s="72">
        <v>0</v>
      </c>
      <c r="CI528" s="72">
        <v>0</v>
      </c>
      <c r="CJ528" s="72">
        <v>0</v>
      </c>
      <c r="CK528" s="72">
        <v>0</v>
      </c>
      <c r="CL528" s="72">
        <v>0</v>
      </c>
      <c r="CM528" s="72">
        <v>0</v>
      </c>
      <c r="CN528" s="72">
        <v>0</v>
      </c>
      <c r="CO528" s="72">
        <v>0</v>
      </c>
      <c r="CP528" s="72">
        <v>0</v>
      </c>
      <c r="CQ528" s="72">
        <v>0</v>
      </c>
      <c r="CR528" s="72">
        <v>0</v>
      </c>
      <c r="CS528" s="72">
        <v>0</v>
      </c>
      <c r="CT528" s="72">
        <v>0</v>
      </c>
      <c r="CU528" s="72">
        <v>0</v>
      </c>
      <c r="CV528" s="72">
        <v>0</v>
      </c>
      <c r="CW528" s="72">
        <v>0</v>
      </c>
      <c r="CX528" s="72">
        <v>0</v>
      </c>
      <c r="CY528" s="72">
        <v>0</v>
      </c>
      <c r="CZ528" s="72">
        <v>0</v>
      </c>
      <c r="DA528" s="72">
        <v>0</v>
      </c>
      <c r="DB528" s="72">
        <v>0</v>
      </c>
      <c r="DC528" s="72">
        <v>0</v>
      </c>
      <c r="DD528" s="72">
        <v>0</v>
      </c>
      <c r="DE528" s="72">
        <v>0</v>
      </c>
      <c r="DF528" s="72">
        <v>0</v>
      </c>
      <c r="DG528" s="72">
        <v>0</v>
      </c>
      <c r="DH528" s="72">
        <v>0</v>
      </c>
      <c r="DI528" s="72">
        <v>0</v>
      </c>
      <c r="DJ528" s="72">
        <v>0</v>
      </c>
      <c r="DK528" s="72">
        <v>0</v>
      </c>
      <c r="DL528" s="72">
        <v>0</v>
      </c>
      <c r="DM528" s="72">
        <v>0</v>
      </c>
      <c r="DN528" s="72">
        <v>0</v>
      </c>
      <c r="DO528" s="72">
        <v>0</v>
      </c>
      <c r="DP528" s="72">
        <v>0</v>
      </c>
      <c r="DQ528" s="72">
        <v>0</v>
      </c>
      <c r="DR528" s="72">
        <v>0</v>
      </c>
      <c r="DS528" s="72">
        <v>0</v>
      </c>
      <c r="DT528" s="72">
        <v>0</v>
      </c>
      <c r="DU528" s="72">
        <v>0</v>
      </c>
      <c r="DV528" s="72">
        <v>0</v>
      </c>
      <c r="DW528" s="72">
        <v>0</v>
      </c>
      <c r="DX528" s="72">
        <v>0</v>
      </c>
      <c r="DY528" s="72">
        <v>0</v>
      </c>
      <c r="DZ528" s="72">
        <v>0</v>
      </c>
      <c r="EA528" s="72">
        <v>0</v>
      </c>
      <c r="EB528" s="72">
        <v>0</v>
      </c>
      <c r="EC528" s="72">
        <v>0</v>
      </c>
      <c r="ED528" s="72">
        <v>0</v>
      </c>
      <c r="EE528" s="72">
        <v>0</v>
      </c>
      <c r="EF528" s="72">
        <v>0</v>
      </c>
      <c r="EG528" s="72">
        <v>0</v>
      </c>
      <c r="EH528" s="72">
        <v>0</v>
      </c>
      <c r="EI528" s="72">
        <v>0</v>
      </c>
      <c r="EJ528" s="72">
        <v>0</v>
      </c>
      <c r="EK528" s="72">
        <v>0</v>
      </c>
      <c r="EL528" s="72">
        <v>0</v>
      </c>
    </row>
    <row r="529" spans="1:142" x14ac:dyDescent="0.35">
      <c r="A529" s="59">
        <f>Данные!A529</f>
        <v>4858</v>
      </c>
      <c r="B529" s="59">
        <f>Данные!B529</f>
        <v>2018</v>
      </c>
      <c r="C529" s="59" t="str">
        <f>Данные!C529</f>
        <v>современных европейских языков</v>
      </c>
      <c r="D529" s="59" t="str">
        <f>Данные!D529</f>
        <v>Швинк Лоренс Ричард</v>
      </c>
      <c r="E529" s="59" t="str">
        <f>Данные!E529</f>
        <v>нет</v>
      </c>
      <c r="F529" s="59" t="str">
        <f>Данные!F529</f>
        <v>старший преподаватель</v>
      </c>
      <c r="G529" s="59">
        <f>Данные!G529</f>
        <v>0.37</v>
      </c>
      <c r="H529" s="59">
        <f>Данные!H529</f>
        <v>17232</v>
      </c>
      <c r="I529" s="59" t="str">
        <f>Данные!I529</f>
        <v>Дисциплины (модули) по выбору. Практический курс иностранного языка</v>
      </c>
      <c r="J529" s="59">
        <f>Данные!J529</f>
        <v>0</v>
      </c>
      <c r="K529" s="59">
        <f>Данные!K529</f>
        <v>0</v>
      </c>
      <c r="L529" s="59">
        <f>Данные!L529</f>
        <v>140</v>
      </c>
      <c r="M529" s="60">
        <f t="shared" si="72"/>
        <v>14</v>
      </c>
      <c r="N529" s="60">
        <f t="shared" ca="1" si="73"/>
        <v>10.91</v>
      </c>
      <c r="O529" s="60">
        <f t="shared" ca="1" si="74"/>
        <v>6.75</v>
      </c>
      <c r="P529" s="60">
        <f t="shared" ca="1" si="75"/>
        <v>6.75</v>
      </c>
      <c r="Q529" s="54">
        <f>Данные!Q529</f>
        <v>0</v>
      </c>
      <c r="R529" s="54">
        <f>Данные!R529</f>
        <v>0</v>
      </c>
      <c r="S529" s="54">
        <f>Данные!S529</f>
        <v>0</v>
      </c>
      <c r="T529" s="54">
        <f>Данные!T529</f>
        <v>0</v>
      </c>
      <c r="U529" s="54">
        <f>Данные!U529</f>
        <v>0</v>
      </c>
      <c r="V529" s="54">
        <f>Данные!V529</f>
        <v>0</v>
      </c>
      <c r="W529" s="54">
        <f ca="1">Данные!W529</f>
        <v>27</v>
      </c>
      <c r="X529" s="54" t="str">
        <f ca="1">Данные!X529</f>
        <v>1</v>
      </c>
      <c r="Y529" s="54" t="str">
        <f ca="1">Данные!Y529</f>
        <v>2</v>
      </c>
      <c r="Z529" s="54">
        <f>Данные!Z529</f>
        <v>0</v>
      </c>
      <c r="AA529" s="54" t="str">
        <f>Данные!AA529</f>
        <v>осн</v>
      </c>
      <c r="AB529" s="101">
        <f t="shared" si="76"/>
        <v>850</v>
      </c>
      <c r="AC529" s="101" t="str">
        <f t="shared" si="77"/>
        <v>ИВТ (бак)</v>
      </c>
      <c r="AD529" s="101" t="str">
        <f t="shared" si="78"/>
        <v/>
      </c>
      <c r="AE529" s="102">
        <f t="shared" ca="1" si="79"/>
        <v>178.41</v>
      </c>
      <c r="AF529" s="103">
        <f t="shared" ca="1" si="80"/>
        <v>0.20989411764705881</v>
      </c>
      <c r="AG529" s="101"/>
      <c r="AH529" s="101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Q529" s="72">
        <v>0</v>
      </c>
      <c r="BR529" s="72">
        <v>0</v>
      </c>
      <c r="BS529" s="72">
        <v>0</v>
      </c>
      <c r="BT529" s="72">
        <v>0</v>
      </c>
      <c r="BU529" s="72">
        <v>0</v>
      </c>
      <c r="BV529" s="72">
        <v>0</v>
      </c>
      <c r="BW529" s="72">
        <v>0</v>
      </c>
      <c r="BX529" s="72">
        <v>0</v>
      </c>
      <c r="BY529" s="72">
        <v>0</v>
      </c>
      <c r="BZ529" s="72">
        <v>0</v>
      </c>
      <c r="CA529" s="72">
        <v>0</v>
      </c>
      <c r="CB529" s="72">
        <v>0</v>
      </c>
      <c r="CC529" s="72">
        <v>0</v>
      </c>
      <c r="CD529" s="72">
        <v>0</v>
      </c>
      <c r="CE529" s="72">
        <v>0</v>
      </c>
      <c r="CF529" s="72">
        <v>0</v>
      </c>
      <c r="CG529" s="72">
        <v>0</v>
      </c>
      <c r="CH529" s="72">
        <v>0</v>
      </c>
      <c r="CI529" s="72">
        <v>0</v>
      </c>
      <c r="CJ529" s="72">
        <v>0</v>
      </c>
      <c r="CK529" s="72">
        <v>0</v>
      </c>
      <c r="CL529" s="72">
        <v>0</v>
      </c>
      <c r="CM529" s="72">
        <v>0</v>
      </c>
      <c r="CN529" s="72">
        <v>0</v>
      </c>
      <c r="CO529" s="72">
        <v>0</v>
      </c>
      <c r="CP529" s="72">
        <v>0</v>
      </c>
      <c r="CQ529" s="72">
        <v>0</v>
      </c>
      <c r="CR529" s="72">
        <v>0</v>
      </c>
      <c r="CS529" s="72">
        <v>0</v>
      </c>
      <c r="CT529" s="72">
        <v>0</v>
      </c>
      <c r="CU529" s="72">
        <v>0</v>
      </c>
      <c r="CV529" s="72">
        <v>0</v>
      </c>
      <c r="CW529" s="72">
        <v>0</v>
      </c>
      <c r="CX529" s="72">
        <v>0</v>
      </c>
      <c r="CY529" s="72">
        <v>0</v>
      </c>
      <c r="CZ529" s="72">
        <v>0</v>
      </c>
      <c r="DA529" s="72">
        <v>0</v>
      </c>
      <c r="DB529" s="72">
        <v>0</v>
      </c>
      <c r="DC529" s="72">
        <v>0</v>
      </c>
      <c r="DD529" s="72">
        <v>0</v>
      </c>
      <c r="DE529" s="72">
        <v>0</v>
      </c>
      <c r="DF529" s="72">
        <v>0</v>
      </c>
      <c r="DG529" s="72">
        <v>0</v>
      </c>
      <c r="DH529" s="72">
        <v>0</v>
      </c>
      <c r="DI529" s="72">
        <v>0</v>
      </c>
      <c r="DJ529" s="72">
        <v>0</v>
      </c>
      <c r="DK529" s="72">
        <v>0</v>
      </c>
      <c r="DL529" s="72">
        <v>0</v>
      </c>
      <c r="DM529" s="72">
        <v>0</v>
      </c>
      <c r="DN529" s="72">
        <v>0</v>
      </c>
      <c r="DO529" s="72">
        <v>0</v>
      </c>
      <c r="DP529" s="72">
        <v>0</v>
      </c>
      <c r="DQ529" s="72">
        <v>0</v>
      </c>
      <c r="DR529" s="72">
        <v>0</v>
      </c>
      <c r="DS529" s="72">
        <v>0</v>
      </c>
      <c r="DT529" s="72">
        <v>0</v>
      </c>
      <c r="DU529" s="72">
        <v>0</v>
      </c>
      <c r="DV529" s="72">
        <v>0</v>
      </c>
      <c r="DW529" s="72">
        <v>0</v>
      </c>
      <c r="DX529" s="72">
        <v>0</v>
      </c>
      <c r="DY529" s="72">
        <v>0</v>
      </c>
      <c r="DZ529" s="72">
        <v>0</v>
      </c>
      <c r="EA529" s="72">
        <v>0</v>
      </c>
      <c r="EB529" s="72">
        <v>0</v>
      </c>
      <c r="EC529" s="72">
        <v>0</v>
      </c>
      <c r="ED529" s="72">
        <v>0</v>
      </c>
      <c r="EE529" s="72">
        <v>0</v>
      </c>
      <c r="EF529" s="72">
        <v>0</v>
      </c>
      <c r="EG529" s="72">
        <v>0</v>
      </c>
      <c r="EH529" s="72">
        <v>0</v>
      </c>
      <c r="EI529" s="72">
        <v>0</v>
      </c>
      <c r="EJ529" s="72">
        <v>0</v>
      </c>
      <c r="EK529" s="72">
        <v>0</v>
      </c>
      <c r="EL529" s="72">
        <v>0</v>
      </c>
    </row>
    <row r="530" spans="1:142" x14ac:dyDescent="0.35">
      <c r="A530" s="59">
        <f>Данные!A530</f>
        <v>4858</v>
      </c>
      <c r="B530" s="59">
        <f>Данные!B530</f>
        <v>2018</v>
      </c>
      <c r="C530" s="59" t="str">
        <f>Данные!C530</f>
        <v>физической электроники</v>
      </c>
      <c r="D530" s="59" t="str">
        <f>Данные!D530</f>
        <v>Жаркой Александр Борисович</v>
      </c>
      <c r="E530" s="59" t="str">
        <f>Данные!E530</f>
        <v>кандидат физ.-мат. наук</v>
      </c>
      <c r="F530" s="59" t="str">
        <f>Данные!F530</f>
        <v>доцент</v>
      </c>
      <c r="G530" s="59">
        <f>Данные!G530</f>
        <v>0.75</v>
      </c>
      <c r="H530" s="59">
        <f>Данные!H530</f>
        <v>17232</v>
      </c>
      <c r="I530" s="59" t="str">
        <f>Данные!I530</f>
        <v>Электротехника, электроника и схемотехника</v>
      </c>
      <c r="J530" s="59">
        <f>Данные!J530</f>
        <v>18</v>
      </c>
      <c r="K530" s="59">
        <f>Данные!K530</f>
        <v>18</v>
      </c>
      <c r="L530" s="59">
        <f>Данные!L530</f>
        <v>36</v>
      </c>
      <c r="M530" s="60">
        <f t="shared" si="72"/>
        <v>7.2</v>
      </c>
      <c r="N530" s="60">
        <f t="shared" ca="1" si="73"/>
        <v>10.91</v>
      </c>
      <c r="O530" s="60">
        <f t="shared" ca="1" si="74"/>
        <v>6.75</v>
      </c>
      <c r="P530" s="60">
        <f t="shared" ca="1" si="75"/>
        <v>6.75</v>
      </c>
      <c r="Q530" s="54">
        <f>Данные!Q530</f>
        <v>0</v>
      </c>
      <c r="R530" s="54">
        <f>Данные!R530</f>
        <v>0</v>
      </c>
      <c r="S530" s="54">
        <f>Данные!S530</f>
        <v>0</v>
      </c>
      <c r="T530" s="54">
        <f>Данные!T530</f>
        <v>0</v>
      </c>
      <c r="U530" s="54">
        <f>Данные!U530</f>
        <v>0</v>
      </c>
      <c r="V530" s="54">
        <f>Данные!V530</f>
        <v>0</v>
      </c>
      <c r="W530" s="54">
        <f ca="1">Данные!W530</f>
        <v>27</v>
      </c>
      <c r="X530" s="54" t="str">
        <f ca="1">Данные!X530</f>
        <v>1</v>
      </c>
      <c r="Y530" s="54" t="str">
        <f ca="1">Данные!Y530</f>
        <v>2</v>
      </c>
      <c r="Z530" s="54">
        <f>Данные!Z530</f>
        <v>0</v>
      </c>
      <c r="AA530" s="54" t="str">
        <f>Данные!AA530</f>
        <v>осн</v>
      </c>
      <c r="AB530" s="101">
        <f t="shared" si="76"/>
        <v>800</v>
      </c>
      <c r="AC530" s="101" t="str">
        <f t="shared" si="77"/>
        <v>ИВТ (бак)</v>
      </c>
      <c r="AD530" s="101" t="str">
        <f t="shared" si="78"/>
        <v/>
      </c>
      <c r="AE530" s="102">
        <f t="shared" ca="1" si="79"/>
        <v>103.61</v>
      </c>
      <c r="AF530" s="103">
        <f t="shared" ca="1" si="80"/>
        <v>0.1295125</v>
      </c>
      <c r="AG530" s="101"/>
      <c r="AH530" s="101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Q530" s="72">
        <v>0</v>
      </c>
      <c r="BR530" s="72">
        <v>0</v>
      </c>
      <c r="BS530" s="72">
        <v>0</v>
      </c>
      <c r="BT530" s="72">
        <v>0</v>
      </c>
      <c r="BU530" s="72">
        <v>0</v>
      </c>
      <c r="BV530" s="72">
        <v>0</v>
      </c>
      <c r="BW530" s="72">
        <v>0</v>
      </c>
      <c r="BX530" s="72">
        <v>0</v>
      </c>
      <c r="BY530" s="72">
        <v>0</v>
      </c>
      <c r="BZ530" s="72">
        <v>0</v>
      </c>
      <c r="CA530" s="72">
        <v>0</v>
      </c>
      <c r="CB530" s="72">
        <v>0</v>
      </c>
      <c r="CC530" s="72">
        <v>0</v>
      </c>
      <c r="CD530" s="72">
        <v>0</v>
      </c>
      <c r="CE530" s="72">
        <v>0</v>
      </c>
      <c r="CF530" s="72">
        <v>0</v>
      </c>
      <c r="CG530" s="72">
        <v>0</v>
      </c>
      <c r="CH530" s="72">
        <v>0</v>
      </c>
      <c r="CI530" s="72">
        <v>0</v>
      </c>
      <c r="CJ530" s="72">
        <v>0</v>
      </c>
      <c r="CK530" s="72">
        <v>0</v>
      </c>
      <c r="CL530" s="72">
        <v>0</v>
      </c>
      <c r="CM530" s="72">
        <v>0</v>
      </c>
      <c r="CN530" s="72">
        <v>0</v>
      </c>
      <c r="CO530" s="72">
        <v>0</v>
      </c>
      <c r="CP530" s="72">
        <v>0</v>
      </c>
      <c r="CQ530" s="72">
        <v>0</v>
      </c>
      <c r="CR530" s="72">
        <v>0</v>
      </c>
      <c r="CS530" s="72">
        <v>0</v>
      </c>
      <c r="CT530" s="72">
        <v>0</v>
      </c>
      <c r="CU530" s="72">
        <v>0</v>
      </c>
      <c r="CV530" s="72">
        <v>0</v>
      </c>
      <c r="CW530" s="72">
        <v>0</v>
      </c>
      <c r="CX530" s="72">
        <v>0</v>
      </c>
      <c r="CY530" s="72">
        <v>0</v>
      </c>
      <c r="CZ530" s="72">
        <v>0</v>
      </c>
      <c r="DA530" s="72">
        <v>0</v>
      </c>
      <c r="DB530" s="72">
        <v>0</v>
      </c>
      <c r="DC530" s="72">
        <v>0</v>
      </c>
      <c r="DD530" s="72">
        <v>0</v>
      </c>
      <c r="DE530" s="72">
        <v>0</v>
      </c>
      <c r="DF530" s="72">
        <v>0</v>
      </c>
      <c r="DG530" s="72">
        <v>0</v>
      </c>
      <c r="DH530" s="72">
        <v>0</v>
      </c>
      <c r="DI530" s="72">
        <v>0</v>
      </c>
      <c r="DJ530" s="72">
        <v>0</v>
      </c>
      <c r="DK530" s="72">
        <v>0</v>
      </c>
      <c r="DL530" s="72">
        <v>0</v>
      </c>
      <c r="DM530" s="72">
        <v>0</v>
      </c>
      <c r="DN530" s="72">
        <v>0</v>
      </c>
      <c r="DO530" s="72">
        <v>0</v>
      </c>
      <c r="DP530" s="72">
        <v>0</v>
      </c>
      <c r="DQ530" s="72">
        <v>0</v>
      </c>
      <c r="DR530" s="72">
        <v>0</v>
      </c>
      <c r="DS530" s="72">
        <v>0</v>
      </c>
      <c r="DT530" s="72">
        <v>0</v>
      </c>
      <c r="DU530" s="72">
        <v>0</v>
      </c>
      <c r="DV530" s="72">
        <v>0</v>
      </c>
      <c r="DW530" s="72">
        <v>0</v>
      </c>
      <c r="DX530" s="72">
        <v>0</v>
      </c>
      <c r="DY530" s="72">
        <v>0</v>
      </c>
      <c r="DZ530" s="72">
        <v>0</v>
      </c>
      <c r="EA530" s="72">
        <v>0</v>
      </c>
      <c r="EB530" s="72">
        <v>0</v>
      </c>
      <c r="EC530" s="72">
        <v>0</v>
      </c>
      <c r="ED530" s="72">
        <v>0</v>
      </c>
      <c r="EE530" s="72">
        <v>0</v>
      </c>
      <c r="EF530" s="72">
        <v>0</v>
      </c>
      <c r="EG530" s="72">
        <v>0</v>
      </c>
      <c r="EH530" s="72">
        <v>0</v>
      </c>
      <c r="EI530" s="72">
        <v>0</v>
      </c>
      <c r="EJ530" s="72">
        <v>0</v>
      </c>
      <c r="EK530" s="72">
        <v>0</v>
      </c>
      <c r="EL530" s="72">
        <v>0</v>
      </c>
    </row>
    <row r="531" spans="1:142" x14ac:dyDescent="0.35">
      <c r="A531" s="59">
        <f>Данные!A531</f>
        <v>5791</v>
      </c>
      <c r="B531" s="59">
        <f>Данные!B531</f>
        <v>2017</v>
      </c>
      <c r="C531" s="59" t="str">
        <f>Данные!C531</f>
        <v>алгебры</v>
      </c>
      <c r="D531" s="59" t="str">
        <f>Данные!D531</f>
        <v>Певзнер Игорь Михайлович</v>
      </c>
      <c r="E531" s="59" t="str">
        <f>Данные!E531</f>
        <v>кандидат физ.-мат. наук</v>
      </c>
      <c r="F531" s="59" t="str">
        <f>Данные!F531</f>
        <v>доцент</v>
      </c>
      <c r="G531" s="59">
        <f>Данные!G531</f>
        <v>1</v>
      </c>
      <c r="H531" s="59">
        <f>Данные!H531</f>
        <v>16591</v>
      </c>
      <c r="I531" s="59" t="str">
        <f>Данные!I531</f>
        <v>Модуль "Дискретные структуры". Математическая логика и теория алгоритмов</v>
      </c>
      <c r="J531" s="59">
        <f>Данные!J531</f>
        <v>18</v>
      </c>
      <c r="K531" s="59">
        <f>Данные!K531</f>
        <v>18</v>
      </c>
      <c r="L531" s="59">
        <f>Данные!L531</f>
        <v>0</v>
      </c>
      <c r="M531" s="60">
        <f t="shared" si="72"/>
        <v>3.6</v>
      </c>
      <c r="N531" s="60">
        <f t="shared" ca="1" si="73"/>
        <v>11.57</v>
      </c>
      <c r="O531" s="60">
        <f t="shared" ca="1" si="74"/>
        <v>7.25</v>
      </c>
      <c r="P531" s="60">
        <f t="shared" ca="1" si="75"/>
        <v>7.25</v>
      </c>
      <c r="Q531" s="54">
        <f>Данные!Q531</f>
        <v>0</v>
      </c>
      <c r="R531" s="54">
        <f>Данные!R531</f>
        <v>0</v>
      </c>
      <c r="S531" s="54">
        <f>Данные!S531</f>
        <v>0</v>
      </c>
      <c r="T531" s="54">
        <f>Данные!T531</f>
        <v>0</v>
      </c>
      <c r="U531" s="54">
        <f>Данные!U531</f>
        <v>0</v>
      </c>
      <c r="V531" s="54">
        <f>Данные!V531</f>
        <v>0</v>
      </c>
      <c r="W531" s="54">
        <f ca="1">Данные!W531</f>
        <v>29</v>
      </c>
      <c r="X531" s="54" t="str">
        <f ca="1">Данные!X531</f>
        <v>1</v>
      </c>
      <c r="Y531" s="54" t="str">
        <f ca="1">Данные!Y531</f>
        <v>2</v>
      </c>
      <c r="Z531" s="54">
        <f>Данные!Z531</f>
        <v>0</v>
      </c>
      <c r="AA531" s="54" t="str">
        <f>Данные!AA531</f>
        <v>осн</v>
      </c>
      <c r="AB531" s="101">
        <f t="shared" si="76"/>
        <v>800</v>
      </c>
      <c r="AC531" s="101" t="str">
        <f t="shared" si="77"/>
        <v>ИВТ (бак)</v>
      </c>
      <c r="AD531" s="101" t="str">
        <f t="shared" si="78"/>
        <v>2017–2018</v>
      </c>
      <c r="AE531" s="102">
        <f t="shared" ca="1" si="79"/>
        <v>65.67</v>
      </c>
      <c r="AF531" s="103">
        <f t="shared" ca="1" si="80"/>
        <v>8.2087500000000008E-2</v>
      </c>
      <c r="AG531" s="101"/>
      <c r="AH531" s="10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Q531" s="72">
        <v>0</v>
      </c>
      <c r="BR531" s="72">
        <v>0</v>
      </c>
      <c r="BS531" s="72">
        <v>0</v>
      </c>
      <c r="BT531" s="72">
        <v>0</v>
      </c>
      <c r="BU531" s="72">
        <v>0</v>
      </c>
      <c r="BV531" s="72">
        <v>0</v>
      </c>
      <c r="BW531" s="72">
        <v>0</v>
      </c>
      <c r="BX531" s="72">
        <v>0</v>
      </c>
      <c r="BY531" s="72">
        <v>0</v>
      </c>
      <c r="BZ531" s="72">
        <v>0</v>
      </c>
      <c r="CA531" s="72">
        <v>0</v>
      </c>
      <c r="CB531" s="72">
        <v>0</v>
      </c>
      <c r="CC531" s="72">
        <v>0</v>
      </c>
      <c r="CD531" s="72">
        <v>0</v>
      </c>
      <c r="CE531" s="72">
        <v>0</v>
      </c>
      <c r="CF531" s="72">
        <v>0</v>
      </c>
      <c r="CG531" s="72">
        <v>0</v>
      </c>
      <c r="CH531" s="72">
        <v>0</v>
      </c>
      <c r="CI531" s="72">
        <v>0</v>
      </c>
      <c r="CJ531" s="72">
        <v>0</v>
      </c>
      <c r="CK531" s="72">
        <v>0</v>
      </c>
      <c r="CL531" s="72">
        <v>0</v>
      </c>
      <c r="CM531" s="72">
        <v>0</v>
      </c>
      <c r="CN531" s="72">
        <v>0</v>
      </c>
      <c r="CO531" s="72">
        <v>0</v>
      </c>
      <c r="CP531" s="72">
        <v>0</v>
      </c>
      <c r="CQ531" s="72">
        <v>0</v>
      </c>
      <c r="CR531" s="72">
        <v>0</v>
      </c>
      <c r="CS531" s="72">
        <v>0</v>
      </c>
      <c r="CT531" s="72">
        <v>0</v>
      </c>
      <c r="CU531" s="72">
        <v>0</v>
      </c>
      <c r="CV531" s="72">
        <v>0</v>
      </c>
      <c r="CW531" s="72">
        <v>0</v>
      </c>
      <c r="CX531" s="72">
        <v>0</v>
      </c>
      <c r="CY531" s="72">
        <v>0</v>
      </c>
      <c r="CZ531" s="72">
        <v>0</v>
      </c>
      <c r="DA531" s="72">
        <v>0</v>
      </c>
      <c r="DB531" s="72">
        <v>0</v>
      </c>
      <c r="DC531" s="72">
        <v>0</v>
      </c>
      <c r="DD531" s="72">
        <v>0</v>
      </c>
      <c r="DE531" s="72">
        <v>0</v>
      </c>
      <c r="DF531" s="72">
        <v>0</v>
      </c>
      <c r="DG531" s="72">
        <v>0</v>
      </c>
      <c r="DH531" s="72">
        <v>0</v>
      </c>
      <c r="DI531" s="72">
        <v>0</v>
      </c>
      <c r="DJ531" s="72">
        <v>0</v>
      </c>
      <c r="DK531" s="72">
        <v>0</v>
      </c>
      <c r="DL531" s="72">
        <v>0</v>
      </c>
      <c r="DM531" s="72">
        <v>0</v>
      </c>
      <c r="DN531" s="72">
        <v>0</v>
      </c>
      <c r="DO531" s="72">
        <v>0</v>
      </c>
      <c r="DP531" s="72">
        <v>0</v>
      </c>
      <c r="DQ531" s="72">
        <v>0</v>
      </c>
      <c r="DR531" s="72">
        <v>0</v>
      </c>
      <c r="DS531" s="72">
        <v>0</v>
      </c>
      <c r="DT531" s="72">
        <v>0</v>
      </c>
      <c r="DU531" s="72">
        <v>0</v>
      </c>
      <c r="DV531" s="72">
        <v>0</v>
      </c>
      <c r="DW531" s="72">
        <v>0</v>
      </c>
      <c r="DX531" s="72">
        <v>0</v>
      </c>
      <c r="DY531" s="72">
        <v>0</v>
      </c>
      <c r="DZ531" s="72">
        <v>0</v>
      </c>
      <c r="EA531" s="72">
        <v>0</v>
      </c>
      <c r="EB531" s="72">
        <v>0</v>
      </c>
      <c r="EC531" s="72">
        <v>0</v>
      </c>
      <c r="ED531" s="72">
        <v>0</v>
      </c>
      <c r="EE531" s="72">
        <v>0</v>
      </c>
      <c r="EF531" s="72">
        <v>0</v>
      </c>
      <c r="EG531" s="72">
        <v>0</v>
      </c>
      <c r="EH531" s="72">
        <v>0</v>
      </c>
      <c r="EI531" s="72">
        <v>0</v>
      </c>
      <c r="EJ531" s="72">
        <v>0</v>
      </c>
      <c r="EK531" s="72">
        <v>0</v>
      </c>
      <c r="EL531" s="72">
        <v>0</v>
      </c>
    </row>
    <row r="532" spans="1:142" x14ac:dyDescent="0.35">
      <c r="A532" s="59">
        <f>Данные!A532</f>
        <v>5791</v>
      </c>
      <c r="B532" s="59">
        <f>Данные!B532</f>
        <v>2017</v>
      </c>
      <c r="C532" s="59" t="str">
        <f>Данные!C532</f>
        <v>математического анализа</v>
      </c>
      <c r="D532" s="59" t="str">
        <f>Данные!D532</f>
        <v>Косова Ирина Святославна</v>
      </c>
      <c r="E532" s="59" t="str">
        <f>Данные!E532</f>
        <v>кандидат педагогических наук</v>
      </c>
      <c r="F532" s="59" t="str">
        <f>Данные!F532</f>
        <v>доцент</v>
      </c>
      <c r="G532" s="59">
        <f>Данные!G532</f>
        <v>1</v>
      </c>
      <c r="H532" s="59">
        <f>Данные!H532</f>
        <v>16591</v>
      </c>
      <c r="I532" s="59" t="str">
        <f>Данные!I532</f>
        <v>Модуль "Дискретные структуры". Основы теории вероятности</v>
      </c>
      <c r="J532" s="59">
        <f>Данные!J532</f>
        <v>18</v>
      </c>
      <c r="K532" s="59">
        <f>Данные!K532</f>
        <v>18</v>
      </c>
      <c r="L532" s="59">
        <f>Данные!L532</f>
        <v>0</v>
      </c>
      <c r="M532" s="60">
        <f t="shared" si="72"/>
        <v>3.6</v>
      </c>
      <c r="N532" s="60">
        <f t="shared" ca="1" si="73"/>
        <v>11.57</v>
      </c>
      <c r="O532" s="60">
        <f t="shared" ca="1" si="74"/>
        <v>7.25</v>
      </c>
      <c r="P532" s="60">
        <f t="shared" ca="1" si="75"/>
        <v>7.25</v>
      </c>
      <c r="Q532" s="54">
        <f>Данные!Q532</f>
        <v>0</v>
      </c>
      <c r="R532" s="54">
        <f>Данные!R532</f>
        <v>0</v>
      </c>
      <c r="S532" s="54">
        <f>Данные!S532</f>
        <v>0</v>
      </c>
      <c r="T532" s="54">
        <f>Данные!T532</f>
        <v>0</v>
      </c>
      <c r="U532" s="54">
        <f>Данные!U532</f>
        <v>0</v>
      </c>
      <c r="V532" s="54">
        <f>Данные!V532</f>
        <v>0</v>
      </c>
      <c r="W532" s="54">
        <f ca="1">Данные!W532</f>
        <v>29</v>
      </c>
      <c r="X532" s="54" t="str">
        <f ca="1">Данные!X532</f>
        <v>1</v>
      </c>
      <c r="Y532" s="54" t="str">
        <f ca="1">Данные!Y532</f>
        <v>2</v>
      </c>
      <c r="Z532" s="54">
        <f>Данные!Z532</f>
        <v>0</v>
      </c>
      <c r="AA532" s="54" t="str">
        <f>Данные!AA532</f>
        <v>доп</v>
      </c>
      <c r="AB532" s="101">
        <f t="shared" si="76"/>
        <v>800</v>
      </c>
      <c r="AC532" s="101" t="str">
        <f t="shared" si="77"/>
        <v>ИВТ (бак)</v>
      </c>
      <c r="AD532" s="101" t="str">
        <f t="shared" si="78"/>
        <v>2017–2018</v>
      </c>
      <c r="AE532" s="102">
        <f t="shared" ca="1" si="79"/>
        <v>65.67</v>
      </c>
      <c r="AF532" s="103">
        <f t="shared" ca="1" si="80"/>
        <v>8.2087500000000008E-2</v>
      </c>
      <c r="AG532" s="101"/>
      <c r="AH532" s="101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Q532" s="72">
        <v>0</v>
      </c>
      <c r="BR532" s="72">
        <v>0</v>
      </c>
      <c r="BS532" s="72">
        <v>0</v>
      </c>
      <c r="BT532" s="72">
        <v>0</v>
      </c>
      <c r="BU532" s="72">
        <v>0</v>
      </c>
      <c r="BV532" s="72">
        <v>0</v>
      </c>
      <c r="BW532" s="72">
        <v>0</v>
      </c>
      <c r="BX532" s="72">
        <v>0</v>
      </c>
      <c r="BY532" s="72">
        <v>0</v>
      </c>
      <c r="BZ532" s="72">
        <v>0</v>
      </c>
      <c r="CA532" s="72">
        <v>0</v>
      </c>
      <c r="CB532" s="72">
        <v>0</v>
      </c>
      <c r="CC532" s="72">
        <v>0</v>
      </c>
      <c r="CD532" s="72">
        <v>0</v>
      </c>
      <c r="CE532" s="72">
        <v>0</v>
      </c>
      <c r="CF532" s="72">
        <v>0</v>
      </c>
      <c r="CG532" s="72">
        <v>0</v>
      </c>
      <c r="CH532" s="72">
        <v>0</v>
      </c>
      <c r="CI532" s="72">
        <v>0</v>
      </c>
      <c r="CJ532" s="72">
        <v>0</v>
      </c>
      <c r="CK532" s="72">
        <v>0</v>
      </c>
      <c r="CL532" s="72">
        <v>0</v>
      </c>
      <c r="CM532" s="72">
        <v>0</v>
      </c>
      <c r="CN532" s="72">
        <v>0</v>
      </c>
      <c r="CO532" s="72">
        <v>0</v>
      </c>
      <c r="CP532" s="72">
        <v>0</v>
      </c>
      <c r="CQ532" s="72">
        <v>0</v>
      </c>
      <c r="CR532" s="72">
        <v>0</v>
      </c>
      <c r="CS532" s="72">
        <v>0</v>
      </c>
      <c r="CT532" s="72">
        <v>0</v>
      </c>
      <c r="CU532" s="72">
        <v>0</v>
      </c>
      <c r="CV532" s="72">
        <v>0</v>
      </c>
      <c r="CW532" s="72">
        <v>0</v>
      </c>
      <c r="CX532" s="72">
        <v>0</v>
      </c>
      <c r="CY532" s="72">
        <v>0</v>
      </c>
      <c r="CZ532" s="72">
        <v>0</v>
      </c>
      <c r="DA532" s="72">
        <v>0</v>
      </c>
      <c r="DB532" s="72">
        <v>0</v>
      </c>
      <c r="DC532" s="72">
        <v>0</v>
      </c>
      <c r="DD532" s="72">
        <v>0</v>
      </c>
      <c r="DE532" s="72">
        <v>0</v>
      </c>
      <c r="DF532" s="72">
        <v>0</v>
      </c>
      <c r="DG532" s="72">
        <v>0</v>
      </c>
      <c r="DH532" s="72">
        <v>0</v>
      </c>
      <c r="DI532" s="72">
        <v>0</v>
      </c>
      <c r="DJ532" s="72">
        <v>0</v>
      </c>
      <c r="DK532" s="72">
        <v>0</v>
      </c>
      <c r="DL532" s="72">
        <v>0</v>
      </c>
      <c r="DM532" s="72">
        <v>0</v>
      </c>
      <c r="DN532" s="72">
        <v>0</v>
      </c>
      <c r="DO532" s="72">
        <v>0</v>
      </c>
      <c r="DP532" s="72">
        <v>0</v>
      </c>
      <c r="DQ532" s="72">
        <v>0</v>
      </c>
      <c r="DR532" s="72">
        <v>0</v>
      </c>
      <c r="DS532" s="72">
        <v>0</v>
      </c>
      <c r="DT532" s="72">
        <v>0</v>
      </c>
      <c r="DU532" s="72">
        <v>0</v>
      </c>
      <c r="DV532" s="72">
        <v>0</v>
      </c>
      <c r="DW532" s="72">
        <v>0</v>
      </c>
      <c r="DX532" s="72">
        <v>0</v>
      </c>
      <c r="DY532" s="72">
        <v>0</v>
      </c>
      <c r="DZ532" s="72">
        <v>0</v>
      </c>
      <c r="EA532" s="72">
        <v>0</v>
      </c>
      <c r="EB532" s="72">
        <v>0</v>
      </c>
      <c r="EC532" s="72">
        <v>0</v>
      </c>
      <c r="ED532" s="72">
        <v>0</v>
      </c>
      <c r="EE532" s="72">
        <v>0</v>
      </c>
      <c r="EF532" s="72">
        <v>0</v>
      </c>
      <c r="EG532" s="72">
        <v>0</v>
      </c>
      <c r="EH532" s="72">
        <v>0</v>
      </c>
      <c r="EI532" s="72">
        <v>0</v>
      </c>
      <c r="EJ532" s="72">
        <v>0</v>
      </c>
      <c r="EK532" s="72">
        <v>0</v>
      </c>
      <c r="EL532" s="72">
        <v>0</v>
      </c>
    </row>
    <row r="533" spans="1:142" x14ac:dyDescent="0.35">
      <c r="A533" s="59">
        <f>Данные!A533</f>
        <v>5791</v>
      </c>
      <c r="B533" s="59">
        <f>Данные!B533</f>
        <v>2017</v>
      </c>
      <c r="C533" s="59" t="str">
        <f>Данные!C533</f>
        <v>истории</v>
      </c>
      <c r="D533" s="59" t="str">
        <f>Данные!D533</f>
        <v>Лапина Ирина Александровна</v>
      </c>
      <c r="E533" s="59" t="str">
        <f>Данные!E533</f>
        <v>кандидат исторических наук</v>
      </c>
      <c r="F533" s="59" t="str">
        <f>Данные!F533</f>
        <v>доцент</v>
      </c>
      <c r="G533" s="59">
        <f>Данные!G533</f>
        <v>0</v>
      </c>
      <c r="H533" s="59">
        <f>Данные!H533</f>
        <v>16591</v>
      </c>
      <c r="I533" s="59" t="str">
        <f>Данные!I533</f>
        <v>Модуль "Историко-философский". История</v>
      </c>
      <c r="J533" s="59">
        <f>Данные!J533</f>
        <v>34</v>
      </c>
      <c r="K533" s="59">
        <f>Данные!K533</f>
        <v>16</v>
      </c>
      <c r="L533" s="59">
        <f>Данные!L533</f>
        <v>0</v>
      </c>
      <c r="M533" s="60">
        <f t="shared" si="72"/>
        <v>5</v>
      </c>
      <c r="N533" s="60">
        <f t="shared" ca="1" si="73"/>
        <v>11.57</v>
      </c>
      <c r="O533" s="60">
        <f t="shared" ca="1" si="74"/>
        <v>7.25</v>
      </c>
      <c r="P533" s="60">
        <f t="shared" ca="1" si="75"/>
        <v>7.25</v>
      </c>
      <c r="Q533" s="54">
        <f>Данные!Q533</f>
        <v>0</v>
      </c>
      <c r="R533" s="54">
        <f>Данные!R533</f>
        <v>0</v>
      </c>
      <c r="S533" s="54">
        <f>Данные!S533</f>
        <v>0</v>
      </c>
      <c r="T533" s="54">
        <f>Данные!T533</f>
        <v>0</v>
      </c>
      <c r="U533" s="54">
        <f>Данные!U533</f>
        <v>0</v>
      </c>
      <c r="V533" s="54">
        <f>Данные!V533</f>
        <v>0</v>
      </c>
      <c r="W533" s="54">
        <f ca="1">Данные!W533</f>
        <v>29</v>
      </c>
      <c r="X533" s="54" t="str">
        <f ca="1">Данные!X533</f>
        <v>1</v>
      </c>
      <c r="Y533" s="54" t="str">
        <f ca="1">Данные!Y533</f>
        <v>2</v>
      </c>
      <c r="Z533" s="54">
        <f>Данные!Z533</f>
        <v>0</v>
      </c>
      <c r="AA533" s="54" t="str">
        <f>Данные!AA533</f>
        <v>осн</v>
      </c>
      <c r="AB533" s="101">
        <f t="shared" si="76"/>
        <v>800</v>
      </c>
      <c r="AC533" s="101" t="str">
        <f t="shared" si="77"/>
        <v>ИВТ (бак)</v>
      </c>
      <c r="AD533" s="101" t="str">
        <f t="shared" si="78"/>
        <v>2017–2018</v>
      </c>
      <c r="AE533" s="102">
        <f t="shared" ca="1" si="79"/>
        <v>81.069999999999993</v>
      </c>
      <c r="AF533" s="103">
        <f t="shared" ca="1" si="80"/>
        <v>0.1013375</v>
      </c>
      <c r="AG533" s="101"/>
      <c r="AH533" s="101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Q533" s="72">
        <v>0</v>
      </c>
      <c r="BR533" s="72">
        <v>0</v>
      </c>
      <c r="BS533" s="72">
        <v>0</v>
      </c>
      <c r="BT533" s="72">
        <v>0</v>
      </c>
      <c r="BU533" s="72">
        <v>0</v>
      </c>
      <c r="BV533" s="72">
        <v>0</v>
      </c>
      <c r="BW533" s="72">
        <v>0</v>
      </c>
      <c r="BX533" s="72">
        <v>0</v>
      </c>
      <c r="BY533" s="72">
        <v>0</v>
      </c>
      <c r="BZ533" s="72">
        <v>0</v>
      </c>
      <c r="CA533" s="72">
        <v>0</v>
      </c>
      <c r="CB533" s="72">
        <v>0</v>
      </c>
      <c r="CC533" s="72">
        <v>0</v>
      </c>
      <c r="CD533" s="72">
        <v>0</v>
      </c>
      <c r="CE533" s="72">
        <v>0</v>
      </c>
      <c r="CF533" s="72">
        <v>0</v>
      </c>
      <c r="CG533" s="72">
        <v>0</v>
      </c>
      <c r="CH533" s="72">
        <v>0</v>
      </c>
      <c r="CI533" s="72">
        <v>0</v>
      </c>
      <c r="CJ533" s="72">
        <v>0</v>
      </c>
      <c r="CK533" s="72">
        <v>0</v>
      </c>
      <c r="CL533" s="72">
        <v>0</v>
      </c>
      <c r="CM533" s="72">
        <v>0</v>
      </c>
      <c r="CN533" s="72">
        <v>0</v>
      </c>
      <c r="CO533" s="72">
        <v>0</v>
      </c>
      <c r="CP533" s="72">
        <v>0</v>
      </c>
      <c r="CQ533" s="72">
        <v>0</v>
      </c>
      <c r="CR533" s="72">
        <v>0</v>
      </c>
      <c r="CS533" s="72">
        <v>0</v>
      </c>
      <c r="CT533" s="72">
        <v>0</v>
      </c>
      <c r="CU533" s="72">
        <v>0</v>
      </c>
      <c r="CV533" s="72">
        <v>0</v>
      </c>
      <c r="CW533" s="72">
        <v>0</v>
      </c>
      <c r="CX533" s="72">
        <v>0</v>
      </c>
      <c r="CY533" s="72">
        <v>0</v>
      </c>
      <c r="CZ533" s="72">
        <v>0</v>
      </c>
      <c r="DA533" s="72">
        <v>0</v>
      </c>
      <c r="DB533" s="72">
        <v>0</v>
      </c>
      <c r="DC533" s="72">
        <v>0</v>
      </c>
      <c r="DD533" s="72">
        <v>0</v>
      </c>
      <c r="DE533" s="72">
        <v>0</v>
      </c>
      <c r="DF533" s="72">
        <v>0</v>
      </c>
      <c r="DG533" s="72">
        <v>0</v>
      </c>
      <c r="DH533" s="72">
        <v>0</v>
      </c>
      <c r="DI533" s="72">
        <v>0</v>
      </c>
      <c r="DJ533" s="72">
        <v>0</v>
      </c>
      <c r="DK533" s="72">
        <v>0</v>
      </c>
      <c r="DL533" s="72">
        <v>0</v>
      </c>
      <c r="DM533" s="72">
        <v>0</v>
      </c>
      <c r="DN533" s="72">
        <v>0</v>
      </c>
      <c r="DO533" s="72">
        <v>0</v>
      </c>
      <c r="DP533" s="72">
        <v>0</v>
      </c>
      <c r="DQ533" s="72">
        <v>0</v>
      </c>
      <c r="DR533" s="72">
        <v>0</v>
      </c>
      <c r="DS533" s="72">
        <v>0</v>
      </c>
      <c r="DT533" s="72">
        <v>0</v>
      </c>
      <c r="DU533" s="72">
        <v>0</v>
      </c>
      <c r="DV533" s="72">
        <v>0</v>
      </c>
      <c r="DW533" s="72">
        <v>0</v>
      </c>
      <c r="DX533" s="72">
        <v>0</v>
      </c>
      <c r="DY533" s="72">
        <v>0</v>
      </c>
      <c r="DZ533" s="72">
        <v>0</v>
      </c>
      <c r="EA533" s="72">
        <v>0</v>
      </c>
      <c r="EB533" s="72">
        <v>0</v>
      </c>
      <c r="EC533" s="72">
        <v>0</v>
      </c>
      <c r="ED533" s="72">
        <v>0</v>
      </c>
      <c r="EE533" s="72">
        <v>0</v>
      </c>
      <c r="EF533" s="72">
        <v>0</v>
      </c>
      <c r="EG533" s="72">
        <v>0</v>
      </c>
      <c r="EH533" s="72">
        <v>0</v>
      </c>
      <c r="EI533" s="72">
        <v>0</v>
      </c>
      <c r="EJ533" s="72">
        <v>0</v>
      </c>
      <c r="EK533" s="72">
        <v>0</v>
      </c>
      <c r="EL533" s="72">
        <v>0</v>
      </c>
    </row>
    <row r="534" spans="1:142" x14ac:dyDescent="0.35">
      <c r="A534" s="59">
        <f>Данные!A534</f>
        <v>5791</v>
      </c>
      <c r="B534" s="59">
        <f>Данные!B534</f>
        <v>2017</v>
      </c>
      <c r="C534" s="59">
        <f>Данные!C534</f>
        <v>0</v>
      </c>
      <c r="D534" s="59" t="str">
        <f>Данные!D534</f>
        <v>Гончарко Дмитрий Николаевич</v>
      </c>
      <c r="E534" s="59" t="str">
        <f>Данные!E534</f>
        <v>кандидат философских наук</v>
      </c>
      <c r="F534" s="59" t="str">
        <f>Данные!F534</f>
        <v>доцент</v>
      </c>
      <c r="G534" s="59">
        <f>Данные!G534</f>
        <v>0</v>
      </c>
      <c r="H534" s="59">
        <f>Данные!H534</f>
        <v>16591</v>
      </c>
      <c r="I534" s="59" t="str">
        <f>Данные!I534</f>
        <v>Модуль "Историко-философский". Философия</v>
      </c>
      <c r="J534" s="59">
        <f>Данные!J534</f>
        <v>16</v>
      </c>
      <c r="K534" s="59">
        <f>Данные!K534</f>
        <v>34</v>
      </c>
      <c r="L534" s="59">
        <f>Данные!L534</f>
        <v>0</v>
      </c>
      <c r="M534" s="60">
        <f t="shared" si="72"/>
        <v>5</v>
      </c>
      <c r="N534" s="60">
        <f t="shared" ca="1" si="73"/>
        <v>11.57</v>
      </c>
      <c r="O534" s="60">
        <f t="shared" ca="1" si="74"/>
        <v>7.25</v>
      </c>
      <c r="P534" s="60">
        <f t="shared" ca="1" si="75"/>
        <v>7.25</v>
      </c>
      <c r="Q534" s="54">
        <f>Данные!Q534</f>
        <v>0</v>
      </c>
      <c r="R534" s="54">
        <f>Данные!R534</f>
        <v>0</v>
      </c>
      <c r="S534" s="54">
        <f>Данные!S534</f>
        <v>0</v>
      </c>
      <c r="T534" s="54">
        <f>Данные!T534</f>
        <v>0</v>
      </c>
      <c r="U534" s="54">
        <f>Данные!U534</f>
        <v>0</v>
      </c>
      <c r="V534" s="54">
        <f>Данные!V534</f>
        <v>0</v>
      </c>
      <c r="W534" s="54">
        <f ca="1">Данные!W534</f>
        <v>29</v>
      </c>
      <c r="X534" s="54" t="str">
        <f ca="1">Данные!X534</f>
        <v>1</v>
      </c>
      <c r="Y534" s="54" t="str">
        <f ca="1">Данные!Y534</f>
        <v>2</v>
      </c>
      <c r="Z534" s="54">
        <f>Данные!Z534</f>
        <v>0</v>
      </c>
      <c r="AA534" s="54" t="str">
        <f>Данные!AA534</f>
        <v>осн</v>
      </c>
      <c r="AB534" s="101">
        <f t="shared" si="76"/>
        <v>800</v>
      </c>
      <c r="AC534" s="101" t="str">
        <f t="shared" si="77"/>
        <v>ИВТ (бак)</v>
      </c>
      <c r="AD534" s="101" t="str">
        <f t="shared" si="78"/>
        <v>2017–2018</v>
      </c>
      <c r="AE534" s="102">
        <f t="shared" ca="1" si="79"/>
        <v>81.069999999999993</v>
      </c>
      <c r="AF534" s="103">
        <f t="shared" ca="1" si="80"/>
        <v>0.1013375</v>
      </c>
      <c r="AG534" s="101"/>
      <c r="AH534" s="101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Q534" s="72">
        <v>0</v>
      </c>
      <c r="BR534" s="72">
        <v>0</v>
      </c>
      <c r="BS534" s="72">
        <v>0</v>
      </c>
      <c r="BT534" s="72">
        <v>0</v>
      </c>
      <c r="BU534" s="72">
        <v>0</v>
      </c>
      <c r="BV534" s="72">
        <v>0</v>
      </c>
      <c r="BW534" s="72">
        <v>0</v>
      </c>
      <c r="BX534" s="72">
        <v>0</v>
      </c>
      <c r="BY534" s="72">
        <v>0</v>
      </c>
      <c r="BZ534" s="72">
        <v>0</v>
      </c>
      <c r="CA534" s="72">
        <v>0</v>
      </c>
      <c r="CB534" s="72">
        <v>0</v>
      </c>
      <c r="CC534" s="72">
        <v>0</v>
      </c>
      <c r="CD534" s="72">
        <v>0</v>
      </c>
      <c r="CE534" s="72">
        <v>0</v>
      </c>
      <c r="CF534" s="72">
        <v>0</v>
      </c>
      <c r="CG534" s="72">
        <v>0</v>
      </c>
      <c r="CH534" s="72">
        <v>0</v>
      </c>
      <c r="CI534" s="72">
        <v>0</v>
      </c>
      <c r="CJ534" s="72">
        <v>0</v>
      </c>
      <c r="CK534" s="72">
        <v>0</v>
      </c>
      <c r="CL534" s="72">
        <v>0</v>
      </c>
      <c r="CM534" s="72">
        <v>0</v>
      </c>
      <c r="CN534" s="72">
        <v>0</v>
      </c>
      <c r="CO534" s="72">
        <v>0</v>
      </c>
      <c r="CP534" s="72">
        <v>0</v>
      </c>
      <c r="CQ534" s="72">
        <v>0</v>
      </c>
      <c r="CR534" s="72">
        <v>0</v>
      </c>
      <c r="CS534" s="72">
        <v>0</v>
      </c>
      <c r="CT534" s="72">
        <v>0</v>
      </c>
      <c r="CU534" s="72">
        <v>0</v>
      </c>
      <c r="CV534" s="72">
        <v>0</v>
      </c>
      <c r="CW534" s="72">
        <v>0</v>
      </c>
      <c r="CX534" s="72">
        <v>0</v>
      </c>
      <c r="CY534" s="72">
        <v>0</v>
      </c>
      <c r="CZ534" s="72">
        <v>0</v>
      </c>
      <c r="DA534" s="72">
        <v>0</v>
      </c>
      <c r="DB534" s="72">
        <v>0</v>
      </c>
      <c r="DC534" s="72">
        <v>0</v>
      </c>
      <c r="DD534" s="72">
        <v>0</v>
      </c>
      <c r="DE534" s="72">
        <v>0</v>
      </c>
      <c r="DF534" s="72">
        <v>0</v>
      </c>
      <c r="DG534" s="72">
        <v>0</v>
      </c>
      <c r="DH534" s="72">
        <v>0</v>
      </c>
      <c r="DI534" s="72">
        <v>0</v>
      </c>
      <c r="DJ534" s="72">
        <v>0</v>
      </c>
      <c r="DK534" s="72">
        <v>0</v>
      </c>
      <c r="DL534" s="72">
        <v>0</v>
      </c>
      <c r="DM534" s="72">
        <v>0</v>
      </c>
      <c r="DN534" s="72">
        <v>0</v>
      </c>
      <c r="DO534" s="72">
        <v>0</v>
      </c>
      <c r="DP534" s="72">
        <v>0</v>
      </c>
      <c r="DQ534" s="72">
        <v>0</v>
      </c>
      <c r="DR534" s="72">
        <v>0</v>
      </c>
      <c r="DS534" s="72">
        <v>0</v>
      </c>
      <c r="DT534" s="72">
        <v>0</v>
      </c>
      <c r="DU534" s="72">
        <v>0</v>
      </c>
      <c r="DV534" s="72">
        <v>0</v>
      </c>
      <c r="DW534" s="72">
        <v>0</v>
      </c>
      <c r="DX534" s="72">
        <v>0</v>
      </c>
      <c r="DY534" s="72">
        <v>0</v>
      </c>
      <c r="DZ534" s="72">
        <v>0</v>
      </c>
      <c r="EA534" s="72">
        <v>0</v>
      </c>
      <c r="EB534" s="72">
        <v>0</v>
      </c>
      <c r="EC534" s="72">
        <v>0</v>
      </c>
      <c r="ED534" s="72">
        <v>0</v>
      </c>
      <c r="EE534" s="72">
        <v>0</v>
      </c>
      <c r="EF534" s="72">
        <v>0</v>
      </c>
      <c r="EG534" s="72">
        <v>0</v>
      </c>
      <c r="EH534" s="72">
        <v>0</v>
      </c>
      <c r="EI534" s="72">
        <v>0</v>
      </c>
      <c r="EJ534" s="72">
        <v>0</v>
      </c>
      <c r="EK534" s="72">
        <v>0</v>
      </c>
      <c r="EL534" s="72">
        <v>0</v>
      </c>
    </row>
    <row r="535" spans="1:142" x14ac:dyDescent="0.35">
      <c r="A535" s="59">
        <f>Данные!A535</f>
        <v>5791</v>
      </c>
      <c r="B535" s="59">
        <f>Данные!B535</f>
        <v>2017</v>
      </c>
      <c r="C535" s="59" t="str">
        <f>Данные!C535</f>
        <v>современных европейских языков</v>
      </c>
      <c r="D535" s="59" t="str">
        <f>Данные!D535</f>
        <v>Кузнецова Надежда Леонидовна</v>
      </c>
      <c r="E535" s="59" t="str">
        <f>Данные!E535</f>
        <v>нет</v>
      </c>
      <c r="F535" s="59" t="str">
        <f>Данные!F535</f>
        <v>старший преподаватель</v>
      </c>
      <c r="G535" s="59">
        <f>Данные!G535</f>
        <v>1</v>
      </c>
      <c r="H535" s="59">
        <f>Данные!H535</f>
        <v>16591</v>
      </c>
      <c r="I535" s="59" t="str">
        <f>Данные!I535</f>
        <v>Модуль "Коммуникативный". Иностранный язык. Иностранный язык (английский)</v>
      </c>
      <c r="J535" s="59">
        <f>Данные!J535</f>
        <v>0</v>
      </c>
      <c r="K535" s="59">
        <f>Данные!K535</f>
        <v>0</v>
      </c>
      <c r="L535" s="59">
        <f>Данные!L535</f>
        <v>68</v>
      </c>
      <c r="M535" s="60">
        <f t="shared" si="72"/>
        <v>6.8</v>
      </c>
      <c r="N535" s="60">
        <f t="shared" ca="1" si="73"/>
        <v>11.57</v>
      </c>
      <c r="O535" s="60">
        <f t="shared" ca="1" si="74"/>
        <v>7.25</v>
      </c>
      <c r="P535" s="60">
        <f t="shared" ca="1" si="75"/>
        <v>7.25</v>
      </c>
      <c r="Q535" s="54">
        <f>Данные!Q535</f>
        <v>0</v>
      </c>
      <c r="R535" s="54">
        <f>Данные!R535</f>
        <v>0</v>
      </c>
      <c r="S535" s="54">
        <f>Данные!S535</f>
        <v>0</v>
      </c>
      <c r="T535" s="54">
        <f>Данные!T535</f>
        <v>0</v>
      </c>
      <c r="U535" s="54">
        <f>Данные!U535</f>
        <v>0</v>
      </c>
      <c r="V535" s="54">
        <f>Данные!V535</f>
        <v>0</v>
      </c>
      <c r="W535" s="54">
        <f ca="1">Данные!W535</f>
        <v>29</v>
      </c>
      <c r="X535" s="54" t="str">
        <f ca="1">Данные!X535</f>
        <v>1</v>
      </c>
      <c r="Y535" s="54" t="str">
        <f ca="1">Данные!Y535</f>
        <v>2</v>
      </c>
      <c r="Z535" s="54">
        <f>Данные!Z535</f>
        <v>0</v>
      </c>
      <c r="AA535" s="54" t="str">
        <f>Данные!AA535</f>
        <v>осн</v>
      </c>
      <c r="AB535" s="101">
        <f t="shared" si="76"/>
        <v>850</v>
      </c>
      <c r="AC535" s="101" t="str">
        <f t="shared" si="77"/>
        <v>ИВТ (бак)</v>
      </c>
      <c r="AD535" s="101" t="str">
        <f t="shared" si="78"/>
        <v>2017–2018</v>
      </c>
      <c r="AE535" s="102">
        <f t="shared" ca="1" si="79"/>
        <v>100.87</v>
      </c>
      <c r="AF535" s="103">
        <f t="shared" ca="1" si="80"/>
        <v>0.11867058823529412</v>
      </c>
      <c r="AG535" s="101"/>
      <c r="AH535" s="101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Q535" s="72">
        <v>0</v>
      </c>
      <c r="BR535" s="72">
        <v>0</v>
      </c>
      <c r="BS535" s="72">
        <v>0</v>
      </c>
      <c r="BT535" s="72">
        <v>0</v>
      </c>
      <c r="BU535" s="72">
        <v>0</v>
      </c>
      <c r="BV535" s="72">
        <v>0</v>
      </c>
      <c r="BW535" s="72">
        <v>0</v>
      </c>
      <c r="BX535" s="72">
        <v>0</v>
      </c>
      <c r="BY535" s="72">
        <v>0</v>
      </c>
      <c r="BZ535" s="72">
        <v>0</v>
      </c>
      <c r="CA535" s="72">
        <v>0</v>
      </c>
      <c r="CB535" s="72">
        <v>0</v>
      </c>
      <c r="CC535" s="72">
        <v>0</v>
      </c>
      <c r="CD535" s="72">
        <v>0</v>
      </c>
      <c r="CE535" s="72">
        <v>0</v>
      </c>
      <c r="CF535" s="72">
        <v>0</v>
      </c>
      <c r="CG535" s="72">
        <v>0</v>
      </c>
      <c r="CH535" s="72">
        <v>0</v>
      </c>
      <c r="CI535" s="72">
        <v>0</v>
      </c>
      <c r="CJ535" s="72">
        <v>0</v>
      </c>
      <c r="CK535" s="72">
        <v>0</v>
      </c>
      <c r="CL535" s="72">
        <v>0</v>
      </c>
      <c r="CM535" s="72">
        <v>0</v>
      </c>
      <c r="CN535" s="72">
        <v>0</v>
      </c>
      <c r="CO535" s="72">
        <v>0</v>
      </c>
      <c r="CP535" s="72">
        <v>0</v>
      </c>
      <c r="CQ535" s="72">
        <v>0</v>
      </c>
      <c r="CR535" s="72">
        <v>0</v>
      </c>
      <c r="CS535" s="72">
        <v>0</v>
      </c>
      <c r="CT535" s="72">
        <v>0</v>
      </c>
      <c r="CU535" s="72">
        <v>0</v>
      </c>
      <c r="CV535" s="72">
        <v>0</v>
      </c>
      <c r="CW535" s="72">
        <v>0</v>
      </c>
      <c r="CX535" s="72">
        <v>0</v>
      </c>
      <c r="CY535" s="72">
        <v>0</v>
      </c>
      <c r="CZ535" s="72">
        <v>0</v>
      </c>
      <c r="DA535" s="72">
        <v>0</v>
      </c>
      <c r="DB535" s="72">
        <v>0</v>
      </c>
      <c r="DC535" s="72">
        <v>0</v>
      </c>
      <c r="DD535" s="72">
        <v>0</v>
      </c>
      <c r="DE535" s="72">
        <v>0</v>
      </c>
      <c r="DF535" s="72">
        <v>0</v>
      </c>
      <c r="DG535" s="72">
        <v>0</v>
      </c>
      <c r="DH535" s="72">
        <v>0</v>
      </c>
      <c r="DI535" s="72">
        <v>0</v>
      </c>
      <c r="DJ535" s="72">
        <v>0</v>
      </c>
      <c r="DK535" s="72">
        <v>0</v>
      </c>
      <c r="DL535" s="72">
        <v>0</v>
      </c>
      <c r="DM535" s="72">
        <v>0</v>
      </c>
      <c r="DN535" s="72">
        <v>0</v>
      </c>
      <c r="DO535" s="72">
        <v>0</v>
      </c>
      <c r="DP535" s="72">
        <v>0</v>
      </c>
      <c r="DQ535" s="72">
        <v>0</v>
      </c>
      <c r="DR535" s="72">
        <v>0</v>
      </c>
      <c r="DS535" s="72">
        <v>0</v>
      </c>
      <c r="DT535" s="72">
        <v>0</v>
      </c>
      <c r="DU535" s="72">
        <v>0</v>
      </c>
      <c r="DV535" s="72">
        <v>0</v>
      </c>
      <c r="DW535" s="72">
        <v>0</v>
      </c>
      <c r="DX535" s="72">
        <v>0</v>
      </c>
      <c r="DY535" s="72">
        <v>0</v>
      </c>
      <c r="DZ535" s="72">
        <v>0</v>
      </c>
      <c r="EA535" s="72">
        <v>0</v>
      </c>
      <c r="EB535" s="72">
        <v>0</v>
      </c>
      <c r="EC535" s="72">
        <v>0</v>
      </c>
      <c r="ED535" s="72">
        <v>0</v>
      </c>
      <c r="EE535" s="72">
        <v>0</v>
      </c>
      <c r="EF535" s="72">
        <v>0</v>
      </c>
      <c r="EG535" s="72">
        <v>0</v>
      </c>
      <c r="EH535" s="72">
        <v>0</v>
      </c>
      <c r="EI535" s="72">
        <v>0</v>
      </c>
      <c r="EJ535" s="72">
        <v>0</v>
      </c>
      <c r="EK535" s="72">
        <v>0</v>
      </c>
      <c r="EL535" s="72">
        <v>0</v>
      </c>
    </row>
    <row r="536" spans="1:142" x14ac:dyDescent="0.35">
      <c r="A536" s="59">
        <f>Данные!A536</f>
        <v>5791</v>
      </c>
      <c r="B536" s="59">
        <f>Данные!B536</f>
        <v>2017</v>
      </c>
      <c r="C536" s="59" t="str">
        <f>Данные!C536</f>
        <v>современных европейских языков</v>
      </c>
      <c r="D536" s="59" t="str">
        <f>Данные!D536</f>
        <v>Хахалина Марина Сергеевна</v>
      </c>
      <c r="E536" s="59" t="str">
        <f>Данные!E536</f>
        <v>кандидат химических наук</v>
      </c>
      <c r="F536" s="59" t="str">
        <f>Данные!F536</f>
        <v>старший преподаватель</v>
      </c>
      <c r="G536" s="59">
        <f>Данные!G536</f>
        <v>1</v>
      </c>
      <c r="H536" s="59">
        <f>Данные!H536</f>
        <v>16591</v>
      </c>
      <c r="I536" s="59" t="str">
        <f>Данные!I536</f>
        <v>Модуль "Коммуникативный". Иностранный язык. Иностранный язык (английский)</v>
      </c>
      <c r="J536" s="59">
        <f>Данные!J536</f>
        <v>0</v>
      </c>
      <c r="K536" s="59">
        <f>Данные!K536</f>
        <v>0</v>
      </c>
      <c r="L536" s="59">
        <f>Данные!L536</f>
        <v>68</v>
      </c>
      <c r="M536" s="60">
        <f t="shared" si="72"/>
        <v>6.8</v>
      </c>
      <c r="N536" s="60">
        <f t="shared" ca="1" si="73"/>
        <v>11.57</v>
      </c>
      <c r="O536" s="60">
        <f t="shared" ca="1" si="74"/>
        <v>7.25</v>
      </c>
      <c r="P536" s="60">
        <f t="shared" ca="1" si="75"/>
        <v>7.25</v>
      </c>
      <c r="Q536" s="54">
        <f>Данные!Q536</f>
        <v>0</v>
      </c>
      <c r="R536" s="54">
        <f>Данные!R536</f>
        <v>0</v>
      </c>
      <c r="S536" s="54">
        <f>Данные!S536</f>
        <v>0</v>
      </c>
      <c r="T536" s="54">
        <f>Данные!T536</f>
        <v>0</v>
      </c>
      <c r="U536" s="54">
        <f>Данные!U536</f>
        <v>0</v>
      </c>
      <c r="V536" s="54">
        <f>Данные!V536</f>
        <v>0</v>
      </c>
      <c r="W536" s="54">
        <f ca="1">Данные!W536</f>
        <v>29</v>
      </c>
      <c r="X536" s="54" t="str">
        <f ca="1">Данные!X536</f>
        <v>1</v>
      </c>
      <c r="Y536" s="54" t="str">
        <f ca="1">Данные!Y536</f>
        <v>2</v>
      </c>
      <c r="Z536" s="54">
        <f>Данные!Z536</f>
        <v>0</v>
      </c>
      <c r="AA536" s="54" t="str">
        <f>Данные!AA536</f>
        <v>доп</v>
      </c>
      <c r="AB536" s="101">
        <f t="shared" si="76"/>
        <v>850</v>
      </c>
      <c r="AC536" s="101" t="str">
        <f t="shared" si="77"/>
        <v>ИВТ (бак)</v>
      </c>
      <c r="AD536" s="101" t="str">
        <f t="shared" si="78"/>
        <v>2017–2018</v>
      </c>
      <c r="AE536" s="102">
        <f t="shared" ca="1" si="79"/>
        <v>100.87</v>
      </c>
      <c r="AF536" s="103">
        <f t="shared" ca="1" si="80"/>
        <v>0.11867058823529412</v>
      </c>
      <c r="AG536" s="101"/>
      <c r="AH536" s="101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Q536" s="72">
        <v>0</v>
      </c>
      <c r="BR536" s="72">
        <v>0</v>
      </c>
      <c r="BS536" s="72">
        <v>0</v>
      </c>
      <c r="BT536" s="72">
        <v>0</v>
      </c>
      <c r="BU536" s="72">
        <v>0</v>
      </c>
      <c r="BV536" s="72">
        <v>0</v>
      </c>
      <c r="BW536" s="72">
        <v>0</v>
      </c>
      <c r="BX536" s="72">
        <v>0</v>
      </c>
      <c r="BY536" s="72">
        <v>0</v>
      </c>
      <c r="BZ536" s="72">
        <v>0</v>
      </c>
      <c r="CA536" s="72">
        <v>0</v>
      </c>
      <c r="CB536" s="72">
        <v>0</v>
      </c>
      <c r="CC536" s="72">
        <v>0</v>
      </c>
      <c r="CD536" s="72">
        <v>0</v>
      </c>
      <c r="CE536" s="72">
        <v>0</v>
      </c>
      <c r="CF536" s="72">
        <v>0</v>
      </c>
      <c r="CG536" s="72">
        <v>0</v>
      </c>
      <c r="CH536" s="72">
        <v>0</v>
      </c>
      <c r="CI536" s="72">
        <v>0</v>
      </c>
      <c r="CJ536" s="72">
        <v>0</v>
      </c>
      <c r="CK536" s="72">
        <v>0</v>
      </c>
      <c r="CL536" s="72">
        <v>0</v>
      </c>
      <c r="CM536" s="72">
        <v>0</v>
      </c>
      <c r="CN536" s="72">
        <v>0</v>
      </c>
      <c r="CO536" s="72">
        <v>0</v>
      </c>
      <c r="CP536" s="72">
        <v>0</v>
      </c>
      <c r="CQ536" s="72">
        <v>0</v>
      </c>
      <c r="CR536" s="72">
        <v>0</v>
      </c>
      <c r="CS536" s="72">
        <v>0</v>
      </c>
      <c r="CT536" s="72">
        <v>0</v>
      </c>
      <c r="CU536" s="72">
        <v>0</v>
      </c>
      <c r="CV536" s="72">
        <v>0</v>
      </c>
      <c r="CW536" s="72">
        <v>0</v>
      </c>
      <c r="CX536" s="72">
        <v>0</v>
      </c>
      <c r="CY536" s="72">
        <v>0</v>
      </c>
      <c r="CZ536" s="72">
        <v>0</v>
      </c>
      <c r="DA536" s="72">
        <v>0</v>
      </c>
      <c r="DB536" s="72">
        <v>0</v>
      </c>
      <c r="DC536" s="72">
        <v>0</v>
      </c>
      <c r="DD536" s="72">
        <v>0</v>
      </c>
      <c r="DE536" s="72">
        <v>0</v>
      </c>
      <c r="DF536" s="72">
        <v>0</v>
      </c>
      <c r="DG536" s="72">
        <v>0</v>
      </c>
      <c r="DH536" s="72">
        <v>0</v>
      </c>
      <c r="DI536" s="72">
        <v>0</v>
      </c>
      <c r="DJ536" s="72">
        <v>0</v>
      </c>
      <c r="DK536" s="72">
        <v>0</v>
      </c>
      <c r="DL536" s="72">
        <v>0</v>
      </c>
      <c r="DM536" s="72">
        <v>0</v>
      </c>
      <c r="DN536" s="72">
        <v>0</v>
      </c>
      <c r="DO536" s="72">
        <v>0</v>
      </c>
      <c r="DP536" s="72">
        <v>0</v>
      </c>
      <c r="DQ536" s="72">
        <v>0</v>
      </c>
      <c r="DR536" s="72">
        <v>0</v>
      </c>
      <c r="DS536" s="72">
        <v>0</v>
      </c>
      <c r="DT536" s="72">
        <v>0</v>
      </c>
      <c r="DU536" s="72">
        <v>0</v>
      </c>
      <c r="DV536" s="72">
        <v>0</v>
      </c>
      <c r="DW536" s="72">
        <v>0</v>
      </c>
      <c r="DX536" s="72">
        <v>0</v>
      </c>
      <c r="DY536" s="72">
        <v>0</v>
      </c>
      <c r="DZ536" s="72">
        <v>0</v>
      </c>
      <c r="EA536" s="72">
        <v>0</v>
      </c>
      <c r="EB536" s="72">
        <v>0</v>
      </c>
      <c r="EC536" s="72">
        <v>0</v>
      </c>
      <c r="ED536" s="72">
        <v>0</v>
      </c>
      <c r="EE536" s="72">
        <v>0</v>
      </c>
      <c r="EF536" s="72">
        <v>0</v>
      </c>
      <c r="EG536" s="72">
        <v>0</v>
      </c>
      <c r="EH536" s="72">
        <v>0</v>
      </c>
      <c r="EI536" s="72">
        <v>0</v>
      </c>
      <c r="EJ536" s="72">
        <v>0</v>
      </c>
      <c r="EK536" s="72">
        <v>0</v>
      </c>
      <c r="EL536" s="72">
        <v>0</v>
      </c>
    </row>
    <row r="537" spans="1:142" x14ac:dyDescent="0.35">
      <c r="A537" s="59">
        <f>Данные!A537</f>
        <v>5791</v>
      </c>
      <c r="B537" s="59">
        <f>Данные!B537</f>
        <v>2017</v>
      </c>
      <c r="C537" s="59" t="str">
        <f>Данные!C537</f>
        <v>физической электроники</v>
      </c>
      <c r="D537" s="59" t="str">
        <f>Данные!D537</f>
        <v>Лужков Александр Альбертович</v>
      </c>
      <c r="E537" s="59" t="str">
        <f>Данные!E537</f>
        <v>кандидат физ.-мат. наук</v>
      </c>
      <c r="F537" s="59" t="str">
        <f>Данные!F537</f>
        <v>доцент</v>
      </c>
      <c r="G537" s="59">
        <f>Данные!G537</f>
        <v>1</v>
      </c>
      <c r="H537" s="59">
        <f>Данные!H537</f>
        <v>16591</v>
      </c>
      <c r="I537" s="59" t="str">
        <f>Данные!I537</f>
        <v>Модуль "Естественно-математический". Физика</v>
      </c>
      <c r="J537" s="59">
        <f>Данные!J537</f>
        <v>0</v>
      </c>
      <c r="K537" s="59">
        <f>Данные!K537</f>
        <v>0</v>
      </c>
      <c r="L537" s="59">
        <f>Данные!L537</f>
        <v>72</v>
      </c>
      <c r="M537" s="60">
        <f t="shared" si="72"/>
        <v>7.2</v>
      </c>
      <c r="N537" s="60">
        <f t="shared" ca="1" si="73"/>
        <v>11.57</v>
      </c>
      <c r="O537" s="60">
        <f t="shared" ca="1" si="74"/>
        <v>7.25</v>
      </c>
      <c r="P537" s="60">
        <f t="shared" ca="1" si="75"/>
        <v>7.25</v>
      </c>
      <c r="Q537" s="54">
        <f>Данные!Q537</f>
        <v>0</v>
      </c>
      <c r="R537" s="54">
        <f>Данные!R537</f>
        <v>0</v>
      </c>
      <c r="S537" s="54">
        <f>Данные!S537</f>
        <v>0</v>
      </c>
      <c r="T537" s="54">
        <f>Данные!T537</f>
        <v>0</v>
      </c>
      <c r="U537" s="54">
        <f>Данные!U537</f>
        <v>0</v>
      </c>
      <c r="V537" s="54">
        <f>Данные!V537</f>
        <v>0</v>
      </c>
      <c r="W537" s="54">
        <f ca="1">Данные!W537</f>
        <v>29</v>
      </c>
      <c r="X537" s="54" t="str">
        <f ca="1">Данные!X537</f>
        <v>1</v>
      </c>
      <c r="Y537" s="54" t="str">
        <f ca="1">Данные!Y537</f>
        <v>2</v>
      </c>
      <c r="Z537" s="54">
        <f>Данные!Z537</f>
        <v>0</v>
      </c>
      <c r="AA537" s="54" t="str">
        <f>Данные!AA537</f>
        <v>осн</v>
      </c>
      <c r="AB537" s="101">
        <f t="shared" si="76"/>
        <v>800</v>
      </c>
      <c r="AC537" s="101" t="str">
        <f t="shared" si="77"/>
        <v>ИВТ (бак)</v>
      </c>
      <c r="AD537" s="101" t="str">
        <f t="shared" si="78"/>
        <v>2017–2018</v>
      </c>
      <c r="AE537" s="102">
        <f t="shared" ca="1" si="79"/>
        <v>105.27000000000001</v>
      </c>
      <c r="AF537" s="103">
        <f t="shared" ca="1" si="80"/>
        <v>0.13158750000000002</v>
      </c>
      <c r="AG537" s="101"/>
      <c r="AH537" s="101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Q537" s="72">
        <v>0</v>
      </c>
      <c r="BR537" s="72">
        <v>0</v>
      </c>
      <c r="BS537" s="72">
        <v>0</v>
      </c>
      <c r="BT537" s="72">
        <v>0</v>
      </c>
      <c r="BU537" s="72">
        <v>0</v>
      </c>
      <c r="BV537" s="72">
        <v>0</v>
      </c>
      <c r="BW537" s="72">
        <v>0</v>
      </c>
      <c r="BX537" s="72">
        <v>0</v>
      </c>
      <c r="BY537" s="72">
        <v>0</v>
      </c>
      <c r="BZ537" s="72">
        <v>0</v>
      </c>
      <c r="CA537" s="72">
        <v>0</v>
      </c>
      <c r="CB537" s="72">
        <v>0</v>
      </c>
      <c r="CC537" s="72">
        <v>0</v>
      </c>
      <c r="CD537" s="72">
        <v>0</v>
      </c>
      <c r="CE537" s="72">
        <v>0</v>
      </c>
      <c r="CF537" s="72">
        <v>0</v>
      </c>
      <c r="CG537" s="72">
        <v>0</v>
      </c>
      <c r="CH537" s="72">
        <v>0</v>
      </c>
      <c r="CI537" s="72">
        <v>0</v>
      </c>
      <c r="CJ537" s="72">
        <v>0</v>
      </c>
      <c r="CK537" s="72">
        <v>0</v>
      </c>
      <c r="CL537" s="72">
        <v>0</v>
      </c>
      <c r="CM537" s="72">
        <v>0</v>
      </c>
      <c r="CN537" s="72">
        <v>0</v>
      </c>
      <c r="CO537" s="72">
        <v>0</v>
      </c>
      <c r="CP537" s="72">
        <v>0</v>
      </c>
      <c r="CQ537" s="72">
        <v>0</v>
      </c>
      <c r="CR537" s="72">
        <v>0</v>
      </c>
      <c r="CS537" s="72">
        <v>0</v>
      </c>
      <c r="CT537" s="72">
        <v>0</v>
      </c>
      <c r="CU537" s="72">
        <v>0</v>
      </c>
      <c r="CV537" s="72">
        <v>0</v>
      </c>
      <c r="CW537" s="72">
        <v>0</v>
      </c>
      <c r="CX537" s="72">
        <v>0</v>
      </c>
      <c r="CY537" s="72">
        <v>0</v>
      </c>
      <c r="CZ537" s="72">
        <v>0</v>
      </c>
      <c r="DA537" s="72">
        <v>0</v>
      </c>
      <c r="DB537" s="72">
        <v>0</v>
      </c>
      <c r="DC537" s="72">
        <v>0</v>
      </c>
      <c r="DD537" s="72">
        <v>0</v>
      </c>
      <c r="DE537" s="72">
        <v>0</v>
      </c>
      <c r="DF537" s="72">
        <v>0</v>
      </c>
      <c r="DG537" s="72">
        <v>0</v>
      </c>
      <c r="DH537" s="72">
        <v>0</v>
      </c>
      <c r="DI537" s="72">
        <v>0</v>
      </c>
      <c r="DJ537" s="72">
        <v>0</v>
      </c>
      <c r="DK537" s="72">
        <v>0</v>
      </c>
      <c r="DL537" s="72">
        <v>0</v>
      </c>
      <c r="DM537" s="72">
        <v>0</v>
      </c>
      <c r="DN537" s="72">
        <v>0</v>
      </c>
      <c r="DO537" s="72">
        <v>0</v>
      </c>
      <c r="DP537" s="72">
        <v>0</v>
      </c>
      <c r="DQ537" s="72">
        <v>0</v>
      </c>
      <c r="DR537" s="72">
        <v>0</v>
      </c>
      <c r="DS537" s="72">
        <v>0</v>
      </c>
      <c r="DT537" s="72">
        <v>0</v>
      </c>
      <c r="DU537" s="72">
        <v>0</v>
      </c>
      <c r="DV537" s="72">
        <v>0</v>
      </c>
      <c r="DW537" s="72">
        <v>0</v>
      </c>
      <c r="DX537" s="72">
        <v>0</v>
      </c>
      <c r="DY537" s="72">
        <v>0</v>
      </c>
      <c r="DZ537" s="72">
        <v>0</v>
      </c>
      <c r="EA537" s="72">
        <v>0</v>
      </c>
      <c r="EB537" s="72">
        <v>0</v>
      </c>
      <c r="EC537" s="72">
        <v>0</v>
      </c>
      <c r="ED537" s="72">
        <v>0</v>
      </c>
      <c r="EE537" s="72">
        <v>0</v>
      </c>
      <c r="EF537" s="72">
        <v>0</v>
      </c>
      <c r="EG537" s="72">
        <v>0</v>
      </c>
      <c r="EH537" s="72">
        <v>0</v>
      </c>
      <c r="EI537" s="72">
        <v>0</v>
      </c>
      <c r="EJ537" s="72">
        <v>0</v>
      </c>
      <c r="EK537" s="72">
        <v>0</v>
      </c>
      <c r="EL537" s="72">
        <v>0</v>
      </c>
    </row>
    <row r="538" spans="1:142" x14ac:dyDescent="0.35">
      <c r="A538" s="59">
        <f>Данные!A538</f>
        <v>5791</v>
      </c>
      <c r="B538" s="59">
        <f>Данные!B538</f>
        <v>2017</v>
      </c>
      <c r="C538" s="59" t="str">
        <f>Данные!C538</f>
        <v>физической электроники</v>
      </c>
      <c r="D538" s="59" t="str">
        <f>Данные!D538</f>
        <v>Серегин Павел Павлович</v>
      </c>
      <c r="E538" s="59" t="str">
        <f>Данные!E538</f>
        <v>доктор физ.-мат. наук</v>
      </c>
      <c r="F538" s="59" t="str">
        <f>Данные!F538</f>
        <v>профессор</v>
      </c>
      <c r="G538" s="59">
        <f>Данные!G538</f>
        <v>1</v>
      </c>
      <c r="H538" s="59">
        <f>Данные!H538</f>
        <v>16591</v>
      </c>
      <c r="I538" s="59" t="str">
        <f>Данные!I538</f>
        <v>Модуль "Естественно-математический". Физика</v>
      </c>
      <c r="J538" s="59">
        <f>Данные!J538</f>
        <v>36</v>
      </c>
      <c r="K538" s="59">
        <f>Данные!K538</f>
        <v>0</v>
      </c>
      <c r="L538" s="59">
        <f>Данные!L538</f>
        <v>0</v>
      </c>
      <c r="M538" s="60">
        <f t="shared" si="72"/>
        <v>3.6</v>
      </c>
      <c r="N538" s="60">
        <f t="shared" ca="1" si="73"/>
        <v>11.57</v>
      </c>
      <c r="O538" s="60">
        <f t="shared" ca="1" si="74"/>
        <v>7.25</v>
      </c>
      <c r="P538" s="60">
        <f t="shared" ca="1" si="75"/>
        <v>7.25</v>
      </c>
      <c r="Q538" s="54">
        <f>Данные!Q538</f>
        <v>0</v>
      </c>
      <c r="R538" s="54">
        <f>Данные!R538</f>
        <v>0</v>
      </c>
      <c r="S538" s="54">
        <f>Данные!S538</f>
        <v>0</v>
      </c>
      <c r="T538" s="54">
        <f>Данные!T538</f>
        <v>0</v>
      </c>
      <c r="U538" s="54">
        <f>Данные!U538</f>
        <v>0</v>
      </c>
      <c r="V538" s="54">
        <f>Данные!V538</f>
        <v>0</v>
      </c>
      <c r="W538" s="54">
        <f ca="1">Данные!W538</f>
        <v>29</v>
      </c>
      <c r="X538" s="54" t="str">
        <f ca="1">Данные!X538</f>
        <v>1</v>
      </c>
      <c r="Y538" s="54" t="str">
        <f ca="1">Данные!Y538</f>
        <v>2</v>
      </c>
      <c r="Z538" s="54">
        <f>Данные!Z538</f>
        <v>0</v>
      </c>
      <c r="AA538" s="54" t="str">
        <f>Данные!AA538</f>
        <v>осн</v>
      </c>
      <c r="AB538" s="101">
        <f t="shared" si="76"/>
        <v>750</v>
      </c>
      <c r="AC538" s="101" t="str">
        <f t="shared" si="77"/>
        <v>ИВТ (бак)</v>
      </c>
      <c r="AD538" s="101" t="str">
        <f t="shared" si="78"/>
        <v>2017–2018</v>
      </c>
      <c r="AE538" s="102">
        <f t="shared" ca="1" si="79"/>
        <v>65.67</v>
      </c>
      <c r="AF538" s="103">
        <f t="shared" ca="1" si="80"/>
        <v>8.7559999999999999E-2</v>
      </c>
      <c r="AG538" s="101"/>
      <c r="AH538" s="101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Q538" s="72">
        <v>0</v>
      </c>
      <c r="BR538" s="72">
        <v>0</v>
      </c>
      <c r="BS538" s="72">
        <v>0</v>
      </c>
      <c r="BT538" s="72">
        <v>0</v>
      </c>
      <c r="BU538" s="72">
        <v>0</v>
      </c>
      <c r="BV538" s="72">
        <v>0</v>
      </c>
      <c r="BW538" s="72">
        <v>0</v>
      </c>
      <c r="BX538" s="72">
        <v>0</v>
      </c>
      <c r="BY538" s="72">
        <v>0</v>
      </c>
      <c r="BZ538" s="72">
        <v>0</v>
      </c>
      <c r="CA538" s="72">
        <v>0</v>
      </c>
      <c r="CB538" s="72">
        <v>0</v>
      </c>
      <c r="CC538" s="72">
        <v>0</v>
      </c>
      <c r="CD538" s="72">
        <v>0</v>
      </c>
      <c r="CE538" s="72">
        <v>0</v>
      </c>
      <c r="CF538" s="72">
        <v>0</v>
      </c>
      <c r="CG538" s="72">
        <v>0</v>
      </c>
      <c r="CH538" s="72">
        <v>0</v>
      </c>
      <c r="CI538" s="72">
        <v>0</v>
      </c>
      <c r="CJ538" s="72">
        <v>0</v>
      </c>
      <c r="CK538" s="72">
        <v>0</v>
      </c>
      <c r="CL538" s="72">
        <v>0</v>
      </c>
      <c r="CM538" s="72">
        <v>0</v>
      </c>
      <c r="CN538" s="72">
        <v>0</v>
      </c>
      <c r="CO538" s="72">
        <v>0</v>
      </c>
      <c r="CP538" s="72">
        <v>0</v>
      </c>
      <c r="CQ538" s="72">
        <v>0</v>
      </c>
      <c r="CR538" s="72">
        <v>0</v>
      </c>
      <c r="CS538" s="72">
        <v>0</v>
      </c>
      <c r="CT538" s="72">
        <v>0</v>
      </c>
      <c r="CU538" s="72">
        <v>0</v>
      </c>
      <c r="CV538" s="72">
        <v>0</v>
      </c>
      <c r="CW538" s="72">
        <v>0</v>
      </c>
      <c r="CX538" s="72">
        <v>0</v>
      </c>
      <c r="CY538" s="72">
        <v>0</v>
      </c>
      <c r="CZ538" s="72">
        <v>0</v>
      </c>
      <c r="DA538" s="72">
        <v>0</v>
      </c>
      <c r="DB538" s="72">
        <v>0</v>
      </c>
      <c r="DC538" s="72">
        <v>0</v>
      </c>
      <c r="DD538" s="72">
        <v>0</v>
      </c>
      <c r="DE538" s="72">
        <v>0</v>
      </c>
      <c r="DF538" s="72">
        <v>0</v>
      </c>
      <c r="DG538" s="72">
        <v>0</v>
      </c>
      <c r="DH538" s="72">
        <v>0</v>
      </c>
      <c r="DI538" s="72">
        <v>0</v>
      </c>
      <c r="DJ538" s="72">
        <v>0</v>
      </c>
      <c r="DK538" s="72">
        <v>0</v>
      </c>
      <c r="DL538" s="72">
        <v>0</v>
      </c>
      <c r="DM538" s="72">
        <v>0</v>
      </c>
      <c r="DN538" s="72">
        <v>0</v>
      </c>
      <c r="DO538" s="72">
        <v>0</v>
      </c>
      <c r="DP538" s="72">
        <v>0</v>
      </c>
      <c r="DQ538" s="72">
        <v>0</v>
      </c>
      <c r="DR538" s="72">
        <v>0</v>
      </c>
      <c r="DS538" s="72">
        <v>0</v>
      </c>
      <c r="DT538" s="72">
        <v>0</v>
      </c>
      <c r="DU538" s="72">
        <v>0</v>
      </c>
      <c r="DV538" s="72">
        <v>0</v>
      </c>
      <c r="DW538" s="72">
        <v>0</v>
      </c>
      <c r="DX538" s="72">
        <v>0</v>
      </c>
      <c r="DY538" s="72">
        <v>0</v>
      </c>
      <c r="DZ538" s="72">
        <v>0</v>
      </c>
      <c r="EA538" s="72">
        <v>0</v>
      </c>
      <c r="EB538" s="72">
        <v>0</v>
      </c>
      <c r="EC538" s="72">
        <v>0</v>
      </c>
      <c r="ED538" s="72">
        <v>0</v>
      </c>
      <c r="EE538" s="72">
        <v>0</v>
      </c>
      <c r="EF538" s="72">
        <v>0</v>
      </c>
      <c r="EG538" s="72">
        <v>0</v>
      </c>
      <c r="EH538" s="72">
        <v>0</v>
      </c>
      <c r="EI538" s="72">
        <v>0</v>
      </c>
      <c r="EJ538" s="72">
        <v>0</v>
      </c>
      <c r="EK538" s="72">
        <v>0</v>
      </c>
      <c r="EL538" s="72">
        <v>0</v>
      </c>
    </row>
    <row r="539" spans="1:142" x14ac:dyDescent="0.35">
      <c r="A539" s="59">
        <f>Данные!A539</f>
        <v>5791</v>
      </c>
      <c r="B539" s="59">
        <f>Данные!B539</f>
        <v>2017</v>
      </c>
      <c r="C539" s="59" t="str">
        <f>Данные!C539</f>
        <v>экономической теории и экономического образования</v>
      </c>
      <c r="D539" s="59" t="str">
        <f>Данные!D539</f>
        <v>Тихонова Анастасия Михайловна</v>
      </c>
      <c r="E539" s="59" t="str">
        <f>Данные!E539</f>
        <v>нет</v>
      </c>
      <c r="F539" s="59" t="str">
        <f>Данные!F539</f>
        <v>старший преподаватель</v>
      </c>
      <c r="G539" s="59">
        <f>Данные!G539</f>
        <v>1</v>
      </c>
      <c r="H539" s="59">
        <f>Данные!H539</f>
        <v>16591</v>
      </c>
      <c r="I539" s="59" t="str">
        <f>Данные!I539</f>
        <v>Модуль "Экономикo-правовой". Экономика</v>
      </c>
      <c r="J539" s="59">
        <f>Данные!J539</f>
        <v>24</v>
      </c>
      <c r="K539" s="59">
        <f>Данные!K539</f>
        <v>30</v>
      </c>
      <c r="L539" s="59">
        <f>Данные!L539</f>
        <v>0</v>
      </c>
      <c r="M539" s="60">
        <f t="shared" si="72"/>
        <v>5.4</v>
      </c>
      <c r="N539" s="60">
        <f t="shared" ca="1" si="73"/>
        <v>11.57</v>
      </c>
      <c r="O539" s="60">
        <f t="shared" ca="1" si="74"/>
        <v>7.25</v>
      </c>
      <c r="P539" s="60">
        <f t="shared" ca="1" si="75"/>
        <v>7.25</v>
      </c>
      <c r="Q539" s="54">
        <f>Данные!Q539</f>
        <v>0</v>
      </c>
      <c r="R539" s="54">
        <f>Данные!R539</f>
        <v>0</v>
      </c>
      <c r="S539" s="54">
        <f>Данные!S539</f>
        <v>0</v>
      </c>
      <c r="T539" s="54">
        <f>Данные!T539</f>
        <v>0</v>
      </c>
      <c r="U539" s="54">
        <f>Данные!U539</f>
        <v>0</v>
      </c>
      <c r="V539" s="54">
        <f>Данные!V539</f>
        <v>0</v>
      </c>
      <c r="W539" s="54">
        <f ca="1">Данные!W539</f>
        <v>29</v>
      </c>
      <c r="X539" s="54" t="str">
        <f ca="1">Данные!X539</f>
        <v>1</v>
      </c>
      <c r="Y539" s="54" t="str">
        <f ca="1">Данные!Y539</f>
        <v>2</v>
      </c>
      <c r="Z539" s="54">
        <f>Данные!Z539</f>
        <v>0</v>
      </c>
      <c r="AA539" s="54" t="str">
        <f>Данные!AA539</f>
        <v>осн</v>
      </c>
      <c r="AB539" s="101">
        <f t="shared" si="76"/>
        <v>850</v>
      </c>
      <c r="AC539" s="101" t="str">
        <f t="shared" si="77"/>
        <v>ИВТ (бак)</v>
      </c>
      <c r="AD539" s="101" t="str">
        <f t="shared" si="78"/>
        <v>2017–2018</v>
      </c>
      <c r="AE539" s="102">
        <f t="shared" ca="1" si="79"/>
        <v>85.47</v>
      </c>
      <c r="AF539" s="103">
        <f t="shared" ca="1" si="80"/>
        <v>0.10055294117647058</v>
      </c>
      <c r="AG539" s="101"/>
      <c r="AH539" s="101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Q539" s="72">
        <v>0</v>
      </c>
      <c r="BR539" s="72">
        <v>0</v>
      </c>
      <c r="BS539" s="72">
        <v>0</v>
      </c>
      <c r="BT539" s="72">
        <v>0</v>
      </c>
      <c r="BU539" s="72">
        <v>0</v>
      </c>
      <c r="BV539" s="72">
        <v>0</v>
      </c>
      <c r="BW539" s="72">
        <v>0</v>
      </c>
      <c r="BX539" s="72">
        <v>0</v>
      </c>
      <c r="BY539" s="72">
        <v>0</v>
      </c>
      <c r="BZ539" s="72">
        <v>0</v>
      </c>
      <c r="CA539" s="72">
        <v>0</v>
      </c>
      <c r="CB539" s="72">
        <v>0</v>
      </c>
      <c r="CC539" s="72">
        <v>0</v>
      </c>
      <c r="CD539" s="72">
        <v>0</v>
      </c>
      <c r="CE539" s="72">
        <v>0</v>
      </c>
      <c r="CF539" s="72">
        <v>0</v>
      </c>
      <c r="CG539" s="72">
        <v>0</v>
      </c>
      <c r="CH539" s="72">
        <v>0</v>
      </c>
      <c r="CI539" s="72">
        <v>0</v>
      </c>
      <c r="CJ539" s="72">
        <v>0</v>
      </c>
      <c r="CK539" s="72">
        <v>0</v>
      </c>
      <c r="CL539" s="72">
        <v>0</v>
      </c>
      <c r="CM539" s="72">
        <v>0</v>
      </c>
      <c r="CN539" s="72">
        <v>0</v>
      </c>
      <c r="CO539" s="72">
        <v>0</v>
      </c>
      <c r="CP539" s="72">
        <v>0</v>
      </c>
      <c r="CQ539" s="72">
        <v>0</v>
      </c>
      <c r="CR539" s="72">
        <v>0</v>
      </c>
      <c r="CS539" s="72">
        <v>0</v>
      </c>
      <c r="CT539" s="72">
        <v>0</v>
      </c>
      <c r="CU539" s="72">
        <v>0</v>
      </c>
      <c r="CV539" s="72">
        <v>0</v>
      </c>
      <c r="CW539" s="72">
        <v>0</v>
      </c>
      <c r="CX539" s="72">
        <v>0</v>
      </c>
      <c r="CY539" s="72">
        <v>0</v>
      </c>
      <c r="CZ539" s="72">
        <v>0</v>
      </c>
      <c r="DA539" s="72">
        <v>0</v>
      </c>
      <c r="DB539" s="72">
        <v>0</v>
      </c>
      <c r="DC539" s="72">
        <v>0</v>
      </c>
      <c r="DD539" s="72">
        <v>0</v>
      </c>
      <c r="DE539" s="72">
        <v>0</v>
      </c>
      <c r="DF539" s="72">
        <v>0</v>
      </c>
      <c r="DG539" s="72">
        <v>0</v>
      </c>
      <c r="DH539" s="72">
        <v>0</v>
      </c>
      <c r="DI539" s="72">
        <v>0</v>
      </c>
      <c r="DJ539" s="72">
        <v>0</v>
      </c>
      <c r="DK539" s="72">
        <v>0</v>
      </c>
      <c r="DL539" s="72">
        <v>0</v>
      </c>
      <c r="DM539" s="72">
        <v>0</v>
      </c>
      <c r="DN539" s="72">
        <v>0</v>
      </c>
      <c r="DO539" s="72">
        <v>0</v>
      </c>
      <c r="DP539" s="72">
        <v>0</v>
      </c>
      <c r="DQ539" s="72">
        <v>0</v>
      </c>
      <c r="DR539" s="72">
        <v>0</v>
      </c>
      <c r="DS539" s="72">
        <v>0</v>
      </c>
      <c r="DT539" s="72">
        <v>0</v>
      </c>
      <c r="DU539" s="72">
        <v>0</v>
      </c>
      <c r="DV539" s="72">
        <v>0</v>
      </c>
      <c r="DW539" s="72">
        <v>0</v>
      </c>
      <c r="DX539" s="72">
        <v>0</v>
      </c>
      <c r="DY539" s="72">
        <v>0</v>
      </c>
      <c r="DZ539" s="72">
        <v>0</v>
      </c>
      <c r="EA539" s="72">
        <v>0</v>
      </c>
      <c r="EB539" s="72">
        <v>0</v>
      </c>
      <c r="EC539" s="72">
        <v>0</v>
      </c>
      <c r="ED539" s="72">
        <v>0</v>
      </c>
      <c r="EE539" s="72">
        <v>0</v>
      </c>
      <c r="EF539" s="72">
        <v>0</v>
      </c>
      <c r="EG539" s="72">
        <v>0</v>
      </c>
      <c r="EH539" s="72">
        <v>0</v>
      </c>
      <c r="EI539" s="72">
        <v>0</v>
      </c>
      <c r="EJ539" s="72">
        <v>0</v>
      </c>
      <c r="EK539" s="72">
        <v>0</v>
      </c>
      <c r="EL539" s="72">
        <v>0</v>
      </c>
    </row>
    <row r="540" spans="1:142" x14ac:dyDescent="0.35">
      <c r="A540" s="59">
        <f>Данные!A540</f>
        <v>5791</v>
      </c>
      <c r="B540" s="59">
        <f>Данные!B540</f>
        <v>2018</v>
      </c>
      <c r="C540" s="59" t="str">
        <f>Данные!C540</f>
        <v>современных европейских языков</v>
      </c>
      <c r="D540" s="59" t="str">
        <f>Данные!D540</f>
        <v>Кузнецова Надежда Леонидовна</v>
      </c>
      <c r="E540" s="59" t="str">
        <f>Данные!E540</f>
        <v>нет</v>
      </c>
      <c r="F540" s="59" t="str">
        <f>Данные!F540</f>
        <v>старший преподаватель</v>
      </c>
      <c r="G540" s="59">
        <f>Данные!G540</f>
        <v>0.75</v>
      </c>
      <c r="H540" s="59">
        <f>Данные!H540</f>
        <v>17236</v>
      </c>
      <c r="I540" s="59" t="str">
        <f>Данные!I540</f>
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</c>
      <c r="J540" s="59">
        <f>Данные!J540</f>
        <v>0</v>
      </c>
      <c r="K540" s="59">
        <f>Данные!K540</f>
        <v>0</v>
      </c>
      <c r="L540" s="59">
        <f>Данные!L540</f>
        <v>36</v>
      </c>
      <c r="M540" s="60">
        <f t="shared" si="72"/>
        <v>3.6</v>
      </c>
      <c r="N540" s="60">
        <f t="shared" ca="1" si="73"/>
        <v>11.57</v>
      </c>
      <c r="O540" s="60">
        <f t="shared" ca="1" si="74"/>
        <v>7.25</v>
      </c>
      <c r="P540" s="60">
        <f t="shared" ca="1" si="75"/>
        <v>7.25</v>
      </c>
      <c r="Q540" s="54">
        <f>Данные!Q540</f>
        <v>0</v>
      </c>
      <c r="R540" s="54">
        <f>Данные!R540</f>
        <v>0</v>
      </c>
      <c r="S540" s="54">
        <f>Данные!S540</f>
        <v>0</v>
      </c>
      <c r="T540" s="54">
        <f>Данные!T540</f>
        <v>0</v>
      </c>
      <c r="U540" s="54">
        <f>Данные!U540</f>
        <v>0</v>
      </c>
      <c r="V540" s="54">
        <f>Данные!V540</f>
        <v>0</v>
      </c>
      <c r="W540" s="54">
        <f ca="1">Данные!W540</f>
        <v>29</v>
      </c>
      <c r="X540" s="54" t="str">
        <f ca="1">Данные!X540</f>
        <v>1</v>
      </c>
      <c r="Y540" s="54" t="str">
        <f ca="1">Данные!Y540</f>
        <v>2</v>
      </c>
      <c r="Z540" s="54">
        <f>Данные!Z540</f>
        <v>0</v>
      </c>
      <c r="AA540" s="54" t="str">
        <f>Данные!AA540</f>
        <v>осн</v>
      </c>
      <c r="AB540" s="101">
        <f t="shared" si="76"/>
        <v>850</v>
      </c>
      <c r="AC540" s="101" t="str">
        <f t="shared" si="77"/>
        <v>ИВТ (бак)</v>
      </c>
      <c r="AD540" s="101" t="str">
        <f t="shared" si="78"/>
        <v/>
      </c>
      <c r="AE540" s="102">
        <f t="shared" ca="1" si="79"/>
        <v>65.67</v>
      </c>
      <c r="AF540" s="103">
        <f t="shared" ca="1" si="80"/>
        <v>7.7258823529411769E-2</v>
      </c>
      <c r="AG540" s="101"/>
      <c r="AH540" s="101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Q540" s="72">
        <v>0</v>
      </c>
      <c r="BR540" s="72">
        <v>0</v>
      </c>
      <c r="BS540" s="72">
        <v>0</v>
      </c>
      <c r="BT540" s="72">
        <v>0</v>
      </c>
      <c r="BU540" s="72">
        <v>0</v>
      </c>
      <c r="BV540" s="72">
        <v>0</v>
      </c>
      <c r="BW540" s="72">
        <v>0</v>
      </c>
      <c r="BX540" s="72">
        <v>0</v>
      </c>
      <c r="BY540" s="72">
        <v>0</v>
      </c>
      <c r="BZ540" s="72">
        <v>0</v>
      </c>
      <c r="CA540" s="72">
        <v>0</v>
      </c>
      <c r="CB540" s="72">
        <v>0</v>
      </c>
      <c r="CC540" s="72">
        <v>0</v>
      </c>
      <c r="CD540" s="72">
        <v>0</v>
      </c>
      <c r="CE540" s="72">
        <v>0</v>
      </c>
      <c r="CF540" s="72">
        <v>0</v>
      </c>
      <c r="CG540" s="72">
        <v>0</v>
      </c>
      <c r="CH540" s="72">
        <v>0</v>
      </c>
      <c r="CI540" s="72">
        <v>0</v>
      </c>
      <c r="CJ540" s="72">
        <v>0</v>
      </c>
      <c r="CK540" s="72">
        <v>0</v>
      </c>
      <c r="CL540" s="72">
        <v>0</v>
      </c>
      <c r="CM540" s="72">
        <v>0</v>
      </c>
      <c r="CN540" s="72">
        <v>0</v>
      </c>
      <c r="CO540" s="72">
        <v>0</v>
      </c>
      <c r="CP540" s="72">
        <v>0</v>
      </c>
      <c r="CQ540" s="72">
        <v>0</v>
      </c>
      <c r="CR540" s="72">
        <v>0</v>
      </c>
      <c r="CS540" s="72">
        <v>0</v>
      </c>
      <c r="CT540" s="72">
        <v>0</v>
      </c>
      <c r="CU540" s="72">
        <v>0</v>
      </c>
      <c r="CV540" s="72">
        <v>0</v>
      </c>
      <c r="CW540" s="72">
        <v>0</v>
      </c>
      <c r="CX540" s="72">
        <v>0</v>
      </c>
      <c r="CY540" s="72">
        <v>0</v>
      </c>
      <c r="CZ540" s="72">
        <v>0</v>
      </c>
      <c r="DA540" s="72">
        <v>0</v>
      </c>
      <c r="DB540" s="72">
        <v>0</v>
      </c>
      <c r="DC540" s="72">
        <v>0</v>
      </c>
      <c r="DD540" s="72">
        <v>0</v>
      </c>
      <c r="DE540" s="72">
        <v>0</v>
      </c>
      <c r="DF540" s="72">
        <v>0</v>
      </c>
      <c r="DG540" s="72">
        <v>0</v>
      </c>
      <c r="DH540" s="72">
        <v>0</v>
      </c>
      <c r="DI540" s="72">
        <v>0</v>
      </c>
      <c r="DJ540" s="72">
        <v>0</v>
      </c>
      <c r="DK540" s="72">
        <v>0</v>
      </c>
      <c r="DL540" s="72">
        <v>0</v>
      </c>
      <c r="DM540" s="72">
        <v>0</v>
      </c>
      <c r="DN540" s="72">
        <v>0</v>
      </c>
      <c r="DO540" s="72">
        <v>0</v>
      </c>
      <c r="DP540" s="72">
        <v>0</v>
      </c>
      <c r="DQ540" s="72">
        <v>0</v>
      </c>
      <c r="DR540" s="72">
        <v>0</v>
      </c>
      <c r="DS540" s="72">
        <v>0</v>
      </c>
      <c r="DT540" s="72">
        <v>0</v>
      </c>
      <c r="DU540" s="72">
        <v>0</v>
      </c>
      <c r="DV540" s="72">
        <v>0</v>
      </c>
      <c r="DW540" s="72">
        <v>0</v>
      </c>
      <c r="DX540" s="72">
        <v>0</v>
      </c>
      <c r="DY540" s="72">
        <v>0</v>
      </c>
      <c r="DZ540" s="72">
        <v>0</v>
      </c>
      <c r="EA540" s="72">
        <v>0</v>
      </c>
      <c r="EB540" s="72">
        <v>0</v>
      </c>
      <c r="EC540" s="72">
        <v>0</v>
      </c>
      <c r="ED540" s="72">
        <v>0</v>
      </c>
      <c r="EE540" s="72">
        <v>0</v>
      </c>
      <c r="EF540" s="72">
        <v>0</v>
      </c>
      <c r="EG540" s="72">
        <v>0</v>
      </c>
      <c r="EH540" s="72">
        <v>0</v>
      </c>
      <c r="EI540" s="72">
        <v>0</v>
      </c>
      <c r="EJ540" s="72">
        <v>0</v>
      </c>
      <c r="EK540" s="72">
        <v>0</v>
      </c>
      <c r="EL540" s="72">
        <v>0</v>
      </c>
    </row>
    <row r="541" spans="1:142" x14ac:dyDescent="0.35">
      <c r="A541" s="59">
        <f>Данные!A541</f>
        <v>5791</v>
      </c>
      <c r="B541" s="59">
        <f>Данные!B541</f>
        <v>2018</v>
      </c>
      <c r="C541" s="59" t="str">
        <f>Данные!C541</f>
        <v>современных европейских языков</v>
      </c>
      <c r="D541" s="59" t="str">
        <f>Данные!D541</f>
        <v>Кузнецова Надежда Леонидовна</v>
      </c>
      <c r="E541" s="59" t="str">
        <f>Данные!E541</f>
        <v>нет</v>
      </c>
      <c r="F541" s="59" t="str">
        <f>Данные!F541</f>
        <v>старший преподаватель</v>
      </c>
      <c r="G541" s="59">
        <f>Данные!G541</f>
        <v>0.75</v>
      </c>
      <c r="H541" s="59">
        <f>Данные!H541</f>
        <v>17236</v>
      </c>
      <c r="I541" s="59" t="str">
        <f>Данные!I541</f>
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</c>
      <c r="J541" s="59">
        <f>Данные!J541</f>
        <v>0</v>
      </c>
      <c r="K541" s="59">
        <f>Данные!K541</f>
        <v>0</v>
      </c>
      <c r="L541" s="59">
        <f>Данные!L541</f>
        <v>18</v>
      </c>
      <c r="M541" s="60">
        <f t="shared" si="72"/>
        <v>1.8</v>
      </c>
      <c r="N541" s="60">
        <f t="shared" ca="1" si="73"/>
        <v>11.57</v>
      </c>
      <c r="O541" s="60">
        <f t="shared" ca="1" si="74"/>
        <v>7.25</v>
      </c>
      <c r="P541" s="60">
        <f t="shared" ca="1" si="75"/>
        <v>7.25</v>
      </c>
      <c r="Q541" s="54">
        <f>Данные!Q541</f>
        <v>0</v>
      </c>
      <c r="R541" s="54">
        <f>Данные!R541</f>
        <v>0</v>
      </c>
      <c r="S541" s="54">
        <f>Данные!S541</f>
        <v>0</v>
      </c>
      <c r="T541" s="54">
        <f>Данные!T541</f>
        <v>0</v>
      </c>
      <c r="U541" s="54">
        <f>Данные!U541</f>
        <v>0</v>
      </c>
      <c r="V541" s="54">
        <f>Данные!V541</f>
        <v>0</v>
      </c>
      <c r="W541" s="54">
        <f ca="1">Данные!W541</f>
        <v>29</v>
      </c>
      <c r="X541" s="54" t="str">
        <f ca="1">Данные!X541</f>
        <v>1</v>
      </c>
      <c r="Y541" s="54" t="str">
        <f ca="1">Данные!Y541</f>
        <v>2</v>
      </c>
      <c r="Z541" s="54">
        <f>Данные!Z541</f>
        <v>0</v>
      </c>
      <c r="AA541" s="54" t="str">
        <f>Данные!AA541</f>
        <v>осн</v>
      </c>
      <c r="AB541" s="101">
        <f t="shared" si="76"/>
        <v>850</v>
      </c>
      <c r="AC541" s="101" t="str">
        <f t="shared" si="77"/>
        <v>ИВТ (бак)</v>
      </c>
      <c r="AD541" s="101" t="str">
        <f t="shared" si="78"/>
        <v/>
      </c>
      <c r="AE541" s="102">
        <f t="shared" ca="1" si="79"/>
        <v>45.870000000000005</v>
      </c>
      <c r="AF541" s="103">
        <f t="shared" ca="1" si="80"/>
        <v>5.3964705882352949E-2</v>
      </c>
      <c r="AG541" s="101"/>
      <c r="AH541" s="10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Q541" s="72">
        <v>0</v>
      </c>
      <c r="BR541" s="72">
        <v>0</v>
      </c>
      <c r="BS541" s="72">
        <v>0</v>
      </c>
      <c r="BT541" s="72">
        <v>0</v>
      </c>
      <c r="BU541" s="72">
        <v>0</v>
      </c>
      <c r="BV541" s="72">
        <v>0</v>
      </c>
      <c r="BW541" s="72">
        <v>0</v>
      </c>
      <c r="BX541" s="72">
        <v>0</v>
      </c>
      <c r="BY541" s="72">
        <v>0</v>
      </c>
      <c r="BZ541" s="72">
        <v>0</v>
      </c>
      <c r="CA541" s="72">
        <v>0</v>
      </c>
      <c r="CB541" s="72">
        <v>0</v>
      </c>
      <c r="CC541" s="72">
        <v>0</v>
      </c>
      <c r="CD541" s="72">
        <v>0</v>
      </c>
      <c r="CE541" s="72">
        <v>0</v>
      </c>
      <c r="CF541" s="72">
        <v>0</v>
      </c>
      <c r="CG541" s="72">
        <v>0</v>
      </c>
      <c r="CH541" s="72">
        <v>0</v>
      </c>
      <c r="CI541" s="72">
        <v>0</v>
      </c>
      <c r="CJ541" s="72">
        <v>0</v>
      </c>
      <c r="CK541" s="72">
        <v>0</v>
      </c>
      <c r="CL541" s="72">
        <v>0</v>
      </c>
      <c r="CM541" s="72">
        <v>0</v>
      </c>
      <c r="CN541" s="72">
        <v>0</v>
      </c>
      <c r="CO541" s="72">
        <v>0</v>
      </c>
      <c r="CP541" s="72">
        <v>0</v>
      </c>
      <c r="CQ541" s="72">
        <v>0</v>
      </c>
      <c r="CR541" s="72">
        <v>0</v>
      </c>
      <c r="CS541" s="72">
        <v>0</v>
      </c>
      <c r="CT541" s="72">
        <v>0</v>
      </c>
      <c r="CU541" s="72">
        <v>0</v>
      </c>
      <c r="CV541" s="72">
        <v>0</v>
      </c>
      <c r="CW541" s="72">
        <v>0</v>
      </c>
      <c r="CX541" s="72">
        <v>0</v>
      </c>
      <c r="CY541" s="72">
        <v>0</v>
      </c>
      <c r="CZ541" s="72">
        <v>0</v>
      </c>
      <c r="DA541" s="72">
        <v>0</v>
      </c>
      <c r="DB541" s="72">
        <v>0</v>
      </c>
      <c r="DC541" s="72">
        <v>0</v>
      </c>
      <c r="DD541" s="72">
        <v>0</v>
      </c>
      <c r="DE541" s="72">
        <v>0</v>
      </c>
      <c r="DF541" s="72">
        <v>0</v>
      </c>
      <c r="DG541" s="72">
        <v>0</v>
      </c>
      <c r="DH541" s="72">
        <v>0</v>
      </c>
      <c r="DI541" s="72">
        <v>0</v>
      </c>
      <c r="DJ541" s="72">
        <v>0</v>
      </c>
      <c r="DK541" s="72">
        <v>0</v>
      </c>
      <c r="DL541" s="72">
        <v>0</v>
      </c>
      <c r="DM541" s="72">
        <v>0</v>
      </c>
      <c r="DN541" s="72">
        <v>0</v>
      </c>
      <c r="DO541" s="72">
        <v>0</v>
      </c>
      <c r="DP541" s="72">
        <v>0</v>
      </c>
      <c r="DQ541" s="72">
        <v>0</v>
      </c>
      <c r="DR541" s="72">
        <v>0</v>
      </c>
      <c r="DS541" s="72">
        <v>0</v>
      </c>
      <c r="DT541" s="72">
        <v>0</v>
      </c>
      <c r="DU541" s="72">
        <v>0</v>
      </c>
      <c r="DV541" s="72">
        <v>0</v>
      </c>
      <c r="DW541" s="72">
        <v>0</v>
      </c>
      <c r="DX541" s="72">
        <v>0</v>
      </c>
      <c r="DY541" s="72">
        <v>0</v>
      </c>
      <c r="DZ541" s="72">
        <v>0</v>
      </c>
      <c r="EA541" s="72">
        <v>0</v>
      </c>
      <c r="EB541" s="72">
        <v>0</v>
      </c>
      <c r="EC541" s="72">
        <v>0</v>
      </c>
      <c r="ED541" s="72">
        <v>0</v>
      </c>
      <c r="EE541" s="72">
        <v>0</v>
      </c>
      <c r="EF541" s="72">
        <v>0</v>
      </c>
      <c r="EG541" s="72">
        <v>0</v>
      </c>
      <c r="EH541" s="72">
        <v>0</v>
      </c>
      <c r="EI541" s="72">
        <v>0</v>
      </c>
      <c r="EJ541" s="72">
        <v>0</v>
      </c>
      <c r="EK541" s="72">
        <v>0</v>
      </c>
      <c r="EL541" s="72">
        <v>0</v>
      </c>
    </row>
    <row r="542" spans="1:142" x14ac:dyDescent="0.35">
      <c r="A542" s="59">
        <f>Данные!A542</f>
        <v>5791</v>
      </c>
      <c r="B542" s="59">
        <f>Данные!B542</f>
        <v>2018</v>
      </c>
      <c r="C542" s="59" t="str">
        <f>Данные!C542</f>
        <v>современных европейских языков</v>
      </c>
      <c r="D542" s="59" t="str">
        <f>Данные!D542</f>
        <v>Порязь Надежда Вадимовна</v>
      </c>
      <c r="E542" s="59" t="str">
        <f>Данные!E542</f>
        <v>нет</v>
      </c>
      <c r="F542" s="59" t="str">
        <f>Данные!F542</f>
        <v>старший преподаватель</v>
      </c>
      <c r="G542" s="59">
        <f>Данные!G542</f>
        <v>0.5</v>
      </c>
      <c r="H542" s="59">
        <f>Данные!H542</f>
        <v>17236</v>
      </c>
      <c r="I542" s="59" t="str">
        <f>Данные!I542</f>
        <v>Модуль "Коммуникативный". Деловое общение</v>
      </c>
      <c r="J542" s="59">
        <f>Данные!J542</f>
        <v>18</v>
      </c>
      <c r="K542" s="59">
        <f>Данные!K542</f>
        <v>18</v>
      </c>
      <c r="L542" s="59">
        <f>Данные!L542</f>
        <v>0</v>
      </c>
      <c r="M542" s="60">
        <f t="shared" si="72"/>
        <v>3.6</v>
      </c>
      <c r="N542" s="60">
        <f t="shared" ca="1" si="73"/>
        <v>11.57</v>
      </c>
      <c r="O542" s="60">
        <f t="shared" ca="1" si="74"/>
        <v>7.25</v>
      </c>
      <c r="P542" s="60">
        <f t="shared" ca="1" si="75"/>
        <v>7.25</v>
      </c>
      <c r="Q542" s="54">
        <f>Данные!Q542</f>
        <v>0</v>
      </c>
      <c r="R542" s="54">
        <f>Данные!R542</f>
        <v>0</v>
      </c>
      <c r="S542" s="54">
        <f>Данные!S542</f>
        <v>0</v>
      </c>
      <c r="T542" s="54">
        <f>Данные!T542</f>
        <v>0</v>
      </c>
      <c r="U542" s="54">
        <f>Данные!U542</f>
        <v>0</v>
      </c>
      <c r="V542" s="54">
        <f>Данные!V542</f>
        <v>0</v>
      </c>
      <c r="W542" s="54">
        <f ca="1">Данные!W542</f>
        <v>29</v>
      </c>
      <c r="X542" s="54" t="str">
        <f ca="1">Данные!X542</f>
        <v>1</v>
      </c>
      <c r="Y542" s="54" t="str">
        <f ca="1">Данные!Y542</f>
        <v>2</v>
      </c>
      <c r="Z542" s="54">
        <f>Данные!Z542</f>
        <v>0</v>
      </c>
      <c r="AA542" s="54" t="str">
        <f>Данные!AA542</f>
        <v>доп</v>
      </c>
      <c r="AB542" s="101">
        <f t="shared" si="76"/>
        <v>850</v>
      </c>
      <c r="AC542" s="101" t="str">
        <f t="shared" si="77"/>
        <v>ИВТ (бак)</v>
      </c>
      <c r="AD542" s="101" t="str">
        <f t="shared" si="78"/>
        <v/>
      </c>
      <c r="AE542" s="102">
        <f t="shared" ca="1" si="79"/>
        <v>65.67</v>
      </c>
      <c r="AF542" s="103">
        <f t="shared" ca="1" si="80"/>
        <v>7.7258823529411769E-2</v>
      </c>
      <c r="AG542" s="101"/>
      <c r="AH542" s="101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Q542" s="72">
        <v>0</v>
      </c>
      <c r="BR542" s="72">
        <v>0</v>
      </c>
      <c r="BS542" s="72">
        <v>0</v>
      </c>
      <c r="BT542" s="72">
        <v>0</v>
      </c>
      <c r="BU542" s="72">
        <v>0</v>
      </c>
      <c r="BV542" s="72">
        <v>0</v>
      </c>
      <c r="BW542" s="72">
        <v>0</v>
      </c>
      <c r="BX542" s="72">
        <v>0</v>
      </c>
      <c r="BY542" s="72">
        <v>0</v>
      </c>
      <c r="BZ542" s="72">
        <v>0</v>
      </c>
      <c r="CA542" s="72">
        <v>0</v>
      </c>
      <c r="CB542" s="72">
        <v>0</v>
      </c>
      <c r="CC542" s="72">
        <v>0</v>
      </c>
      <c r="CD542" s="72">
        <v>0</v>
      </c>
      <c r="CE542" s="72">
        <v>0</v>
      </c>
      <c r="CF542" s="72">
        <v>0</v>
      </c>
      <c r="CG542" s="72">
        <v>0</v>
      </c>
      <c r="CH542" s="72">
        <v>0</v>
      </c>
      <c r="CI542" s="72">
        <v>0</v>
      </c>
      <c r="CJ542" s="72">
        <v>0</v>
      </c>
      <c r="CK542" s="72">
        <v>0</v>
      </c>
      <c r="CL542" s="72">
        <v>0</v>
      </c>
      <c r="CM542" s="72">
        <v>0</v>
      </c>
      <c r="CN542" s="72">
        <v>0</v>
      </c>
      <c r="CO542" s="72">
        <v>0</v>
      </c>
      <c r="CP542" s="72">
        <v>0</v>
      </c>
      <c r="CQ542" s="72">
        <v>0</v>
      </c>
      <c r="CR542" s="72">
        <v>0</v>
      </c>
      <c r="CS542" s="72">
        <v>0</v>
      </c>
      <c r="CT542" s="72">
        <v>0</v>
      </c>
      <c r="CU542" s="72">
        <v>0</v>
      </c>
      <c r="CV542" s="72">
        <v>0</v>
      </c>
      <c r="CW542" s="72">
        <v>0</v>
      </c>
      <c r="CX542" s="72">
        <v>0</v>
      </c>
      <c r="CY542" s="72">
        <v>0</v>
      </c>
      <c r="CZ542" s="72">
        <v>0</v>
      </c>
      <c r="DA542" s="72">
        <v>0</v>
      </c>
      <c r="DB542" s="72">
        <v>0</v>
      </c>
      <c r="DC542" s="72">
        <v>0</v>
      </c>
      <c r="DD542" s="72">
        <v>0</v>
      </c>
      <c r="DE542" s="72">
        <v>0</v>
      </c>
      <c r="DF542" s="72">
        <v>0</v>
      </c>
      <c r="DG542" s="72">
        <v>0</v>
      </c>
      <c r="DH542" s="72">
        <v>0</v>
      </c>
      <c r="DI542" s="72">
        <v>0</v>
      </c>
      <c r="DJ542" s="72">
        <v>0</v>
      </c>
      <c r="DK542" s="72">
        <v>0</v>
      </c>
      <c r="DL542" s="72">
        <v>0</v>
      </c>
      <c r="DM542" s="72">
        <v>0</v>
      </c>
      <c r="DN542" s="72">
        <v>0</v>
      </c>
      <c r="DO542" s="72">
        <v>0</v>
      </c>
      <c r="DP542" s="72">
        <v>0</v>
      </c>
      <c r="DQ542" s="72">
        <v>0</v>
      </c>
      <c r="DR542" s="72">
        <v>0</v>
      </c>
      <c r="DS542" s="72">
        <v>0</v>
      </c>
      <c r="DT542" s="72">
        <v>0</v>
      </c>
      <c r="DU542" s="72">
        <v>0</v>
      </c>
      <c r="DV542" s="72">
        <v>0</v>
      </c>
      <c r="DW542" s="72">
        <v>0</v>
      </c>
      <c r="DX542" s="72">
        <v>0</v>
      </c>
      <c r="DY542" s="72">
        <v>0</v>
      </c>
      <c r="DZ542" s="72">
        <v>0</v>
      </c>
      <c r="EA542" s="72">
        <v>0</v>
      </c>
      <c r="EB542" s="72">
        <v>0</v>
      </c>
      <c r="EC542" s="72">
        <v>0</v>
      </c>
      <c r="ED542" s="72">
        <v>0</v>
      </c>
      <c r="EE542" s="72">
        <v>0</v>
      </c>
      <c r="EF542" s="72">
        <v>0</v>
      </c>
      <c r="EG542" s="72">
        <v>0</v>
      </c>
      <c r="EH542" s="72">
        <v>0</v>
      </c>
      <c r="EI542" s="72">
        <v>0</v>
      </c>
      <c r="EJ542" s="72">
        <v>0</v>
      </c>
      <c r="EK542" s="72">
        <v>0</v>
      </c>
      <c r="EL542" s="72">
        <v>0</v>
      </c>
    </row>
    <row r="543" spans="1:142" x14ac:dyDescent="0.35">
      <c r="A543" s="59">
        <f>Данные!A543</f>
        <v>5791</v>
      </c>
      <c r="B543" s="59">
        <f>Данные!B543</f>
        <v>2017</v>
      </c>
      <c r="C543" s="59" t="str">
        <f>Данные!C543</f>
        <v xml:space="preserve"> русского языка</v>
      </c>
      <c r="D543" s="59" t="str">
        <f>Данные!D543</f>
        <v>Левина Ирина Николаевна</v>
      </c>
      <c r="E543" s="59" t="str">
        <f>Данные!E543</f>
        <v>кандидат филологических наук</v>
      </c>
      <c r="F543" s="59" t="str">
        <f>Данные!F543</f>
        <v>доцент</v>
      </c>
      <c r="G543" s="59">
        <f>Данные!G543</f>
        <v>0</v>
      </c>
      <c r="H543" s="59">
        <f>Данные!H543</f>
        <v>16591</v>
      </c>
      <c r="I543" s="59" t="str">
        <f>Данные!I543</f>
        <v>Модуль "Коммуникативный". Русский язык и культура речи</v>
      </c>
      <c r="J543" s="59">
        <f>Данные!J543</f>
        <v>18</v>
      </c>
      <c r="K543" s="59">
        <f>Данные!K543</f>
        <v>16</v>
      </c>
      <c r="L543" s="59">
        <f>Данные!L543</f>
        <v>0</v>
      </c>
      <c r="M543" s="60">
        <f t="shared" si="72"/>
        <v>3.4</v>
      </c>
      <c r="N543" s="60">
        <f t="shared" ca="1" si="73"/>
        <v>11.57</v>
      </c>
      <c r="O543" s="60">
        <f t="shared" ca="1" si="74"/>
        <v>7.25</v>
      </c>
      <c r="P543" s="60">
        <f t="shared" ca="1" si="75"/>
        <v>7.25</v>
      </c>
      <c r="Q543" s="54">
        <f>Данные!Q543</f>
        <v>0</v>
      </c>
      <c r="R543" s="54">
        <f>Данные!R543</f>
        <v>0</v>
      </c>
      <c r="S543" s="54">
        <f>Данные!S543</f>
        <v>0</v>
      </c>
      <c r="T543" s="54">
        <f>Данные!T543</f>
        <v>0</v>
      </c>
      <c r="U543" s="54">
        <f>Данные!U543</f>
        <v>0</v>
      </c>
      <c r="V543" s="54">
        <f>Данные!V543</f>
        <v>0</v>
      </c>
      <c r="W543" s="54">
        <f ca="1">Данные!W543</f>
        <v>29</v>
      </c>
      <c r="X543" s="54" t="str">
        <f ca="1">Данные!X543</f>
        <v>1</v>
      </c>
      <c r="Y543" s="54" t="str">
        <f ca="1">Данные!Y543</f>
        <v>2</v>
      </c>
      <c r="Z543" s="54">
        <f>Данные!Z543</f>
        <v>0</v>
      </c>
      <c r="AA543" s="54" t="str">
        <f>Данные!AA543</f>
        <v>осн</v>
      </c>
      <c r="AB543" s="101">
        <f t="shared" si="76"/>
        <v>800</v>
      </c>
      <c r="AC543" s="101" t="str">
        <f t="shared" si="77"/>
        <v>ИВТ (бак)</v>
      </c>
      <c r="AD543" s="101" t="str">
        <f t="shared" si="78"/>
        <v>2017–2018</v>
      </c>
      <c r="AE543" s="102">
        <f t="shared" ca="1" si="79"/>
        <v>63.47</v>
      </c>
      <c r="AF543" s="103">
        <f t="shared" ca="1" si="80"/>
        <v>7.9337500000000005E-2</v>
      </c>
      <c r="AG543" s="101"/>
      <c r="AH543" s="101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Q543" s="72">
        <v>0</v>
      </c>
      <c r="BR543" s="72">
        <v>0</v>
      </c>
      <c r="BS543" s="72">
        <v>0</v>
      </c>
      <c r="BT543" s="72">
        <v>0</v>
      </c>
      <c r="BU543" s="72">
        <v>0</v>
      </c>
      <c r="BV543" s="72">
        <v>0</v>
      </c>
      <c r="BW543" s="72">
        <v>0</v>
      </c>
      <c r="BX543" s="72">
        <v>0</v>
      </c>
      <c r="BY543" s="72">
        <v>0</v>
      </c>
      <c r="BZ543" s="72">
        <v>0</v>
      </c>
      <c r="CA543" s="72">
        <v>0</v>
      </c>
      <c r="CB543" s="72">
        <v>0</v>
      </c>
      <c r="CC543" s="72">
        <v>0</v>
      </c>
      <c r="CD543" s="72">
        <v>0</v>
      </c>
      <c r="CE543" s="72">
        <v>0</v>
      </c>
      <c r="CF543" s="72">
        <v>0</v>
      </c>
      <c r="CG543" s="72">
        <v>0</v>
      </c>
      <c r="CH543" s="72">
        <v>0</v>
      </c>
      <c r="CI543" s="72">
        <v>0</v>
      </c>
      <c r="CJ543" s="72">
        <v>0</v>
      </c>
      <c r="CK543" s="72">
        <v>0</v>
      </c>
      <c r="CL543" s="72">
        <v>0</v>
      </c>
      <c r="CM543" s="72">
        <v>0</v>
      </c>
      <c r="CN543" s="72">
        <v>0</v>
      </c>
      <c r="CO543" s="72">
        <v>0</v>
      </c>
      <c r="CP543" s="72">
        <v>0</v>
      </c>
      <c r="CQ543" s="72">
        <v>0</v>
      </c>
      <c r="CR543" s="72">
        <v>0</v>
      </c>
      <c r="CS543" s="72">
        <v>0</v>
      </c>
      <c r="CT543" s="72">
        <v>0</v>
      </c>
      <c r="CU543" s="72">
        <v>0</v>
      </c>
      <c r="CV543" s="72">
        <v>0</v>
      </c>
      <c r="CW543" s="72">
        <v>0</v>
      </c>
      <c r="CX543" s="72">
        <v>0</v>
      </c>
      <c r="CY543" s="72">
        <v>0</v>
      </c>
      <c r="CZ543" s="72">
        <v>0</v>
      </c>
      <c r="DA543" s="72">
        <v>0</v>
      </c>
      <c r="DB543" s="72">
        <v>0</v>
      </c>
      <c r="DC543" s="72">
        <v>0</v>
      </c>
      <c r="DD543" s="72">
        <v>0</v>
      </c>
      <c r="DE543" s="72">
        <v>0</v>
      </c>
      <c r="DF543" s="72">
        <v>0</v>
      </c>
      <c r="DG543" s="72">
        <v>0</v>
      </c>
      <c r="DH543" s="72">
        <v>0</v>
      </c>
      <c r="DI543" s="72">
        <v>0</v>
      </c>
      <c r="DJ543" s="72">
        <v>0</v>
      </c>
      <c r="DK543" s="72">
        <v>0</v>
      </c>
      <c r="DL543" s="72">
        <v>0</v>
      </c>
      <c r="DM543" s="72">
        <v>0</v>
      </c>
      <c r="DN543" s="72">
        <v>0</v>
      </c>
      <c r="DO543" s="72">
        <v>0</v>
      </c>
      <c r="DP543" s="72">
        <v>0</v>
      </c>
      <c r="DQ543" s="72">
        <v>0</v>
      </c>
      <c r="DR543" s="72">
        <v>0</v>
      </c>
      <c r="DS543" s="72">
        <v>0</v>
      </c>
      <c r="DT543" s="72">
        <v>0</v>
      </c>
      <c r="DU543" s="72">
        <v>0</v>
      </c>
      <c r="DV543" s="72">
        <v>0</v>
      </c>
      <c r="DW543" s="72">
        <v>0</v>
      </c>
      <c r="DX543" s="72">
        <v>0</v>
      </c>
      <c r="DY543" s="72">
        <v>0</v>
      </c>
      <c r="DZ543" s="72">
        <v>0</v>
      </c>
      <c r="EA543" s="72">
        <v>0</v>
      </c>
      <c r="EB543" s="72">
        <v>0</v>
      </c>
      <c r="EC543" s="72">
        <v>0</v>
      </c>
      <c r="ED543" s="72">
        <v>0</v>
      </c>
      <c r="EE543" s="72">
        <v>0</v>
      </c>
      <c r="EF543" s="72">
        <v>0</v>
      </c>
      <c r="EG543" s="72">
        <v>0</v>
      </c>
      <c r="EH543" s="72">
        <v>0</v>
      </c>
      <c r="EI543" s="72">
        <v>0</v>
      </c>
      <c r="EJ543" s="72">
        <v>0</v>
      </c>
      <c r="EK543" s="72">
        <v>0</v>
      </c>
      <c r="EL543" s="72">
        <v>0</v>
      </c>
    </row>
    <row r="544" spans="1:142" x14ac:dyDescent="0.35">
      <c r="A544" s="59">
        <f>Данные!A544</f>
        <v>5791</v>
      </c>
      <c r="B544" s="59">
        <f>Данные!B544</f>
        <v>2018</v>
      </c>
      <c r="C544" s="59" t="str">
        <f>Данные!C544</f>
        <v>современных европейских языков</v>
      </c>
      <c r="D544" s="59" t="str">
        <f>Данные!D544</f>
        <v>Хахалина Марина Сергеевна</v>
      </c>
      <c r="E544" s="59" t="str">
        <f>Данные!E544</f>
        <v>кандидат химических наук</v>
      </c>
      <c r="F544" s="59" t="str">
        <f>Данные!F544</f>
        <v>старший преподаватель</v>
      </c>
      <c r="G544" s="59">
        <f>Данные!G544</f>
        <v>1</v>
      </c>
      <c r="H544" s="59">
        <f>Данные!H544</f>
        <v>17236</v>
      </c>
      <c r="I544" s="59" t="str">
        <f>Данные!I544</f>
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</c>
      <c r="J544" s="59">
        <f>Данные!J544</f>
        <v>0</v>
      </c>
      <c r="K544" s="59">
        <f>Данные!K544</f>
        <v>0</v>
      </c>
      <c r="L544" s="59">
        <f>Данные!L544</f>
        <v>36</v>
      </c>
      <c r="M544" s="60">
        <f t="shared" si="72"/>
        <v>3.6</v>
      </c>
      <c r="N544" s="60">
        <f t="shared" ca="1" si="73"/>
        <v>11.57</v>
      </c>
      <c r="O544" s="60">
        <f t="shared" ca="1" si="74"/>
        <v>7.25</v>
      </c>
      <c r="P544" s="60">
        <f t="shared" ca="1" si="75"/>
        <v>7.25</v>
      </c>
      <c r="Q544" s="54">
        <f>Данные!Q544</f>
        <v>0</v>
      </c>
      <c r="R544" s="54">
        <f>Данные!R544</f>
        <v>0</v>
      </c>
      <c r="S544" s="54">
        <f>Данные!S544</f>
        <v>0</v>
      </c>
      <c r="T544" s="54">
        <f>Данные!T544</f>
        <v>0</v>
      </c>
      <c r="U544" s="54">
        <f>Данные!U544</f>
        <v>0</v>
      </c>
      <c r="V544" s="54">
        <f>Данные!V544</f>
        <v>0</v>
      </c>
      <c r="W544" s="54">
        <f ca="1">Данные!W544</f>
        <v>29</v>
      </c>
      <c r="X544" s="54" t="str">
        <f ca="1">Данные!X544</f>
        <v>1</v>
      </c>
      <c r="Y544" s="54" t="str">
        <f ca="1">Данные!Y544</f>
        <v>2</v>
      </c>
      <c r="Z544" s="54">
        <f>Данные!Z544</f>
        <v>0</v>
      </c>
      <c r="AA544" s="54" t="str">
        <f>Данные!AA544</f>
        <v>осн</v>
      </c>
      <c r="AB544" s="101">
        <f t="shared" si="76"/>
        <v>850</v>
      </c>
      <c r="AC544" s="101" t="str">
        <f t="shared" si="77"/>
        <v>ИВТ (бак)</v>
      </c>
      <c r="AD544" s="101" t="str">
        <f t="shared" si="78"/>
        <v/>
      </c>
      <c r="AE544" s="102">
        <f t="shared" ca="1" si="79"/>
        <v>65.67</v>
      </c>
      <c r="AF544" s="103">
        <f t="shared" ca="1" si="80"/>
        <v>7.7258823529411769E-2</v>
      </c>
      <c r="AG544" s="101"/>
      <c r="AH544" s="101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Q544" s="72">
        <v>0</v>
      </c>
      <c r="BR544" s="72">
        <v>0</v>
      </c>
      <c r="BS544" s="72">
        <v>0</v>
      </c>
      <c r="BT544" s="72">
        <v>0</v>
      </c>
      <c r="BU544" s="72">
        <v>0</v>
      </c>
      <c r="BV544" s="72">
        <v>0</v>
      </c>
      <c r="BW544" s="72">
        <v>0</v>
      </c>
      <c r="BX544" s="72">
        <v>0</v>
      </c>
      <c r="BY544" s="72">
        <v>0</v>
      </c>
      <c r="BZ544" s="72">
        <v>0</v>
      </c>
      <c r="CA544" s="72">
        <v>0</v>
      </c>
      <c r="CB544" s="72">
        <v>0</v>
      </c>
      <c r="CC544" s="72">
        <v>0</v>
      </c>
      <c r="CD544" s="72">
        <v>0</v>
      </c>
      <c r="CE544" s="72">
        <v>0</v>
      </c>
      <c r="CF544" s="72">
        <v>0</v>
      </c>
      <c r="CG544" s="72">
        <v>0</v>
      </c>
      <c r="CH544" s="72">
        <v>0</v>
      </c>
      <c r="CI544" s="72">
        <v>0</v>
      </c>
      <c r="CJ544" s="72">
        <v>0</v>
      </c>
      <c r="CK544" s="72">
        <v>0</v>
      </c>
      <c r="CL544" s="72">
        <v>0</v>
      </c>
      <c r="CM544" s="72">
        <v>0</v>
      </c>
      <c r="CN544" s="72">
        <v>0</v>
      </c>
      <c r="CO544" s="72">
        <v>0</v>
      </c>
      <c r="CP544" s="72">
        <v>0</v>
      </c>
      <c r="CQ544" s="72">
        <v>0</v>
      </c>
      <c r="CR544" s="72">
        <v>0</v>
      </c>
      <c r="CS544" s="72">
        <v>0</v>
      </c>
      <c r="CT544" s="72">
        <v>0</v>
      </c>
      <c r="CU544" s="72">
        <v>0</v>
      </c>
      <c r="CV544" s="72">
        <v>0</v>
      </c>
      <c r="CW544" s="72">
        <v>0</v>
      </c>
      <c r="CX544" s="72">
        <v>0</v>
      </c>
      <c r="CY544" s="72">
        <v>0</v>
      </c>
      <c r="CZ544" s="72">
        <v>0</v>
      </c>
      <c r="DA544" s="72">
        <v>0</v>
      </c>
      <c r="DB544" s="72">
        <v>0</v>
      </c>
      <c r="DC544" s="72">
        <v>0</v>
      </c>
      <c r="DD544" s="72">
        <v>0</v>
      </c>
      <c r="DE544" s="72">
        <v>0</v>
      </c>
      <c r="DF544" s="72">
        <v>0</v>
      </c>
      <c r="DG544" s="72">
        <v>0</v>
      </c>
      <c r="DH544" s="72">
        <v>0</v>
      </c>
      <c r="DI544" s="72">
        <v>0</v>
      </c>
      <c r="DJ544" s="72">
        <v>0</v>
      </c>
      <c r="DK544" s="72">
        <v>0</v>
      </c>
      <c r="DL544" s="72">
        <v>0</v>
      </c>
      <c r="DM544" s="72">
        <v>0</v>
      </c>
      <c r="DN544" s="72">
        <v>0</v>
      </c>
      <c r="DO544" s="72">
        <v>0</v>
      </c>
      <c r="DP544" s="72">
        <v>0</v>
      </c>
      <c r="DQ544" s="72">
        <v>0</v>
      </c>
      <c r="DR544" s="72">
        <v>0</v>
      </c>
      <c r="DS544" s="72">
        <v>0</v>
      </c>
      <c r="DT544" s="72">
        <v>0</v>
      </c>
      <c r="DU544" s="72">
        <v>0</v>
      </c>
      <c r="DV544" s="72">
        <v>0</v>
      </c>
      <c r="DW544" s="72">
        <v>0</v>
      </c>
      <c r="DX544" s="72">
        <v>0</v>
      </c>
      <c r="DY544" s="72">
        <v>0</v>
      </c>
      <c r="DZ544" s="72">
        <v>0</v>
      </c>
      <c r="EA544" s="72">
        <v>0</v>
      </c>
      <c r="EB544" s="72">
        <v>0</v>
      </c>
      <c r="EC544" s="72">
        <v>0</v>
      </c>
      <c r="ED544" s="72">
        <v>0</v>
      </c>
      <c r="EE544" s="72">
        <v>0</v>
      </c>
      <c r="EF544" s="72">
        <v>0</v>
      </c>
      <c r="EG544" s="72">
        <v>0</v>
      </c>
      <c r="EH544" s="72">
        <v>0</v>
      </c>
      <c r="EI544" s="72">
        <v>0</v>
      </c>
      <c r="EJ544" s="72">
        <v>0</v>
      </c>
      <c r="EK544" s="72">
        <v>0</v>
      </c>
      <c r="EL544" s="72">
        <v>0</v>
      </c>
    </row>
    <row r="545" spans="1:142" x14ac:dyDescent="0.35">
      <c r="A545" s="59">
        <f>Данные!A545</f>
        <v>5791</v>
      </c>
      <c r="B545" s="59">
        <f>Данные!B545</f>
        <v>2018</v>
      </c>
      <c r="C545" s="59" t="str">
        <f>Данные!C545</f>
        <v>современных европейских языков</v>
      </c>
      <c r="D545" s="59" t="str">
        <f>Данные!D545</f>
        <v>Хахалина Марина Сергеевна</v>
      </c>
      <c r="E545" s="59" t="str">
        <f>Данные!E545</f>
        <v>кандидат химических наук</v>
      </c>
      <c r="F545" s="59" t="str">
        <f>Данные!F545</f>
        <v>старший преподаватель</v>
      </c>
      <c r="G545" s="59">
        <f>Данные!G545</f>
        <v>1</v>
      </c>
      <c r="H545" s="59">
        <f>Данные!H545</f>
        <v>17236</v>
      </c>
      <c r="I545" s="59" t="str">
        <f>Данные!I545</f>
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</c>
      <c r="J545" s="59">
        <f>Данные!J545</f>
        <v>0</v>
      </c>
      <c r="K545" s="59">
        <f>Данные!K545</f>
        <v>0</v>
      </c>
      <c r="L545" s="59">
        <f>Данные!L545</f>
        <v>18</v>
      </c>
      <c r="M545" s="60">
        <f t="shared" si="72"/>
        <v>1.8</v>
      </c>
      <c r="N545" s="60">
        <f t="shared" ca="1" si="73"/>
        <v>11.57</v>
      </c>
      <c r="O545" s="60">
        <f t="shared" ca="1" si="74"/>
        <v>7.25</v>
      </c>
      <c r="P545" s="60">
        <f t="shared" ca="1" si="75"/>
        <v>7.25</v>
      </c>
      <c r="Q545" s="54">
        <f>Данные!Q545</f>
        <v>0</v>
      </c>
      <c r="R545" s="54">
        <f>Данные!R545</f>
        <v>0</v>
      </c>
      <c r="S545" s="54">
        <f>Данные!S545</f>
        <v>0</v>
      </c>
      <c r="T545" s="54">
        <f>Данные!T545</f>
        <v>0</v>
      </c>
      <c r="U545" s="54">
        <f>Данные!U545</f>
        <v>0</v>
      </c>
      <c r="V545" s="54">
        <f>Данные!V545</f>
        <v>0</v>
      </c>
      <c r="W545" s="54">
        <f ca="1">Данные!W545</f>
        <v>29</v>
      </c>
      <c r="X545" s="54" t="str">
        <f ca="1">Данные!X545</f>
        <v>1</v>
      </c>
      <c r="Y545" s="54" t="str">
        <f ca="1">Данные!Y545</f>
        <v>2</v>
      </c>
      <c r="Z545" s="54">
        <f>Данные!Z545</f>
        <v>0</v>
      </c>
      <c r="AA545" s="54" t="str">
        <f>Данные!AA545</f>
        <v>доп</v>
      </c>
      <c r="AB545" s="101">
        <f t="shared" si="76"/>
        <v>850</v>
      </c>
      <c r="AC545" s="101" t="str">
        <f t="shared" si="77"/>
        <v>ИВТ (бак)</v>
      </c>
      <c r="AD545" s="101" t="str">
        <f t="shared" si="78"/>
        <v/>
      </c>
      <c r="AE545" s="102">
        <f t="shared" ca="1" si="79"/>
        <v>45.870000000000005</v>
      </c>
      <c r="AF545" s="103">
        <f t="shared" ca="1" si="80"/>
        <v>5.3964705882352949E-2</v>
      </c>
      <c r="AG545" s="101"/>
      <c r="AH545" s="101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Q545" s="72">
        <v>0</v>
      </c>
      <c r="BR545" s="72">
        <v>0</v>
      </c>
      <c r="BS545" s="72">
        <v>0</v>
      </c>
      <c r="BT545" s="72">
        <v>0</v>
      </c>
      <c r="BU545" s="72">
        <v>0</v>
      </c>
      <c r="BV545" s="72">
        <v>0</v>
      </c>
      <c r="BW545" s="72">
        <v>0</v>
      </c>
      <c r="BX545" s="72">
        <v>0</v>
      </c>
      <c r="BY545" s="72">
        <v>0</v>
      </c>
      <c r="BZ545" s="72">
        <v>0</v>
      </c>
      <c r="CA545" s="72">
        <v>0</v>
      </c>
      <c r="CB545" s="72">
        <v>0</v>
      </c>
      <c r="CC545" s="72">
        <v>0</v>
      </c>
      <c r="CD545" s="72">
        <v>0</v>
      </c>
      <c r="CE545" s="72">
        <v>0</v>
      </c>
      <c r="CF545" s="72">
        <v>0</v>
      </c>
      <c r="CG545" s="72">
        <v>0</v>
      </c>
      <c r="CH545" s="72">
        <v>0</v>
      </c>
      <c r="CI545" s="72">
        <v>0</v>
      </c>
      <c r="CJ545" s="72">
        <v>0</v>
      </c>
      <c r="CK545" s="72">
        <v>0</v>
      </c>
      <c r="CL545" s="72">
        <v>0</v>
      </c>
      <c r="CM545" s="72">
        <v>0</v>
      </c>
      <c r="CN545" s="72">
        <v>0</v>
      </c>
      <c r="CO545" s="72">
        <v>0</v>
      </c>
      <c r="CP545" s="72">
        <v>0</v>
      </c>
      <c r="CQ545" s="72">
        <v>0</v>
      </c>
      <c r="CR545" s="72">
        <v>0</v>
      </c>
      <c r="CS545" s="72">
        <v>0</v>
      </c>
      <c r="CT545" s="72">
        <v>0</v>
      </c>
      <c r="CU545" s="72">
        <v>0</v>
      </c>
      <c r="CV545" s="72">
        <v>0</v>
      </c>
      <c r="CW545" s="72">
        <v>0</v>
      </c>
      <c r="CX545" s="72">
        <v>0</v>
      </c>
      <c r="CY545" s="72">
        <v>0</v>
      </c>
      <c r="CZ545" s="72">
        <v>0</v>
      </c>
      <c r="DA545" s="72">
        <v>0</v>
      </c>
      <c r="DB545" s="72">
        <v>0</v>
      </c>
      <c r="DC545" s="72">
        <v>0</v>
      </c>
      <c r="DD545" s="72">
        <v>0</v>
      </c>
      <c r="DE545" s="72">
        <v>0</v>
      </c>
      <c r="DF545" s="72">
        <v>0</v>
      </c>
      <c r="DG545" s="72">
        <v>0</v>
      </c>
      <c r="DH545" s="72">
        <v>0</v>
      </c>
      <c r="DI545" s="72">
        <v>0</v>
      </c>
      <c r="DJ545" s="72">
        <v>0</v>
      </c>
      <c r="DK545" s="72">
        <v>0</v>
      </c>
      <c r="DL545" s="72">
        <v>0</v>
      </c>
      <c r="DM545" s="72">
        <v>0</v>
      </c>
      <c r="DN545" s="72">
        <v>0</v>
      </c>
      <c r="DO545" s="72">
        <v>0</v>
      </c>
      <c r="DP545" s="72">
        <v>0</v>
      </c>
      <c r="DQ545" s="72">
        <v>0</v>
      </c>
      <c r="DR545" s="72">
        <v>0</v>
      </c>
      <c r="DS545" s="72">
        <v>0</v>
      </c>
      <c r="DT545" s="72">
        <v>0</v>
      </c>
      <c r="DU545" s="72">
        <v>0</v>
      </c>
      <c r="DV545" s="72">
        <v>0</v>
      </c>
      <c r="DW545" s="72">
        <v>0</v>
      </c>
      <c r="DX545" s="72">
        <v>0</v>
      </c>
      <c r="DY545" s="72">
        <v>0</v>
      </c>
      <c r="DZ545" s="72">
        <v>0</v>
      </c>
      <c r="EA545" s="72">
        <v>0</v>
      </c>
      <c r="EB545" s="72">
        <v>0</v>
      </c>
      <c r="EC545" s="72">
        <v>0</v>
      </c>
      <c r="ED545" s="72">
        <v>0</v>
      </c>
      <c r="EE545" s="72">
        <v>0</v>
      </c>
      <c r="EF545" s="72">
        <v>0</v>
      </c>
      <c r="EG545" s="72">
        <v>0</v>
      </c>
      <c r="EH545" s="72">
        <v>0</v>
      </c>
      <c r="EI545" s="72">
        <v>0</v>
      </c>
      <c r="EJ545" s="72">
        <v>0</v>
      </c>
      <c r="EK545" s="72">
        <v>0</v>
      </c>
      <c r="EL545" s="72">
        <v>0</v>
      </c>
    </row>
    <row r="546" spans="1:142" x14ac:dyDescent="0.35">
      <c r="A546" s="59">
        <f>Данные!A546</f>
        <v>5791</v>
      </c>
      <c r="B546" s="59">
        <f>Данные!B546</f>
        <v>2018</v>
      </c>
      <c r="C546" s="59" t="str">
        <f>Данные!C546</f>
        <v>физической электроники</v>
      </c>
      <c r="D546" s="59" t="str">
        <f>Данные!D546</f>
        <v>Лужков Александр Альбертович</v>
      </c>
      <c r="E546" s="59" t="str">
        <f>Данные!E546</f>
        <v>кандидат физ.-мат. наук</v>
      </c>
      <c r="F546" s="59" t="str">
        <f>Данные!F546</f>
        <v>доцент</v>
      </c>
      <c r="G546" s="59">
        <f>Данные!G546</f>
        <v>1</v>
      </c>
      <c r="H546" s="59">
        <f>Данные!H546</f>
        <v>17236</v>
      </c>
      <c r="I546" s="59" t="str">
        <f>Данные!I546</f>
        <v>Модуль "Естественно-математический". Физика</v>
      </c>
      <c r="J546" s="59">
        <f>Данные!J546</f>
        <v>0</v>
      </c>
      <c r="K546" s="59">
        <f>Данные!K546</f>
        <v>0</v>
      </c>
      <c r="L546" s="59">
        <f>Данные!L546</f>
        <v>144</v>
      </c>
      <c r="M546" s="60">
        <f t="shared" si="72"/>
        <v>14.4</v>
      </c>
      <c r="N546" s="60">
        <f t="shared" ca="1" si="73"/>
        <v>11.57</v>
      </c>
      <c r="O546" s="60">
        <f t="shared" ca="1" si="74"/>
        <v>7.25</v>
      </c>
      <c r="P546" s="60">
        <f t="shared" ca="1" si="75"/>
        <v>7.25</v>
      </c>
      <c r="Q546" s="54">
        <f>Данные!Q546</f>
        <v>0</v>
      </c>
      <c r="R546" s="54">
        <f>Данные!R546</f>
        <v>0</v>
      </c>
      <c r="S546" s="54">
        <f>Данные!S546</f>
        <v>0</v>
      </c>
      <c r="T546" s="54">
        <f>Данные!T546</f>
        <v>0</v>
      </c>
      <c r="U546" s="54">
        <f>Данные!U546</f>
        <v>0</v>
      </c>
      <c r="V546" s="54">
        <f>Данные!V546</f>
        <v>0</v>
      </c>
      <c r="W546" s="54">
        <f ca="1">Данные!W546</f>
        <v>29</v>
      </c>
      <c r="X546" s="54" t="str">
        <f ca="1">Данные!X546</f>
        <v>1</v>
      </c>
      <c r="Y546" s="54" t="str">
        <f ca="1">Данные!Y546</f>
        <v>2</v>
      </c>
      <c r="Z546" s="54">
        <f>Данные!Z546</f>
        <v>0</v>
      </c>
      <c r="AA546" s="54" t="str">
        <f>Данные!AA546</f>
        <v>доп</v>
      </c>
      <c r="AB546" s="101">
        <f t="shared" si="76"/>
        <v>800</v>
      </c>
      <c r="AC546" s="101" t="str">
        <f t="shared" si="77"/>
        <v>ИВТ (бак)</v>
      </c>
      <c r="AD546" s="101" t="str">
        <f t="shared" si="78"/>
        <v/>
      </c>
      <c r="AE546" s="102">
        <f t="shared" ca="1" si="79"/>
        <v>184.47</v>
      </c>
      <c r="AF546" s="103">
        <f t="shared" ca="1" si="80"/>
        <v>0.2305875</v>
      </c>
      <c r="AG546" s="101"/>
      <c r="AH546" s="101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Q546" s="72">
        <v>0</v>
      </c>
      <c r="BR546" s="72">
        <v>0</v>
      </c>
      <c r="BS546" s="72">
        <v>0</v>
      </c>
      <c r="BT546" s="72">
        <v>0</v>
      </c>
      <c r="BU546" s="72">
        <v>0</v>
      </c>
      <c r="BV546" s="72">
        <v>0</v>
      </c>
      <c r="BW546" s="72">
        <v>0</v>
      </c>
      <c r="BX546" s="72">
        <v>0</v>
      </c>
      <c r="BY546" s="72">
        <v>0</v>
      </c>
      <c r="BZ546" s="72">
        <v>0</v>
      </c>
      <c r="CA546" s="72">
        <v>0</v>
      </c>
      <c r="CB546" s="72">
        <v>0</v>
      </c>
      <c r="CC546" s="72">
        <v>0</v>
      </c>
      <c r="CD546" s="72">
        <v>0</v>
      </c>
      <c r="CE546" s="72">
        <v>0</v>
      </c>
      <c r="CF546" s="72">
        <v>0</v>
      </c>
      <c r="CG546" s="72">
        <v>0</v>
      </c>
      <c r="CH546" s="72">
        <v>0</v>
      </c>
      <c r="CI546" s="72">
        <v>0</v>
      </c>
      <c r="CJ546" s="72">
        <v>0</v>
      </c>
      <c r="CK546" s="72">
        <v>0</v>
      </c>
      <c r="CL546" s="72">
        <v>0</v>
      </c>
      <c r="CM546" s="72">
        <v>0</v>
      </c>
      <c r="CN546" s="72">
        <v>0</v>
      </c>
      <c r="CO546" s="72">
        <v>0</v>
      </c>
      <c r="CP546" s="72">
        <v>0</v>
      </c>
      <c r="CQ546" s="72">
        <v>0</v>
      </c>
      <c r="CR546" s="72">
        <v>0</v>
      </c>
      <c r="CS546" s="72">
        <v>0</v>
      </c>
      <c r="CT546" s="72">
        <v>0</v>
      </c>
      <c r="CU546" s="72">
        <v>0</v>
      </c>
      <c r="CV546" s="72">
        <v>0</v>
      </c>
      <c r="CW546" s="72">
        <v>0</v>
      </c>
      <c r="CX546" s="72">
        <v>0</v>
      </c>
      <c r="CY546" s="72">
        <v>0</v>
      </c>
      <c r="CZ546" s="72">
        <v>0</v>
      </c>
      <c r="DA546" s="72">
        <v>0</v>
      </c>
      <c r="DB546" s="72">
        <v>0</v>
      </c>
      <c r="DC546" s="72">
        <v>0</v>
      </c>
      <c r="DD546" s="72">
        <v>0</v>
      </c>
      <c r="DE546" s="72">
        <v>0</v>
      </c>
      <c r="DF546" s="72">
        <v>0</v>
      </c>
      <c r="DG546" s="72">
        <v>0</v>
      </c>
      <c r="DH546" s="72">
        <v>0</v>
      </c>
      <c r="DI546" s="72">
        <v>0</v>
      </c>
      <c r="DJ546" s="72">
        <v>0</v>
      </c>
      <c r="DK546" s="72">
        <v>0</v>
      </c>
      <c r="DL546" s="72">
        <v>0</v>
      </c>
      <c r="DM546" s="72">
        <v>0</v>
      </c>
      <c r="DN546" s="72">
        <v>0</v>
      </c>
      <c r="DO546" s="72">
        <v>0</v>
      </c>
      <c r="DP546" s="72">
        <v>0</v>
      </c>
      <c r="DQ546" s="72">
        <v>0</v>
      </c>
      <c r="DR546" s="72">
        <v>0</v>
      </c>
      <c r="DS546" s="72">
        <v>0</v>
      </c>
      <c r="DT546" s="72">
        <v>0</v>
      </c>
      <c r="DU546" s="72">
        <v>0</v>
      </c>
      <c r="DV546" s="72">
        <v>0</v>
      </c>
      <c r="DW546" s="72">
        <v>0</v>
      </c>
      <c r="DX546" s="72">
        <v>0</v>
      </c>
      <c r="DY546" s="72">
        <v>0</v>
      </c>
      <c r="DZ546" s="72">
        <v>0</v>
      </c>
      <c r="EA546" s="72">
        <v>0</v>
      </c>
      <c r="EB546" s="72">
        <v>0</v>
      </c>
      <c r="EC546" s="72">
        <v>0</v>
      </c>
      <c r="ED546" s="72">
        <v>0</v>
      </c>
      <c r="EE546" s="72">
        <v>0</v>
      </c>
      <c r="EF546" s="72">
        <v>0</v>
      </c>
      <c r="EG546" s="72">
        <v>0</v>
      </c>
      <c r="EH546" s="72">
        <v>0</v>
      </c>
      <c r="EI546" s="72">
        <v>0</v>
      </c>
      <c r="EJ546" s="72">
        <v>0</v>
      </c>
      <c r="EK546" s="72">
        <v>0</v>
      </c>
      <c r="EL546" s="72">
        <v>0</v>
      </c>
    </row>
    <row r="547" spans="1:142" x14ac:dyDescent="0.35">
      <c r="A547" s="59">
        <f>Данные!A547</f>
        <v>5791</v>
      </c>
      <c r="B547" s="59">
        <f>Данные!B547</f>
        <v>2018</v>
      </c>
      <c r="C547" s="59" t="str">
        <f>Данные!C547</f>
        <v>физической электроники</v>
      </c>
      <c r="D547" s="59" t="str">
        <f>Данные!D547</f>
        <v>Серегин Павел Павлович</v>
      </c>
      <c r="E547" s="59" t="str">
        <f>Данные!E547</f>
        <v>доктор физ.-мат. наук</v>
      </c>
      <c r="F547" s="59" t="str">
        <f>Данные!F547</f>
        <v>профессор</v>
      </c>
      <c r="G547" s="59">
        <f>Данные!G547</f>
        <v>1</v>
      </c>
      <c r="H547" s="59">
        <f>Данные!H547</f>
        <v>17236</v>
      </c>
      <c r="I547" s="59" t="str">
        <f>Данные!I547</f>
        <v>Модуль "Естественно-математический". Физика</v>
      </c>
      <c r="J547" s="59">
        <f>Данные!J547</f>
        <v>18</v>
      </c>
      <c r="K547" s="59">
        <f>Данные!K547</f>
        <v>0</v>
      </c>
      <c r="L547" s="59">
        <f>Данные!L547</f>
        <v>72</v>
      </c>
      <c r="M547" s="60">
        <f t="shared" si="72"/>
        <v>9</v>
      </c>
      <c r="N547" s="60">
        <f t="shared" ca="1" si="73"/>
        <v>11.57</v>
      </c>
      <c r="O547" s="60">
        <f t="shared" ca="1" si="74"/>
        <v>7.25</v>
      </c>
      <c r="P547" s="60">
        <f t="shared" ca="1" si="75"/>
        <v>7.25</v>
      </c>
      <c r="Q547" s="54">
        <f>Данные!Q547</f>
        <v>0</v>
      </c>
      <c r="R547" s="54">
        <f>Данные!R547</f>
        <v>0</v>
      </c>
      <c r="S547" s="54">
        <f>Данные!S547</f>
        <v>0</v>
      </c>
      <c r="T547" s="54">
        <f>Данные!T547</f>
        <v>0</v>
      </c>
      <c r="U547" s="54">
        <f>Данные!U547</f>
        <v>0</v>
      </c>
      <c r="V547" s="54">
        <f>Данные!V547</f>
        <v>0</v>
      </c>
      <c r="W547" s="54">
        <f ca="1">Данные!W547</f>
        <v>29</v>
      </c>
      <c r="X547" s="54" t="str">
        <f ca="1">Данные!X547</f>
        <v>1</v>
      </c>
      <c r="Y547" s="54" t="str">
        <f ca="1">Данные!Y547</f>
        <v>2</v>
      </c>
      <c r="Z547" s="54">
        <f>Данные!Z547</f>
        <v>0</v>
      </c>
      <c r="AA547" s="54" t="str">
        <f>Данные!AA547</f>
        <v>осн</v>
      </c>
      <c r="AB547" s="101">
        <f t="shared" si="76"/>
        <v>750</v>
      </c>
      <c r="AC547" s="101" t="str">
        <f t="shared" si="77"/>
        <v>ИВТ (бак)</v>
      </c>
      <c r="AD547" s="101" t="str">
        <f t="shared" si="78"/>
        <v/>
      </c>
      <c r="AE547" s="102">
        <f t="shared" ca="1" si="79"/>
        <v>125.07</v>
      </c>
      <c r="AF547" s="103">
        <f t="shared" ca="1" si="80"/>
        <v>0.16675999999999999</v>
      </c>
      <c r="AG547" s="101"/>
      <c r="AH547" s="101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Q547" s="72">
        <v>0</v>
      </c>
      <c r="BR547" s="72">
        <v>0</v>
      </c>
      <c r="BS547" s="72">
        <v>0</v>
      </c>
      <c r="BT547" s="72">
        <v>0</v>
      </c>
      <c r="BU547" s="72">
        <v>0</v>
      </c>
      <c r="BV547" s="72">
        <v>0</v>
      </c>
      <c r="BW547" s="72">
        <v>0</v>
      </c>
      <c r="BX547" s="72">
        <v>0</v>
      </c>
      <c r="BY547" s="72">
        <v>0</v>
      </c>
      <c r="BZ547" s="72">
        <v>0</v>
      </c>
      <c r="CA547" s="72">
        <v>0</v>
      </c>
      <c r="CB547" s="72">
        <v>0</v>
      </c>
      <c r="CC547" s="72">
        <v>0</v>
      </c>
      <c r="CD547" s="72">
        <v>0</v>
      </c>
      <c r="CE547" s="72">
        <v>0</v>
      </c>
      <c r="CF547" s="72">
        <v>0</v>
      </c>
      <c r="CG547" s="72">
        <v>0</v>
      </c>
      <c r="CH547" s="72">
        <v>0</v>
      </c>
      <c r="CI547" s="72">
        <v>0</v>
      </c>
      <c r="CJ547" s="72">
        <v>0</v>
      </c>
      <c r="CK547" s="72">
        <v>0</v>
      </c>
      <c r="CL547" s="72">
        <v>0</v>
      </c>
      <c r="CM547" s="72">
        <v>0</v>
      </c>
      <c r="CN547" s="72">
        <v>0</v>
      </c>
      <c r="CO547" s="72">
        <v>0</v>
      </c>
      <c r="CP547" s="72">
        <v>0</v>
      </c>
      <c r="CQ547" s="72">
        <v>0</v>
      </c>
      <c r="CR547" s="72">
        <v>0</v>
      </c>
      <c r="CS547" s="72">
        <v>0</v>
      </c>
      <c r="CT547" s="72">
        <v>0</v>
      </c>
      <c r="CU547" s="72">
        <v>0</v>
      </c>
      <c r="CV547" s="72">
        <v>0</v>
      </c>
      <c r="CW547" s="72">
        <v>0</v>
      </c>
      <c r="CX547" s="72">
        <v>0</v>
      </c>
      <c r="CY547" s="72">
        <v>0</v>
      </c>
      <c r="CZ547" s="72">
        <v>0</v>
      </c>
      <c r="DA547" s="72">
        <v>0</v>
      </c>
      <c r="DB547" s="72">
        <v>0</v>
      </c>
      <c r="DC547" s="72">
        <v>0</v>
      </c>
      <c r="DD547" s="72">
        <v>0</v>
      </c>
      <c r="DE547" s="72">
        <v>0</v>
      </c>
      <c r="DF547" s="72">
        <v>0</v>
      </c>
      <c r="DG547" s="72">
        <v>0</v>
      </c>
      <c r="DH547" s="72">
        <v>0</v>
      </c>
      <c r="DI547" s="72">
        <v>0</v>
      </c>
      <c r="DJ547" s="72">
        <v>0</v>
      </c>
      <c r="DK547" s="72">
        <v>0</v>
      </c>
      <c r="DL547" s="72">
        <v>0</v>
      </c>
      <c r="DM547" s="72">
        <v>0</v>
      </c>
      <c r="DN547" s="72">
        <v>0</v>
      </c>
      <c r="DO547" s="72">
        <v>0</v>
      </c>
      <c r="DP547" s="72">
        <v>0</v>
      </c>
      <c r="DQ547" s="72">
        <v>0</v>
      </c>
      <c r="DR547" s="72">
        <v>0</v>
      </c>
      <c r="DS547" s="72">
        <v>0</v>
      </c>
      <c r="DT547" s="72">
        <v>0</v>
      </c>
      <c r="DU547" s="72">
        <v>0</v>
      </c>
      <c r="DV547" s="72">
        <v>0</v>
      </c>
      <c r="DW547" s="72">
        <v>0</v>
      </c>
      <c r="DX547" s="72">
        <v>0</v>
      </c>
      <c r="DY547" s="72">
        <v>0</v>
      </c>
      <c r="DZ547" s="72">
        <v>0</v>
      </c>
      <c r="EA547" s="72">
        <v>0</v>
      </c>
      <c r="EB547" s="72">
        <v>0</v>
      </c>
      <c r="EC547" s="72">
        <v>0</v>
      </c>
      <c r="ED547" s="72">
        <v>0</v>
      </c>
      <c r="EE547" s="72">
        <v>0</v>
      </c>
      <c r="EF547" s="72">
        <v>0</v>
      </c>
      <c r="EG547" s="72">
        <v>0</v>
      </c>
      <c r="EH547" s="72">
        <v>0</v>
      </c>
      <c r="EI547" s="72">
        <v>0</v>
      </c>
      <c r="EJ547" s="72">
        <v>0</v>
      </c>
      <c r="EK547" s="72">
        <v>0</v>
      </c>
      <c r="EL547" s="72">
        <v>0</v>
      </c>
    </row>
    <row r="548" spans="1:142" x14ac:dyDescent="0.35">
      <c r="A548" s="59">
        <f>Данные!A548</f>
        <v>6368</v>
      </c>
      <c r="B548" s="59">
        <f>Данные!B548</f>
        <v>2018</v>
      </c>
      <c r="C548" s="59" t="str">
        <f>Данные!C548</f>
        <v>алгебры</v>
      </c>
      <c r="D548" s="59" t="str">
        <f>Данные!D548</f>
        <v>Певзнер Игорь Михайлович</v>
      </c>
      <c r="E548" s="59" t="str">
        <f>Данные!E548</f>
        <v>кандидат физ.-мат. наук</v>
      </c>
      <c r="F548" s="59" t="str">
        <f>Данные!F548</f>
        <v>доцент</v>
      </c>
      <c r="G548" s="59">
        <f>Данные!G548</f>
        <v>1</v>
      </c>
      <c r="H548" s="59">
        <f>Данные!H548</f>
        <v>17043</v>
      </c>
      <c r="I548" s="59" t="str">
        <f>Данные!I548</f>
        <v>Модуль "Дискретные структуры". Математическая логика и теория алгоритмов</v>
      </c>
      <c r="J548" s="59">
        <f>Данные!J548</f>
        <v>18</v>
      </c>
      <c r="K548" s="59">
        <f>Данные!K548</f>
        <v>36</v>
      </c>
      <c r="L548" s="59">
        <f>Данные!L548</f>
        <v>0</v>
      </c>
      <c r="M548" s="60">
        <f t="shared" si="72"/>
        <v>5.4</v>
      </c>
      <c r="N548" s="60">
        <f t="shared" ca="1" si="73"/>
        <v>14.870000000000001</v>
      </c>
      <c r="O548" s="60">
        <f t="shared" ca="1" si="74"/>
        <v>9.75</v>
      </c>
      <c r="P548" s="60">
        <f t="shared" ca="1" si="75"/>
        <v>9.75</v>
      </c>
      <c r="Q548" s="54">
        <f>Данные!Q548</f>
        <v>0</v>
      </c>
      <c r="R548" s="54">
        <f>Данные!R548</f>
        <v>0</v>
      </c>
      <c r="S548" s="54">
        <f>Данные!S548</f>
        <v>0</v>
      </c>
      <c r="T548" s="54">
        <f>Данные!T548</f>
        <v>0</v>
      </c>
      <c r="U548" s="54">
        <f>Данные!U548</f>
        <v>0</v>
      </c>
      <c r="V548" s="54">
        <f>Данные!V548</f>
        <v>0</v>
      </c>
      <c r="W548" s="54">
        <f ca="1">Данные!W548</f>
        <v>39</v>
      </c>
      <c r="X548" s="54" t="str">
        <f ca="1">Данные!X548</f>
        <v>2</v>
      </c>
      <c r="Y548" s="54" t="str">
        <f ca="1">Данные!Y548</f>
        <v>3</v>
      </c>
      <c r="Z548" s="54">
        <f>Данные!Z548</f>
        <v>0</v>
      </c>
      <c r="AA548" s="54" t="str">
        <f>Данные!AA548</f>
        <v>осн</v>
      </c>
      <c r="AB548" s="101">
        <f t="shared" si="76"/>
        <v>800</v>
      </c>
      <c r="AC548" s="101" t="str">
        <f t="shared" si="77"/>
        <v>ИВТ (бак)</v>
      </c>
      <c r="AD548" s="101" t="str">
        <f t="shared" si="78"/>
        <v>2018–2019</v>
      </c>
      <c r="AE548" s="102">
        <f t="shared" ca="1" si="79"/>
        <v>93.77</v>
      </c>
      <c r="AF548" s="103">
        <f t="shared" ca="1" si="80"/>
        <v>0.1172125</v>
      </c>
      <c r="AG548" s="101"/>
      <c r="AH548" s="101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Q548" s="72">
        <v>0</v>
      </c>
      <c r="BR548" s="72">
        <v>0</v>
      </c>
      <c r="BS548" s="72">
        <v>0</v>
      </c>
      <c r="BT548" s="72">
        <v>0</v>
      </c>
      <c r="BU548" s="72">
        <v>0</v>
      </c>
      <c r="BV548" s="72">
        <v>0</v>
      </c>
      <c r="BW548" s="72">
        <v>0</v>
      </c>
      <c r="BX548" s="72">
        <v>0</v>
      </c>
      <c r="BY548" s="72">
        <v>0</v>
      </c>
      <c r="BZ548" s="72">
        <v>0</v>
      </c>
      <c r="CA548" s="72">
        <v>0</v>
      </c>
      <c r="CB548" s="72">
        <v>0</v>
      </c>
      <c r="CC548" s="72">
        <v>0</v>
      </c>
      <c r="CD548" s="72">
        <v>0</v>
      </c>
      <c r="CE548" s="72">
        <v>0</v>
      </c>
      <c r="CF548" s="72">
        <v>0</v>
      </c>
      <c r="CG548" s="72">
        <v>0</v>
      </c>
      <c r="CH548" s="72">
        <v>0</v>
      </c>
      <c r="CI548" s="72">
        <v>0</v>
      </c>
      <c r="CJ548" s="72">
        <v>0</v>
      </c>
      <c r="CK548" s="72">
        <v>0</v>
      </c>
      <c r="CL548" s="72">
        <v>0</v>
      </c>
      <c r="CM548" s="72">
        <v>0</v>
      </c>
      <c r="CN548" s="72">
        <v>0</v>
      </c>
      <c r="CO548" s="72">
        <v>0</v>
      </c>
      <c r="CP548" s="72">
        <v>0</v>
      </c>
      <c r="CQ548" s="72">
        <v>0</v>
      </c>
      <c r="CR548" s="72">
        <v>0</v>
      </c>
      <c r="CS548" s="72">
        <v>0</v>
      </c>
      <c r="CT548" s="72">
        <v>0</v>
      </c>
      <c r="CU548" s="72">
        <v>0</v>
      </c>
      <c r="CV548" s="72">
        <v>0</v>
      </c>
      <c r="CW548" s="72">
        <v>0</v>
      </c>
      <c r="CX548" s="72">
        <v>0</v>
      </c>
      <c r="CY548" s="72">
        <v>0</v>
      </c>
      <c r="CZ548" s="72">
        <v>0</v>
      </c>
      <c r="DA548" s="72">
        <v>0</v>
      </c>
      <c r="DB548" s="72">
        <v>0</v>
      </c>
      <c r="DC548" s="72">
        <v>0</v>
      </c>
      <c r="DD548" s="72">
        <v>0</v>
      </c>
      <c r="DE548" s="72">
        <v>0</v>
      </c>
      <c r="DF548" s="72">
        <v>0</v>
      </c>
      <c r="DG548" s="72">
        <v>0</v>
      </c>
      <c r="DH548" s="72">
        <v>0</v>
      </c>
      <c r="DI548" s="72">
        <v>0</v>
      </c>
      <c r="DJ548" s="72">
        <v>0</v>
      </c>
      <c r="DK548" s="72">
        <v>0</v>
      </c>
      <c r="DL548" s="72">
        <v>0</v>
      </c>
      <c r="DM548" s="72">
        <v>0</v>
      </c>
      <c r="DN548" s="72">
        <v>0</v>
      </c>
      <c r="DO548" s="72">
        <v>0</v>
      </c>
      <c r="DP548" s="72">
        <v>0</v>
      </c>
      <c r="DQ548" s="72">
        <v>0</v>
      </c>
      <c r="DR548" s="72">
        <v>0</v>
      </c>
      <c r="DS548" s="72">
        <v>0</v>
      </c>
      <c r="DT548" s="72">
        <v>0</v>
      </c>
      <c r="DU548" s="72">
        <v>0</v>
      </c>
      <c r="DV548" s="72">
        <v>0</v>
      </c>
      <c r="DW548" s="72">
        <v>0</v>
      </c>
      <c r="DX548" s="72">
        <v>0</v>
      </c>
      <c r="DY548" s="72">
        <v>0</v>
      </c>
      <c r="DZ548" s="72">
        <v>0</v>
      </c>
      <c r="EA548" s="72">
        <v>0</v>
      </c>
      <c r="EB548" s="72">
        <v>0</v>
      </c>
      <c r="EC548" s="72">
        <v>0</v>
      </c>
      <c r="ED548" s="72">
        <v>0</v>
      </c>
      <c r="EE548" s="72">
        <v>0</v>
      </c>
      <c r="EF548" s="72">
        <v>0</v>
      </c>
      <c r="EG548" s="72">
        <v>0</v>
      </c>
      <c r="EH548" s="72">
        <v>0</v>
      </c>
      <c r="EI548" s="72">
        <v>0</v>
      </c>
      <c r="EJ548" s="72">
        <v>0</v>
      </c>
      <c r="EK548" s="72">
        <v>0</v>
      </c>
      <c r="EL548" s="72">
        <v>0</v>
      </c>
    </row>
    <row r="549" spans="1:142" x14ac:dyDescent="0.35">
      <c r="A549" s="59">
        <f>Данные!A549</f>
        <v>6368</v>
      </c>
      <c r="B549" s="59">
        <f>Данные!B549</f>
        <v>2018</v>
      </c>
      <c r="C549" s="59" t="str">
        <f>Данные!C549</f>
        <v>истории</v>
      </c>
      <c r="D549" s="59" t="str">
        <f>Данные!D549</f>
        <v>Кондаков Юрий Евгеньевич</v>
      </c>
      <c r="E549" s="59" t="str">
        <f>Данные!E549</f>
        <v>доктор исторических наук</v>
      </c>
      <c r="F549" s="59" t="str">
        <f>Данные!F549</f>
        <v>профессор</v>
      </c>
      <c r="G549" s="59">
        <f>Данные!G549</f>
        <v>1</v>
      </c>
      <c r="H549" s="59">
        <f>Данные!H549</f>
        <v>17043</v>
      </c>
      <c r="I549" s="59" t="str">
        <f>Данные!I549</f>
        <v>Модуль "Историко-философский". История</v>
      </c>
      <c r="J549" s="59">
        <f>Данные!J549</f>
        <v>0</v>
      </c>
      <c r="K549" s="59">
        <f>Данные!K549</f>
        <v>32</v>
      </c>
      <c r="L549" s="59">
        <f>Данные!L549</f>
        <v>0</v>
      </c>
      <c r="M549" s="60">
        <f t="shared" si="72"/>
        <v>3.2</v>
      </c>
      <c r="N549" s="60">
        <f t="shared" ca="1" si="73"/>
        <v>14.870000000000001</v>
      </c>
      <c r="O549" s="60">
        <f t="shared" ca="1" si="74"/>
        <v>9.75</v>
      </c>
      <c r="P549" s="60">
        <f t="shared" ca="1" si="75"/>
        <v>9.75</v>
      </c>
      <c r="Q549" s="54">
        <f>Данные!Q549</f>
        <v>0</v>
      </c>
      <c r="R549" s="54">
        <f>Данные!R549</f>
        <v>0</v>
      </c>
      <c r="S549" s="54">
        <f>Данные!S549</f>
        <v>0</v>
      </c>
      <c r="T549" s="54">
        <f>Данные!T549</f>
        <v>0</v>
      </c>
      <c r="U549" s="54">
        <f>Данные!U549</f>
        <v>0</v>
      </c>
      <c r="V549" s="54">
        <f>Данные!V549</f>
        <v>0</v>
      </c>
      <c r="W549" s="54">
        <f ca="1">Данные!W549</f>
        <v>39</v>
      </c>
      <c r="X549" s="54" t="str">
        <f ca="1">Данные!X549</f>
        <v>2</v>
      </c>
      <c r="Y549" s="54" t="str">
        <f ca="1">Данные!Y549</f>
        <v>3</v>
      </c>
      <c r="Z549" s="54">
        <f>Данные!Z549</f>
        <v>0</v>
      </c>
      <c r="AA549" s="54" t="str">
        <f>Данные!AA549</f>
        <v>осн</v>
      </c>
      <c r="AB549" s="101">
        <f t="shared" si="76"/>
        <v>750</v>
      </c>
      <c r="AC549" s="101" t="str">
        <f t="shared" si="77"/>
        <v>ИВТ (бак)</v>
      </c>
      <c r="AD549" s="101" t="str">
        <f t="shared" si="78"/>
        <v>2018–2019</v>
      </c>
      <c r="AE549" s="102">
        <f t="shared" ca="1" si="79"/>
        <v>69.570000000000007</v>
      </c>
      <c r="AF549" s="103">
        <f t="shared" ca="1" si="80"/>
        <v>9.2760000000000009E-2</v>
      </c>
      <c r="AG549" s="101"/>
      <c r="AH549" s="101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Q549" s="72">
        <v>0</v>
      </c>
      <c r="BR549" s="72">
        <v>0</v>
      </c>
      <c r="BS549" s="72">
        <v>0</v>
      </c>
      <c r="BT549" s="72">
        <v>0</v>
      </c>
      <c r="BU549" s="72">
        <v>0</v>
      </c>
      <c r="BV549" s="72">
        <v>0</v>
      </c>
      <c r="BW549" s="72">
        <v>0</v>
      </c>
      <c r="BX549" s="72">
        <v>0</v>
      </c>
      <c r="BY549" s="72">
        <v>0</v>
      </c>
      <c r="BZ549" s="72">
        <v>0</v>
      </c>
      <c r="CA549" s="72">
        <v>0</v>
      </c>
      <c r="CB549" s="72">
        <v>0</v>
      </c>
      <c r="CC549" s="72">
        <v>0</v>
      </c>
      <c r="CD549" s="72">
        <v>0</v>
      </c>
      <c r="CE549" s="72">
        <v>0</v>
      </c>
      <c r="CF549" s="72">
        <v>0</v>
      </c>
      <c r="CG549" s="72">
        <v>0</v>
      </c>
      <c r="CH549" s="72">
        <v>0</v>
      </c>
      <c r="CI549" s="72">
        <v>0</v>
      </c>
      <c r="CJ549" s="72">
        <v>0</v>
      </c>
      <c r="CK549" s="72">
        <v>0</v>
      </c>
      <c r="CL549" s="72">
        <v>0</v>
      </c>
      <c r="CM549" s="72">
        <v>0</v>
      </c>
      <c r="CN549" s="72">
        <v>0</v>
      </c>
      <c r="CO549" s="72">
        <v>0</v>
      </c>
      <c r="CP549" s="72">
        <v>0</v>
      </c>
      <c r="CQ549" s="72">
        <v>0</v>
      </c>
      <c r="CR549" s="72">
        <v>0</v>
      </c>
      <c r="CS549" s="72">
        <v>0</v>
      </c>
      <c r="CT549" s="72">
        <v>0</v>
      </c>
      <c r="CU549" s="72">
        <v>0</v>
      </c>
      <c r="CV549" s="72">
        <v>0</v>
      </c>
      <c r="CW549" s="72">
        <v>0</v>
      </c>
      <c r="CX549" s="72">
        <v>0</v>
      </c>
      <c r="CY549" s="72">
        <v>0</v>
      </c>
      <c r="CZ549" s="72">
        <v>0</v>
      </c>
      <c r="DA549" s="72">
        <v>0</v>
      </c>
      <c r="DB549" s="72">
        <v>0</v>
      </c>
      <c r="DC549" s="72">
        <v>0</v>
      </c>
      <c r="DD549" s="72">
        <v>0</v>
      </c>
      <c r="DE549" s="72">
        <v>0</v>
      </c>
      <c r="DF549" s="72">
        <v>0</v>
      </c>
      <c r="DG549" s="72">
        <v>0</v>
      </c>
      <c r="DH549" s="72">
        <v>0</v>
      </c>
      <c r="DI549" s="72">
        <v>0</v>
      </c>
      <c r="DJ549" s="72">
        <v>0</v>
      </c>
      <c r="DK549" s="72">
        <v>0</v>
      </c>
      <c r="DL549" s="72">
        <v>0</v>
      </c>
      <c r="DM549" s="72">
        <v>0</v>
      </c>
      <c r="DN549" s="72">
        <v>0</v>
      </c>
      <c r="DO549" s="72">
        <v>0</v>
      </c>
      <c r="DP549" s="72">
        <v>0</v>
      </c>
      <c r="DQ549" s="72">
        <v>0</v>
      </c>
      <c r="DR549" s="72">
        <v>0</v>
      </c>
      <c r="DS549" s="72">
        <v>0</v>
      </c>
      <c r="DT549" s="72">
        <v>0</v>
      </c>
      <c r="DU549" s="72">
        <v>0</v>
      </c>
      <c r="DV549" s="72">
        <v>0</v>
      </c>
      <c r="DW549" s="72">
        <v>0</v>
      </c>
      <c r="DX549" s="72">
        <v>0</v>
      </c>
      <c r="DY549" s="72">
        <v>0</v>
      </c>
      <c r="DZ549" s="72">
        <v>0</v>
      </c>
      <c r="EA549" s="72">
        <v>0</v>
      </c>
      <c r="EB549" s="72">
        <v>0</v>
      </c>
      <c r="EC549" s="72">
        <v>0</v>
      </c>
      <c r="ED549" s="72">
        <v>0</v>
      </c>
      <c r="EE549" s="72">
        <v>0</v>
      </c>
      <c r="EF549" s="72">
        <v>0</v>
      </c>
      <c r="EG549" s="72">
        <v>0</v>
      </c>
      <c r="EH549" s="72">
        <v>0</v>
      </c>
      <c r="EI549" s="72">
        <v>0</v>
      </c>
      <c r="EJ549" s="72">
        <v>0</v>
      </c>
      <c r="EK549" s="72">
        <v>0</v>
      </c>
      <c r="EL549" s="72">
        <v>0</v>
      </c>
    </row>
    <row r="550" spans="1:142" x14ac:dyDescent="0.35">
      <c r="A550" s="59">
        <f>Данные!A550</f>
        <v>6368</v>
      </c>
      <c r="B550" s="59">
        <f>Данные!B550</f>
        <v>2018</v>
      </c>
      <c r="C550" s="59" t="str">
        <f>Данные!C550</f>
        <v>истории</v>
      </c>
      <c r="D550" s="59" t="str">
        <f>Данные!D550</f>
        <v>Кондаков Юрий Евгеньевич</v>
      </c>
      <c r="E550" s="59" t="str">
        <f>Данные!E550</f>
        <v>доктор исторических наук</v>
      </c>
      <c r="F550" s="59" t="str">
        <f>Данные!F550</f>
        <v>профессор</v>
      </c>
      <c r="G550" s="59">
        <f>Данные!G550</f>
        <v>1</v>
      </c>
      <c r="H550" s="59">
        <f>Данные!H550</f>
        <v>17043</v>
      </c>
      <c r="I550" s="59" t="str">
        <f>Данные!I550</f>
        <v>Модуль "Историко-философский". История</v>
      </c>
      <c r="J550" s="59">
        <f>Данные!J550</f>
        <v>34</v>
      </c>
      <c r="K550" s="59">
        <f>Данные!K550</f>
        <v>0</v>
      </c>
      <c r="L550" s="59">
        <f>Данные!L550</f>
        <v>0</v>
      </c>
      <c r="M550" s="60">
        <f t="shared" si="72"/>
        <v>3.4</v>
      </c>
      <c r="N550" s="60">
        <f t="shared" ca="1" si="73"/>
        <v>14.870000000000001</v>
      </c>
      <c r="O550" s="60">
        <f t="shared" ca="1" si="74"/>
        <v>9.75</v>
      </c>
      <c r="P550" s="60">
        <f t="shared" ca="1" si="75"/>
        <v>9.75</v>
      </c>
      <c r="Q550" s="54">
        <f>Данные!Q550</f>
        <v>0</v>
      </c>
      <c r="R550" s="54">
        <f>Данные!R550</f>
        <v>0</v>
      </c>
      <c r="S550" s="54">
        <f>Данные!S550</f>
        <v>0</v>
      </c>
      <c r="T550" s="54">
        <f>Данные!T550</f>
        <v>0</v>
      </c>
      <c r="U550" s="54">
        <f>Данные!U550</f>
        <v>0</v>
      </c>
      <c r="V550" s="54">
        <f>Данные!V550</f>
        <v>0</v>
      </c>
      <c r="W550" s="54">
        <f ca="1">Данные!W550</f>
        <v>39</v>
      </c>
      <c r="X550" s="54" t="str">
        <f ca="1">Данные!X550</f>
        <v>2</v>
      </c>
      <c r="Y550" s="54" t="str">
        <f ca="1">Данные!Y550</f>
        <v>3</v>
      </c>
      <c r="Z550" s="54">
        <f>Данные!Z550</f>
        <v>0</v>
      </c>
      <c r="AA550" s="54" t="str">
        <f>Данные!AA550</f>
        <v>осн</v>
      </c>
      <c r="AB550" s="101">
        <f t="shared" si="76"/>
        <v>750</v>
      </c>
      <c r="AC550" s="101" t="str">
        <f t="shared" si="77"/>
        <v>ИВТ (бак)</v>
      </c>
      <c r="AD550" s="101" t="str">
        <f t="shared" si="78"/>
        <v>2018–2019</v>
      </c>
      <c r="AE550" s="102">
        <f t="shared" ca="1" si="79"/>
        <v>71.77</v>
      </c>
      <c r="AF550" s="103">
        <f t="shared" ca="1" si="80"/>
        <v>9.5693333333333325E-2</v>
      </c>
      <c r="AG550" s="101"/>
      <c r="AH550" s="101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Q550" s="72">
        <v>0</v>
      </c>
      <c r="BR550" s="72">
        <v>0</v>
      </c>
      <c r="BS550" s="72">
        <v>0</v>
      </c>
      <c r="BT550" s="72">
        <v>0</v>
      </c>
      <c r="BU550" s="72">
        <v>0</v>
      </c>
      <c r="BV550" s="72">
        <v>0</v>
      </c>
      <c r="BW550" s="72">
        <v>0</v>
      </c>
      <c r="BX550" s="72">
        <v>0</v>
      </c>
      <c r="BY550" s="72">
        <v>0</v>
      </c>
      <c r="BZ550" s="72">
        <v>0</v>
      </c>
      <c r="CA550" s="72">
        <v>0</v>
      </c>
      <c r="CB550" s="72">
        <v>0</v>
      </c>
      <c r="CC550" s="72">
        <v>0</v>
      </c>
      <c r="CD550" s="72">
        <v>0</v>
      </c>
      <c r="CE550" s="72">
        <v>0</v>
      </c>
      <c r="CF550" s="72">
        <v>0</v>
      </c>
      <c r="CG550" s="72">
        <v>0</v>
      </c>
      <c r="CH550" s="72">
        <v>0</v>
      </c>
      <c r="CI550" s="72">
        <v>0</v>
      </c>
      <c r="CJ550" s="72">
        <v>0</v>
      </c>
      <c r="CK550" s="72">
        <v>0</v>
      </c>
      <c r="CL550" s="72">
        <v>0</v>
      </c>
      <c r="CM550" s="72">
        <v>0</v>
      </c>
      <c r="CN550" s="72">
        <v>0</v>
      </c>
      <c r="CO550" s="72">
        <v>0</v>
      </c>
      <c r="CP550" s="72">
        <v>0</v>
      </c>
      <c r="CQ550" s="72">
        <v>0</v>
      </c>
      <c r="CR550" s="72">
        <v>0</v>
      </c>
      <c r="CS550" s="72">
        <v>0</v>
      </c>
      <c r="CT550" s="72">
        <v>0</v>
      </c>
      <c r="CU550" s="72">
        <v>0</v>
      </c>
      <c r="CV550" s="72">
        <v>0</v>
      </c>
      <c r="CW550" s="72">
        <v>0</v>
      </c>
      <c r="CX550" s="72">
        <v>0</v>
      </c>
      <c r="CY550" s="72">
        <v>0</v>
      </c>
      <c r="CZ550" s="72">
        <v>0</v>
      </c>
      <c r="DA550" s="72">
        <v>0</v>
      </c>
      <c r="DB550" s="72">
        <v>0</v>
      </c>
      <c r="DC550" s="72">
        <v>0</v>
      </c>
      <c r="DD550" s="72">
        <v>0</v>
      </c>
      <c r="DE550" s="72">
        <v>0</v>
      </c>
      <c r="DF550" s="72">
        <v>0</v>
      </c>
      <c r="DG550" s="72">
        <v>0</v>
      </c>
      <c r="DH550" s="72">
        <v>0</v>
      </c>
      <c r="DI550" s="72">
        <v>0</v>
      </c>
      <c r="DJ550" s="72">
        <v>0</v>
      </c>
      <c r="DK550" s="72">
        <v>0</v>
      </c>
      <c r="DL550" s="72">
        <v>0</v>
      </c>
      <c r="DM550" s="72">
        <v>0</v>
      </c>
      <c r="DN550" s="72">
        <v>0</v>
      </c>
      <c r="DO550" s="72">
        <v>0</v>
      </c>
      <c r="DP550" s="72">
        <v>0</v>
      </c>
      <c r="DQ550" s="72">
        <v>0</v>
      </c>
      <c r="DR550" s="72">
        <v>0</v>
      </c>
      <c r="DS550" s="72">
        <v>0</v>
      </c>
      <c r="DT550" s="72">
        <v>0</v>
      </c>
      <c r="DU550" s="72">
        <v>0</v>
      </c>
      <c r="DV550" s="72">
        <v>0</v>
      </c>
      <c r="DW550" s="72">
        <v>0</v>
      </c>
      <c r="DX550" s="72">
        <v>0</v>
      </c>
      <c r="DY550" s="72">
        <v>0</v>
      </c>
      <c r="DZ550" s="72">
        <v>0</v>
      </c>
      <c r="EA550" s="72">
        <v>0</v>
      </c>
      <c r="EB550" s="72">
        <v>0</v>
      </c>
      <c r="EC550" s="72">
        <v>0</v>
      </c>
      <c r="ED550" s="72">
        <v>0</v>
      </c>
      <c r="EE550" s="72">
        <v>0</v>
      </c>
      <c r="EF550" s="72">
        <v>0</v>
      </c>
      <c r="EG550" s="72">
        <v>0</v>
      </c>
      <c r="EH550" s="72">
        <v>0</v>
      </c>
      <c r="EI550" s="72">
        <v>0</v>
      </c>
      <c r="EJ550" s="72">
        <v>0</v>
      </c>
      <c r="EK550" s="72">
        <v>0</v>
      </c>
      <c r="EL550" s="72">
        <v>0</v>
      </c>
    </row>
    <row r="551" spans="1:142" x14ac:dyDescent="0.35">
      <c r="A551" s="59">
        <f>Данные!A551</f>
        <v>6368</v>
      </c>
      <c r="B551" s="59">
        <f>Данные!B551</f>
        <v>2018</v>
      </c>
      <c r="C551" s="59" t="str">
        <f>Данные!C551</f>
        <v>компьютерной инженерии и программотехники</v>
      </c>
      <c r="D551" s="59" t="str">
        <f>Данные!D551</f>
        <v>Швецкий Михаил Владимирович</v>
      </c>
      <c r="E551" s="59" t="str">
        <f>Данные!E551</f>
        <v>доктор педагогических наук</v>
      </c>
      <c r="F551" s="59" t="str">
        <f>Данные!F551</f>
        <v>профессор</v>
      </c>
      <c r="G551" s="59">
        <f>Данные!G551</f>
        <v>0.5</v>
      </c>
      <c r="H551" s="59">
        <f>Данные!H551</f>
        <v>17043</v>
      </c>
      <c r="I551" s="59" t="str">
        <f>Данные!I551</f>
        <v>Модуль "Дискретные структуры". Дисциплины и курсы по выбору. Алгоритмы и анализ сложности</v>
      </c>
      <c r="J551" s="59">
        <f>Данные!J551</f>
        <v>9</v>
      </c>
      <c r="K551" s="59">
        <f>Данные!K551</f>
        <v>18</v>
      </c>
      <c r="L551" s="59">
        <f>Данные!L551</f>
        <v>0</v>
      </c>
      <c r="M551" s="60">
        <f t="shared" si="72"/>
        <v>2.7</v>
      </c>
      <c r="N551" s="60">
        <f t="shared" ca="1" si="73"/>
        <v>14.870000000000001</v>
      </c>
      <c r="O551" s="60">
        <f t="shared" ca="1" si="74"/>
        <v>9.75</v>
      </c>
      <c r="P551" s="60">
        <f t="shared" ca="1" si="75"/>
        <v>9.75</v>
      </c>
      <c r="Q551" s="54">
        <f>Данные!Q551</f>
        <v>0</v>
      </c>
      <c r="R551" s="54">
        <f>Данные!R551</f>
        <v>0</v>
      </c>
      <c r="S551" s="54">
        <f>Данные!S551</f>
        <v>0</v>
      </c>
      <c r="T551" s="54">
        <f>Данные!T551</f>
        <v>0</v>
      </c>
      <c r="U551" s="54">
        <f>Данные!U551</f>
        <v>0</v>
      </c>
      <c r="V551" s="54">
        <f>Данные!V551</f>
        <v>0</v>
      </c>
      <c r="W551" s="54">
        <f ca="1">Данные!W551</f>
        <v>39</v>
      </c>
      <c r="X551" s="54" t="str">
        <f ca="1">Данные!X551</f>
        <v>2</v>
      </c>
      <c r="Y551" s="54" t="str">
        <f ca="1">Данные!Y551</f>
        <v>3</v>
      </c>
      <c r="Z551" s="54">
        <f>Данные!Z551</f>
        <v>0</v>
      </c>
      <c r="AA551" s="54" t="str">
        <f>Данные!AA551</f>
        <v>осн</v>
      </c>
      <c r="AB551" s="101">
        <f t="shared" si="76"/>
        <v>750</v>
      </c>
      <c r="AC551" s="101" t="str">
        <f t="shared" si="77"/>
        <v>ИВТ (бак)</v>
      </c>
      <c r="AD551" s="101" t="str">
        <f t="shared" si="78"/>
        <v>2018–2019</v>
      </c>
      <c r="AE551" s="102">
        <f t="shared" ca="1" si="79"/>
        <v>64.069999999999993</v>
      </c>
      <c r="AF551" s="103">
        <f t="shared" ca="1" si="80"/>
        <v>8.5426666666666651E-2</v>
      </c>
      <c r="AG551" s="101"/>
      <c r="AH551" s="10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Q551" s="72">
        <v>0</v>
      </c>
      <c r="BR551" s="72">
        <v>0</v>
      </c>
      <c r="BS551" s="72">
        <v>0</v>
      </c>
      <c r="BT551" s="72">
        <v>0</v>
      </c>
      <c r="BU551" s="72">
        <v>0</v>
      </c>
      <c r="BV551" s="72">
        <v>0</v>
      </c>
      <c r="BW551" s="72">
        <v>0</v>
      </c>
      <c r="BX551" s="72">
        <v>0</v>
      </c>
      <c r="BY551" s="72">
        <v>0</v>
      </c>
      <c r="BZ551" s="72">
        <v>0</v>
      </c>
      <c r="CA551" s="72">
        <v>0</v>
      </c>
      <c r="CB551" s="72">
        <v>0</v>
      </c>
      <c r="CC551" s="72">
        <v>0</v>
      </c>
      <c r="CD551" s="72">
        <v>0</v>
      </c>
      <c r="CE551" s="72">
        <v>0</v>
      </c>
      <c r="CF551" s="72">
        <v>0</v>
      </c>
      <c r="CG551" s="72">
        <v>0</v>
      </c>
      <c r="CH551" s="72">
        <v>0</v>
      </c>
      <c r="CI551" s="72">
        <v>0</v>
      </c>
      <c r="CJ551" s="72">
        <v>0</v>
      </c>
      <c r="CK551" s="72">
        <v>0</v>
      </c>
      <c r="CL551" s="72">
        <v>0</v>
      </c>
      <c r="CM551" s="72">
        <v>0</v>
      </c>
      <c r="CN551" s="72">
        <v>0</v>
      </c>
      <c r="CO551" s="72">
        <v>0</v>
      </c>
      <c r="CP551" s="72">
        <v>0</v>
      </c>
      <c r="CQ551" s="72">
        <v>0</v>
      </c>
      <c r="CR551" s="72">
        <v>0</v>
      </c>
      <c r="CS551" s="72">
        <v>0</v>
      </c>
      <c r="CT551" s="72">
        <v>0</v>
      </c>
      <c r="CU551" s="72">
        <v>0</v>
      </c>
      <c r="CV551" s="72">
        <v>0</v>
      </c>
      <c r="CW551" s="72">
        <v>0</v>
      </c>
      <c r="CX551" s="72">
        <v>0</v>
      </c>
      <c r="CY551" s="72">
        <v>0</v>
      </c>
      <c r="CZ551" s="72">
        <v>0</v>
      </c>
      <c r="DA551" s="72">
        <v>0</v>
      </c>
      <c r="DB551" s="72">
        <v>0</v>
      </c>
      <c r="DC551" s="72">
        <v>0</v>
      </c>
      <c r="DD551" s="72">
        <v>0</v>
      </c>
      <c r="DE551" s="72">
        <v>0</v>
      </c>
      <c r="DF551" s="72">
        <v>0</v>
      </c>
      <c r="DG551" s="72">
        <v>0</v>
      </c>
      <c r="DH551" s="72">
        <v>0</v>
      </c>
      <c r="DI551" s="72">
        <v>0</v>
      </c>
      <c r="DJ551" s="72">
        <v>0</v>
      </c>
      <c r="DK551" s="72">
        <v>0</v>
      </c>
      <c r="DL551" s="72">
        <v>0</v>
      </c>
      <c r="DM551" s="72">
        <v>0</v>
      </c>
      <c r="DN551" s="72">
        <v>0</v>
      </c>
      <c r="DO551" s="72">
        <v>0</v>
      </c>
      <c r="DP551" s="72">
        <v>0</v>
      </c>
      <c r="DQ551" s="72">
        <v>0</v>
      </c>
      <c r="DR551" s="72">
        <v>0</v>
      </c>
      <c r="DS551" s="72">
        <v>0</v>
      </c>
      <c r="DT551" s="72">
        <v>0</v>
      </c>
      <c r="DU551" s="72">
        <v>0</v>
      </c>
      <c r="DV551" s="72">
        <v>0</v>
      </c>
      <c r="DW551" s="72">
        <v>0</v>
      </c>
      <c r="DX551" s="72">
        <v>0</v>
      </c>
      <c r="DY551" s="72">
        <v>0</v>
      </c>
      <c r="DZ551" s="72">
        <v>0</v>
      </c>
      <c r="EA551" s="72">
        <v>0</v>
      </c>
      <c r="EB551" s="72">
        <v>0</v>
      </c>
      <c r="EC551" s="72">
        <v>0</v>
      </c>
      <c r="ED551" s="72">
        <v>0</v>
      </c>
      <c r="EE551" s="72">
        <v>0</v>
      </c>
      <c r="EF551" s="72">
        <v>0</v>
      </c>
      <c r="EG551" s="72">
        <v>0</v>
      </c>
      <c r="EH551" s="72">
        <v>0</v>
      </c>
      <c r="EI551" s="72">
        <v>0</v>
      </c>
      <c r="EJ551" s="72">
        <v>0</v>
      </c>
      <c r="EK551" s="72">
        <v>0</v>
      </c>
      <c r="EL551" s="72">
        <v>0</v>
      </c>
    </row>
    <row r="552" spans="1:142" x14ac:dyDescent="0.35">
      <c r="A552" s="59">
        <f>Данные!A552</f>
        <v>6368</v>
      </c>
      <c r="B552" s="59">
        <f>Данные!B552</f>
        <v>2018</v>
      </c>
      <c r="C552" s="59" t="str">
        <f>Данные!C552</f>
        <v>математического анализа</v>
      </c>
      <c r="D552" s="59" t="str">
        <f>Данные!D552</f>
        <v>Поспелов Михаил Владимирович</v>
      </c>
      <c r="E552" s="59" t="str">
        <f>Данные!E552</f>
        <v>кандидат педагогических наук</v>
      </c>
      <c r="F552" s="59" t="str">
        <f>Данные!F552</f>
        <v>доцент</v>
      </c>
      <c r="G552" s="59">
        <f>Данные!G552</f>
        <v>0.5</v>
      </c>
      <c r="H552" s="59">
        <f>Данные!H552</f>
        <v>17043</v>
      </c>
      <c r="I552" s="59" t="str">
        <f>Данные!I552</f>
        <v>Модуль "Дискретные структуры". Основы теории вероятности</v>
      </c>
      <c r="J552" s="59">
        <f>Данные!J552</f>
        <v>18</v>
      </c>
      <c r="K552" s="59">
        <f>Данные!K552</f>
        <v>36</v>
      </c>
      <c r="L552" s="59">
        <f>Данные!L552</f>
        <v>0</v>
      </c>
      <c r="M552" s="60">
        <f t="shared" si="72"/>
        <v>5.4</v>
      </c>
      <c r="N552" s="60">
        <f t="shared" ca="1" si="73"/>
        <v>14.870000000000001</v>
      </c>
      <c r="O552" s="60">
        <f t="shared" ca="1" si="74"/>
        <v>9.75</v>
      </c>
      <c r="P552" s="60">
        <f t="shared" ca="1" si="75"/>
        <v>9.75</v>
      </c>
      <c r="Q552" s="54">
        <f>Данные!Q552</f>
        <v>0</v>
      </c>
      <c r="R552" s="54">
        <f>Данные!R552</f>
        <v>0</v>
      </c>
      <c r="S552" s="54">
        <f>Данные!S552</f>
        <v>0</v>
      </c>
      <c r="T552" s="54">
        <f>Данные!T552</f>
        <v>0</v>
      </c>
      <c r="U552" s="54">
        <f>Данные!U552</f>
        <v>0</v>
      </c>
      <c r="V552" s="54">
        <f>Данные!V552</f>
        <v>0</v>
      </c>
      <c r="W552" s="54">
        <f ca="1">Данные!W552</f>
        <v>39</v>
      </c>
      <c r="X552" s="54" t="str">
        <f ca="1">Данные!X552</f>
        <v>2</v>
      </c>
      <c r="Y552" s="54" t="str">
        <f ca="1">Данные!Y552</f>
        <v>3</v>
      </c>
      <c r="Z552" s="54">
        <f>Данные!Z552</f>
        <v>0</v>
      </c>
      <c r="AA552" s="54" t="str">
        <f>Данные!AA552</f>
        <v>осн</v>
      </c>
      <c r="AB552" s="101">
        <f t="shared" si="76"/>
        <v>800</v>
      </c>
      <c r="AC552" s="101" t="str">
        <f t="shared" si="77"/>
        <v>ИВТ (бак)</v>
      </c>
      <c r="AD552" s="101" t="str">
        <f t="shared" si="78"/>
        <v>2018–2019</v>
      </c>
      <c r="AE552" s="102">
        <f t="shared" ca="1" si="79"/>
        <v>93.77</v>
      </c>
      <c r="AF552" s="103">
        <f t="shared" ca="1" si="80"/>
        <v>0.1172125</v>
      </c>
      <c r="AG552" s="101"/>
      <c r="AH552" s="101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Q552" s="72">
        <v>0</v>
      </c>
      <c r="BR552" s="72">
        <v>0</v>
      </c>
      <c r="BS552" s="72">
        <v>0</v>
      </c>
      <c r="BT552" s="72">
        <v>0</v>
      </c>
      <c r="BU552" s="72">
        <v>0</v>
      </c>
      <c r="BV552" s="72">
        <v>0</v>
      </c>
      <c r="BW552" s="72">
        <v>0</v>
      </c>
      <c r="BX552" s="72">
        <v>0</v>
      </c>
      <c r="BY552" s="72">
        <v>0</v>
      </c>
      <c r="BZ552" s="72">
        <v>0</v>
      </c>
      <c r="CA552" s="72">
        <v>0</v>
      </c>
      <c r="CB552" s="72">
        <v>0</v>
      </c>
      <c r="CC552" s="72">
        <v>0</v>
      </c>
      <c r="CD552" s="72">
        <v>0</v>
      </c>
      <c r="CE552" s="72">
        <v>0</v>
      </c>
      <c r="CF552" s="72">
        <v>0</v>
      </c>
      <c r="CG552" s="72">
        <v>0</v>
      </c>
      <c r="CH552" s="72">
        <v>0</v>
      </c>
      <c r="CI552" s="72">
        <v>0</v>
      </c>
      <c r="CJ552" s="72">
        <v>0</v>
      </c>
      <c r="CK552" s="72">
        <v>0</v>
      </c>
      <c r="CL552" s="72">
        <v>0</v>
      </c>
      <c r="CM552" s="72">
        <v>0</v>
      </c>
      <c r="CN552" s="72">
        <v>0</v>
      </c>
      <c r="CO552" s="72">
        <v>0</v>
      </c>
      <c r="CP552" s="72">
        <v>0</v>
      </c>
      <c r="CQ552" s="72">
        <v>0</v>
      </c>
      <c r="CR552" s="72">
        <v>0</v>
      </c>
      <c r="CS552" s="72">
        <v>0</v>
      </c>
      <c r="CT552" s="72">
        <v>0</v>
      </c>
      <c r="CU552" s="72">
        <v>0</v>
      </c>
      <c r="CV552" s="72">
        <v>0</v>
      </c>
      <c r="CW552" s="72">
        <v>0</v>
      </c>
      <c r="CX552" s="72">
        <v>0</v>
      </c>
      <c r="CY552" s="72">
        <v>0</v>
      </c>
      <c r="CZ552" s="72">
        <v>0</v>
      </c>
      <c r="DA552" s="72">
        <v>0</v>
      </c>
      <c r="DB552" s="72">
        <v>0</v>
      </c>
      <c r="DC552" s="72">
        <v>0</v>
      </c>
      <c r="DD552" s="72">
        <v>0</v>
      </c>
      <c r="DE552" s="72">
        <v>0</v>
      </c>
      <c r="DF552" s="72">
        <v>0</v>
      </c>
      <c r="DG552" s="72">
        <v>0</v>
      </c>
      <c r="DH552" s="72">
        <v>0</v>
      </c>
      <c r="DI552" s="72">
        <v>0</v>
      </c>
      <c r="DJ552" s="72">
        <v>0</v>
      </c>
      <c r="DK552" s="72">
        <v>0</v>
      </c>
      <c r="DL552" s="72">
        <v>0</v>
      </c>
      <c r="DM552" s="72">
        <v>0</v>
      </c>
      <c r="DN552" s="72">
        <v>0</v>
      </c>
      <c r="DO552" s="72">
        <v>0</v>
      </c>
      <c r="DP552" s="72">
        <v>0</v>
      </c>
      <c r="DQ552" s="72">
        <v>0</v>
      </c>
      <c r="DR552" s="72">
        <v>0</v>
      </c>
      <c r="DS552" s="72">
        <v>0</v>
      </c>
      <c r="DT552" s="72">
        <v>0</v>
      </c>
      <c r="DU552" s="72">
        <v>0</v>
      </c>
      <c r="DV552" s="72">
        <v>0</v>
      </c>
      <c r="DW552" s="72">
        <v>0</v>
      </c>
      <c r="DX552" s="72">
        <v>0</v>
      </c>
      <c r="DY552" s="72">
        <v>0</v>
      </c>
      <c r="DZ552" s="72">
        <v>0</v>
      </c>
      <c r="EA552" s="72">
        <v>0</v>
      </c>
      <c r="EB552" s="72">
        <v>0</v>
      </c>
      <c r="EC552" s="72">
        <v>0</v>
      </c>
      <c r="ED552" s="72">
        <v>0</v>
      </c>
      <c r="EE552" s="72">
        <v>0</v>
      </c>
      <c r="EF552" s="72">
        <v>0</v>
      </c>
      <c r="EG552" s="72">
        <v>0</v>
      </c>
      <c r="EH552" s="72">
        <v>0</v>
      </c>
      <c r="EI552" s="72">
        <v>0</v>
      </c>
      <c r="EJ552" s="72">
        <v>0</v>
      </c>
      <c r="EK552" s="72">
        <v>0</v>
      </c>
      <c r="EL552" s="72">
        <v>0</v>
      </c>
    </row>
    <row r="553" spans="1:142" x14ac:dyDescent="0.35">
      <c r="A553" s="59">
        <f>Данные!A553</f>
        <v>6368</v>
      </c>
      <c r="B553" s="59">
        <f>Данные!B553</f>
        <v>2018</v>
      </c>
      <c r="C553" s="59" t="str">
        <f>Данные!C553</f>
        <v>медико-валеологических дисциплин</v>
      </c>
      <c r="D553" s="59" t="str">
        <f>Данные!D553</f>
        <v>Шангин Андрей Борисович</v>
      </c>
      <c r="E553" s="59" t="str">
        <f>Данные!E553</f>
        <v>доктор медицинских наук</v>
      </c>
      <c r="F553" s="59" t="str">
        <f>Данные!F553</f>
        <v>профессор</v>
      </c>
      <c r="G553" s="59">
        <f>Данные!G553</f>
        <v>1</v>
      </c>
      <c r="H553" s="59">
        <f>Данные!H553</f>
        <v>17043</v>
      </c>
      <c r="I553" s="59" t="str">
        <f>Данные!I553</f>
        <v>Модуль "Здоровьесберегающий". Безопасность жизнедеятельности</v>
      </c>
      <c r="J553" s="59">
        <f>Данные!J553</f>
        <v>0</v>
      </c>
      <c r="K553" s="59">
        <f>Данные!K553</f>
        <v>20</v>
      </c>
      <c r="L553" s="59">
        <f>Данные!L553</f>
        <v>0</v>
      </c>
      <c r="M553" s="60">
        <f t="shared" si="72"/>
        <v>2</v>
      </c>
      <c r="N553" s="60">
        <f t="shared" ca="1" si="73"/>
        <v>14.870000000000001</v>
      </c>
      <c r="O553" s="60">
        <f t="shared" ca="1" si="74"/>
        <v>9.75</v>
      </c>
      <c r="P553" s="60">
        <f t="shared" ca="1" si="75"/>
        <v>9.75</v>
      </c>
      <c r="Q553" s="54">
        <f>Данные!Q553</f>
        <v>0</v>
      </c>
      <c r="R553" s="54">
        <f>Данные!R553</f>
        <v>0</v>
      </c>
      <c r="S553" s="54">
        <f>Данные!S553</f>
        <v>0</v>
      </c>
      <c r="T553" s="54">
        <f>Данные!T553</f>
        <v>0</v>
      </c>
      <c r="U553" s="54">
        <f>Данные!U553</f>
        <v>0</v>
      </c>
      <c r="V553" s="54">
        <f>Данные!V553</f>
        <v>0</v>
      </c>
      <c r="W553" s="54">
        <f ca="1">Данные!W553</f>
        <v>39</v>
      </c>
      <c r="X553" s="54" t="str">
        <f ca="1">Данные!X553</f>
        <v>2</v>
      </c>
      <c r="Y553" s="54" t="str">
        <f ca="1">Данные!Y553</f>
        <v>3</v>
      </c>
      <c r="Z553" s="54">
        <f>Данные!Z553</f>
        <v>0</v>
      </c>
      <c r="AA553" s="54" t="str">
        <f>Данные!AA553</f>
        <v>осн</v>
      </c>
      <c r="AB553" s="101">
        <f t="shared" si="76"/>
        <v>750</v>
      </c>
      <c r="AC553" s="101" t="str">
        <f t="shared" si="77"/>
        <v>ИВТ (бак)</v>
      </c>
      <c r="AD553" s="101" t="str">
        <f t="shared" si="78"/>
        <v>2018–2019</v>
      </c>
      <c r="AE553" s="102">
        <f t="shared" ca="1" si="79"/>
        <v>56.370000000000005</v>
      </c>
      <c r="AF553" s="103">
        <f t="shared" ca="1" si="80"/>
        <v>7.5160000000000005E-2</v>
      </c>
      <c r="AG553" s="101"/>
      <c r="AH553" s="101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Q553" s="72">
        <v>0</v>
      </c>
      <c r="BR553" s="72">
        <v>0</v>
      </c>
      <c r="BS553" s="72">
        <v>0</v>
      </c>
      <c r="BT553" s="72">
        <v>0</v>
      </c>
      <c r="BU553" s="72">
        <v>0</v>
      </c>
      <c r="BV553" s="72">
        <v>0</v>
      </c>
      <c r="BW553" s="72">
        <v>0</v>
      </c>
      <c r="BX553" s="72">
        <v>0</v>
      </c>
      <c r="BY553" s="72">
        <v>0</v>
      </c>
      <c r="BZ553" s="72">
        <v>0</v>
      </c>
      <c r="CA553" s="72">
        <v>0</v>
      </c>
      <c r="CB553" s="72">
        <v>0</v>
      </c>
      <c r="CC553" s="72">
        <v>0</v>
      </c>
      <c r="CD553" s="72">
        <v>0</v>
      </c>
      <c r="CE553" s="72">
        <v>0</v>
      </c>
      <c r="CF553" s="72">
        <v>0</v>
      </c>
      <c r="CG553" s="72">
        <v>0</v>
      </c>
      <c r="CH553" s="72">
        <v>0</v>
      </c>
      <c r="CI553" s="72">
        <v>0</v>
      </c>
      <c r="CJ553" s="72">
        <v>0</v>
      </c>
      <c r="CK553" s="72">
        <v>0</v>
      </c>
      <c r="CL553" s="72">
        <v>0</v>
      </c>
      <c r="CM553" s="72">
        <v>0</v>
      </c>
      <c r="CN553" s="72">
        <v>0</v>
      </c>
      <c r="CO553" s="72">
        <v>0</v>
      </c>
      <c r="CP553" s="72">
        <v>0</v>
      </c>
      <c r="CQ553" s="72">
        <v>0</v>
      </c>
      <c r="CR553" s="72">
        <v>0</v>
      </c>
      <c r="CS553" s="72">
        <v>0</v>
      </c>
      <c r="CT553" s="72">
        <v>0</v>
      </c>
      <c r="CU553" s="72">
        <v>0</v>
      </c>
      <c r="CV553" s="72">
        <v>0</v>
      </c>
      <c r="CW553" s="72">
        <v>0</v>
      </c>
      <c r="CX553" s="72">
        <v>0</v>
      </c>
      <c r="CY553" s="72">
        <v>0</v>
      </c>
      <c r="CZ553" s="72">
        <v>0</v>
      </c>
      <c r="DA553" s="72">
        <v>0</v>
      </c>
      <c r="DB553" s="72">
        <v>0</v>
      </c>
      <c r="DC553" s="72">
        <v>0</v>
      </c>
      <c r="DD553" s="72">
        <v>0</v>
      </c>
      <c r="DE553" s="72">
        <v>0</v>
      </c>
      <c r="DF553" s="72">
        <v>0</v>
      </c>
      <c r="DG553" s="72">
        <v>0</v>
      </c>
      <c r="DH553" s="72">
        <v>0</v>
      </c>
      <c r="DI553" s="72">
        <v>0</v>
      </c>
      <c r="DJ553" s="72">
        <v>0</v>
      </c>
      <c r="DK553" s="72">
        <v>0</v>
      </c>
      <c r="DL553" s="72">
        <v>0</v>
      </c>
      <c r="DM553" s="72">
        <v>0</v>
      </c>
      <c r="DN553" s="72">
        <v>0</v>
      </c>
      <c r="DO553" s="72">
        <v>0</v>
      </c>
      <c r="DP553" s="72">
        <v>0</v>
      </c>
      <c r="DQ553" s="72">
        <v>0</v>
      </c>
      <c r="DR553" s="72">
        <v>0</v>
      </c>
      <c r="DS553" s="72">
        <v>0</v>
      </c>
      <c r="DT553" s="72">
        <v>0</v>
      </c>
      <c r="DU553" s="72">
        <v>0</v>
      </c>
      <c r="DV553" s="72">
        <v>0</v>
      </c>
      <c r="DW553" s="72">
        <v>0</v>
      </c>
      <c r="DX553" s="72">
        <v>0</v>
      </c>
      <c r="DY553" s="72">
        <v>0</v>
      </c>
      <c r="DZ553" s="72">
        <v>0</v>
      </c>
      <c r="EA553" s="72">
        <v>0</v>
      </c>
      <c r="EB553" s="72">
        <v>0</v>
      </c>
      <c r="EC553" s="72">
        <v>0</v>
      </c>
      <c r="ED553" s="72">
        <v>0</v>
      </c>
      <c r="EE553" s="72">
        <v>0</v>
      </c>
      <c r="EF553" s="72">
        <v>0</v>
      </c>
      <c r="EG553" s="72">
        <v>0</v>
      </c>
      <c r="EH553" s="72">
        <v>0</v>
      </c>
      <c r="EI553" s="72">
        <v>0</v>
      </c>
      <c r="EJ553" s="72">
        <v>0</v>
      </c>
      <c r="EK553" s="72">
        <v>0</v>
      </c>
      <c r="EL553" s="72">
        <v>0</v>
      </c>
    </row>
    <row r="554" spans="1:142" x14ac:dyDescent="0.35">
      <c r="A554" s="59">
        <f>Данные!A554</f>
        <v>6368</v>
      </c>
      <c r="B554" s="59">
        <f>Данные!B554</f>
        <v>2018</v>
      </c>
      <c r="C554" s="59" t="str">
        <f>Данные!C554</f>
        <v>русского языка</v>
      </c>
      <c r="D554" s="59" t="str">
        <f>Данные!D554</f>
        <v>Пентина Анна Юрьевна</v>
      </c>
      <c r="E554" s="59" t="str">
        <f>Данные!E554</f>
        <v>кандидат филологических наук</v>
      </c>
      <c r="F554" s="59" t="str">
        <f>Данные!F554</f>
        <v>доцент</v>
      </c>
      <c r="G554" s="59">
        <f>Данные!G554</f>
        <v>0.85</v>
      </c>
      <c r="H554" s="59">
        <f>Данные!H554</f>
        <v>17043</v>
      </c>
      <c r="I554" s="59" t="str">
        <f>Данные!I554</f>
        <v>Модуль "Коммуникативный". Русский язык и культура речи</v>
      </c>
      <c r="J554" s="59">
        <f>Данные!J554</f>
        <v>18</v>
      </c>
      <c r="K554" s="59">
        <f>Данные!K554</f>
        <v>32</v>
      </c>
      <c r="L554" s="59">
        <f>Данные!L554</f>
        <v>0</v>
      </c>
      <c r="M554" s="60">
        <f t="shared" si="72"/>
        <v>5</v>
      </c>
      <c r="N554" s="60">
        <f t="shared" ca="1" si="73"/>
        <v>14.870000000000001</v>
      </c>
      <c r="O554" s="60">
        <f t="shared" ca="1" si="74"/>
        <v>9.75</v>
      </c>
      <c r="P554" s="60">
        <f t="shared" ca="1" si="75"/>
        <v>9.75</v>
      </c>
      <c r="Q554" s="54">
        <f>Данные!Q554</f>
        <v>0</v>
      </c>
      <c r="R554" s="54">
        <f>Данные!R554</f>
        <v>0</v>
      </c>
      <c r="S554" s="54">
        <f>Данные!S554</f>
        <v>0</v>
      </c>
      <c r="T554" s="54">
        <f>Данные!T554</f>
        <v>0</v>
      </c>
      <c r="U554" s="54">
        <f>Данные!U554</f>
        <v>0</v>
      </c>
      <c r="V554" s="54">
        <f>Данные!V554</f>
        <v>0</v>
      </c>
      <c r="W554" s="54">
        <f ca="1">Данные!W554</f>
        <v>39</v>
      </c>
      <c r="X554" s="54" t="str">
        <f ca="1">Данные!X554</f>
        <v>2</v>
      </c>
      <c r="Y554" s="54" t="str">
        <f ca="1">Данные!Y554</f>
        <v>3</v>
      </c>
      <c r="Z554" s="54">
        <f>Данные!Z554</f>
        <v>0</v>
      </c>
      <c r="AA554" s="54" t="str">
        <f>Данные!AA554</f>
        <v>осн</v>
      </c>
      <c r="AB554" s="101">
        <f t="shared" si="76"/>
        <v>800</v>
      </c>
      <c r="AC554" s="101" t="str">
        <f t="shared" si="77"/>
        <v>ИВТ (бак)</v>
      </c>
      <c r="AD554" s="101" t="str">
        <f t="shared" si="78"/>
        <v>2018–2019</v>
      </c>
      <c r="AE554" s="102">
        <f t="shared" ca="1" si="79"/>
        <v>89.37</v>
      </c>
      <c r="AF554" s="103">
        <f t="shared" ca="1" si="80"/>
        <v>0.11171250000000001</v>
      </c>
      <c r="AG554" s="101"/>
      <c r="AH554" s="101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Q554" s="72">
        <v>0</v>
      </c>
      <c r="BR554" s="72">
        <v>0</v>
      </c>
      <c r="BS554" s="72">
        <v>0</v>
      </c>
      <c r="BT554" s="72">
        <v>0</v>
      </c>
      <c r="BU554" s="72">
        <v>0</v>
      </c>
      <c r="BV554" s="72">
        <v>0</v>
      </c>
      <c r="BW554" s="72">
        <v>0</v>
      </c>
      <c r="BX554" s="72">
        <v>0</v>
      </c>
      <c r="BY554" s="72">
        <v>0</v>
      </c>
      <c r="BZ554" s="72">
        <v>0</v>
      </c>
      <c r="CA554" s="72">
        <v>0</v>
      </c>
      <c r="CB554" s="72">
        <v>0</v>
      </c>
      <c r="CC554" s="72">
        <v>0</v>
      </c>
      <c r="CD554" s="72">
        <v>0</v>
      </c>
      <c r="CE554" s="72">
        <v>0</v>
      </c>
      <c r="CF554" s="72">
        <v>0</v>
      </c>
      <c r="CG554" s="72">
        <v>0</v>
      </c>
      <c r="CH554" s="72">
        <v>0</v>
      </c>
      <c r="CI554" s="72">
        <v>0</v>
      </c>
      <c r="CJ554" s="72">
        <v>0</v>
      </c>
      <c r="CK554" s="72">
        <v>0</v>
      </c>
      <c r="CL554" s="72">
        <v>0</v>
      </c>
      <c r="CM554" s="72">
        <v>0</v>
      </c>
      <c r="CN554" s="72">
        <v>0</v>
      </c>
      <c r="CO554" s="72">
        <v>0</v>
      </c>
      <c r="CP554" s="72">
        <v>0</v>
      </c>
      <c r="CQ554" s="72">
        <v>0</v>
      </c>
      <c r="CR554" s="72">
        <v>0</v>
      </c>
      <c r="CS554" s="72">
        <v>0</v>
      </c>
      <c r="CT554" s="72">
        <v>0</v>
      </c>
      <c r="CU554" s="72">
        <v>0</v>
      </c>
      <c r="CV554" s="72">
        <v>0</v>
      </c>
      <c r="CW554" s="72">
        <v>0</v>
      </c>
      <c r="CX554" s="72">
        <v>0</v>
      </c>
      <c r="CY554" s="72">
        <v>0</v>
      </c>
      <c r="CZ554" s="72">
        <v>0</v>
      </c>
      <c r="DA554" s="72">
        <v>0</v>
      </c>
      <c r="DB554" s="72">
        <v>0</v>
      </c>
      <c r="DC554" s="72">
        <v>0</v>
      </c>
      <c r="DD554" s="72">
        <v>0</v>
      </c>
      <c r="DE554" s="72">
        <v>0</v>
      </c>
      <c r="DF554" s="72">
        <v>0</v>
      </c>
      <c r="DG554" s="72">
        <v>0</v>
      </c>
      <c r="DH554" s="72">
        <v>0</v>
      </c>
      <c r="DI554" s="72">
        <v>0</v>
      </c>
      <c r="DJ554" s="72">
        <v>0</v>
      </c>
      <c r="DK554" s="72">
        <v>0</v>
      </c>
      <c r="DL554" s="72">
        <v>0</v>
      </c>
      <c r="DM554" s="72">
        <v>0</v>
      </c>
      <c r="DN554" s="72">
        <v>0</v>
      </c>
      <c r="DO554" s="72">
        <v>0</v>
      </c>
      <c r="DP554" s="72">
        <v>0</v>
      </c>
      <c r="DQ554" s="72">
        <v>0</v>
      </c>
      <c r="DR554" s="72">
        <v>0</v>
      </c>
      <c r="DS554" s="72">
        <v>0</v>
      </c>
      <c r="DT554" s="72">
        <v>0</v>
      </c>
      <c r="DU554" s="72">
        <v>0</v>
      </c>
      <c r="DV554" s="72">
        <v>0</v>
      </c>
      <c r="DW554" s="72">
        <v>0</v>
      </c>
      <c r="DX554" s="72">
        <v>0</v>
      </c>
      <c r="DY554" s="72">
        <v>0</v>
      </c>
      <c r="DZ554" s="72">
        <v>0</v>
      </c>
      <c r="EA554" s="72">
        <v>0</v>
      </c>
      <c r="EB554" s="72">
        <v>0</v>
      </c>
      <c r="EC554" s="72">
        <v>0</v>
      </c>
      <c r="ED554" s="72">
        <v>0</v>
      </c>
      <c r="EE554" s="72">
        <v>0</v>
      </c>
      <c r="EF554" s="72">
        <v>0</v>
      </c>
      <c r="EG554" s="72">
        <v>0</v>
      </c>
      <c r="EH554" s="72">
        <v>0</v>
      </c>
      <c r="EI554" s="72">
        <v>0</v>
      </c>
      <c r="EJ554" s="72">
        <v>0</v>
      </c>
      <c r="EK554" s="72">
        <v>0</v>
      </c>
      <c r="EL554" s="72">
        <v>0</v>
      </c>
    </row>
    <row r="555" spans="1:142" x14ac:dyDescent="0.35">
      <c r="A555" s="59">
        <f>Данные!A555</f>
        <v>6368</v>
      </c>
      <c r="B555" s="59">
        <f>Данные!B555</f>
        <v>2018</v>
      </c>
      <c r="C555" s="59" t="str">
        <f>Данные!C555</f>
        <v>современных европейских языков</v>
      </c>
      <c r="D555" s="59" t="str">
        <f>Данные!D555</f>
        <v>Порязь Надежда Вадимовна</v>
      </c>
      <c r="E555" s="59" t="str">
        <f>Данные!E555</f>
        <v>нет</v>
      </c>
      <c r="F555" s="59" t="str">
        <f>Данные!F555</f>
        <v>старший преподаватель</v>
      </c>
      <c r="G555" s="59">
        <f>Данные!G555</f>
        <v>0.5</v>
      </c>
      <c r="H555" s="59">
        <f>Данные!H555</f>
        <v>17043</v>
      </c>
      <c r="I555" s="59" t="str">
        <f>Данные!I555</f>
        <v>Модуль "Коммуникативный". Иностранный язык</v>
      </c>
      <c r="J555" s="59">
        <f>Данные!J555</f>
        <v>0</v>
      </c>
      <c r="K555" s="59">
        <f>Данные!K555</f>
        <v>0</v>
      </c>
      <c r="L555" s="59">
        <f>Данные!L555</f>
        <v>68</v>
      </c>
      <c r="M555" s="60">
        <f t="shared" si="72"/>
        <v>6.8</v>
      </c>
      <c r="N555" s="60">
        <f t="shared" ca="1" si="73"/>
        <v>14.870000000000001</v>
      </c>
      <c r="O555" s="60">
        <f t="shared" ca="1" si="74"/>
        <v>9.75</v>
      </c>
      <c r="P555" s="60">
        <f t="shared" ca="1" si="75"/>
        <v>9.75</v>
      </c>
      <c r="Q555" s="54">
        <f>Данные!Q555</f>
        <v>0</v>
      </c>
      <c r="R555" s="54">
        <f>Данные!R555</f>
        <v>0</v>
      </c>
      <c r="S555" s="54">
        <f>Данные!S555</f>
        <v>0</v>
      </c>
      <c r="T555" s="54">
        <f>Данные!T555</f>
        <v>0</v>
      </c>
      <c r="U555" s="54">
        <f>Данные!U555</f>
        <v>0</v>
      </c>
      <c r="V555" s="54">
        <f>Данные!V555</f>
        <v>0</v>
      </c>
      <c r="W555" s="54">
        <f ca="1">Данные!W555</f>
        <v>39</v>
      </c>
      <c r="X555" s="54" t="str">
        <f ca="1">Данные!X555</f>
        <v>2</v>
      </c>
      <c r="Y555" s="54" t="str">
        <f ca="1">Данные!Y555</f>
        <v>3</v>
      </c>
      <c r="Z555" s="54">
        <f>Данные!Z555</f>
        <v>0</v>
      </c>
      <c r="AA555" s="54" t="str">
        <f>Данные!AA555</f>
        <v>осн</v>
      </c>
      <c r="AB555" s="101">
        <f t="shared" si="76"/>
        <v>850</v>
      </c>
      <c r="AC555" s="101" t="str">
        <f t="shared" si="77"/>
        <v>ИВТ (бак)</v>
      </c>
      <c r="AD555" s="101" t="str">
        <f t="shared" si="78"/>
        <v>2018–2019</v>
      </c>
      <c r="AE555" s="102">
        <f t="shared" ca="1" si="79"/>
        <v>109.17</v>
      </c>
      <c r="AF555" s="103">
        <f t="shared" ca="1" si="80"/>
        <v>0.12843529411764706</v>
      </c>
      <c r="AG555" s="101"/>
      <c r="AH555" s="101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Q555" s="72">
        <v>0</v>
      </c>
      <c r="BR555" s="72">
        <v>0</v>
      </c>
      <c r="BS555" s="72">
        <v>0</v>
      </c>
      <c r="BT555" s="72">
        <v>0</v>
      </c>
      <c r="BU555" s="72">
        <v>0</v>
      </c>
      <c r="BV555" s="72">
        <v>0</v>
      </c>
      <c r="BW555" s="72">
        <v>0</v>
      </c>
      <c r="BX555" s="72">
        <v>0</v>
      </c>
      <c r="BY555" s="72">
        <v>0</v>
      </c>
      <c r="BZ555" s="72">
        <v>0</v>
      </c>
      <c r="CA555" s="72">
        <v>0</v>
      </c>
      <c r="CB555" s="72">
        <v>0</v>
      </c>
      <c r="CC555" s="72">
        <v>0</v>
      </c>
      <c r="CD555" s="72">
        <v>0</v>
      </c>
      <c r="CE555" s="72">
        <v>0</v>
      </c>
      <c r="CF555" s="72">
        <v>0</v>
      </c>
      <c r="CG555" s="72">
        <v>0</v>
      </c>
      <c r="CH555" s="72">
        <v>0</v>
      </c>
      <c r="CI555" s="72">
        <v>0</v>
      </c>
      <c r="CJ555" s="72">
        <v>0</v>
      </c>
      <c r="CK555" s="72">
        <v>0</v>
      </c>
      <c r="CL555" s="72">
        <v>0</v>
      </c>
      <c r="CM555" s="72">
        <v>0</v>
      </c>
      <c r="CN555" s="72">
        <v>0</v>
      </c>
      <c r="CO555" s="72">
        <v>0</v>
      </c>
      <c r="CP555" s="72">
        <v>0</v>
      </c>
      <c r="CQ555" s="72">
        <v>0</v>
      </c>
      <c r="CR555" s="72">
        <v>0</v>
      </c>
      <c r="CS555" s="72">
        <v>0</v>
      </c>
      <c r="CT555" s="72">
        <v>0</v>
      </c>
      <c r="CU555" s="72">
        <v>0</v>
      </c>
      <c r="CV555" s="72">
        <v>0</v>
      </c>
      <c r="CW555" s="72">
        <v>0</v>
      </c>
      <c r="CX555" s="72">
        <v>0</v>
      </c>
      <c r="CY555" s="72">
        <v>0</v>
      </c>
      <c r="CZ555" s="72">
        <v>0</v>
      </c>
      <c r="DA555" s="72">
        <v>0</v>
      </c>
      <c r="DB555" s="72">
        <v>0</v>
      </c>
      <c r="DC555" s="72">
        <v>0</v>
      </c>
      <c r="DD555" s="72">
        <v>0</v>
      </c>
      <c r="DE555" s="72">
        <v>0</v>
      </c>
      <c r="DF555" s="72">
        <v>0</v>
      </c>
      <c r="DG555" s="72">
        <v>0</v>
      </c>
      <c r="DH555" s="72">
        <v>0</v>
      </c>
      <c r="DI555" s="72">
        <v>0</v>
      </c>
      <c r="DJ555" s="72">
        <v>0</v>
      </c>
      <c r="DK555" s="72">
        <v>0</v>
      </c>
      <c r="DL555" s="72">
        <v>0</v>
      </c>
      <c r="DM555" s="72">
        <v>0</v>
      </c>
      <c r="DN555" s="72">
        <v>0</v>
      </c>
      <c r="DO555" s="72">
        <v>0</v>
      </c>
      <c r="DP555" s="72">
        <v>0</v>
      </c>
      <c r="DQ555" s="72">
        <v>0</v>
      </c>
      <c r="DR555" s="72">
        <v>0</v>
      </c>
      <c r="DS555" s="72">
        <v>0</v>
      </c>
      <c r="DT555" s="72">
        <v>0</v>
      </c>
      <c r="DU555" s="72">
        <v>0</v>
      </c>
      <c r="DV555" s="72">
        <v>0</v>
      </c>
      <c r="DW555" s="72">
        <v>0</v>
      </c>
      <c r="DX555" s="72">
        <v>0</v>
      </c>
      <c r="DY555" s="72">
        <v>0</v>
      </c>
      <c r="DZ555" s="72">
        <v>0</v>
      </c>
      <c r="EA555" s="72">
        <v>0</v>
      </c>
      <c r="EB555" s="72">
        <v>0</v>
      </c>
      <c r="EC555" s="72">
        <v>0</v>
      </c>
      <c r="ED555" s="72">
        <v>0</v>
      </c>
      <c r="EE555" s="72">
        <v>0</v>
      </c>
      <c r="EF555" s="72">
        <v>0</v>
      </c>
      <c r="EG555" s="72">
        <v>0</v>
      </c>
      <c r="EH555" s="72">
        <v>0</v>
      </c>
      <c r="EI555" s="72">
        <v>0</v>
      </c>
      <c r="EJ555" s="72">
        <v>0</v>
      </c>
      <c r="EK555" s="72">
        <v>0</v>
      </c>
      <c r="EL555" s="72">
        <v>0</v>
      </c>
    </row>
    <row r="556" spans="1:142" x14ac:dyDescent="0.35">
      <c r="A556" s="59">
        <f>Данные!A556</f>
        <v>6368</v>
      </c>
      <c r="B556" s="59">
        <f>Данные!B556</f>
        <v>2018</v>
      </c>
      <c r="C556" s="59" t="str">
        <f>Данные!C556</f>
        <v>современных европейских языков</v>
      </c>
      <c r="D556" s="59" t="str">
        <f>Данные!D556</f>
        <v>Тарамжина Людмила Витольдовна</v>
      </c>
      <c r="E556" s="59" t="str">
        <f>Данные!E556</f>
        <v>кандидат филологических наук</v>
      </c>
      <c r="F556" s="59" t="str">
        <f>Данные!F556</f>
        <v>доцент</v>
      </c>
      <c r="G556" s="59">
        <f>Данные!G556</f>
        <v>1</v>
      </c>
      <c r="H556" s="59">
        <f>Данные!H556</f>
        <v>17043</v>
      </c>
      <c r="I556" s="59" t="str">
        <f>Данные!I556</f>
        <v>Модуль "Коммуникативный". Иностранный язык</v>
      </c>
      <c r="J556" s="59">
        <f>Данные!J556</f>
        <v>0</v>
      </c>
      <c r="K556" s="59">
        <f>Данные!K556</f>
        <v>0</v>
      </c>
      <c r="L556" s="59">
        <f>Данные!L556</f>
        <v>68</v>
      </c>
      <c r="M556" s="60">
        <f t="shared" si="72"/>
        <v>6.8</v>
      </c>
      <c r="N556" s="60">
        <f t="shared" ca="1" si="73"/>
        <v>14.870000000000001</v>
      </c>
      <c r="O556" s="60">
        <f t="shared" ca="1" si="74"/>
        <v>9.75</v>
      </c>
      <c r="P556" s="60">
        <f t="shared" ca="1" si="75"/>
        <v>9.75</v>
      </c>
      <c r="Q556" s="54">
        <f>Данные!Q556</f>
        <v>0</v>
      </c>
      <c r="R556" s="54">
        <f>Данные!R556</f>
        <v>0</v>
      </c>
      <c r="S556" s="54">
        <f>Данные!S556</f>
        <v>0</v>
      </c>
      <c r="T556" s="54">
        <f>Данные!T556</f>
        <v>0</v>
      </c>
      <c r="U556" s="54">
        <f>Данные!U556</f>
        <v>0</v>
      </c>
      <c r="V556" s="54">
        <f>Данные!V556</f>
        <v>0</v>
      </c>
      <c r="W556" s="54">
        <f ca="1">Данные!W556</f>
        <v>39</v>
      </c>
      <c r="X556" s="54" t="str">
        <f ca="1">Данные!X556</f>
        <v>2</v>
      </c>
      <c r="Y556" s="54" t="str">
        <f ca="1">Данные!Y556</f>
        <v>3</v>
      </c>
      <c r="Z556" s="54">
        <f>Данные!Z556</f>
        <v>0</v>
      </c>
      <c r="AA556" s="54" t="str">
        <f>Данные!AA556</f>
        <v>осн</v>
      </c>
      <c r="AB556" s="101">
        <f t="shared" si="76"/>
        <v>800</v>
      </c>
      <c r="AC556" s="101" t="str">
        <f t="shared" si="77"/>
        <v>ИВТ (бак)</v>
      </c>
      <c r="AD556" s="101" t="str">
        <f t="shared" si="78"/>
        <v>2018–2019</v>
      </c>
      <c r="AE556" s="102">
        <f t="shared" ca="1" si="79"/>
        <v>109.17</v>
      </c>
      <c r="AF556" s="103">
        <f t="shared" ca="1" si="80"/>
        <v>0.13646250000000001</v>
      </c>
      <c r="AG556" s="101"/>
      <c r="AH556" s="101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Q556" s="72">
        <v>0</v>
      </c>
      <c r="BR556" s="72">
        <v>0</v>
      </c>
      <c r="BS556" s="72">
        <v>0</v>
      </c>
      <c r="BT556" s="72">
        <v>0</v>
      </c>
      <c r="BU556" s="72">
        <v>0</v>
      </c>
      <c r="BV556" s="72">
        <v>0</v>
      </c>
      <c r="BW556" s="72">
        <v>0</v>
      </c>
      <c r="BX556" s="72">
        <v>0</v>
      </c>
      <c r="BY556" s="72">
        <v>0</v>
      </c>
      <c r="BZ556" s="72">
        <v>0</v>
      </c>
      <c r="CA556" s="72">
        <v>0</v>
      </c>
      <c r="CB556" s="72">
        <v>0</v>
      </c>
      <c r="CC556" s="72">
        <v>0</v>
      </c>
      <c r="CD556" s="72">
        <v>0</v>
      </c>
      <c r="CE556" s="72">
        <v>0</v>
      </c>
      <c r="CF556" s="72">
        <v>0</v>
      </c>
      <c r="CG556" s="72">
        <v>0</v>
      </c>
      <c r="CH556" s="72">
        <v>0</v>
      </c>
      <c r="CI556" s="72">
        <v>0</v>
      </c>
      <c r="CJ556" s="72">
        <v>0</v>
      </c>
      <c r="CK556" s="72">
        <v>0</v>
      </c>
      <c r="CL556" s="72">
        <v>0</v>
      </c>
      <c r="CM556" s="72">
        <v>0</v>
      </c>
      <c r="CN556" s="72">
        <v>0</v>
      </c>
      <c r="CO556" s="72">
        <v>0</v>
      </c>
      <c r="CP556" s="72">
        <v>0</v>
      </c>
      <c r="CQ556" s="72">
        <v>0</v>
      </c>
      <c r="CR556" s="72">
        <v>0</v>
      </c>
      <c r="CS556" s="72">
        <v>0</v>
      </c>
      <c r="CT556" s="72">
        <v>0</v>
      </c>
      <c r="CU556" s="72">
        <v>0</v>
      </c>
      <c r="CV556" s="72">
        <v>0</v>
      </c>
      <c r="CW556" s="72">
        <v>0</v>
      </c>
      <c r="CX556" s="72">
        <v>0</v>
      </c>
      <c r="CY556" s="72">
        <v>0</v>
      </c>
      <c r="CZ556" s="72">
        <v>0</v>
      </c>
      <c r="DA556" s="72">
        <v>0</v>
      </c>
      <c r="DB556" s="72">
        <v>0</v>
      </c>
      <c r="DC556" s="72">
        <v>0</v>
      </c>
      <c r="DD556" s="72">
        <v>0</v>
      </c>
      <c r="DE556" s="72">
        <v>0</v>
      </c>
      <c r="DF556" s="72">
        <v>0</v>
      </c>
      <c r="DG556" s="72">
        <v>0</v>
      </c>
      <c r="DH556" s="72">
        <v>0</v>
      </c>
      <c r="DI556" s="72">
        <v>0</v>
      </c>
      <c r="DJ556" s="72">
        <v>0</v>
      </c>
      <c r="DK556" s="72">
        <v>0</v>
      </c>
      <c r="DL556" s="72">
        <v>0</v>
      </c>
      <c r="DM556" s="72">
        <v>0</v>
      </c>
      <c r="DN556" s="72">
        <v>0</v>
      </c>
      <c r="DO556" s="72">
        <v>0</v>
      </c>
      <c r="DP556" s="72">
        <v>0</v>
      </c>
      <c r="DQ556" s="72">
        <v>0</v>
      </c>
      <c r="DR556" s="72">
        <v>0</v>
      </c>
      <c r="DS556" s="72">
        <v>0</v>
      </c>
      <c r="DT556" s="72">
        <v>0</v>
      </c>
      <c r="DU556" s="72">
        <v>0</v>
      </c>
      <c r="DV556" s="72">
        <v>0</v>
      </c>
      <c r="DW556" s="72">
        <v>0</v>
      </c>
      <c r="DX556" s="72">
        <v>0</v>
      </c>
      <c r="DY556" s="72">
        <v>0</v>
      </c>
      <c r="DZ556" s="72">
        <v>0</v>
      </c>
      <c r="EA556" s="72">
        <v>0</v>
      </c>
      <c r="EB556" s="72">
        <v>0</v>
      </c>
      <c r="EC556" s="72">
        <v>0</v>
      </c>
      <c r="ED556" s="72">
        <v>0</v>
      </c>
      <c r="EE556" s="72">
        <v>0</v>
      </c>
      <c r="EF556" s="72">
        <v>0</v>
      </c>
      <c r="EG556" s="72">
        <v>0</v>
      </c>
      <c r="EH556" s="72">
        <v>0</v>
      </c>
      <c r="EI556" s="72">
        <v>0</v>
      </c>
      <c r="EJ556" s="72">
        <v>0</v>
      </c>
      <c r="EK556" s="72">
        <v>0</v>
      </c>
      <c r="EL556" s="72">
        <v>0</v>
      </c>
    </row>
    <row r="557" spans="1:142" x14ac:dyDescent="0.35">
      <c r="A557" s="59">
        <f>Данные!A557</f>
        <v>6368</v>
      </c>
      <c r="B557" s="59">
        <f>Данные!B557</f>
        <v>2018</v>
      </c>
      <c r="C557" s="59" t="str">
        <f>Данные!C557</f>
        <v>современных европейских языков</v>
      </c>
      <c r="D557" s="59" t="str">
        <f>Данные!D557</f>
        <v>Хахалина Марина Сергеевна</v>
      </c>
      <c r="E557" s="59" t="str">
        <f>Данные!E557</f>
        <v>кандидат химических наук</v>
      </c>
      <c r="F557" s="59" t="str">
        <f>Данные!F557</f>
        <v>старший преподаватель</v>
      </c>
      <c r="G557" s="59">
        <f>Данные!G557</f>
        <v>1</v>
      </c>
      <c r="H557" s="59">
        <f>Данные!H557</f>
        <v>17043</v>
      </c>
      <c r="I557" s="59" t="str">
        <f>Данные!I557</f>
        <v>Модуль "Коммуникативный". Иностранный язык</v>
      </c>
      <c r="J557" s="59">
        <f>Данные!J557</f>
        <v>0</v>
      </c>
      <c r="K557" s="59">
        <f>Данные!K557</f>
        <v>0</v>
      </c>
      <c r="L557" s="59">
        <f>Данные!L557</f>
        <v>68</v>
      </c>
      <c r="M557" s="60">
        <f t="shared" si="72"/>
        <v>6.8</v>
      </c>
      <c r="N557" s="60">
        <f t="shared" ca="1" si="73"/>
        <v>14.870000000000001</v>
      </c>
      <c r="O557" s="60">
        <f t="shared" ca="1" si="74"/>
        <v>9.75</v>
      </c>
      <c r="P557" s="60">
        <f t="shared" ca="1" si="75"/>
        <v>9.75</v>
      </c>
      <c r="Q557" s="54">
        <f>Данные!Q557</f>
        <v>0</v>
      </c>
      <c r="R557" s="54">
        <f>Данные!R557</f>
        <v>0</v>
      </c>
      <c r="S557" s="54">
        <f>Данные!S557</f>
        <v>0</v>
      </c>
      <c r="T557" s="54">
        <f>Данные!T557</f>
        <v>0</v>
      </c>
      <c r="U557" s="54">
        <f>Данные!U557</f>
        <v>0</v>
      </c>
      <c r="V557" s="54">
        <f>Данные!V557</f>
        <v>0</v>
      </c>
      <c r="W557" s="54">
        <f ca="1">Данные!W557</f>
        <v>39</v>
      </c>
      <c r="X557" s="54" t="str">
        <f ca="1">Данные!X557</f>
        <v>2</v>
      </c>
      <c r="Y557" s="54" t="str">
        <f ca="1">Данные!Y557</f>
        <v>3</v>
      </c>
      <c r="Z557" s="54">
        <f>Данные!Z557</f>
        <v>0</v>
      </c>
      <c r="AA557" s="54" t="str">
        <f>Данные!AA557</f>
        <v>осн</v>
      </c>
      <c r="AB557" s="101">
        <f t="shared" si="76"/>
        <v>850</v>
      </c>
      <c r="AC557" s="101" t="str">
        <f t="shared" si="77"/>
        <v>ИВТ (бак)</v>
      </c>
      <c r="AD557" s="101" t="str">
        <f t="shared" si="78"/>
        <v>2018–2019</v>
      </c>
      <c r="AE557" s="102">
        <f t="shared" ca="1" si="79"/>
        <v>109.17</v>
      </c>
      <c r="AF557" s="103">
        <f t="shared" ca="1" si="80"/>
        <v>0.12843529411764706</v>
      </c>
      <c r="AG557" s="101"/>
      <c r="AH557" s="101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Q557" s="72">
        <v>0</v>
      </c>
      <c r="BR557" s="72">
        <v>0</v>
      </c>
      <c r="BS557" s="72">
        <v>0</v>
      </c>
      <c r="BT557" s="72">
        <v>0</v>
      </c>
      <c r="BU557" s="72">
        <v>0</v>
      </c>
      <c r="BV557" s="72">
        <v>0</v>
      </c>
      <c r="BW557" s="72">
        <v>0</v>
      </c>
      <c r="BX557" s="72">
        <v>0</v>
      </c>
      <c r="BY557" s="72">
        <v>0</v>
      </c>
      <c r="BZ557" s="72">
        <v>0</v>
      </c>
      <c r="CA557" s="72">
        <v>0</v>
      </c>
      <c r="CB557" s="72">
        <v>0</v>
      </c>
      <c r="CC557" s="72">
        <v>0</v>
      </c>
      <c r="CD557" s="72">
        <v>0</v>
      </c>
      <c r="CE557" s="72">
        <v>0</v>
      </c>
      <c r="CF557" s="72">
        <v>0</v>
      </c>
      <c r="CG557" s="72">
        <v>0</v>
      </c>
      <c r="CH557" s="72">
        <v>0</v>
      </c>
      <c r="CI557" s="72">
        <v>0</v>
      </c>
      <c r="CJ557" s="72">
        <v>0</v>
      </c>
      <c r="CK557" s="72">
        <v>0</v>
      </c>
      <c r="CL557" s="72">
        <v>0</v>
      </c>
      <c r="CM557" s="72">
        <v>0</v>
      </c>
      <c r="CN557" s="72">
        <v>0</v>
      </c>
      <c r="CO557" s="72">
        <v>0</v>
      </c>
      <c r="CP557" s="72">
        <v>0</v>
      </c>
      <c r="CQ557" s="72">
        <v>0</v>
      </c>
      <c r="CR557" s="72">
        <v>0</v>
      </c>
      <c r="CS557" s="72">
        <v>0</v>
      </c>
      <c r="CT557" s="72">
        <v>0</v>
      </c>
      <c r="CU557" s="72">
        <v>0</v>
      </c>
      <c r="CV557" s="72">
        <v>0</v>
      </c>
      <c r="CW557" s="72">
        <v>0</v>
      </c>
      <c r="CX557" s="72">
        <v>0</v>
      </c>
      <c r="CY557" s="72">
        <v>0</v>
      </c>
      <c r="CZ557" s="72">
        <v>0</v>
      </c>
      <c r="DA557" s="72">
        <v>0</v>
      </c>
      <c r="DB557" s="72">
        <v>0</v>
      </c>
      <c r="DC557" s="72">
        <v>0</v>
      </c>
      <c r="DD557" s="72">
        <v>0</v>
      </c>
      <c r="DE557" s="72">
        <v>0</v>
      </c>
      <c r="DF557" s="72">
        <v>0</v>
      </c>
      <c r="DG557" s="72">
        <v>0</v>
      </c>
      <c r="DH557" s="72">
        <v>0</v>
      </c>
      <c r="DI557" s="72">
        <v>0</v>
      </c>
      <c r="DJ557" s="72">
        <v>0</v>
      </c>
      <c r="DK557" s="72">
        <v>0</v>
      </c>
      <c r="DL557" s="72">
        <v>0</v>
      </c>
      <c r="DM557" s="72">
        <v>0</v>
      </c>
      <c r="DN557" s="72">
        <v>0</v>
      </c>
      <c r="DO557" s="72">
        <v>0</v>
      </c>
      <c r="DP557" s="72">
        <v>0</v>
      </c>
      <c r="DQ557" s="72">
        <v>0</v>
      </c>
      <c r="DR557" s="72">
        <v>0</v>
      </c>
      <c r="DS557" s="72">
        <v>0</v>
      </c>
      <c r="DT557" s="72">
        <v>0</v>
      </c>
      <c r="DU557" s="72">
        <v>0</v>
      </c>
      <c r="DV557" s="72">
        <v>0</v>
      </c>
      <c r="DW557" s="72">
        <v>0</v>
      </c>
      <c r="DX557" s="72">
        <v>0</v>
      </c>
      <c r="DY557" s="72">
        <v>0</v>
      </c>
      <c r="DZ557" s="72">
        <v>0</v>
      </c>
      <c r="EA557" s="72">
        <v>0</v>
      </c>
      <c r="EB557" s="72">
        <v>0</v>
      </c>
      <c r="EC557" s="72">
        <v>0</v>
      </c>
      <c r="ED557" s="72">
        <v>0</v>
      </c>
      <c r="EE557" s="72">
        <v>0</v>
      </c>
      <c r="EF557" s="72">
        <v>0</v>
      </c>
      <c r="EG557" s="72">
        <v>0</v>
      </c>
      <c r="EH557" s="72">
        <v>0</v>
      </c>
      <c r="EI557" s="72">
        <v>0</v>
      </c>
      <c r="EJ557" s="72">
        <v>0</v>
      </c>
      <c r="EK557" s="72">
        <v>0</v>
      </c>
      <c r="EL557" s="72">
        <v>0</v>
      </c>
    </row>
    <row r="558" spans="1:142" x14ac:dyDescent="0.35">
      <c r="A558" s="59">
        <f>Данные!A558</f>
        <v>6368</v>
      </c>
      <c r="B558" s="59">
        <f>Данные!B558</f>
        <v>2018</v>
      </c>
      <c r="C558" s="59" t="str">
        <f>Данные!C558</f>
        <v>социальной безопасности</v>
      </c>
      <c r="D558" s="59" t="str">
        <f>Данные!D558</f>
        <v>Байгузева Александра Петровна</v>
      </c>
      <c r="E558" s="59" t="str">
        <f>Данные!E558</f>
        <v>нет</v>
      </c>
      <c r="F558" s="59" t="str">
        <f>Данные!F558</f>
        <v>старший преподаватель</v>
      </c>
      <c r="G558" s="59">
        <f>Данные!G558</f>
        <v>1</v>
      </c>
      <c r="H558" s="59">
        <f>Данные!H558</f>
        <v>17043</v>
      </c>
      <c r="I558" s="59" t="str">
        <f>Данные!I558</f>
        <v>Модуль "Здоровьесберегающий". Безопасность жизнедеятельности</v>
      </c>
      <c r="J558" s="59">
        <f>Данные!J558</f>
        <v>16</v>
      </c>
      <c r="K558" s="59">
        <f>Данные!K558</f>
        <v>20</v>
      </c>
      <c r="L558" s="59">
        <f>Данные!L558</f>
        <v>0</v>
      </c>
      <c r="M558" s="60">
        <f t="shared" si="72"/>
        <v>3.6</v>
      </c>
      <c r="N558" s="60">
        <f t="shared" ca="1" si="73"/>
        <v>14.870000000000001</v>
      </c>
      <c r="O558" s="60">
        <f t="shared" ca="1" si="74"/>
        <v>9.75</v>
      </c>
      <c r="P558" s="60">
        <f t="shared" ca="1" si="75"/>
        <v>9.75</v>
      </c>
      <c r="Q558" s="54">
        <f>Данные!Q558</f>
        <v>0</v>
      </c>
      <c r="R558" s="54">
        <f>Данные!R558</f>
        <v>0</v>
      </c>
      <c r="S558" s="54">
        <f>Данные!S558</f>
        <v>0</v>
      </c>
      <c r="T558" s="54">
        <f>Данные!T558</f>
        <v>0</v>
      </c>
      <c r="U558" s="54">
        <f>Данные!U558</f>
        <v>0</v>
      </c>
      <c r="V558" s="54">
        <f>Данные!V558</f>
        <v>0</v>
      </c>
      <c r="W558" s="54">
        <f ca="1">Данные!W558</f>
        <v>39</v>
      </c>
      <c r="X558" s="54" t="str">
        <f ca="1">Данные!X558</f>
        <v>2</v>
      </c>
      <c r="Y558" s="54" t="str">
        <f ca="1">Данные!Y558</f>
        <v>3</v>
      </c>
      <c r="Z558" s="54">
        <f>Данные!Z558</f>
        <v>0</v>
      </c>
      <c r="AA558" s="54">
        <f>Данные!AA558</f>
        <v>0</v>
      </c>
      <c r="AB558" s="101">
        <f t="shared" si="76"/>
        <v>850</v>
      </c>
      <c r="AC558" s="101" t="str">
        <f t="shared" si="77"/>
        <v>ИВТ (бак)</v>
      </c>
      <c r="AD558" s="101" t="str">
        <f t="shared" si="78"/>
        <v>2018–2019</v>
      </c>
      <c r="AE558" s="102">
        <f t="shared" ca="1" si="79"/>
        <v>73.97</v>
      </c>
      <c r="AF558" s="103">
        <f t="shared" ca="1" si="80"/>
        <v>8.7023529411764708E-2</v>
      </c>
      <c r="AG558" s="101"/>
      <c r="AH558" s="101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Q558" s="72">
        <v>0</v>
      </c>
      <c r="BR558" s="72">
        <v>0</v>
      </c>
      <c r="BS558" s="72">
        <v>0</v>
      </c>
      <c r="BT558" s="72">
        <v>0</v>
      </c>
      <c r="BU558" s="72">
        <v>0</v>
      </c>
      <c r="BV558" s="72">
        <v>0</v>
      </c>
      <c r="BW558" s="72">
        <v>0</v>
      </c>
      <c r="BX558" s="72">
        <v>0</v>
      </c>
      <c r="BY558" s="72">
        <v>0</v>
      </c>
      <c r="BZ558" s="72">
        <v>0</v>
      </c>
      <c r="CA558" s="72">
        <v>0</v>
      </c>
      <c r="CB558" s="72">
        <v>0</v>
      </c>
      <c r="CC558" s="72">
        <v>0</v>
      </c>
      <c r="CD558" s="72">
        <v>0</v>
      </c>
      <c r="CE558" s="72">
        <v>0</v>
      </c>
      <c r="CF558" s="72">
        <v>0</v>
      </c>
      <c r="CG558" s="72">
        <v>0</v>
      </c>
      <c r="CH558" s="72">
        <v>0</v>
      </c>
      <c r="CI558" s="72">
        <v>0</v>
      </c>
      <c r="CJ558" s="72">
        <v>0</v>
      </c>
      <c r="CK558" s="72">
        <v>0</v>
      </c>
      <c r="CL558" s="72">
        <v>0</v>
      </c>
      <c r="CM558" s="72">
        <v>0</v>
      </c>
      <c r="CN558" s="72">
        <v>0</v>
      </c>
      <c r="CO558" s="72">
        <v>0</v>
      </c>
      <c r="CP558" s="72">
        <v>0</v>
      </c>
      <c r="CQ558" s="72">
        <v>0</v>
      </c>
      <c r="CR558" s="72">
        <v>0</v>
      </c>
      <c r="CS558" s="72">
        <v>0</v>
      </c>
      <c r="CT558" s="72">
        <v>0</v>
      </c>
      <c r="CU558" s="72">
        <v>0</v>
      </c>
      <c r="CV558" s="72">
        <v>0</v>
      </c>
      <c r="CW558" s="72">
        <v>0</v>
      </c>
      <c r="CX558" s="72">
        <v>0</v>
      </c>
      <c r="CY558" s="72">
        <v>0</v>
      </c>
      <c r="CZ558" s="72">
        <v>0</v>
      </c>
      <c r="DA558" s="72">
        <v>0</v>
      </c>
      <c r="DB558" s="72">
        <v>0</v>
      </c>
      <c r="DC558" s="72">
        <v>0</v>
      </c>
      <c r="DD558" s="72">
        <v>0</v>
      </c>
      <c r="DE558" s="72">
        <v>0</v>
      </c>
      <c r="DF558" s="72">
        <v>0</v>
      </c>
      <c r="DG558" s="72">
        <v>0</v>
      </c>
      <c r="DH558" s="72">
        <v>0</v>
      </c>
      <c r="DI558" s="72">
        <v>0</v>
      </c>
      <c r="DJ558" s="72">
        <v>0</v>
      </c>
      <c r="DK558" s="72">
        <v>0</v>
      </c>
      <c r="DL558" s="72">
        <v>0</v>
      </c>
      <c r="DM558" s="72">
        <v>0</v>
      </c>
      <c r="DN558" s="72">
        <v>0</v>
      </c>
      <c r="DO558" s="72">
        <v>0</v>
      </c>
      <c r="DP558" s="72">
        <v>0</v>
      </c>
      <c r="DQ558" s="72">
        <v>0</v>
      </c>
      <c r="DR558" s="72">
        <v>0</v>
      </c>
      <c r="DS558" s="72">
        <v>0</v>
      </c>
      <c r="DT558" s="72">
        <v>0</v>
      </c>
      <c r="DU558" s="72">
        <v>0</v>
      </c>
      <c r="DV558" s="72">
        <v>0</v>
      </c>
      <c r="DW558" s="72">
        <v>0</v>
      </c>
      <c r="DX558" s="72">
        <v>0</v>
      </c>
      <c r="DY558" s="72">
        <v>0</v>
      </c>
      <c r="DZ558" s="72">
        <v>0</v>
      </c>
      <c r="EA558" s="72">
        <v>0</v>
      </c>
      <c r="EB558" s="72">
        <v>0</v>
      </c>
      <c r="EC558" s="72">
        <v>0</v>
      </c>
      <c r="ED558" s="72">
        <v>0</v>
      </c>
      <c r="EE558" s="72">
        <v>0</v>
      </c>
      <c r="EF558" s="72">
        <v>0</v>
      </c>
      <c r="EG558" s="72">
        <v>0</v>
      </c>
      <c r="EH558" s="72">
        <v>0</v>
      </c>
      <c r="EI558" s="72">
        <v>0</v>
      </c>
      <c r="EJ558" s="72">
        <v>0</v>
      </c>
      <c r="EK558" s="72">
        <v>0</v>
      </c>
      <c r="EL558" s="72">
        <v>0</v>
      </c>
    </row>
    <row r="559" spans="1:142" x14ac:dyDescent="0.35">
      <c r="A559" s="59">
        <f>Данные!A559</f>
        <v>6368</v>
      </c>
      <c r="B559" s="59">
        <f>Данные!B559</f>
        <v>2018</v>
      </c>
      <c r="C559" s="59" t="str">
        <f>Данные!C559</f>
        <v>физического воспитания и спортивно-массовой работы</v>
      </c>
      <c r="D559" s="59" t="str">
        <f>Данные!D559</f>
        <v>Барченко Сергей Алексеевич</v>
      </c>
      <c r="E559" s="59" t="str">
        <f>Данные!E559</f>
        <v>нет</v>
      </c>
      <c r="F559" s="59" t="str">
        <f>Данные!F559</f>
        <v>старший преподаватель</v>
      </c>
      <c r="G559" s="59">
        <f>Данные!G559</f>
        <v>0.5</v>
      </c>
      <c r="H559" s="59">
        <f>Данные!H559</f>
        <v>17043</v>
      </c>
      <c r="I559" s="59" t="str">
        <f>Данные!I559</f>
        <v>Модуль "Здоровьесберегающий". Физическая культура и спорт</v>
      </c>
      <c r="J559" s="59">
        <f>Данные!J559</f>
        <v>0</v>
      </c>
      <c r="K559" s="59">
        <f>Данные!K559</f>
        <v>20</v>
      </c>
      <c r="L559" s="59">
        <f>Данные!L559</f>
        <v>0</v>
      </c>
      <c r="M559" s="60">
        <f t="shared" si="72"/>
        <v>2</v>
      </c>
      <c r="N559" s="60">
        <f t="shared" ca="1" si="73"/>
        <v>14.870000000000001</v>
      </c>
      <c r="O559" s="60">
        <f t="shared" ca="1" si="74"/>
        <v>9.75</v>
      </c>
      <c r="P559" s="60">
        <f t="shared" ca="1" si="75"/>
        <v>9.75</v>
      </c>
      <c r="Q559" s="54">
        <f>Данные!Q559</f>
        <v>0</v>
      </c>
      <c r="R559" s="54">
        <f>Данные!R559</f>
        <v>0</v>
      </c>
      <c r="S559" s="54">
        <f>Данные!S559</f>
        <v>0</v>
      </c>
      <c r="T559" s="54">
        <f>Данные!T559</f>
        <v>0</v>
      </c>
      <c r="U559" s="54">
        <f>Данные!U559</f>
        <v>0</v>
      </c>
      <c r="V559" s="54">
        <f>Данные!V559</f>
        <v>0</v>
      </c>
      <c r="W559" s="54">
        <f ca="1">Данные!W559</f>
        <v>39</v>
      </c>
      <c r="X559" s="54" t="str">
        <f ca="1">Данные!X559</f>
        <v>2</v>
      </c>
      <c r="Y559" s="54" t="str">
        <f ca="1">Данные!Y559</f>
        <v>3</v>
      </c>
      <c r="Z559" s="54">
        <f>Данные!Z559</f>
        <v>0</v>
      </c>
      <c r="AA559" s="54">
        <f>Данные!AA559</f>
        <v>0</v>
      </c>
      <c r="AB559" s="101">
        <f t="shared" si="76"/>
        <v>850</v>
      </c>
      <c r="AC559" s="101" t="str">
        <f t="shared" si="77"/>
        <v>ИВТ (бак)</v>
      </c>
      <c r="AD559" s="101" t="str">
        <f t="shared" si="78"/>
        <v>2018–2019</v>
      </c>
      <c r="AE559" s="102">
        <f t="shared" ca="1" si="79"/>
        <v>56.370000000000005</v>
      </c>
      <c r="AF559" s="103">
        <f t="shared" ca="1" si="80"/>
        <v>6.6317647058823537E-2</v>
      </c>
      <c r="AG559" s="101"/>
      <c r="AH559" s="101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Q559" s="72">
        <v>0</v>
      </c>
      <c r="BR559" s="72">
        <v>0</v>
      </c>
      <c r="BS559" s="72">
        <v>0</v>
      </c>
      <c r="BT559" s="72">
        <v>0</v>
      </c>
      <c r="BU559" s="72">
        <v>0</v>
      </c>
      <c r="BV559" s="72">
        <v>0</v>
      </c>
      <c r="BW559" s="72">
        <v>0</v>
      </c>
      <c r="BX559" s="72">
        <v>0</v>
      </c>
      <c r="BY559" s="72">
        <v>0</v>
      </c>
      <c r="BZ559" s="72">
        <v>0</v>
      </c>
      <c r="CA559" s="72">
        <v>0</v>
      </c>
      <c r="CB559" s="72">
        <v>0</v>
      </c>
      <c r="CC559" s="72">
        <v>0</v>
      </c>
      <c r="CD559" s="72">
        <v>0</v>
      </c>
      <c r="CE559" s="72">
        <v>0</v>
      </c>
      <c r="CF559" s="72">
        <v>0</v>
      </c>
      <c r="CG559" s="72">
        <v>0</v>
      </c>
      <c r="CH559" s="72">
        <v>0</v>
      </c>
      <c r="CI559" s="72">
        <v>0</v>
      </c>
      <c r="CJ559" s="72">
        <v>0</v>
      </c>
      <c r="CK559" s="72">
        <v>0</v>
      </c>
      <c r="CL559" s="72">
        <v>0</v>
      </c>
      <c r="CM559" s="72">
        <v>0</v>
      </c>
      <c r="CN559" s="72">
        <v>0</v>
      </c>
      <c r="CO559" s="72">
        <v>0</v>
      </c>
      <c r="CP559" s="72">
        <v>0</v>
      </c>
      <c r="CQ559" s="72">
        <v>0</v>
      </c>
      <c r="CR559" s="72">
        <v>0</v>
      </c>
      <c r="CS559" s="72">
        <v>0</v>
      </c>
      <c r="CT559" s="72">
        <v>0</v>
      </c>
      <c r="CU559" s="72">
        <v>0</v>
      </c>
      <c r="CV559" s="72">
        <v>0</v>
      </c>
      <c r="CW559" s="72">
        <v>0</v>
      </c>
      <c r="CX559" s="72">
        <v>0</v>
      </c>
      <c r="CY559" s="72">
        <v>0</v>
      </c>
      <c r="CZ559" s="72">
        <v>0</v>
      </c>
      <c r="DA559" s="72">
        <v>0</v>
      </c>
      <c r="DB559" s="72">
        <v>0</v>
      </c>
      <c r="DC559" s="72">
        <v>0</v>
      </c>
      <c r="DD559" s="72">
        <v>0</v>
      </c>
      <c r="DE559" s="72">
        <v>0</v>
      </c>
      <c r="DF559" s="72">
        <v>0</v>
      </c>
      <c r="DG559" s="72">
        <v>0</v>
      </c>
      <c r="DH559" s="72">
        <v>0</v>
      </c>
      <c r="DI559" s="72">
        <v>0</v>
      </c>
      <c r="DJ559" s="72">
        <v>0</v>
      </c>
      <c r="DK559" s="72">
        <v>0</v>
      </c>
      <c r="DL559" s="72">
        <v>0</v>
      </c>
      <c r="DM559" s="72">
        <v>0</v>
      </c>
      <c r="DN559" s="72">
        <v>0</v>
      </c>
      <c r="DO559" s="72">
        <v>0</v>
      </c>
      <c r="DP559" s="72">
        <v>0</v>
      </c>
      <c r="DQ559" s="72">
        <v>0</v>
      </c>
      <c r="DR559" s="72">
        <v>0</v>
      </c>
      <c r="DS559" s="72">
        <v>0</v>
      </c>
      <c r="DT559" s="72">
        <v>0</v>
      </c>
      <c r="DU559" s="72">
        <v>0</v>
      </c>
      <c r="DV559" s="72">
        <v>0</v>
      </c>
      <c r="DW559" s="72">
        <v>0</v>
      </c>
      <c r="DX559" s="72">
        <v>0</v>
      </c>
      <c r="DY559" s="72">
        <v>0</v>
      </c>
      <c r="DZ559" s="72">
        <v>0</v>
      </c>
      <c r="EA559" s="72">
        <v>0</v>
      </c>
      <c r="EB559" s="72">
        <v>0</v>
      </c>
      <c r="EC559" s="72">
        <v>0</v>
      </c>
      <c r="ED559" s="72">
        <v>0</v>
      </c>
      <c r="EE559" s="72">
        <v>0</v>
      </c>
      <c r="EF559" s="72">
        <v>0</v>
      </c>
      <c r="EG559" s="72">
        <v>0</v>
      </c>
      <c r="EH559" s="72">
        <v>0</v>
      </c>
      <c r="EI559" s="72">
        <v>0</v>
      </c>
      <c r="EJ559" s="72">
        <v>0</v>
      </c>
      <c r="EK559" s="72">
        <v>0</v>
      </c>
      <c r="EL559" s="72">
        <v>0</v>
      </c>
    </row>
    <row r="560" spans="1:142" x14ac:dyDescent="0.35">
      <c r="A560" s="59">
        <f>Данные!A560</f>
        <v>6368</v>
      </c>
      <c r="B560" s="59">
        <f>Данные!B560</f>
        <v>2018</v>
      </c>
      <c r="C560" s="59" t="str">
        <f>Данные!C560</f>
        <v>физического воспитания и спортивно-массовой работы</v>
      </c>
      <c r="D560" s="59" t="str">
        <f>Данные!D560</f>
        <v>Бочковская Виктория Леонидовна</v>
      </c>
      <c r="E560" s="59" t="str">
        <f>Данные!E560</f>
        <v>кандидат педагогических наук</v>
      </c>
      <c r="F560" s="59" t="str">
        <f>Данные!F560</f>
        <v>доцент</v>
      </c>
      <c r="G560" s="59">
        <f>Данные!G560</f>
        <v>0.5</v>
      </c>
      <c r="H560" s="59">
        <f>Данные!H560</f>
        <v>17043</v>
      </c>
      <c r="I560" s="59" t="str">
        <f>Данные!I560</f>
        <v>Физическая культура и спорт (элективная дисциплина)</v>
      </c>
      <c r="J560" s="59">
        <f>Данные!J560</f>
        <v>0</v>
      </c>
      <c r="K560" s="59">
        <f>Данные!K560</f>
        <v>58</v>
      </c>
      <c r="L560" s="59">
        <f>Данные!L560</f>
        <v>0</v>
      </c>
      <c r="M560" s="60">
        <f t="shared" si="72"/>
        <v>5.8</v>
      </c>
      <c r="N560" s="60">
        <f t="shared" ca="1" si="73"/>
        <v>14.870000000000001</v>
      </c>
      <c r="O560" s="60">
        <f t="shared" ca="1" si="74"/>
        <v>9.75</v>
      </c>
      <c r="P560" s="60">
        <f t="shared" ca="1" si="75"/>
        <v>9.75</v>
      </c>
      <c r="Q560" s="54">
        <f>Данные!Q560</f>
        <v>0</v>
      </c>
      <c r="R560" s="54">
        <f>Данные!R560</f>
        <v>0</v>
      </c>
      <c r="S560" s="54">
        <f>Данные!S560</f>
        <v>0</v>
      </c>
      <c r="T560" s="54">
        <f>Данные!T560</f>
        <v>0</v>
      </c>
      <c r="U560" s="54">
        <f>Данные!U560</f>
        <v>0</v>
      </c>
      <c r="V560" s="54">
        <f>Данные!V560</f>
        <v>0</v>
      </c>
      <c r="W560" s="54">
        <f ca="1">Данные!W560</f>
        <v>39</v>
      </c>
      <c r="X560" s="54" t="str">
        <f ca="1">Данные!X560</f>
        <v>2</v>
      </c>
      <c r="Y560" s="54" t="str">
        <f ca="1">Данные!Y560</f>
        <v>3</v>
      </c>
      <c r="Z560" s="54">
        <f>Данные!Z560</f>
        <v>0</v>
      </c>
      <c r="AA560" s="54">
        <f>Данные!AA560</f>
        <v>0</v>
      </c>
      <c r="AB560" s="101">
        <f t="shared" si="76"/>
        <v>800</v>
      </c>
      <c r="AC560" s="101" t="str">
        <f t="shared" si="77"/>
        <v>ИВТ (бак)</v>
      </c>
      <c r="AD560" s="101" t="str">
        <f t="shared" si="78"/>
        <v>2018–2019</v>
      </c>
      <c r="AE560" s="102">
        <f t="shared" ca="1" si="79"/>
        <v>98.17</v>
      </c>
      <c r="AF560" s="103">
        <f t="shared" ca="1" si="80"/>
        <v>0.1227125</v>
      </c>
      <c r="AG560" s="101"/>
      <c r="AH560" s="101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Q560" s="72">
        <v>0</v>
      </c>
      <c r="BR560" s="72">
        <v>0</v>
      </c>
      <c r="BS560" s="72">
        <v>0</v>
      </c>
      <c r="BT560" s="72">
        <v>0</v>
      </c>
      <c r="BU560" s="72">
        <v>0</v>
      </c>
      <c r="BV560" s="72">
        <v>0</v>
      </c>
      <c r="BW560" s="72">
        <v>0</v>
      </c>
      <c r="BX560" s="72">
        <v>0</v>
      </c>
      <c r="BY560" s="72">
        <v>0</v>
      </c>
      <c r="BZ560" s="72">
        <v>0</v>
      </c>
      <c r="CA560" s="72">
        <v>0</v>
      </c>
      <c r="CB560" s="72">
        <v>0</v>
      </c>
      <c r="CC560" s="72">
        <v>0</v>
      </c>
      <c r="CD560" s="72">
        <v>0</v>
      </c>
      <c r="CE560" s="72">
        <v>0</v>
      </c>
      <c r="CF560" s="72">
        <v>0</v>
      </c>
      <c r="CG560" s="72">
        <v>0</v>
      </c>
      <c r="CH560" s="72">
        <v>0</v>
      </c>
      <c r="CI560" s="72">
        <v>0</v>
      </c>
      <c r="CJ560" s="72">
        <v>0</v>
      </c>
      <c r="CK560" s="72">
        <v>0</v>
      </c>
      <c r="CL560" s="72">
        <v>0</v>
      </c>
      <c r="CM560" s="72">
        <v>0</v>
      </c>
      <c r="CN560" s="72">
        <v>0</v>
      </c>
      <c r="CO560" s="72">
        <v>0</v>
      </c>
      <c r="CP560" s="72">
        <v>0</v>
      </c>
      <c r="CQ560" s="72">
        <v>0</v>
      </c>
      <c r="CR560" s="72">
        <v>0</v>
      </c>
      <c r="CS560" s="72">
        <v>0</v>
      </c>
      <c r="CT560" s="72">
        <v>0</v>
      </c>
      <c r="CU560" s="72">
        <v>0</v>
      </c>
      <c r="CV560" s="72">
        <v>0</v>
      </c>
      <c r="CW560" s="72">
        <v>0</v>
      </c>
      <c r="CX560" s="72">
        <v>0</v>
      </c>
      <c r="CY560" s="72">
        <v>0</v>
      </c>
      <c r="CZ560" s="72">
        <v>0</v>
      </c>
      <c r="DA560" s="72">
        <v>0</v>
      </c>
      <c r="DB560" s="72">
        <v>0</v>
      </c>
      <c r="DC560" s="72">
        <v>0</v>
      </c>
      <c r="DD560" s="72">
        <v>0</v>
      </c>
      <c r="DE560" s="72">
        <v>0</v>
      </c>
      <c r="DF560" s="72">
        <v>0</v>
      </c>
      <c r="DG560" s="72">
        <v>0</v>
      </c>
      <c r="DH560" s="72">
        <v>0</v>
      </c>
      <c r="DI560" s="72">
        <v>0</v>
      </c>
      <c r="DJ560" s="72">
        <v>0</v>
      </c>
      <c r="DK560" s="72">
        <v>0</v>
      </c>
      <c r="DL560" s="72">
        <v>0</v>
      </c>
      <c r="DM560" s="72">
        <v>0</v>
      </c>
      <c r="DN560" s="72">
        <v>0</v>
      </c>
      <c r="DO560" s="72">
        <v>0</v>
      </c>
      <c r="DP560" s="72">
        <v>0</v>
      </c>
      <c r="DQ560" s="72">
        <v>0</v>
      </c>
      <c r="DR560" s="72">
        <v>0</v>
      </c>
      <c r="DS560" s="72">
        <v>0</v>
      </c>
      <c r="DT560" s="72">
        <v>0</v>
      </c>
      <c r="DU560" s="72">
        <v>0</v>
      </c>
      <c r="DV560" s="72">
        <v>0</v>
      </c>
      <c r="DW560" s="72">
        <v>0</v>
      </c>
      <c r="DX560" s="72">
        <v>0</v>
      </c>
      <c r="DY560" s="72">
        <v>0</v>
      </c>
      <c r="DZ560" s="72">
        <v>0</v>
      </c>
      <c r="EA560" s="72">
        <v>0</v>
      </c>
      <c r="EB560" s="72">
        <v>0</v>
      </c>
      <c r="EC560" s="72">
        <v>0</v>
      </c>
      <c r="ED560" s="72">
        <v>0</v>
      </c>
      <c r="EE560" s="72">
        <v>0</v>
      </c>
      <c r="EF560" s="72">
        <v>0</v>
      </c>
      <c r="EG560" s="72">
        <v>0</v>
      </c>
      <c r="EH560" s="72">
        <v>0</v>
      </c>
      <c r="EI560" s="72">
        <v>0</v>
      </c>
      <c r="EJ560" s="72">
        <v>0</v>
      </c>
      <c r="EK560" s="72">
        <v>0</v>
      </c>
      <c r="EL560" s="72">
        <v>0</v>
      </c>
    </row>
    <row r="561" spans="1:142" x14ac:dyDescent="0.35">
      <c r="A561" s="59">
        <f>Данные!A561</f>
        <v>6368</v>
      </c>
      <c r="B561" s="59">
        <f>Данные!B561</f>
        <v>2018</v>
      </c>
      <c r="C561" s="59" t="str">
        <f>Данные!C561</f>
        <v>физического воспитания и спортивно-массовой работы</v>
      </c>
      <c r="D561" s="59" t="str">
        <f>Данные!D561</f>
        <v>Жукова Татьяна Викторовна</v>
      </c>
      <c r="E561" s="59" t="str">
        <f>Данные!E561</f>
        <v>нет</v>
      </c>
      <c r="F561" s="59" t="str">
        <f>Данные!F561</f>
        <v>старший преподаватель</v>
      </c>
      <c r="G561" s="59">
        <f>Данные!G561</f>
        <v>1</v>
      </c>
      <c r="H561" s="59">
        <f>Данные!H561</f>
        <v>17043</v>
      </c>
      <c r="I561" s="59" t="str">
        <f>Данные!I561</f>
        <v>Модуль "Здоровьесберегающий". Физическая культура и спорт</v>
      </c>
      <c r="J561" s="59">
        <f>Данные!J561</f>
        <v>16</v>
      </c>
      <c r="K561" s="59">
        <f>Данные!K561</f>
        <v>20</v>
      </c>
      <c r="L561" s="59">
        <f>Данные!L561</f>
        <v>0</v>
      </c>
      <c r="M561" s="60">
        <f t="shared" si="72"/>
        <v>3.6</v>
      </c>
      <c r="N561" s="60">
        <f t="shared" ca="1" si="73"/>
        <v>14.870000000000001</v>
      </c>
      <c r="O561" s="60">
        <f t="shared" ca="1" si="74"/>
        <v>9.75</v>
      </c>
      <c r="P561" s="60">
        <f t="shared" ca="1" si="75"/>
        <v>9.75</v>
      </c>
      <c r="Q561" s="54">
        <f>Данные!Q561</f>
        <v>0</v>
      </c>
      <c r="R561" s="54">
        <f>Данные!R561</f>
        <v>0</v>
      </c>
      <c r="S561" s="54">
        <f>Данные!S561</f>
        <v>0</v>
      </c>
      <c r="T561" s="54">
        <f>Данные!T561</f>
        <v>0</v>
      </c>
      <c r="U561" s="54">
        <f>Данные!U561</f>
        <v>0</v>
      </c>
      <c r="V561" s="54">
        <f>Данные!V561</f>
        <v>0</v>
      </c>
      <c r="W561" s="54">
        <f ca="1">Данные!W561</f>
        <v>39</v>
      </c>
      <c r="X561" s="54" t="str">
        <f ca="1">Данные!X561</f>
        <v>2</v>
      </c>
      <c r="Y561" s="54" t="str">
        <f ca="1">Данные!Y561</f>
        <v>3</v>
      </c>
      <c r="Z561" s="54">
        <f>Данные!Z561</f>
        <v>0</v>
      </c>
      <c r="AA561" s="54">
        <f>Данные!AA561</f>
        <v>0</v>
      </c>
      <c r="AB561" s="101">
        <f t="shared" si="76"/>
        <v>850</v>
      </c>
      <c r="AC561" s="101" t="str">
        <f t="shared" si="77"/>
        <v>ИВТ (бак)</v>
      </c>
      <c r="AD561" s="101" t="str">
        <f t="shared" si="78"/>
        <v>2018–2019</v>
      </c>
      <c r="AE561" s="102">
        <f t="shared" ca="1" si="79"/>
        <v>73.97</v>
      </c>
      <c r="AF561" s="103">
        <f t="shared" ca="1" si="80"/>
        <v>8.7023529411764708E-2</v>
      </c>
      <c r="AG561" s="101"/>
      <c r="AH561" s="10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Q561" s="72">
        <v>0</v>
      </c>
      <c r="BR561" s="72">
        <v>0</v>
      </c>
      <c r="BS561" s="72">
        <v>0</v>
      </c>
      <c r="BT561" s="72">
        <v>0</v>
      </c>
      <c r="BU561" s="72">
        <v>0</v>
      </c>
      <c r="BV561" s="72">
        <v>0</v>
      </c>
      <c r="BW561" s="72">
        <v>0</v>
      </c>
      <c r="BX561" s="72">
        <v>0</v>
      </c>
      <c r="BY561" s="72">
        <v>0</v>
      </c>
      <c r="BZ561" s="72">
        <v>0</v>
      </c>
      <c r="CA561" s="72">
        <v>0</v>
      </c>
      <c r="CB561" s="72">
        <v>0</v>
      </c>
      <c r="CC561" s="72">
        <v>0</v>
      </c>
      <c r="CD561" s="72">
        <v>0</v>
      </c>
      <c r="CE561" s="72">
        <v>0</v>
      </c>
      <c r="CF561" s="72">
        <v>0</v>
      </c>
      <c r="CG561" s="72">
        <v>0</v>
      </c>
      <c r="CH561" s="72">
        <v>0</v>
      </c>
      <c r="CI561" s="72">
        <v>0</v>
      </c>
      <c r="CJ561" s="72">
        <v>0</v>
      </c>
      <c r="CK561" s="72">
        <v>0</v>
      </c>
      <c r="CL561" s="72">
        <v>0</v>
      </c>
      <c r="CM561" s="72">
        <v>0</v>
      </c>
      <c r="CN561" s="72">
        <v>0</v>
      </c>
      <c r="CO561" s="72">
        <v>0</v>
      </c>
      <c r="CP561" s="72">
        <v>0</v>
      </c>
      <c r="CQ561" s="72">
        <v>0</v>
      </c>
      <c r="CR561" s="72">
        <v>0</v>
      </c>
      <c r="CS561" s="72">
        <v>0</v>
      </c>
      <c r="CT561" s="72">
        <v>0</v>
      </c>
      <c r="CU561" s="72">
        <v>0</v>
      </c>
      <c r="CV561" s="72">
        <v>0</v>
      </c>
      <c r="CW561" s="72">
        <v>0</v>
      </c>
      <c r="CX561" s="72">
        <v>0</v>
      </c>
      <c r="CY561" s="72">
        <v>0</v>
      </c>
      <c r="CZ561" s="72">
        <v>0</v>
      </c>
      <c r="DA561" s="72">
        <v>0</v>
      </c>
      <c r="DB561" s="72">
        <v>0</v>
      </c>
      <c r="DC561" s="72">
        <v>0</v>
      </c>
      <c r="DD561" s="72">
        <v>0</v>
      </c>
      <c r="DE561" s="72">
        <v>0</v>
      </c>
      <c r="DF561" s="72">
        <v>0</v>
      </c>
      <c r="DG561" s="72">
        <v>0</v>
      </c>
      <c r="DH561" s="72">
        <v>0</v>
      </c>
      <c r="DI561" s="72">
        <v>0</v>
      </c>
      <c r="DJ561" s="72">
        <v>0</v>
      </c>
      <c r="DK561" s="72">
        <v>0</v>
      </c>
      <c r="DL561" s="72">
        <v>0</v>
      </c>
      <c r="DM561" s="72">
        <v>0</v>
      </c>
      <c r="DN561" s="72">
        <v>0</v>
      </c>
      <c r="DO561" s="72">
        <v>0</v>
      </c>
      <c r="DP561" s="72">
        <v>0</v>
      </c>
      <c r="DQ561" s="72">
        <v>0</v>
      </c>
      <c r="DR561" s="72">
        <v>0</v>
      </c>
      <c r="DS561" s="72">
        <v>0</v>
      </c>
      <c r="DT561" s="72">
        <v>0</v>
      </c>
      <c r="DU561" s="72">
        <v>0</v>
      </c>
      <c r="DV561" s="72">
        <v>0</v>
      </c>
      <c r="DW561" s="72">
        <v>0</v>
      </c>
      <c r="DX561" s="72">
        <v>0</v>
      </c>
      <c r="DY561" s="72">
        <v>0</v>
      </c>
      <c r="DZ561" s="72">
        <v>0</v>
      </c>
      <c r="EA561" s="72">
        <v>0</v>
      </c>
      <c r="EB561" s="72">
        <v>0</v>
      </c>
      <c r="EC561" s="72">
        <v>0</v>
      </c>
      <c r="ED561" s="72">
        <v>0</v>
      </c>
      <c r="EE561" s="72">
        <v>0</v>
      </c>
      <c r="EF561" s="72">
        <v>0</v>
      </c>
      <c r="EG561" s="72">
        <v>0</v>
      </c>
      <c r="EH561" s="72">
        <v>0</v>
      </c>
      <c r="EI561" s="72">
        <v>0</v>
      </c>
      <c r="EJ561" s="72">
        <v>0</v>
      </c>
      <c r="EK561" s="72">
        <v>0</v>
      </c>
      <c r="EL561" s="72">
        <v>0</v>
      </c>
    </row>
    <row r="562" spans="1:142" x14ac:dyDescent="0.35">
      <c r="A562" s="59">
        <f>Данные!A562</f>
        <v>6368</v>
      </c>
      <c r="B562" s="59">
        <f>Данные!B562</f>
        <v>2018</v>
      </c>
      <c r="C562" s="59" t="str">
        <f>Данные!C562</f>
        <v>физического воспитания и спортивно-массовой работы</v>
      </c>
      <c r="D562" s="59" t="str">
        <f>Данные!D562</f>
        <v>Жукова Татьяна Викторовна</v>
      </c>
      <c r="E562" s="59" t="str">
        <f>Данные!E562</f>
        <v>нет</v>
      </c>
      <c r="F562" s="59" t="str">
        <f>Данные!F562</f>
        <v>старший преподаватель</v>
      </c>
      <c r="G562" s="59">
        <f>Данные!G562</f>
        <v>1</v>
      </c>
      <c r="H562" s="59">
        <f>Данные!H562</f>
        <v>17043</v>
      </c>
      <c r="I562" s="59" t="str">
        <f>Данные!I562</f>
        <v>Физическая культура и спорт (элективная дисциплина)</v>
      </c>
      <c r="J562" s="59">
        <f>Данные!J562</f>
        <v>0</v>
      </c>
      <c r="K562" s="59">
        <f>Данные!K562</f>
        <v>0</v>
      </c>
      <c r="L562" s="59">
        <f>Данные!L562</f>
        <v>0</v>
      </c>
      <c r="M562" s="60">
        <f t="shared" si="72"/>
        <v>0</v>
      </c>
      <c r="N562" s="60">
        <f t="shared" ca="1" si="73"/>
        <v>14.870000000000001</v>
      </c>
      <c r="O562" s="60">
        <f t="shared" ca="1" si="74"/>
        <v>9.75</v>
      </c>
      <c r="P562" s="60">
        <f t="shared" ca="1" si="75"/>
        <v>9.75</v>
      </c>
      <c r="Q562" s="54">
        <f>Данные!Q562</f>
        <v>0</v>
      </c>
      <c r="R562" s="54">
        <f>Данные!R562</f>
        <v>0</v>
      </c>
      <c r="S562" s="54">
        <f>Данные!S562</f>
        <v>0</v>
      </c>
      <c r="T562" s="54">
        <f>Данные!T562</f>
        <v>0</v>
      </c>
      <c r="U562" s="54">
        <f>Данные!U562</f>
        <v>0</v>
      </c>
      <c r="V562" s="54">
        <f>Данные!V562</f>
        <v>0</v>
      </c>
      <c r="W562" s="54">
        <f ca="1">Данные!W562</f>
        <v>39</v>
      </c>
      <c r="X562" s="54" t="str">
        <f ca="1">Данные!X562</f>
        <v>2</v>
      </c>
      <c r="Y562" s="54" t="str">
        <f ca="1">Данные!Y562</f>
        <v>3</v>
      </c>
      <c r="Z562" s="54">
        <f>Данные!Z562</f>
        <v>0</v>
      </c>
      <c r="AA562" s="54">
        <f>Данные!AA562</f>
        <v>0</v>
      </c>
      <c r="AB562" s="101">
        <f t="shared" si="76"/>
        <v>850</v>
      </c>
      <c r="AC562" s="101" t="str">
        <f t="shared" si="77"/>
        <v>ИВТ (бак)</v>
      </c>
      <c r="AD562" s="101" t="str">
        <f t="shared" si="78"/>
        <v>2018–2019</v>
      </c>
      <c r="AE562" s="102">
        <f t="shared" ca="1" si="79"/>
        <v>34.370000000000005</v>
      </c>
      <c r="AF562" s="103">
        <f t="shared" ca="1" si="80"/>
        <v>4.0435294117647062E-2</v>
      </c>
      <c r="AG562" s="101"/>
      <c r="AH562" s="101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Q562" s="72">
        <v>0</v>
      </c>
      <c r="BR562" s="72">
        <v>0</v>
      </c>
      <c r="BS562" s="72">
        <v>0</v>
      </c>
      <c r="BT562" s="72">
        <v>0</v>
      </c>
      <c r="BU562" s="72">
        <v>0</v>
      </c>
      <c r="BV562" s="72">
        <v>0</v>
      </c>
      <c r="BW562" s="72">
        <v>0</v>
      </c>
      <c r="BX562" s="72">
        <v>0</v>
      </c>
      <c r="BY562" s="72">
        <v>0</v>
      </c>
      <c r="BZ562" s="72">
        <v>0</v>
      </c>
      <c r="CA562" s="72">
        <v>0</v>
      </c>
      <c r="CB562" s="72">
        <v>0</v>
      </c>
      <c r="CC562" s="72">
        <v>0</v>
      </c>
      <c r="CD562" s="72">
        <v>0</v>
      </c>
      <c r="CE562" s="72">
        <v>0</v>
      </c>
      <c r="CF562" s="72">
        <v>0</v>
      </c>
      <c r="CG562" s="72">
        <v>0</v>
      </c>
      <c r="CH562" s="72">
        <v>0</v>
      </c>
      <c r="CI562" s="72">
        <v>0</v>
      </c>
      <c r="CJ562" s="72">
        <v>0</v>
      </c>
      <c r="CK562" s="72">
        <v>0</v>
      </c>
      <c r="CL562" s="72">
        <v>0</v>
      </c>
      <c r="CM562" s="72">
        <v>0</v>
      </c>
      <c r="CN562" s="72">
        <v>0</v>
      </c>
      <c r="CO562" s="72">
        <v>0</v>
      </c>
      <c r="CP562" s="72">
        <v>0</v>
      </c>
      <c r="CQ562" s="72">
        <v>0</v>
      </c>
      <c r="CR562" s="72">
        <v>0</v>
      </c>
      <c r="CS562" s="72">
        <v>0</v>
      </c>
      <c r="CT562" s="72">
        <v>0</v>
      </c>
      <c r="CU562" s="72">
        <v>0</v>
      </c>
      <c r="CV562" s="72">
        <v>0</v>
      </c>
      <c r="CW562" s="72">
        <v>0</v>
      </c>
      <c r="CX562" s="72">
        <v>0</v>
      </c>
      <c r="CY562" s="72">
        <v>0</v>
      </c>
      <c r="CZ562" s="72">
        <v>0</v>
      </c>
      <c r="DA562" s="72">
        <v>0</v>
      </c>
      <c r="DB562" s="72">
        <v>0</v>
      </c>
      <c r="DC562" s="72">
        <v>0</v>
      </c>
      <c r="DD562" s="72">
        <v>0</v>
      </c>
      <c r="DE562" s="72">
        <v>0</v>
      </c>
      <c r="DF562" s="72">
        <v>0</v>
      </c>
      <c r="DG562" s="72">
        <v>0</v>
      </c>
      <c r="DH562" s="72">
        <v>0</v>
      </c>
      <c r="DI562" s="72">
        <v>0</v>
      </c>
      <c r="DJ562" s="72">
        <v>0</v>
      </c>
      <c r="DK562" s="72">
        <v>0</v>
      </c>
      <c r="DL562" s="72">
        <v>0</v>
      </c>
      <c r="DM562" s="72">
        <v>0</v>
      </c>
      <c r="DN562" s="72">
        <v>0</v>
      </c>
      <c r="DO562" s="72">
        <v>0</v>
      </c>
      <c r="DP562" s="72">
        <v>0</v>
      </c>
      <c r="DQ562" s="72">
        <v>0</v>
      </c>
      <c r="DR562" s="72">
        <v>0</v>
      </c>
      <c r="DS562" s="72">
        <v>0</v>
      </c>
      <c r="DT562" s="72">
        <v>0</v>
      </c>
      <c r="DU562" s="72">
        <v>0</v>
      </c>
      <c r="DV562" s="72">
        <v>0</v>
      </c>
      <c r="DW562" s="72">
        <v>0</v>
      </c>
      <c r="DX562" s="72">
        <v>0</v>
      </c>
      <c r="DY562" s="72">
        <v>0</v>
      </c>
      <c r="DZ562" s="72">
        <v>0</v>
      </c>
      <c r="EA562" s="72">
        <v>0</v>
      </c>
      <c r="EB562" s="72">
        <v>0</v>
      </c>
      <c r="EC562" s="72">
        <v>0</v>
      </c>
      <c r="ED562" s="72">
        <v>0</v>
      </c>
      <c r="EE562" s="72">
        <v>0</v>
      </c>
      <c r="EF562" s="72">
        <v>0</v>
      </c>
      <c r="EG562" s="72">
        <v>0</v>
      </c>
      <c r="EH562" s="72">
        <v>0</v>
      </c>
      <c r="EI562" s="72">
        <v>0</v>
      </c>
      <c r="EJ562" s="72">
        <v>0</v>
      </c>
      <c r="EK562" s="72">
        <v>0</v>
      </c>
      <c r="EL562" s="72">
        <v>0</v>
      </c>
    </row>
    <row r="563" spans="1:142" x14ac:dyDescent="0.35">
      <c r="A563" s="59">
        <f>Данные!A563</f>
        <v>6368</v>
      </c>
      <c r="B563" s="59">
        <f>Данные!B563</f>
        <v>2018</v>
      </c>
      <c r="C563" s="59" t="str">
        <f>Данные!C563</f>
        <v>физического воспитания и спортивно-массовой работы</v>
      </c>
      <c r="D563" s="59" t="str">
        <f>Данные!D563</f>
        <v>Зюкин Анатолий Васильевич</v>
      </c>
      <c r="E563" s="59" t="str">
        <f>Данные!E563</f>
        <v>доктор педагогических наук</v>
      </c>
      <c r="F563" s="59" t="str">
        <f>Данные!F563</f>
        <v>профессор</v>
      </c>
      <c r="G563" s="59">
        <f>Данные!G563</f>
        <v>1</v>
      </c>
      <c r="H563" s="59">
        <f>Данные!H563</f>
        <v>17043</v>
      </c>
      <c r="I563" s="59" t="str">
        <f>Данные!I563</f>
        <v>Физическая культура и спорт (элективная дисциплина)</v>
      </c>
      <c r="J563" s="59">
        <f>Данные!J563</f>
        <v>0</v>
      </c>
      <c r="K563" s="59">
        <f>Данные!K563</f>
        <v>0</v>
      </c>
      <c r="L563" s="59">
        <f>Данные!L563</f>
        <v>0</v>
      </c>
      <c r="M563" s="60">
        <f t="shared" si="72"/>
        <v>0</v>
      </c>
      <c r="N563" s="60">
        <f t="shared" ca="1" si="73"/>
        <v>14.870000000000001</v>
      </c>
      <c r="O563" s="60">
        <f t="shared" ca="1" si="74"/>
        <v>9.75</v>
      </c>
      <c r="P563" s="60">
        <f t="shared" ca="1" si="75"/>
        <v>9.75</v>
      </c>
      <c r="Q563" s="54">
        <f>Данные!Q563</f>
        <v>0</v>
      </c>
      <c r="R563" s="54">
        <f>Данные!R563</f>
        <v>0</v>
      </c>
      <c r="S563" s="54">
        <f>Данные!S563</f>
        <v>0</v>
      </c>
      <c r="T563" s="54">
        <f>Данные!T563</f>
        <v>0</v>
      </c>
      <c r="U563" s="54">
        <f>Данные!U563</f>
        <v>0</v>
      </c>
      <c r="V563" s="54">
        <f>Данные!V563</f>
        <v>0</v>
      </c>
      <c r="W563" s="54">
        <f ca="1">Данные!W563</f>
        <v>39</v>
      </c>
      <c r="X563" s="54" t="str">
        <f ca="1">Данные!X563</f>
        <v>2</v>
      </c>
      <c r="Y563" s="54" t="str">
        <f ca="1">Данные!Y563</f>
        <v>3</v>
      </c>
      <c r="Z563" s="54">
        <f>Данные!Z563</f>
        <v>0</v>
      </c>
      <c r="AA563" s="54">
        <f>Данные!AA563</f>
        <v>0</v>
      </c>
      <c r="AB563" s="101">
        <f t="shared" si="76"/>
        <v>750</v>
      </c>
      <c r="AC563" s="101" t="str">
        <f t="shared" si="77"/>
        <v>ИВТ (бак)</v>
      </c>
      <c r="AD563" s="101" t="str">
        <f t="shared" si="78"/>
        <v>2018–2019</v>
      </c>
      <c r="AE563" s="102">
        <f t="shared" ca="1" si="79"/>
        <v>34.370000000000005</v>
      </c>
      <c r="AF563" s="103">
        <f t="shared" ca="1" si="80"/>
        <v>4.5826666666666675E-2</v>
      </c>
      <c r="AG563" s="101"/>
      <c r="AH563" s="101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Q563" s="72">
        <v>0</v>
      </c>
      <c r="BR563" s="72">
        <v>0</v>
      </c>
      <c r="BS563" s="72">
        <v>0</v>
      </c>
      <c r="BT563" s="72">
        <v>0</v>
      </c>
      <c r="BU563" s="72">
        <v>0</v>
      </c>
      <c r="BV563" s="72">
        <v>0</v>
      </c>
      <c r="BW563" s="72">
        <v>0</v>
      </c>
      <c r="BX563" s="72">
        <v>0</v>
      </c>
      <c r="BY563" s="72">
        <v>0</v>
      </c>
      <c r="BZ563" s="72">
        <v>0</v>
      </c>
      <c r="CA563" s="72">
        <v>0</v>
      </c>
      <c r="CB563" s="72">
        <v>0</v>
      </c>
      <c r="CC563" s="72">
        <v>0</v>
      </c>
      <c r="CD563" s="72">
        <v>0</v>
      </c>
      <c r="CE563" s="72">
        <v>0</v>
      </c>
      <c r="CF563" s="72">
        <v>0</v>
      </c>
      <c r="CG563" s="72">
        <v>0</v>
      </c>
      <c r="CH563" s="72">
        <v>0</v>
      </c>
      <c r="CI563" s="72">
        <v>0</v>
      </c>
      <c r="CJ563" s="72">
        <v>0</v>
      </c>
      <c r="CK563" s="72">
        <v>0</v>
      </c>
      <c r="CL563" s="72">
        <v>0</v>
      </c>
      <c r="CM563" s="72">
        <v>0</v>
      </c>
      <c r="CN563" s="72">
        <v>0</v>
      </c>
      <c r="CO563" s="72">
        <v>0</v>
      </c>
      <c r="CP563" s="72">
        <v>0</v>
      </c>
      <c r="CQ563" s="72">
        <v>0</v>
      </c>
      <c r="CR563" s="72">
        <v>0</v>
      </c>
      <c r="CS563" s="72">
        <v>0</v>
      </c>
      <c r="CT563" s="72">
        <v>0</v>
      </c>
      <c r="CU563" s="72">
        <v>0</v>
      </c>
      <c r="CV563" s="72">
        <v>0</v>
      </c>
      <c r="CW563" s="72">
        <v>0</v>
      </c>
      <c r="CX563" s="72">
        <v>0</v>
      </c>
      <c r="CY563" s="72">
        <v>0</v>
      </c>
      <c r="CZ563" s="72">
        <v>0</v>
      </c>
      <c r="DA563" s="72">
        <v>0</v>
      </c>
      <c r="DB563" s="72">
        <v>0</v>
      </c>
      <c r="DC563" s="72">
        <v>0</v>
      </c>
      <c r="DD563" s="72">
        <v>0</v>
      </c>
      <c r="DE563" s="72">
        <v>0</v>
      </c>
      <c r="DF563" s="72">
        <v>0</v>
      </c>
      <c r="DG563" s="72">
        <v>0</v>
      </c>
      <c r="DH563" s="72">
        <v>0</v>
      </c>
      <c r="DI563" s="72">
        <v>0</v>
      </c>
      <c r="DJ563" s="72">
        <v>0</v>
      </c>
      <c r="DK563" s="72">
        <v>0</v>
      </c>
      <c r="DL563" s="72">
        <v>0</v>
      </c>
      <c r="DM563" s="72">
        <v>0</v>
      </c>
      <c r="DN563" s="72">
        <v>0</v>
      </c>
      <c r="DO563" s="72">
        <v>0</v>
      </c>
      <c r="DP563" s="72">
        <v>0</v>
      </c>
      <c r="DQ563" s="72">
        <v>0</v>
      </c>
      <c r="DR563" s="72">
        <v>0</v>
      </c>
      <c r="DS563" s="72">
        <v>0</v>
      </c>
      <c r="DT563" s="72">
        <v>0</v>
      </c>
      <c r="DU563" s="72">
        <v>0</v>
      </c>
      <c r="DV563" s="72">
        <v>0</v>
      </c>
      <c r="DW563" s="72">
        <v>0</v>
      </c>
      <c r="DX563" s="72">
        <v>0</v>
      </c>
      <c r="DY563" s="72">
        <v>0</v>
      </c>
      <c r="DZ563" s="72">
        <v>0</v>
      </c>
      <c r="EA563" s="72">
        <v>0</v>
      </c>
      <c r="EB563" s="72">
        <v>0</v>
      </c>
      <c r="EC563" s="72">
        <v>0</v>
      </c>
      <c r="ED563" s="72">
        <v>0</v>
      </c>
      <c r="EE563" s="72">
        <v>0</v>
      </c>
      <c r="EF563" s="72">
        <v>0</v>
      </c>
      <c r="EG563" s="72">
        <v>0</v>
      </c>
      <c r="EH563" s="72">
        <v>0</v>
      </c>
      <c r="EI563" s="72">
        <v>0</v>
      </c>
      <c r="EJ563" s="72">
        <v>0</v>
      </c>
      <c r="EK563" s="72">
        <v>0</v>
      </c>
      <c r="EL563" s="72">
        <v>0</v>
      </c>
    </row>
    <row r="564" spans="1:142" x14ac:dyDescent="0.35">
      <c r="A564" s="59">
        <f>Данные!A564</f>
        <v>6368</v>
      </c>
      <c r="B564" s="59">
        <f>Данные!B564</f>
        <v>2018</v>
      </c>
      <c r="C564" s="59" t="str">
        <f>Данные!C564</f>
        <v>физического воспитания и спортивно-массовой работы</v>
      </c>
      <c r="D564" s="59" t="str">
        <f>Данные!D564</f>
        <v>Иванов Георгий Владимирович</v>
      </c>
      <c r="E564" s="59" t="str">
        <f>Данные!E564</f>
        <v>нет</v>
      </c>
      <c r="F564" s="59" t="str">
        <f>Данные!F564</f>
        <v>доцент</v>
      </c>
      <c r="G564" s="59">
        <f>Данные!G564</f>
        <v>0.5</v>
      </c>
      <c r="H564" s="59">
        <f>Данные!H564</f>
        <v>17043</v>
      </c>
      <c r="I564" s="59" t="str">
        <f>Данные!I564</f>
        <v>Физическая культура и спорт (элективная дисциплина)</v>
      </c>
      <c r="J564" s="59">
        <f>Данные!J564</f>
        <v>0</v>
      </c>
      <c r="K564" s="59">
        <f>Данные!K564</f>
        <v>0</v>
      </c>
      <c r="L564" s="59">
        <f>Данные!L564</f>
        <v>0</v>
      </c>
      <c r="M564" s="60">
        <f t="shared" si="72"/>
        <v>0</v>
      </c>
      <c r="N564" s="60">
        <f t="shared" ca="1" si="73"/>
        <v>14.870000000000001</v>
      </c>
      <c r="O564" s="60">
        <f t="shared" ca="1" si="74"/>
        <v>9.75</v>
      </c>
      <c r="P564" s="60">
        <f t="shared" ca="1" si="75"/>
        <v>9.75</v>
      </c>
      <c r="Q564" s="54">
        <f>Данные!Q564</f>
        <v>0</v>
      </c>
      <c r="R564" s="54">
        <f>Данные!R564</f>
        <v>0</v>
      </c>
      <c r="S564" s="54">
        <f>Данные!S564</f>
        <v>0</v>
      </c>
      <c r="T564" s="54">
        <f>Данные!T564</f>
        <v>0</v>
      </c>
      <c r="U564" s="54">
        <f>Данные!U564</f>
        <v>0</v>
      </c>
      <c r="V564" s="54">
        <f>Данные!V564</f>
        <v>0</v>
      </c>
      <c r="W564" s="54">
        <f ca="1">Данные!W564</f>
        <v>39</v>
      </c>
      <c r="X564" s="54" t="str">
        <f ca="1">Данные!X564</f>
        <v>2</v>
      </c>
      <c r="Y564" s="54" t="str">
        <f ca="1">Данные!Y564</f>
        <v>3</v>
      </c>
      <c r="Z564" s="54">
        <f>Данные!Z564</f>
        <v>0</v>
      </c>
      <c r="AA564" s="54">
        <f>Данные!AA564</f>
        <v>0</v>
      </c>
      <c r="AB564" s="101">
        <f t="shared" si="76"/>
        <v>800</v>
      </c>
      <c r="AC564" s="101" t="str">
        <f t="shared" si="77"/>
        <v>ИВТ (бак)</v>
      </c>
      <c r="AD564" s="101" t="str">
        <f t="shared" si="78"/>
        <v>2018–2019</v>
      </c>
      <c r="AE564" s="102">
        <f t="shared" ca="1" si="79"/>
        <v>34.370000000000005</v>
      </c>
      <c r="AF564" s="103">
        <f t="shared" ca="1" si="80"/>
        <v>4.2962500000000008E-2</v>
      </c>
      <c r="AG564" s="101"/>
      <c r="AH564" s="101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Q564" s="72">
        <v>0</v>
      </c>
      <c r="BR564" s="72">
        <v>0</v>
      </c>
      <c r="BS564" s="72">
        <v>0</v>
      </c>
      <c r="BT564" s="72">
        <v>0</v>
      </c>
      <c r="BU564" s="72">
        <v>0</v>
      </c>
      <c r="BV564" s="72">
        <v>0</v>
      </c>
      <c r="BW564" s="72">
        <v>0</v>
      </c>
      <c r="BX564" s="72">
        <v>0</v>
      </c>
      <c r="BY564" s="72">
        <v>0</v>
      </c>
      <c r="BZ564" s="72">
        <v>0</v>
      </c>
      <c r="CA564" s="72">
        <v>0</v>
      </c>
      <c r="CB564" s="72">
        <v>0</v>
      </c>
      <c r="CC564" s="72">
        <v>0</v>
      </c>
      <c r="CD564" s="72">
        <v>0</v>
      </c>
      <c r="CE564" s="72">
        <v>0</v>
      </c>
      <c r="CF564" s="72">
        <v>0</v>
      </c>
      <c r="CG564" s="72">
        <v>0</v>
      </c>
      <c r="CH564" s="72">
        <v>0</v>
      </c>
      <c r="CI564" s="72">
        <v>0</v>
      </c>
      <c r="CJ564" s="72">
        <v>0</v>
      </c>
      <c r="CK564" s="72">
        <v>0</v>
      </c>
      <c r="CL564" s="72">
        <v>0</v>
      </c>
      <c r="CM564" s="72">
        <v>0</v>
      </c>
      <c r="CN564" s="72">
        <v>0</v>
      </c>
      <c r="CO564" s="72">
        <v>0</v>
      </c>
      <c r="CP564" s="72">
        <v>0</v>
      </c>
      <c r="CQ564" s="72">
        <v>0</v>
      </c>
      <c r="CR564" s="72">
        <v>0</v>
      </c>
      <c r="CS564" s="72">
        <v>0</v>
      </c>
      <c r="CT564" s="72">
        <v>0</v>
      </c>
      <c r="CU564" s="72">
        <v>0</v>
      </c>
      <c r="CV564" s="72">
        <v>0</v>
      </c>
      <c r="CW564" s="72">
        <v>0</v>
      </c>
      <c r="CX564" s="72">
        <v>0</v>
      </c>
      <c r="CY564" s="72">
        <v>0</v>
      </c>
      <c r="CZ564" s="72">
        <v>0</v>
      </c>
      <c r="DA564" s="72">
        <v>0</v>
      </c>
      <c r="DB564" s="72">
        <v>0</v>
      </c>
      <c r="DC564" s="72">
        <v>0</v>
      </c>
      <c r="DD564" s="72">
        <v>0</v>
      </c>
      <c r="DE564" s="72">
        <v>0</v>
      </c>
      <c r="DF564" s="72">
        <v>0</v>
      </c>
      <c r="DG564" s="72">
        <v>0</v>
      </c>
      <c r="DH564" s="72">
        <v>0</v>
      </c>
      <c r="DI564" s="72">
        <v>0</v>
      </c>
      <c r="DJ564" s="72">
        <v>0</v>
      </c>
      <c r="DK564" s="72">
        <v>0</v>
      </c>
      <c r="DL564" s="72">
        <v>0</v>
      </c>
      <c r="DM564" s="72">
        <v>0</v>
      </c>
      <c r="DN564" s="72">
        <v>0</v>
      </c>
      <c r="DO564" s="72">
        <v>0</v>
      </c>
      <c r="DP564" s="72">
        <v>0</v>
      </c>
      <c r="DQ564" s="72">
        <v>0</v>
      </c>
      <c r="DR564" s="72">
        <v>0</v>
      </c>
      <c r="DS564" s="72">
        <v>0</v>
      </c>
      <c r="DT564" s="72">
        <v>0</v>
      </c>
      <c r="DU564" s="72">
        <v>0</v>
      </c>
      <c r="DV564" s="72">
        <v>0</v>
      </c>
      <c r="DW564" s="72">
        <v>0</v>
      </c>
      <c r="DX564" s="72">
        <v>0</v>
      </c>
      <c r="DY564" s="72">
        <v>0</v>
      </c>
      <c r="DZ564" s="72">
        <v>0</v>
      </c>
      <c r="EA564" s="72">
        <v>0</v>
      </c>
      <c r="EB564" s="72">
        <v>0</v>
      </c>
      <c r="EC564" s="72">
        <v>0</v>
      </c>
      <c r="ED564" s="72">
        <v>0</v>
      </c>
      <c r="EE564" s="72">
        <v>0</v>
      </c>
      <c r="EF564" s="72">
        <v>0</v>
      </c>
      <c r="EG564" s="72">
        <v>0</v>
      </c>
      <c r="EH564" s="72">
        <v>0</v>
      </c>
      <c r="EI564" s="72">
        <v>0</v>
      </c>
      <c r="EJ564" s="72">
        <v>0</v>
      </c>
      <c r="EK564" s="72">
        <v>0</v>
      </c>
      <c r="EL564" s="72">
        <v>0</v>
      </c>
    </row>
    <row r="565" spans="1:142" x14ac:dyDescent="0.35">
      <c r="A565" s="59">
        <f>Данные!A565</f>
        <v>6368</v>
      </c>
      <c r="B565" s="59">
        <f>Данные!B565</f>
        <v>2018</v>
      </c>
      <c r="C565" s="59" t="str">
        <f>Данные!C565</f>
        <v>физической электроники</v>
      </c>
      <c r="D565" s="59" t="str">
        <f>Данные!D565</f>
        <v>Лужков Александр Альбертович</v>
      </c>
      <c r="E565" s="59" t="str">
        <f>Данные!E565</f>
        <v>кандидат физ.-мат. наук</v>
      </c>
      <c r="F565" s="59" t="str">
        <f>Данные!F565</f>
        <v>доцент</v>
      </c>
      <c r="G565" s="59">
        <f>Данные!G565</f>
        <v>1</v>
      </c>
      <c r="H565" s="59">
        <f>Данные!H565</f>
        <v>17043</v>
      </c>
      <c r="I565" s="59" t="str">
        <f>Данные!I565</f>
        <v>Модуль "Естественно-математический". Физика</v>
      </c>
      <c r="J565" s="59">
        <f>Данные!J565</f>
        <v>0</v>
      </c>
      <c r="K565" s="59">
        <f>Данные!K565</f>
        <v>0</v>
      </c>
      <c r="L565" s="59">
        <f>Данные!L565</f>
        <v>72</v>
      </c>
      <c r="M565" s="60">
        <f t="shared" si="72"/>
        <v>7.2</v>
      </c>
      <c r="N565" s="60">
        <f t="shared" ca="1" si="73"/>
        <v>14.870000000000001</v>
      </c>
      <c r="O565" s="60">
        <f t="shared" ca="1" si="74"/>
        <v>9.75</v>
      </c>
      <c r="P565" s="60">
        <f t="shared" ca="1" si="75"/>
        <v>9.75</v>
      </c>
      <c r="Q565" s="54">
        <f>Данные!Q565</f>
        <v>0</v>
      </c>
      <c r="R565" s="54">
        <f>Данные!R565</f>
        <v>0</v>
      </c>
      <c r="S565" s="54">
        <f>Данные!S565</f>
        <v>0</v>
      </c>
      <c r="T565" s="54">
        <f>Данные!T565</f>
        <v>0</v>
      </c>
      <c r="U565" s="54">
        <f>Данные!U565</f>
        <v>0</v>
      </c>
      <c r="V565" s="54">
        <f>Данные!V565</f>
        <v>0</v>
      </c>
      <c r="W565" s="54">
        <f ca="1">Данные!W565</f>
        <v>39</v>
      </c>
      <c r="X565" s="54" t="str">
        <f ca="1">Данные!X565</f>
        <v>2</v>
      </c>
      <c r="Y565" s="54" t="str">
        <f ca="1">Данные!Y565</f>
        <v>3</v>
      </c>
      <c r="Z565" s="54">
        <f>Данные!Z565</f>
        <v>0</v>
      </c>
      <c r="AA565" s="54">
        <f>Данные!AA565</f>
        <v>0</v>
      </c>
      <c r="AB565" s="101">
        <f t="shared" si="76"/>
        <v>800</v>
      </c>
      <c r="AC565" s="101" t="str">
        <f t="shared" si="77"/>
        <v>ИВТ (бак)</v>
      </c>
      <c r="AD565" s="101" t="str">
        <f t="shared" si="78"/>
        <v>2018–2019</v>
      </c>
      <c r="AE565" s="102">
        <f t="shared" ca="1" si="79"/>
        <v>113.57000000000001</v>
      </c>
      <c r="AF565" s="103">
        <f t="shared" ca="1" si="80"/>
        <v>0.14196250000000002</v>
      </c>
      <c r="AG565" s="101"/>
      <c r="AH565" s="101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Q565" s="72">
        <v>0</v>
      </c>
      <c r="BR565" s="72">
        <v>0</v>
      </c>
      <c r="BS565" s="72">
        <v>0</v>
      </c>
      <c r="BT565" s="72">
        <v>0</v>
      </c>
      <c r="BU565" s="72">
        <v>0</v>
      </c>
      <c r="BV565" s="72">
        <v>0</v>
      </c>
      <c r="BW565" s="72">
        <v>0</v>
      </c>
      <c r="BX565" s="72">
        <v>0</v>
      </c>
      <c r="BY565" s="72">
        <v>0</v>
      </c>
      <c r="BZ565" s="72">
        <v>0</v>
      </c>
      <c r="CA565" s="72">
        <v>0</v>
      </c>
      <c r="CB565" s="72">
        <v>0</v>
      </c>
      <c r="CC565" s="72">
        <v>0</v>
      </c>
      <c r="CD565" s="72">
        <v>0</v>
      </c>
      <c r="CE565" s="72">
        <v>0</v>
      </c>
      <c r="CF565" s="72">
        <v>0</v>
      </c>
      <c r="CG565" s="72">
        <v>0</v>
      </c>
      <c r="CH565" s="72">
        <v>0</v>
      </c>
      <c r="CI565" s="72">
        <v>0</v>
      </c>
      <c r="CJ565" s="72">
        <v>0</v>
      </c>
      <c r="CK565" s="72">
        <v>0</v>
      </c>
      <c r="CL565" s="72">
        <v>0</v>
      </c>
      <c r="CM565" s="72">
        <v>0</v>
      </c>
      <c r="CN565" s="72">
        <v>0</v>
      </c>
      <c r="CO565" s="72">
        <v>0</v>
      </c>
      <c r="CP565" s="72">
        <v>0</v>
      </c>
      <c r="CQ565" s="72">
        <v>0</v>
      </c>
      <c r="CR565" s="72">
        <v>0</v>
      </c>
      <c r="CS565" s="72">
        <v>0</v>
      </c>
      <c r="CT565" s="72">
        <v>0</v>
      </c>
      <c r="CU565" s="72">
        <v>0</v>
      </c>
      <c r="CV565" s="72">
        <v>0</v>
      </c>
      <c r="CW565" s="72">
        <v>0</v>
      </c>
      <c r="CX565" s="72">
        <v>0</v>
      </c>
      <c r="CY565" s="72">
        <v>0</v>
      </c>
      <c r="CZ565" s="72">
        <v>0</v>
      </c>
      <c r="DA565" s="72">
        <v>0</v>
      </c>
      <c r="DB565" s="72">
        <v>0</v>
      </c>
      <c r="DC565" s="72">
        <v>0</v>
      </c>
      <c r="DD565" s="72">
        <v>0</v>
      </c>
      <c r="DE565" s="72">
        <v>0</v>
      </c>
      <c r="DF565" s="72">
        <v>0</v>
      </c>
      <c r="DG565" s="72">
        <v>0</v>
      </c>
      <c r="DH565" s="72">
        <v>0</v>
      </c>
      <c r="DI565" s="72">
        <v>0</v>
      </c>
      <c r="DJ565" s="72">
        <v>0</v>
      </c>
      <c r="DK565" s="72">
        <v>0</v>
      </c>
      <c r="DL565" s="72">
        <v>0</v>
      </c>
      <c r="DM565" s="72">
        <v>0</v>
      </c>
      <c r="DN565" s="72">
        <v>0</v>
      </c>
      <c r="DO565" s="72">
        <v>0</v>
      </c>
      <c r="DP565" s="72">
        <v>0</v>
      </c>
      <c r="DQ565" s="72">
        <v>0</v>
      </c>
      <c r="DR565" s="72">
        <v>0</v>
      </c>
      <c r="DS565" s="72">
        <v>0</v>
      </c>
      <c r="DT565" s="72">
        <v>0</v>
      </c>
      <c r="DU565" s="72">
        <v>0</v>
      </c>
      <c r="DV565" s="72">
        <v>0</v>
      </c>
      <c r="DW565" s="72">
        <v>0</v>
      </c>
      <c r="DX565" s="72">
        <v>0</v>
      </c>
      <c r="DY565" s="72">
        <v>0</v>
      </c>
      <c r="DZ565" s="72">
        <v>0</v>
      </c>
      <c r="EA565" s="72">
        <v>0</v>
      </c>
      <c r="EB565" s="72">
        <v>0</v>
      </c>
      <c r="EC565" s="72">
        <v>0</v>
      </c>
      <c r="ED565" s="72">
        <v>0</v>
      </c>
      <c r="EE565" s="72">
        <v>0</v>
      </c>
      <c r="EF565" s="72">
        <v>0</v>
      </c>
      <c r="EG565" s="72">
        <v>0</v>
      </c>
      <c r="EH565" s="72">
        <v>0</v>
      </c>
      <c r="EI565" s="72">
        <v>0</v>
      </c>
      <c r="EJ565" s="72">
        <v>0</v>
      </c>
      <c r="EK565" s="72">
        <v>0</v>
      </c>
      <c r="EL565" s="72">
        <v>0</v>
      </c>
    </row>
    <row r="566" spans="1:142" x14ac:dyDescent="0.35">
      <c r="A566" s="59">
        <f>Данные!A566</f>
        <v>6368</v>
      </c>
      <c r="B566" s="59">
        <f>Данные!B566</f>
        <v>2018</v>
      </c>
      <c r="C566" s="59" t="str">
        <f>Данные!C566</f>
        <v>физической электроники</v>
      </c>
      <c r="D566" s="59" t="str">
        <f>Данные!D566</f>
        <v>Серегин Павел Павлович</v>
      </c>
      <c r="E566" s="59" t="str">
        <f>Данные!E566</f>
        <v>доктор физ.-мат. наук</v>
      </c>
      <c r="F566" s="59" t="str">
        <f>Данные!F566</f>
        <v>профессор</v>
      </c>
      <c r="G566" s="59">
        <f>Данные!G566</f>
        <v>1</v>
      </c>
      <c r="H566" s="59">
        <f>Данные!H566</f>
        <v>17043</v>
      </c>
      <c r="I566" s="59" t="str">
        <f>Данные!I566</f>
        <v>Модуль "Естественно-математический". Физика</v>
      </c>
      <c r="J566" s="59">
        <f>Данные!J566</f>
        <v>36</v>
      </c>
      <c r="K566" s="59">
        <f>Данные!K566</f>
        <v>0</v>
      </c>
      <c r="L566" s="59">
        <f>Данные!L566</f>
        <v>36</v>
      </c>
      <c r="M566" s="60">
        <f t="shared" si="72"/>
        <v>7.2</v>
      </c>
      <c r="N566" s="60">
        <f t="shared" ca="1" si="73"/>
        <v>14.870000000000001</v>
      </c>
      <c r="O566" s="60">
        <f t="shared" ca="1" si="74"/>
        <v>9.75</v>
      </c>
      <c r="P566" s="60">
        <f t="shared" ca="1" si="75"/>
        <v>9.75</v>
      </c>
      <c r="Q566" s="54">
        <f>Данные!Q566</f>
        <v>0</v>
      </c>
      <c r="R566" s="54">
        <f>Данные!R566</f>
        <v>0</v>
      </c>
      <c r="S566" s="54">
        <f>Данные!S566</f>
        <v>0</v>
      </c>
      <c r="T566" s="54">
        <f>Данные!T566</f>
        <v>0</v>
      </c>
      <c r="U566" s="54">
        <f>Данные!U566</f>
        <v>0</v>
      </c>
      <c r="V566" s="54">
        <f>Данные!V566</f>
        <v>0</v>
      </c>
      <c r="W566" s="54">
        <f ca="1">Данные!W566</f>
        <v>39</v>
      </c>
      <c r="X566" s="54" t="str">
        <f ca="1">Данные!X566</f>
        <v>2</v>
      </c>
      <c r="Y566" s="54" t="str">
        <f ca="1">Данные!Y566</f>
        <v>3</v>
      </c>
      <c r="Z566" s="54">
        <f>Данные!Z566</f>
        <v>0</v>
      </c>
      <c r="AA566" s="54" t="str">
        <f>Данные!AA566</f>
        <v>осн</v>
      </c>
      <c r="AB566" s="101">
        <f t="shared" si="76"/>
        <v>750</v>
      </c>
      <c r="AC566" s="101" t="str">
        <f t="shared" si="77"/>
        <v>ИВТ (бак)</v>
      </c>
      <c r="AD566" s="101" t="str">
        <f t="shared" si="78"/>
        <v>2018–2019</v>
      </c>
      <c r="AE566" s="102">
        <f t="shared" ca="1" si="79"/>
        <v>113.57000000000001</v>
      </c>
      <c r="AF566" s="103">
        <f t="shared" ca="1" si="80"/>
        <v>0.15142666666666668</v>
      </c>
      <c r="AG566" s="101"/>
      <c r="AH566" s="101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Q566" s="72">
        <v>0</v>
      </c>
      <c r="BR566" s="72">
        <v>0</v>
      </c>
      <c r="BS566" s="72">
        <v>0</v>
      </c>
      <c r="BT566" s="72">
        <v>0</v>
      </c>
      <c r="BU566" s="72">
        <v>0</v>
      </c>
      <c r="BV566" s="72">
        <v>0</v>
      </c>
      <c r="BW566" s="72">
        <v>0</v>
      </c>
      <c r="BX566" s="72">
        <v>0</v>
      </c>
      <c r="BY566" s="72">
        <v>0</v>
      </c>
      <c r="BZ566" s="72">
        <v>0</v>
      </c>
      <c r="CA566" s="72">
        <v>0</v>
      </c>
      <c r="CB566" s="72">
        <v>0</v>
      </c>
      <c r="CC566" s="72">
        <v>0</v>
      </c>
      <c r="CD566" s="72">
        <v>0</v>
      </c>
      <c r="CE566" s="72">
        <v>0</v>
      </c>
      <c r="CF566" s="72">
        <v>0</v>
      </c>
      <c r="CG566" s="72">
        <v>0</v>
      </c>
      <c r="CH566" s="72">
        <v>0</v>
      </c>
      <c r="CI566" s="72">
        <v>0</v>
      </c>
      <c r="CJ566" s="72">
        <v>0</v>
      </c>
      <c r="CK566" s="72">
        <v>0</v>
      </c>
      <c r="CL566" s="72">
        <v>0</v>
      </c>
      <c r="CM566" s="72">
        <v>0</v>
      </c>
      <c r="CN566" s="72">
        <v>0</v>
      </c>
      <c r="CO566" s="72">
        <v>0</v>
      </c>
      <c r="CP566" s="72">
        <v>0</v>
      </c>
      <c r="CQ566" s="72">
        <v>0</v>
      </c>
      <c r="CR566" s="72">
        <v>0</v>
      </c>
      <c r="CS566" s="72">
        <v>0</v>
      </c>
      <c r="CT566" s="72">
        <v>0</v>
      </c>
      <c r="CU566" s="72">
        <v>0</v>
      </c>
      <c r="CV566" s="72">
        <v>0</v>
      </c>
      <c r="CW566" s="72">
        <v>0</v>
      </c>
      <c r="CX566" s="72">
        <v>0</v>
      </c>
      <c r="CY566" s="72">
        <v>0</v>
      </c>
      <c r="CZ566" s="72">
        <v>0</v>
      </c>
      <c r="DA566" s="72">
        <v>0</v>
      </c>
      <c r="DB566" s="72">
        <v>0</v>
      </c>
      <c r="DC566" s="72">
        <v>0</v>
      </c>
      <c r="DD566" s="72">
        <v>0</v>
      </c>
      <c r="DE566" s="72">
        <v>0</v>
      </c>
      <c r="DF566" s="72">
        <v>0</v>
      </c>
      <c r="DG566" s="72">
        <v>0</v>
      </c>
      <c r="DH566" s="72">
        <v>0</v>
      </c>
      <c r="DI566" s="72">
        <v>0</v>
      </c>
      <c r="DJ566" s="72">
        <v>0</v>
      </c>
      <c r="DK566" s="72">
        <v>0</v>
      </c>
      <c r="DL566" s="72">
        <v>0</v>
      </c>
      <c r="DM566" s="72">
        <v>0</v>
      </c>
      <c r="DN566" s="72">
        <v>0</v>
      </c>
      <c r="DO566" s="72">
        <v>0</v>
      </c>
      <c r="DP566" s="72">
        <v>0</v>
      </c>
      <c r="DQ566" s="72">
        <v>0</v>
      </c>
      <c r="DR566" s="72">
        <v>0</v>
      </c>
      <c r="DS566" s="72">
        <v>0</v>
      </c>
      <c r="DT566" s="72">
        <v>0</v>
      </c>
      <c r="DU566" s="72">
        <v>0</v>
      </c>
      <c r="DV566" s="72">
        <v>0</v>
      </c>
      <c r="DW566" s="72">
        <v>0</v>
      </c>
      <c r="DX566" s="72">
        <v>0</v>
      </c>
      <c r="DY566" s="72">
        <v>0</v>
      </c>
      <c r="DZ566" s="72">
        <v>0</v>
      </c>
      <c r="EA566" s="72">
        <v>0</v>
      </c>
      <c r="EB566" s="72">
        <v>0</v>
      </c>
      <c r="EC566" s="72">
        <v>0</v>
      </c>
      <c r="ED566" s="72">
        <v>0</v>
      </c>
      <c r="EE566" s="72">
        <v>0</v>
      </c>
      <c r="EF566" s="72">
        <v>0</v>
      </c>
      <c r="EG566" s="72">
        <v>0</v>
      </c>
      <c r="EH566" s="72">
        <v>0</v>
      </c>
      <c r="EI566" s="72">
        <v>0</v>
      </c>
      <c r="EJ566" s="72">
        <v>0</v>
      </c>
      <c r="EK566" s="72">
        <v>0</v>
      </c>
      <c r="EL566" s="72">
        <v>0</v>
      </c>
    </row>
    <row r="567" spans="1:142" x14ac:dyDescent="0.35">
      <c r="A567" s="59">
        <f>Данные!A567</f>
        <v>6368</v>
      </c>
      <c r="B567" s="59">
        <f>Данные!B567</f>
        <v>2018</v>
      </c>
      <c r="C567" s="59" t="str">
        <f>Данные!C567</f>
        <v>философии</v>
      </c>
      <c r="D567" s="59" t="str">
        <f>Данные!D567</f>
        <v>Пую Юлия Валерьевна</v>
      </c>
      <c r="E567" s="59" t="str">
        <f>Данные!E567</f>
        <v>доктор философских наук</v>
      </c>
      <c r="F567" s="59" t="str">
        <f>Данные!F567</f>
        <v>профессор</v>
      </c>
      <c r="G567" s="59">
        <f>Данные!G567</f>
        <v>1</v>
      </c>
      <c r="H567" s="59">
        <f>Данные!H567</f>
        <v>17043</v>
      </c>
      <c r="I567" s="59" t="str">
        <f>Данные!I567</f>
        <v>Модуль "Историко-философский". Философия</v>
      </c>
      <c r="J567" s="59">
        <f>Данные!J567</f>
        <v>16</v>
      </c>
      <c r="K567" s="59">
        <f>Данные!K567</f>
        <v>68</v>
      </c>
      <c r="L567" s="59">
        <f>Данные!L567</f>
        <v>0</v>
      </c>
      <c r="M567" s="60">
        <f t="shared" si="72"/>
        <v>8.4</v>
      </c>
      <c r="N567" s="60">
        <f t="shared" ca="1" si="73"/>
        <v>14.870000000000001</v>
      </c>
      <c r="O567" s="60">
        <f t="shared" ca="1" si="74"/>
        <v>9.75</v>
      </c>
      <c r="P567" s="60">
        <f t="shared" ca="1" si="75"/>
        <v>9.75</v>
      </c>
      <c r="Q567" s="54">
        <f>Данные!Q567</f>
        <v>0</v>
      </c>
      <c r="R567" s="54">
        <f>Данные!R567</f>
        <v>0</v>
      </c>
      <c r="S567" s="54">
        <f>Данные!S567</f>
        <v>0</v>
      </c>
      <c r="T567" s="54">
        <f>Данные!T567</f>
        <v>0</v>
      </c>
      <c r="U567" s="54">
        <f>Данные!U567</f>
        <v>0</v>
      </c>
      <c r="V567" s="54">
        <f>Данные!V567</f>
        <v>0</v>
      </c>
      <c r="W567" s="54">
        <f ca="1">Данные!W567</f>
        <v>39</v>
      </c>
      <c r="X567" s="54" t="str">
        <f ca="1">Данные!X567</f>
        <v>2</v>
      </c>
      <c r="Y567" s="54" t="str">
        <f ca="1">Данные!Y567</f>
        <v>3</v>
      </c>
      <c r="Z567" s="54">
        <f>Данные!Z567</f>
        <v>0</v>
      </c>
      <c r="AA567" s="54" t="str">
        <f>Данные!AA567</f>
        <v>осн</v>
      </c>
      <c r="AB567" s="101">
        <f t="shared" si="76"/>
        <v>750</v>
      </c>
      <c r="AC567" s="101" t="str">
        <f t="shared" si="77"/>
        <v>ИВТ (бак)</v>
      </c>
      <c r="AD567" s="101" t="str">
        <f t="shared" si="78"/>
        <v>2018–2019</v>
      </c>
      <c r="AE567" s="102">
        <f t="shared" ca="1" si="79"/>
        <v>126.77000000000001</v>
      </c>
      <c r="AF567" s="103">
        <f t="shared" ca="1" si="80"/>
        <v>0.16902666666666669</v>
      </c>
      <c r="AG567" s="101"/>
      <c r="AH567" s="101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Q567" s="72">
        <v>0</v>
      </c>
      <c r="BR567" s="72">
        <v>0</v>
      </c>
      <c r="BS567" s="72">
        <v>0</v>
      </c>
      <c r="BT567" s="72">
        <v>0</v>
      </c>
      <c r="BU567" s="72">
        <v>0</v>
      </c>
      <c r="BV567" s="72">
        <v>0</v>
      </c>
      <c r="BW567" s="72">
        <v>0</v>
      </c>
      <c r="BX567" s="72">
        <v>0</v>
      </c>
      <c r="BY567" s="72">
        <v>0</v>
      </c>
      <c r="BZ567" s="72">
        <v>0</v>
      </c>
      <c r="CA567" s="72">
        <v>0</v>
      </c>
      <c r="CB567" s="72">
        <v>0</v>
      </c>
      <c r="CC567" s="72">
        <v>0</v>
      </c>
      <c r="CD567" s="72">
        <v>0</v>
      </c>
      <c r="CE567" s="72">
        <v>0</v>
      </c>
      <c r="CF567" s="72">
        <v>0</v>
      </c>
      <c r="CG567" s="72">
        <v>0</v>
      </c>
      <c r="CH567" s="72">
        <v>0</v>
      </c>
      <c r="CI567" s="72">
        <v>0</v>
      </c>
      <c r="CJ567" s="72">
        <v>0</v>
      </c>
      <c r="CK567" s="72">
        <v>0</v>
      </c>
      <c r="CL567" s="72">
        <v>0</v>
      </c>
      <c r="CM567" s="72">
        <v>0</v>
      </c>
      <c r="CN567" s="72">
        <v>0</v>
      </c>
      <c r="CO567" s="72">
        <v>0</v>
      </c>
      <c r="CP567" s="72">
        <v>0</v>
      </c>
      <c r="CQ567" s="72">
        <v>0</v>
      </c>
      <c r="CR567" s="72">
        <v>0</v>
      </c>
      <c r="CS567" s="72">
        <v>0</v>
      </c>
      <c r="CT567" s="72">
        <v>0</v>
      </c>
      <c r="CU567" s="72">
        <v>0</v>
      </c>
      <c r="CV567" s="72">
        <v>0</v>
      </c>
      <c r="CW567" s="72">
        <v>0</v>
      </c>
      <c r="CX567" s="72">
        <v>0</v>
      </c>
      <c r="CY567" s="72">
        <v>0</v>
      </c>
      <c r="CZ567" s="72">
        <v>0</v>
      </c>
      <c r="DA567" s="72">
        <v>0</v>
      </c>
      <c r="DB567" s="72">
        <v>0</v>
      </c>
      <c r="DC567" s="72">
        <v>0</v>
      </c>
      <c r="DD567" s="72">
        <v>0</v>
      </c>
      <c r="DE567" s="72">
        <v>0</v>
      </c>
      <c r="DF567" s="72">
        <v>0</v>
      </c>
      <c r="DG567" s="72">
        <v>0</v>
      </c>
      <c r="DH567" s="72">
        <v>0</v>
      </c>
      <c r="DI567" s="72">
        <v>0</v>
      </c>
      <c r="DJ567" s="72">
        <v>0</v>
      </c>
      <c r="DK567" s="72">
        <v>0</v>
      </c>
      <c r="DL567" s="72">
        <v>0</v>
      </c>
      <c r="DM567" s="72">
        <v>0</v>
      </c>
      <c r="DN567" s="72">
        <v>0</v>
      </c>
      <c r="DO567" s="72">
        <v>0</v>
      </c>
      <c r="DP567" s="72">
        <v>0</v>
      </c>
      <c r="DQ567" s="72">
        <v>0</v>
      </c>
      <c r="DR567" s="72">
        <v>0</v>
      </c>
      <c r="DS567" s="72">
        <v>0</v>
      </c>
      <c r="DT567" s="72">
        <v>0</v>
      </c>
      <c r="DU567" s="72">
        <v>0</v>
      </c>
      <c r="DV567" s="72">
        <v>0</v>
      </c>
      <c r="DW567" s="72">
        <v>0</v>
      </c>
      <c r="DX567" s="72">
        <v>0</v>
      </c>
      <c r="DY567" s="72">
        <v>0</v>
      </c>
      <c r="DZ567" s="72">
        <v>0</v>
      </c>
      <c r="EA567" s="72">
        <v>0</v>
      </c>
      <c r="EB567" s="72">
        <v>0</v>
      </c>
      <c r="EC567" s="72">
        <v>0</v>
      </c>
      <c r="ED567" s="72">
        <v>0</v>
      </c>
      <c r="EE567" s="72">
        <v>0</v>
      </c>
      <c r="EF567" s="72">
        <v>0</v>
      </c>
      <c r="EG567" s="72">
        <v>0</v>
      </c>
      <c r="EH567" s="72">
        <v>0</v>
      </c>
      <c r="EI567" s="72">
        <v>0</v>
      </c>
      <c r="EJ567" s="72">
        <v>0</v>
      </c>
      <c r="EK567" s="72">
        <v>0</v>
      </c>
      <c r="EL567" s="72">
        <v>0</v>
      </c>
    </row>
    <row r="568" spans="1:142" x14ac:dyDescent="0.35">
      <c r="A568" s="59">
        <f>Данные!A568</f>
        <v>6368</v>
      </c>
      <c r="B568" s="59">
        <f>Данные!B568</f>
        <v>2018</v>
      </c>
      <c r="C568" s="59" t="str">
        <f>Данные!C568</f>
        <v>экономической теории и экономического образования</v>
      </c>
      <c r="D568" s="59" t="str">
        <f>Данные!D568</f>
        <v>Тихонова Анастасия Михайловна</v>
      </c>
      <c r="E568" s="59" t="str">
        <f>Данные!E568</f>
        <v>нет</v>
      </c>
      <c r="F568" s="59" t="str">
        <f>Данные!F568</f>
        <v>старший преподаватель</v>
      </c>
      <c r="G568" s="59">
        <f>Данные!G568</f>
        <v>1</v>
      </c>
      <c r="H568" s="59">
        <f>Данные!H568</f>
        <v>17043</v>
      </c>
      <c r="I568" s="59" t="str">
        <f>Данные!I568</f>
        <v>Модуль "Экономикo-правовой". Экономика</v>
      </c>
      <c r="J568" s="59">
        <f>Данные!J568</f>
        <v>24</v>
      </c>
      <c r="K568" s="59">
        <f>Данные!K568</f>
        <v>60</v>
      </c>
      <c r="L568" s="59">
        <f>Данные!L568</f>
        <v>0</v>
      </c>
      <c r="M568" s="60">
        <f t="shared" si="72"/>
        <v>8.4</v>
      </c>
      <c r="N568" s="60">
        <f t="shared" ca="1" si="73"/>
        <v>14.870000000000001</v>
      </c>
      <c r="O568" s="60">
        <f t="shared" ca="1" si="74"/>
        <v>9.75</v>
      </c>
      <c r="P568" s="60">
        <f t="shared" ca="1" si="75"/>
        <v>9.75</v>
      </c>
      <c r="Q568" s="54">
        <f>Данные!Q568</f>
        <v>0</v>
      </c>
      <c r="R568" s="54">
        <f>Данные!R568</f>
        <v>0</v>
      </c>
      <c r="S568" s="54">
        <f>Данные!S568</f>
        <v>0</v>
      </c>
      <c r="T568" s="54">
        <f>Данные!T568</f>
        <v>0</v>
      </c>
      <c r="U568" s="54">
        <f>Данные!U568</f>
        <v>0</v>
      </c>
      <c r="V568" s="54">
        <f>Данные!V568</f>
        <v>0</v>
      </c>
      <c r="W568" s="54">
        <f ca="1">Данные!W568</f>
        <v>39</v>
      </c>
      <c r="X568" s="54" t="str">
        <f ca="1">Данные!X568</f>
        <v>2</v>
      </c>
      <c r="Y568" s="54" t="str">
        <f ca="1">Данные!Y568</f>
        <v>3</v>
      </c>
      <c r="Z568" s="54">
        <f>Данные!Z568</f>
        <v>0</v>
      </c>
      <c r="AA568" s="54">
        <f>Данные!AA568</f>
        <v>0</v>
      </c>
      <c r="AB568" s="101">
        <f t="shared" si="76"/>
        <v>850</v>
      </c>
      <c r="AC568" s="101" t="str">
        <f t="shared" si="77"/>
        <v>ИВТ (бак)</v>
      </c>
      <c r="AD568" s="101" t="str">
        <f t="shared" si="78"/>
        <v>2018–2019</v>
      </c>
      <c r="AE568" s="102">
        <f t="shared" ca="1" si="79"/>
        <v>126.77000000000001</v>
      </c>
      <c r="AF568" s="103">
        <f t="shared" ca="1" si="80"/>
        <v>0.14914117647058825</v>
      </c>
      <c r="AG568" s="101"/>
      <c r="AH568" s="101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Q568" s="72">
        <v>0</v>
      </c>
      <c r="BR568" s="72">
        <v>0</v>
      </c>
      <c r="BS568" s="72">
        <v>0</v>
      </c>
      <c r="BT568" s="72">
        <v>0</v>
      </c>
      <c r="BU568" s="72">
        <v>0</v>
      </c>
      <c r="BV568" s="72">
        <v>0</v>
      </c>
      <c r="BW568" s="72">
        <v>0</v>
      </c>
      <c r="BX568" s="72">
        <v>0</v>
      </c>
      <c r="BY568" s="72">
        <v>0</v>
      </c>
      <c r="BZ568" s="72">
        <v>0</v>
      </c>
      <c r="CA568" s="72">
        <v>0</v>
      </c>
      <c r="CB568" s="72">
        <v>0</v>
      </c>
      <c r="CC568" s="72">
        <v>0</v>
      </c>
      <c r="CD568" s="72">
        <v>0</v>
      </c>
      <c r="CE568" s="72">
        <v>0</v>
      </c>
      <c r="CF568" s="72">
        <v>0</v>
      </c>
      <c r="CG568" s="72">
        <v>0</v>
      </c>
      <c r="CH568" s="72">
        <v>0</v>
      </c>
      <c r="CI568" s="72">
        <v>0</v>
      </c>
      <c r="CJ568" s="72">
        <v>0</v>
      </c>
      <c r="CK568" s="72">
        <v>0</v>
      </c>
      <c r="CL568" s="72">
        <v>0</v>
      </c>
      <c r="CM568" s="72">
        <v>0</v>
      </c>
      <c r="CN568" s="72">
        <v>0</v>
      </c>
      <c r="CO568" s="72">
        <v>0</v>
      </c>
      <c r="CP568" s="72">
        <v>0</v>
      </c>
      <c r="CQ568" s="72">
        <v>0</v>
      </c>
      <c r="CR568" s="72">
        <v>0</v>
      </c>
      <c r="CS568" s="72">
        <v>0</v>
      </c>
      <c r="CT568" s="72">
        <v>0</v>
      </c>
      <c r="CU568" s="72">
        <v>0</v>
      </c>
      <c r="CV568" s="72">
        <v>0</v>
      </c>
      <c r="CW568" s="72">
        <v>0</v>
      </c>
      <c r="CX568" s="72">
        <v>0</v>
      </c>
      <c r="CY568" s="72">
        <v>0</v>
      </c>
      <c r="CZ568" s="72">
        <v>0</v>
      </c>
      <c r="DA568" s="72">
        <v>0</v>
      </c>
      <c r="DB568" s="72">
        <v>0</v>
      </c>
      <c r="DC568" s="72">
        <v>0</v>
      </c>
      <c r="DD568" s="72">
        <v>0</v>
      </c>
      <c r="DE568" s="72">
        <v>0</v>
      </c>
      <c r="DF568" s="72">
        <v>0</v>
      </c>
      <c r="DG568" s="72">
        <v>0</v>
      </c>
      <c r="DH568" s="72">
        <v>0</v>
      </c>
      <c r="DI568" s="72">
        <v>0</v>
      </c>
      <c r="DJ568" s="72">
        <v>0</v>
      </c>
      <c r="DK568" s="72">
        <v>0</v>
      </c>
      <c r="DL568" s="72">
        <v>0</v>
      </c>
      <c r="DM568" s="72">
        <v>0</v>
      </c>
      <c r="DN568" s="72">
        <v>0</v>
      </c>
      <c r="DO568" s="72">
        <v>0</v>
      </c>
      <c r="DP568" s="72">
        <v>0</v>
      </c>
      <c r="DQ568" s="72">
        <v>0</v>
      </c>
      <c r="DR568" s="72">
        <v>0</v>
      </c>
      <c r="DS568" s="72">
        <v>0</v>
      </c>
      <c r="DT568" s="72">
        <v>0</v>
      </c>
      <c r="DU568" s="72">
        <v>0</v>
      </c>
      <c r="DV568" s="72">
        <v>0</v>
      </c>
      <c r="DW568" s="72">
        <v>0</v>
      </c>
      <c r="DX568" s="72">
        <v>0</v>
      </c>
      <c r="DY568" s="72">
        <v>0</v>
      </c>
      <c r="DZ568" s="72">
        <v>0</v>
      </c>
      <c r="EA568" s="72">
        <v>0</v>
      </c>
      <c r="EB568" s="72">
        <v>0</v>
      </c>
      <c r="EC568" s="72">
        <v>0</v>
      </c>
      <c r="ED568" s="72">
        <v>0</v>
      </c>
      <c r="EE568" s="72">
        <v>0</v>
      </c>
      <c r="EF568" s="72">
        <v>0</v>
      </c>
      <c r="EG568" s="72">
        <v>0</v>
      </c>
      <c r="EH568" s="72">
        <v>0</v>
      </c>
      <c r="EI568" s="72">
        <v>0</v>
      </c>
      <c r="EJ568" s="72">
        <v>0</v>
      </c>
      <c r="EK568" s="72">
        <v>0</v>
      </c>
      <c r="EL568" s="72">
        <v>0</v>
      </c>
    </row>
    <row r="569" spans="1:142" x14ac:dyDescent="0.35">
      <c r="A569" s="59">
        <f>Данные!A569</f>
        <v>4848</v>
      </c>
      <c r="B569" s="59">
        <f>Данные!B569</f>
        <v>2019</v>
      </c>
      <c r="C569" s="59" t="str">
        <f>Данные!C569</f>
        <v>геологии и геоэкологии</v>
      </c>
      <c r="D569" s="59" t="str">
        <f>Данные!D569</f>
        <v>Любимов Александр Владимирович</v>
      </c>
      <c r="E569" s="59" t="str">
        <f>Данные!E569</f>
        <v>доктор сельскохоз. наук</v>
      </c>
      <c r="F569" s="59" t="str">
        <f>Данные!F569</f>
        <v>профессор</v>
      </c>
      <c r="G569" s="59">
        <f>Данные!G569</f>
        <v>1</v>
      </c>
      <c r="H569" s="59" t="str">
        <f>Данные!H569</f>
        <v>4 курс 2016 год/пост</v>
      </c>
      <c r="I569" s="59" t="str">
        <f>Данные!I569</f>
        <v>Модуль "Информационные системы". Геоинформационные системы</v>
      </c>
      <c r="J569" s="59">
        <f>Данные!J569</f>
        <v>0</v>
      </c>
      <c r="K569" s="59">
        <f>Данные!K569</f>
        <v>18</v>
      </c>
      <c r="L569" s="59">
        <f>Данные!L569</f>
        <v>0</v>
      </c>
      <c r="M569" s="60">
        <f t="shared" si="72"/>
        <v>1.8</v>
      </c>
      <c r="N569" s="60">
        <f t="shared" ca="1" si="73"/>
        <v>10.91</v>
      </c>
      <c r="O569" s="60">
        <f t="shared" ca="1" si="74"/>
        <v>6.75</v>
      </c>
      <c r="P569" s="60">
        <f t="shared" ca="1" si="75"/>
        <v>6.75</v>
      </c>
      <c r="Q569" s="54">
        <f>Данные!Q569</f>
        <v>0</v>
      </c>
      <c r="R569" s="54">
        <f>Данные!R569</f>
        <v>0</v>
      </c>
      <c r="S569" s="54">
        <f>Данные!S569</f>
        <v>0</v>
      </c>
      <c r="T569" s="54">
        <f>Данные!T569</f>
        <v>0</v>
      </c>
      <c r="U569" s="54">
        <f>Данные!U569</f>
        <v>0</v>
      </c>
      <c r="V569" s="54">
        <f>Данные!V569</f>
        <v>0</v>
      </c>
      <c r="W569" s="54">
        <f ca="1">Данные!W569</f>
        <v>27</v>
      </c>
      <c r="X569" s="54" t="str">
        <f ca="1">Данные!X569</f>
        <v>1</v>
      </c>
      <c r="Y569" s="54" t="str">
        <f ca="1">Данные!Y569</f>
        <v>2</v>
      </c>
      <c r="Z569" s="54">
        <f>Данные!Z569</f>
        <v>0</v>
      </c>
      <c r="AA569" s="54">
        <f>Данные!AA569</f>
        <v>0</v>
      </c>
      <c r="AB569" s="101">
        <f t="shared" si="76"/>
        <v>750</v>
      </c>
      <c r="AC569" s="101" t="str">
        <f t="shared" si="77"/>
        <v>ИВТ (бак)</v>
      </c>
      <c r="AD569" s="101" t="str">
        <f t="shared" si="78"/>
        <v/>
      </c>
      <c r="AE569" s="102">
        <f t="shared" ca="1" si="79"/>
        <v>44.21</v>
      </c>
      <c r="AF569" s="103">
        <f t="shared" ca="1" si="80"/>
        <v>5.8946666666666668E-2</v>
      </c>
      <c r="AG569" s="101"/>
      <c r="AH569" s="101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Q569" s="72">
        <v>0</v>
      </c>
      <c r="BR569" s="72">
        <v>0</v>
      </c>
      <c r="BS569" s="72">
        <v>0</v>
      </c>
      <c r="BT569" s="72">
        <v>0</v>
      </c>
      <c r="BU569" s="72">
        <v>0</v>
      </c>
      <c r="BV569" s="72">
        <v>0</v>
      </c>
      <c r="BW569" s="72">
        <v>0</v>
      </c>
      <c r="BX569" s="72">
        <v>0</v>
      </c>
      <c r="BY569" s="72">
        <v>0</v>
      </c>
      <c r="BZ569" s="72">
        <v>0</v>
      </c>
      <c r="CA569" s="72">
        <v>0</v>
      </c>
      <c r="CB569" s="72">
        <v>0</v>
      </c>
      <c r="CC569" s="72">
        <v>0</v>
      </c>
      <c r="CD569" s="72">
        <v>0</v>
      </c>
      <c r="CE569" s="72">
        <v>0</v>
      </c>
      <c r="CF569" s="72">
        <v>0</v>
      </c>
      <c r="CG569" s="72">
        <v>0</v>
      </c>
      <c r="CH569" s="72">
        <v>0</v>
      </c>
      <c r="CI569" s="72">
        <v>0</v>
      </c>
      <c r="CJ569" s="72">
        <v>0</v>
      </c>
      <c r="CK569" s="72">
        <v>0</v>
      </c>
      <c r="CL569" s="72">
        <v>0</v>
      </c>
      <c r="CM569" s="72">
        <v>0</v>
      </c>
      <c r="CN569" s="72">
        <v>0</v>
      </c>
      <c r="CO569" s="72">
        <v>0</v>
      </c>
      <c r="CP569" s="72">
        <v>0</v>
      </c>
      <c r="CQ569" s="72">
        <v>0</v>
      </c>
      <c r="CR569" s="72">
        <v>0</v>
      </c>
      <c r="CS569" s="72">
        <v>0</v>
      </c>
      <c r="CT569" s="72">
        <v>0</v>
      </c>
      <c r="CU569" s="72">
        <v>0</v>
      </c>
      <c r="CV569" s="72">
        <v>0</v>
      </c>
      <c r="CW569" s="72">
        <v>0</v>
      </c>
      <c r="CX569" s="72">
        <v>0</v>
      </c>
      <c r="CY569" s="72">
        <v>0</v>
      </c>
      <c r="CZ569" s="72">
        <v>0</v>
      </c>
      <c r="DA569" s="72">
        <v>0</v>
      </c>
      <c r="DB569" s="72">
        <v>0</v>
      </c>
      <c r="DC569" s="72">
        <v>0</v>
      </c>
      <c r="DD569" s="72">
        <v>0</v>
      </c>
      <c r="DE569" s="72">
        <v>0</v>
      </c>
      <c r="DF569" s="72">
        <v>0</v>
      </c>
      <c r="DG569" s="72">
        <v>0</v>
      </c>
      <c r="DH569" s="72">
        <v>0</v>
      </c>
      <c r="DI569" s="72">
        <v>0</v>
      </c>
      <c r="DJ569" s="72">
        <v>0</v>
      </c>
      <c r="DK569" s="72">
        <v>0</v>
      </c>
      <c r="DL569" s="72">
        <v>0</v>
      </c>
      <c r="DM569" s="72">
        <v>0</v>
      </c>
      <c r="DN569" s="72">
        <v>0</v>
      </c>
      <c r="DO569" s="72">
        <v>0</v>
      </c>
      <c r="DP569" s="72">
        <v>0</v>
      </c>
      <c r="DQ569" s="72">
        <v>0</v>
      </c>
      <c r="DR569" s="72">
        <v>0</v>
      </c>
      <c r="DS569" s="72">
        <v>0</v>
      </c>
      <c r="DT569" s="72">
        <v>0</v>
      </c>
      <c r="DU569" s="72">
        <v>0</v>
      </c>
      <c r="DV569" s="72">
        <v>0</v>
      </c>
      <c r="DW569" s="72">
        <v>0</v>
      </c>
      <c r="DX569" s="72">
        <v>0</v>
      </c>
      <c r="DY569" s="72">
        <v>0</v>
      </c>
      <c r="DZ569" s="72">
        <v>0</v>
      </c>
      <c r="EA569" s="72">
        <v>0</v>
      </c>
      <c r="EB569" s="72">
        <v>0</v>
      </c>
      <c r="EC569" s="72">
        <v>0</v>
      </c>
      <c r="ED569" s="72">
        <v>0</v>
      </c>
      <c r="EE569" s="72">
        <v>0</v>
      </c>
      <c r="EF569" s="72">
        <v>0</v>
      </c>
      <c r="EG569" s="72">
        <v>0</v>
      </c>
      <c r="EH569" s="72">
        <v>0</v>
      </c>
      <c r="EI569" s="72">
        <v>0</v>
      </c>
      <c r="EJ569" s="72">
        <v>0</v>
      </c>
      <c r="EK569" s="72">
        <v>0</v>
      </c>
      <c r="EL569" s="72">
        <v>0</v>
      </c>
    </row>
    <row r="570" spans="1:142" x14ac:dyDescent="0.35">
      <c r="A570" s="59">
        <f>Данные!A570</f>
        <v>4848</v>
      </c>
      <c r="B570" s="59">
        <f>Данные!B570</f>
        <v>2019</v>
      </c>
      <c r="C570" s="59" t="str">
        <f>Данные!C570</f>
        <v>современных европейских языков</v>
      </c>
      <c r="D570" s="59" t="str">
        <f>Данные!D570</f>
        <v>Кудрявцева Наталья Фаддеевна</v>
      </c>
      <c r="E570" s="59" t="str">
        <f>Данные!E570</f>
        <v>кандидат социологических наук</v>
      </c>
      <c r="F570" s="59" t="str">
        <f>Данные!F570</f>
        <v>доцент</v>
      </c>
      <c r="G570" s="59">
        <f>Данные!G570</f>
        <v>1</v>
      </c>
      <c r="H570" s="59" t="str">
        <f>Данные!H570</f>
        <v>4 курс 2016 год/пост</v>
      </c>
      <c r="I570" s="59" t="str">
        <f>Данные!I570</f>
        <v>Дисциплины (модули) по выбору. Иностранный язык в профессиональной сфере</v>
      </c>
      <c r="J570" s="59">
        <f>Данные!J570</f>
        <v>0</v>
      </c>
      <c r="K570" s="59">
        <f>Данные!K570</f>
        <v>0</v>
      </c>
      <c r="L570" s="59">
        <f>Данные!L570</f>
        <v>72</v>
      </c>
      <c r="M570" s="60">
        <f t="shared" si="72"/>
        <v>7.2</v>
      </c>
      <c r="N570" s="60">
        <f t="shared" ca="1" si="73"/>
        <v>10.91</v>
      </c>
      <c r="O570" s="60">
        <f t="shared" ca="1" si="74"/>
        <v>6.75</v>
      </c>
      <c r="P570" s="60">
        <f t="shared" ca="1" si="75"/>
        <v>6.75</v>
      </c>
      <c r="Q570" s="54">
        <f>Данные!Q570</f>
        <v>0</v>
      </c>
      <c r="R570" s="54">
        <f>Данные!R570</f>
        <v>0</v>
      </c>
      <c r="S570" s="54">
        <f>Данные!S570</f>
        <v>0</v>
      </c>
      <c r="T570" s="54">
        <f>Данные!T570</f>
        <v>0</v>
      </c>
      <c r="U570" s="54">
        <f>Данные!U570</f>
        <v>0</v>
      </c>
      <c r="V570" s="54">
        <f>Данные!V570</f>
        <v>0</v>
      </c>
      <c r="W570" s="54">
        <f ca="1">Данные!W570</f>
        <v>27</v>
      </c>
      <c r="X570" s="54" t="str">
        <f ca="1">Данные!X570</f>
        <v>1</v>
      </c>
      <c r="Y570" s="54" t="str">
        <f ca="1">Данные!Y570</f>
        <v>2</v>
      </c>
      <c r="Z570" s="54">
        <f>Данные!Z570</f>
        <v>0</v>
      </c>
      <c r="AA570" s="54">
        <f>Данные!AA570</f>
        <v>0</v>
      </c>
      <c r="AB570" s="101">
        <f t="shared" si="76"/>
        <v>800</v>
      </c>
      <c r="AC570" s="101" t="str">
        <f t="shared" si="77"/>
        <v>ИВТ (бак)</v>
      </c>
      <c r="AD570" s="101" t="str">
        <f t="shared" si="78"/>
        <v/>
      </c>
      <c r="AE570" s="102">
        <f t="shared" ca="1" si="79"/>
        <v>103.61</v>
      </c>
      <c r="AF570" s="103">
        <f t="shared" ca="1" si="80"/>
        <v>0.1295125</v>
      </c>
      <c r="AG570" s="101"/>
      <c r="AH570" s="101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Q570" s="72">
        <v>0</v>
      </c>
      <c r="BR570" s="72">
        <v>0</v>
      </c>
      <c r="BS570" s="72">
        <v>0</v>
      </c>
      <c r="BT570" s="72">
        <v>0</v>
      </c>
      <c r="BU570" s="72">
        <v>0</v>
      </c>
      <c r="BV570" s="72">
        <v>0</v>
      </c>
      <c r="BW570" s="72">
        <v>0</v>
      </c>
      <c r="BX570" s="72">
        <v>0</v>
      </c>
      <c r="BY570" s="72">
        <v>0</v>
      </c>
      <c r="BZ570" s="72">
        <v>0</v>
      </c>
      <c r="CA570" s="72">
        <v>0</v>
      </c>
      <c r="CB570" s="72">
        <v>0</v>
      </c>
      <c r="CC570" s="72">
        <v>0</v>
      </c>
      <c r="CD570" s="72">
        <v>0</v>
      </c>
      <c r="CE570" s="72">
        <v>0</v>
      </c>
      <c r="CF570" s="72">
        <v>0</v>
      </c>
      <c r="CG570" s="72">
        <v>0</v>
      </c>
      <c r="CH570" s="72">
        <v>0</v>
      </c>
      <c r="CI570" s="72">
        <v>0</v>
      </c>
      <c r="CJ570" s="72">
        <v>0</v>
      </c>
      <c r="CK570" s="72">
        <v>0</v>
      </c>
      <c r="CL570" s="72">
        <v>0</v>
      </c>
      <c r="CM570" s="72">
        <v>0</v>
      </c>
      <c r="CN570" s="72">
        <v>0</v>
      </c>
      <c r="CO570" s="72">
        <v>0</v>
      </c>
      <c r="CP570" s="72">
        <v>0</v>
      </c>
      <c r="CQ570" s="72">
        <v>0</v>
      </c>
      <c r="CR570" s="72">
        <v>0</v>
      </c>
      <c r="CS570" s="72">
        <v>0</v>
      </c>
      <c r="CT570" s="72">
        <v>0</v>
      </c>
      <c r="CU570" s="72">
        <v>0</v>
      </c>
      <c r="CV570" s="72">
        <v>0</v>
      </c>
      <c r="CW570" s="72">
        <v>0</v>
      </c>
      <c r="CX570" s="72">
        <v>0</v>
      </c>
      <c r="CY570" s="72">
        <v>0</v>
      </c>
      <c r="CZ570" s="72">
        <v>0</v>
      </c>
      <c r="DA570" s="72">
        <v>0</v>
      </c>
      <c r="DB570" s="72">
        <v>0</v>
      </c>
      <c r="DC570" s="72">
        <v>0</v>
      </c>
      <c r="DD570" s="72">
        <v>0</v>
      </c>
      <c r="DE570" s="72">
        <v>0</v>
      </c>
      <c r="DF570" s="72">
        <v>0</v>
      </c>
      <c r="DG570" s="72">
        <v>0</v>
      </c>
      <c r="DH570" s="72">
        <v>0</v>
      </c>
      <c r="DI570" s="72">
        <v>0</v>
      </c>
      <c r="DJ570" s="72">
        <v>0</v>
      </c>
      <c r="DK570" s="72">
        <v>0</v>
      </c>
      <c r="DL570" s="72">
        <v>0</v>
      </c>
      <c r="DM570" s="72">
        <v>0</v>
      </c>
      <c r="DN570" s="72">
        <v>0</v>
      </c>
      <c r="DO570" s="72">
        <v>0</v>
      </c>
      <c r="DP570" s="72">
        <v>0</v>
      </c>
      <c r="DQ570" s="72">
        <v>0</v>
      </c>
      <c r="DR570" s="72">
        <v>0</v>
      </c>
      <c r="DS570" s="72">
        <v>0</v>
      </c>
      <c r="DT570" s="72">
        <v>0</v>
      </c>
      <c r="DU570" s="72">
        <v>0</v>
      </c>
      <c r="DV570" s="72">
        <v>0</v>
      </c>
      <c r="DW570" s="72">
        <v>0</v>
      </c>
      <c r="DX570" s="72">
        <v>0</v>
      </c>
      <c r="DY570" s="72">
        <v>0</v>
      </c>
      <c r="DZ570" s="72">
        <v>0</v>
      </c>
      <c r="EA570" s="72">
        <v>0</v>
      </c>
      <c r="EB570" s="72">
        <v>0</v>
      </c>
      <c r="EC570" s="72">
        <v>0</v>
      </c>
      <c r="ED570" s="72">
        <v>0</v>
      </c>
      <c r="EE570" s="72">
        <v>0</v>
      </c>
      <c r="EF570" s="72">
        <v>0</v>
      </c>
      <c r="EG570" s="72">
        <v>0</v>
      </c>
      <c r="EH570" s="72">
        <v>0</v>
      </c>
      <c r="EI570" s="72">
        <v>0</v>
      </c>
      <c r="EJ570" s="72">
        <v>0</v>
      </c>
      <c r="EK570" s="72">
        <v>0</v>
      </c>
      <c r="EL570" s="72">
        <v>0</v>
      </c>
    </row>
    <row r="571" spans="1:142" x14ac:dyDescent="0.35">
      <c r="A571" s="59">
        <f>Данные!A571</f>
        <v>4848</v>
      </c>
      <c r="B571" s="59">
        <f>Данные!B571</f>
        <v>2019</v>
      </c>
      <c r="C571" s="59" t="str">
        <f>Данные!C571</f>
        <v>физической электроники</v>
      </c>
      <c r="D571" s="59" t="str">
        <f>Данные!D571</f>
        <v>Гасумянц Виталий Эдуардович</v>
      </c>
      <c r="E571" s="59" t="str">
        <f>Данные!E571</f>
        <v>доктор физ.-мат. наук</v>
      </c>
      <c r="F571" s="59" t="str">
        <f>Данные!F571</f>
        <v>профессор</v>
      </c>
      <c r="G571" s="59">
        <f>Данные!G571</f>
        <v>0.5</v>
      </c>
      <c r="H571" s="59" t="str">
        <f>Данные!H571</f>
        <v>4 курс 2016 год/пост</v>
      </c>
      <c r="I571" s="59" t="str">
        <f>Данные!I571</f>
        <v>Модуль "Физические основы ЭВМ"</v>
      </c>
      <c r="J571" s="59">
        <f>Данные!J571</f>
        <v>0</v>
      </c>
      <c r="K571" s="59">
        <f>Данные!K571</f>
        <v>0</v>
      </c>
      <c r="L571" s="59">
        <f>Данные!L571</f>
        <v>0</v>
      </c>
      <c r="M571" s="60">
        <f t="shared" si="72"/>
        <v>0</v>
      </c>
      <c r="N571" s="60">
        <f t="shared" ca="1" si="73"/>
        <v>10.91</v>
      </c>
      <c r="O571" s="60">
        <f t="shared" ca="1" si="74"/>
        <v>6.75</v>
      </c>
      <c r="P571" s="60">
        <f t="shared" ca="1" si="75"/>
        <v>6.75</v>
      </c>
      <c r="Q571" s="54">
        <f>Данные!Q571</f>
        <v>0</v>
      </c>
      <c r="R571" s="54">
        <f>Данные!R571</f>
        <v>0</v>
      </c>
      <c r="S571" s="54">
        <f>Данные!S571</f>
        <v>0</v>
      </c>
      <c r="T571" s="54">
        <f>Данные!T571</f>
        <v>0</v>
      </c>
      <c r="U571" s="54">
        <f>Данные!U571</f>
        <v>0</v>
      </c>
      <c r="V571" s="54">
        <f>Данные!V571</f>
        <v>0</v>
      </c>
      <c r="W571" s="54">
        <f ca="1">Данные!W571</f>
        <v>27</v>
      </c>
      <c r="X571" s="54" t="str">
        <f ca="1">Данные!X571</f>
        <v>1</v>
      </c>
      <c r="Y571" s="54" t="str">
        <f ca="1">Данные!Y571</f>
        <v>2</v>
      </c>
      <c r="Z571" s="54">
        <f>Данные!Z571</f>
        <v>0</v>
      </c>
      <c r="AA571" s="54">
        <f>Данные!AA571</f>
        <v>0</v>
      </c>
      <c r="AB571" s="101">
        <f t="shared" si="76"/>
        <v>750</v>
      </c>
      <c r="AC571" s="101" t="str">
        <f t="shared" si="77"/>
        <v>ИВТ (бак)</v>
      </c>
      <c r="AD571" s="101" t="str">
        <f t="shared" si="78"/>
        <v/>
      </c>
      <c r="AE571" s="102">
        <f t="shared" ca="1" si="79"/>
        <v>24.41</v>
      </c>
      <c r="AF571" s="103">
        <f t="shared" ca="1" si="80"/>
        <v>3.2546666666666668E-2</v>
      </c>
      <c r="AG571" s="101"/>
      <c r="AH571" s="10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Q571" s="72">
        <v>0</v>
      </c>
      <c r="BR571" s="72">
        <v>0</v>
      </c>
      <c r="BS571" s="72">
        <v>0</v>
      </c>
      <c r="BT571" s="72">
        <v>0</v>
      </c>
      <c r="BU571" s="72">
        <v>0</v>
      </c>
      <c r="BV571" s="72">
        <v>0</v>
      </c>
      <c r="BW571" s="72">
        <v>0</v>
      </c>
      <c r="BX571" s="72">
        <v>0</v>
      </c>
      <c r="BY571" s="72">
        <v>0</v>
      </c>
      <c r="BZ571" s="72">
        <v>0</v>
      </c>
      <c r="CA571" s="72">
        <v>0</v>
      </c>
      <c r="CB571" s="72">
        <v>0</v>
      </c>
      <c r="CC571" s="72">
        <v>0</v>
      </c>
      <c r="CD571" s="72">
        <v>0</v>
      </c>
      <c r="CE571" s="72">
        <v>0</v>
      </c>
      <c r="CF571" s="72">
        <v>0</v>
      </c>
      <c r="CG571" s="72">
        <v>0</v>
      </c>
      <c r="CH571" s="72">
        <v>0</v>
      </c>
      <c r="CI571" s="72">
        <v>0</v>
      </c>
      <c r="CJ571" s="72">
        <v>0</v>
      </c>
      <c r="CK571" s="72">
        <v>0</v>
      </c>
      <c r="CL571" s="72">
        <v>0</v>
      </c>
      <c r="CM571" s="72">
        <v>0</v>
      </c>
      <c r="CN571" s="72">
        <v>0</v>
      </c>
      <c r="CO571" s="72">
        <v>0</v>
      </c>
      <c r="CP571" s="72">
        <v>0</v>
      </c>
      <c r="CQ571" s="72">
        <v>0</v>
      </c>
      <c r="CR571" s="72">
        <v>0</v>
      </c>
      <c r="CS571" s="72">
        <v>0</v>
      </c>
      <c r="CT571" s="72">
        <v>0</v>
      </c>
      <c r="CU571" s="72">
        <v>0</v>
      </c>
      <c r="CV571" s="72">
        <v>0</v>
      </c>
      <c r="CW571" s="72">
        <v>0</v>
      </c>
      <c r="CX571" s="72">
        <v>0</v>
      </c>
      <c r="CY571" s="72">
        <v>0</v>
      </c>
      <c r="CZ571" s="72">
        <v>0</v>
      </c>
      <c r="DA571" s="72">
        <v>0</v>
      </c>
      <c r="DB571" s="72">
        <v>0</v>
      </c>
      <c r="DC571" s="72">
        <v>0</v>
      </c>
      <c r="DD571" s="72">
        <v>0</v>
      </c>
      <c r="DE571" s="72">
        <v>0</v>
      </c>
      <c r="DF571" s="72">
        <v>0</v>
      </c>
      <c r="DG571" s="72">
        <v>0</v>
      </c>
      <c r="DH571" s="72">
        <v>0</v>
      </c>
      <c r="DI571" s="72">
        <v>0</v>
      </c>
      <c r="DJ571" s="72">
        <v>0</v>
      </c>
      <c r="DK571" s="72">
        <v>0</v>
      </c>
      <c r="DL571" s="72">
        <v>0</v>
      </c>
      <c r="DM571" s="72">
        <v>0</v>
      </c>
      <c r="DN571" s="72">
        <v>0</v>
      </c>
      <c r="DO571" s="72">
        <v>0</v>
      </c>
      <c r="DP571" s="72">
        <v>0</v>
      </c>
      <c r="DQ571" s="72">
        <v>0</v>
      </c>
      <c r="DR571" s="72">
        <v>0</v>
      </c>
      <c r="DS571" s="72">
        <v>0</v>
      </c>
      <c r="DT571" s="72">
        <v>0</v>
      </c>
      <c r="DU571" s="72">
        <v>0</v>
      </c>
      <c r="DV571" s="72">
        <v>0</v>
      </c>
      <c r="DW571" s="72">
        <v>0</v>
      </c>
      <c r="DX571" s="72">
        <v>0</v>
      </c>
      <c r="DY571" s="72">
        <v>0</v>
      </c>
      <c r="DZ571" s="72">
        <v>0</v>
      </c>
      <c r="EA571" s="72">
        <v>0</v>
      </c>
      <c r="EB571" s="72">
        <v>0</v>
      </c>
      <c r="EC571" s="72">
        <v>0</v>
      </c>
      <c r="ED571" s="72">
        <v>0</v>
      </c>
      <c r="EE571" s="72">
        <v>0</v>
      </c>
      <c r="EF571" s="72">
        <v>0</v>
      </c>
      <c r="EG571" s="72">
        <v>0</v>
      </c>
      <c r="EH571" s="72">
        <v>0</v>
      </c>
      <c r="EI571" s="72">
        <v>0</v>
      </c>
      <c r="EJ571" s="72">
        <v>0</v>
      </c>
      <c r="EK571" s="72">
        <v>0</v>
      </c>
      <c r="EL571" s="72">
        <v>0</v>
      </c>
    </row>
    <row r="572" spans="1:142" x14ac:dyDescent="0.35">
      <c r="A572" s="59">
        <f>Данные!A572</f>
        <v>4848</v>
      </c>
      <c r="B572" s="59">
        <f>Данные!B572</f>
        <v>2019</v>
      </c>
      <c r="C572" s="59" t="str">
        <f>Данные!C572</f>
        <v>физической электроники</v>
      </c>
      <c r="D572" s="59" t="str">
        <f>Данные!D572</f>
        <v>Гасумянц Виталий Эдуардович</v>
      </c>
      <c r="E572" s="59" t="str">
        <f>Данные!E572</f>
        <v>доктор физ.-мат. наук</v>
      </c>
      <c r="F572" s="59" t="str">
        <f>Данные!F572</f>
        <v>профессор</v>
      </c>
      <c r="G572" s="59">
        <f>Данные!G572</f>
        <v>0.5</v>
      </c>
      <c r="H572" s="59" t="str">
        <f>Данные!H572</f>
        <v>4 курс 2016 год/пост</v>
      </c>
      <c r="I572" s="59" t="str">
        <f>Данные!I572</f>
        <v>Модуль "Физические основы ЭВМ". Физические основы микроэлектроники</v>
      </c>
      <c r="J572" s="59">
        <f>Данные!J572</f>
        <v>18</v>
      </c>
      <c r="K572" s="59">
        <f>Данные!K572</f>
        <v>18</v>
      </c>
      <c r="L572" s="59">
        <f>Данные!L572</f>
        <v>0</v>
      </c>
      <c r="M572" s="60">
        <f t="shared" si="72"/>
        <v>3.6</v>
      </c>
      <c r="N572" s="60">
        <f t="shared" ca="1" si="73"/>
        <v>10.91</v>
      </c>
      <c r="O572" s="60">
        <f t="shared" ca="1" si="74"/>
        <v>6.75</v>
      </c>
      <c r="P572" s="60">
        <f t="shared" ca="1" si="75"/>
        <v>6.75</v>
      </c>
      <c r="Q572" s="54">
        <f>Данные!Q572</f>
        <v>0</v>
      </c>
      <c r="R572" s="54">
        <f>Данные!R572</f>
        <v>0</v>
      </c>
      <c r="S572" s="54">
        <f>Данные!S572</f>
        <v>0</v>
      </c>
      <c r="T572" s="54">
        <f>Данные!T572</f>
        <v>0</v>
      </c>
      <c r="U572" s="54">
        <f>Данные!U572</f>
        <v>0</v>
      </c>
      <c r="V572" s="54">
        <f>Данные!V572</f>
        <v>0</v>
      </c>
      <c r="W572" s="54">
        <f ca="1">Данные!W572</f>
        <v>27</v>
      </c>
      <c r="X572" s="54" t="str">
        <f ca="1">Данные!X572</f>
        <v>1</v>
      </c>
      <c r="Y572" s="54" t="str">
        <f ca="1">Данные!Y572</f>
        <v>2</v>
      </c>
      <c r="Z572" s="54">
        <f>Данные!Z572</f>
        <v>0</v>
      </c>
      <c r="AA572" s="54">
        <f>Данные!AA572</f>
        <v>0</v>
      </c>
      <c r="AB572" s="101">
        <f t="shared" si="76"/>
        <v>750</v>
      </c>
      <c r="AC572" s="101" t="str">
        <f t="shared" si="77"/>
        <v>ИВТ (бак)</v>
      </c>
      <c r="AD572" s="101" t="str">
        <f t="shared" si="78"/>
        <v/>
      </c>
      <c r="AE572" s="102">
        <f t="shared" ca="1" si="79"/>
        <v>64.010000000000005</v>
      </c>
      <c r="AF572" s="103">
        <f t="shared" ca="1" si="80"/>
        <v>8.5346666666666668E-2</v>
      </c>
      <c r="AG572" s="101"/>
      <c r="AH572" s="101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Q572" s="72">
        <v>0</v>
      </c>
      <c r="BR572" s="72">
        <v>0</v>
      </c>
      <c r="BS572" s="72">
        <v>0</v>
      </c>
      <c r="BT572" s="72">
        <v>0</v>
      </c>
      <c r="BU572" s="72">
        <v>0</v>
      </c>
      <c r="BV572" s="72">
        <v>0</v>
      </c>
      <c r="BW572" s="72">
        <v>0</v>
      </c>
      <c r="BX572" s="72">
        <v>0</v>
      </c>
      <c r="BY572" s="72">
        <v>0</v>
      </c>
      <c r="BZ572" s="72">
        <v>0</v>
      </c>
      <c r="CA572" s="72">
        <v>0</v>
      </c>
      <c r="CB572" s="72">
        <v>0</v>
      </c>
      <c r="CC572" s="72">
        <v>0</v>
      </c>
      <c r="CD572" s="72">
        <v>0</v>
      </c>
      <c r="CE572" s="72">
        <v>0</v>
      </c>
      <c r="CF572" s="72">
        <v>0</v>
      </c>
      <c r="CG572" s="72">
        <v>0</v>
      </c>
      <c r="CH572" s="72">
        <v>0</v>
      </c>
      <c r="CI572" s="72">
        <v>0</v>
      </c>
      <c r="CJ572" s="72">
        <v>0</v>
      </c>
      <c r="CK572" s="72">
        <v>0</v>
      </c>
      <c r="CL572" s="72">
        <v>0</v>
      </c>
      <c r="CM572" s="72">
        <v>0</v>
      </c>
      <c r="CN572" s="72">
        <v>0</v>
      </c>
      <c r="CO572" s="72">
        <v>0</v>
      </c>
      <c r="CP572" s="72">
        <v>0</v>
      </c>
      <c r="CQ572" s="72">
        <v>0</v>
      </c>
      <c r="CR572" s="72">
        <v>0</v>
      </c>
      <c r="CS572" s="72">
        <v>0</v>
      </c>
      <c r="CT572" s="72">
        <v>0</v>
      </c>
      <c r="CU572" s="72">
        <v>0</v>
      </c>
      <c r="CV572" s="72">
        <v>0</v>
      </c>
      <c r="CW572" s="72">
        <v>0</v>
      </c>
      <c r="CX572" s="72">
        <v>0</v>
      </c>
      <c r="CY572" s="72">
        <v>0</v>
      </c>
      <c r="CZ572" s="72">
        <v>0</v>
      </c>
      <c r="DA572" s="72">
        <v>0</v>
      </c>
      <c r="DB572" s="72">
        <v>0</v>
      </c>
      <c r="DC572" s="72">
        <v>0</v>
      </c>
      <c r="DD572" s="72">
        <v>0</v>
      </c>
      <c r="DE572" s="72">
        <v>0</v>
      </c>
      <c r="DF572" s="72">
        <v>0</v>
      </c>
      <c r="DG572" s="72">
        <v>0</v>
      </c>
      <c r="DH572" s="72">
        <v>0</v>
      </c>
      <c r="DI572" s="72">
        <v>0</v>
      </c>
      <c r="DJ572" s="72">
        <v>0</v>
      </c>
      <c r="DK572" s="72">
        <v>0</v>
      </c>
      <c r="DL572" s="72">
        <v>0</v>
      </c>
      <c r="DM572" s="72">
        <v>0</v>
      </c>
      <c r="DN572" s="72">
        <v>0</v>
      </c>
      <c r="DO572" s="72">
        <v>0</v>
      </c>
      <c r="DP572" s="72">
        <v>0</v>
      </c>
      <c r="DQ572" s="72">
        <v>0</v>
      </c>
      <c r="DR572" s="72">
        <v>0</v>
      </c>
      <c r="DS572" s="72">
        <v>0</v>
      </c>
      <c r="DT572" s="72">
        <v>0</v>
      </c>
      <c r="DU572" s="72">
        <v>0</v>
      </c>
      <c r="DV572" s="72">
        <v>0</v>
      </c>
      <c r="DW572" s="72">
        <v>0</v>
      </c>
      <c r="DX572" s="72">
        <v>0</v>
      </c>
      <c r="DY572" s="72">
        <v>0</v>
      </c>
      <c r="DZ572" s="72">
        <v>0</v>
      </c>
      <c r="EA572" s="72">
        <v>0</v>
      </c>
      <c r="EB572" s="72">
        <v>0</v>
      </c>
      <c r="EC572" s="72">
        <v>0</v>
      </c>
      <c r="ED572" s="72">
        <v>0</v>
      </c>
      <c r="EE572" s="72">
        <v>0</v>
      </c>
      <c r="EF572" s="72">
        <v>0</v>
      </c>
      <c r="EG572" s="72">
        <v>0</v>
      </c>
      <c r="EH572" s="72">
        <v>0</v>
      </c>
      <c r="EI572" s="72">
        <v>0</v>
      </c>
      <c r="EJ572" s="72">
        <v>0</v>
      </c>
      <c r="EK572" s="72">
        <v>0</v>
      </c>
      <c r="EL572" s="72">
        <v>0</v>
      </c>
    </row>
    <row r="573" spans="1:142" x14ac:dyDescent="0.35">
      <c r="A573" s="59">
        <f>Данные!A573</f>
        <v>4848</v>
      </c>
      <c r="B573" s="59">
        <f>Данные!B573</f>
        <v>2019</v>
      </c>
      <c r="C573" s="59" t="str">
        <f>Данные!C573</f>
        <v>физической электроники</v>
      </c>
      <c r="D573" s="59" t="str">
        <f>Данные!D573</f>
        <v>Хинич Иосиф Исаакович</v>
      </c>
      <c r="E573" s="59" t="str">
        <f>Данные!E573</f>
        <v>доктор педагогических наук</v>
      </c>
      <c r="F573" s="59" t="str">
        <f>Данные!F573</f>
        <v>профессор</v>
      </c>
      <c r="G573" s="59">
        <f>Данные!G573</f>
        <v>0.75</v>
      </c>
      <c r="H573" s="59" t="str">
        <f>Данные!H573</f>
        <v>4 курс 2016 год/пост</v>
      </c>
      <c r="I573" s="59" t="str">
        <f>Данные!I573</f>
        <v>Модуль "Физические основы ЭВМ"</v>
      </c>
      <c r="J573" s="59">
        <f>Данные!J573</f>
        <v>0</v>
      </c>
      <c r="K573" s="59">
        <f>Данные!K573</f>
        <v>0</v>
      </c>
      <c r="L573" s="59">
        <f>Данные!L573</f>
        <v>0</v>
      </c>
      <c r="M573" s="60">
        <f t="shared" si="72"/>
        <v>0</v>
      </c>
      <c r="N573" s="60">
        <f t="shared" ca="1" si="73"/>
        <v>10.91</v>
      </c>
      <c r="O573" s="60">
        <f t="shared" ca="1" si="74"/>
        <v>6.75</v>
      </c>
      <c r="P573" s="60">
        <f t="shared" ca="1" si="75"/>
        <v>6.75</v>
      </c>
      <c r="Q573" s="54">
        <f>Данные!Q573</f>
        <v>0</v>
      </c>
      <c r="R573" s="54">
        <f>Данные!R573</f>
        <v>0</v>
      </c>
      <c r="S573" s="54">
        <f>Данные!S573</f>
        <v>0</v>
      </c>
      <c r="T573" s="54">
        <f>Данные!T573</f>
        <v>0</v>
      </c>
      <c r="U573" s="54">
        <f>Данные!U573</f>
        <v>0</v>
      </c>
      <c r="V573" s="54">
        <f>Данные!V573</f>
        <v>0</v>
      </c>
      <c r="W573" s="54">
        <f ca="1">Данные!W573</f>
        <v>27</v>
      </c>
      <c r="X573" s="54" t="str">
        <f ca="1">Данные!X573</f>
        <v>1</v>
      </c>
      <c r="Y573" s="54" t="str">
        <f ca="1">Данные!Y573</f>
        <v>2</v>
      </c>
      <c r="Z573" s="54">
        <f>Данные!Z573</f>
        <v>0</v>
      </c>
      <c r="AA573" s="54" t="str">
        <f>Данные!AA573</f>
        <v>осн</v>
      </c>
      <c r="AB573" s="101">
        <f t="shared" si="76"/>
        <v>750</v>
      </c>
      <c r="AC573" s="101" t="str">
        <f t="shared" si="77"/>
        <v>ИВТ (бак)</v>
      </c>
      <c r="AD573" s="101" t="str">
        <f t="shared" si="78"/>
        <v/>
      </c>
      <c r="AE573" s="102">
        <f t="shared" ca="1" si="79"/>
        <v>24.41</v>
      </c>
      <c r="AF573" s="103">
        <f t="shared" ca="1" si="80"/>
        <v>3.2546666666666668E-2</v>
      </c>
      <c r="AG573" s="101"/>
      <c r="AH573" s="101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Q573" s="72">
        <v>0</v>
      </c>
      <c r="BR573" s="72">
        <v>0</v>
      </c>
      <c r="BS573" s="72">
        <v>0</v>
      </c>
      <c r="BT573" s="72">
        <v>0</v>
      </c>
      <c r="BU573" s="72">
        <v>0</v>
      </c>
      <c r="BV573" s="72">
        <v>0</v>
      </c>
      <c r="BW573" s="72">
        <v>0</v>
      </c>
      <c r="BX573" s="72">
        <v>0</v>
      </c>
      <c r="BY573" s="72">
        <v>0</v>
      </c>
      <c r="BZ573" s="72">
        <v>0</v>
      </c>
      <c r="CA573" s="72">
        <v>0</v>
      </c>
      <c r="CB573" s="72">
        <v>0</v>
      </c>
      <c r="CC573" s="72">
        <v>0</v>
      </c>
      <c r="CD573" s="72">
        <v>0</v>
      </c>
      <c r="CE573" s="72">
        <v>0</v>
      </c>
      <c r="CF573" s="72">
        <v>0</v>
      </c>
      <c r="CG573" s="72">
        <v>0</v>
      </c>
      <c r="CH573" s="72">
        <v>0</v>
      </c>
      <c r="CI573" s="72">
        <v>0</v>
      </c>
      <c r="CJ573" s="72">
        <v>0</v>
      </c>
      <c r="CK573" s="72">
        <v>0</v>
      </c>
      <c r="CL573" s="72">
        <v>0</v>
      </c>
      <c r="CM573" s="72">
        <v>0</v>
      </c>
      <c r="CN573" s="72">
        <v>0</v>
      </c>
      <c r="CO573" s="72">
        <v>0</v>
      </c>
      <c r="CP573" s="72">
        <v>0</v>
      </c>
      <c r="CQ573" s="72">
        <v>0</v>
      </c>
      <c r="CR573" s="72">
        <v>0</v>
      </c>
      <c r="CS573" s="72">
        <v>0</v>
      </c>
      <c r="CT573" s="72">
        <v>0</v>
      </c>
      <c r="CU573" s="72">
        <v>0</v>
      </c>
      <c r="CV573" s="72">
        <v>0</v>
      </c>
      <c r="CW573" s="72">
        <v>0</v>
      </c>
      <c r="CX573" s="72">
        <v>0</v>
      </c>
      <c r="CY573" s="72">
        <v>0</v>
      </c>
      <c r="CZ573" s="72">
        <v>0</v>
      </c>
      <c r="DA573" s="72">
        <v>0</v>
      </c>
      <c r="DB573" s="72">
        <v>0</v>
      </c>
      <c r="DC573" s="72">
        <v>0</v>
      </c>
      <c r="DD573" s="72">
        <v>0</v>
      </c>
      <c r="DE573" s="72">
        <v>0</v>
      </c>
      <c r="DF573" s="72">
        <v>0</v>
      </c>
      <c r="DG573" s="72">
        <v>0</v>
      </c>
      <c r="DH573" s="72">
        <v>0</v>
      </c>
      <c r="DI573" s="72">
        <v>0</v>
      </c>
      <c r="DJ573" s="72">
        <v>0</v>
      </c>
      <c r="DK573" s="72">
        <v>0</v>
      </c>
      <c r="DL573" s="72">
        <v>0</v>
      </c>
      <c r="DM573" s="72">
        <v>0</v>
      </c>
      <c r="DN573" s="72">
        <v>0</v>
      </c>
      <c r="DO573" s="72">
        <v>0</v>
      </c>
      <c r="DP573" s="72">
        <v>0</v>
      </c>
      <c r="DQ573" s="72">
        <v>0</v>
      </c>
      <c r="DR573" s="72">
        <v>0</v>
      </c>
      <c r="DS573" s="72">
        <v>0</v>
      </c>
      <c r="DT573" s="72">
        <v>0</v>
      </c>
      <c r="DU573" s="72">
        <v>0</v>
      </c>
      <c r="DV573" s="72">
        <v>0</v>
      </c>
      <c r="DW573" s="72">
        <v>0</v>
      </c>
      <c r="DX573" s="72">
        <v>0</v>
      </c>
      <c r="DY573" s="72">
        <v>0</v>
      </c>
      <c r="DZ573" s="72">
        <v>0</v>
      </c>
      <c r="EA573" s="72">
        <v>0</v>
      </c>
      <c r="EB573" s="72">
        <v>0</v>
      </c>
      <c r="EC573" s="72">
        <v>0</v>
      </c>
      <c r="ED573" s="72">
        <v>0</v>
      </c>
      <c r="EE573" s="72">
        <v>0</v>
      </c>
      <c r="EF573" s="72">
        <v>0</v>
      </c>
      <c r="EG573" s="72">
        <v>0</v>
      </c>
      <c r="EH573" s="72">
        <v>0</v>
      </c>
      <c r="EI573" s="72">
        <v>0</v>
      </c>
      <c r="EJ573" s="72">
        <v>0</v>
      </c>
      <c r="EK573" s="72">
        <v>0</v>
      </c>
      <c r="EL573" s="72">
        <v>0</v>
      </c>
    </row>
    <row r="574" spans="1:142" x14ac:dyDescent="0.35">
      <c r="A574" s="59">
        <f>Данные!A574</f>
        <v>4848</v>
      </c>
      <c r="B574" s="59">
        <f>Данные!B574</f>
        <v>2019</v>
      </c>
      <c r="C574" s="59" t="str">
        <f>Данные!C574</f>
        <v>физической электроники</v>
      </c>
      <c r="D574" s="59" t="str">
        <f>Данные!D574</f>
        <v>Хинич Иосиф Исаакович</v>
      </c>
      <c r="E574" s="59" t="str">
        <f>Данные!E574</f>
        <v>доктор педагогических наук</v>
      </c>
      <c r="F574" s="59" t="str">
        <f>Данные!F574</f>
        <v>профессор</v>
      </c>
      <c r="G574" s="59">
        <f>Данные!G574</f>
        <v>0.75</v>
      </c>
      <c r="H574" s="59" t="str">
        <f>Данные!H574</f>
        <v>4 курс 2016 год/пост</v>
      </c>
      <c r="I574" s="59" t="str">
        <f>Данные!I574</f>
        <v>Модуль "Физические основы ЭВМ". Введение в нанотехнологии</v>
      </c>
      <c r="J574" s="59">
        <f>Данные!J574</f>
        <v>9</v>
      </c>
      <c r="K574" s="59">
        <f>Данные!K574</f>
        <v>0</v>
      </c>
      <c r="L574" s="59">
        <f>Данные!L574</f>
        <v>54</v>
      </c>
      <c r="M574" s="60">
        <f t="shared" si="72"/>
        <v>6.3</v>
      </c>
      <c r="N574" s="60">
        <f t="shared" ca="1" si="73"/>
        <v>10.91</v>
      </c>
      <c r="O574" s="60">
        <f t="shared" ca="1" si="74"/>
        <v>6.75</v>
      </c>
      <c r="P574" s="60">
        <f t="shared" ca="1" si="75"/>
        <v>6.75</v>
      </c>
      <c r="Q574" s="54">
        <f>Данные!Q574</f>
        <v>0</v>
      </c>
      <c r="R574" s="54">
        <f>Данные!R574</f>
        <v>0</v>
      </c>
      <c r="S574" s="54">
        <f>Данные!S574</f>
        <v>0</v>
      </c>
      <c r="T574" s="54">
        <f>Данные!T574</f>
        <v>0</v>
      </c>
      <c r="U574" s="54">
        <f>Данные!U574</f>
        <v>0</v>
      </c>
      <c r="V574" s="54">
        <f>Данные!V574</f>
        <v>0</v>
      </c>
      <c r="W574" s="54">
        <f ca="1">Данные!W574</f>
        <v>27</v>
      </c>
      <c r="X574" s="54" t="str">
        <f ca="1">Данные!X574</f>
        <v>1</v>
      </c>
      <c r="Y574" s="54" t="str">
        <f ca="1">Данные!Y574</f>
        <v>2</v>
      </c>
      <c r="Z574" s="54">
        <f>Данные!Z574</f>
        <v>0</v>
      </c>
      <c r="AA574" s="54" t="str">
        <f>Данные!AA574</f>
        <v>осн</v>
      </c>
      <c r="AB574" s="101">
        <f t="shared" si="76"/>
        <v>750</v>
      </c>
      <c r="AC574" s="101" t="str">
        <f t="shared" si="77"/>
        <v>ИВТ (бак)</v>
      </c>
      <c r="AD574" s="101" t="str">
        <f t="shared" si="78"/>
        <v/>
      </c>
      <c r="AE574" s="102">
        <f t="shared" ca="1" si="79"/>
        <v>93.71</v>
      </c>
      <c r="AF574" s="103">
        <f t="shared" ca="1" si="80"/>
        <v>0.12494666666666666</v>
      </c>
      <c r="AG574" s="101"/>
      <c r="AH574" s="101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Q574" s="72">
        <v>0</v>
      </c>
      <c r="BR574" s="72">
        <v>0</v>
      </c>
      <c r="BS574" s="72">
        <v>0</v>
      </c>
      <c r="BT574" s="72">
        <v>0</v>
      </c>
      <c r="BU574" s="72">
        <v>0</v>
      </c>
      <c r="BV574" s="72">
        <v>0</v>
      </c>
      <c r="BW574" s="72">
        <v>0</v>
      </c>
      <c r="BX574" s="72">
        <v>0</v>
      </c>
      <c r="BY574" s="72">
        <v>0</v>
      </c>
      <c r="BZ574" s="72">
        <v>0</v>
      </c>
      <c r="CA574" s="72">
        <v>0</v>
      </c>
      <c r="CB574" s="72">
        <v>0</v>
      </c>
      <c r="CC574" s="72">
        <v>0</v>
      </c>
      <c r="CD574" s="72">
        <v>0</v>
      </c>
      <c r="CE574" s="72">
        <v>0</v>
      </c>
      <c r="CF574" s="72">
        <v>0</v>
      </c>
      <c r="CG574" s="72">
        <v>0</v>
      </c>
      <c r="CH574" s="72">
        <v>0</v>
      </c>
      <c r="CI574" s="72">
        <v>0</v>
      </c>
      <c r="CJ574" s="72">
        <v>0</v>
      </c>
      <c r="CK574" s="72">
        <v>0</v>
      </c>
      <c r="CL574" s="72">
        <v>0</v>
      </c>
      <c r="CM574" s="72">
        <v>0</v>
      </c>
      <c r="CN574" s="72">
        <v>0</v>
      </c>
      <c r="CO574" s="72">
        <v>0</v>
      </c>
      <c r="CP574" s="72">
        <v>0</v>
      </c>
      <c r="CQ574" s="72">
        <v>0</v>
      </c>
      <c r="CR574" s="72">
        <v>0</v>
      </c>
      <c r="CS574" s="72">
        <v>0</v>
      </c>
      <c r="CT574" s="72">
        <v>0</v>
      </c>
      <c r="CU574" s="72">
        <v>0</v>
      </c>
      <c r="CV574" s="72">
        <v>0</v>
      </c>
      <c r="CW574" s="72">
        <v>0</v>
      </c>
      <c r="CX574" s="72">
        <v>0</v>
      </c>
      <c r="CY574" s="72">
        <v>0</v>
      </c>
      <c r="CZ574" s="72">
        <v>0</v>
      </c>
      <c r="DA574" s="72">
        <v>0</v>
      </c>
      <c r="DB574" s="72">
        <v>0</v>
      </c>
      <c r="DC574" s="72">
        <v>0</v>
      </c>
      <c r="DD574" s="72">
        <v>0</v>
      </c>
      <c r="DE574" s="72">
        <v>0</v>
      </c>
      <c r="DF574" s="72">
        <v>0</v>
      </c>
      <c r="DG574" s="72">
        <v>0</v>
      </c>
      <c r="DH574" s="72">
        <v>0</v>
      </c>
      <c r="DI574" s="72">
        <v>0</v>
      </c>
      <c r="DJ574" s="72">
        <v>0</v>
      </c>
      <c r="DK574" s="72">
        <v>0</v>
      </c>
      <c r="DL574" s="72">
        <v>0</v>
      </c>
      <c r="DM574" s="72">
        <v>0</v>
      </c>
      <c r="DN574" s="72">
        <v>0</v>
      </c>
      <c r="DO574" s="72">
        <v>0</v>
      </c>
      <c r="DP574" s="72">
        <v>0</v>
      </c>
      <c r="DQ574" s="72">
        <v>0</v>
      </c>
      <c r="DR574" s="72">
        <v>0</v>
      </c>
      <c r="DS574" s="72">
        <v>0</v>
      </c>
      <c r="DT574" s="72">
        <v>0</v>
      </c>
      <c r="DU574" s="72">
        <v>0</v>
      </c>
      <c r="DV574" s="72">
        <v>0</v>
      </c>
      <c r="DW574" s="72">
        <v>0</v>
      </c>
      <c r="DX574" s="72">
        <v>0</v>
      </c>
      <c r="DY574" s="72">
        <v>0</v>
      </c>
      <c r="DZ574" s="72">
        <v>0</v>
      </c>
      <c r="EA574" s="72">
        <v>0</v>
      </c>
      <c r="EB574" s="72">
        <v>0</v>
      </c>
      <c r="EC574" s="72">
        <v>0</v>
      </c>
      <c r="ED574" s="72">
        <v>0</v>
      </c>
      <c r="EE574" s="72">
        <v>0</v>
      </c>
      <c r="EF574" s="72">
        <v>0</v>
      </c>
      <c r="EG574" s="72">
        <v>0</v>
      </c>
      <c r="EH574" s="72">
        <v>0</v>
      </c>
      <c r="EI574" s="72">
        <v>0</v>
      </c>
      <c r="EJ574" s="72">
        <v>0</v>
      </c>
      <c r="EK574" s="72">
        <v>0</v>
      </c>
      <c r="EL574" s="72">
        <v>0</v>
      </c>
    </row>
    <row r="575" spans="1:142" x14ac:dyDescent="0.35">
      <c r="A575" s="59">
        <f>Данные!A575</f>
        <v>5791</v>
      </c>
      <c r="B575" s="59">
        <f>Данные!B575</f>
        <v>2019</v>
      </c>
      <c r="C575" s="59" t="str">
        <f>Данные!C575</f>
        <v>компьютерной инженерии и программотехники</v>
      </c>
      <c r="D575" s="59" t="str">
        <f>Данные!D575</f>
        <v>Матюшичев Илья Юрьевич</v>
      </c>
      <c r="E575" s="59" t="str">
        <f>Данные!E575</f>
        <v>кандидат технических наук</v>
      </c>
      <c r="F575" s="59" t="str">
        <f>Данные!F575</f>
        <v>доцент</v>
      </c>
      <c r="G575" s="59">
        <f>Данные!G575</f>
        <v>1</v>
      </c>
      <c r="H575" s="59" t="str">
        <f>Данные!H575</f>
        <v>3 курс 2017 год/пост</v>
      </c>
      <c r="I575" s="59" t="str">
        <f>Данные!I575</f>
        <v>Модуль "Организация ЭВМ". Защита информации</v>
      </c>
      <c r="J575" s="59">
        <f>Данные!J575</f>
        <v>18</v>
      </c>
      <c r="K575" s="59">
        <f>Данные!K575</f>
        <v>0</v>
      </c>
      <c r="L575" s="59">
        <f>Данные!L575</f>
        <v>36</v>
      </c>
      <c r="M575" s="60">
        <f t="shared" si="72"/>
        <v>5.4</v>
      </c>
      <c r="N575" s="60">
        <f t="shared" ca="1" si="73"/>
        <v>11.57</v>
      </c>
      <c r="O575" s="60">
        <f t="shared" ca="1" si="74"/>
        <v>7.25</v>
      </c>
      <c r="P575" s="60">
        <f t="shared" ca="1" si="75"/>
        <v>7.25</v>
      </c>
      <c r="Q575" s="54">
        <f>Данные!Q575</f>
        <v>0</v>
      </c>
      <c r="R575" s="54">
        <f>Данные!R575</f>
        <v>0</v>
      </c>
      <c r="S575" s="54">
        <f>Данные!S575</f>
        <v>0</v>
      </c>
      <c r="T575" s="54">
        <f>Данные!T575</f>
        <v>0</v>
      </c>
      <c r="U575" s="54">
        <f>Данные!U575</f>
        <v>0</v>
      </c>
      <c r="V575" s="54">
        <f>Данные!V575</f>
        <v>0</v>
      </c>
      <c r="W575" s="54">
        <f ca="1">Данные!W575</f>
        <v>29</v>
      </c>
      <c r="X575" s="54" t="str">
        <f ca="1">Данные!X575</f>
        <v>1</v>
      </c>
      <c r="Y575" s="54" t="str">
        <f ca="1">Данные!Y575</f>
        <v>2</v>
      </c>
      <c r="Z575" s="54">
        <f>Данные!Z575</f>
        <v>0</v>
      </c>
      <c r="AA575" s="54" t="str">
        <f>Данные!AA575</f>
        <v>осн</v>
      </c>
      <c r="AB575" s="101">
        <f t="shared" si="76"/>
        <v>800</v>
      </c>
      <c r="AC575" s="101" t="str">
        <f t="shared" si="77"/>
        <v>ИВТ (бак)</v>
      </c>
      <c r="AD575" s="101" t="str">
        <f t="shared" si="78"/>
        <v/>
      </c>
      <c r="AE575" s="102">
        <f t="shared" ca="1" si="79"/>
        <v>85.47</v>
      </c>
      <c r="AF575" s="103">
        <f t="shared" ca="1" si="80"/>
        <v>0.1068375</v>
      </c>
      <c r="AG575" s="101"/>
      <c r="AH575" s="101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Q575" s="72">
        <v>0</v>
      </c>
      <c r="BR575" s="72">
        <v>0</v>
      </c>
      <c r="BS575" s="72">
        <v>0</v>
      </c>
      <c r="BT575" s="72">
        <v>0</v>
      </c>
      <c r="BU575" s="72">
        <v>0</v>
      </c>
      <c r="BV575" s="72">
        <v>0</v>
      </c>
      <c r="BW575" s="72">
        <v>0</v>
      </c>
      <c r="BX575" s="72">
        <v>0</v>
      </c>
      <c r="BY575" s="72">
        <v>0</v>
      </c>
      <c r="BZ575" s="72">
        <v>0</v>
      </c>
      <c r="CA575" s="72">
        <v>0</v>
      </c>
      <c r="CB575" s="72">
        <v>0</v>
      </c>
      <c r="CC575" s="72">
        <v>0</v>
      </c>
      <c r="CD575" s="72">
        <v>0</v>
      </c>
      <c r="CE575" s="72">
        <v>0</v>
      </c>
      <c r="CF575" s="72">
        <v>0</v>
      </c>
      <c r="CG575" s="72">
        <v>0</v>
      </c>
      <c r="CH575" s="72">
        <v>0</v>
      </c>
      <c r="CI575" s="72">
        <v>0</v>
      </c>
      <c r="CJ575" s="72">
        <v>0</v>
      </c>
      <c r="CK575" s="72">
        <v>0</v>
      </c>
      <c r="CL575" s="72">
        <v>0</v>
      </c>
      <c r="CM575" s="72">
        <v>0</v>
      </c>
      <c r="CN575" s="72">
        <v>0</v>
      </c>
      <c r="CO575" s="72">
        <v>0</v>
      </c>
      <c r="CP575" s="72">
        <v>0</v>
      </c>
      <c r="CQ575" s="72">
        <v>0</v>
      </c>
      <c r="CR575" s="72">
        <v>0</v>
      </c>
      <c r="CS575" s="72">
        <v>0</v>
      </c>
      <c r="CT575" s="72">
        <v>0</v>
      </c>
      <c r="CU575" s="72">
        <v>0</v>
      </c>
      <c r="CV575" s="72">
        <v>0</v>
      </c>
      <c r="CW575" s="72">
        <v>0</v>
      </c>
      <c r="CX575" s="72">
        <v>0</v>
      </c>
      <c r="CY575" s="72">
        <v>0</v>
      </c>
      <c r="CZ575" s="72">
        <v>0</v>
      </c>
      <c r="DA575" s="72">
        <v>0</v>
      </c>
      <c r="DB575" s="72">
        <v>0</v>
      </c>
      <c r="DC575" s="72">
        <v>0</v>
      </c>
      <c r="DD575" s="72">
        <v>0</v>
      </c>
      <c r="DE575" s="72">
        <v>0</v>
      </c>
      <c r="DF575" s="72">
        <v>0</v>
      </c>
      <c r="DG575" s="72">
        <v>0</v>
      </c>
      <c r="DH575" s="72">
        <v>0</v>
      </c>
      <c r="DI575" s="72">
        <v>0</v>
      </c>
      <c r="DJ575" s="72">
        <v>0</v>
      </c>
      <c r="DK575" s="72">
        <v>0</v>
      </c>
      <c r="DL575" s="72">
        <v>0</v>
      </c>
      <c r="DM575" s="72">
        <v>0</v>
      </c>
      <c r="DN575" s="72">
        <v>0</v>
      </c>
      <c r="DO575" s="72">
        <v>0</v>
      </c>
      <c r="DP575" s="72">
        <v>0</v>
      </c>
      <c r="DQ575" s="72">
        <v>0</v>
      </c>
      <c r="DR575" s="72">
        <v>0</v>
      </c>
      <c r="DS575" s="72">
        <v>0</v>
      </c>
      <c r="DT575" s="72">
        <v>0</v>
      </c>
      <c r="DU575" s="72">
        <v>0</v>
      </c>
      <c r="DV575" s="72">
        <v>0</v>
      </c>
      <c r="DW575" s="72">
        <v>0</v>
      </c>
      <c r="DX575" s="72">
        <v>0</v>
      </c>
      <c r="DY575" s="72">
        <v>0</v>
      </c>
      <c r="DZ575" s="72">
        <v>0</v>
      </c>
      <c r="EA575" s="72">
        <v>0</v>
      </c>
      <c r="EB575" s="72">
        <v>0</v>
      </c>
      <c r="EC575" s="72">
        <v>0</v>
      </c>
      <c r="ED575" s="72">
        <v>0</v>
      </c>
      <c r="EE575" s="72">
        <v>0</v>
      </c>
      <c r="EF575" s="72">
        <v>0</v>
      </c>
      <c r="EG575" s="72">
        <v>0</v>
      </c>
      <c r="EH575" s="72">
        <v>0</v>
      </c>
      <c r="EI575" s="72">
        <v>0</v>
      </c>
      <c r="EJ575" s="72">
        <v>0</v>
      </c>
      <c r="EK575" s="72">
        <v>0</v>
      </c>
      <c r="EL575" s="72">
        <v>0</v>
      </c>
    </row>
    <row r="576" spans="1:142" x14ac:dyDescent="0.35">
      <c r="A576" s="59">
        <f>Данные!A576</f>
        <v>5791</v>
      </c>
      <c r="B576" s="59">
        <f>Данные!B576</f>
        <v>2019</v>
      </c>
      <c r="C576" s="59" t="str">
        <f>Данные!C576</f>
        <v>современных европейских языков</v>
      </c>
      <c r="D576" s="59" t="str">
        <f>Данные!D576</f>
        <v>Кудрявцева Наталья Фаддеевна</v>
      </c>
      <c r="E576" s="59" t="str">
        <f>Данные!E576</f>
        <v>кандидат социологических наук</v>
      </c>
      <c r="F576" s="59" t="str">
        <f>Данные!F576</f>
        <v>доцент</v>
      </c>
      <c r="G576" s="59">
        <f>Данные!G576</f>
        <v>1</v>
      </c>
      <c r="H576" s="59" t="str">
        <f>Данные!H576</f>
        <v>3 курс 2017 год/пост</v>
      </c>
      <c r="I576" s="59" t="str">
        <f>Данные!I576</f>
        <v>Модуль "Основы профессионального общения на иностранном языке". Профессионально-ориентированная письменная коммуникация</v>
      </c>
      <c r="J576" s="59">
        <f>Данные!J576</f>
        <v>0</v>
      </c>
      <c r="K576" s="59">
        <f>Данные!K576</f>
        <v>0</v>
      </c>
      <c r="L576" s="59">
        <f>Данные!L576</f>
        <v>36</v>
      </c>
      <c r="M576" s="60">
        <f t="shared" si="72"/>
        <v>3.6</v>
      </c>
      <c r="N576" s="60">
        <f t="shared" ca="1" si="73"/>
        <v>11.57</v>
      </c>
      <c r="O576" s="60">
        <f t="shared" ca="1" si="74"/>
        <v>7.25</v>
      </c>
      <c r="P576" s="60">
        <f t="shared" ca="1" si="75"/>
        <v>7.25</v>
      </c>
      <c r="Q576" s="54">
        <f>Данные!Q576</f>
        <v>0</v>
      </c>
      <c r="R576" s="54">
        <f>Данные!R576</f>
        <v>0</v>
      </c>
      <c r="S576" s="54">
        <f>Данные!S576</f>
        <v>0</v>
      </c>
      <c r="T576" s="54">
        <f>Данные!T576</f>
        <v>0</v>
      </c>
      <c r="U576" s="54">
        <f>Данные!U576</f>
        <v>0</v>
      </c>
      <c r="V576" s="54">
        <f>Данные!V576</f>
        <v>0</v>
      </c>
      <c r="W576" s="54">
        <f ca="1">Данные!W576</f>
        <v>29</v>
      </c>
      <c r="X576" s="54" t="str">
        <f ca="1">Данные!X576</f>
        <v>1</v>
      </c>
      <c r="Y576" s="54" t="str">
        <f ca="1">Данные!Y576</f>
        <v>2</v>
      </c>
      <c r="Z576" s="54">
        <f>Данные!Z576</f>
        <v>0</v>
      </c>
      <c r="AA576" s="54" t="str">
        <f>Данные!AA576</f>
        <v>осн</v>
      </c>
      <c r="AB576" s="101">
        <f t="shared" si="76"/>
        <v>800</v>
      </c>
      <c r="AC576" s="101" t="str">
        <f t="shared" si="77"/>
        <v>ИВТ (бак)</v>
      </c>
      <c r="AD576" s="101" t="str">
        <f t="shared" si="78"/>
        <v/>
      </c>
      <c r="AE576" s="102">
        <f t="shared" ca="1" si="79"/>
        <v>65.67</v>
      </c>
      <c r="AF576" s="103">
        <f t="shared" ca="1" si="80"/>
        <v>8.2087500000000008E-2</v>
      </c>
      <c r="AG576" s="101"/>
      <c r="AH576" s="101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Q576" s="72">
        <v>0</v>
      </c>
      <c r="BR576" s="72">
        <v>0</v>
      </c>
      <c r="BS576" s="72">
        <v>0</v>
      </c>
      <c r="BT576" s="72">
        <v>0</v>
      </c>
      <c r="BU576" s="72">
        <v>0</v>
      </c>
      <c r="BV576" s="72">
        <v>0</v>
      </c>
      <c r="BW576" s="72">
        <v>0</v>
      </c>
      <c r="BX576" s="72">
        <v>0</v>
      </c>
      <c r="BY576" s="72">
        <v>0</v>
      </c>
      <c r="BZ576" s="72">
        <v>0</v>
      </c>
      <c r="CA576" s="72">
        <v>0</v>
      </c>
      <c r="CB576" s="72">
        <v>0</v>
      </c>
      <c r="CC576" s="72">
        <v>0</v>
      </c>
      <c r="CD576" s="72">
        <v>0</v>
      </c>
      <c r="CE576" s="72">
        <v>0</v>
      </c>
      <c r="CF576" s="72">
        <v>0</v>
      </c>
      <c r="CG576" s="72">
        <v>0</v>
      </c>
      <c r="CH576" s="72">
        <v>0</v>
      </c>
      <c r="CI576" s="72">
        <v>0</v>
      </c>
      <c r="CJ576" s="72">
        <v>0</v>
      </c>
      <c r="CK576" s="72">
        <v>0</v>
      </c>
      <c r="CL576" s="72">
        <v>0</v>
      </c>
      <c r="CM576" s="72">
        <v>0</v>
      </c>
      <c r="CN576" s="72">
        <v>0</v>
      </c>
      <c r="CO576" s="72">
        <v>0</v>
      </c>
      <c r="CP576" s="72">
        <v>0</v>
      </c>
      <c r="CQ576" s="72">
        <v>0</v>
      </c>
      <c r="CR576" s="72">
        <v>0</v>
      </c>
      <c r="CS576" s="72">
        <v>0</v>
      </c>
      <c r="CT576" s="72">
        <v>0</v>
      </c>
      <c r="CU576" s="72">
        <v>0</v>
      </c>
      <c r="CV576" s="72">
        <v>0</v>
      </c>
      <c r="CW576" s="72">
        <v>0</v>
      </c>
      <c r="CX576" s="72">
        <v>0</v>
      </c>
      <c r="CY576" s="72">
        <v>0</v>
      </c>
      <c r="CZ576" s="72">
        <v>0</v>
      </c>
      <c r="DA576" s="72">
        <v>0</v>
      </c>
      <c r="DB576" s="72">
        <v>0</v>
      </c>
      <c r="DC576" s="72">
        <v>0</v>
      </c>
      <c r="DD576" s="72">
        <v>0</v>
      </c>
      <c r="DE576" s="72">
        <v>0</v>
      </c>
      <c r="DF576" s="72">
        <v>0</v>
      </c>
      <c r="DG576" s="72">
        <v>0</v>
      </c>
      <c r="DH576" s="72">
        <v>0</v>
      </c>
      <c r="DI576" s="72">
        <v>0</v>
      </c>
      <c r="DJ576" s="72">
        <v>0</v>
      </c>
      <c r="DK576" s="72">
        <v>0</v>
      </c>
      <c r="DL576" s="72">
        <v>0</v>
      </c>
      <c r="DM576" s="72">
        <v>0</v>
      </c>
      <c r="DN576" s="72">
        <v>0</v>
      </c>
      <c r="DO576" s="72">
        <v>0</v>
      </c>
      <c r="DP576" s="72">
        <v>0</v>
      </c>
      <c r="DQ576" s="72">
        <v>0</v>
      </c>
      <c r="DR576" s="72">
        <v>0</v>
      </c>
      <c r="DS576" s="72">
        <v>0</v>
      </c>
      <c r="DT576" s="72">
        <v>0</v>
      </c>
      <c r="DU576" s="72">
        <v>0</v>
      </c>
      <c r="DV576" s="72">
        <v>0</v>
      </c>
      <c r="DW576" s="72">
        <v>0</v>
      </c>
      <c r="DX576" s="72">
        <v>0</v>
      </c>
      <c r="DY576" s="72">
        <v>0</v>
      </c>
      <c r="DZ576" s="72">
        <v>0</v>
      </c>
      <c r="EA576" s="72">
        <v>0</v>
      </c>
      <c r="EB576" s="72">
        <v>0</v>
      </c>
      <c r="EC576" s="72">
        <v>0</v>
      </c>
      <c r="ED576" s="72">
        <v>0</v>
      </c>
      <c r="EE576" s="72">
        <v>0</v>
      </c>
      <c r="EF576" s="72">
        <v>0</v>
      </c>
      <c r="EG576" s="72">
        <v>0</v>
      </c>
      <c r="EH576" s="72">
        <v>0</v>
      </c>
      <c r="EI576" s="72">
        <v>0</v>
      </c>
      <c r="EJ576" s="72">
        <v>0</v>
      </c>
      <c r="EK576" s="72">
        <v>0</v>
      </c>
      <c r="EL576" s="72">
        <v>0</v>
      </c>
    </row>
    <row r="577" spans="1:142" x14ac:dyDescent="0.35">
      <c r="A577" s="59">
        <f>Данные!A577</f>
        <v>5791</v>
      </c>
      <c r="B577" s="59">
        <f>Данные!B577</f>
        <v>2019</v>
      </c>
      <c r="C577" s="59" t="str">
        <f>Данные!C577</f>
        <v>современных европейских языков</v>
      </c>
      <c r="D577" s="59" t="str">
        <f>Данные!D577</f>
        <v>Кудрявцева Наталья Фаддеевна</v>
      </c>
      <c r="E577" s="59" t="str">
        <f>Данные!E577</f>
        <v>кандидат социологических наук</v>
      </c>
      <c r="F577" s="59" t="str">
        <f>Данные!F577</f>
        <v>доцент</v>
      </c>
      <c r="G577" s="59">
        <f>Данные!G577</f>
        <v>1</v>
      </c>
      <c r="H577" s="59" t="str">
        <f>Данные!H577</f>
        <v>3 курс 2017 год/пост</v>
      </c>
      <c r="I577" s="59" t="str">
        <f>Данные!I577</f>
        <v>Модуль "Основы профессионального общения на иностранном языке". Грамматические аспекты иноязычной коммуникации</v>
      </c>
      <c r="J577" s="59">
        <f>Данные!J577</f>
        <v>0</v>
      </c>
      <c r="K577" s="59">
        <f>Данные!K577</f>
        <v>0</v>
      </c>
      <c r="L577" s="59">
        <f>Данные!L577</f>
        <v>72</v>
      </c>
      <c r="M577" s="60">
        <f t="shared" si="72"/>
        <v>7.2</v>
      </c>
      <c r="N577" s="60">
        <f t="shared" ca="1" si="73"/>
        <v>11.57</v>
      </c>
      <c r="O577" s="60">
        <f t="shared" ca="1" si="74"/>
        <v>7.25</v>
      </c>
      <c r="P577" s="60">
        <f t="shared" ca="1" si="75"/>
        <v>7.25</v>
      </c>
      <c r="Q577" s="54">
        <f>Данные!Q577</f>
        <v>0</v>
      </c>
      <c r="R577" s="54">
        <f>Данные!R577</f>
        <v>0</v>
      </c>
      <c r="S577" s="54">
        <f>Данные!S577</f>
        <v>0</v>
      </c>
      <c r="T577" s="54">
        <f>Данные!T577</f>
        <v>0</v>
      </c>
      <c r="U577" s="54">
        <f>Данные!U577</f>
        <v>0</v>
      </c>
      <c r="V577" s="54">
        <f>Данные!V577</f>
        <v>0</v>
      </c>
      <c r="W577" s="54">
        <f ca="1">Данные!W577</f>
        <v>29</v>
      </c>
      <c r="X577" s="54" t="str">
        <f ca="1">Данные!X577</f>
        <v>1</v>
      </c>
      <c r="Y577" s="54" t="str">
        <f ca="1">Данные!Y577</f>
        <v>2</v>
      </c>
      <c r="Z577" s="54">
        <f>Данные!Z577</f>
        <v>0</v>
      </c>
      <c r="AA577" s="54" t="str">
        <f>Данные!AA577</f>
        <v>осн</v>
      </c>
      <c r="AB577" s="101">
        <f t="shared" si="76"/>
        <v>800</v>
      </c>
      <c r="AC577" s="101" t="str">
        <f t="shared" si="77"/>
        <v>ИВТ (бак)</v>
      </c>
      <c r="AD577" s="101" t="str">
        <f t="shared" si="78"/>
        <v/>
      </c>
      <c r="AE577" s="102">
        <f t="shared" ca="1" si="79"/>
        <v>105.27000000000001</v>
      </c>
      <c r="AF577" s="103">
        <f t="shared" ca="1" si="80"/>
        <v>0.13158750000000002</v>
      </c>
      <c r="AG577" s="101"/>
      <c r="AH577" s="101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Q577" s="72">
        <v>0</v>
      </c>
      <c r="BR577" s="72">
        <v>0</v>
      </c>
      <c r="BS577" s="72">
        <v>0</v>
      </c>
      <c r="BT577" s="72">
        <v>0</v>
      </c>
      <c r="BU577" s="72">
        <v>0</v>
      </c>
      <c r="BV577" s="72">
        <v>0</v>
      </c>
      <c r="BW577" s="72">
        <v>0</v>
      </c>
      <c r="BX577" s="72">
        <v>0</v>
      </c>
      <c r="BY577" s="72">
        <v>0</v>
      </c>
      <c r="BZ577" s="72">
        <v>0</v>
      </c>
      <c r="CA577" s="72">
        <v>0</v>
      </c>
      <c r="CB577" s="72">
        <v>0</v>
      </c>
      <c r="CC577" s="72">
        <v>0</v>
      </c>
      <c r="CD577" s="72">
        <v>0</v>
      </c>
      <c r="CE577" s="72">
        <v>0</v>
      </c>
      <c r="CF577" s="72">
        <v>0</v>
      </c>
      <c r="CG577" s="72">
        <v>0</v>
      </c>
      <c r="CH577" s="72">
        <v>0</v>
      </c>
      <c r="CI577" s="72">
        <v>0</v>
      </c>
      <c r="CJ577" s="72">
        <v>0</v>
      </c>
      <c r="CK577" s="72">
        <v>0</v>
      </c>
      <c r="CL577" s="72">
        <v>0</v>
      </c>
      <c r="CM577" s="72">
        <v>0</v>
      </c>
      <c r="CN577" s="72">
        <v>0</v>
      </c>
      <c r="CO577" s="72">
        <v>0</v>
      </c>
      <c r="CP577" s="72">
        <v>0</v>
      </c>
      <c r="CQ577" s="72">
        <v>0</v>
      </c>
      <c r="CR577" s="72">
        <v>0</v>
      </c>
      <c r="CS577" s="72">
        <v>0</v>
      </c>
      <c r="CT577" s="72">
        <v>0</v>
      </c>
      <c r="CU577" s="72">
        <v>0</v>
      </c>
      <c r="CV577" s="72">
        <v>0</v>
      </c>
      <c r="CW577" s="72">
        <v>0</v>
      </c>
      <c r="CX577" s="72">
        <v>0</v>
      </c>
      <c r="CY577" s="72">
        <v>0</v>
      </c>
      <c r="CZ577" s="72">
        <v>0</v>
      </c>
      <c r="DA577" s="72">
        <v>0</v>
      </c>
      <c r="DB577" s="72">
        <v>0</v>
      </c>
      <c r="DC577" s="72">
        <v>0</v>
      </c>
      <c r="DD577" s="72">
        <v>0</v>
      </c>
      <c r="DE577" s="72">
        <v>0</v>
      </c>
      <c r="DF577" s="72">
        <v>0</v>
      </c>
      <c r="DG577" s="72">
        <v>0</v>
      </c>
      <c r="DH577" s="72">
        <v>0</v>
      </c>
      <c r="DI577" s="72">
        <v>0</v>
      </c>
      <c r="DJ577" s="72">
        <v>0</v>
      </c>
      <c r="DK577" s="72">
        <v>0</v>
      </c>
      <c r="DL577" s="72">
        <v>0</v>
      </c>
      <c r="DM577" s="72">
        <v>0</v>
      </c>
      <c r="DN577" s="72">
        <v>0</v>
      </c>
      <c r="DO577" s="72">
        <v>0</v>
      </c>
      <c r="DP577" s="72">
        <v>0</v>
      </c>
      <c r="DQ577" s="72">
        <v>0</v>
      </c>
      <c r="DR577" s="72">
        <v>0</v>
      </c>
      <c r="DS577" s="72">
        <v>0</v>
      </c>
      <c r="DT577" s="72">
        <v>0</v>
      </c>
      <c r="DU577" s="72">
        <v>0</v>
      </c>
      <c r="DV577" s="72">
        <v>0</v>
      </c>
      <c r="DW577" s="72">
        <v>0</v>
      </c>
      <c r="DX577" s="72">
        <v>0</v>
      </c>
      <c r="DY577" s="72">
        <v>0</v>
      </c>
      <c r="DZ577" s="72">
        <v>0</v>
      </c>
      <c r="EA577" s="72">
        <v>0</v>
      </c>
      <c r="EB577" s="72">
        <v>0</v>
      </c>
      <c r="EC577" s="72">
        <v>0</v>
      </c>
      <c r="ED577" s="72">
        <v>0</v>
      </c>
      <c r="EE577" s="72">
        <v>0</v>
      </c>
      <c r="EF577" s="72">
        <v>0</v>
      </c>
      <c r="EG577" s="72">
        <v>0</v>
      </c>
      <c r="EH577" s="72">
        <v>0</v>
      </c>
      <c r="EI577" s="72">
        <v>0</v>
      </c>
      <c r="EJ577" s="72">
        <v>0</v>
      </c>
      <c r="EK577" s="72">
        <v>0</v>
      </c>
      <c r="EL577" s="72">
        <v>0</v>
      </c>
    </row>
    <row r="578" spans="1:142" x14ac:dyDescent="0.35">
      <c r="A578" s="59">
        <f>Данные!A578</f>
        <v>5791</v>
      </c>
      <c r="B578" s="59">
        <f>Данные!B578</f>
        <v>2019</v>
      </c>
      <c r="C578" s="59" t="str">
        <f>Данные!C578</f>
        <v>теории права и гражданско-правового образования</v>
      </c>
      <c r="D578" s="59" t="str">
        <f>Данные!D578</f>
        <v>Разуваев Николай Викторович</v>
      </c>
      <c r="E578" s="59" t="str">
        <f>Данные!E578</f>
        <v>кандидат юридических наук</v>
      </c>
      <c r="F578" s="59" t="str">
        <f>Данные!F578</f>
        <v>доцент</v>
      </c>
      <c r="G578" s="59">
        <f>Данные!G578</f>
        <v>0</v>
      </c>
      <c r="H578" s="59" t="str">
        <f>Данные!H578</f>
        <v>3 курс 2017 год/пост</v>
      </c>
      <c r="I578" s="59" t="str">
        <f>Данные!I578</f>
        <v>Модуль "Экономико-правовой". Правоведение</v>
      </c>
      <c r="J578" s="59">
        <f>Данные!J578</f>
        <v>18</v>
      </c>
      <c r="K578" s="59">
        <f>Данные!K578</f>
        <v>18</v>
      </c>
      <c r="L578" s="59">
        <f>Данные!L578</f>
        <v>0</v>
      </c>
      <c r="M578" s="60">
        <f t="shared" si="72"/>
        <v>3.6</v>
      </c>
      <c r="N578" s="60">
        <f t="shared" ca="1" si="73"/>
        <v>11.57</v>
      </c>
      <c r="O578" s="60">
        <f t="shared" ca="1" si="74"/>
        <v>7.25</v>
      </c>
      <c r="P578" s="60">
        <f t="shared" ca="1" si="75"/>
        <v>7.25</v>
      </c>
      <c r="Q578" s="54">
        <f>Данные!Q578</f>
        <v>0</v>
      </c>
      <c r="R578" s="54">
        <f>Данные!R578</f>
        <v>0</v>
      </c>
      <c r="S578" s="54">
        <f>Данные!S578</f>
        <v>0</v>
      </c>
      <c r="T578" s="54">
        <f>Данные!T578</f>
        <v>0</v>
      </c>
      <c r="U578" s="54">
        <f>Данные!U578</f>
        <v>0</v>
      </c>
      <c r="V578" s="54">
        <f>Данные!V578</f>
        <v>0</v>
      </c>
      <c r="W578" s="54">
        <f ca="1">Данные!W578</f>
        <v>29</v>
      </c>
      <c r="X578" s="54" t="str">
        <f ca="1">Данные!X578</f>
        <v>1</v>
      </c>
      <c r="Y578" s="54" t="str">
        <f ca="1">Данные!Y578</f>
        <v>2</v>
      </c>
      <c r="Z578" s="54">
        <f>Данные!Z578</f>
        <v>0</v>
      </c>
      <c r="AA578" s="54" t="str">
        <f>Данные!AA578</f>
        <v>осн</v>
      </c>
      <c r="AB578" s="101">
        <f t="shared" si="76"/>
        <v>800</v>
      </c>
      <c r="AC578" s="101" t="str">
        <f t="shared" si="77"/>
        <v>ИВТ (бак)</v>
      </c>
      <c r="AD578" s="101" t="str">
        <f t="shared" si="78"/>
        <v/>
      </c>
      <c r="AE578" s="102">
        <f t="shared" ca="1" si="79"/>
        <v>65.67</v>
      </c>
      <c r="AF578" s="103">
        <f t="shared" ca="1" si="80"/>
        <v>8.2087500000000008E-2</v>
      </c>
      <c r="AG578" s="101"/>
      <c r="AH578" s="101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Q578" s="72">
        <v>0</v>
      </c>
      <c r="BR578" s="72">
        <v>0</v>
      </c>
      <c r="BS578" s="72">
        <v>0</v>
      </c>
      <c r="BT578" s="72">
        <v>0</v>
      </c>
      <c r="BU578" s="72">
        <v>0</v>
      </c>
      <c r="BV578" s="72">
        <v>0</v>
      </c>
      <c r="BW578" s="72">
        <v>0</v>
      </c>
      <c r="BX578" s="72">
        <v>0</v>
      </c>
      <c r="BY578" s="72">
        <v>0</v>
      </c>
      <c r="BZ578" s="72">
        <v>0</v>
      </c>
      <c r="CA578" s="72">
        <v>0</v>
      </c>
      <c r="CB578" s="72">
        <v>0</v>
      </c>
      <c r="CC578" s="72">
        <v>0</v>
      </c>
      <c r="CD578" s="72">
        <v>0</v>
      </c>
      <c r="CE578" s="72">
        <v>0</v>
      </c>
      <c r="CF578" s="72">
        <v>0</v>
      </c>
      <c r="CG578" s="72">
        <v>0</v>
      </c>
      <c r="CH578" s="72">
        <v>0</v>
      </c>
      <c r="CI578" s="72">
        <v>0</v>
      </c>
      <c r="CJ578" s="72">
        <v>0</v>
      </c>
      <c r="CK578" s="72">
        <v>0</v>
      </c>
      <c r="CL578" s="72">
        <v>0</v>
      </c>
      <c r="CM578" s="72">
        <v>0</v>
      </c>
      <c r="CN578" s="72">
        <v>0</v>
      </c>
      <c r="CO578" s="72">
        <v>0</v>
      </c>
      <c r="CP578" s="72">
        <v>0</v>
      </c>
      <c r="CQ578" s="72">
        <v>0</v>
      </c>
      <c r="CR578" s="72">
        <v>0</v>
      </c>
      <c r="CS578" s="72">
        <v>0</v>
      </c>
      <c r="CT578" s="72">
        <v>0</v>
      </c>
      <c r="CU578" s="72">
        <v>0</v>
      </c>
      <c r="CV578" s="72">
        <v>0</v>
      </c>
      <c r="CW578" s="72">
        <v>0</v>
      </c>
      <c r="CX578" s="72">
        <v>0</v>
      </c>
      <c r="CY578" s="72">
        <v>0</v>
      </c>
      <c r="CZ578" s="72">
        <v>0</v>
      </c>
      <c r="DA578" s="72">
        <v>0</v>
      </c>
      <c r="DB578" s="72">
        <v>0</v>
      </c>
      <c r="DC578" s="72">
        <v>0</v>
      </c>
      <c r="DD578" s="72">
        <v>0</v>
      </c>
      <c r="DE578" s="72">
        <v>0</v>
      </c>
      <c r="DF578" s="72">
        <v>0</v>
      </c>
      <c r="DG578" s="72">
        <v>0</v>
      </c>
      <c r="DH578" s="72">
        <v>0</v>
      </c>
      <c r="DI578" s="72">
        <v>0</v>
      </c>
      <c r="DJ578" s="72">
        <v>0</v>
      </c>
      <c r="DK578" s="72">
        <v>0</v>
      </c>
      <c r="DL578" s="72">
        <v>0</v>
      </c>
      <c r="DM578" s="72">
        <v>0</v>
      </c>
      <c r="DN578" s="72">
        <v>0</v>
      </c>
      <c r="DO578" s="72">
        <v>0</v>
      </c>
      <c r="DP578" s="72">
        <v>0</v>
      </c>
      <c r="DQ578" s="72">
        <v>0</v>
      </c>
      <c r="DR578" s="72">
        <v>0</v>
      </c>
      <c r="DS578" s="72">
        <v>0</v>
      </c>
      <c r="DT578" s="72">
        <v>0</v>
      </c>
      <c r="DU578" s="72">
        <v>0</v>
      </c>
      <c r="DV578" s="72">
        <v>0</v>
      </c>
      <c r="DW578" s="72">
        <v>0</v>
      </c>
      <c r="DX578" s="72">
        <v>0</v>
      </c>
      <c r="DY578" s="72">
        <v>0</v>
      </c>
      <c r="DZ578" s="72">
        <v>0</v>
      </c>
      <c r="EA578" s="72">
        <v>0</v>
      </c>
      <c r="EB578" s="72">
        <v>0</v>
      </c>
      <c r="EC578" s="72">
        <v>0</v>
      </c>
      <c r="ED578" s="72">
        <v>0</v>
      </c>
      <c r="EE578" s="72">
        <v>0</v>
      </c>
      <c r="EF578" s="72">
        <v>0</v>
      </c>
      <c r="EG578" s="72">
        <v>0</v>
      </c>
      <c r="EH578" s="72">
        <v>0</v>
      </c>
      <c r="EI578" s="72">
        <v>0</v>
      </c>
      <c r="EJ578" s="72">
        <v>0</v>
      </c>
      <c r="EK578" s="72">
        <v>0</v>
      </c>
      <c r="EL578" s="72">
        <v>0</v>
      </c>
    </row>
    <row r="579" spans="1:142" x14ac:dyDescent="0.35">
      <c r="A579" s="59">
        <f>Данные!A579</f>
        <v>5791</v>
      </c>
      <c r="B579" s="59">
        <f>Данные!B579</f>
        <v>2017</v>
      </c>
      <c r="C579" s="59" t="str">
        <f>Данные!C579</f>
        <v>социальной безопасности</v>
      </c>
      <c r="D579" s="59" t="str">
        <f>Данные!D579</f>
        <v>Есипова Александра Анатольевна</v>
      </c>
      <c r="E579" s="59" t="str">
        <f>Данные!E579</f>
        <v>кандидат педагогических наук</v>
      </c>
      <c r="F579" s="59" t="str">
        <f>Данные!F579</f>
        <v>доцент</v>
      </c>
      <c r="G579" s="59">
        <f>Данные!G579</f>
        <v>0</v>
      </c>
      <c r="H579" s="59">
        <f>Данные!H579</f>
        <v>16591</v>
      </c>
      <c r="I579" s="59" t="str">
        <f>Данные!I579</f>
        <v>Модуль "Здоровьесберегающий". Безопасность жизнедеятельности</v>
      </c>
      <c r="J579" s="59">
        <f>Данные!J579</f>
        <v>16</v>
      </c>
      <c r="K579" s="59">
        <f>Данные!K579</f>
        <v>20</v>
      </c>
      <c r="L579" s="59">
        <f>Данные!L579</f>
        <v>0</v>
      </c>
      <c r="M579" s="60">
        <f t="shared" si="72"/>
        <v>3.6</v>
      </c>
      <c r="N579" s="60">
        <f t="shared" ca="1" si="73"/>
        <v>11.57</v>
      </c>
      <c r="O579" s="60">
        <f t="shared" ca="1" si="74"/>
        <v>7.25</v>
      </c>
      <c r="P579" s="60">
        <f t="shared" ca="1" si="75"/>
        <v>7.25</v>
      </c>
      <c r="Q579" s="54">
        <f>Данные!Q579</f>
        <v>0</v>
      </c>
      <c r="R579" s="54">
        <f>Данные!R579</f>
        <v>0</v>
      </c>
      <c r="S579" s="54">
        <f>Данные!S579</f>
        <v>0</v>
      </c>
      <c r="T579" s="54">
        <f>Данные!T579</f>
        <v>0</v>
      </c>
      <c r="U579" s="54">
        <f>Данные!U579</f>
        <v>0</v>
      </c>
      <c r="V579" s="54">
        <f>Данные!V579</f>
        <v>0</v>
      </c>
      <c r="W579" s="54">
        <f ca="1">Данные!W579</f>
        <v>29</v>
      </c>
      <c r="X579" s="54" t="str">
        <f ca="1">Данные!X579</f>
        <v>1</v>
      </c>
      <c r="Y579" s="54" t="str">
        <f ca="1">Данные!Y579</f>
        <v>2</v>
      </c>
      <c r="Z579" s="54">
        <f>Данные!Z579</f>
        <v>0</v>
      </c>
      <c r="AA579" s="54" t="str">
        <f>Данные!AA579</f>
        <v>осн</v>
      </c>
      <c r="AB579" s="101">
        <f t="shared" si="76"/>
        <v>800</v>
      </c>
      <c r="AC579" s="101" t="str">
        <f t="shared" si="77"/>
        <v>ИВТ (бак)</v>
      </c>
      <c r="AD579" s="101" t="str">
        <f t="shared" si="78"/>
        <v>2017–2018</v>
      </c>
      <c r="AE579" s="102">
        <f t="shared" ca="1" si="79"/>
        <v>65.67</v>
      </c>
      <c r="AF579" s="103">
        <f t="shared" ca="1" si="80"/>
        <v>8.2087500000000008E-2</v>
      </c>
      <c r="AG579" s="101"/>
      <c r="AH579" s="101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Q579" s="72">
        <v>0</v>
      </c>
      <c r="BR579" s="72">
        <v>0</v>
      </c>
      <c r="BS579" s="72">
        <v>0</v>
      </c>
      <c r="BT579" s="72">
        <v>0</v>
      </c>
      <c r="BU579" s="72">
        <v>0</v>
      </c>
      <c r="BV579" s="72">
        <v>0</v>
      </c>
      <c r="BW579" s="72">
        <v>0</v>
      </c>
      <c r="BX579" s="72">
        <v>0</v>
      </c>
      <c r="BY579" s="72">
        <v>0</v>
      </c>
      <c r="BZ579" s="72">
        <v>0</v>
      </c>
      <c r="CA579" s="72">
        <v>0</v>
      </c>
      <c r="CB579" s="72">
        <v>0</v>
      </c>
      <c r="CC579" s="72">
        <v>0</v>
      </c>
      <c r="CD579" s="72">
        <v>0</v>
      </c>
      <c r="CE579" s="72">
        <v>0</v>
      </c>
      <c r="CF579" s="72">
        <v>0</v>
      </c>
      <c r="CG579" s="72">
        <v>0</v>
      </c>
      <c r="CH579" s="72">
        <v>0</v>
      </c>
      <c r="CI579" s="72">
        <v>0</v>
      </c>
      <c r="CJ579" s="72">
        <v>0</v>
      </c>
      <c r="CK579" s="72">
        <v>0</v>
      </c>
      <c r="CL579" s="72">
        <v>0</v>
      </c>
      <c r="CM579" s="72">
        <v>0</v>
      </c>
      <c r="CN579" s="72">
        <v>0</v>
      </c>
      <c r="CO579" s="72">
        <v>0</v>
      </c>
      <c r="CP579" s="72">
        <v>0</v>
      </c>
      <c r="CQ579" s="72">
        <v>0</v>
      </c>
      <c r="CR579" s="72">
        <v>0</v>
      </c>
      <c r="CS579" s="72">
        <v>0</v>
      </c>
      <c r="CT579" s="72">
        <v>0</v>
      </c>
      <c r="CU579" s="72">
        <v>0</v>
      </c>
      <c r="CV579" s="72">
        <v>0</v>
      </c>
      <c r="CW579" s="72">
        <v>0</v>
      </c>
      <c r="CX579" s="72">
        <v>0</v>
      </c>
      <c r="CY579" s="72">
        <v>0</v>
      </c>
      <c r="CZ579" s="72">
        <v>0</v>
      </c>
      <c r="DA579" s="72">
        <v>0</v>
      </c>
      <c r="DB579" s="72">
        <v>0</v>
      </c>
      <c r="DC579" s="72">
        <v>0</v>
      </c>
      <c r="DD579" s="72">
        <v>0</v>
      </c>
      <c r="DE579" s="72">
        <v>0</v>
      </c>
      <c r="DF579" s="72">
        <v>0</v>
      </c>
      <c r="DG579" s="72">
        <v>0</v>
      </c>
      <c r="DH579" s="72">
        <v>0</v>
      </c>
      <c r="DI579" s="72">
        <v>0</v>
      </c>
      <c r="DJ579" s="72">
        <v>0</v>
      </c>
      <c r="DK579" s="72">
        <v>0</v>
      </c>
      <c r="DL579" s="72">
        <v>0</v>
      </c>
      <c r="DM579" s="72">
        <v>0</v>
      </c>
      <c r="DN579" s="72">
        <v>0</v>
      </c>
      <c r="DO579" s="72">
        <v>0</v>
      </c>
      <c r="DP579" s="72">
        <v>0</v>
      </c>
      <c r="DQ579" s="72">
        <v>0</v>
      </c>
      <c r="DR579" s="72">
        <v>0</v>
      </c>
      <c r="DS579" s="72">
        <v>0</v>
      </c>
      <c r="DT579" s="72">
        <v>0</v>
      </c>
      <c r="DU579" s="72">
        <v>0</v>
      </c>
      <c r="DV579" s="72">
        <v>0</v>
      </c>
      <c r="DW579" s="72">
        <v>0</v>
      </c>
      <c r="DX579" s="72">
        <v>0</v>
      </c>
      <c r="DY579" s="72">
        <v>0</v>
      </c>
      <c r="DZ579" s="72">
        <v>0</v>
      </c>
      <c r="EA579" s="72">
        <v>0</v>
      </c>
      <c r="EB579" s="72">
        <v>0</v>
      </c>
      <c r="EC579" s="72">
        <v>0</v>
      </c>
      <c r="ED579" s="72">
        <v>0</v>
      </c>
      <c r="EE579" s="72">
        <v>0</v>
      </c>
      <c r="EF579" s="72">
        <v>0</v>
      </c>
      <c r="EG579" s="72">
        <v>0</v>
      </c>
      <c r="EH579" s="72">
        <v>0</v>
      </c>
      <c r="EI579" s="72">
        <v>0</v>
      </c>
      <c r="EJ579" s="72">
        <v>0</v>
      </c>
      <c r="EK579" s="72">
        <v>0</v>
      </c>
      <c r="EL579" s="72">
        <v>0</v>
      </c>
    </row>
    <row r="580" spans="1:142" x14ac:dyDescent="0.35">
      <c r="A580" s="59">
        <f>Данные!A580</f>
        <v>5791</v>
      </c>
      <c r="B580" s="59">
        <f>Данные!B580</f>
        <v>2017</v>
      </c>
      <c r="C580" s="59" t="str">
        <f>Данные!C580</f>
        <v>физического воспитания и спортивно-массовой работы</v>
      </c>
      <c r="D580" s="59" t="str">
        <f>Данные!D580</f>
        <v>Барченко Сергей Алексеевич</v>
      </c>
      <c r="E580" s="59" t="str">
        <f>Данные!E580</f>
        <v>нет</v>
      </c>
      <c r="F580" s="59" t="str">
        <f>Данные!F580</f>
        <v>старший преподаватель</v>
      </c>
      <c r="G580" s="59">
        <f>Данные!G580</f>
        <v>0.5</v>
      </c>
      <c r="H580" s="59">
        <f>Данные!H580</f>
        <v>16591</v>
      </c>
      <c r="I580" s="59" t="str">
        <f>Данные!I580</f>
        <v>Модуль "Здоровьесберегающий". Физическая культура и спорт</v>
      </c>
      <c r="J580" s="59">
        <f>Данные!J580</f>
        <v>0</v>
      </c>
      <c r="K580" s="59">
        <f>Данные!K580</f>
        <v>10</v>
      </c>
      <c r="L580" s="59">
        <f>Данные!L580</f>
        <v>0</v>
      </c>
      <c r="M580" s="60">
        <f t="shared" ref="M580:M643" si="81">SUM(J580:L580)/10</f>
        <v>1</v>
      </c>
      <c r="N580" s="60">
        <f t="shared" ref="N580:N643" ca="1" si="82">2+(0.33*W580)</f>
        <v>11.57</v>
      </c>
      <c r="O580" s="60">
        <f t="shared" ref="O580:O643" ca="1" si="83">0.25*W580</f>
        <v>7.25</v>
      </c>
      <c r="P580" s="60">
        <f t="shared" ref="P580:P643" ca="1" si="84">0.25*W580</f>
        <v>7.25</v>
      </c>
      <c r="Q580" s="54">
        <f>Данные!Q580</f>
        <v>0</v>
      </c>
      <c r="R580" s="54">
        <f>Данные!R580</f>
        <v>0</v>
      </c>
      <c r="S580" s="54">
        <f>Данные!S580</f>
        <v>0</v>
      </c>
      <c r="T580" s="54">
        <f>Данные!T580</f>
        <v>0</v>
      </c>
      <c r="U580" s="54">
        <f>Данные!U580</f>
        <v>0</v>
      </c>
      <c r="V580" s="54">
        <f>Данные!V580</f>
        <v>0</v>
      </c>
      <c r="W580" s="54">
        <f ca="1">Данные!W580</f>
        <v>29</v>
      </c>
      <c r="X580" s="54" t="str">
        <f ca="1">Данные!X580</f>
        <v>1</v>
      </c>
      <c r="Y580" s="54" t="str">
        <f ca="1">Данные!Y580</f>
        <v>2</v>
      </c>
      <c r="Z580" s="54">
        <f>Данные!Z580</f>
        <v>0</v>
      </c>
      <c r="AA580" s="54">
        <f>Данные!AA580</f>
        <v>0</v>
      </c>
      <c r="AB580" s="101">
        <f t="shared" ref="AB580:AB643" si="85">VLOOKUP(F580, $BN$3:$BO$15, 2, 0)</f>
        <v>850</v>
      </c>
      <c r="AC580" s="101" t="str">
        <f t="shared" ref="AC580:AC643" si="86">IF(IFERROR(MATCH(H580, $AK$4:$BL$4, 0), 0)&gt;=1, "ИВТ (бак)", IF(IFERROR(MATCH(H580, $AK$5:$BL$5, 0), 0)&gt;=1, "КЭО (маг)", ""))</f>
        <v>ИВТ (бак)</v>
      </c>
      <c r="AD580" s="101" t="str">
        <f t="shared" ref="AD580:AD643" si="87">IF(IFERROR(MATCH(H580, $AK$4:$AN$4, 0), 0)=1, "2015–2016", IF(IFERROR(MATCH(H580, $AO$4:$AR$4, 0), 0)=1, "2016–2017", IF(IFERROR(MATCH(H580, $AS$4:$AV$4, 0), 0)=1, "2017–2018", IF(IFERROR(MATCH(H580, $AW$4:$AZ$4, 0), 0)=1, "2018–2019", IF(IFERROR(MATCH(H580, $BA$4:$BD$4, 0), 0)=1, "2019–2020", IF(IFERROR(MATCH(H580, $BE$4:$BH$4, 0), 0)=1, "2020–2021", IF(IFERROR(MATCH(H580, $BI$4:$BL$4, 0), 0)=1, "2021–2022", "")))))))</f>
        <v>2017–2018</v>
      </c>
      <c r="AE580" s="102">
        <f t="shared" ref="AE580:AE643" ca="1" si="88">SUM(J580:V580)</f>
        <v>37.07</v>
      </c>
      <c r="AF580" s="103">
        <f t="shared" ca="1" si="80"/>
        <v>4.361176470588235E-2</v>
      </c>
      <c r="AG580" s="101"/>
      <c r="AH580" s="101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Q580" s="72">
        <v>0</v>
      </c>
      <c r="BR580" s="72">
        <v>0</v>
      </c>
      <c r="BS580" s="72">
        <v>0</v>
      </c>
      <c r="BT580" s="72">
        <v>0</v>
      </c>
      <c r="BU580" s="72">
        <v>0</v>
      </c>
      <c r="BV580" s="72">
        <v>0</v>
      </c>
      <c r="BW580" s="72">
        <v>0</v>
      </c>
      <c r="BX580" s="72">
        <v>0</v>
      </c>
      <c r="BY580" s="72">
        <v>0</v>
      </c>
      <c r="BZ580" s="72">
        <v>0</v>
      </c>
      <c r="CA580" s="72">
        <v>0</v>
      </c>
      <c r="CB580" s="72">
        <v>0</v>
      </c>
      <c r="CC580" s="72">
        <v>0</v>
      </c>
      <c r="CD580" s="72">
        <v>0</v>
      </c>
      <c r="CE580" s="72">
        <v>0</v>
      </c>
      <c r="CF580" s="72">
        <v>0</v>
      </c>
      <c r="CG580" s="72">
        <v>0</v>
      </c>
      <c r="CH580" s="72">
        <v>0</v>
      </c>
      <c r="CI580" s="72">
        <v>0</v>
      </c>
      <c r="CJ580" s="72">
        <v>0</v>
      </c>
      <c r="CK580" s="72">
        <v>0</v>
      </c>
      <c r="CL580" s="72">
        <v>0</v>
      </c>
      <c r="CM580" s="72">
        <v>0</v>
      </c>
      <c r="CN580" s="72">
        <v>0</v>
      </c>
      <c r="CO580" s="72">
        <v>0</v>
      </c>
      <c r="CP580" s="72">
        <v>0</v>
      </c>
      <c r="CQ580" s="72">
        <v>0</v>
      </c>
      <c r="CR580" s="72">
        <v>0</v>
      </c>
      <c r="CS580" s="72">
        <v>0</v>
      </c>
      <c r="CT580" s="72">
        <v>0</v>
      </c>
      <c r="CU580" s="72">
        <v>0</v>
      </c>
      <c r="CV580" s="72">
        <v>0</v>
      </c>
      <c r="CW580" s="72">
        <v>0</v>
      </c>
      <c r="CX580" s="72">
        <v>0</v>
      </c>
      <c r="CY580" s="72">
        <v>0</v>
      </c>
      <c r="CZ580" s="72">
        <v>0</v>
      </c>
      <c r="DA580" s="72">
        <v>0</v>
      </c>
      <c r="DB580" s="72">
        <v>0</v>
      </c>
      <c r="DC580" s="72">
        <v>0</v>
      </c>
      <c r="DD580" s="72">
        <v>0</v>
      </c>
      <c r="DE580" s="72">
        <v>0</v>
      </c>
      <c r="DF580" s="72">
        <v>0</v>
      </c>
      <c r="DG580" s="72">
        <v>0</v>
      </c>
      <c r="DH580" s="72">
        <v>0</v>
      </c>
      <c r="DI580" s="72">
        <v>0</v>
      </c>
      <c r="DJ580" s="72">
        <v>0</v>
      </c>
      <c r="DK580" s="72">
        <v>0</v>
      </c>
      <c r="DL580" s="72">
        <v>0</v>
      </c>
      <c r="DM580" s="72">
        <v>0</v>
      </c>
      <c r="DN580" s="72">
        <v>0</v>
      </c>
      <c r="DO580" s="72">
        <v>0</v>
      </c>
      <c r="DP580" s="72">
        <v>0</v>
      </c>
      <c r="DQ580" s="72">
        <v>0</v>
      </c>
      <c r="DR580" s="72">
        <v>0</v>
      </c>
      <c r="DS580" s="72">
        <v>0</v>
      </c>
      <c r="DT580" s="72">
        <v>0</v>
      </c>
      <c r="DU580" s="72">
        <v>0</v>
      </c>
      <c r="DV580" s="72">
        <v>0</v>
      </c>
      <c r="DW580" s="72">
        <v>0</v>
      </c>
      <c r="DX580" s="72">
        <v>0</v>
      </c>
      <c r="DY580" s="72">
        <v>0</v>
      </c>
      <c r="DZ580" s="72">
        <v>0</v>
      </c>
      <c r="EA580" s="72">
        <v>0</v>
      </c>
      <c r="EB580" s="72">
        <v>0</v>
      </c>
      <c r="EC580" s="72">
        <v>0</v>
      </c>
      <c r="ED580" s="72">
        <v>0</v>
      </c>
      <c r="EE580" s="72">
        <v>0</v>
      </c>
      <c r="EF580" s="72">
        <v>0</v>
      </c>
      <c r="EG580" s="72">
        <v>0</v>
      </c>
      <c r="EH580" s="72">
        <v>0</v>
      </c>
      <c r="EI580" s="72">
        <v>0</v>
      </c>
      <c r="EJ580" s="72">
        <v>0</v>
      </c>
      <c r="EK580" s="72">
        <v>0</v>
      </c>
      <c r="EL580" s="72">
        <v>0</v>
      </c>
    </row>
    <row r="581" spans="1:142" x14ac:dyDescent="0.35">
      <c r="A581" s="59">
        <f>Данные!A581</f>
        <v>5791</v>
      </c>
      <c r="B581" s="59">
        <f>Данные!B581</f>
        <v>2017</v>
      </c>
      <c r="C581" s="59" t="str">
        <f>Данные!C581</f>
        <v>физического воспитания и спортивно-массовой работы</v>
      </c>
      <c r="D581" s="59" t="str">
        <f>Данные!D581</f>
        <v>Пальтиель Лев Романович</v>
      </c>
      <c r="E581" s="59" t="str">
        <f>Данные!E581</f>
        <v>кандидат химических наук</v>
      </c>
      <c r="F581" s="59" t="str">
        <f>Данные!F581</f>
        <v>доцент</v>
      </c>
      <c r="G581" s="59">
        <f>Данные!G581</f>
        <v>0</v>
      </c>
      <c r="H581" s="59">
        <f>Данные!H581</f>
        <v>16591</v>
      </c>
      <c r="I581" s="59" t="str">
        <f>Данные!I581</f>
        <v>Модуль "Здоровьесберегающий". Физическая культура и спорт</v>
      </c>
      <c r="J581" s="59">
        <f>Данные!J581</f>
        <v>16</v>
      </c>
      <c r="K581" s="59">
        <f>Данные!K581</f>
        <v>10</v>
      </c>
      <c r="L581" s="59">
        <f>Данные!L581</f>
        <v>0</v>
      </c>
      <c r="M581" s="60">
        <f t="shared" si="81"/>
        <v>2.6</v>
      </c>
      <c r="N581" s="60">
        <f t="shared" ca="1" si="82"/>
        <v>11.57</v>
      </c>
      <c r="O581" s="60">
        <f t="shared" ca="1" si="83"/>
        <v>7.25</v>
      </c>
      <c r="P581" s="60">
        <f t="shared" ca="1" si="84"/>
        <v>7.25</v>
      </c>
      <c r="Q581" s="54">
        <f>Данные!Q581</f>
        <v>0</v>
      </c>
      <c r="R581" s="54">
        <f>Данные!R581</f>
        <v>0</v>
      </c>
      <c r="S581" s="54">
        <f>Данные!S581</f>
        <v>0</v>
      </c>
      <c r="T581" s="54">
        <f>Данные!T581</f>
        <v>0</v>
      </c>
      <c r="U581" s="54">
        <f>Данные!U581</f>
        <v>0</v>
      </c>
      <c r="V581" s="54">
        <f>Данные!V581</f>
        <v>0</v>
      </c>
      <c r="W581" s="54">
        <f ca="1">Данные!W581</f>
        <v>29</v>
      </c>
      <c r="X581" s="54" t="str">
        <f ca="1">Данные!X581</f>
        <v>1</v>
      </c>
      <c r="Y581" s="54" t="str">
        <f ca="1">Данные!Y581</f>
        <v>2</v>
      </c>
      <c r="Z581" s="54">
        <f>Данные!Z581</f>
        <v>0</v>
      </c>
      <c r="AA581" s="54">
        <f>Данные!AA581</f>
        <v>0</v>
      </c>
      <c r="AB581" s="101">
        <f t="shared" si="85"/>
        <v>800</v>
      </c>
      <c r="AC581" s="101" t="str">
        <f t="shared" si="86"/>
        <v>ИВТ (бак)</v>
      </c>
      <c r="AD581" s="101" t="str">
        <f t="shared" si="87"/>
        <v>2017–2018</v>
      </c>
      <c r="AE581" s="102">
        <f t="shared" ca="1" si="88"/>
        <v>54.67</v>
      </c>
      <c r="AF581" s="103">
        <f t="shared" ref="AF581:AF644" ca="1" si="89">AE581/AB581</f>
        <v>6.8337499999999995E-2</v>
      </c>
      <c r="AG581" s="101"/>
      <c r="AH581" s="10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Q581" s="72">
        <v>0</v>
      </c>
      <c r="BR581" s="72">
        <v>0</v>
      </c>
      <c r="BS581" s="72">
        <v>0</v>
      </c>
      <c r="BT581" s="72">
        <v>0</v>
      </c>
      <c r="BU581" s="72">
        <v>0</v>
      </c>
      <c r="BV581" s="72">
        <v>0</v>
      </c>
      <c r="BW581" s="72">
        <v>0</v>
      </c>
      <c r="BX581" s="72">
        <v>0</v>
      </c>
      <c r="BY581" s="72">
        <v>0</v>
      </c>
      <c r="BZ581" s="72">
        <v>0</v>
      </c>
      <c r="CA581" s="72">
        <v>0</v>
      </c>
      <c r="CB581" s="72">
        <v>0</v>
      </c>
      <c r="CC581" s="72">
        <v>0</v>
      </c>
      <c r="CD581" s="72">
        <v>0</v>
      </c>
      <c r="CE581" s="72">
        <v>0</v>
      </c>
      <c r="CF581" s="72">
        <v>0</v>
      </c>
      <c r="CG581" s="72">
        <v>0</v>
      </c>
      <c r="CH581" s="72">
        <v>0</v>
      </c>
      <c r="CI581" s="72">
        <v>0</v>
      </c>
      <c r="CJ581" s="72">
        <v>0</v>
      </c>
      <c r="CK581" s="72">
        <v>0</v>
      </c>
      <c r="CL581" s="72">
        <v>0</v>
      </c>
      <c r="CM581" s="72">
        <v>0</v>
      </c>
      <c r="CN581" s="72">
        <v>0</v>
      </c>
      <c r="CO581" s="72">
        <v>0</v>
      </c>
      <c r="CP581" s="72">
        <v>0</v>
      </c>
      <c r="CQ581" s="72">
        <v>0</v>
      </c>
      <c r="CR581" s="72">
        <v>0</v>
      </c>
      <c r="CS581" s="72">
        <v>0</v>
      </c>
      <c r="CT581" s="72">
        <v>0</v>
      </c>
      <c r="CU581" s="72">
        <v>0</v>
      </c>
      <c r="CV581" s="72">
        <v>0</v>
      </c>
      <c r="CW581" s="72">
        <v>0</v>
      </c>
      <c r="CX581" s="72">
        <v>0</v>
      </c>
      <c r="CY581" s="72">
        <v>0</v>
      </c>
      <c r="CZ581" s="72">
        <v>0</v>
      </c>
      <c r="DA581" s="72">
        <v>0</v>
      </c>
      <c r="DB581" s="72">
        <v>0</v>
      </c>
      <c r="DC581" s="72">
        <v>0</v>
      </c>
      <c r="DD581" s="72">
        <v>0</v>
      </c>
      <c r="DE581" s="72">
        <v>0</v>
      </c>
      <c r="DF581" s="72">
        <v>0</v>
      </c>
      <c r="DG581" s="72">
        <v>0</v>
      </c>
      <c r="DH581" s="72">
        <v>0</v>
      </c>
      <c r="DI581" s="72">
        <v>0</v>
      </c>
      <c r="DJ581" s="72">
        <v>0</v>
      </c>
      <c r="DK581" s="72">
        <v>0</v>
      </c>
      <c r="DL581" s="72">
        <v>0</v>
      </c>
      <c r="DM581" s="72">
        <v>0</v>
      </c>
      <c r="DN581" s="72">
        <v>0</v>
      </c>
      <c r="DO581" s="72">
        <v>0</v>
      </c>
      <c r="DP581" s="72">
        <v>0</v>
      </c>
      <c r="DQ581" s="72">
        <v>0</v>
      </c>
      <c r="DR581" s="72">
        <v>0</v>
      </c>
      <c r="DS581" s="72">
        <v>0</v>
      </c>
      <c r="DT581" s="72">
        <v>0</v>
      </c>
      <c r="DU581" s="72">
        <v>0</v>
      </c>
      <c r="DV581" s="72">
        <v>0</v>
      </c>
      <c r="DW581" s="72">
        <v>0</v>
      </c>
      <c r="DX581" s="72">
        <v>0</v>
      </c>
      <c r="DY581" s="72">
        <v>0</v>
      </c>
      <c r="DZ581" s="72">
        <v>0</v>
      </c>
      <c r="EA581" s="72">
        <v>0</v>
      </c>
      <c r="EB581" s="72">
        <v>0</v>
      </c>
      <c r="EC581" s="72">
        <v>0</v>
      </c>
      <c r="ED581" s="72">
        <v>0</v>
      </c>
      <c r="EE581" s="72">
        <v>0</v>
      </c>
      <c r="EF581" s="72">
        <v>0</v>
      </c>
      <c r="EG581" s="72">
        <v>0</v>
      </c>
      <c r="EH581" s="72">
        <v>0</v>
      </c>
      <c r="EI581" s="72">
        <v>0</v>
      </c>
      <c r="EJ581" s="72">
        <v>0</v>
      </c>
      <c r="EK581" s="72">
        <v>0</v>
      </c>
      <c r="EL581" s="72">
        <v>0</v>
      </c>
    </row>
    <row r="582" spans="1:142" x14ac:dyDescent="0.35">
      <c r="A582" s="59">
        <f>Данные!A582</f>
        <v>5791</v>
      </c>
      <c r="B582" s="59">
        <f>Данные!B582</f>
        <v>2019</v>
      </c>
      <c r="C582" s="59" t="str">
        <f>Данные!C582</f>
        <v>социальной безопасности</v>
      </c>
      <c r="D582" s="59" t="str">
        <f>Данные!D582</f>
        <v>Абдуллаева Любовь Магомедовна</v>
      </c>
      <c r="E582" s="59" t="str">
        <f>Данные!E582</f>
        <v>нет</v>
      </c>
      <c r="F582" s="59" t="str">
        <f>Данные!F582</f>
        <v>старший преподаватель</v>
      </c>
      <c r="G582" s="59">
        <f>Данные!G582</f>
        <v>0</v>
      </c>
      <c r="H582" s="59" t="str">
        <f>Данные!H582</f>
        <v>3 курс 2017 год/пост</v>
      </c>
      <c r="I582" s="59" t="str">
        <f>Данные!I582</f>
        <v>Модуль "Здоровьесберегающий". Экология</v>
      </c>
      <c r="J582" s="59">
        <f>Данные!J582</f>
        <v>16</v>
      </c>
      <c r="K582" s="59">
        <f>Данные!K582</f>
        <v>18</v>
      </c>
      <c r="L582" s="59">
        <f>Данные!L582</f>
        <v>0</v>
      </c>
      <c r="M582" s="60">
        <f t="shared" si="81"/>
        <v>3.4</v>
      </c>
      <c r="N582" s="60">
        <f t="shared" ca="1" si="82"/>
        <v>11.57</v>
      </c>
      <c r="O582" s="60">
        <f t="shared" ca="1" si="83"/>
        <v>7.25</v>
      </c>
      <c r="P582" s="60">
        <f t="shared" ca="1" si="84"/>
        <v>7.25</v>
      </c>
      <c r="Q582" s="54">
        <f>Данные!Q582</f>
        <v>0</v>
      </c>
      <c r="R582" s="54">
        <f>Данные!R582</f>
        <v>0</v>
      </c>
      <c r="S582" s="54">
        <f>Данные!S582</f>
        <v>0</v>
      </c>
      <c r="T582" s="54">
        <f>Данные!T582</f>
        <v>0</v>
      </c>
      <c r="U582" s="54">
        <f>Данные!U582</f>
        <v>0</v>
      </c>
      <c r="V582" s="54">
        <f>Данные!V582</f>
        <v>0</v>
      </c>
      <c r="W582" s="54">
        <f ca="1">Данные!W582</f>
        <v>29</v>
      </c>
      <c r="X582" s="54" t="str">
        <f ca="1">Данные!X582</f>
        <v>1</v>
      </c>
      <c r="Y582" s="54" t="str">
        <f ca="1">Данные!Y582</f>
        <v>2</v>
      </c>
      <c r="Z582" s="54">
        <f>Данные!Z582</f>
        <v>0</v>
      </c>
      <c r="AA582" s="54">
        <f>Данные!AA582</f>
        <v>0</v>
      </c>
      <c r="AB582" s="101">
        <f t="shared" si="85"/>
        <v>850</v>
      </c>
      <c r="AC582" s="101" t="str">
        <f t="shared" si="86"/>
        <v>ИВТ (бак)</v>
      </c>
      <c r="AD582" s="101" t="str">
        <f t="shared" si="87"/>
        <v/>
      </c>
      <c r="AE582" s="102">
        <f t="shared" ca="1" si="88"/>
        <v>63.47</v>
      </c>
      <c r="AF582" s="103">
        <f t="shared" ca="1" si="89"/>
        <v>7.4670588235294114E-2</v>
      </c>
      <c r="AG582" s="101"/>
      <c r="AH582" s="101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Q582" s="72">
        <v>0</v>
      </c>
      <c r="BR582" s="72">
        <v>0</v>
      </c>
      <c r="BS582" s="72">
        <v>0</v>
      </c>
      <c r="BT582" s="72">
        <v>0</v>
      </c>
      <c r="BU582" s="72">
        <v>0</v>
      </c>
      <c r="BV582" s="72">
        <v>0</v>
      </c>
      <c r="BW582" s="72">
        <v>0</v>
      </c>
      <c r="BX582" s="72">
        <v>0</v>
      </c>
      <c r="BY582" s="72">
        <v>0</v>
      </c>
      <c r="BZ582" s="72">
        <v>0</v>
      </c>
      <c r="CA582" s="72">
        <v>0</v>
      </c>
      <c r="CB582" s="72">
        <v>0</v>
      </c>
      <c r="CC582" s="72">
        <v>0</v>
      </c>
      <c r="CD582" s="72">
        <v>0</v>
      </c>
      <c r="CE582" s="72">
        <v>0</v>
      </c>
      <c r="CF582" s="72">
        <v>0</v>
      </c>
      <c r="CG582" s="72">
        <v>0</v>
      </c>
      <c r="CH582" s="72">
        <v>0</v>
      </c>
      <c r="CI582" s="72">
        <v>0</v>
      </c>
      <c r="CJ582" s="72">
        <v>0</v>
      </c>
      <c r="CK582" s="72">
        <v>0</v>
      </c>
      <c r="CL582" s="72">
        <v>0</v>
      </c>
      <c r="CM582" s="72">
        <v>0</v>
      </c>
      <c r="CN582" s="72">
        <v>0</v>
      </c>
      <c r="CO582" s="72">
        <v>0</v>
      </c>
      <c r="CP582" s="72">
        <v>0</v>
      </c>
      <c r="CQ582" s="72">
        <v>0</v>
      </c>
      <c r="CR582" s="72">
        <v>0</v>
      </c>
      <c r="CS582" s="72">
        <v>0</v>
      </c>
      <c r="CT582" s="72">
        <v>0</v>
      </c>
      <c r="CU582" s="72">
        <v>0</v>
      </c>
      <c r="CV582" s="72">
        <v>0</v>
      </c>
      <c r="CW582" s="72">
        <v>0</v>
      </c>
      <c r="CX582" s="72">
        <v>0</v>
      </c>
      <c r="CY582" s="72">
        <v>0</v>
      </c>
      <c r="CZ582" s="72">
        <v>0</v>
      </c>
      <c r="DA582" s="72">
        <v>0</v>
      </c>
      <c r="DB582" s="72">
        <v>0</v>
      </c>
      <c r="DC582" s="72">
        <v>0</v>
      </c>
      <c r="DD582" s="72">
        <v>0</v>
      </c>
      <c r="DE582" s="72">
        <v>0</v>
      </c>
      <c r="DF582" s="72">
        <v>0</v>
      </c>
      <c r="DG582" s="72">
        <v>0</v>
      </c>
      <c r="DH582" s="72">
        <v>0</v>
      </c>
      <c r="DI582" s="72">
        <v>0</v>
      </c>
      <c r="DJ582" s="72">
        <v>0</v>
      </c>
      <c r="DK582" s="72">
        <v>0</v>
      </c>
      <c r="DL582" s="72">
        <v>0</v>
      </c>
      <c r="DM582" s="72">
        <v>0</v>
      </c>
      <c r="DN582" s="72">
        <v>0</v>
      </c>
      <c r="DO582" s="72">
        <v>0</v>
      </c>
      <c r="DP582" s="72">
        <v>0</v>
      </c>
      <c r="DQ582" s="72">
        <v>0</v>
      </c>
      <c r="DR582" s="72">
        <v>0</v>
      </c>
      <c r="DS582" s="72">
        <v>0</v>
      </c>
      <c r="DT582" s="72">
        <v>0</v>
      </c>
      <c r="DU582" s="72">
        <v>0</v>
      </c>
      <c r="DV582" s="72">
        <v>0</v>
      </c>
      <c r="DW582" s="72">
        <v>0</v>
      </c>
      <c r="DX582" s="72">
        <v>0</v>
      </c>
      <c r="DY582" s="72">
        <v>0</v>
      </c>
      <c r="DZ582" s="72">
        <v>0</v>
      </c>
      <c r="EA582" s="72">
        <v>0</v>
      </c>
      <c r="EB582" s="72">
        <v>0</v>
      </c>
      <c r="EC582" s="72">
        <v>0</v>
      </c>
      <c r="ED582" s="72">
        <v>0</v>
      </c>
      <c r="EE582" s="72">
        <v>0</v>
      </c>
      <c r="EF582" s="72">
        <v>0</v>
      </c>
      <c r="EG582" s="72">
        <v>0</v>
      </c>
      <c r="EH582" s="72">
        <v>0</v>
      </c>
      <c r="EI582" s="72">
        <v>0</v>
      </c>
      <c r="EJ582" s="72">
        <v>0</v>
      </c>
      <c r="EK582" s="72">
        <v>0</v>
      </c>
      <c r="EL582" s="72">
        <v>0</v>
      </c>
    </row>
    <row r="583" spans="1:142" x14ac:dyDescent="0.35">
      <c r="A583" s="59">
        <f>Данные!A583</f>
        <v>5791</v>
      </c>
      <c r="B583" s="59">
        <f>Данные!B583</f>
        <v>2019</v>
      </c>
      <c r="C583" s="59" t="str">
        <f>Данные!C583</f>
        <v>физической электроники</v>
      </c>
      <c r="D583" s="59" t="str">
        <f>Данные!D583</f>
        <v>Жаркой Александр Борисович</v>
      </c>
      <c r="E583" s="59" t="str">
        <f>Данные!E583</f>
        <v>кандидат физ.-мат. наук</v>
      </c>
      <c r="F583" s="59" t="str">
        <f>Данные!F583</f>
        <v>доцент</v>
      </c>
      <c r="G583" s="59">
        <f>Данные!G583</f>
        <v>0.75</v>
      </c>
      <c r="H583" s="59" t="str">
        <f>Данные!H583</f>
        <v>3 курс 2017 год/пост</v>
      </c>
      <c r="I583" s="59" t="str">
        <f>Данные!I583</f>
        <v>Модуль "Организация ЭВМ". Введение в нанотехнологии</v>
      </c>
      <c r="J583" s="59">
        <f>Данные!J583</f>
        <v>0</v>
      </c>
      <c r="K583" s="59">
        <f>Данные!K583</f>
        <v>0</v>
      </c>
      <c r="L583" s="59">
        <f>Данные!L583</f>
        <v>72</v>
      </c>
      <c r="M583" s="60">
        <f t="shared" si="81"/>
        <v>7.2</v>
      </c>
      <c r="N583" s="60">
        <f t="shared" ca="1" si="82"/>
        <v>11.57</v>
      </c>
      <c r="O583" s="60">
        <f t="shared" ca="1" si="83"/>
        <v>7.25</v>
      </c>
      <c r="P583" s="60">
        <f t="shared" ca="1" si="84"/>
        <v>7.25</v>
      </c>
      <c r="Q583" s="54">
        <f>Данные!Q583</f>
        <v>0</v>
      </c>
      <c r="R583" s="54">
        <f>Данные!R583</f>
        <v>0</v>
      </c>
      <c r="S583" s="54">
        <f>Данные!S583</f>
        <v>0</v>
      </c>
      <c r="T583" s="54">
        <f>Данные!T583</f>
        <v>0</v>
      </c>
      <c r="U583" s="54">
        <f>Данные!U583</f>
        <v>0</v>
      </c>
      <c r="V583" s="54">
        <f>Данные!V583</f>
        <v>0</v>
      </c>
      <c r="W583" s="54">
        <f ca="1">Данные!W583</f>
        <v>29</v>
      </c>
      <c r="X583" s="54" t="str">
        <f ca="1">Данные!X583</f>
        <v>1</v>
      </c>
      <c r="Y583" s="54" t="str">
        <f ca="1">Данные!Y583</f>
        <v>2</v>
      </c>
      <c r="Z583" s="54">
        <f>Данные!Z583</f>
        <v>0</v>
      </c>
      <c r="AA583" s="54">
        <f>Данные!AA583</f>
        <v>0</v>
      </c>
      <c r="AB583" s="101">
        <f t="shared" si="85"/>
        <v>800</v>
      </c>
      <c r="AC583" s="101" t="str">
        <f t="shared" si="86"/>
        <v>ИВТ (бак)</v>
      </c>
      <c r="AD583" s="101" t="str">
        <f t="shared" si="87"/>
        <v/>
      </c>
      <c r="AE583" s="102">
        <f t="shared" ca="1" si="88"/>
        <v>105.27000000000001</v>
      </c>
      <c r="AF583" s="103">
        <f t="shared" ca="1" si="89"/>
        <v>0.13158750000000002</v>
      </c>
      <c r="AG583" s="101"/>
      <c r="AH583" s="101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Q583" s="72">
        <v>0</v>
      </c>
      <c r="BR583" s="72">
        <v>0</v>
      </c>
      <c r="BS583" s="72">
        <v>0</v>
      </c>
      <c r="BT583" s="72">
        <v>0</v>
      </c>
      <c r="BU583" s="72">
        <v>0</v>
      </c>
      <c r="BV583" s="72">
        <v>0</v>
      </c>
      <c r="BW583" s="72">
        <v>0</v>
      </c>
      <c r="BX583" s="72">
        <v>0</v>
      </c>
      <c r="BY583" s="72">
        <v>0</v>
      </c>
      <c r="BZ583" s="72">
        <v>0</v>
      </c>
      <c r="CA583" s="72">
        <v>0</v>
      </c>
      <c r="CB583" s="72">
        <v>0</v>
      </c>
      <c r="CC583" s="72">
        <v>0</v>
      </c>
      <c r="CD583" s="72">
        <v>0</v>
      </c>
      <c r="CE583" s="72">
        <v>0</v>
      </c>
      <c r="CF583" s="72">
        <v>0</v>
      </c>
      <c r="CG583" s="72">
        <v>0</v>
      </c>
      <c r="CH583" s="72">
        <v>0</v>
      </c>
      <c r="CI583" s="72">
        <v>0</v>
      </c>
      <c r="CJ583" s="72">
        <v>0</v>
      </c>
      <c r="CK583" s="72">
        <v>0</v>
      </c>
      <c r="CL583" s="72">
        <v>0</v>
      </c>
      <c r="CM583" s="72">
        <v>0</v>
      </c>
      <c r="CN583" s="72">
        <v>0</v>
      </c>
      <c r="CO583" s="72">
        <v>0</v>
      </c>
      <c r="CP583" s="72">
        <v>0</v>
      </c>
      <c r="CQ583" s="72">
        <v>0</v>
      </c>
      <c r="CR583" s="72">
        <v>0</v>
      </c>
      <c r="CS583" s="72">
        <v>0</v>
      </c>
      <c r="CT583" s="72">
        <v>0</v>
      </c>
      <c r="CU583" s="72">
        <v>0</v>
      </c>
      <c r="CV583" s="72">
        <v>0</v>
      </c>
      <c r="CW583" s="72">
        <v>0</v>
      </c>
      <c r="CX583" s="72">
        <v>0</v>
      </c>
      <c r="CY583" s="72">
        <v>0</v>
      </c>
      <c r="CZ583" s="72">
        <v>0</v>
      </c>
      <c r="DA583" s="72">
        <v>0</v>
      </c>
      <c r="DB583" s="72">
        <v>0</v>
      </c>
      <c r="DC583" s="72">
        <v>0</v>
      </c>
      <c r="DD583" s="72">
        <v>0</v>
      </c>
      <c r="DE583" s="72">
        <v>0</v>
      </c>
      <c r="DF583" s="72">
        <v>0</v>
      </c>
      <c r="DG583" s="72">
        <v>0</v>
      </c>
      <c r="DH583" s="72">
        <v>0</v>
      </c>
      <c r="DI583" s="72">
        <v>0</v>
      </c>
      <c r="DJ583" s="72">
        <v>0</v>
      </c>
      <c r="DK583" s="72">
        <v>0</v>
      </c>
      <c r="DL583" s="72">
        <v>0</v>
      </c>
      <c r="DM583" s="72">
        <v>0</v>
      </c>
      <c r="DN583" s="72">
        <v>0</v>
      </c>
      <c r="DO583" s="72">
        <v>0</v>
      </c>
      <c r="DP583" s="72">
        <v>0</v>
      </c>
      <c r="DQ583" s="72">
        <v>0</v>
      </c>
      <c r="DR583" s="72">
        <v>0</v>
      </c>
      <c r="DS583" s="72">
        <v>0</v>
      </c>
      <c r="DT583" s="72">
        <v>0</v>
      </c>
      <c r="DU583" s="72">
        <v>0</v>
      </c>
      <c r="DV583" s="72">
        <v>0</v>
      </c>
      <c r="DW583" s="72">
        <v>0</v>
      </c>
      <c r="DX583" s="72">
        <v>0</v>
      </c>
      <c r="DY583" s="72">
        <v>0</v>
      </c>
      <c r="DZ583" s="72">
        <v>0</v>
      </c>
      <c r="EA583" s="72">
        <v>0</v>
      </c>
      <c r="EB583" s="72">
        <v>0</v>
      </c>
      <c r="EC583" s="72">
        <v>0</v>
      </c>
      <c r="ED583" s="72">
        <v>0</v>
      </c>
      <c r="EE583" s="72">
        <v>0</v>
      </c>
      <c r="EF583" s="72">
        <v>0</v>
      </c>
      <c r="EG583" s="72">
        <v>0</v>
      </c>
      <c r="EH583" s="72">
        <v>0</v>
      </c>
      <c r="EI583" s="72">
        <v>0</v>
      </c>
      <c r="EJ583" s="72">
        <v>0</v>
      </c>
      <c r="EK583" s="72">
        <v>0</v>
      </c>
      <c r="EL583" s="72">
        <v>0</v>
      </c>
    </row>
    <row r="584" spans="1:142" x14ac:dyDescent="0.35">
      <c r="A584" s="59">
        <f>Данные!A584</f>
        <v>5791</v>
      </c>
      <c r="B584" s="59">
        <f>Данные!B584</f>
        <v>2019</v>
      </c>
      <c r="C584" s="59" t="str">
        <f>Данные!C584</f>
        <v>физической электроники</v>
      </c>
      <c r="D584" s="59" t="str">
        <f>Данные!D584</f>
        <v>Жаркой Александр Борисович</v>
      </c>
      <c r="E584" s="59" t="str">
        <f>Данные!E584</f>
        <v>кандидат физ.-мат. наук</v>
      </c>
      <c r="F584" s="59" t="str">
        <f>Данные!F584</f>
        <v>доцент</v>
      </c>
      <c r="G584" s="59">
        <f>Данные!G584</f>
        <v>0.75</v>
      </c>
      <c r="H584" s="59" t="str">
        <f>Данные!H584</f>
        <v>3 курс 2017 год/пост</v>
      </c>
      <c r="I584" s="59" t="str">
        <f>Данные!I584</f>
        <v>Модуль "Организация ЭВМ". Электротехника, электроника и схемотехника</v>
      </c>
      <c r="J584" s="59">
        <f>Данные!J584</f>
        <v>0</v>
      </c>
      <c r="K584" s="59">
        <f>Данные!K584</f>
        <v>18</v>
      </c>
      <c r="L584" s="59">
        <f>Данные!L584</f>
        <v>36</v>
      </c>
      <c r="M584" s="60">
        <f t="shared" si="81"/>
        <v>5.4</v>
      </c>
      <c r="N584" s="60">
        <f t="shared" ca="1" si="82"/>
        <v>11.57</v>
      </c>
      <c r="O584" s="60">
        <f t="shared" ca="1" si="83"/>
        <v>7.25</v>
      </c>
      <c r="P584" s="60">
        <f t="shared" ca="1" si="84"/>
        <v>7.25</v>
      </c>
      <c r="Q584" s="54">
        <f>Данные!Q584</f>
        <v>0</v>
      </c>
      <c r="R584" s="54">
        <f>Данные!R584</f>
        <v>0</v>
      </c>
      <c r="S584" s="54">
        <f>Данные!S584</f>
        <v>0</v>
      </c>
      <c r="T584" s="54">
        <f>Данные!T584</f>
        <v>0</v>
      </c>
      <c r="U584" s="54">
        <f>Данные!U584</f>
        <v>0</v>
      </c>
      <c r="V584" s="54">
        <f>Данные!V584</f>
        <v>0</v>
      </c>
      <c r="W584" s="54">
        <f ca="1">Данные!W584</f>
        <v>29</v>
      </c>
      <c r="X584" s="54" t="str">
        <f ca="1">Данные!X584</f>
        <v>1</v>
      </c>
      <c r="Y584" s="54" t="str">
        <f ca="1">Данные!Y584</f>
        <v>2</v>
      </c>
      <c r="Z584" s="54">
        <f>Данные!Z584</f>
        <v>0</v>
      </c>
      <c r="AA584" s="54" t="str">
        <f>Данные!AA584</f>
        <v>осн</v>
      </c>
      <c r="AB584" s="101">
        <f t="shared" si="85"/>
        <v>800</v>
      </c>
      <c r="AC584" s="101" t="str">
        <f t="shared" si="86"/>
        <v>ИВТ (бак)</v>
      </c>
      <c r="AD584" s="101" t="str">
        <f t="shared" si="87"/>
        <v/>
      </c>
      <c r="AE584" s="102">
        <f t="shared" ca="1" si="88"/>
        <v>85.47</v>
      </c>
      <c r="AF584" s="103">
        <f t="shared" ca="1" si="89"/>
        <v>0.1068375</v>
      </c>
      <c r="AG584" s="101"/>
      <c r="AH584" s="101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Q584" s="72">
        <v>0</v>
      </c>
      <c r="BR584" s="72">
        <v>0</v>
      </c>
      <c r="BS584" s="72">
        <v>0</v>
      </c>
      <c r="BT584" s="72">
        <v>0</v>
      </c>
      <c r="BU584" s="72">
        <v>0</v>
      </c>
      <c r="BV584" s="72">
        <v>0</v>
      </c>
      <c r="BW584" s="72">
        <v>0</v>
      </c>
      <c r="BX584" s="72">
        <v>0</v>
      </c>
      <c r="BY584" s="72">
        <v>0</v>
      </c>
      <c r="BZ584" s="72">
        <v>0</v>
      </c>
      <c r="CA584" s="72">
        <v>0</v>
      </c>
      <c r="CB584" s="72">
        <v>0</v>
      </c>
      <c r="CC584" s="72">
        <v>0</v>
      </c>
      <c r="CD584" s="72">
        <v>0</v>
      </c>
      <c r="CE584" s="72">
        <v>0</v>
      </c>
      <c r="CF584" s="72">
        <v>0</v>
      </c>
      <c r="CG584" s="72">
        <v>0</v>
      </c>
      <c r="CH584" s="72">
        <v>0</v>
      </c>
      <c r="CI584" s="72">
        <v>0</v>
      </c>
      <c r="CJ584" s="72">
        <v>0</v>
      </c>
      <c r="CK584" s="72">
        <v>0</v>
      </c>
      <c r="CL584" s="72">
        <v>0</v>
      </c>
      <c r="CM584" s="72">
        <v>0</v>
      </c>
      <c r="CN584" s="72">
        <v>0</v>
      </c>
      <c r="CO584" s="72">
        <v>0</v>
      </c>
      <c r="CP584" s="72">
        <v>0</v>
      </c>
      <c r="CQ584" s="72">
        <v>0</v>
      </c>
      <c r="CR584" s="72">
        <v>0</v>
      </c>
      <c r="CS584" s="72">
        <v>0</v>
      </c>
      <c r="CT584" s="72">
        <v>0</v>
      </c>
      <c r="CU584" s="72">
        <v>0</v>
      </c>
      <c r="CV584" s="72">
        <v>0</v>
      </c>
      <c r="CW584" s="72">
        <v>0</v>
      </c>
      <c r="CX584" s="72">
        <v>0</v>
      </c>
      <c r="CY584" s="72">
        <v>0</v>
      </c>
      <c r="CZ584" s="72">
        <v>0</v>
      </c>
      <c r="DA584" s="72">
        <v>0</v>
      </c>
      <c r="DB584" s="72">
        <v>0</v>
      </c>
      <c r="DC584" s="72">
        <v>0</v>
      </c>
      <c r="DD584" s="72">
        <v>0</v>
      </c>
      <c r="DE584" s="72">
        <v>0</v>
      </c>
      <c r="DF584" s="72">
        <v>0</v>
      </c>
      <c r="DG584" s="72">
        <v>0</v>
      </c>
      <c r="DH584" s="72">
        <v>0</v>
      </c>
      <c r="DI584" s="72">
        <v>0</v>
      </c>
      <c r="DJ584" s="72">
        <v>0</v>
      </c>
      <c r="DK584" s="72">
        <v>0</v>
      </c>
      <c r="DL584" s="72">
        <v>0</v>
      </c>
      <c r="DM584" s="72">
        <v>0</v>
      </c>
      <c r="DN584" s="72">
        <v>0</v>
      </c>
      <c r="DO584" s="72">
        <v>0</v>
      </c>
      <c r="DP584" s="72">
        <v>0</v>
      </c>
      <c r="DQ584" s="72">
        <v>0</v>
      </c>
      <c r="DR584" s="72">
        <v>0</v>
      </c>
      <c r="DS584" s="72">
        <v>0</v>
      </c>
      <c r="DT584" s="72">
        <v>0</v>
      </c>
      <c r="DU584" s="72">
        <v>0</v>
      </c>
      <c r="DV584" s="72">
        <v>0</v>
      </c>
      <c r="DW584" s="72">
        <v>0</v>
      </c>
      <c r="DX584" s="72">
        <v>0</v>
      </c>
      <c r="DY584" s="72">
        <v>0</v>
      </c>
      <c r="DZ584" s="72">
        <v>0</v>
      </c>
      <c r="EA584" s="72">
        <v>0</v>
      </c>
      <c r="EB584" s="72">
        <v>0</v>
      </c>
      <c r="EC584" s="72">
        <v>0</v>
      </c>
      <c r="ED584" s="72">
        <v>0</v>
      </c>
      <c r="EE584" s="72">
        <v>0</v>
      </c>
      <c r="EF584" s="72">
        <v>0</v>
      </c>
      <c r="EG584" s="72">
        <v>0</v>
      </c>
      <c r="EH584" s="72">
        <v>0</v>
      </c>
      <c r="EI584" s="72">
        <v>0</v>
      </c>
      <c r="EJ584" s="72">
        <v>0</v>
      </c>
      <c r="EK584" s="72">
        <v>0</v>
      </c>
      <c r="EL584" s="72">
        <v>0</v>
      </c>
    </row>
    <row r="585" spans="1:142" x14ac:dyDescent="0.35">
      <c r="A585" s="59">
        <f>Данные!A585</f>
        <v>6368</v>
      </c>
      <c r="B585" s="59">
        <f>Данные!B585</f>
        <v>2020</v>
      </c>
      <c r="C585" s="59" t="str">
        <f>Данные!C585</f>
        <v>компьютерной инженерии и программотехники</v>
      </c>
      <c r="D585" s="59" t="str">
        <f>Данные!D585</f>
        <v>Матюшичев Илья Юрьевич</v>
      </c>
      <c r="E585" s="59" t="str">
        <f>Данные!E585</f>
        <v>кандидат технических наук</v>
      </c>
      <c r="F585" s="59" t="str">
        <f>Данные!F585</f>
        <v>доцент</v>
      </c>
      <c r="G585" s="59">
        <f>Данные!G585</f>
        <v>1</v>
      </c>
      <c r="H585" s="59" t="str">
        <f>Данные!H585</f>
        <v>3 курс 2018 год/пост</v>
      </c>
      <c r="I585" s="59" t="str">
        <f>Данные!I585</f>
        <v>Модуль "Организация ЭВМ". Защита информации</v>
      </c>
      <c r="J585" s="59">
        <f>Данные!J585</f>
        <v>18</v>
      </c>
      <c r="K585" s="59">
        <f>Данные!K585</f>
        <v>0</v>
      </c>
      <c r="L585" s="59">
        <f>Данные!L585</f>
        <v>54</v>
      </c>
      <c r="M585" s="60">
        <f t="shared" si="81"/>
        <v>7.2</v>
      </c>
      <c r="N585" s="60">
        <f t="shared" ca="1" si="82"/>
        <v>11.57</v>
      </c>
      <c r="O585" s="60">
        <f t="shared" ca="1" si="83"/>
        <v>7.25</v>
      </c>
      <c r="P585" s="60">
        <f t="shared" ca="1" si="84"/>
        <v>7.25</v>
      </c>
      <c r="Q585" s="54">
        <f>Данные!Q585</f>
        <v>0</v>
      </c>
      <c r="R585" s="54">
        <f>Данные!R585</f>
        <v>0</v>
      </c>
      <c r="S585" s="54">
        <f>Данные!S585</f>
        <v>0</v>
      </c>
      <c r="T585" s="54">
        <f>Данные!T585</f>
        <v>0</v>
      </c>
      <c r="U585" s="54">
        <f>Данные!U585</f>
        <v>0</v>
      </c>
      <c r="V585" s="54">
        <f>Данные!V585</f>
        <v>0</v>
      </c>
      <c r="W585" s="54">
        <f ca="1">Данные!W585</f>
        <v>29</v>
      </c>
      <c r="X585" s="54" t="str">
        <f ca="1">Данные!X585</f>
        <v>1</v>
      </c>
      <c r="Y585" s="54" t="str">
        <f ca="1">Данные!Y585</f>
        <v>2</v>
      </c>
      <c r="Z585" s="54">
        <f>Данные!Z585</f>
        <v>0</v>
      </c>
      <c r="AA585" s="54" t="str">
        <f>Данные!AA585</f>
        <v>осн</v>
      </c>
      <c r="AB585" s="101">
        <f t="shared" si="85"/>
        <v>800</v>
      </c>
      <c r="AC585" s="101" t="str">
        <f t="shared" si="86"/>
        <v>ИВТ (бак)</v>
      </c>
      <c r="AD585" s="101" t="str">
        <f t="shared" si="87"/>
        <v/>
      </c>
      <c r="AE585" s="102">
        <f t="shared" ca="1" si="88"/>
        <v>105.27000000000001</v>
      </c>
      <c r="AF585" s="103">
        <f t="shared" ca="1" si="89"/>
        <v>0.13158750000000002</v>
      </c>
      <c r="AG585" s="101"/>
      <c r="AH585" s="101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Q585" s="72">
        <v>0</v>
      </c>
      <c r="BR585" s="72">
        <v>0</v>
      </c>
      <c r="BS585" s="72">
        <v>0</v>
      </c>
      <c r="BT585" s="72">
        <v>0</v>
      </c>
      <c r="BU585" s="72">
        <v>0</v>
      </c>
      <c r="BV585" s="72">
        <v>0</v>
      </c>
      <c r="BW585" s="72">
        <v>0</v>
      </c>
      <c r="BX585" s="72">
        <v>0</v>
      </c>
      <c r="BY585" s="72">
        <v>0</v>
      </c>
      <c r="BZ585" s="72">
        <v>0</v>
      </c>
      <c r="CA585" s="72">
        <v>0</v>
      </c>
      <c r="CB585" s="72">
        <v>0</v>
      </c>
      <c r="CC585" s="72">
        <v>0</v>
      </c>
      <c r="CD585" s="72">
        <v>0</v>
      </c>
      <c r="CE585" s="72">
        <v>0</v>
      </c>
      <c r="CF585" s="72">
        <v>0</v>
      </c>
      <c r="CG585" s="72">
        <v>0</v>
      </c>
      <c r="CH585" s="72">
        <v>0</v>
      </c>
      <c r="CI585" s="72">
        <v>0</v>
      </c>
      <c r="CJ585" s="72">
        <v>0</v>
      </c>
      <c r="CK585" s="72">
        <v>0</v>
      </c>
      <c r="CL585" s="72">
        <v>0</v>
      </c>
      <c r="CM585" s="72">
        <v>0</v>
      </c>
      <c r="CN585" s="72">
        <v>0</v>
      </c>
      <c r="CO585" s="72">
        <v>0</v>
      </c>
      <c r="CP585" s="72">
        <v>0</v>
      </c>
      <c r="CQ585" s="72">
        <v>0</v>
      </c>
      <c r="CR585" s="72">
        <v>0</v>
      </c>
      <c r="CS585" s="72">
        <v>0</v>
      </c>
      <c r="CT585" s="72">
        <v>0</v>
      </c>
      <c r="CU585" s="72">
        <v>0</v>
      </c>
      <c r="CV585" s="72">
        <v>0</v>
      </c>
      <c r="CW585" s="72">
        <v>0</v>
      </c>
      <c r="CX585" s="72">
        <v>0</v>
      </c>
      <c r="CY585" s="72">
        <v>0</v>
      </c>
      <c r="CZ585" s="72">
        <v>0</v>
      </c>
      <c r="DA585" s="72">
        <v>0</v>
      </c>
      <c r="DB585" s="72">
        <v>0</v>
      </c>
      <c r="DC585" s="72">
        <v>0</v>
      </c>
      <c r="DD585" s="72">
        <v>0</v>
      </c>
      <c r="DE585" s="72">
        <v>0</v>
      </c>
      <c r="DF585" s="72">
        <v>0</v>
      </c>
      <c r="DG585" s="72">
        <v>0</v>
      </c>
      <c r="DH585" s="72">
        <v>0</v>
      </c>
      <c r="DI585" s="72">
        <v>0</v>
      </c>
      <c r="DJ585" s="72">
        <v>0</v>
      </c>
      <c r="DK585" s="72">
        <v>0</v>
      </c>
      <c r="DL585" s="72">
        <v>0</v>
      </c>
      <c r="DM585" s="72">
        <v>0</v>
      </c>
      <c r="DN585" s="72">
        <v>0</v>
      </c>
      <c r="DO585" s="72">
        <v>0</v>
      </c>
      <c r="DP585" s="72">
        <v>0</v>
      </c>
      <c r="DQ585" s="72">
        <v>0</v>
      </c>
      <c r="DR585" s="72">
        <v>0</v>
      </c>
      <c r="DS585" s="72">
        <v>0</v>
      </c>
      <c r="DT585" s="72">
        <v>0</v>
      </c>
      <c r="DU585" s="72">
        <v>0</v>
      </c>
      <c r="DV585" s="72">
        <v>0</v>
      </c>
      <c r="DW585" s="72">
        <v>0</v>
      </c>
      <c r="DX585" s="72">
        <v>0</v>
      </c>
      <c r="DY585" s="72">
        <v>0</v>
      </c>
      <c r="DZ585" s="72">
        <v>0</v>
      </c>
      <c r="EA585" s="72">
        <v>0</v>
      </c>
      <c r="EB585" s="72">
        <v>0</v>
      </c>
      <c r="EC585" s="72">
        <v>0</v>
      </c>
      <c r="ED585" s="72">
        <v>0</v>
      </c>
      <c r="EE585" s="72">
        <v>0</v>
      </c>
      <c r="EF585" s="72">
        <v>0</v>
      </c>
      <c r="EG585" s="72">
        <v>0</v>
      </c>
      <c r="EH585" s="72">
        <v>0</v>
      </c>
      <c r="EI585" s="72">
        <v>0</v>
      </c>
      <c r="EJ585" s="72">
        <v>0</v>
      </c>
      <c r="EK585" s="72">
        <v>0</v>
      </c>
      <c r="EL585" s="72">
        <v>0</v>
      </c>
    </row>
    <row r="586" spans="1:142" x14ac:dyDescent="0.35">
      <c r="A586" s="59">
        <f>Данные!A586</f>
        <v>6368</v>
      </c>
      <c r="B586" s="59">
        <f>Данные!B586</f>
        <v>2020</v>
      </c>
      <c r="C586" s="59" t="str">
        <f>Данные!C586</f>
        <v>современных европейских языков</v>
      </c>
      <c r="D586" s="59" t="str">
        <f>Данные!D586</f>
        <v>Кудрявцева Наталья Фаддеевна</v>
      </c>
      <c r="E586" s="59" t="str">
        <f>Данные!E586</f>
        <v>кандидат социологических наук</v>
      </c>
      <c r="F586" s="59" t="str">
        <f>Данные!F586</f>
        <v>доцент</v>
      </c>
      <c r="G586" s="59">
        <f>Данные!G586</f>
        <v>1</v>
      </c>
      <c r="H586" s="59" t="str">
        <f>Данные!H586</f>
        <v>3 курс 2018 год/пост</v>
      </c>
      <c r="I586" s="59" t="str">
        <f>Данные!I586</f>
        <v>Модуль "Основы профессионального общения на иностранном языке". Профессионально-ориентированная письменная коммуникация</v>
      </c>
      <c r="J586" s="59">
        <f>Данные!J586</f>
        <v>0</v>
      </c>
      <c r="K586" s="59">
        <f>Данные!K586</f>
        <v>0</v>
      </c>
      <c r="L586" s="59">
        <f>Данные!L586</f>
        <v>54</v>
      </c>
      <c r="M586" s="60">
        <f t="shared" si="81"/>
        <v>5.4</v>
      </c>
      <c r="N586" s="60">
        <f t="shared" ca="1" si="82"/>
        <v>11.57</v>
      </c>
      <c r="O586" s="60">
        <f t="shared" ca="1" si="83"/>
        <v>7.25</v>
      </c>
      <c r="P586" s="60">
        <f t="shared" ca="1" si="84"/>
        <v>7.25</v>
      </c>
      <c r="Q586" s="54">
        <f>Данные!Q586</f>
        <v>0</v>
      </c>
      <c r="R586" s="54">
        <f>Данные!R586</f>
        <v>0</v>
      </c>
      <c r="S586" s="54">
        <f>Данные!S586</f>
        <v>0</v>
      </c>
      <c r="T586" s="54">
        <f>Данные!T586</f>
        <v>0</v>
      </c>
      <c r="U586" s="54">
        <f>Данные!U586</f>
        <v>0</v>
      </c>
      <c r="V586" s="54">
        <f>Данные!V586</f>
        <v>0</v>
      </c>
      <c r="W586" s="54">
        <f ca="1">Данные!W586</f>
        <v>29</v>
      </c>
      <c r="X586" s="54" t="str">
        <f ca="1">Данные!X586</f>
        <v>1</v>
      </c>
      <c r="Y586" s="54" t="str">
        <f ca="1">Данные!Y586</f>
        <v>2</v>
      </c>
      <c r="Z586" s="54">
        <f>Данные!Z586</f>
        <v>0</v>
      </c>
      <c r="AA586" s="54" t="str">
        <f>Данные!AA586</f>
        <v>осн</v>
      </c>
      <c r="AB586" s="101">
        <f t="shared" si="85"/>
        <v>800</v>
      </c>
      <c r="AC586" s="101" t="str">
        <f t="shared" si="86"/>
        <v>ИВТ (бак)</v>
      </c>
      <c r="AD586" s="101" t="str">
        <f t="shared" si="87"/>
        <v/>
      </c>
      <c r="AE586" s="102">
        <f t="shared" ca="1" si="88"/>
        <v>85.47</v>
      </c>
      <c r="AF586" s="103">
        <f t="shared" ca="1" si="89"/>
        <v>0.1068375</v>
      </c>
      <c r="AG586" s="101"/>
      <c r="AH586" s="101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Q586" s="72">
        <v>0</v>
      </c>
      <c r="BR586" s="72">
        <v>0</v>
      </c>
      <c r="BS586" s="72">
        <v>0</v>
      </c>
      <c r="BT586" s="72">
        <v>0</v>
      </c>
      <c r="BU586" s="72">
        <v>0</v>
      </c>
      <c r="BV586" s="72">
        <v>0</v>
      </c>
      <c r="BW586" s="72">
        <v>0</v>
      </c>
      <c r="BX586" s="72">
        <v>0</v>
      </c>
      <c r="BY586" s="72">
        <v>0</v>
      </c>
      <c r="BZ586" s="72">
        <v>0</v>
      </c>
      <c r="CA586" s="72">
        <v>0</v>
      </c>
      <c r="CB586" s="72">
        <v>0</v>
      </c>
      <c r="CC586" s="72">
        <v>0</v>
      </c>
      <c r="CD586" s="72">
        <v>0</v>
      </c>
      <c r="CE586" s="72">
        <v>0</v>
      </c>
      <c r="CF586" s="72">
        <v>0</v>
      </c>
      <c r="CG586" s="72">
        <v>0</v>
      </c>
      <c r="CH586" s="72">
        <v>0</v>
      </c>
      <c r="CI586" s="72">
        <v>0</v>
      </c>
      <c r="CJ586" s="72">
        <v>0</v>
      </c>
      <c r="CK586" s="72">
        <v>0</v>
      </c>
      <c r="CL586" s="72">
        <v>0</v>
      </c>
      <c r="CM586" s="72">
        <v>0</v>
      </c>
      <c r="CN586" s="72">
        <v>0</v>
      </c>
      <c r="CO586" s="72">
        <v>0</v>
      </c>
      <c r="CP586" s="72">
        <v>0</v>
      </c>
      <c r="CQ586" s="72">
        <v>0</v>
      </c>
      <c r="CR586" s="72">
        <v>0</v>
      </c>
      <c r="CS586" s="72">
        <v>0</v>
      </c>
      <c r="CT586" s="72">
        <v>0</v>
      </c>
      <c r="CU586" s="72">
        <v>0</v>
      </c>
      <c r="CV586" s="72">
        <v>0</v>
      </c>
      <c r="CW586" s="72">
        <v>0</v>
      </c>
      <c r="CX586" s="72">
        <v>0</v>
      </c>
      <c r="CY586" s="72">
        <v>0</v>
      </c>
      <c r="CZ586" s="72">
        <v>0</v>
      </c>
      <c r="DA586" s="72">
        <v>0</v>
      </c>
      <c r="DB586" s="72">
        <v>0</v>
      </c>
      <c r="DC586" s="72">
        <v>0</v>
      </c>
      <c r="DD586" s="72">
        <v>0</v>
      </c>
      <c r="DE586" s="72">
        <v>0</v>
      </c>
      <c r="DF586" s="72">
        <v>0</v>
      </c>
      <c r="DG586" s="72">
        <v>0</v>
      </c>
      <c r="DH586" s="72">
        <v>0</v>
      </c>
      <c r="DI586" s="72">
        <v>0</v>
      </c>
      <c r="DJ586" s="72">
        <v>0</v>
      </c>
      <c r="DK586" s="72">
        <v>0</v>
      </c>
      <c r="DL586" s="72">
        <v>0</v>
      </c>
      <c r="DM586" s="72">
        <v>0</v>
      </c>
      <c r="DN586" s="72">
        <v>0</v>
      </c>
      <c r="DO586" s="72">
        <v>0</v>
      </c>
      <c r="DP586" s="72">
        <v>0</v>
      </c>
      <c r="DQ586" s="72">
        <v>0</v>
      </c>
      <c r="DR586" s="72">
        <v>0</v>
      </c>
      <c r="DS586" s="72">
        <v>0</v>
      </c>
      <c r="DT586" s="72">
        <v>0</v>
      </c>
      <c r="DU586" s="72">
        <v>0</v>
      </c>
      <c r="DV586" s="72">
        <v>0</v>
      </c>
      <c r="DW586" s="72">
        <v>0</v>
      </c>
      <c r="DX586" s="72">
        <v>0</v>
      </c>
      <c r="DY586" s="72">
        <v>0</v>
      </c>
      <c r="DZ586" s="72">
        <v>0</v>
      </c>
      <c r="EA586" s="72">
        <v>0</v>
      </c>
      <c r="EB586" s="72">
        <v>0</v>
      </c>
      <c r="EC586" s="72">
        <v>0</v>
      </c>
      <c r="ED586" s="72">
        <v>0</v>
      </c>
      <c r="EE586" s="72">
        <v>0</v>
      </c>
      <c r="EF586" s="72">
        <v>0</v>
      </c>
      <c r="EG586" s="72">
        <v>0</v>
      </c>
      <c r="EH586" s="72">
        <v>0</v>
      </c>
      <c r="EI586" s="72">
        <v>0</v>
      </c>
      <c r="EJ586" s="72">
        <v>0</v>
      </c>
      <c r="EK586" s="72">
        <v>0</v>
      </c>
      <c r="EL586" s="72">
        <v>0</v>
      </c>
    </row>
    <row r="587" spans="1:142" x14ac:dyDescent="0.35">
      <c r="A587" s="59">
        <f>Данные!A587</f>
        <v>6368</v>
      </c>
      <c r="B587" s="59">
        <f>Данные!B587</f>
        <v>2020</v>
      </c>
      <c r="C587" s="59" t="str">
        <f>Данные!C587</f>
        <v>современных европейских языков</v>
      </c>
      <c r="D587" s="59" t="str">
        <f>Данные!D587</f>
        <v>Кудрявцева Наталья Фаддеевна</v>
      </c>
      <c r="E587" s="59" t="str">
        <f>Данные!E587</f>
        <v>кандидат социологических наук</v>
      </c>
      <c r="F587" s="59" t="str">
        <f>Данные!F587</f>
        <v>доцент</v>
      </c>
      <c r="G587" s="59">
        <f>Данные!G587</f>
        <v>1</v>
      </c>
      <c r="H587" s="59" t="str">
        <f>Данные!H587</f>
        <v>3 курс 2018 год/пост</v>
      </c>
      <c r="I587" s="59" t="str">
        <f>Данные!I587</f>
        <v>Модуль "Основы профессионального общения на иностранном языке". Грамматические аспекты иноязычной коммуникации</v>
      </c>
      <c r="J587" s="59">
        <f>Данные!J587</f>
        <v>0</v>
      </c>
      <c r="K587" s="59">
        <f>Данные!K587</f>
        <v>0</v>
      </c>
      <c r="L587" s="59">
        <f>Данные!L587</f>
        <v>108</v>
      </c>
      <c r="M587" s="60">
        <f t="shared" si="81"/>
        <v>10.8</v>
      </c>
      <c r="N587" s="60">
        <f t="shared" ca="1" si="82"/>
        <v>11.57</v>
      </c>
      <c r="O587" s="60">
        <f t="shared" ca="1" si="83"/>
        <v>7.25</v>
      </c>
      <c r="P587" s="60">
        <f t="shared" ca="1" si="84"/>
        <v>7.25</v>
      </c>
      <c r="Q587" s="54">
        <f>Данные!Q587</f>
        <v>0</v>
      </c>
      <c r="R587" s="54">
        <f>Данные!R587</f>
        <v>0</v>
      </c>
      <c r="S587" s="54">
        <f>Данные!S587</f>
        <v>0</v>
      </c>
      <c r="T587" s="54">
        <f>Данные!T587</f>
        <v>0</v>
      </c>
      <c r="U587" s="54">
        <f>Данные!U587</f>
        <v>0</v>
      </c>
      <c r="V587" s="54">
        <f>Данные!V587</f>
        <v>0</v>
      </c>
      <c r="W587" s="54">
        <f ca="1">Данные!W587</f>
        <v>29</v>
      </c>
      <c r="X587" s="54" t="str">
        <f ca="1">Данные!X587</f>
        <v>1</v>
      </c>
      <c r="Y587" s="54" t="str">
        <f ca="1">Данные!Y587</f>
        <v>2</v>
      </c>
      <c r="Z587" s="54">
        <f>Данные!Z587</f>
        <v>0</v>
      </c>
      <c r="AA587" s="54" t="str">
        <f>Данные!AA587</f>
        <v>осн</v>
      </c>
      <c r="AB587" s="101">
        <f t="shared" si="85"/>
        <v>800</v>
      </c>
      <c r="AC587" s="101" t="str">
        <f t="shared" si="86"/>
        <v>ИВТ (бак)</v>
      </c>
      <c r="AD587" s="101" t="str">
        <f t="shared" si="87"/>
        <v/>
      </c>
      <c r="AE587" s="102">
        <f t="shared" ca="1" si="88"/>
        <v>144.87</v>
      </c>
      <c r="AF587" s="103">
        <f t="shared" ca="1" si="89"/>
        <v>0.18108750000000001</v>
      </c>
      <c r="AG587" s="101"/>
      <c r="AH587" s="101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Q587" s="72">
        <v>0</v>
      </c>
      <c r="BR587" s="72">
        <v>0</v>
      </c>
      <c r="BS587" s="72">
        <v>0</v>
      </c>
      <c r="BT587" s="72">
        <v>0</v>
      </c>
      <c r="BU587" s="72">
        <v>0</v>
      </c>
      <c r="BV587" s="72">
        <v>0</v>
      </c>
      <c r="BW587" s="72">
        <v>0</v>
      </c>
      <c r="BX587" s="72">
        <v>0</v>
      </c>
      <c r="BY587" s="72">
        <v>0</v>
      </c>
      <c r="BZ587" s="72">
        <v>0</v>
      </c>
      <c r="CA587" s="72">
        <v>0</v>
      </c>
      <c r="CB587" s="72">
        <v>0</v>
      </c>
      <c r="CC587" s="72">
        <v>0</v>
      </c>
      <c r="CD587" s="72">
        <v>0</v>
      </c>
      <c r="CE587" s="72">
        <v>0</v>
      </c>
      <c r="CF587" s="72">
        <v>0</v>
      </c>
      <c r="CG587" s="72">
        <v>0</v>
      </c>
      <c r="CH587" s="72">
        <v>0</v>
      </c>
      <c r="CI587" s="72">
        <v>0</v>
      </c>
      <c r="CJ587" s="72">
        <v>0</v>
      </c>
      <c r="CK587" s="72">
        <v>0</v>
      </c>
      <c r="CL587" s="72">
        <v>0</v>
      </c>
      <c r="CM587" s="72">
        <v>0</v>
      </c>
      <c r="CN587" s="72">
        <v>0</v>
      </c>
      <c r="CO587" s="72">
        <v>0</v>
      </c>
      <c r="CP587" s="72">
        <v>0</v>
      </c>
      <c r="CQ587" s="72">
        <v>0</v>
      </c>
      <c r="CR587" s="72">
        <v>0</v>
      </c>
      <c r="CS587" s="72">
        <v>0</v>
      </c>
      <c r="CT587" s="72">
        <v>0</v>
      </c>
      <c r="CU587" s="72">
        <v>0</v>
      </c>
      <c r="CV587" s="72">
        <v>0</v>
      </c>
      <c r="CW587" s="72">
        <v>0</v>
      </c>
      <c r="CX587" s="72">
        <v>0</v>
      </c>
      <c r="CY587" s="72">
        <v>0</v>
      </c>
      <c r="CZ587" s="72">
        <v>0</v>
      </c>
      <c r="DA587" s="72">
        <v>0</v>
      </c>
      <c r="DB587" s="72">
        <v>0</v>
      </c>
      <c r="DC587" s="72">
        <v>0</v>
      </c>
      <c r="DD587" s="72">
        <v>0</v>
      </c>
      <c r="DE587" s="72">
        <v>0</v>
      </c>
      <c r="DF587" s="72">
        <v>0</v>
      </c>
      <c r="DG587" s="72">
        <v>0</v>
      </c>
      <c r="DH587" s="72">
        <v>0</v>
      </c>
      <c r="DI587" s="72">
        <v>0</v>
      </c>
      <c r="DJ587" s="72">
        <v>0</v>
      </c>
      <c r="DK587" s="72">
        <v>0</v>
      </c>
      <c r="DL587" s="72">
        <v>0</v>
      </c>
      <c r="DM587" s="72">
        <v>0</v>
      </c>
      <c r="DN587" s="72">
        <v>0</v>
      </c>
      <c r="DO587" s="72">
        <v>0</v>
      </c>
      <c r="DP587" s="72">
        <v>0</v>
      </c>
      <c r="DQ587" s="72">
        <v>0</v>
      </c>
      <c r="DR587" s="72">
        <v>0</v>
      </c>
      <c r="DS587" s="72">
        <v>0</v>
      </c>
      <c r="DT587" s="72">
        <v>0</v>
      </c>
      <c r="DU587" s="72">
        <v>0</v>
      </c>
      <c r="DV587" s="72">
        <v>0</v>
      </c>
      <c r="DW587" s="72">
        <v>0</v>
      </c>
      <c r="DX587" s="72">
        <v>0</v>
      </c>
      <c r="DY587" s="72">
        <v>0</v>
      </c>
      <c r="DZ587" s="72">
        <v>0</v>
      </c>
      <c r="EA587" s="72">
        <v>0</v>
      </c>
      <c r="EB587" s="72">
        <v>0</v>
      </c>
      <c r="EC587" s="72">
        <v>0</v>
      </c>
      <c r="ED587" s="72">
        <v>0</v>
      </c>
      <c r="EE587" s="72">
        <v>0</v>
      </c>
      <c r="EF587" s="72">
        <v>0</v>
      </c>
      <c r="EG587" s="72">
        <v>0</v>
      </c>
      <c r="EH587" s="72">
        <v>0</v>
      </c>
      <c r="EI587" s="72">
        <v>0</v>
      </c>
      <c r="EJ587" s="72">
        <v>0</v>
      </c>
      <c r="EK587" s="72">
        <v>0</v>
      </c>
      <c r="EL587" s="72">
        <v>0</v>
      </c>
    </row>
    <row r="588" spans="1:142" x14ac:dyDescent="0.35">
      <c r="A588" s="59">
        <f>Данные!A588</f>
        <v>6368</v>
      </c>
      <c r="B588" s="59">
        <f>Данные!B588</f>
        <v>2020</v>
      </c>
      <c r="C588" s="59" t="str">
        <f>Данные!C588</f>
        <v>теории права и гражданско-правового образования</v>
      </c>
      <c r="D588" s="59" t="str">
        <f>Данные!D588</f>
        <v>Разуваев Николай Викторович</v>
      </c>
      <c r="E588" s="59" t="str">
        <f>Данные!E588</f>
        <v>кандидат юридических наук</v>
      </c>
      <c r="F588" s="59" t="str">
        <f>Данные!F588</f>
        <v>доцент</v>
      </c>
      <c r="G588" s="59">
        <f>Данные!G588</f>
        <v>0</v>
      </c>
      <c r="H588" s="59" t="str">
        <f>Данные!H588</f>
        <v>3 курс 2018 год/пост</v>
      </c>
      <c r="I588" s="59" t="str">
        <f>Данные!I588</f>
        <v>Модуль "Экономико-правовой". Правоведение</v>
      </c>
      <c r="J588" s="59">
        <f>Данные!J588</f>
        <v>18</v>
      </c>
      <c r="K588" s="59">
        <f>Данные!K588</f>
        <v>36</v>
      </c>
      <c r="L588" s="59">
        <f>Данные!L588</f>
        <v>0</v>
      </c>
      <c r="M588" s="60">
        <f t="shared" si="81"/>
        <v>5.4</v>
      </c>
      <c r="N588" s="60">
        <f t="shared" ca="1" si="82"/>
        <v>11.57</v>
      </c>
      <c r="O588" s="60">
        <f t="shared" ca="1" si="83"/>
        <v>7.25</v>
      </c>
      <c r="P588" s="60">
        <f t="shared" ca="1" si="84"/>
        <v>7.25</v>
      </c>
      <c r="Q588" s="54">
        <f>Данные!Q588</f>
        <v>0</v>
      </c>
      <c r="R588" s="54">
        <f>Данные!R588</f>
        <v>0</v>
      </c>
      <c r="S588" s="54">
        <f>Данные!S588</f>
        <v>0</v>
      </c>
      <c r="T588" s="54">
        <f>Данные!T588</f>
        <v>0</v>
      </c>
      <c r="U588" s="54">
        <f>Данные!U588</f>
        <v>0</v>
      </c>
      <c r="V588" s="54">
        <f>Данные!V588</f>
        <v>0</v>
      </c>
      <c r="W588" s="54">
        <f ca="1">Данные!W588</f>
        <v>29</v>
      </c>
      <c r="X588" s="54" t="str">
        <f ca="1">Данные!X588</f>
        <v>1</v>
      </c>
      <c r="Y588" s="54" t="str">
        <f ca="1">Данные!Y588</f>
        <v>2</v>
      </c>
      <c r="Z588" s="54">
        <f>Данные!Z588</f>
        <v>0</v>
      </c>
      <c r="AA588" s="54" t="str">
        <f>Данные!AA588</f>
        <v>осн</v>
      </c>
      <c r="AB588" s="101">
        <f t="shared" si="85"/>
        <v>800</v>
      </c>
      <c r="AC588" s="101" t="str">
        <f t="shared" si="86"/>
        <v>ИВТ (бак)</v>
      </c>
      <c r="AD588" s="101" t="str">
        <f t="shared" si="87"/>
        <v/>
      </c>
      <c r="AE588" s="102">
        <f t="shared" ca="1" si="88"/>
        <v>85.47</v>
      </c>
      <c r="AF588" s="103">
        <f t="shared" ca="1" si="89"/>
        <v>0.1068375</v>
      </c>
      <c r="AG588" s="101"/>
      <c r="AH588" s="101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Q588" s="72">
        <v>0</v>
      </c>
      <c r="BR588" s="72">
        <v>0</v>
      </c>
      <c r="BS588" s="72">
        <v>0</v>
      </c>
      <c r="BT588" s="72">
        <v>0</v>
      </c>
      <c r="BU588" s="72">
        <v>0</v>
      </c>
      <c r="BV588" s="72">
        <v>0</v>
      </c>
      <c r="BW588" s="72">
        <v>0</v>
      </c>
      <c r="BX588" s="72">
        <v>0</v>
      </c>
      <c r="BY588" s="72">
        <v>0</v>
      </c>
      <c r="BZ588" s="72">
        <v>0</v>
      </c>
      <c r="CA588" s="72">
        <v>0</v>
      </c>
      <c r="CB588" s="72">
        <v>0</v>
      </c>
      <c r="CC588" s="72">
        <v>0</v>
      </c>
      <c r="CD588" s="72">
        <v>0</v>
      </c>
      <c r="CE588" s="72">
        <v>0</v>
      </c>
      <c r="CF588" s="72">
        <v>0</v>
      </c>
      <c r="CG588" s="72">
        <v>0</v>
      </c>
      <c r="CH588" s="72">
        <v>0</v>
      </c>
      <c r="CI588" s="72">
        <v>0</v>
      </c>
      <c r="CJ588" s="72">
        <v>0</v>
      </c>
      <c r="CK588" s="72">
        <v>0</v>
      </c>
      <c r="CL588" s="72">
        <v>0</v>
      </c>
      <c r="CM588" s="72">
        <v>0</v>
      </c>
      <c r="CN588" s="72">
        <v>0</v>
      </c>
      <c r="CO588" s="72">
        <v>0</v>
      </c>
      <c r="CP588" s="72">
        <v>0</v>
      </c>
      <c r="CQ588" s="72">
        <v>0</v>
      </c>
      <c r="CR588" s="72">
        <v>0</v>
      </c>
      <c r="CS588" s="72">
        <v>0</v>
      </c>
      <c r="CT588" s="72">
        <v>0</v>
      </c>
      <c r="CU588" s="72">
        <v>0</v>
      </c>
      <c r="CV588" s="72">
        <v>0</v>
      </c>
      <c r="CW588" s="72">
        <v>0</v>
      </c>
      <c r="CX588" s="72">
        <v>0</v>
      </c>
      <c r="CY588" s="72">
        <v>0</v>
      </c>
      <c r="CZ588" s="72">
        <v>0</v>
      </c>
      <c r="DA588" s="72">
        <v>0</v>
      </c>
      <c r="DB588" s="72">
        <v>0</v>
      </c>
      <c r="DC588" s="72">
        <v>0</v>
      </c>
      <c r="DD588" s="72">
        <v>0</v>
      </c>
      <c r="DE588" s="72">
        <v>0</v>
      </c>
      <c r="DF588" s="72">
        <v>0</v>
      </c>
      <c r="DG588" s="72">
        <v>0</v>
      </c>
      <c r="DH588" s="72">
        <v>0</v>
      </c>
      <c r="DI588" s="72">
        <v>0</v>
      </c>
      <c r="DJ588" s="72">
        <v>0</v>
      </c>
      <c r="DK588" s="72">
        <v>0</v>
      </c>
      <c r="DL588" s="72">
        <v>0</v>
      </c>
      <c r="DM588" s="72">
        <v>0</v>
      </c>
      <c r="DN588" s="72">
        <v>0</v>
      </c>
      <c r="DO588" s="72">
        <v>0</v>
      </c>
      <c r="DP588" s="72">
        <v>0</v>
      </c>
      <c r="DQ588" s="72">
        <v>0</v>
      </c>
      <c r="DR588" s="72">
        <v>0</v>
      </c>
      <c r="DS588" s="72">
        <v>0</v>
      </c>
      <c r="DT588" s="72">
        <v>0</v>
      </c>
      <c r="DU588" s="72">
        <v>0</v>
      </c>
      <c r="DV588" s="72">
        <v>0</v>
      </c>
      <c r="DW588" s="72">
        <v>0</v>
      </c>
      <c r="DX588" s="72">
        <v>0</v>
      </c>
      <c r="DY588" s="72">
        <v>0</v>
      </c>
      <c r="DZ588" s="72">
        <v>0</v>
      </c>
      <c r="EA588" s="72">
        <v>0</v>
      </c>
      <c r="EB588" s="72">
        <v>0</v>
      </c>
      <c r="EC588" s="72">
        <v>0</v>
      </c>
      <c r="ED588" s="72">
        <v>0</v>
      </c>
      <c r="EE588" s="72">
        <v>0</v>
      </c>
      <c r="EF588" s="72">
        <v>0</v>
      </c>
      <c r="EG588" s="72">
        <v>0</v>
      </c>
      <c r="EH588" s="72">
        <v>0</v>
      </c>
      <c r="EI588" s="72">
        <v>0</v>
      </c>
      <c r="EJ588" s="72">
        <v>0</v>
      </c>
      <c r="EK588" s="72">
        <v>0</v>
      </c>
      <c r="EL588" s="72">
        <v>0</v>
      </c>
    </row>
    <row r="589" spans="1:142" x14ac:dyDescent="0.35">
      <c r="A589" s="59">
        <f>Данные!A589</f>
        <v>6368</v>
      </c>
      <c r="B589" s="59">
        <f>Данные!B589</f>
        <v>2020</v>
      </c>
      <c r="C589" s="59" t="str">
        <f>Данные!C589</f>
        <v>социальной безопасности</v>
      </c>
      <c r="D589" s="59" t="str">
        <f>Данные!D589</f>
        <v>Абдуллаева Любовь Магомедовна</v>
      </c>
      <c r="E589" s="59" t="str">
        <f>Данные!E589</f>
        <v>нет</v>
      </c>
      <c r="F589" s="59" t="str">
        <f>Данные!F589</f>
        <v>старший преподаватель</v>
      </c>
      <c r="G589" s="59">
        <f>Данные!G589</f>
        <v>0</v>
      </c>
      <c r="H589" s="59" t="str">
        <f>Данные!H589</f>
        <v>3 курс 2018 год/пост</v>
      </c>
      <c r="I589" s="59" t="str">
        <f>Данные!I589</f>
        <v>Модуль "Здоровьесберегающий". Экология</v>
      </c>
      <c r="J589" s="59">
        <f>Данные!J589</f>
        <v>16</v>
      </c>
      <c r="K589" s="59">
        <f>Данные!K589</f>
        <v>36</v>
      </c>
      <c r="L589" s="59">
        <f>Данные!L589</f>
        <v>0</v>
      </c>
      <c r="M589" s="60">
        <f t="shared" si="81"/>
        <v>5.2</v>
      </c>
      <c r="N589" s="60">
        <f t="shared" ca="1" si="82"/>
        <v>11.57</v>
      </c>
      <c r="O589" s="60">
        <f t="shared" ca="1" si="83"/>
        <v>7.25</v>
      </c>
      <c r="P589" s="60">
        <f t="shared" ca="1" si="84"/>
        <v>7.25</v>
      </c>
      <c r="Q589" s="54">
        <f>Данные!Q589</f>
        <v>0</v>
      </c>
      <c r="R589" s="54">
        <f>Данные!R589</f>
        <v>0</v>
      </c>
      <c r="S589" s="54">
        <f>Данные!S589</f>
        <v>0</v>
      </c>
      <c r="T589" s="54">
        <f>Данные!T589</f>
        <v>0</v>
      </c>
      <c r="U589" s="54">
        <f>Данные!U589</f>
        <v>0</v>
      </c>
      <c r="V589" s="54">
        <f>Данные!V589</f>
        <v>0</v>
      </c>
      <c r="W589" s="54">
        <f ca="1">Данные!W589</f>
        <v>29</v>
      </c>
      <c r="X589" s="54" t="str">
        <f ca="1">Данные!X589</f>
        <v>1</v>
      </c>
      <c r="Y589" s="54" t="str">
        <f ca="1">Данные!Y589</f>
        <v>2</v>
      </c>
      <c r="Z589" s="54">
        <f>Данные!Z589</f>
        <v>0</v>
      </c>
      <c r="AA589" s="54" t="str">
        <f>Данные!AA589</f>
        <v>осн</v>
      </c>
      <c r="AB589" s="101">
        <f t="shared" si="85"/>
        <v>850</v>
      </c>
      <c r="AC589" s="101" t="str">
        <f t="shared" si="86"/>
        <v>ИВТ (бак)</v>
      </c>
      <c r="AD589" s="101" t="str">
        <f t="shared" si="87"/>
        <v/>
      </c>
      <c r="AE589" s="102">
        <f t="shared" ca="1" si="88"/>
        <v>83.27000000000001</v>
      </c>
      <c r="AF589" s="103">
        <f t="shared" ca="1" si="89"/>
        <v>9.7964705882352954E-2</v>
      </c>
      <c r="AG589" s="101"/>
      <c r="AH589" s="101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Q589" s="72">
        <v>0</v>
      </c>
      <c r="BR589" s="72">
        <v>0</v>
      </c>
      <c r="BS589" s="72">
        <v>0</v>
      </c>
      <c r="BT589" s="72">
        <v>0</v>
      </c>
      <c r="BU589" s="72">
        <v>0</v>
      </c>
      <c r="BV589" s="72">
        <v>0</v>
      </c>
      <c r="BW589" s="72">
        <v>0</v>
      </c>
      <c r="BX589" s="72">
        <v>0</v>
      </c>
      <c r="BY589" s="72">
        <v>0</v>
      </c>
      <c r="BZ589" s="72">
        <v>0</v>
      </c>
      <c r="CA589" s="72">
        <v>0</v>
      </c>
      <c r="CB589" s="72">
        <v>0</v>
      </c>
      <c r="CC589" s="72">
        <v>0</v>
      </c>
      <c r="CD589" s="72">
        <v>0</v>
      </c>
      <c r="CE589" s="72">
        <v>0</v>
      </c>
      <c r="CF589" s="72">
        <v>0</v>
      </c>
      <c r="CG589" s="72">
        <v>0</v>
      </c>
      <c r="CH589" s="72">
        <v>0</v>
      </c>
      <c r="CI589" s="72">
        <v>0</v>
      </c>
      <c r="CJ589" s="72">
        <v>0</v>
      </c>
      <c r="CK589" s="72">
        <v>0</v>
      </c>
      <c r="CL589" s="72">
        <v>0</v>
      </c>
      <c r="CM589" s="72">
        <v>0</v>
      </c>
      <c r="CN589" s="72">
        <v>0</v>
      </c>
      <c r="CO589" s="72">
        <v>0</v>
      </c>
      <c r="CP589" s="72">
        <v>0</v>
      </c>
      <c r="CQ589" s="72">
        <v>0</v>
      </c>
      <c r="CR589" s="72">
        <v>0</v>
      </c>
      <c r="CS589" s="72">
        <v>0</v>
      </c>
      <c r="CT589" s="72">
        <v>0</v>
      </c>
      <c r="CU589" s="72">
        <v>0</v>
      </c>
      <c r="CV589" s="72">
        <v>0</v>
      </c>
      <c r="CW589" s="72">
        <v>0</v>
      </c>
      <c r="CX589" s="72">
        <v>0</v>
      </c>
      <c r="CY589" s="72">
        <v>0</v>
      </c>
      <c r="CZ589" s="72">
        <v>0</v>
      </c>
      <c r="DA589" s="72">
        <v>0</v>
      </c>
      <c r="DB589" s="72">
        <v>0</v>
      </c>
      <c r="DC589" s="72">
        <v>0</v>
      </c>
      <c r="DD589" s="72">
        <v>0</v>
      </c>
      <c r="DE589" s="72">
        <v>0</v>
      </c>
      <c r="DF589" s="72">
        <v>0</v>
      </c>
      <c r="DG589" s="72">
        <v>0</v>
      </c>
      <c r="DH589" s="72">
        <v>0</v>
      </c>
      <c r="DI589" s="72">
        <v>0</v>
      </c>
      <c r="DJ589" s="72">
        <v>0</v>
      </c>
      <c r="DK589" s="72">
        <v>0</v>
      </c>
      <c r="DL589" s="72">
        <v>0</v>
      </c>
      <c r="DM589" s="72">
        <v>0</v>
      </c>
      <c r="DN589" s="72">
        <v>0</v>
      </c>
      <c r="DO589" s="72">
        <v>0</v>
      </c>
      <c r="DP589" s="72">
        <v>0</v>
      </c>
      <c r="DQ589" s="72">
        <v>0</v>
      </c>
      <c r="DR589" s="72">
        <v>0</v>
      </c>
      <c r="DS589" s="72">
        <v>0</v>
      </c>
      <c r="DT589" s="72">
        <v>0</v>
      </c>
      <c r="DU589" s="72">
        <v>0</v>
      </c>
      <c r="DV589" s="72">
        <v>0</v>
      </c>
      <c r="DW589" s="72">
        <v>0</v>
      </c>
      <c r="DX589" s="72">
        <v>0</v>
      </c>
      <c r="DY589" s="72">
        <v>0</v>
      </c>
      <c r="DZ589" s="72">
        <v>0</v>
      </c>
      <c r="EA589" s="72">
        <v>0</v>
      </c>
      <c r="EB589" s="72">
        <v>0</v>
      </c>
      <c r="EC589" s="72">
        <v>0</v>
      </c>
      <c r="ED589" s="72">
        <v>0</v>
      </c>
      <c r="EE589" s="72">
        <v>0</v>
      </c>
      <c r="EF589" s="72">
        <v>0</v>
      </c>
      <c r="EG589" s="72">
        <v>0</v>
      </c>
      <c r="EH589" s="72">
        <v>0</v>
      </c>
      <c r="EI589" s="72">
        <v>0</v>
      </c>
      <c r="EJ589" s="72">
        <v>0</v>
      </c>
      <c r="EK589" s="72">
        <v>0</v>
      </c>
      <c r="EL589" s="72">
        <v>0</v>
      </c>
    </row>
    <row r="590" spans="1:142" x14ac:dyDescent="0.35">
      <c r="A590" s="59">
        <f>Данные!A590</f>
        <v>6368</v>
      </c>
      <c r="B590" s="59">
        <f>Данные!B590</f>
        <v>2020</v>
      </c>
      <c r="C590" s="59" t="str">
        <f>Данные!C590</f>
        <v>физической электроники</v>
      </c>
      <c r="D590" s="59" t="str">
        <f>Данные!D590</f>
        <v>Жаркой Александр Борисович</v>
      </c>
      <c r="E590" s="59" t="str">
        <f>Данные!E590</f>
        <v>кандидат физ.-мат. наук</v>
      </c>
      <c r="F590" s="59" t="str">
        <f>Данные!F590</f>
        <v>доцент</v>
      </c>
      <c r="G590" s="59">
        <f>Данные!G590</f>
        <v>0.75</v>
      </c>
      <c r="H590" s="59" t="str">
        <f>Данные!H590</f>
        <v>3 курс 2018 год/пост</v>
      </c>
      <c r="I590" s="59" t="str">
        <f>Данные!I590</f>
        <v>Модуль "Организация ЭВМ". Введение в нанотехнологии</v>
      </c>
      <c r="J590" s="59">
        <f>Данные!J590</f>
        <v>0</v>
      </c>
      <c r="K590" s="59">
        <f>Данные!K590</f>
        <v>0</v>
      </c>
      <c r="L590" s="59">
        <f>Данные!L590</f>
        <v>108</v>
      </c>
      <c r="M590" s="60">
        <f t="shared" si="81"/>
        <v>10.8</v>
      </c>
      <c r="N590" s="60">
        <f t="shared" ca="1" si="82"/>
        <v>11.57</v>
      </c>
      <c r="O590" s="60">
        <f t="shared" ca="1" si="83"/>
        <v>7.25</v>
      </c>
      <c r="P590" s="60">
        <f t="shared" ca="1" si="84"/>
        <v>7.25</v>
      </c>
      <c r="Q590" s="54">
        <f>Данные!Q590</f>
        <v>0</v>
      </c>
      <c r="R590" s="54">
        <f>Данные!R590</f>
        <v>0</v>
      </c>
      <c r="S590" s="54">
        <f>Данные!S590</f>
        <v>0</v>
      </c>
      <c r="T590" s="54">
        <f>Данные!T590</f>
        <v>0</v>
      </c>
      <c r="U590" s="54">
        <f>Данные!U590</f>
        <v>0</v>
      </c>
      <c r="V590" s="54">
        <f>Данные!V590</f>
        <v>0</v>
      </c>
      <c r="W590" s="54">
        <f ca="1">Данные!W590</f>
        <v>29</v>
      </c>
      <c r="X590" s="54" t="str">
        <f ca="1">Данные!X590</f>
        <v>1</v>
      </c>
      <c r="Y590" s="54" t="str">
        <f ca="1">Данные!Y590</f>
        <v>2</v>
      </c>
      <c r="Z590" s="54">
        <f>Данные!Z590</f>
        <v>0</v>
      </c>
      <c r="AA590" s="54">
        <f>Данные!AA590</f>
        <v>0</v>
      </c>
      <c r="AB590" s="101">
        <f t="shared" si="85"/>
        <v>800</v>
      </c>
      <c r="AC590" s="101" t="str">
        <f t="shared" si="86"/>
        <v>ИВТ (бак)</v>
      </c>
      <c r="AD590" s="101" t="str">
        <f t="shared" si="87"/>
        <v/>
      </c>
      <c r="AE590" s="102">
        <f t="shared" ca="1" si="88"/>
        <v>144.87</v>
      </c>
      <c r="AF590" s="103">
        <f t="shared" ca="1" si="89"/>
        <v>0.18108750000000001</v>
      </c>
      <c r="AG590" s="101"/>
      <c r="AH590" s="101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Q590" s="72">
        <v>0</v>
      </c>
      <c r="BR590" s="72">
        <v>0</v>
      </c>
      <c r="BS590" s="72">
        <v>0</v>
      </c>
      <c r="BT590" s="72">
        <v>0</v>
      </c>
      <c r="BU590" s="72">
        <v>0</v>
      </c>
      <c r="BV590" s="72">
        <v>0</v>
      </c>
      <c r="BW590" s="72">
        <v>0</v>
      </c>
      <c r="BX590" s="72">
        <v>0</v>
      </c>
      <c r="BY590" s="72">
        <v>0</v>
      </c>
      <c r="BZ590" s="72">
        <v>0</v>
      </c>
      <c r="CA590" s="72">
        <v>0</v>
      </c>
      <c r="CB590" s="72">
        <v>0</v>
      </c>
      <c r="CC590" s="72">
        <v>0</v>
      </c>
      <c r="CD590" s="72">
        <v>0</v>
      </c>
      <c r="CE590" s="72">
        <v>0</v>
      </c>
      <c r="CF590" s="72">
        <v>0</v>
      </c>
      <c r="CG590" s="72">
        <v>0</v>
      </c>
      <c r="CH590" s="72">
        <v>0</v>
      </c>
      <c r="CI590" s="72">
        <v>0</v>
      </c>
      <c r="CJ590" s="72">
        <v>0</v>
      </c>
      <c r="CK590" s="72">
        <v>0</v>
      </c>
      <c r="CL590" s="72">
        <v>0</v>
      </c>
      <c r="CM590" s="72">
        <v>0</v>
      </c>
      <c r="CN590" s="72">
        <v>0</v>
      </c>
      <c r="CO590" s="72">
        <v>0</v>
      </c>
      <c r="CP590" s="72">
        <v>0</v>
      </c>
      <c r="CQ590" s="72">
        <v>0</v>
      </c>
      <c r="CR590" s="72">
        <v>0</v>
      </c>
      <c r="CS590" s="72">
        <v>0</v>
      </c>
      <c r="CT590" s="72">
        <v>0</v>
      </c>
      <c r="CU590" s="72">
        <v>0</v>
      </c>
      <c r="CV590" s="72">
        <v>0</v>
      </c>
      <c r="CW590" s="72">
        <v>0</v>
      </c>
      <c r="CX590" s="72">
        <v>0</v>
      </c>
      <c r="CY590" s="72">
        <v>0</v>
      </c>
      <c r="CZ590" s="72">
        <v>0</v>
      </c>
      <c r="DA590" s="72">
        <v>0</v>
      </c>
      <c r="DB590" s="72">
        <v>0</v>
      </c>
      <c r="DC590" s="72">
        <v>0</v>
      </c>
      <c r="DD590" s="72">
        <v>0</v>
      </c>
      <c r="DE590" s="72">
        <v>0</v>
      </c>
      <c r="DF590" s="72">
        <v>0</v>
      </c>
      <c r="DG590" s="72">
        <v>0</v>
      </c>
      <c r="DH590" s="72">
        <v>0</v>
      </c>
      <c r="DI590" s="72">
        <v>0</v>
      </c>
      <c r="DJ590" s="72">
        <v>0</v>
      </c>
      <c r="DK590" s="72">
        <v>0</v>
      </c>
      <c r="DL590" s="72">
        <v>0</v>
      </c>
      <c r="DM590" s="72">
        <v>0</v>
      </c>
      <c r="DN590" s="72">
        <v>0</v>
      </c>
      <c r="DO590" s="72">
        <v>0</v>
      </c>
      <c r="DP590" s="72">
        <v>0</v>
      </c>
      <c r="DQ590" s="72">
        <v>0</v>
      </c>
      <c r="DR590" s="72">
        <v>0</v>
      </c>
      <c r="DS590" s="72">
        <v>0</v>
      </c>
      <c r="DT590" s="72">
        <v>0</v>
      </c>
      <c r="DU590" s="72">
        <v>0</v>
      </c>
      <c r="DV590" s="72">
        <v>0</v>
      </c>
      <c r="DW590" s="72">
        <v>0</v>
      </c>
      <c r="DX590" s="72">
        <v>0</v>
      </c>
      <c r="DY590" s="72">
        <v>0</v>
      </c>
      <c r="DZ590" s="72">
        <v>0</v>
      </c>
      <c r="EA590" s="72">
        <v>0</v>
      </c>
      <c r="EB590" s="72">
        <v>0</v>
      </c>
      <c r="EC590" s="72">
        <v>0</v>
      </c>
      <c r="ED590" s="72">
        <v>0</v>
      </c>
      <c r="EE590" s="72">
        <v>0</v>
      </c>
      <c r="EF590" s="72">
        <v>0</v>
      </c>
      <c r="EG590" s="72">
        <v>0</v>
      </c>
      <c r="EH590" s="72">
        <v>0</v>
      </c>
      <c r="EI590" s="72">
        <v>0</v>
      </c>
      <c r="EJ590" s="72">
        <v>0</v>
      </c>
      <c r="EK590" s="72">
        <v>0</v>
      </c>
      <c r="EL590" s="72">
        <v>0</v>
      </c>
    </row>
    <row r="591" spans="1:142" x14ac:dyDescent="0.35">
      <c r="A591" s="59">
        <f>Данные!A591</f>
        <v>6368</v>
      </c>
      <c r="B591" s="59">
        <f>Данные!B591</f>
        <v>2020</v>
      </c>
      <c r="C591" s="59" t="str">
        <f>Данные!C591</f>
        <v>физической электроники</v>
      </c>
      <c r="D591" s="59" t="str">
        <f>Данные!D591</f>
        <v>Жаркой Александр Борисович</v>
      </c>
      <c r="E591" s="59" t="str">
        <f>Данные!E591</f>
        <v>кандидат физ.-мат. наук</v>
      </c>
      <c r="F591" s="59" t="str">
        <f>Данные!F591</f>
        <v>доцент</v>
      </c>
      <c r="G591" s="59">
        <f>Данные!G591</f>
        <v>0.75</v>
      </c>
      <c r="H591" s="59" t="str">
        <f>Данные!H591</f>
        <v>3 курс 2018 год/пост</v>
      </c>
      <c r="I591" s="59" t="str">
        <f>Данные!I591</f>
        <v>Модуль "Организация ЭВМ". Электротехника, электроника и схемотехника</v>
      </c>
      <c r="J591" s="59">
        <f>Данные!J591</f>
        <v>0</v>
      </c>
      <c r="K591" s="59">
        <f>Данные!K591</f>
        <v>36</v>
      </c>
      <c r="L591" s="59">
        <f>Данные!L591</f>
        <v>54</v>
      </c>
      <c r="M591" s="60">
        <f t="shared" si="81"/>
        <v>9</v>
      </c>
      <c r="N591" s="60">
        <f t="shared" ca="1" si="82"/>
        <v>11.57</v>
      </c>
      <c r="O591" s="60">
        <f t="shared" ca="1" si="83"/>
        <v>7.25</v>
      </c>
      <c r="P591" s="60">
        <f t="shared" ca="1" si="84"/>
        <v>7.25</v>
      </c>
      <c r="Q591" s="54">
        <f>Данные!Q591</f>
        <v>0</v>
      </c>
      <c r="R591" s="54">
        <f>Данные!R591</f>
        <v>0</v>
      </c>
      <c r="S591" s="54">
        <f>Данные!S591</f>
        <v>0</v>
      </c>
      <c r="T591" s="54">
        <f>Данные!T591</f>
        <v>0</v>
      </c>
      <c r="U591" s="54">
        <f>Данные!U591</f>
        <v>0</v>
      </c>
      <c r="V591" s="54">
        <f>Данные!V591</f>
        <v>0</v>
      </c>
      <c r="W591" s="54">
        <f ca="1">Данные!W591</f>
        <v>29</v>
      </c>
      <c r="X591" s="54" t="str">
        <f ca="1">Данные!X591</f>
        <v>1</v>
      </c>
      <c r="Y591" s="54" t="str">
        <f ca="1">Данные!Y591</f>
        <v>2</v>
      </c>
      <c r="Z591" s="54">
        <f>Данные!Z591</f>
        <v>0</v>
      </c>
      <c r="AA591" s="54">
        <f>Данные!AA591</f>
        <v>0</v>
      </c>
      <c r="AB591" s="101">
        <f t="shared" si="85"/>
        <v>800</v>
      </c>
      <c r="AC591" s="101" t="str">
        <f t="shared" si="86"/>
        <v>ИВТ (бак)</v>
      </c>
      <c r="AD591" s="101" t="str">
        <f t="shared" si="87"/>
        <v/>
      </c>
      <c r="AE591" s="102">
        <f t="shared" ca="1" si="88"/>
        <v>125.07</v>
      </c>
      <c r="AF591" s="103">
        <f t="shared" ca="1" si="89"/>
        <v>0.15633749999999999</v>
      </c>
      <c r="AG591" s="101"/>
      <c r="AH591" s="10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Q591" s="72">
        <v>0</v>
      </c>
      <c r="BR591" s="72">
        <v>0</v>
      </c>
      <c r="BS591" s="72">
        <v>0</v>
      </c>
      <c r="BT591" s="72">
        <v>0</v>
      </c>
      <c r="BU591" s="72">
        <v>0</v>
      </c>
      <c r="BV591" s="72">
        <v>0</v>
      </c>
      <c r="BW591" s="72">
        <v>0</v>
      </c>
      <c r="BX591" s="72">
        <v>0</v>
      </c>
      <c r="BY591" s="72">
        <v>0</v>
      </c>
      <c r="BZ591" s="72">
        <v>0</v>
      </c>
      <c r="CA591" s="72">
        <v>0</v>
      </c>
      <c r="CB591" s="72">
        <v>0</v>
      </c>
      <c r="CC591" s="72">
        <v>0</v>
      </c>
      <c r="CD591" s="72">
        <v>0</v>
      </c>
      <c r="CE591" s="72">
        <v>0</v>
      </c>
      <c r="CF591" s="72">
        <v>0</v>
      </c>
      <c r="CG591" s="72">
        <v>0</v>
      </c>
      <c r="CH591" s="72">
        <v>0</v>
      </c>
      <c r="CI591" s="72">
        <v>0</v>
      </c>
      <c r="CJ591" s="72">
        <v>0</v>
      </c>
      <c r="CK591" s="72">
        <v>0</v>
      </c>
      <c r="CL591" s="72">
        <v>0</v>
      </c>
      <c r="CM591" s="72">
        <v>0</v>
      </c>
      <c r="CN591" s="72">
        <v>0</v>
      </c>
      <c r="CO591" s="72">
        <v>0</v>
      </c>
      <c r="CP591" s="72">
        <v>0</v>
      </c>
      <c r="CQ591" s="72">
        <v>0</v>
      </c>
      <c r="CR591" s="72">
        <v>0</v>
      </c>
      <c r="CS591" s="72">
        <v>0</v>
      </c>
      <c r="CT591" s="72">
        <v>0</v>
      </c>
      <c r="CU591" s="72">
        <v>0</v>
      </c>
      <c r="CV591" s="72">
        <v>0</v>
      </c>
      <c r="CW591" s="72">
        <v>0</v>
      </c>
      <c r="CX591" s="72">
        <v>0</v>
      </c>
      <c r="CY591" s="72">
        <v>0</v>
      </c>
      <c r="CZ591" s="72">
        <v>0</v>
      </c>
      <c r="DA591" s="72">
        <v>0</v>
      </c>
      <c r="DB591" s="72">
        <v>0</v>
      </c>
      <c r="DC591" s="72">
        <v>0</v>
      </c>
      <c r="DD591" s="72">
        <v>0</v>
      </c>
      <c r="DE591" s="72">
        <v>0</v>
      </c>
      <c r="DF591" s="72">
        <v>0</v>
      </c>
      <c r="DG591" s="72">
        <v>0</v>
      </c>
      <c r="DH591" s="72">
        <v>0</v>
      </c>
      <c r="DI591" s="72">
        <v>0</v>
      </c>
      <c r="DJ591" s="72">
        <v>0</v>
      </c>
      <c r="DK591" s="72">
        <v>0</v>
      </c>
      <c r="DL591" s="72">
        <v>0</v>
      </c>
      <c r="DM591" s="72">
        <v>0</v>
      </c>
      <c r="DN591" s="72">
        <v>0</v>
      </c>
      <c r="DO591" s="72">
        <v>0</v>
      </c>
      <c r="DP591" s="72">
        <v>0</v>
      </c>
      <c r="DQ591" s="72">
        <v>0</v>
      </c>
      <c r="DR591" s="72">
        <v>0</v>
      </c>
      <c r="DS591" s="72">
        <v>0</v>
      </c>
      <c r="DT591" s="72">
        <v>0</v>
      </c>
      <c r="DU591" s="72">
        <v>0</v>
      </c>
      <c r="DV591" s="72">
        <v>0</v>
      </c>
      <c r="DW591" s="72">
        <v>0</v>
      </c>
      <c r="DX591" s="72">
        <v>0</v>
      </c>
      <c r="DY591" s="72">
        <v>0</v>
      </c>
      <c r="DZ591" s="72">
        <v>0</v>
      </c>
      <c r="EA591" s="72">
        <v>0</v>
      </c>
      <c r="EB591" s="72">
        <v>0</v>
      </c>
      <c r="EC591" s="72">
        <v>0</v>
      </c>
      <c r="ED591" s="72">
        <v>0</v>
      </c>
      <c r="EE591" s="72">
        <v>0</v>
      </c>
      <c r="EF591" s="72">
        <v>0</v>
      </c>
      <c r="EG591" s="72">
        <v>0</v>
      </c>
      <c r="EH591" s="72">
        <v>0</v>
      </c>
      <c r="EI591" s="72">
        <v>0</v>
      </c>
      <c r="EJ591" s="72">
        <v>0</v>
      </c>
      <c r="EK591" s="72">
        <v>0</v>
      </c>
      <c r="EL591" s="72">
        <v>0</v>
      </c>
    </row>
    <row r="592" spans="1:142" x14ac:dyDescent="0.35">
      <c r="A592" s="59">
        <f>Данные!A592</f>
        <v>5791</v>
      </c>
      <c r="B592" s="59">
        <f>Данные!B592</f>
        <v>2020</v>
      </c>
      <c r="C592" s="59" t="str">
        <f>Данные!C592</f>
        <v>геологии и геоэкологии</v>
      </c>
      <c r="D592" s="59" t="str">
        <f>Данные!D592</f>
        <v>Любимов Александр Владимирович</v>
      </c>
      <c r="E592" s="59" t="str">
        <f>Данные!E592</f>
        <v>доктор сельскохоз. наук</v>
      </c>
      <c r="F592" s="59" t="str">
        <f>Данные!F592</f>
        <v>профессор</v>
      </c>
      <c r="G592" s="59">
        <f>Данные!G592</f>
        <v>1</v>
      </c>
      <c r="H592" s="59" t="str">
        <f>Данные!H592</f>
        <v>4 курс 2017 год/пост</v>
      </c>
      <c r="I592" s="59" t="str">
        <f>Данные!I592</f>
        <v>Модуль "Информационные технологии и системы". Геоинформационные системы</v>
      </c>
      <c r="J592" s="59">
        <f>Данные!J592</f>
        <v>18</v>
      </c>
      <c r="K592" s="59">
        <f>Данные!K592</f>
        <v>0</v>
      </c>
      <c r="L592" s="59">
        <f>Данные!L592</f>
        <v>36</v>
      </c>
      <c r="M592" s="60">
        <f t="shared" si="81"/>
        <v>5.4</v>
      </c>
      <c r="N592" s="60">
        <f t="shared" ca="1" si="82"/>
        <v>10.91</v>
      </c>
      <c r="O592" s="60">
        <f t="shared" ca="1" si="83"/>
        <v>6.75</v>
      </c>
      <c r="P592" s="60">
        <f t="shared" ca="1" si="84"/>
        <v>6.75</v>
      </c>
      <c r="Q592" s="54">
        <f>Данные!Q592</f>
        <v>0</v>
      </c>
      <c r="R592" s="54">
        <f>Данные!R592</f>
        <v>0</v>
      </c>
      <c r="S592" s="54">
        <f>Данные!S592</f>
        <v>0</v>
      </c>
      <c r="T592" s="54">
        <f>Данные!T592</f>
        <v>0</v>
      </c>
      <c r="U592" s="54">
        <f>Данные!U592</f>
        <v>0</v>
      </c>
      <c r="V592" s="54">
        <f>Данные!V592</f>
        <v>0</v>
      </c>
      <c r="W592" s="54">
        <f ca="1">Данные!W592</f>
        <v>27</v>
      </c>
      <c r="X592" s="54" t="str">
        <f ca="1">Данные!X592</f>
        <v>1</v>
      </c>
      <c r="Y592" s="54" t="str">
        <f ca="1">Данные!Y592</f>
        <v>2</v>
      </c>
      <c r="Z592" s="54">
        <f>Данные!Z592</f>
        <v>0</v>
      </c>
      <c r="AA592" s="54">
        <f>Данные!AA592</f>
        <v>0</v>
      </c>
      <c r="AB592" s="101">
        <f t="shared" si="85"/>
        <v>750</v>
      </c>
      <c r="AC592" s="101" t="str">
        <f t="shared" si="86"/>
        <v>ИВТ (бак)</v>
      </c>
      <c r="AD592" s="101" t="str">
        <f t="shared" si="87"/>
        <v/>
      </c>
      <c r="AE592" s="102">
        <f t="shared" ca="1" si="88"/>
        <v>83.81</v>
      </c>
      <c r="AF592" s="103">
        <f t="shared" ca="1" si="89"/>
        <v>0.11174666666666667</v>
      </c>
      <c r="AG592" s="101"/>
      <c r="AH592" s="101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Q592" s="72">
        <v>0</v>
      </c>
      <c r="BR592" s="72">
        <v>0</v>
      </c>
      <c r="BS592" s="72">
        <v>0</v>
      </c>
      <c r="BT592" s="72">
        <v>0</v>
      </c>
      <c r="BU592" s="72">
        <v>0</v>
      </c>
      <c r="BV592" s="72">
        <v>0</v>
      </c>
      <c r="BW592" s="72">
        <v>0</v>
      </c>
      <c r="BX592" s="72">
        <v>0</v>
      </c>
      <c r="BY592" s="72">
        <v>0</v>
      </c>
      <c r="BZ592" s="72">
        <v>0</v>
      </c>
      <c r="CA592" s="72">
        <v>0</v>
      </c>
      <c r="CB592" s="72">
        <v>0</v>
      </c>
      <c r="CC592" s="72">
        <v>0</v>
      </c>
      <c r="CD592" s="72">
        <v>0</v>
      </c>
      <c r="CE592" s="72">
        <v>0</v>
      </c>
      <c r="CF592" s="72">
        <v>0</v>
      </c>
      <c r="CG592" s="72">
        <v>0</v>
      </c>
      <c r="CH592" s="72">
        <v>0</v>
      </c>
      <c r="CI592" s="72">
        <v>0</v>
      </c>
      <c r="CJ592" s="72">
        <v>0</v>
      </c>
      <c r="CK592" s="72">
        <v>0</v>
      </c>
      <c r="CL592" s="72">
        <v>0</v>
      </c>
      <c r="CM592" s="72">
        <v>0</v>
      </c>
      <c r="CN592" s="72">
        <v>0</v>
      </c>
      <c r="CO592" s="72">
        <v>0</v>
      </c>
      <c r="CP592" s="72">
        <v>0</v>
      </c>
      <c r="CQ592" s="72">
        <v>0</v>
      </c>
      <c r="CR592" s="72">
        <v>0</v>
      </c>
      <c r="CS592" s="72">
        <v>0</v>
      </c>
      <c r="CT592" s="72">
        <v>0</v>
      </c>
      <c r="CU592" s="72">
        <v>0</v>
      </c>
      <c r="CV592" s="72">
        <v>0</v>
      </c>
      <c r="CW592" s="72">
        <v>0</v>
      </c>
      <c r="CX592" s="72">
        <v>0</v>
      </c>
      <c r="CY592" s="72">
        <v>0</v>
      </c>
      <c r="CZ592" s="72">
        <v>0</v>
      </c>
      <c r="DA592" s="72">
        <v>0</v>
      </c>
      <c r="DB592" s="72">
        <v>0</v>
      </c>
      <c r="DC592" s="72">
        <v>0</v>
      </c>
      <c r="DD592" s="72">
        <v>0</v>
      </c>
      <c r="DE592" s="72">
        <v>0</v>
      </c>
      <c r="DF592" s="72">
        <v>0</v>
      </c>
      <c r="DG592" s="72">
        <v>0</v>
      </c>
      <c r="DH592" s="72">
        <v>0</v>
      </c>
      <c r="DI592" s="72">
        <v>0</v>
      </c>
      <c r="DJ592" s="72">
        <v>0</v>
      </c>
      <c r="DK592" s="72">
        <v>0</v>
      </c>
      <c r="DL592" s="72">
        <v>0</v>
      </c>
      <c r="DM592" s="72">
        <v>0</v>
      </c>
      <c r="DN592" s="72">
        <v>0</v>
      </c>
      <c r="DO592" s="72">
        <v>0</v>
      </c>
      <c r="DP592" s="72">
        <v>0</v>
      </c>
      <c r="DQ592" s="72">
        <v>0</v>
      </c>
      <c r="DR592" s="72">
        <v>0</v>
      </c>
      <c r="DS592" s="72">
        <v>0</v>
      </c>
      <c r="DT592" s="72">
        <v>0</v>
      </c>
      <c r="DU592" s="72">
        <v>0</v>
      </c>
      <c r="DV592" s="72">
        <v>0</v>
      </c>
      <c r="DW592" s="72">
        <v>0</v>
      </c>
      <c r="DX592" s="72">
        <v>0</v>
      </c>
      <c r="DY592" s="72">
        <v>0</v>
      </c>
      <c r="DZ592" s="72">
        <v>0</v>
      </c>
      <c r="EA592" s="72">
        <v>0</v>
      </c>
      <c r="EB592" s="72">
        <v>0</v>
      </c>
      <c r="EC592" s="72">
        <v>0</v>
      </c>
      <c r="ED592" s="72">
        <v>0</v>
      </c>
      <c r="EE592" s="72">
        <v>0</v>
      </c>
      <c r="EF592" s="72">
        <v>0</v>
      </c>
      <c r="EG592" s="72">
        <v>0</v>
      </c>
      <c r="EH592" s="72">
        <v>0</v>
      </c>
      <c r="EI592" s="72">
        <v>0</v>
      </c>
      <c r="EJ592" s="72">
        <v>0</v>
      </c>
      <c r="EK592" s="72">
        <v>0</v>
      </c>
      <c r="EL592" s="72">
        <v>0</v>
      </c>
    </row>
    <row r="593" spans="1:142" x14ac:dyDescent="0.35">
      <c r="A593" s="59">
        <f>Данные!A593</f>
        <v>5791</v>
      </c>
      <c r="B593" s="59">
        <f>Данные!B593</f>
        <v>2020</v>
      </c>
      <c r="C593" s="59" t="str">
        <f>Данные!C593</f>
        <v>современных европейских языков</v>
      </c>
      <c r="D593" s="59" t="str">
        <f>Данные!D593</f>
        <v>Кудрявцева Наталья Фаддеевна</v>
      </c>
      <c r="E593" s="59" t="str">
        <f>Данные!E593</f>
        <v>кандидат социологических наук</v>
      </c>
      <c r="F593" s="59" t="str">
        <f>Данные!F593</f>
        <v>доцент</v>
      </c>
      <c r="G593" s="59">
        <f>Данные!G593</f>
        <v>1</v>
      </c>
      <c r="H593" s="59" t="str">
        <f>Данные!H593</f>
        <v>4 курс 2017 год/пост</v>
      </c>
      <c r="I593" s="59" t="str">
        <f>Данные!I593</f>
        <v>Дисциплины (модули) по выбору. Иностранный язык в профессиональной сфере</v>
      </c>
      <c r="J593" s="59">
        <f>Данные!J593</f>
        <v>0</v>
      </c>
      <c r="K593" s="59">
        <f>Данные!K593</f>
        <v>0</v>
      </c>
      <c r="L593" s="59">
        <f>Данные!L593</f>
        <v>0</v>
      </c>
      <c r="M593" s="60">
        <f t="shared" si="81"/>
        <v>0</v>
      </c>
      <c r="N593" s="60">
        <f t="shared" ca="1" si="82"/>
        <v>10.91</v>
      </c>
      <c r="O593" s="60">
        <f t="shared" ca="1" si="83"/>
        <v>6.75</v>
      </c>
      <c r="P593" s="60">
        <f t="shared" ca="1" si="84"/>
        <v>6.75</v>
      </c>
      <c r="Q593" s="54">
        <f>Данные!Q593</f>
        <v>0</v>
      </c>
      <c r="R593" s="54">
        <f>Данные!R593</f>
        <v>0</v>
      </c>
      <c r="S593" s="54">
        <f>Данные!S593</f>
        <v>0</v>
      </c>
      <c r="T593" s="54">
        <f>Данные!T593</f>
        <v>0</v>
      </c>
      <c r="U593" s="54">
        <f>Данные!U593</f>
        <v>0</v>
      </c>
      <c r="V593" s="54">
        <f>Данные!V593</f>
        <v>0</v>
      </c>
      <c r="W593" s="54">
        <f ca="1">Данные!W593</f>
        <v>27</v>
      </c>
      <c r="X593" s="54" t="str">
        <f ca="1">Данные!X593</f>
        <v>1</v>
      </c>
      <c r="Y593" s="54" t="str">
        <f ca="1">Данные!Y593</f>
        <v>2</v>
      </c>
      <c r="Z593" s="54">
        <f>Данные!Z593</f>
        <v>0</v>
      </c>
      <c r="AA593" s="54">
        <f>Данные!AA593</f>
        <v>0</v>
      </c>
      <c r="AB593" s="101">
        <f t="shared" si="85"/>
        <v>800</v>
      </c>
      <c r="AC593" s="101" t="str">
        <f t="shared" si="86"/>
        <v>ИВТ (бак)</v>
      </c>
      <c r="AD593" s="101" t="str">
        <f t="shared" si="87"/>
        <v/>
      </c>
      <c r="AE593" s="102">
        <f t="shared" ca="1" si="88"/>
        <v>24.41</v>
      </c>
      <c r="AF593" s="103">
        <f t="shared" ca="1" si="89"/>
        <v>3.0512500000000001E-2</v>
      </c>
      <c r="AG593" s="101"/>
      <c r="AH593" s="101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Q593" s="72">
        <v>0</v>
      </c>
      <c r="BR593" s="72">
        <v>0</v>
      </c>
      <c r="BS593" s="72">
        <v>0</v>
      </c>
      <c r="BT593" s="72">
        <v>0</v>
      </c>
      <c r="BU593" s="72">
        <v>0</v>
      </c>
      <c r="BV593" s="72">
        <v>0</v>
      </c>
      <c r="BW593" s="72">
        <v>0</v>
      </c>
      <c r="BX593" s="72">
        <v>0</v>
      </c>
      <c r="BY593" s="72">
        <v>0</v>
      </c>
      <c r="BZ593" s="72">
        <v>0</v>
      </c>
      <c r="CA593" s="72">
        <v>0</v>
      </c>
      <c r="CB593" s="72">
        <v>0</v>
      </c>
      <c r="CC593" s="72">
        <v>0</v>
      </c>
      <c r="CD593" s="72">
        <v>0</v>
      </c>
      <c r="CE593" s="72">
        <v>0</v>
      </c>
      <c r="CF593" s="72">
        <v>0</v>
      </c>
      <c r="CG593" s="72">
        <v>0</v>
      </c>
      <c r="CH593" s="72">
        <v>0</v>
      </c>
      <c r="CI593" s="72">
        <v>0</v>
      </c>
      <c r="CJ593" s="72">
        <v>0</v>
      </c>
      <c r="CK593" s="72">
        <v>0</v>
      </c>
      <c r="CL593" s="72">
        <v>0</v>
      </c>
      <c r="CM593" s="72">
        <v>0</v>
      </c>
      <c r="CN593" s="72">
        <v>0</v>
      </c>
      <c r="CO593" s="72">
        <v>0</v>
      </c>
      <c r="CP593" s="72">
        <v>0</v>
      </c>
      <c r="CQ593" s="72">
        <v>0</v>
      </c>
      <c r="CR593" s="72">
        <v>0</v>
      </c>
      <c r="CS593" s="72">
        <v>0</v>
      </c>
      <c r="CT593" s="72">
        <v>0</v>
      </c>
      <c r="CU593" s="72">
        <v>0</v>
      </c>
      <c r="CV593" s="72">
        <v>0</v>
      </c>
      <c r="CW593" s="72">
        <v>0</v>
      </c>
      <c r="CX593" s="72">
        <v>0</v>
      </c>
      <c r="CY593" s="72">
        <v>0</v>
      </c>
      <c r="CZ593" s="72">
        <v>0</v>
      </c>
      <c r="DA593" s="72">
        <v>0</v>
      </c>
      <c r="DB593" s="72">
        <v>0</v>
      </c>
      <c r="DC593" s="72">
        <v>0</v>
      </c>
      <c r="DD593" s="72">
        <v>0</v>
      </c>
      <c r="DE593" s="72">
        <v>0</v>
      </c>
      <c r="DF593" s="72">
        <v>0</v>
      </c>
      <c r="DG593" s="72">
        <v>0</v>
      </c>
      <c r="DH593" s="72">
        <v>0</v>
      </c>
      <c r="DI593" s="72">
        <v>0</v>
      </c>
      <c r="DJ593" s="72">
        <v>0</v>
      </c>
      <c r="DK593" s="72">
        <v>0</v>
      </c>
      <c r="DL593" s="72">
        <v>0</v>
      </c>
      <c r="DM593" s="72">
        <v>0</v>
      </c>
      <c r="DN593" s="72">
        <v>0</v>
      </c>
      <c r="DO593" s="72">
        <v>0</v>
      </c>
      <c r="DP593" s="72">
        <v>0</v>
      </c>
      <c r="DQ593" s="72">
        <v>0</v>
      </c>
      <c r="DR593" s="72">
        <v>0</v>
      </c>
      <c r="DS593" s="72">
        <v>0</v>
      </c>
      <c r="DT593" s="72">
        <v>0</v>
      </c>
      <c r="DU593" s="72">
        <v>0</v>
      </c>
      <c r="DV593" s="72">
        <v>0</v>
      </c>
      <c r="DW593" s="72">
        <v>0</v>
      </c>
      <c r="DX593" s="72">
        <v>0</v>
      </c>
      <c r="DY593" s="72">
        <v>0</v>
      </c>
      <c r="DZ593" s="72">
        <v>0</v>
      </c>
      <c r="EA593" s="72">
        <v>0</v>
      </c>
      <c r="EB593" s="72">
        <v>0</v>
      </c>
      <c r="EC593" s="72">
        <v>0</v>
      </c>
      <c r="ED593" s="72">
        <v>0</v>
      </c>
      <c r="EE593" s="72">
        <v>0</v>
      </c>
      <c r="EF593" s="72">
        <v>0</v>
      </c>
      <c r="EG593" s="72">
        <v>0</v>
      </c>
      <c r="EH593" s="72">
        <v>0</v>
      </c>
      <c r="EI593" s="72">
        <v>0</v>
      </c>
      <c r="EJ593" s="72">
        <v>0</v>
      </c>
      <c r="EK593" s="72">
        <v>0</v>
      </c>
      <c r="EL593" s="72">
        <v>0</v>
      </c>
    </row>
    <row r="594" spans="1:142" x14ac:dyDescent="0.35">
      <c r="A594" s="59">
        <f>Данные!A594</f>
        <v>5791</v>
      </c>
      <c r="B594" s="59">
        <f>Данные!B594</f>
        <v>2020</v>
      </c>
      <c r="C594" s="59" t="str">
        <f>Данные!C594</f>
        <v>физической электроники</v>
      </c>
      <c r="D594" s="59" t="str">
        <f>Данные!D594</f>
        <v>Гасумянц Виталий Эдуардович</v>
      </c>
      <c r="E594" s="59" t="str">
        <f>Данные!E594</f>
        <v>доктор физ.-мат. наук</v>
      </c>
      <c r="F594" s="59" t="str">
        <f>Данные!F594</f>
        <v>профессор</v>
      </c>
      <c r="G594" s="59">
        <f>Данные!G594</f>
        <v>0.5</v>
      </c>
      <c r="H594" s="59" t="str">
        <f>Данные!H594</f>
        <v>4 курс 2017 год/пост</v>
      </c>
      <c r="I594" s="59" t="str">
        <f>Данные!I594</f>
        <v>Модуль "Физические основы ЭВМ"</v>
      </c>
      <c r="J594" s="59">
        <f>Данные!J594</f>
        <v>0</v>
      </c>
      <c r="K594" s="59">
        <f>Данные!K594</f>
        <v>0</v>
      </c>
      <c r="L594" s="59">
        <f>Данные!L594</f>
        <v>0</v>
      </c>
      <c r="M594" s="60">
        <f t="shared" si="81"/>
        <v>0</v>
      </c>
      <c r="N594" s="60">
        <f t="shared" ca="1" si="82"/>
        <v>10.91</v>
      </c>
      <c r="O594" s="60">
        <f t="shared" ca="1" si="83"/>
        <v>6.75</v>
      </c>
      <c r="P594" s="60">
        <f t="shared" ca="1" si="84"/>
        <v>6.75</v>
      </c>
      <c r="Q594" s="54">
        <f>Данные!Q594</f>
        <v>0</v>
      </c>
      <c r="R594" s="54">
        <f>Данные!R594</f>
        <v>0</v>
      </c>
      <c r="S594" s="54">
        <f>Данные!S594</f>
        <v>0</v>
      </c>
      <c r="T594" s="54">
        <f>Данные!T594</f>
        <v>0</v>
      </c>
      <c r="U594" s="54">
        <f>Данные!U594</f>
        <v>0</v>
      </c>
      <c r="V594" s="54">
        <f>Данные!V594</f>
        <v>0</v>
      </c>
      <c r="W594" s="54">
        <f ca="1">Данные!W594</f>
        <v>27</v>
      </c>
      <c r="X594" s="54" t="str">
        <f ca="1">Данные!X594</f>
        <v>1</v>
      </c>
      <c r="Y594" s="54" t="str">
        <f ca="1">Данные!Y594</f>
        <v>2</v>
      </c>
      <c r="Z594" s="54">
        <f>Данные!Z594</f>
        <v>0</v>
      </c>
      <c r="AA594" s="54" t="str">
        <f>Данные!AA594</f>
        <v>доп</v>
      </c>
      <c r="AB594" s="101">
        <f t="shared" si="85"/>
        <v>750</v>
      </c>
      <c r="AC594" s="101" t="str">
        <f t="shared" si="86"/>
        <v>ИВТ (бак)</v>
      </c>
      <c r="AD594" s="101" t="str">
        <f t="shared" si="87"/>
        <v/>
      </c>
      <c r="AE594" s="102">
        <f t="shared" ca="1" si="88"/>
        <v>24.41</v>
      </c>
      <c r="AF594" s="103">
        <f t="shared" ca="1" si="89"/>
        <v>3.2546666666666668E-2</v>
      </c>
      <c r="AG594" s="101"/>
      <c r="AH594" s="101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Q594" s="72">
        <v>0</v>
      </c>
      <c r="BR594" s="72">
        <v>0</v>
      </c>
      <c r="BS594" s="72">
        <v>0</v>
      </c>
      <c r="BT594" s="72">
        <v>0</v>
      </c>
      <c r="BU594" s="72">
        <v>0</v>
      </c>
      <c r="BV594" s="72">
        <v>0</v>
      </c>
      <c r="BW594" s="72">
        <v>0</v>
      </c>
      <c r="BX594" s="72">
        <v>0</v>
      </c>
      <c r="BY594" s="72">
        <v>0</v>
      </c>
      <c r="BZ594" s="72">
        <v>0</v>
      </c>
      <c r="CA594" s="72">
        <v>0</v>
      </c>
      <c r="CB594" s="72">
        <v>0</v>
      </c>
      <c r="CC594" s="72">
        <v>0</v>
      </c>
      <c r="CD594" s="72">
        <v>0</v>
      </c>
      <c r="CE594" s="72">
        <v>0</v>
      </c>
      <c r="CF594" s="72">
        <v>0</v>
      </c>
      <c r="CG594" s="72">
        <v>0</v>
      </c>
      <c r="CH594" s="72">
        <v>0</v>
      </c>
      <c r="CI594" s="72">
        <v>0</v>
      </c>
      <c r="CJ594" s="72">
        <v>0</v>
      </c>
      <c r="CK594" s="72">
        <v>0</v>
      </c>
      <c r="CL594" s="72">
        <v>0</v>
      </c>
      <c r="CM594" s="72">
        <v>0</v>
      </c>
      <c r="CN594" s="72">
        <v>0</v>
      </c>
      <c r="CO594" s="72">
        <v>0</v>
      </c>
      <c r="CP594" s="72">
        <v>0</v>
      </c>
      <c r="CQ594" s="72">
        <v>0</v>
      </c>
      <c r="CR594" s="72">
        <v>0</v>
      </c>
      <c r="CS594" s="72">
        <v>0</v>
      </c>
      <c r="CT594" s="72">
        <v>0</v>
      </c>
      <c r="CU594" s="72">
        <v>0</v>
      </c>
      <c r="CV594" s="72">
        <v>0</v>
      </c>
      <c r="CW594" s="72">
        <v>0</v>
      </c>
      <c r="CX594" s="72">
        <v>0</v>
      </c>
      <c r="CY594" s="72">
        <v>0</v>
      </c>
      <c r="CZ594" s="72">
        <v>0</v>
      </c>
      <c r="DA594" s="72">
        <v>0</v>
      </c>
      <c r="DB594" s="72">
        <v>0</v>
      </c>
      <c r="DC594" s="72">
        <v>0</v>
      </c>
      <c r="DD594" s="72">
        <v>0</v>
      </c>
      <c r="DE594" s="72">
        <v>0</v>
      </c>
      <c r="DF594" s="72">
        <v>0</v>
      </c>
      <c r="DG594" s="72">
        <v>0</v>
      </c>
      <c r="DH594" s="72">
        <v>0</v>
      </c>
      <c r="DI594" s="72">
        <v>0</v>
      </c>
      <c r="DJ594" s="72">
        <v>0</v>
      </c>
      <c r="DK594" s="72">
        <v>0</v>
      </c>
      <c r="DL594" s="72">
        <v>0</v>
      </c>
      <c r="DM594" s="72">
        <v>0</v>
      </c>
      <c r="DN594" s="72">
        <v>0</v>
      </c>
      <c r="DO594" s="72">
        <v>0</v>
      </c>
      <c r="DP594" s="72">
        <v>0</v>
      </c>
      <c r="DQ594" s="72">
        <v>0</v>
      </c>
      <c r="DR594" s="72">
        <v>0</v>
      </c>
      <c r="DS594" s="72">
        <v>0</v>
      </c>
      <c r="DT594" s="72">
        <v>0</v>
      </c>
      <c r="DU594" s="72">
        <v>0</v>
      </c>
      <c r="DV594" s="72">
        <v>0</v>
      </c>
      <c r="DW594" s="72">
        <v>0</v>
      </c>
      <c r="DX594" s="72">
        <v>0</v>
      </c>
      <c r="DY594" s="72">
        <v>0</v>
      </c>
      <c r="DZ594" s="72">
        <v>0</v>
      </c>
      <c r="EA594" s="72">
        <v>0</v>
      </c>
      <c r="EB594" s="72">
        <v>0</v>
      </c>
      <c r="EC594" s="72">
        <v>0</v>
      </c>
      <c r="ED594" s="72">
        <v>0</v>
      </c>
      <c r="EE594" s="72">
        <v>0</v>
      </c>
      <c r="EF594" s="72">
        <v>0</v>
      </c>
      <c r="EG594" s="72">
        <v>0</v>
      </c>
      <c r="EH594" s="72">
        <v>0</v>
      </c>
      <c r="EI594" s="72">
        <v>0</v>
      </c>
      <c r="EJ594" s="72">
        <v>0</v>
      </c>
      <c r="EK594" s="72">
        <v>0</v>
      </c>
      <c r="EL594" s="72">
        <v>0</v>
      </c>
    </row>
    <row r="595" spans="1:142" x14ac:dyDescent="0.35">
      <c r="A595" s="59">
        <f>Данные!A595</f>
        <v>5791</v>
      </c>
      <c r="B595" s="59">
        <f>Данные!B595</f>
        <v>2020</v>
      </c>
      <c r="C595" s="59" t="str">
        <f>Данные!C595</f>
        <v>физической электроники</v>
      </c>
      <c r="D595" s="59" t="str">
        <f>Данные!D595</f>
        <v>Гасумянц Виталий Эдуардович</v>
      </c>
      <c r="E595" s="59" t="str">
        <f>Данные!E595</f>
        <v>доктор физ.-мат. наук</v>
      </c>
      <c r="F595" s="59" t="str">
        <f>Данные!F595</f>
        <v>профессор</v>
      </c>
      <c r="G595" s="59">
        <f>Данные!G595</f>
        <v>0.5</v>
      </c>
      <c r="H595" s="59" t="str">
        <f>Данные!H595</f>
        <v>4 курс 2017 год/пост</v>
      </c>
      <c r="I595" s="59" t="str">
        <f>Данные!I595</f>
        <v>Модуль "Организация ЭВМ". Физические основы микроэлектроники</v>
      </c>
      <c r="J595" s="59">
        <f>Данные!J595</f>
        <v>0</v>
      </c>
      <c r="K595" s="59">
        <f>Данные!K595</f>
        <v>18</v>
      </c>
      <c r="L595" s="59">
        <f>Данные!L595</f>
        <v>0</v>
      </c>
      <c r="M595" s="60">
        <f t="shared" si="81"/>
        <v>1.8</v>
      </c>
      <c r="N595" s="60">
        <f t="shared" ca="1" si="82"/>
        <v>10.91</v>
      </c>
      <c r="O595" s="60">
        <f t="shared" ca="1" si="83"/>
        <v>6.75</v>
      </c>
      <c r="P595" s="60">
        <f t="shared" ca="1" si="84"/>
        <v>6.75</v>
      </c>
      <c r="Q595" s="54">
        <f>Данные!Q595</f>
        <v>0</v>
      </c>
      <c r="R595" s="54">
        <f>Данные!R595</f>
        <v>0</v>
      </c>
      <c r="S595" s="54">
        <f>Данные!S595</f>
        <v>0</v>
      </c>
      <c r="T595" s="54">
        <f>Данные!T595</f>
        <v>0</v>
      </c>
      <c r="U595" s="54">
        <f>Данные!U595</f>
        <v>0</v>
      </c>
      <c r="V595" s="54">
        <f>Данные!V595</f>
        <v>0</v>
      </c>
      <c r="W595" s="54">
        <f ca="1">Данные!W595</f>
        <v>27</v>
      </c>
      <c r="X595" s="54" t="str">
        <f ca="1">Данные!X595</f>
        <v>1</v>
      </c>
      <c r="Y595" s="54" t="str">
        <f ca="1">Данные!Y595</f>
        <v>2</v>
      </c>
      <c r="Z595" s="54">
        <f>Данные!Z595</f>
        <v>0</v>
      </c>
      <c r="AA595" s="54" t="str">
        <f>Данные!AA595</f>
        <v>доп</v>
      </c>
      <c r="AB595" s="101">
        <f t="shared" si="85"/>
        <v>750</v>
      </c>
      <c r="AC595" s="101" t="str">
        <f t="shared" si="86"/>
        <v>ИВТ (бак)</v>
      </c>
      <c r="AD595" s="101" t="str">
        <f t="shared" si="87"/>
        <v/>
      </c>
      <c r="AE595" s="102">
        <f t="shared" ca="1" si="88"/>
        <v>44.21</v>
      </c>
      <c r="AF595" s="103">
        <f t="shared" ca="1" si="89"/>
        <v>5.8946666666666668E-2</v>
      </c>
      <c r="AG595" s="101"/>
      <c r="AH595" s="101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Q595" s="72">
        <v>0</v>
      </c>
      <c r="BR595" s="72">
        <v>0</v>
      </c>
      <c r="BS595" s="72">
        <v>0</v>
      </c>
      <c r="BT595" s="72">
        <v>0</v>
      </c>
      <c r="BU595" s="72">
        <v>0</v>
      </c>
      <c r="BV595" s="72">
        <v>0</v>
      </c>
      <c r="BW595" s="72">
        <v>0</v>
      </c>
      <c r="BX595" s="72">
        <v>0</v>
      </c>
      <c r="BY595" s="72">
        <v>0</v>
      </c>
      <c r="BZ595" s="72">
        <v>0</v>
      </c>
      <c r="CA595" s="72">
        <v>0</v>
      </c>
      <c r="CB595" s="72">
        <v>0</v>
      </c>
      <c r="CC595" s="72">
        <v>0</v>
      </c>
      <c r="CD595" s="72">
        <v>0</v>
      </c>
      <c r="CE595" s="72">
        <v>0</v>
      </c>
      <c r="CF595" s="72">
        <v>0</v>
      </c>
      <c r="CG595" s="72">
        <v>0</v>
      </c>
      <c r="CH595" s="72">
        <v>0</v>
      </c>
      <c r="CI595" s="72">
        <v>0</v>
      </c>
      <c r="CJ595" s="72">
        <v>0</v>
      </c>
      <c r="CK595" s="72">
        <v>0</v>
      </c>
      <c r="CL595" s="72">
        <v>0</v>
      </c>
      <c r="CM595" s="72">
        <v>0</v>
      </c>
      <c r="CN595" s="72">
        <v>0</v>
      </c>
      <c r="CO595" s="72">
        <v>0</v>
      </c>
      <c r="CP595" s="72">
        <v>0</v>
      </c>
      <c r="CQ595" s="72">
        <v>0</v>
      </c>
      <c r="CR595" s="72">
        <v>0</v>
      </c>
      <c r="CS595" s="72">
        <v>0</v>
      </c>
      <c r="CT595" s="72">
        <v>0</v>
      </c>
      <c r="CU595" s="72">
        <v>0</v>
      </c>
      <c r="CV595" s="72">
        <v>0</v>
      </c>
      <c r="CW595" s="72">
        <v>0</v>
      </c>
      <c r="CX595" s="72">
        <v>0</v>
      </c>
      <c r="CY595" s="72">
        <v>0</v>
      </c>
      <c r="CZ595" s="72">
        <v>0</v>
      </c>
      <c r="DA595" s="72">
        <v>0</v>
      </c>
      <c r="DB595" s="72">
        <v>0</v>
      </c>
      <c r="DC595" s="72">
        <v>0</v>
      </c>
      <c r="DD595" s="72">
        <v>0</v>
      </c>
      <c r="DE595" s="72">
        <v>0</v>
      </c>
      <c r="DF595" s="72">
        <v>0</v>
      </c>
      <c r="DG595" s="72">
        <v>0</v>
      </c>
      <c r="DH595" s="72">
        <v>0</v>
      </c>
      <c r="DI595" s="72">
        <v>0</v>
      </c>
      <c r="DJ595" s="72">
        <v>0</v>
      </c>
      <c r="DK595" s="72">
        <v>0</v>
      </c>
      <c r="DL595" s="72">
        <v>0</v>
      </c>
      <c r="DM595" s="72">
        <v>0</v>
      </c>
      <c r="DN595" s="72">
        <v>0</v>
      </c>
      <c r="DO595" s="72">
        <v>0</v>
      </c>
      <c r="DP595" s="72">
        <v>0</v>
      </c>
      <c r="DQ595" s="72">
        <v>0</v>
      </c>
      <c r="DR595" s="72">
        <v>0</v>
      </c>
      <c r="DS595" s="72">
        <v>0</v>
      </c>
      <c r="DT595" s="72">
        <v>0</v>
      </c>
      <c r="DU595" s="72">
        <v>0</v>
      </c>
      <c r="DV595" s="72">
        <v>0</v>
      </c>
      <c r="DW595" s="72">
        <v>0</v>
      </c>
      <c r="DX595" s="72">
        <v>0</v>
      </c>
      <c r="DY595" s="72">
        <v>0</v>
      </c>
      <c r="DZ595" s="72">
        <v>0</v>
      </c>
      <c r="EA595" s="72">
        <v>0</v>
      </c>
      <c r="EB595" s="72">
        <v>0</v>
      </c>
      <c r="EC595" s="72">
        <v>0</v>
      </c>
      <c r="ED595" s="72">
        <v>0</v>
      </c>
      <c r="EE595" s="72">
        <v>0</v>
      </c>
      <c r="EF595" s="72">
        <v>0</v>
      </c>
      <c r="EG595" s="72">
        <v>0</v>
      </c>
      <c r="EH595" s="72">
        <v>0</v>
      </c>
      <c r="EI595" s="72">
        <v>0</v>
      </c>
      <c r="EJ595" s="72">
        <v>0</v>
      </c>
      <c r="EK595" s="72">
        <v>0</v>
      </c>
      <c r="EL595" s="72">
        <v>0</v>
      </c>
    </row>
    <row r="596" spans="1:142" x14ac:dyDescent="0.35">
      <c r="A596" s="59">
        <f>Данные!A596</f>
        <v>5791</v>
      </c>
      <c r="B596" s="59">
        <f>Данные!B596</f>
        <v>2020</v>
      </c>
      <c r="C596" s="59" t="str">
        <f>Данные!C596</f>
        <v>физической электроники</v>
      </c>
      <c r="D596" s="59" t="str">
        <f>Данные!D596</f>
        <v>Хинич Иосиф Исаакович</v>
      </c>
      <c r="E596" s="59" t="str">
        <f>Данные!E596</f>
        <v>доктор педагогических наук</v>
      </c>
      <c r="F596" s="59" t="str">
        <f>Данные!F596</f>
        <v>профессор</v>
      </c>
      <c r="G596" s="59">
        <f>Данные!G596</f>
        <v>0.75</v>
      </c>
      <c r="H596" s="59" t="str">
        <f>Данные!H596</f>
        <v>4 курс 2017 год/пост</v>
      </c>
      <c r="I596" s="59" t="str">
        <f>Данные!I596</f>
        <v>Модуль "Физические основы ЭВМ"</v>
      </c>
      <c r="J596" s="59">
        <f>Данные!J596</f>
        <v>0</v>
      </c>
      <c r="K596" s="59">
        <f>Данные!K596</f>
        <v>0</v>
      </c>
      <c r="L596" s="59">
        <f>Данные!L596</f>
        <v>0</v>
      </c>
      <c r="M596" s="60">
        <f t="shared" si="81"/>
        <v>0</v>
      </c>
      <c r="N596" s="60">
        <f t="shared" ca="1" si="82"/>
        <v>10.91</v>
      </c>
      <c r="O596" s="60">
        <f t="shared" ca="1" si="83"/>
        <v>6.75</v>
      </c>
      <c r="P596" s="60">
        <f t="shared" ca="1" si="84"/>
        <v>6.75</v>
      </c>
      <c r="Q596" s="54">
        <f>Данные!Q596</f>
        <v>0</v>
      </c>
      <c r="R596" s="54">
        <f>Данные!R596</f>
        <v>0</v>
      </c>
      <c r="S596" s="54">
        <f>Данные!S596</f>
        <v>0</v>
      </c>
      <c r="T596" s="54">
        <f>Данные!T596</f>
        <v>0</v>
      </c>
      <c r="U596" s="54">
        <f>Данные!U596</f>
        <v>0</v>
      </c>
      <c r="V596" s="54">
        <f>Данные!V596</f>
        <v>0</v>
      </c>
      <c r="W596" s="54">
        <f ca="1">Данные!W596</f>
        <v>27</v>
      </c>
      <c r="X596" s="54" t="str">
        <f ca="1">Данные!X596</f>
        <v>1</v>
      </c>
      <c r="Y596" s="54" t="str">
        <f ca="1">Данные!Y596</f>
        <v>2</v>
      </c>
      <c r="Z596" s="54">
        <f>Данные!Z596</f>
        <v>0</v>
      </c>
      <c r="AA596" s="54" t="str">
        <f>Данные!AA596</f>
        <v>доп</v>
      </c>
      <c r="AB596" s="101">
        <f t="shared" si="85"/>
        <v>750</v>
      </c>
      <c r="AC596" s="101" t="str">
        <f t="shared" si="86"/>
        <v>ИВТ (бак)</v>
      </c>
      <c r="AD596" s="101" t="str">
        <f t="shared" si="87"/>
        <v/>
      </c>
      <c r="AE596" s="102">
        <f t="shared" ca="1" si="88"/>
        <v>24.41</v>
      </c>
      <c r="AF596" s="103">
        <f t="shared" ca="1" si="89"/>
        <v>3.2546666666666668E-2</v>
      </c>
      <c r="AG596" s="101"/>
      <c r="AH596" s="101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Q596" s="72">
        <v>0</v>
      </c>
      <c r="BR596" s="72">
        <v>0</v>
      </c>
      <c r="BS596" s="72">
        <v>0</v>
      </c>
      <c r="BT596" s="72">
        <v>0</v>
      </c>
      <c r="BU596" s="72">
        <v>0</v>
      </c>
      <c r="BV596" s="72">
        <v>0</v>
      </c>
      <c r="BW596" s="72">
        <v>0</v>
      </c>
      <c r="BX596" s="72">
        <v>0</v>
      </c>
      <c r="BY596" s="72">
        <v>0</v>
      </c>
      <c r="BZ596" s="72">
        <v>0</v>
      </c>
      <c r="CA596" s="72">
        <v>0</v>
      </c>
      <c r="CB596" s="72">
        <v>0</v>
      </c>
      <c r="CC596" s="72">
        <v>0</v>
      </c>
      <c r="CD596" s="72">
        <v>0</v>
      </c>
      <c r="CE596" s="72">
        <v>0</v>
      </c>
      <c r="CF596" s="72">
        <v>0</v>
      </c>
      <c r="CG596" s="72">
        <v>0</v>
      </c>
      <c r="CH596" s="72">
        <v>0</v>
      </c>
      <c r="CI596" s="72">
        <v>0</v>
      </c>
      <c r="CJ596" s="72">
        <v>0</v>
      </c>
      <c r="CK596" s="72">
        <v>0</v>
      </c>
      <c r="CL596" s="72">
        <v>0</v>
      </c>
      <c r="CM596" s="72">
        <v>0</v>
      </c>
      <c r="CN596" s="72">
        <v>0</v>
      </c>
      <c r="CO596" s="72">
        <v>0</v>
      </c>
      <c r="CP596" s="72">
        <v>0</v>
      </c>
      <c r="CQ596" s="72">
        <v>0</v>
      </c>
      <c r="CR596" s="72">
        <v>0</v>
      </c>
      <c r="CS596" s="72">
        <v>0</v>
      </c>
      <c r="CT596" s="72">
        <v>0</v>
      </c>
      <c r="CU596" s="72">
        <v>0</v>
      </c>
      <c r="CV596" s="72">
        <v>0</v>
      </c>
      <c r="CW596" s="72">
        <v>0</v>
      </c>
      <c r="CX596" s="72">
        <v>0</v>
      </c>
      <c r="CY596" s="72">
        <v>0</v>
      </c>
      <c r="CZ596" s="72">
        <v>0</v>
      </c>
      <c r="DA596" s="72">
        <v>0</v>
      </c>
      <c r="DB596" s="72">
        <v>0</v>
      </c>
      <c r="DC596" s="72">
        <v>0</v>
      </c>
      <c r="DD596" s="72">
        <v>0</v>
      </c>
      <c r="DE596" s="72">
        <v>0</v>
      </c>
      <c r="DF596" s="72">
        <v>0</v>
      </c>
      <c r="DG596" s="72">
        <v>0</v>
      </c>
      <c r="DH596" s="72">
        <v>0</v>
      </c>
      <c r="DI596" s="72">
        <v>0</v>
      </c>
      <c r="DJ596" s="72">
        <v>0</v>
      </c>
      <c r="DK596" s="72">
        <v>0</v>
      </c>
      <c r="DL596" s="72">
        <v>0</v>
      </c>
      <c r="DM596" s="72">
        <v>0</v>
      </c>
      <c r="DN596" s="72">
        <v>0</v>
      </c>
      <c r="DO596" s="72">
        <v>0</v>
      </c>
      <c r="DP596" s="72">
        <v>0</v>
      </c>
      <c r="DQ596" s="72">
        <v>0</v>
      </c>
      <c r="DR596" s="72">
        <v>0</v>
      </c>
      <c r="DS596" s="72">
        <v>0</v>
      </c>
      <c r="DT596" s="72">
        <v>0</v>
      </c>
      <c r="DU596" s="72">
        <v>0</v>
      </c>
      <c r="DV596" s="72">
        <v>0</v>
      </c>
      <c r="DW596" s="72">
        <v>0</v>
      </c>
      <c r="DX596" s="72">
        <v>0</v>
      </c>
      <c r="DY596" s="72">
        <v>0</v>
      </c>
      <c r="DZ596" s="72">
        <v>0</v>
      </c>
      <c r="EA596" s="72">
        <v>0</v>
      </c>
      <c r="EB596" s="72">
        <v>0</v>
      </c>
      <c r="EC596" s="72">
        <v>0</v>
      </c>
      <c r="ED596" s="72">
        <v>0</v>
      </c>
      <c r="EE596" s="72">
        <v>0</v>
      </c>
      <c r="EF596" s="72">
        <v>0</v>
      </c>
      <c r="EG596" s="72">
        <v>0</v>
      </c>
      <c r="EH596" s="72">
        <v>0</v>
      </c>
      <c r="EI596" s="72">
        <v>0</v>
      </c>
      <c r="EJ596" s="72">
        <v>0</v>
      </c>
      <c r="EK596" s="72">
        <v>0</v>
      </c>
      <c r="EL596" s="72">
        <v>0</v>
      </c>
    </row>
    <row r="597" spans="1:142" x14ac:dyDescent="0.35">
      <c r="A597" s="59">
        <f>Данные!A597</f>
        <v>5791</v>
      </c>
      <c r="B597" s="59">
        <f>Данные!B597</f>
        <v>2020</v>
      </c>
      <c r="C597" s="59" t="str">
        <f>Данные!C597</f>
        <v>физической электроники</v>
      </c>
      <c r="D597" s="59" t="str">
        <f>Данные!D597</f>
        <v>Хинич Иосиф Исаакович</v>
      </c>
      <c r="E597" s="59" t="str">
        <f>Данные!E597</f>
        <v>доктор педагогических наук</v>
      </c>
      <c r="F597" s="59" t="str">
        <f>Данные!F597</f>
        <v>профессор</v>
      </c>
      <c r="G597" s="59">
        <f>Данные!G597</f>
        <v>0.75</v>
      </c>
      <c r="H597" s="59" t="str">
        <f>Данные!H597</f>
        <v>4 курс 2017 год/пост</v>
      </c>
      <c r="I597" s="59" t="str">
        <f>Данные!I597</f>
        <v>Модуль "Физические основы ЭВМ". Введение в нанотехнологии</v>
      </c>
      <c r="J597" s="59">
        <f>Данные!J597</f>
        <v>0</v>
      </c>
      <c r="K597" s="59">
        <f>Данные!K597</f>
        <v>0</v>
      </c>
      <c r="L597" s="59">
        <f>Данные!L597</f>
        <v>0</v>
      </c>
      <c r="M597" s="60">
        <f t="shared" si="81"/>
        <v>0</v>
      </c>
      <c r="N597" s="60">
        <f t="shared" ca="1" si="82"/>
        <v>10.91</v>
      </c>
      <c r="O597" s="60">
        <f t="shared" ca="1" si="83"/>
        <v>6.75</v>
      </c>
      <c r="P597" s="60">
        <f t="shared" ca="1" si="84"/>
        <v>6.75</v>
      </c>
      <c r="Q597" s="54">
        <f>Данные!Q597</f>
        <v>0</v>
      </c>
      <c r="R597" s="54">
        <f>Данные!R597</f>
        <v>0</v>
      </c>
      <c r="S597" s="54">
        <f>Данные!S597</f>
        <v>0</v>
      </c>
      <c r="T597" s="54">
        <f>Данные!T597</f>
        <v>0</v>
      </c>
      <c r="U597" s="54">
        <f>Данные!U597</f>
        <v>0</v>
      </c>
      <c r="V597" s="54">
        <f>Данные!V597</f>
        <v>0</v>
      </c>
      <c r="W597" s="54">
        <f ca="1">Данные!W597</f>
        <v>27</v>
      </c>
      <c r="X597" s="54" t="str">
        <f ca="1">Данные!X597</f>
        <v>1</v>
      </c>
      <c r="Y597" s="54" t="str">
        <f ca="1">Данные!Y597</f>
        <v>2</v>
      </c>
      <c r="Z597" s="54">
        <f>Данные!Z597</f>
        <v>0</v>
      </c>
      <c r="AA597" s="54" t="str">
        <f>Данные!AA597</f>
        <v>осн</v>
      </c>
      <c r="AB597" s="101">
        <f t="shared" si="85"/>
        <v>750</v>
      </c>
      <c r="AC597" s="101" t="str">
        <f t="shared" si="86"/>
        <v>ИВТ (бак)</v>
      </c>
      <c r="AD597" s="101" t="str">
        <f t="shared" si="87"/>
        <v/>
      </c>
      <c r="AE597" s="102">
        <f t="shared" ca="1" si="88"/>
        <v>24.41</v>
      </c>
      <c r="AF597" s="103">
        <f t="shared" ca="1" si="89"/>
        <v>3.2546666666666668E-2</v>
      </c>
      <c r="AG597" s="101"/>
      <c r="AH597" s="101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Q597" s="72">
        <v>0</v>
      </c>
      <c r="BR597" s="72">
        <v>0</v>
      </c>
      <c r="BS597" s="72">
        <v>0</v>
      </c>
      <c r="BT597" s="72">
        <v>0</v>
      </c>
      <c r="BU597" s="72">
        <v>0</v>
      </c>
      <c r="BV597" s="72">
        <v>0</v>
      </c>
      <c r="BW597" s="72">
        <v>0</v>
      </c>
      <c r="BX597" s="72">
        <v>0</v>
      </c>
      <c r="BY597" s="72">
        <v>0</v>
      </c>
      <c r="BZ597" s="72">
        <v>0</v>
      </c>
      <c r="CA597" s="72">
        <v>0</v>
      </c>
      <c r="CB597" s="72">
        <v>0</v>
      </c>
      <c r="CC597" s="72">
        <v>0</v>
      </c>
      <c r="CD597" s="72">
        <v>0</v>
      </c>
      <c r="CE597" s="72">
        <v>0</v>
      </c>
      <c r="CF597" s="72">
        <v>0</v>
      </c>
      <c r="CG597" s="72">
        <v>0</v>
      </c>
      <c r="CH597" s="72">
        <v>0</v>
      </c>
      <c r="CI597" s="72">
        <v>0</v>
      </c>
      <c r="CJ597" s="72">
        <v>0</v>
      </c>
      <c r="CK597" s="72">
        <v>0</v>
      </c>
      <c r="CL597" s="72">
        <v>0</v>
      </c>
      <c r="CM597" s="72">
        <v>0</v>
      </c>
      <c r="CN597" s="72">
        <v>0</v>
      </c>
      <c r="CO597" s="72">
        <v>0</v>
      </c>
      <c r="CP597" s="72">
        <v>0</v>
      </c>
      <c r="CQ597" s="72">
        <v>0</v>
      </c>
      <c r="CR597" s="72">
        <v>0</v>
      </c>
      <c r="CS597" s="72">
        <v>0</v>
      </c>
      <c r="CT597" s="72">
        <v>0</v>
      </c>
      <c r="CU597" s="72">
        <v>0</v>
      </c>
      <c r="CV597" s="72">
        <v>0</v>
      </c>
      <c r="CW597" s="72">
        <v>0</v>
      </c>
      <c r="CX597" s="72">
        <v>0</v>
      </c>
      <c r="CY597" s="72">
        <v>0</v>
      </c>
      <c r="CZ597" s="72">
        <v>0</v>
      </c>
      <c r="DA597" s="72">
        <v>0</v>
      </c>
      <c r="DB597" s="72">
        <v>0</v>
      </c>
      <c r="DC597" s="72">
        <v>0</v>
      </c>
      <c r="DD597" s="72">
        <v>0</v>
      </c>
      <c r="DE597" s="72">
        <v>0</v>
      </c>
      <c r="DF597" s="72">
        <v>0</v>
      </c>
      <c r="DG597" s="72">
        <v>0</v>
      </c>
      <c r="DH597" s="72">
        <v>0</v>
      </c>
      <c r="DI597" s="72">
        <v>0</v>
      </c>
      <c r="DJ597" s="72">
        <v>0</v>
      </c>
      <c r="DK597" s="72">
        <v>0</v>
      </c>
      <c r="DL597" s="72">
        <v>0</v>
      </c>
      <c r="DM597" s="72">
        <v>0</v>
      </c>
      <c r="DN597" s="72">
        <v>0</v>
      </c>
      <c r="DO597" s="72">
        <v>0</v>
      </c>
      <c r="DP597" s="72">
        <v>0</v>
      </c>
      <c r="DQ597" s="72">
        <v>0</v>
      </c>
      <c r="DR597" s="72">
        <v>0</v>
      </c>
      <c r="DS597" s="72">
        <v>0</v>
      </c>
      <c r="DT597" s="72">
        <v>0</v>
      </c>
      <c r="DU597" s="72">
        <v>0</v>
      </c>
      <c r="DV597" s="72">
        <v>0</v>
      </c>
      <c r="DW597" s="72">
        <v>0</v>
      </c>
      <c r="DX597" s="72">
        <v>0</v>
      </c>
      <c r="DY597" s="72">
        <v>0</v>
      </c>
      <c r="DZ597" s="72">
        <v>0</v>
      </c>
      <c r="EA597" s="72">
        <v>0</v>
      </c>
      <c r="EB597" s="72">
        <v>0</v>
      </c>
      <c r="EC597" s="72">
        <v>0</v>
      </c>
      <c r="ED597" s="72">
        <v>0</v>
      </c>
      <c r="EE597" s="72">
        <v>0</v>
      </c>
      <c r="EF597" s="72">
        <v>0</v>
      </c>
      <c r="EG597" s="72">
        <v>0</v>
      </c>
      <c r="EH597" s="72">
        <v>0</v>
      </c>
      <c r="EI597" s="72">
        <v>0</v>
      </c>
      <c r="EJ597" s="72">
        <v>0</v>
      </c>
      <c r="EK597" s="72">
        <v>0</v>
      </c>
      <c r="EL597" s="72">
        <v>0</v>
      </c>
    </row>
    <row r="598" spans="1:142" x14ac:dyDescent="0.35">
      <c r="A598" s="59">
        <f>Данные!A598</f>
        <v>5791</v>
      </c>
      <c r="B598" s="59">
        <f>Данные!B598</f>
        <v>2020</v>
      </c>
      <c r="C598" s="59" t="str">
        <f>Данные!C598</f>
        <v>современных европейских языков</v>
      </c>
      <c r="D598" s="59" t="str">
        <f>Данные!D598</f>
        <v>Хахалина Марина Сергеевна</v>
      </c>
      <c r="E598" s="59" t="str">
        <f>Данные!E598</f>
        <v>кандидат химических наук</v>
      </c>
      <c r="F598" s="59" t="str">
        <f>Данные!F598</f>
        <v>старший преподаватель</v>
      </c>
      <c r="G598" s="59">
        <f>Данные!G598</f>
        <v>1</v>
      </c>
      <c r="H598" s="59" t="str">
        <f>Данные!H598</f>
        <v>4 курс 2017 год/пост</v>
      </c>
      <c r="I598" s="59" t="str">
        <f>Данные!I598</f>
        <v>Модуль "Основы профессионального общения на иностранном языке"</v>
      </c>
      <c r="J598" s="59">
        <f>Данные!J598</f>
        <v>0</v>
      </c>
      <c r="K598" s="59">
        <f>Данные!K598</f>
        <v>0</v>
      </c>
      <c r="L598" s="59">
        <f>Данные!L598</f>
        <v>0</v>
      </c>
      <c r="M598" s="60">
        <f t="shared" si="81"/>
        <v>0</v>
      </c>
      <c r="N598" s="60">
        <f t="shared" ca="1" si="82"/>
        <v>10.91</v>
      </c>
      <c r="O598" s="60">
        <f t="shared" ca="1" si="83"/>
        <v>6.75</v>
      </c>
      <c r="P598" s="60">
        <f t="shared" ca="1" si="84"/>
        <v>6.75</v>
      </c>
      <c r="Q598" s="54">
        <f>Данные!Q598</f>
        <v>0</v>
      </c>
      <c r="R598" s="54">
        <f>Данные!R598</f>
        <v>0</v>
      </c>
      <c r="S598" s="54">
        <f>Данные!S598</f>
        <v>0</v>
      </c>
      <c r="T598" s="54">
        <f>Данные!T598</f>
        <v>0</v>
      </c>
      <c r="U598" s="54">
        <f>Данные!U598</f>
        <v>0</v>
      </c>
      <c r="V598" s="54">
        <f>Данные!V598</f>
        <v>0</v>
      </c>
      <c r="W598" s="54">
        <f ca="1">Данные!W598</f>
        <v>27</v>
      </c>
      <c r="X598" s="54" t="str">
        <f ca="1">Данные!X598</f>
        <v>1</v>
      </c>
      <c r="Y598" s="54" t="str">
        <f ca="1">Данные!Y598</f>
        <v>2</v>
      </c>
      <c r="Z598" s="54">
        <f>Данные!Z598</f>
        <v>0</v>
      </c>
      <c r="AA598" s="54" t="str">
        <f>Данные!AA598</f>
        <v>доп</v>
      </c>
      <c r="AB598" s="101">
        <f t="shared" si="85"/>
        <v>850</v>
      </c>
      <c r="AC598" s="101" t="str">
        <f t="shared" si="86"/>
        <v>ИВТ (бак)</v>
      </c>
      <c r="AD598" s="101" t="str">
        <f t="shared" si="87"/>
        <v/>
      </c>
      <c r="AE598" s="102">
        <f t="shared" ca="1" si="88"/>
        <v>24.41</v>
      </c>
      <c r="AF598" s="103">
        <f t="shared" ca="1" si="89"/>
        <v>2.8717647058823528E-2</v>
      </c>
      <c r="AG598" s="101"/>
      <c r="AH598" s="101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Q598" s="72">
        <v>0</v>
      </c>
      <c r="BR598" s="72">
        <v>0</v>
      </c>
      <c r="BS598" s="72">
        <v>0</v>
      </c>
      <c r="BT598" s="72">
        <v>0</v>
      </c>
      <c r="BU598" s="72">
        <v>0</v>
      </c>
      <c r="BV598" s="72">
        <v>0</v>
      </c>
      <c r="BW598" s="72">
        <v>0</v>
      </c>
      <c r="BX598" s="72">
        <v>0</v>
      </c>
      <c r="BY598" s="72">
        <v>0</v>
      </c>
      <c r="BZ598" s="72">
        <v>0</v>
      </c>
      <c r="CA598" s="72">
        <v>0</v>
      </c>
      <c r="CB598" s="72">
        <v>0</v>
      </c>
      <c r="CC598" s="72">
        <v>0</v>
      </c>
      <c r="CD598" s="72">
        <v>0</v>
      </c>
      <c r="CE598" s="72">
        <v>0</v>
      </c>
      <c r="CF598" s="72">
        <v>0</v>
      </c>
      <c r="CG598" s="72">
        <v>0</v>
      </c>
      <c r="CH598" s="72">
        <v>0</v>
      </c>
      <c r="CI598" s="72">
        <v>0</v>
      </c>
      <c r="CJ598" s="72">
        <v>0</v>
      </c>
      <c r="CK598" s="72">
        <v>0</v>
      </c>
      <c r="CL598" s="72">
        <v>0</v>
      </c>
      <c r="CM598" s="72">
        <v>0</v>
      </c>
      <c r="CN598" s="72">
        <v>0</v>
      </c>
      <c r="CO598" s="72">
        <v>0</v>
      </c>
      <c r="CP598" s="72">
        <v>0</v>
      </c>
      <c r="CQ598" s="72">
        <v>0</v>
      </c>
      <c r="CR598" s="72">
        <v>0</v>
      </c>
      <c r="CS598" s="72">
        <v>0</v>
      </c>
      <c r="CT598" s="72">
        <v>0</v>
      </c>
      <c r="CU598" s="72">
        <v>0</v>
      </c>
      <c r="CV598" s="72">
        <v>0</v>
      </c>
      <c r="CW598" s="72">
        <v>0</v>
      </c>
      <c r="CX598" s="72">
        <v>0</v>
      </c>
      <c r="CY598" s="72">
        <v>0</v>
      </c>
      <c r="CZ598" s="72">
        <v>0</v>
      </c>
      <c r="DA598" s="72">
        <v>0</v>
      </c>
      <c r="DB598" s="72">
        <v>0</v>
      </c>
      <c r="DC598" s="72">
        <v>0</v>
      </c>
      <c r="DD598" s="72">
        <v>0</v>
      </c>
      <c r="DE598" s="72">
        <v>0</v>
      </c>
      <c r="DF598" s="72">
        <v>0</v>
      </c>
      <c r="DG598" s="72">
        <v>0</v>
      </c>
      <c r="DH598" s="72">
        <v>0</v>
      </c>
      <c r="DI598" s="72">
        <v>0</v>
      </c>
      <c r="DJ598" s="72">
        <v>0</v>
      </c>
      <c r="DK598" s="72">
        <v>0</v>
      </c>
      <c r="DL598" s="72">
        <v>0</v>
      </c>
      <c r="DM598" s="72">
        <v>0</v>
      </c>
      <c r="DN598" s="72">
        <v>0</v>
      </c>
      <c r="DO598" s="72">
        <v>0</v>
      </c>
      <c r="DP598" s="72">
        <v>0</v>
      </c>
      <c r="DQ598" s="72">
        <v>0</v>
      </c>
      <c r="DR598" s="72">
        <v>0</v>
      </c>
      <c r="DS598" s="72">
        <v>0</v>
      </c>
      <c r="DT598" s="72">
        <v>0</v>
      </c>
      <c r="DU598" s="72">
        <v>0</v>
      </c>
      <c r="DV598" s="72">
        <v>0</v>
      </c>
      <c r="DW598" s="72">
        <v>0</v>
      </c>
      <c r="DX598" s="72">
        <v>0</v>
      </c>
      <c r="DY598" s="72">
        <v>0</v>
      </c>
      <c r="DZ598" s="72">
        <v>0</v>
      </c>
      <c r="EA598" s="72">
        <v>0</v>
      </c>
      <c r="EB598" s="72">
        <v>0</v>
      </c>
      <c r="EC598" s="72">
        <v>0</v>
      </c>
      <c r="ED598" s="72">
        <v>0</v>
      </c>
      <c r="EE598" s="72">
        <v>0</v>
      </c>
      <c r="EF598" s="72">
        <v>0</v>
      </c>
      <c r="EG598" s="72">
        <v>0</v>
      </c>
      <c r="EH598" s="72">
        <v>0</v>
      </c>
      <c r="EI598" s="72">
        <v>0</v>
      </c>
      <c r="EJ598" s="72">
        <v>0</v>
      </c>
      <c r="EK598" s="72">
        <v>0</v>
      </c>
      <c r="EL598" s="72">
        <v>0</v>
      </c>
    </row>
    <row r="599" spans="1:142" x14ac:dyDescent="0.35">
      <c r="A599" s="59">
        <f>Данные!A599</f>
        <v>5791</v>
      </c>
      <c r="B599" s="59">
        <f>Данные!B599</f>
        <v>2020</v>
      </c>
      <c r="C599" s="59" t="str">
        <f>Данные!C599</f>
        <v>современных европейских языков</v>
      </c>
      <c r="D599" s="59" t="str">
        <f>Данные!D599</f>
        <v>Хахалина Марина Сергеевна</v>
      </c>
      <c r="E599" s="59" t="str">
        <f>Данные!E599</f>
        <v>кандидат химических наук</v>
      </c>
      <c r="F599" s="59" t="str">
        <f>Данные!F599</f>
        <v>старший преподаватель</v>
      </c>
      <c r="G599" s="59">
        <f>Данные!G599</f>
        <v>1</v>
      </c>
      <c r="H599" s="59" t="str">
        <f>Данные!H599</f>
        <v>4 курс 2017 год/пост</v>
      </c>
      <c r="I599" s="59" t="str">
        <f>Данные!I599</f>
        <v>Модуль "Основы профессионального общения на иностранном языке". Профессионально-ориентированная устная коммуникация на иностранном языке</v>
      </c>
      <c r="J599" s="59">
        <f>Данные!J599</f>
        <v>0</v>
      </c>
      <c r="K599" s="59">
        <f>Данные!K599</f>
        <v>0</v>
      </c>
      <c r="L599" s="59">
        <f>Данные!L599</f>
        <v>36</v>
      </c>
      <c r="M599" s="60">
        <f t="shared" si="81"/>
        <v>3.6</v>
      </c>
      <c r="N599" s="60">
        <f t="shared" ca="1" si="82"/>
        <v>10.91</v>
      </c>
      <c r="O599" s="60">
        <f t="shared" ca="1" si="83"/>
        <v>6.75</v>
      </c>
      <c r="P599" s="60">
        <f t="shared" ca="1" si="84"/>
        <v>6.75</v>
      </c>
      <c r="Q599" s="54">
        <f>Данные!Q599</f>
        <v>0</v>
      </c>
      <c r="R599" s="54">
        <f>Данные!R599</f>
        <v>0</v>
      </c>
      <c r="S599" s="54">
        <f>Данные!S599</f>
        <v>0</v>
      </c>
      <c r="T599" s="54">
        <f>Данные!T599</f>
        <v>0</v>
      </c>
      <c r="U599" s="54">
        <f>Данные!U599</f>
        <v>0</v>
      </c>
      <c r="V599" s="54">
        <f>Данные!V599</f>
        <v>0</v>
      </c>
      <c r="W599" s="54">
        <f ca="1">Данные!W599</f>
        <v>27</v>
      </c>
      <c r="X599" s="54" t="str">
        <f ca="1">Данные!X599</f>
        <v>1</v>
      </c>
      <c r="Y599" s="54" t="str">
        <f ca="1">Данные!Y599</f>
        <v>2</v>
      </c>
      <c r="Z599" s="54">
        <f>Данные!Z599</f>
        <v>0</v>
      </c>
      <c r="AA599" s="54" t="str">
        <f>Данные!AA599</f>
        <v>доп</v>
      </c>
      <c r="AB599" s="101">
        <f t="shared" si="85"/>
        <v>850</v>
      </c>
      <c r="AC599" s="101" t="str">
        <f t="shared" si="86"/>
        <v>ИВТ (бак)</v>
      </c>
      <c r="AD599" s="101" t="str">
        <f t="shared" si="87"/>
        <v/>
      </c>
      <c r="AE599" s="102">
        <f t="shared" ca="1" si="88"/>
        <v>64.010000000000005</v>
      </c>
      <c r="AF599" s="103">
        <f t="shared" ca="1" si="89"/>
        <v>7.5305882352941181E-2</v>
      </c>
      <c r="AG599" s="101"/>
      <c r="AH599" s="101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Q599" s="72">
        <v>0</v>
      </c>
      <c r="BR599" s="72">
        <v>0</v>
      </c>
      <c r="BS599" s="72">
        <v>0</v>
      </c>
      <c r="BT599" s="72">
        <v>0</v>
      </c>
      <c r="BU599" s="72">
        <v>0</v>
      </c>
      <c r="BV599" s="72">
        <v>0</v>
      </c>
      <c r="BW599" s="72">
        <v>0</v>
      </c>
      <c r="BX599" s="72">
        <v>0</v>
      </c>
      <c r="BY599" s="72">
        <v>0</v>
      </c>
      <c r="BZ599" s="72">
        <v>0</v>
      </c>
      <c r="CA599" s="72">
        <v>0</v>
      </c>
      <c r="CB599" s="72">
        <v>0</v>
      </c>
      <c r="CC599" s="72">
        <v>0</v>
      </c>
      <c r="CD599" s="72">
        <v>0</v>
      </c>
      <c r="CE599" s="72">
        <v>0</v>
      </c>
      <c r="CF599" s="72">
        <v>0</v>
      </c>
      <c r="CG599" s="72">
        <v>0</v>
      </c>
      <c r="CH599" s="72">
        <v>0</v>
      </c>
      <c r="CI599" s="72">
        <v>0</v>
      </c>
      <c r="CJ599" s="72">
        <v>0</v>
      </c>
      <c r="CK599" s="72">
        <v>0</v>
      </c>
      <c r="CL599" s="72">
        <v>0</v>
      </c>
      <c r="CM599" s="72">
        <v>0</v>
      </c>
      <c r="CN599" s="72">
        <v>0</v>
      </c>
      <c r="CO599" s="72">
        <v>0</v>
      </c>
      <c r="CP599" s="72">
        <v>0</v>
      </c>
      <c r="CQ599" s="72">
        <v>0</v>
      </c>
      <c r="CR599" s="72">
        <v>0</v>
      </c>
      <c r="CS599" s="72">
        <v>0</v>
      </c>
      <c r="CT599" s="72">
        <v>0</v>
      </c>
      <c r="CU599" s="72">
        <v>0</v>
      </c>
      <c r="CV599" s="72">
        <v>0</v>
      </c>
      <c r="CW599" s="72">
        <v>0</v>
      </c>
      <c r="CX599" s="72">
        <v>0</v>
      </c>
      <c r="CY599" s="72">
        <v>0</v>
      </c>
      <c r="CZ599" s="72">
        <v>0</v>
      </c>
      <c r="DA599" s="72">
        <v>0</v>
      </c>
      <c r="DB599" s="72">
        <v>0</v>
      </c>
      <c r="DC599" s="72">
        <v>0</v>
      </c>
      <c r="DD599" s="72">
        <v>0</v>
      </c>
      <c r="DE599" s="72">
        <v>0</v>
      </c>
      <c r="DF599" s="72">
        <v>0</v>
      </c>
      <c r="DG599" s="72">
        <v>0</v>
      </c>
      <c r="DH599" s="72">
        <v>0</v>
      </c>
      <c r="DI599" s="72">
        <v>0</v>
      </c>
      <c r="DJ599" s="72">
        <v>0</v>
      </c>
      <c r="DK599" s="72">
        <v>0</v>
      </c>
      <c r="DL599" s="72">
        <v>0</v>
      </c>
      <c r="DM599" s="72">
        <v>0</v>
      </c>
      <c r="DN599" s="72">
        <v>0</v>
      </c>
      <c r="DO599" s="72">
        <v>0</v>
      </c>
      <c r="DP599" s="72">
        <v>0</v>
      </c>
      <c r="DQ599" s="72">
        <v>0</v>
      </c>
      <c r="DR599" s="72">
        <v>0</v>
      </c>
      <c r="DS599" s="72">
        <v>0</v>
      </c>
      <c r="DT599" s="72">
        <v>0</v>
      </c>
      <c r="DU599" s="72">
        <v>0</v>
      </c>
      <c r="DV599" s="72">
        <v>0</v>
      </c>
      <c r="DW599" s="72">
        <v>0</v>
      </c>
      <c r="DX599" s="72">
        <v>0</v>
      </c>
      <c r="DY599" s="72">
        <v>0</v>
      </c>
      <c r="DZ599" s="72">
        <v>0</v>
      </c>
      <c r="EA599" s="72">
        <v>0</v>
      </c>
      <c r="EB599" s="72">
        <v>0</v>
      </c>
      <c r="EC599" s="72">
        <v>0</v>
      </c>
      <c r="ED599" s="72">
        <v>0</v>
      </c>
      <c r="EE599" s="72">
        <v>0</v>
      </c>
      <c r="EF599" s="72">
        <v>0</v>
      </c>
      <c r="EG599" s="72">
        <v>0</v>
      </c>
      <c r="EH599" s="72">
        <v>0</v>
      </c>
      <c r="EI599" s="72">
        <v>0</v>
      </c>
      <c r="EJ599" s="72">
        <v>0</v>
      </c>
      <c r="EK599" s="72">
        <v>0</v>
      </c>
      <c r="EL599" s="72">
        <v>0</v>
      </c>
    </row>
    <row r="600" spans="1:142" x14ac:dyDescent="0.35">
      <c r="A600" s="59">
        <f>Данные!A600</f>
        <v>5791</v>
      </c>
      <c r="B600" s="59">
        <f>Данные!B600</f>
        <v>2020</v>
      </c>
      <c r="C600" s="59" t="str">
        <f>Данные!C600</f>
        <v>современных европейских языков</v>
      </c>
      <c r="D600" s="59" t="str">
        <f>Данные!D600</f>
        <v>Кузнецова Надежда Леонидовна</v>
      </c>
      <c r="E600" s="59" t="str">
        <f>Данные!E600</f>
        <v>нет</v>
      </c>
      <c r="F600" s="59" t="str">
        <f>Данные!F600</f>
        <v>старший преподаватель</v>
      </c>
      <c r="G600" s="59">
        <f>Данные!G600</f>
        <v>0.75</v>
      </c>
      <c r="H600" s="59" t="str">
        <f>Данные!H600</f>
        <v>4 курс 2017 год/пост</v>
      </c>
      <c r="I600" s="59" t="str">
        <f>Данные!I600</f>
        <v>Модуль "Особенности профессиональной иноязычной коммуникации"</v>
      </c>
      <c r="J600" s="59">
        <f>Данные!J600</f>
        <v>0</v>
      </c>
      <c r="K600" s="59">
        <f>Данные!K600</f>
        <v>0</v>
      </c>
      <c r="L600" s="59">
        <f>Данные!L600</f>
        <v>0</v>
      </c>
      <c r="M600" s="60">
        <f t="shared" si="81"/>
        <v>0</v>
      </c>
      <c r="N600" s="60">
        <f t="shared" ca="1" si="82"/>
        <v>10.91</v>
      </c>
      <c r="O600" s="60">
        <f t="shared" ca="1" si="83"/>
        <v>6.75</v>
      </c>
      <c r="P600" s="60">
        <f t="shared" ca="1" si="84"/>
        <v>6.75</v>
      </c>
      <c r="Q600" s="54">
        <f>Данные!Q600</f>
        <v>0</v>
      </c>
      <c r="R600" s="54">
        <f>Данные!R600</f>
        <v>0</v>
      </c>
      <c r="S600" s="54">
        <f>Данные!S600</f>
        <v>0</v>
      </c>
      <c r="T600" s="54">
        <f>Данные!T600</f>
        <v>0</v>
      </c>
      <c r="U600" s="54">
        <f>Данные!U600</f>
        <v>0</v>
      </c>
      <c r="V600" s="54">
        <f>Данные!V600</f>
        <v>0</v>
      </c>
      <c r="W600" s="54">
        <f ca="1">Данные!W600</f>
        <v>27</v>
      </c>
      <c r="X600" s="54" t="str">
        <f ca="1">Данные!X600</f>
        <v>1</v>
      </c>
      <c r="Y600" s="54" t="str">
        <f ca="1">Данные!Y600</f>
        <v>2</v>
      </c>
      <c r="Z600" s="54">
        <f>Данные!Z600</f>
        <v>0</v>
      </c>
      <c r="AA600" s="54" t="str">
        <f>Данные!AA600</f>
        <v>доп</v>
      </c>
      <c r="AB600" s="101">
        <f t="shared" si="85"/>
        <v>850</v>
      </c>
      <c r="AC600" s="101" t="str">
        <f t="shared" si="86"/>
        <v>ИВТ (бак)</v>
      </c>
      <c r="AD600" s="101" t="str">
        <f t="shared" si="87"/>
        <v/>
      </c>
      <c r="AE600" s="102">
        <f t="shared" ca="1" si="88"/>
        <v>24.41</v>
      </c>
      <c r="AF600" s="103">
        <f t="shared" ca="1" si="89"/>
        <v>2.8717647058823528E-2</v>
      </c>
      <c r="AG600" s="101"/>
      <c r="AH600" s="101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Q600" s="72">
        <v>0</v>
      </c>
      <c r="BR600" s="72">
        <v>0</v>
      </c>
      <c r="BS600" s="72">
        <v>0</v>
      </c>
      <c r="BT600" s="72">
        <v>0</v>
      </c>
      <c r="BU600" s="72">
        <v>0</v>
      </c>
      <c r="BV600" s="72">
        <v>0</v>
      </c>
      <c r="BW600" s="72">
        <v>0</v>
      </c>
      <c r="BX600" s="72">
        <v>0</v>
      </c>
      <c r="BY600" s="72">
        <v>0</v>
      </c>
      <c r="BZ600" s="72">
        <v>0</v>
      </c>
      <c r="CA600" s="72">
        <v>0</v>
      </c>
      <c r="CB600" s="72">
        <v>0</v>
      </c>
      <c r="CC600" s="72">
        <v>0</v>
      </c>
      <c r="CD600" s="72">
        <v>0</v>
      </c>
      <c r="CE600" s="72">
        <v>0</v>
      </c>
      <c r="CF600" s="72">
        <v>0</v>
      </c>
      <c r="CG600" s="72">
        <v>0</v>
      </c>
      <c r="CH600" s="72">
        <v>0</v>
      </c>
      <c r="CI600" s="72">
        <v>0</v>
      </c>
      <c r="CJ600" s="72">
        <v>0</v>
      </c>
      <c r="CK600" s="72">
        <v>0</v>
      </c>
      <c r="CL600" s="72">
        <v>0</v>
      </c>
      <c r="CM600" s="72">
        <v>0</v>
      </c>
      <c r="CN600" s="72">
        <v>0</v>
      </c>
      <c r="CO600" s="72">
        <v>0</v>
      </c>
      <c r="CP600" s="72">
        <v>0</v>
      </c>
      <c r="CQ600" s="72">
        <v>0</v>
      </c>
      <c r="CR600" s="72">
        <v>0</v>
      </c>
      <c r="CS600" s="72">
        <v>0</v>
      </c>
      <c r="CT600" s="72">
        <v>0</v>
      </c>
      <c r="CU600" s="72">
        <v>0</v>
      </c>
      <c r="CV600" s="72">
        <v>0</v>
      </c>
      <c r="CW600" s="72">
        <v>0</v>
      </c>
      <c r="CX600" s="72">
        <v>0</v>
      </c>
      <c r="CY600" s="72">
        <v>0</v>
      </c>
      <c r="CZ600" s="72">
        <v>0</v>
      </c>
      <c r="DA600" s="72">
        <v>0</v>
      </c>
      <c r="DB600" s="72">
        <v>0</v>
      </c>
      <c r="DC600" s="72">
        <v>0</v>
      </c>
      <c r="DD600" s="72">
        <v>0</v>
      </c>
      <c r="DE600" s="72">
        <v>0</v>
      </c>
      <c r="DF600" s="72">
        <v>0</v>
      </c>
      <c r="DG600" s="72">
        <v>0</v>
      </c>
      <c r="DH600" s="72">
        <v>0</v>
      </c>
      <c r="DI600" s="72">
        <v>0</v>
      </c>
      <c r="DJ600" s="72">
        <v>0</v>
      </c>
      <c r="DK600" s="72">
        <v>0</v>
      </c>
      <c r="DL600" s="72">
        <v>0</v>
      </c>
      <c r="DM600" s="72">
        <v>0</v>
      </c>
      <c r="DN600" s="72">
        <v>0</v>
      </c>
      <c r="DO600" s="72">
        <v>0</v>
      </c>
      <c r="DP600" s="72">
        <v>0</v>
      </c>
      <c r="DQ600" s="72">
        <v>0</v>
      </c>
      <c r="DR600" s="72">
        <v>0</v>
      </c>
      <c r="DS600" s="72">
        <v>0</v>
      </c>
      <c r="DT600" s="72">
        <v>0</v>
      </c>
      <c r="DU600" s="72">
        <v>0</v>
      </c>
      <c r="DV600" s="72">
        <v>0</v>
      </c>
      <c r="DW600" s="72">
        <v>0</v>
      </c>
      <c r="DX600" s="72">
        <v>0</v>
      </c>
      <c r="DY600" s="72">
        <v>0</v>
      </c>
      <c r="DZ600" s="72">
        <v>0</v>
      </c>
      <c r="EA600" s="72">
        <v>0</v>
      </c>
      <c r="EB600" s="72">
        <v>0</v>
      </c>
      <c r="EC600" s="72">
        <v>0</v>
      </c>
      <c r="ED600" s="72">
        <v>0</v>
      </c>
      <c r="EE600" s="72">
        <v>0</v>
      </c>
      <c r="EF600" s="72">
        <v>0</v>
      </c>
      <c r="EG600" s="72">
        <v>0</v>
      </c>
      <c r="EH600" s="72">
        <v>0</v>
      </c>
      <c r="EI600" s="72">
        <v>0</v>
      </c>
      <c r="EJ600" s="72">
        <v>0</v>
      </c>
      <c r="EK600" s="72">
        <v>0</v>
      </c>
      <c r="EL600" s="72">
        <v>0</v>
      </c>
    </row>
    <row r="601" spans="1:142" x14ac:dyDescent="0.35">
      <c r="A601" s="59">
        <f>Данные!A601</f>
        <v>5791</v>
      </c>
      <c r="B601" s="59">
        <f>Данные!B601</f>
        <v>2020</v>
      </c>
      <c r="C601" s="59" t="str">
        <f>Данные!C601</f>
        <v>современных европейских языков</v>
      </c>
      <c r="D601" s="59" t="str">
        <f>Данные!D601</f>
        <v>Кузнецова Надежда Леонидовна</v>
      </c>
      <c r="E601" s="59" t="str">
        <f>Данные!E601</f>
        <v>нет</v>
      </c>
      <c r="F601" s="59" t="str">
        <f>Данные!F601</f>
        <v>старший преподаватель</v>
      </c>
      <c r="G601" s="59">
        <f>Данные!G601</f>
        <v>0.75</v>
      </c>
      <c r="H601" s="59" t="str">
        <f>Данные!H601</f>
        <v>4 курс 2017 год/пост</v>
      </c>
      <c r="I601" s="59" t="str">
        <f>Данные!I601</f>
        <v>Модуль "Особенности профессиональной иноязычной коммуникации". Лингвистические основы иноязычной коммуникации</v>
      </c>
      <c r="J601" s="59">
        <f>Данные!J601</f>
        <v>0</v>
      </c>
      <c r="K601" s="59">
        <f>Данные!K601</f>
        <v>0</v>
      </c>
      <c r="L601" s="59">
        <f>Данные!L601</f>
        <v>144</v>
      </c>
      <c r="M601" s="60">
        <f t="shared" si="81"/>
        <v>14.4</v>
      </c>
      <c r="N601" s="60">
        <f t="shared" ca="1" si="82"/>
        <v>10.91</v>
      </c>
      <c r="O601" s="60">
        <f t="shared" ca="1" si="83"/>
        <v>6.75</v>
      </c>
      <c r="P601" s="60">
        <f t="shared" ca="1" si="84"/>
        <v>6.75</v>
      </c>
      <c r="Q601" s="54">
        <f>Данные!Q601</f>
        <v>0</v>
      </c>
      <c r="R601" s="54">
        <f>Данные!R601</f>
        <v>0</v>
      </c>
      <c r="S601" s="54">
        <f>Данные!S601</f>
        <v>0</v>
      </c>
      <c r="T601" s="54">
        <f>Данные!T601</f>
        <v>0</v>
      </c>
      <c r="U601" s="54">
        <f>Данные!U601</f>
        <v>0</v>
      </c>
      <c r="V601" s="54">
        <f>Данные!V601</f>
        <v>0</v>
      </c>
      <c r="W601" s="54">
        <f ca="1">Данные!W601</f>
        <v>27</v>
      </c>
      <c r="X601" s="54" t="str">
        <f ca="1">Данные!X601</f>
        <v>1</v>
      </c>
      <c r="Y601" s="54" t="str">
        <f ca="1">Данные!Y601</f>
        <v>2</v>
      </c>
      <c r="Z601" s="54">
        <f>Данные!Z601</f>
        <v>0</v>
      </c>
      <c r="AA601" s="54" t="str">
        <f>Данные!AA601</f>
        <v>осн</v>
      </c>
      <c r="AB601" s="101">
        <f t="shared" si="85"/>
        <v>850</v>
      </c>
      <c r="AC601" s="101" t="str">
        <f t="shared" si="86"/>
        <v>ИВТ (бак)</v>
      </c>
      <c r="AD601" s="101" t="str">
        <f t="shared" si="87"/>
        <v/>
      </c>
      <c r="AE601" s="102">
        <f t="shared" ca="1" si="88"/>
        <v>182.81</v>
      </c>
      <c r="AF601" s="103">
        <f t="shared" ca="1" si="89"/>
        <v>0.21507058823529412</v>
      </c>
      <c r="AG601" s="101"/>
      <c r="AH601" s="1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Q601" s="72">
        <v>0</v>
      </c>
      <c r="BR601" s="72">
        <v>0</v>
      </c>
      <c r="BS601" s="72">
        <v>0</v>
      </c>
      <c r="BT601" s="72">
        <v>0</v>
      </c>
      <c r="BU601" s="72">
        <v>0</v>
      </c>
      <c r="BV601" s="72">
        <v>0</v>
      </c>
      <c r="BW601" s="72">
        <v>0</v>
      </c>
      <c r="BX601" s="72">
        <v>0</v>
      </c>
      <c r="BY601" s="72">
        <v>0</v>
      </c>
      <c r="BZ601" s="72">
        <v>0</v>
      </c>
      <c r="CA601" s="72">
        <v>0</v>
      </c>
      <c r="CB601" s="72">
        <v>0</v>
      </c>
      <c r="CC601" s="72">
        <v>0</v>
      </c>
      <c r="CD601" s="72">
        <v>0</v>
      </c>
      <c r="CE601" s="72">
        <v>0</v>
      </c>
      <c r="CF601" s="72">
        <v>0</v>
      </c>
      <c r="CG601" s="72">
        <v>0</v>
      </c>
      <c r="CH601" s="72">
        <v>0</v>
      </c>
      <c r="CI601" s="72">
        <v>0</v>
      </c>
      <c r="CJ601" s="72">
        <v>0</v>
      </c>
      <c r="CK601" s="72">
        <v>0</v>
      </c>
      <c r="CL601" s="72">
        <v>0</v>
      </c>
      <c r="CM601" s="72">
        <v>0</v>
      </c>
      <c r="CN601" s="72">
        <v>0</v>
      </c>
      <c r="CO601" s="72">
        <v>0</v>
      </c>
      <c r="CP601" s="72">
        <v>0</v>
      </c>
      <c r="CQ601" s="72">
        <v>0</v>
      </c>
      <c r="CR601" s="72">
        <v>0</v>
      </c>
      <c r="CS601" s="72">
        <v>0</v>
      </c>
      <c r="CT601" s="72">
        <v>0</v>
      </c>
      <c r="CU601" s="72">
        <v>0</v>
      </c>
      <c r="CV601" s="72">
        <v>0</v>
      </c>
      <c r="CW601" s="72">
        <v>0</v>
      </c>
      <c r="CX601" s="72">
        <v>0</v>
      </c>
      <c r="CY601" s="72">
        <v>0</v>
      </c>
      <c r="CZ601" s="72">
        <v>0</v>
      </c>
      <c r="DA601" s="72">
        <v>0</v>
      </c>
      <c r="DB601" s="72">
        <v>0</v>
      </c>
      <c r="DC601" s="72">
        <v>0</v>
      </c>
      <c r="DD601" s="72">
        <v>0</v>
      </c>
      <c r="DE601" s="72">
        <v>0</v>
      </c>
      <c r="DF601" s="72">
        <v>0</v>
      </c>
      <c r="DG601" s="72">
        <v>0</v>
      </c>
      <c r="DH601" s="72">
        <v>0</v>
      </c>
      <c r="DI601" s="72">
        <v>0</v>
      </c>
      <c r="DJ601" s="72">
        <v>0</v>
      </c>
      <c r="DK601" s="72">
        <v>0</v>
      </c>
      <c r="DL601" s="72">
        <v>0</v>
      </c>
      <c r="DM601" s="72">
        <v>0</v>
      </c>
      <c r="DN601" s="72">
        <v>0</v>
      </c>
      <c r="DO601" s="72">
        <v>0</v>
      </c>
      <c r="DP601" s="72">
        <v>0</v>
      </c>
      <c r="DQ601" s="72">
        <v>0</v>
      </c>
      <c r="DR601" s="72">
        <v>0</v>
      </c>
      <c r="DS601" s="72">
        <v>0</v>
      </c>
      <c r="DT601" s="72">
        <v>0</v>
      </c>
      <c r="DU601" s="72">
        <v>0</v>
      </c>
      <c r="DV601" s="72">
        <v>0</v>
      </c>
      <c r="DW601" s="72">
        <v>0</v>
      </c>
      <c r="DX601" s="72">
        <v>0</v>
      </c>
      <c r="DY601" s="72">
        <v>0</v>
      </c>
      <c r="DZ601" s="72">
        <v>0</v>
      </c>
      <c r="EA601" s="72">
        <v>0</v>
      </c>
      <c r="EB601" s="72">
        <v>0</v>
      </c>
      <c r="EC601" s="72">
        <v>0</v>
      </c>
      <c r="ED601" s="72">
        <v>0</v>
      </c>
      <c r="EE601" s="72">
        <v>0</v>
      </c>
      <c r="EF601" s="72">
        <v>0</v>
      </c>
      <c r="EG601" s="72">
        <v>0</v>
      </c>
      <c r="EH601" s="72">
        <v>0</v>
      </c>
      <c r="EI601" s="72">
        <v>0</v>
      </c>
      <c r="EJ601" s="72">
        <v>0</v>
      </c>
      <c r="EK601" s="72">
        <v>0</v>
      </c>
      <c r="EL601" s="72">
        <v>0</v>
      </c>
    </row>
    <row r="602" spans="1:142" x14ac:dyDescent="0.35">
      <c r="A602" s="59">
        <f>Данные!A602</f>
        <v>6368</v>
      </c>
      <c r="B602" s="59">
        <f>Данные!B602</f>
        <v>2021</v>
      </c>
      <c r="C602" s="59" t="str">
        <f>Данные!C602</f>
        <v>геологии и геоэкологии</v>
      </c>
      <c r="D602" s="59" t="str">
        <f>Данные!D602</f>
        <v>Любимов Александр Владимирович</v>
      </c>
      <c r="E602" s="59" t="str">
        <f>Данные!E602</f>
        <v>доктор сельскохоз. наук</v>
      </c>
      <c r="F602" s="59" t="str">
        <f>Данные!F602</f>
        <v>профессор</v>
      </c>
      <c r="G602" s="59">
        <f>Данные!G602</f>
        <v>1</v>
      </c>
      <c r="H602" s="59" t="str">
        <f>Данные!H602</f>
        <v>4 курс 2018 год/пост</v>
      </c>
      <c r="I602" s="59" t="str">
        <f>Данные!I602</f>
        <v>Модуль "Информационные технологии и системы". Геоинформационные системы</v>
      </c>
      <c r="J602" s="59">
        <f>Данные!J602</f>
        <v>0</v>
      </c>
      <c r="K602" s="59">
        <f>Данные!K602</f>
        <v>0</v>
      </c>
      <c r="L602" s="59">
        <f>Данные!L602</f>
        <v>0</v>
      </c>
      <c r="M602" s="60">
        <f t="shared" si="81"/>
        <v>0</v>
      </c>
      <c r="N602" s="60">
        <f t="shared" ca="1" si="82"/>
        <v>14.870000000000001</v>
      </c>
      <c r="O602" s="60">
        <f t="shared" ca="1" si="83"/>
        <v>9.75</v>
      </c>
      <c r="P602" s="60">
        <f t="shared" ca="1" si="84"/>
        <v>9.75</v>
      </c>
      <c r="Q602" s="54">
        <f>Данные!Q602</f>
        <v>0</v>
      </c>
      <c r="R602" s="54">
        <f>Данные!R602</f>
        <v>0</v>
      </c>
      <c r="S602" s="54">
        <f>Данные!S602</f>
        <v>0</v>
      </c>
      <c r="T602" s="54">
        <f>Данные!T602</f>
        <v>0</v>
      </c>
      <c r="U602" s="54">
        <f>Данные!U602</f>
        <v>0</v>
      </c>
      <c r="V602" s="54">
        <f>Данные!V602</f>
        <v>0</v>
      </c>
      <c r="W602" s="54">
        <f ca="1">Данные!W602</f>
        <v>39</v>
      </c>
      <c r="X602" s="54" t="str">
        <f ca="1">Данные!X602</f>
        <v>2</v>
      </c>
      <c r="Y602" s="54" t="str">
        <f ca="1">Данные!Y602</f>
        <v>3</v>
      </c>
      <c r="Z602" s="54">
        <f>Данные!Z602</f>
        <v>0</v>
      </c>
      <c r="AA602" s="54" t="str">
        <f>Данные!AA602</f>
        <v>осн</v>
      </c>
      <c r="AB602" s="101">
        <f t="shared" si="85"/>
        <v>750</v>
      </c>
      <c r="AC602" s="101" t="str">
        <f t="shared" si="86"/>
        <v>ИВТ (бак)</v>
      </c>
      <c r="AD602" s="101" t="str">
        <f t="shared" si="87"/>
        <v/>
      </c>
      <c r="AE602" s="102">
        <f t="shared" ca="1" si="88"/>
        <v>34.370000000000005</v>
      </c>
      <c r="AF602" s="103">
        <f t="shared" ca="1" si="89"/>
        <v>4.5826666666666675E-2</v>
      </c>
      <c r="AG602" s="101"/>
      <c r="AH602" s="101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Q602" s="72">
        <v>0</v>
      </c>
      <c r="BR602" s="72">
        <v>0</v>
      </c>
      <c r="BS602" s="72">
        <v>0</v>
      </c>
      <c r="BT602" s="72">
        <v>0</v>
      </c>
      <c r="BU602" s="72">
        <v>0</v>
      </c>
      <c r="BV602" s="72">
        <v>0</v>
      </c>
      <c r="BW602" s="72">
        <v>0</v>
      </c>
      <c r="BX602" s="72">
        <v>0</v>
      </c>
      <c r="BY602" s="72">
        <v>0</v>
      </c>
      <c r="BZ602" s="72">
        <v>0</v>
      </c>
      <c r="CA602" s="72">
        <v>0</v>
      </c>
      <c r="CB602" s="72">
        <v>0</v>
      </c>
      <c r="CC602" s="72">
        <v>0</v>
      </c>
      <c r="CD602" s="72">
        <v>0</v>
      </c>
      <c r="CE602" s="72">
        <v>0</v>
      </c>
      <c r="CF602" s="72">
        <v>0</v>
      </c>
      <c r="CG602" s="72">
        <v>0</v>
      </c>
      <c r="CH602" s="72">
        <v>0</v>
      </c>
      <c r="CI602" s="72">
        <v>0</v>
      </c>
      <c r="CJ602" s="72">
        <v>0</v>
      </c>
      <c r="CK602" s="72">
        <v>0</v>
      </c>
      <c r="CL602" s="72">
        <v>0</v>
      </c>
      <c r="CM602" s="72">
        <v>0</v>
      </c>
      <c r="CN602" s="72">
        <v>0</v>
      </c>
      <c r="CO602" s="72">
        <v>0</v>
      </c>
      <c r="CP602" s="72">
        <v>0</v>
      </c>
      <c r="CQ602" s="72">
        <v>0</v>
      </c>
      <c r="CR602" s="72">
        <v>0</v>
      </c>
      <c r="CS602" s="72">
        <v>0</v>
      </c>
      <c r="CT602" s="72">
        <v>0</v>
      </c>
      <c r="CU602" s="72">
        <v>0</v>
      </c>
      <c r="CV602" s="72">
        <v>0</v>
      </c>
      <c r="CW602" s="72">
        <v>0</v>
      </c>
      <c r="CX602" s="72">
        <v>0</v>
      </c>
      <c r="CY602" s="72">
        <v>0</v>
      </c>
      <c r="CZ602" s="72">
        <v>0</v>
      </c>
      <c r="DA602" s="72">
        <v>0</v>
      </c>
      <c r="DB602" s="72">
        <v>0</v>
      </c>
      <c r="DC602" s="72">
        <v>0</v>
      </c>
      <c r="DD602" s="72">
        <v>0</v>
      </c>
      <c r="DE602" s="72">
        <v>0</v>
      </c>
      <c r="DF602" s="72">
        <v>0</v>
      </c>
      <c r="DG602" s="72">
        <v>0</v>
      </c>
      <c r="DH602" s="72">
        <v>0</v>
      </c>
      <c r="DI602" s="72">
        <v>0</v>
      </c>
      <c r="DJ602" s="72">
        <v>0</v>
      </c>
      <c r="DK602" s="72">
        <v>0</v>
      </c>
      <c r="DL602" s="72">
        <v>0</v>
      </c>
      <c r="DM602" s="72">
        <v>0</v>
      </c>
      <c r="DN602" s="72">
        <v>0</v>
      </c>
      <c r="DO602" s="72">
        <v>0</v>
      </c>
      <c r="DP602" s="72">
        <v>0</v>
      </c>
      <c r="DQ602" s="72">
        <v>0</v>
      </c>
      <c r="DR602" s="72">
        <v>0</v>
      </c>
      <c r="DS602" s="72">
        <v>0</v>
      </c>
      <c r="DT602" s="72">
        <v>0</v>
      </c>
      <c r="DU602" s="72">
        <v>0</v>
      </c>
      <c r="DV602" s="72">
        <v>0</v>
      </c>
      <c r="DW602" s="72">
        <v>0</v>
      </c>
      <c r="DX602" s="72">
        <v>0</v>
      </c>
      <c r="DY602" s="72">
        <v>0</v>
      </c>
      <c r="DZ602" s="72">
        <v>0</v>
      </c>
      <c r="EA602" s="72">
        <v>0</v>
      </c>
      <c r="EB602" s="72">
        <v>0</v>
      </c>
      <c r="EC602" s="72">
        <v>0</v>
      </c>
      <c r="ED602" s="72">
        <v>0</v>
      </c>
      <c r="EE602" s="72">
        <v>0</v>
      </c>
      <c r="EF602" s="72">
        <v>0</v>
      </c>
      <c r="EG602" s="72">
        <v>0</v>
      </c>
      <c r="EH602" s="72">
        <v>0</v>
      </c>
      <c r="EI602" s="72">
        <v>0</v>
      </c>
      <c r="EJ602" s="72">
        <v>0</v>
      </c>
      <c r="EK602" s="72">
        <v>0</v>
      </c>
      <c r="EL602" s="72">
        <v>0</v>
      </c>
    </row>
    <row r="603" spans="1:142" x14ac:dyDescent="0.35">
      <c r="A603" s="59">
        <f>Данные!A603</f>
        <v>6368</v>
      </c>
      <c r="B603" s="59">
        <f>Данные!B603</f>
        <v>2021</v>
      </c>
      <c r="C603" s="59" t="str">
        <f>Данные!C603</f>
        <v>современных европейских языков</v>
      </c>
      <c r="D603" s="59" t="str">
        <f>Данные!D603</f>
        <v>Кудрявцева Наталья Фаддеевна</v>
      </c>
      <c r="E603" s="59" t="str">
        <f>Данные!E603</f>
        <v>кандидат социологических наук</v>
      </c>
      <c r="F603" s="59" t="str">
        <f>Данные!F603</f>
        <v>доцент</v>
      </c>
      <c r="G603" s="59">
        <f>Данные!G603</f>
        <v>1</v>
      </c>
      <c r="H603" s="59" t="str">
        <f>Данные!H603</f>
        <v>4 курс 2018 год/пост</v>
      </c>
      <c r="I603" s="59" t="str">
        <f>Данные!I603</f>
        <v>Дисциплины (модули) по выбору. Иностранный язык в профессиональной сфере</v>
      </c>
      <c r="J603" s="59">
        <f>Данные!J603</f>
        <v>0</v>
      </c>
      <c r="K603" s="59">
        <f>Данные!K603</f>
        <v>0</v>
      </c>
      <c r="L603" s="59">
        <f>Данные!L603</f>
        <v>36</v>
      </c>
      <c r="M603" s="60">
        <f t="shared" si="81"/>
        <v>3.6</v>
      </c>
      <c r="N603" s="60">
        <f t="shared" ca="1" si="82"/>
        <v>14.870000000000001</v>
      </c>
      <c r="O603" s="60">
        <f t="shared" ca="1" si="83"/>
        <v>9.75</v>
      </c>
      <c r="P603" s="60">
        <f t="shared" ca="1" si="84"/>
        <v>9.75</v>
      </c>
      <c r="Q603" s="54">
        <f>Данные!Q603</f>
        <v>0</v>
      </c>
      <c r="R603" s="54">
        <f>Данные!R603</f>
        <v>0</v>
      </c>
      <c r="S603" s="54">
        <f>Данные!S603</f>
        <v>0</v>
      </c>
      <c r="T603" s="54">
        <f>Данные!T603</f>
        <v>7</v>
      </c>
      <c r="U603" s="54">
        <f>Данные!U603</f>
        <v>0</v>
      </c>
      <c r="V603" s="54">
        <f>Данные!V603</f>
        <v>0</v>
      </c>
      <c r="W603" s="54">
        <f ca="1">Данные!W603</f>
        <v>39</v>
      </c>
      <c r="X603" s="54" t="str">
        <f ca="1">Данные!X603</f>
        <v>2</v>
      </c>
      <c r="Y603" s="54" t="str">
        <f ca="1">Данные!Y603</f>
        <v>3</v>
      </c>
      <c r="Z603" s="54">
        <f>Данные!Z603</f>
        <v>0</v>
      </c>
      <c r="AA603" s="54" t="str">
        <f>Данные!AA603</f>
        <v>осн</v>
      </c>
      <c r="AB603" s="101">
        <f t="shared" si="85"/>
        <v>800</v>
      </c>
      <c r="AC603" s="101" t="str">
        <f t="shared" si="86"/>
        <v>ИВТ (бак)</v>
      </c>
      <c r="AD603" s="101" t="str">
        <f t="shared" si="87"/>
        <v/>
      </c>
      <c r="AE603" s="102">
        <f t="shared" ca="1" si="88"/>
        <v>80.97</v>
      </c>
      <c r="AF603" s="103">
        <f t="shared" ca="1" si="89"/>
        <v>0.1012125</v>
      </c>
      <c r="AG603" s="101"/>
      <c r="AH603" s="101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Q603" s="72">
        <v>0</v>
      </c>
      <c r="BR603" s="72">
        <v>0</v>
      </c>
      <c r="BS603" s="72">
        <v>0</v>
      </c>
      <c r="BT603" s="72">
        <v>0</v>
      </c>
      <c r="BU603" s="72">
        <v>0</v>
      </c>
      <c r="BV603" s="72">
        <v>0</v>
      </c>
      <c r="BW603" s="72">
        <v>0</v>
      </c>
      <c r="BX603" s="72">
        <v>0</v>
      </c>
      <c r="BY603" s="72">
        <v>0</v>
      </c>
      <c r="BZ603" s="72">
        <v>0</v>
      </c>
      <c r="CA603" s="72">
        <v>0</v>
      </c>
      <c r="CB603" s="72">
        <v>0</v>
      </c>
      <c r="CC603" s="72">
        <v>0</v>
      </c>
      <c r="CD603" s="72">
        <v>0</v>
      </c>
      <c r="CE603" s="72">
        <v>0</v>
      </c>
      <c r="CF603" s="72">
        <v>0</v>
      </c>
      <c r="CG603" s="72">
        <v>0</v>
      </c>
      <c r="CH603" s="72">
        <v>0</v>
      </c>
      <c r="CI603" s="72">
        <v>0</v>
      </c>
      <c r="CJ603" s="72">
        <v>0</v>
      </c>
      <c r="CK603" s="72">
        <v>0</v>
      </c>
      <c r="CL603" s="72">
        <v>0</v>
      </c>
      <c r="CM603" s="72">
        <v>0</v>
      </c>
      <c r="CN603" s="72">
        <v>0</v>
      </c>
      <c r="CO603" s="72">
        <v>0</v>
      </c>
      <c r="CP603" s="72">
        <v>0</v>
      </c>
      <c r="CQ603" s="72">
        <v>0</v>
      </c>
      <c r="CR603" s="72">
        <v>0</v>
      </c>
      <c r="CS603" s="72">
        <v>0</v>
      </c>
      <c r="CT603" s="72">
        <v>0</v>
      </c>
      <c r="CU603" s="72">
        <v>0</v>
      </c>
      <c r="CV603" s="72">
        <v>0</v>
      </c>
      <c r="CW603" s="72">
        <v>0</v>
      </c>
      <c r="CX603" s="72">
        <v>0</v>
      </c>
      <c r="CY603" s="72">
        <v>0</v>
      </c>
      <c r="CZ603" s="72">
        <v>0</v>
      </c>
      <c r="DA603" s="72">
        <v>0</v>
      </c>
      <c r="DB603" s="72">
        <v>0</v>
      </c>
      <c r="DC603" s="72">
        <v>0</v>
      </c>
      <c r="DD603" s="72">
        <v>0</v>
      </c>
      <c r="DE603" s="72">
        <v>0</v>
      </c>
      <c r="DF603" s="72">
        <v>0</v>
      </c>
      <c r="DG603" s="72">
        <v>0</v>
      </c>
      <c r="DH603" s="72">
        <v>0</v>
      </c>
      <c r="DI603" s="72">
        <v>0</v>
      </c>
      <c r="DJ603" s="72">
        <v>0</v>
      </c>
      <c r="DK603" s="72">
        <v>0</v>
      </c>
      <c r="DL603" s="72">
        <v>0</v>
      </c>
      <c r="DM603" s="72">
        <v>0</v>
      </c>
      <c r="DN603" s="72">
        <v>0</v>
      </c>
      <c r="DO603" s="72">
        <v>0</v>
      </c>
      <c r="DP603" s="72">
        <v>0</v>
      </c>
      <c r="DQ603" s="72">
        <v>0</v>
      </c>
      <c r="DR603" s="72">
        <v>0</v>
      </c>
      <c r="DS603" s="72">
        <v>0</v>
      </c>
      <c r="DT603" s="72">
        <v>0</v>
      </c>
      <c r="DU603" s="72">
        <v>0</v>
      </c>
      <c r="DV603" s="72">
        <v>0</v>
      </c>
      <c r="DW603" s="72">
        <v>0</v>
      </c>
      <c r="DX603" s="72">
        <v>0</v>
      </c>
      <c r="DY603" s="72">
        <v>0</v>
      </c>
      <c r="DZ603" s="72">
        <v>0</v>
      </c>
      <c r="EA603" s="72">
        <v>0</v>
      </c>
      <c r="EB603" s="72">
        <v>0</v>
      </c>
      <c r="EC603" s="72">
        <v>0</v>
      </c>
      <c r="ED603" s="72">
        <v>0</v>
      </c>
      <c r="EE603" s="72">
        <v>0</v>
      </c>
      <c r="EF603" s="72">
        <v>0</v>
      </c>
      <c r="EG603" s="72">
        <v>0</v>
      </c>
      <c r="EH603" s="72">
        <v>0</v>
      </c>
      <c r="EI603" s="72">
        <v>0</v>
      </c>
      <c r="EJ603" s="72">
        <v>0</v>
      </c>
      <c r="EK603" s="72">
        <v>0</v>
      </c>
      <c r="EL603" s="72">
        <v>0</v>
      </c>
    </row>
    <row r="604" spans="1:142" x14ac:dyDescent="0.35">
      <c r="A604" s="59">
        <f>Данные!A604</f>
        <v>6368</v>
      </c>
      <c r="B604" s="59">
        <f>Данные!B604</f>
        <v>2021</v>
      </c>
      <c r="C604" s="59" t="str">
        <f>Данные!C604</f>
        <v>физической электроники</v>
      </c>
      <c r="D604" s="59" t="str">
        <f>Данные!D604</f>
        <v>Гасумянц Виталий Эдуардович</v>
      </c>
      <c r="E604" s="59" t="str">
        <f>Данные!E604</f>
        <v>доктор физ.-мат. наук</v>
      </c>
      <c r="F604" s="59" t="str">
        <f>Данные!F604</f>
        <v>профессор</v>
      </c>
      <c r="G604" s="59">
        <f>Данные!G604</f>
        <v>0.5</v>
      </c>
      <c r="H604" s="59" t="str">
        <f>Данные!H604</f>
        <v>4 курс 2018 год/пост</v>
      </c>
      <c r="I604" s="59" t="str">
        <f>Данные!I604</f>
        <v>Модуль "Физические основы ЭВМ"</v>
      </c>
      <c r="J604" s="59">
        <f>Данные!J604</f>
        <v>0</v>
      </c>
      <c r="K604" s="59">
        <f>Данные!K604</f>
        <v>0</v>
      </c>
      <c r="L604" s="59">
        <f>Данные!L604</f>
        <v>0</v>
      </c>
      <c r="M604" s="60">
        <f t="shared" si="81"/>
        <v>0</v>
      </c>
      <c r="N604" s="60">
        <f t="shared" ca="1" si="82"/>
        <v>14.870000000000001</v>
      </c>
      <c r="O604" s="60">
        <f t="shared" ca="1" si="83"/>
        <v>9.75</v>
      </c>
      <c r="P604" s="60">
        <f t="shared" ca="1" si="84"/>
        <v>9.75</v>
      </c>
      <c r="Q604" s="54">
        <f>Данные!Q604</f>
        <v>0</v>
      </c>
      <c r="R604" s="54">
        <f>Данные!R604</f>
        <v>0</v>
      </c>
      <c r="S604" s="54">
        <f>Данные!S604</f>
        <v>0</v>
      </c>
      <c r="T604" s="54">
        <f>Данные!T604</f>
        <v>0</v>
      </c>
      <c r="U604" s="54">
        <f>Данные!U604</f>
        <v>0</v>
      </c>
      <c r="V604" s="54">
        <f>Данные!V604</f>
        <v>0</v>
      </c>
      <c r="W604" s="54">
        <f ca="1">Данные!W604</f>
        <v>39</v>
      </c>
      <c r="X604" s="54" t="str">
        <f ca="1">Данные!X604</f>
        <v>2</v>
      </c>
      <c r="Y604" s="54" t="str">
        <f ca="1">Данные!Y604</f>
        <v>3</v>
      </c>
      <c r="Z604" s="54">
        <f>Данные!Z604</f>
        <v>0</v>
      </c>
      <c r="AA604" s="54" t="str">
        <f>Данные!AA604</f>
        <v>осн</v>
      </c>
      <c r="AB604" s="101">
        <f t="shared" si="85"/>
        <v>750</v>
      </c>
      <c r="AC604" s="101" t="str">
        <f t="shared" si="86"/>
        <v>ИВТ (бак)</v>
      </c>
      <c r="AD604" s="101" t="str">
        <f t="shared" si="87"/>
        <v/>
      </c>
      <c r="AE604" s="102">
        <f t="shared" ca="1" si="88"/>
        <v>34.370000000000005</v>
      </c>
      <c r="AF604" s="103">
        <f t="shared" ca="1" si="89"/>
        <v>4.5826666666666675E-2</v>
      </c>
      <c r="AG604" s="101"/>
      <c r="AH604" s="101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Q604" s="72">
        <v>0</v>
      </c>
      <c r="BR604" s="72">
        <v>0</v>
      </c>
      <c r="BS604" s="72">
        <v>0</v>
      </c>
      <c r="BT604" s="72">
        <v>0</v>
      </c>
      <c r="BU604" s="72">
        <v>0</v>
      </c>
      <c r="BV604" s="72">
        <v>0</v>
      </c>
      <c r="BW604" s="72">
        <v>0</v>
      </c>
      <c r="BX604" s="72">
        <v>0</v>
      </c>
      <c r="BY604" s="72">
        <v>0</v>
      </c>
      <c r="BZ604" s="72">
        <v>0</v>
      </c>
      <c r="CA604" s="72">
        <v>0</v>
      </c>
      <c r="CB604" s="72">
        <v>0</v>
      </c>
      <c r="CC604" s="72">
        <v>0</v>
      </c>
      <c r="CD604" s="72">
        <v>0</v>
      </c>
      <c r="CE604" s="72">
        <v>0</v>
      </c>
      <c r="CF604" s="72">
        <v>0</v>
      </c>
      <c r="CG604" s="72">
        <v>0</v>
      </c>
      <c r="CH604" s="72">
        <v>0</v>
      </c>
      <c r="CI604" s="72">
        <v>0</v>
      </c>
      <c r="CJ604" s="72">
        <v>0</v>
      </c>
      <c r="CK604" s="72">
        <v>0</v>
      </c>
      <c r="CL604" s="72">
        <v>0</v>
      </c>
      <c r="CM604" s="72">
        <v>0</v>
      </c>
      <c r="CN604" s="72">
        <v>0</v>
      </c>
      <c r="CO604" s="72">
        <v>0</v>
      </c>
      <c r="CP604" s="72">
        <v>0</v>
      </c>
      <c r="CQ604" s="72">
        <v>0</v>
      </c>
      <c r="CR604" s="72">
        <v>0</v>
      </c>
      <c r="CS604" s="72">
        <v>0</v>
      </c>
      <c r="CT604" s="72">
        <v>0</v>
      </c>
      <c r="CU604" s="72">
        <v>0</v>
      </c>
      <c r="CV604" s="72">
        <v>0</v>
      </c>
      <c r="CW604" s="72">
        <v>0</v>
      </c>
      <c r="CX604" s="72">
        <v>0</v>
      </c>
      <c r="CY604" s="72">
        <v>0</v>
      </c>
      <c r="CZ604" s="72">
        <v>0</v>
      </c>
      <c r="DA604" s="72">
        <v>0</v>
      </c>
      <c r="DB604" s="72">
        <v>0</v>
      </c>
      <c r="DC604" s="72">
        <v>0</v>
      </c>
      <c r="DD604" s="72">
        <v>0</v>
      </c>
      <c r="DE604" s="72">
        <v>0</v>
      </c>
      <c r="DF604" s="72">
        <v>0</v>
      </c>
      <c r="DG604" s="72">
        <v>0</v>
      </c>
      <c r="DH604" s="72">
        <v>0</v>
      </c>
      <c r="DI604" s="72">
        <v>0</v>
      </c>
      <c r="DJ604" s="72">
        <v>0</v>
      </c>
      <c r="DK604" s="72">
        <v>0</v>
      </c>
      <c r="DL604" s="72">
        <v>0</v>
      </c>
      <c r="DM604" s="72">
        <v>0</v>
      </c>
      <c r="DN604" s="72">
        <v>0</v>
      </c>
      <c r="DO604" s="72">
        <v>0</v>
      </c>
      <c r="DP604" s="72">
        <v>0</v>
      </c>
      <c r="DQ604" s="72">
        <v>0</v>
      </c>
      <c r="DR604" s="72">
        <v>0</v>
      </c>
      <c r="DS604" s="72">
        <v>0</v>
      </c>
      <c r="DT604" s="72">
        <v>0</v>
      </c>
      <c r="DU604" s="72">
        <v>0</v>
      </c>
      <c r="DV604" s="72">
        <v>0</v>
      </c>
      <c r="DW604" s="72">
        <v>0</v>
      </c>
      <c r="DX604" s="72">
        <v>0</v>
      </c>
      <c r="DY604" s="72">
        <v>0</v>
      </c>
      <c r="DZ604" s="72">
        <v>0</v>
      </c>
      <c r="EA604" s="72">
        <v>0</v>
      </c>
      <c r="EB604" s="72">
        <v>0</v>
      </c>
      <c r="EC604" s="72">
        <v>0</v>
      </c>
      <c r="ED604" s="72">
        <v>0</v>
      </c>
      <c r="EE604" s="72">
        <v>0</v>
      </c>
      <c r="EF604" s="72">
        <v>0</v>
      </c>
      <c r="EG604" s="72">
        <v>0</v>
      </c>
      <c r="EH604" s="72">
        <v>0</v>
      </c>
      <c r="EI604" s="72">
        <v>0</v>
      </c>
      <c r="EJ604" s="72">
        <v>0</v>
      </c>
      <c r="EK604" s="72">
        <v>0</v>
      </c>
      <c r="EL604" s="72">
        <v>0</v>
      </c>
    </row>
    <row r="605" spans="1:142" x14ac:dyDescent="0.35">
      <c r="A605" s="59">
        <f>Данные!A605</f>
        <v>6368</v>
      </c>
      <c r="B605" s="59">
        <f>Данные!B605</f>
        <v>2021</v>
      </c>
      <c r="C605" s="59" t="str">
        <f>Данные!C605</f>
        <v>физической электроники</v>
      </c>
      <c r="D605" s="59" t="str">
        <f>Данные!D605</f>
        <v>Гасумянц Виталий Эдуардович</v>
      </c>
      <c r="E605" s="59" t="str">
        <f>Данные!E605</f>
        <v>доктор физ.-мат. наук</v>
      </c>
      <c r="F605" s="59" t="str">
        <f>Данные!F605</f>
        <v>профессор</v>
      </c>
      <c r="G605" s="59">
        <f>Данные!G605</f>
        <v>0.5</v>
      </c>
      <c r="H605" s="59" t="str">
        <f>Данные!H605</f>
        <v>4 курс 2018 год/пост</v>
      </c>
      <c r="I605" s="59" t="str">
        <f>Данные!I605</f>
        <v>Модуль "Организация ЭВМ". Физические основы микроэлектроники</v>
      </c>
      <c r="J605" s="59">
        <f>Данные!J605</f>
        <v>0</v>
      </c>
      <c r="K605" s="59">
        <f>Данные!K605</f>
        <v>36</v>
      </c>
      <c r="L605" s="59">
        <f>Данные!L605</f>
        <v>0</v>
      </c>
      <c r="M605" s="60">
        <f t="shared" si="81"/>
        <v>3.6</v>
      </c>
      <c r="N605" s="60">
        <f t="shared" ca="1" si="82"/>
        <v>14.870000000000001</v>
      </c>
      <c r="O605" s="60">
        <f t="shared" ca="1" si="83"/>
        <v>9.75</v>
      </c>
      <c r="P605" s="60">
        <f t="shared" ca="1" si="84"/>
        <v>9.75</v>
      </c>
      <c r="Q605" s="54">
        <f>Данные!Q605</f>
        <v>0</v>
      </c>
      <c r="R605" s="54">
        <f>Данные!R605</f>
        <v>0</v>
      </c>
      <c r="S605" s="54">
        <f>Данные!S605</f>
        <v>0</v>
      </c>
      <c r="T605" s="54">
        <f>Данные!T605</f>
        <v>0</v>
      </c>
      <c r="U605" s="54">
        <f>Данные!U605</f>
        <v>0</v>
      </c>
      <c r="V605" s="54">
        <f>Данные!V605</f>
        <v>0</v>
      </c>
      <c r="W605" s="54">
        <f ca="1">Данные!W605</f>
        <v>39</v>
      </c>
      <c r="X605" s="54" t="str">
        <f ca="1">Данные!X605</f>
        <v>2</v>
      </c>
      <c r="Y605" s="54" t="str">
        <f ca="1">Данные!Y605</f>
        <v>3</v>
      </c>
      <c r="Z605" s="54">
        <f>Данные!Z605</f>
        <v>0</v>
      </c>
      <c r="AA605" s="54" t="str">
        <f>Данные!AA605</f>
        <v>осн</v>
      </c>
      <c r="AB605" s="101">
        <f t="shared" si="85"/>
        <v>750</v>
      </c>
      <c r="AC605" s="101" t="str">
        <f t="shared" si="86"/>
        <v>ИВТ (бак)</v>
      </c>
      <c r="AD605" s="101" t="str">
        <f t="shared" si="87"/>
        <v/>
      </c>
      <c r="AE605" s="102">
        <f t="shared" ca="1" si="88"/>
        <v>73.97</v>
      </c>
      <c r="AF605" s="103">
        <f t="shared" ca="1" si="89"/>
        <v>9.8626666666666668E-2</v>
      </c>
      <c r="AG605" s="101"/>
      <c r="AH605" s="101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Q605" s="72">
        <v>0</v>
      </c>
      <c r="BR605" s="72">
        <v>0</v>
      </c>
      <c r="BS605" s="72">
        <v>0</v>
      </c>
      <c r="BT605" s="72">
        <v>0</v>
      </c>
      <c r="BU605" s="72">
        <v>0</v>
      </c>
      <c r="BV605" s="72">
        <v>0</v>
      </c>
      <c r="BW605" s="72">
        <v>0</v>
      </c>
      <c r="BX605" s="72">
        <v>0</v>
      </c>
      <c r="BY605" s="72">
        <v>0</v>
      </c>
      <c r="BZ605" s="72">
        <v>0</v>
      </c>
      <c r="CA605" s="72">
        <v>0</v>
      </c>
      <c r="CB605" s="72">
        <v>0</v>
      </c>
      <c r="CC605" s="72">
        <v>0</v>
      </c>
      <c r="CD605" s="72">
        <v>0</v>
      </c>
      <c r="CE605" s="72">
        <v>0</v>
      </c>
      <c r="CF605" s="72">
        <v>0</v>
      </c>
      <c r="CG605" s="72">
        <v>0</v>
      </c>
      <c r="CH605" s="72">
        <v>0</v>
      </c>
      <c r="CI605" s="72">
        <v>0</v>
      </c>
      <c r="CJ605" s="72">
        <v>0</v>
      </c>
      <c r="CK605" s="72">
        <v>0</v>
      </c>
      <c r="CL605" s="72">
        <v>0</v>
      </c>
      <c r="CM605" s="72">
        <v>0</v>
      </c>
      <c r="CN605" s="72">
        <v>0</v>
      </c>
      <c r="CO605" s="72">
        <v>0</v>
      </c>
      <c r="CP605" s="72">
        <v>0</v>
      </c>
      <c r="CQ605" s="72">
        <v>0</v>
      </c>
      <c r="CR605" s="72">
        <v>0</v>
      </c>
      <c r="CS605" s="72">
        <v>0</v>
      </c>
      <c r="CT605" s="72">
        <v>0</v>
      </c>
      <c r="CU605" s="72">
        <v>0</v>
      </c>
      <c r="CV605" s="72">
        <v>0</v>
      </c>
      <c r="CW605" s="72">
        <v>0</v>
      </c>
      <c r="CX605" s="72">
        <v>0</v>
      </c>
      <c r="CY605" s="72">
        <v>0</v>
      </c>
      <c r="CZ605" s="72">
        <v>0</v>
      </c>
      <c r="DA605" s="72">
        <v>0</v>
      </c>
      <c r="DB605" s="72">
        <v>0</v>
      </c>
      <c r="DC605" s="72">
        <v>0</v>
      </c>
      <c r="DD605" s="72">
        <v>0</v>
      </c>
      <c r="DE605" s="72">
        <v>0</v>
      </c>
      <c r="DF605" s="72">
        <v>0</v>
      </c>
      <c r="DG605" s="72">
        <v>0</v>
      </c>
      <c r="DH605" s="72">
        <v>0</v>
      </c>
      <c r="DI605" s="72">
        <v>0</v>
      </c>
      <c r="DJ605" s="72">
        <v>0</v>
      </c>
      <c r="DK605" s="72">
        <v>0</v>
      </c>
      <c r="DL605" s="72">
        <v>0</v>
      </c>
      <c r="DM605" s="72">
        <v>0</v>
      </c>
      <c r="DN605" s="72">
        <v>0</v>
      </c>
      <c r="DO605" s="72">
        <v>0</v>
      </c>
      <c r="DP605" s="72">
        <v>0</v>
      </c>
      <c r="DQ605" s="72">
        <v>0</v>
      </c>
      <c r="DR605" s="72">
        <v>0</v>
      </c>
      <c r="DS605" s="72">
        <v>0</v>
      </c>
      <c r="DT605" s="72">
        <v>0</v>
      </c>
      <c r="DU605" s="72">
        <v>0</v>
      </c>
      <c r="DV605" s="72">
        <v>0</v>
      </c>
      <c r="DW605" s="72">
        <v>0</v>
      </c>
      <c r="DX605" s="72">
        <v>0</v>
      </c>
      <c r="DY605" s="72">
        <v>0</v>
      </c>
      <c r="DZ605" s="72">
        <v>0</v>
      </c>
      <c r="EA605" s="72">
        <v>0</v>
      </c>
      <c r="EB605" s="72">
        <v>0</v>
      </c>
      <c r="EC605" s="72">
        <v>0</v>
      </c>
      <c r="ED605" s="72">
        <v>0</v>
      </c>
      <c r="EE605" s="72">
        <v>0</v>
      </c>
      <c r="EF605" s="72">
        <v>0</v>
      </c>
      <c r="EG605" s="72">
        <v>0</v>
      </c>
      <c r="EH605" s="72">
        <v>0</v>
      </c>
      <c r="EI605" s="72">
        <v>0</v>
      </c>
      <c r="EJ605" s="72">
        <v>0</v>
      </c>
      <c r="EK605" s="72">
        <v>0</v>
      </c>
      <c r="EL605" s="72">
        <v>0</v>
      </c>
    </row>
    <row r="606" spans="1:142" x14ac:dyDescent="0.35">
      <c r="A606" s="59">
        <f>Данные!A606</f>
        <v>6368</v>
      </c>
      <c r="B606" s="59">
        <f>Данные!B606</f>
        <v>2021</v>
      </c>
      <c r="C606" s="59" t="str">
        <f>Данные!C606</f>
        <v>физической электроники</v>
      </c>
      <c r="D606" s="59" t="str">
        <f>Данные!D606</f>
        <v>Хинич Иосиф Исаакович</v>
      </c>
      <c r="E606" s="59" t="str">
        <f>Данные!E606</f>
        <v>доктор педагогических наук</v>
      </c>
      <c r="F606" s="59" t="str">
        <f>Данные!F606</f>
        <v>профессор</v>
      </c>
      <c r="G606" s="59">
        <f>Данные!G606</f>
        <v>0.75</v>
      </c>
      <c r="H606" s="59" t="str">
        <f>Данные!H606</f>
        <v>4 курс 2018 год/пост</v>
      </c>
      <c r="I606" s="59" t="str">
        <f>Данные!I606</f>
        <v>Модуль "Физические основы ЭВМ"</v>
      </c>
      <c r="J606" s="59">
        <f>Данные!J606</f>
        <v>0</v>
      </c>
      <c r="K606" s="59">
        <f>Данные!K606</f>
        <v>0</v>
      </c>
      <c r="L606" s="59">
        <f>Данные!L606</f>
        <v>0</v>
      </c>
      <c r="M606" s="60">
        <f t="shared" si="81"/>
        <v>0</v>
      </c>
      <c r="N606" s="60">
        <f t="shared" ca="1" si="82"/>
        <v>14.870000000000001</v>
      </c>
      <c r="O606" s="60">
        <f t="shared" ca="1" si="83"/>
        <v>9.75</v>
      </c>
      <c r="P606" s="60">
        <f t="shared" ca="1" si="84"/>
        <v>9.75</v>
      </c>
      <c r="Q606" s="54">
        <f>Данные!Q606</f>
        <v>0</v>
      </c>
      <c r="R606" s="54">
        <f>Данные!R606</f>
        <v>0</v>
      </c>
      <c r="S606" s="54">
        <f>Данные!S606</f>
        <v>0</v>
      </c>
      <c r="T606" s="54">
        <f>Данные!T606</f>
        <v>0</v>
      </c>
      <c r="U606" s="54">
        <f>Данные!U606</f>
        <v>0</v>
      </c>
      <c r="V606" s="54">
        <f>Данные!V606</f>
        <v>0</v>
      </c>
      <c r="W606" s="54">
        <f ca="1">Данные!W606</f>
        <v>39</v>
      </c>
      <c r="X606" s="54" t="str">
        <f ca="1">Данные!X606</f>
        <v>2</v>
      </c>
      <c r="Y606" s="54" t="str">
        <f ca="1">Данные!Y606</f>
        <v>3</v>
      </c>
      <c r="Z606" s="54">
        <f>Данные!Z606</f>
        <v>0</v>
      </c>
      <c r="AA606" s="54" t="str">
        <f>Данные!AA606</f>
        <v>осн</v>
      </c>
      <c r="AB606" s="101">
        <f t="shared" si="85"/>
        <v>750</v>
      </c>
      <c r="AC606" s="101" t="str">
        <f t="shared" si="86"/>
        <v>ИВТ (бак)</v>
      </c>
      <c r="AD606" s="101" t="str">
        <f t="shared" si="87"/>
        <v/>
      </c>
      <c r="AE606" s="102">
        <f t="shared" ca="1" si="88"/>
        <v>34.370000000000005</v>
      </c>
      <c r="AF606" s="103">
        <f t="shared" ca="1" si="89"/>
        <v>4.5826666666666675E-2</v>
      </c>
      <c r="AG606" s="101"/>
      <c r="AH606" s="101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Q606" s="72">
        <v>0</v>
      </c>
      <c r="BR606" s="72">
        <v>0</v>
      </c>
      <c r="BS606" s="72">
        <v>0</v>
      </c>
      <c r="BT606" s="72">
        <v>0</v>
      </c>
      <c r="BU606" s="72">
        <v>0</v>
      </c>
      <c r="BV606" s="72">
        <v>0</v>
      </c>
      <c r="BW606" s="72">
        <v>0</v>
      </c>
      <c r="BX606" s="72">
        <v>0</v>
      </c>
      <c r="BY606" s="72">
        <v>0</v>
      </c>
      <c r="BZ606" s="72">
        <v>0</v>
      </c>
      <c r="CA606" s="72">
        <v>0</v>
      </c>
      <c r="CB606" s="72">
        <v>0</v>
      </c>
      <c r="CC606" s="72">
        <v>0</v>
      </c>
      <c r="CD606" s="72">
        <v>0</v>
      </c>
      <c r="CE606" s="72">
        <v>0</v>
      </c>
      <c r="CF606" s="72">
        <v>0</v>
      </c>
      <c r="CG606" s="72">
        <v>0</v>
      </c>
      <c r="CH606" s="72">
        <v>0</v>
      </c>
      <c r="CI606" s="72">
        <v>0</v>
      </c>
      <c r="CJ606" s="72">
        <v>0</v>
      </c>
      <c r="CK606" s="72">
        <v>0</v>
      </c>
      <c r="CL606" s="72">
        <v>0</v>
      </c>
      <c r="CM606" s="72">
        <v>0</v>
      </c>
      <c r="CN606" s="72">
        <v>0</v>
      </c>
      <c r="CO606" s="72">
        <v>0</v>
      </c>
      <c r="CP606" s="72">
        <v>0</v>
      </c>
      <c r="CQ606" s="72">
        <v>0</v>
      </c>
      <c r="CR606" s="72">
        <v>0</v>
      </c>
      <c r="CS606" s="72">
        <v>0</v>
      </c>
      <c r="CT606" s="72">
        <v>0</v>
      </c>
      <c r="CU606" s="72">
        <v>0</v>
      </c>
      <c r="CV606" s="72">
        <v>0</v>
      </c>
      <c r="CW606" s="72">
        <v>0</v>
      </c>
      <c r="CX606" s="72">
        <v>0</v>
      </c>
      <c r="CY606" s="72">
        <v>0</v>
      </c>
      <c r="CZ606" s="72">
        <v>0</v>
      </c>
      <c r="DA606" s="72">
        <v>0</v>
      </c>
      <c r="DB606" s="72">
        <v>0</v>
      </c>
      <c r="DC606" s="72">
        <v>0</v>
      </c>
      <c r="DD606" s="72">
        <v>0</v>
      </c>
      <c r="DE606" s="72">
        <v>0</v>
      </c>
      <c r="DF606" s="72">
        <v>0</v>
      </c>
      <c r="DG606" s="72">
        <v>0</v>
      </c>
      <c r="DH606" s="72">
        <v>0</v>
      </c>
      <c r="DI606" s="72">
        <v>0</v>
      </c>
      <c r="DJ606" s="72">
        <v>0</v>
      </c>
      <c r="DK606" s="72">
        <v>0</v>
      </c>
      <c r="DL606" s="72">
        <v>0</v>
      </c>
      <c r="DM606" s="72">
        <v>0</v>
      </c>
      <c r="DN606" s="72">
        <v>0</v>
      </c>
      <c r="DO606" s="72">
        <v>0</v>
      </c>
      <c r="DP606" s="72">
        <v>0</v>
      </c>
      <c r="DQ606" s="72">
        <v>0</v>
      </c>
      <c r="DR606" s="72">
        <v>0</v>
      </c>
      <c r="DS606" s="72">
        <v>0</v>
      </c>
      <c r="DT606" s="72">
        <v>0</v>
      </c>
      <c r="DU606" s="72">
        <v>0</v>
      </c>
      <c r="DV606" s="72">
        <v>0</v>
      </c>
      <c r="DW606" s="72">
        <v>0</v>
      </c>
      <c r="DX606" s="72">
        <v>0</v>
      </c>
      <c r="DY606" s="72">
        <v>0</v>
      </c>
      <c r="DZ606" s="72">
        <v>0</v>
      </c>
      <c r="EA606" s="72">
        <v>0</v>
      </c>
      <c r="EB606" s="72">
        <v>0</v>
      </c>
      <c r="EC606" s="72">
        <v>0</v>
      </c>
      <c r="ED606" s="72">
        <v>0</v>
      </c>
      <c r="EE606" s="72">
        <v>0</v>
      </c>
      <c r="EF606" s="72">
        <v>0</v>
      </c>
      <c r="EG606" s="72">
        <v>0</v>
      </c>
      <c r="EH606" s="72">
        <v>0</v>
      </c>
      <c r="EI606" s="72">
        <v>0</v>
      </c>
      <c r="EJ606" s="72">
        <v>0</v>
      </c>
      <c r="EK606" s="72">
        <v>0</v>
      </c>
      <c r="EL606" s="72">
        <v>0</v>
      </c>
    </row>
    <row r="607" spans="1:142" x14ac:dyDescent="0.35">
      <c r="A607" s="59">
        <f>Данные!A607</f>
        <v>6368</v>
      </c>
      <c r="B607" s="59">
        <f>Данные!B607</f>
        <v>2021</v>
      </c>
      <c r="C607" s="59" t="str">
        <f>Данные!C607</f>
        <v>физической электроники</v>
      </c>
      <c r="D607" s="59" t="str">
        <f>Данные!D607</f>
        <v>Хинич Иосиф Исаакович</v>
      </c>
      <c r="E607" s="59" t="str">
        <f>Данные!E607</f>
        <v>доктор педагогических наук</v>
      </c>
      <c r="F607" s="59" t="str">
        <f>Данные!F607</f>
        <v>профессор</v>
      </c>
      <c r="G607" s="59">
        <f>Данные!G607</f>
        <v>0.75</v>
      </c>
      <c r="H607" s="59" t="str">
        <f>Данные!H607</f>
        <v>4 курс 2018 год/пост</v>
      </c>
      <c r="I607" s="59" t="str">
        <f>Данные!I607</f>
        <v>Модуль "Физические основы ЭВМ". Введение в нанотехнологии</v>
      </c>
      <c r="J607" s="59">
        <f>Данные!J607</f>
        <v>9</v>
      </c>
      <c r="K607" s="59">
        <f>Данные!K607</f>
        <v>0</v>
      </c>
      <c r="L607" s="59">
        <f>Данные!L607</f>
        <v>27</v>
      </c>
      <c r="M607" s="60">
        <f t="shared" si="81"/>
        <v>3.6</v>
      </c>
      <c r="N607" s="60">
        <f t="shared" ca="1" si="82"/>
        <v>14.870000000000001</v>
      </c>
      <c r="O607" s="60">
        <f t="shared" ca="1" si="83"/>
        <v>9.75</v>
      </c>
      <c r="P607" s="60">
        <f t="shared" ca="1" si="84"/>
        <v>9.75</v>
      </c>
      <c r="Q607" s="54">
        <f>Данные!Q607</f>
        <v>0</v>
      </c>
      <c r="R607" s="54">
        <f>Данные!R607</f>
        <v>0</v>
      </c>
      <c r="S607" s="54">
        <f>Данные!S607</f>
        <v>0</v>
      </c>
      <c r="T607" s="54">
        <f>Данные!T607</f>
        <v>0</v>
      </c>
      <c r="U607" s="54">
        <f>Данные!U607</f>
        <v>0</v>
      </c>
      <c r="V607" s="54">
        <f>Данные!V607</f>
        <v>0</v>
      </c>
      <c r="W607" s="54">
        <f ca="1">Данные!W607</f>
        <v>39</v>
      </c>
      <c r="X607" s="54" t="str">
        <f ca="1">Данные!X607</f>
        <v>2</v>
      </c>
      <c r="Y607" s="54" t="str">
        <f ca="1">Данные!Y607</f>
        <v>3</v>
      </c>
      <c r="Z607" s="54">
        <f>Данные!Z607</f>
        <v>0</v>
      </c>
      <c r="AA607" s="54" t="str">
        <f>Данные!AA607</f>
        <v>осн</v>
      </c>
      <c r="AB607" s="101">
        <f t="shared" si="85"/>
        <v>750</v>
      </c>
      <c r="AC607" s="101" t="str">
        <f t="shared" si="86"/>
        <v>ИВТ (бак)</v>
      </c>
      <c r="AD607" s="101" t="str">
        <f t="shared" si="87"/>
        <v/>
      </c>
      <c r="AE607" s="102">
        <f t="shared" ca="1" si="88"/>
        <v>73.97</v>
      </c>
      <c r="AF607" s="103">
        <f t="shared" ca="1" si="89"/>
        <v>9.8626666666666668E-2</v>
      </c>
      <c r="AG607" s="101"/>
      <c r="AH607" s="101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Q607" s="72">
        <v>0</v>
      </c>
      <c r="BR607" s="72">
        <v>0</v>
      </c>
      <c r="BS607" s="72">
        <v>0</v>
      </c>
      <c r="BT607" s="72">
        <v>0</v>
      </c>
      <c r="BU607" s="72">
        <v>0</v>
      </c>
      <c r="BV607" s="72">
        <v>0</v>
      </c>
      <c r="BW607" s="72">
        <v>0</v>
      </c>
      <c r="BX607" s="72">
        <v>0</v>
      </c>
      <c r="BY607" s="72">
        <v>0</v>
      </c>
      <c r="BZ607" s="72">
        <v>0</v>
      </c>
      <c r="CA607" s="72">
        <v>0</v>
      </c>
      <c r="CB607" s="72">
        <v>0</v>
      </c>
      <c r="CC607" s="72">
        <v>0</v>
      </c>
      <c r="CD607" s="72">
        <v>0</v>
      </c>
      <c r="CE607" s="72">
        <v>0</v>
      </c>
      <c r="CF607" s="72">
        <v>0</v>
      </c>
      <c r="CG607" s="72">
        <v>0</v>
      </c>
      <c r="CH607" s="72">
        <v>0</v>
      </c>
      <c r="CI607" s="72">
        <v>0</v>
      </c>
      <c r="CJ607" s="72">
        <v>0</v>
      </c>
      <c r="CK607" s="72">
        <v>0</v>
      </c>
      <c r="CL607" s="72">
        <v>0</v>
      </c>
      <c r="CM607" s="72">
        <v>0</v>
      </c>
      <c r="CN607" s="72">
        <v>0</v>
      </c>
      <c r="CO607" s="72">
        <v>0</v>
      </c>
      <c r="CP607" s="72">
        <v>0</v>
      </c>
      <c r="CQ607" s="72">
        <v>0</v>
      </c>
      <c r="CR607" s="72">
        <v>0</v>
      </c>
      <c r="CS607" s="72">
        <v>0</v>
      </c>
      <c r="CT607" s="72">
        <v>0</v>
      </c>
      <c r="CU607" s="72">
        <v>0</v>
      </c>
      <c r="CV607" s="72">
        <v>0</v>
      </c>
      <c r="CW607" s="72">
        <v>0</v>
      </c>
      <c r="CX607" s="72">
        <v>0</v>
      </c>
      <c r="CY607" s="72">
        <v>0</v>
      </c>
      <c r="CZ607" s="72">
        <v>0</v>
      </c>
      <c r="DA607" s="72">
        <v>0</v>
      </c>
      <c r="DB607" s="72">
        <v>0</v>
      </c>
      <c r="DC607" s="72">
        <v>0</v>
      </c>
      <c r="DD607" s="72">
        <v>0</v>
      </c>
      <c r="DE607" s="72">
        <v>0</v>
      </c>
      <c r="DF607" s="72">
        <v>0</v>
      </c>
      <c r="DG607" s="72">
        <v>0</v>
      </c>
      <c r="DH607" s="72">
        <v>0</v>
      </c>
      <c r="DI607" s="72">
        <v>0</v>
      </c>
      <c r="DJ607" s="72">
        <v>0</v>
      </c>
      <c r="DK607" s="72">
        <v>0</v>
      </c>
      <c r="DL607" s="72">
        <v>0</v>
      </c>
      <c r="DM607" s="72">
        <v>0</v>
      </c>
      <c r="DN607" s="72">
        <v>0</v>
      </c>
      <c r="DO607" s="72">
        <v>0</v>
      </c>
      <c r="DP607" s="72">
        <v>0</v>
      </c>
      <c r="DQ607" s="72">
        <v>0</v>
      </c>
      <c r="DR607" s="72">
        <v>0</v>
      </c>
      <c r="DS607" s="72">
        <v>0</v>
      </c>
      <c r="DT607" s="72">
        <v>0</v>
      </c>
      <c r="DU607" s="72">
        <v>0</v>
      </c>
      <c r="DV607" s="72">
        <v>0</v>
      </c>
      <c r="DW607" s="72">
        <v>0</v>
      </c>
      <c r="DX607" s="72">
        <v>0</v>
      </c>
      <c r="DY607" s="72">
        <v>0</v>
      </c>
      <c r="DZ607" s="72">
        <v>0</v>
      </c>
      <c r="EA607" s="72">
        <v>0</v>
      </c>
      <c r="EB607" s="72">
        <v>0</v>
      </c>
      <c r="EC607" s="72">
        <v>0</v>
      </c>
      <c r="ED607" s="72">
        <v>0</v>
      </c>
      <c r="EE607" s="72">
        <v>0</v>
      </c>
      <c r="EF607" s="72">
        <v>0</v>
      </c>
      <c r="EG607" s="72">
        <v>0</v>
      </c>
      <c r="EH607" s="72">
        <v>0</v>
      </c>
      <c r="EI607" s="72">
        <v>0</v>
      </c>
      <c r="EJ607" s="72">
        <v>0</v>
      </c>
      <c r="EK607" s="72">
        <v>0</v>
      </c>
      <c r="EL607" s="72">
        <v>0</v>
      </c>
    </row>
    <row r="608" spans="1:142" x14ac:dyDescent="0.35">
      <c r="A608" s="59">
        <f>Данные!A608</f>
        <v>6368</v>
      </c>
      <c r="B608" s="59">
        <f>Данные!B608</f>
        <v>2021</v>
      </c>
      <c r="C608" s="59" t="str">
        <f>Данные!C608</f>
        <v>современных европейских языков</v>
      </c>
      <c r="D608" s="59" t="str">
        <f>Данные!D608</f>
        <v>Хахалина Марина Сергеевна</v>
      </c>
      <c r="E608" s="59" t="str">
        <f>Данные!E608</f>
        <v>кандидат химических наук</v>
      </c>
      <c r="F608" s="59" t="str">
        <f>Данные!F608</f>
        <v>старший преподаватель</v>
      </c>
      <c r="G608" s="59">
        <f>Данные!G608</f>
        <v>1</v>
      </c>
      <c r="H608" s="59" t="str">
        <f>Данные!H608</f>
        <v>4 курс 2018 год/пост</v>
      </c>
      <c r="I608" s="59" t="str">
        <f>Данные!I608</f>
        <v>Модуль "Основы профессионального общения на иностранном языке"</v>
      </c>
      <c r="J608" s="59">
        <f>Данные!J608</f>
        <v>0</v>
      </c>
      <c r="K608" s="59">
        <f>Данные!K608</f>
        <v>0</v>
      </c>
      <c r="L608" s="59">
        <f>Данные!L608</f>
        <v>0</v>
      </c>
      <c r="M608" s="60">
        <f t="shared" si="81"/>
        <v>0</v>
      </c>
      <c r="N608" s="60">
        <f t="shared" ca="1" si="82"/>
        <v>14.870000000000001</v>
      </c>
      <c r="O608" s="60">
        <f t="shared" ca="1" si="83"/>
        <v>9.75</v>
      </c>
      <c r="P608" s="60">
        <f t="shared" ca="1" si="84"/>
        <v>9.75</v>
      </c>
      <c r="Q608" s="54">
        <f>Данные!Q608</f>
        <v>0</v>
      </c>
      <c r="R608" s="54">
        <f>Данные!R608</f>
        <v>0</v>
      </c>
      <c r="S608" s="54">
        <f>Данные!S608</f>
        <v>0</v>
      </c>
      <c r="T608" s="54">
        <f>Данные!T608</f>
        <v>0</v>
      </c>
      <c r="U608" s="54">
        <f>Данные!U608</f>
        <v>0</v>
      </c>
      <c r="V608" s="54">
        <f>Данные!V608</f>
        <v>0</v>
      </c>
      <c r="W608" s="54">
        <f ca="1">Данные!W608</f>
        <v>39</v>
      </c>
      <c r="X608" s="54" t="str">
        <f ca="1">Данные!X608</f>
        <v>2</v>
      </c>
      <c r="Y608" s="54" t="str">
        <f ca="1">Данные!Y608</f>
        <v>3</v>
      </c>
      <c r="Z608" s="54">
        <f>Данные!Z608</f>
        <v>0</v>
      </c>
      <c r="AA608" s="54" t="str">
        <f>Данные!AA608</f>
        <v>осн</v>
      </c>
      <c r="AB608" s="101">
        <f t="shared" si="85"/>
        <v>850</v>
      </c>
      <c r="AC608" s="101" t="str">
        <f t="shared" si="86"/>
        <v>ИВТ (бак)</v>
      </c>
      <c r="AD608" s="101" t="str">
        <f t="shared" si="87"/>
        <v/>
      </c>
      <c r="AE608" s="102">
        <f t="shared" ca="1" si="88"/>
        <v>34.370000000000005</v>
      </c>
      <c r="AF608" s="103">
        <f t="shared" ca="1" si="89"/>
        <v>4.0435294117647062E-2</v>
      </c>
      <c r="AG608" s="101"/>
      <c r="AH608" s="101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Q608" s="72">
        <v>0</v>
      </c>
      <c r="BR608" s="72">
        <v>0</v>
      </c>
      <c r="BS608" s="72">
        <v>0</v>
      </c>
      <c r="BT608" s="72">
        <v>0</v>
      </c>
      <c r="BU608" s="72">
        <v>0</v>
      </c>
      <c r="BV608" s="72">
        <v>0</v>
      </c>
      <c r="BW608" s="72">
        <v>0</v>
      </c>
      <c r="BX608" s="72">
        <v>0</v>
      </c>
      <c r="BY608" s="72">
        <v>0</v>
      </c>
      <c r="BZ608" s="72">
        <v>0</v>
      </c>
      <c r="CA608" s="72">
        <v>0</v>
      </c>
      <c r="CB608" s="72">
        <v>0</v>
      </c>
      <c r="CC608" s="72">
        <v>0</v>
      </c>
      <c r="CD608" s="72">
        <v>0</v>
      </c>
      <c r="CE608" s="72">
        <v>0</v>
      </c>
      <c r="CF608" s="72">
        <v>0</v>
      </c>
      <c r="CG608" s="72">
        <v>0</v>
      </c>
      <c r="CH608" s="72">
        <v>0</v>
      </c>
      <c r="CI608" s="72">
        <v>0</v>
      </c>
      <c r="CJ608" s="72">
        <v>0</v>
      </c>
      <c r="CK608" s="72">
        <v>0</v>
      </c>
      <c r="CL608" s="72">
        <v>0</v>
      </c>
      <c r="CM608" s="72">
        <v>0</v>
      </c>
      <c r="CN608" s="72">
        <v>0</v>
      </c>
      <c r="CO608" s="72">
        <v>0</v>
      </c>
      <c r="CP608" s="72">
        <v>0</v>
      </c>
      <c r="CQ608" s="72">
        <v>0</v>
      </c>
      <c r="CR608" s="72">
        <v>0</v>
      </c>
      <c r="CS608" s="72">
        <v>0</v>
      </c>
      <c r="CT608" s="72">
        <v>0</v>
      </c>
      <c r="CU608" s="72">
        <v>0</v>
      </c>
      <c r="CV608" s="72">
        <v>0</v>
      </c>
      <c r="CW608" s="72">
        <v>0</v>
      </c>
      <c r="CX608" s="72">
        <v>0</v>
      </c>
      <c r="CY608" s="72">
        <v>0</v>
      </c>
      <c r="CZ608" s="72">
        <v>0</v>
      </c>
      <c r="DA608" s="72">
        <v>0</v>
      </c>
      <c r="DB608" s="72">
        <v>0</v>
      </c>
      <c r="DC608" s="72">
        <v>0</v>
      </c>
      <c r="DD608" s="72">
        <v>0</v>
      </c>
      <c r="DE608" s="72">
        <v>0</v>
      </c>
      <c r="DF608" s="72">
        <v>0</v>
      </c>
      <c r="DG608" s="72">
        <v>0</v>
      </c>
      <c r="DH608" s="72">
        <v>0</v>
      </c>
      <c r="DI608" s="72">
        <v>0</v>
      </c>
      <c r="DJ608" s="72">
        <v>0</v>
      </c>
      <c r="DK608" s="72">
        <v>0</v>
      </c>
      <c r="DL608" s="72">
        <v>0</v>
      </c>
      <c r="DM608" s="72">
        <v>0</v>
      </c>
      <c r="DN608" s="72">
        <v>0</v>
      </c>
      <c r="DO608" s="72">
        <v>0</v>
      </c>
      <c r="DP608" s="72">
        <v>0</v>
      </c>
      <c r="DQ608" s="72">
        <v>0</v>
      </c>
      <c r="DR608" s="72">
        <v>0</v>
      </c>
      <c r="DS608" s="72">
        <v>0</v>
      </c>
      <c r="DT608" s="72">
        <v>0</v>
      </c>
      <c r="DU608" s="72">
        <v>0</v>
      </c>
      <c r="DV608" s="72">
        <v>0</v>
      </c>
      <c r="DW608" s="72">
        <v>0</v>
      </c>
      <c r="DX608" s="72">
        <v>0</v>
      </c>
      <c r="DY608" s="72">
        <v>0</v>
      </c>
      <c r="DZ608" s="72">
        <v>0</v>
      </c>
      <c r="EA608" s="72">
        <v>0</v>
      </c>
      <c r="EB608" s="72">
        <v>0</v>
      </c>
      <c r="EC608" s="72">
        <v>0</v>
      </c>
      <c r="ED608" s="72">
        <v>0</v>
      </c>
      <c r="EE608" s="72">
        <v>0</v>
      </c>
      <c r="EF608" s="72">
        <v>0</v>
      </c>
      <c r="EG608" s="72">
        <v>0</v>
      </c>
      <c r="EH608" s="72">
        <v>0</v>
      </c>
      <c r="EI608" s="72">
        <v>0</v>
      </c>
      <c r="EJ608" s="72">
        <v>0</v>
      </c>
      <c r="EK608" s="72">
        <v>0</v>
      </c>
      <c r="EL608" s="72">
        <v>0</v>
      </c>
    </row>
    <row r="609" spans="1:142" x14ac:dyDescent="0.35">
      <c r="A609" s="59">
        <f>Данные!A609</f>
        <v>6368</v>
      </c>
      <c r="B609" s="59">
        <f>Данные!B609</f>
        <v>2021</v>
      </c>
      <c r="C609" s="59" t="str">
        <f>Данные!C609</f>
        <v>современных европейских языков</v>
      </c>
      <c r="D609" s="59" t="str">
        <f>Данные!D609</f>
        <v>Хахалина Марина Сергеевна</v>
      </c>
      <c r="E609" s="59" t="str">
        <f>Данные!E609</f>
        <v>кандидат химических наук</v>
      </c>
      <c r="F609" s="59" t="str">
        <f>Данные!F609</f>
        <v>старший преподаватель</v>
      </c>
      <c r="G609" s="59">
        <f>Данные!G609</f>
        <v>1</v>
      </c>
      <c r="H609" s="59" t="str">
        <f>Данные!H609</f>
        <v>4 курс 2018 год/пост</v>
      </c>
      <c r="I609" s="59" t="str">
        <f>Данные!I609</f>
        <v>Модуль "Основы профессионального общения на иностранном языке". Профессионально-ориентированная устная коммуникация на иностранном языке</v>
      </c>
      <c r="J609" s="59">
        <f>Данные!J609</f>
        <v>0</v>
      </c>
      <c r="K609" s="59">
        <f>Данные!K609</f>
        <v>0</v>
      </c>
      <c r="L609" s="59">
        <f>Данные!L609</f>
        <v>54</v>
      </c>
      <c r="M609" s="60">
        <f t="shared" si="81"/>
        <v>5.4</v>
      </c>
      <c r="N609" s="60">
        <f t="shared" ca="1" si="82"/>
        <v>14.870000000000001</v>
      </c>
      <c r="O609" s="60">
        <f t="shared" ca="1" si="83"/>
        <v>9.75</v>
      </c>
      <c r="P609" s="60">
        <f t="shared" ca="1" si="84"/>
        <v>9.75</v>
      </c>
      <c r="Q609" s="54">
        <f>Данные!Q609</f>
        <v>0</v>
      </c>
      <c r="R609" s="54">
        <f>Данные!R609</f>
        <v>0</v>
      </c>
      <c r="S609" s="54">
        <f>Данные!S609</f>
        <v>0</v>
      </c>
      <c r="T609" s="54">
        <f>Данные!T609</f>
        <v>0</v>
      </c>
      <c r="U609" s="54">
        <f>Данные!U609</f>
        <v>0</v>
      </c>
      <c r="V609" s="54">
        <f>Данные!V609</f>
        <v>0</v>
      </c>
      <c r="W609" s="54">
        <f ca="1">Данные!W609</f>
        <v>39</v>
      </c>
      <c r="X609" s="54" t="str">
        <f ca="1">Данные!X609</f>
        <v>2</v>
      </c>
      <c r="Y609" s="54" t="str">
        <f ca="1">Данные!Y609</f>
        <v>3</v>
      </c>
      <c r="Z609" s="54">
        <f>Данные!Z609</f>
        <v>0</v>
      </c>
      <c r="AA609" s="54" t="str">
        <f>Данные!AA609</f>
        <v>доп</v>
      </c>
      <c r="AB609" s="101">
        <f t="shared" si="85"/>
        <v>850</v>
      </c>
      <c r="AC609" s="101" t="str">
        <f t="shared" si="86"/>
        <v>ИВТ (бак)</v>
      </c>
      <c r="AD609" s="101" t="str">
        <f t="shared" si="87"/>
        <v/>
      </c>
      <c r="AE609" s="102">
        <f t="shared" ca="1" si="88"/>
        <v>93.77</v>
      </c>
      <c r="AF609" s="103">
        <f t="shared" ca="1" si="89"/>
        <v>0.11031764705882352</v>
      </c>
      <c r="AG609" s="101"/>
      <c r="AH609" s="101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Q609" s="72">
        <v>0</v>
      </c>
      <c r="BR609" s="72">
        <v>0</v>
      </c>
      <c r="BS609" s="72">
        <v>0</v>
      </c>
      <c r="BT609" s="72">
        <v>0</v>
      </c>
      <c r="BU609" s="72">
        <v>0</v>
      </c>
      <c r="BV609" s="72">
        <v>0</v>
      </c>
      <c r="BW609" s="72">
        <v>0</v>
      </c>
      <c r="BX609" s="72">
        <v>0</v>
      </c>
      <c r="BY609" s="72">
        <v>0</v>
      </c>
      <c r="BZ609" s="72">
        <v>0</v>
      </c>
      <c r="CA609" s="72">
        <v>0</v>
      </c>
      <c r="CB609" s="72">
        <v>0</v>
      </c>
      <c r="CC609" s="72">
        <v>0</v>
      </c>
      <c r="CD609" s="72">
        <v>0</v>
      </c>
      <c r="CE609" s="72">
        <v>0</v>
      </c>
      <c r="CF609" s="72">
        <v>0</v>
      </c>
      <c r="CG609" s="72">
        <v>0</v>
      </c>
      <c r="CH609" s="72">
        <v>0</v>
      </c>
      <c r="CI609" s="72">
        <v>0</v>
      </c>
      <c r="CJ609" s="72">
        <v>0</v>
      </c>
      <c r="CK609" s="72">
        <v>0</v>
      </c>
      <c r="CL609" s="72">
        <v>0</v>
      </c>
      <c r="CM609" s="72">
        <v>0</v>
      </c>
      <c r="CN609" s="72">
        <v>0</v>
      </c>
      <c r="CO609" s="72">
        <v>0</v>
      </c>
      <c r="CP609" s="72">
        <v>0</v>
      </c>
      <c r="CQ609" s="72">
        <v>0</v>
      </c>
      <c r="CR609" s="72">
        <v>0</v>
      </c>
      <c r="CS609" s="72">
        <v>0</v>
      </c>
      <c r="CT609" s="72">
        <v>0</v>
      </c>
      <c r="CU609" s="72">
        <v>0</v>
      </c>
      <c r="CV609" s="72">
        <v>0</v>
      </c>
      <c r="CW609" s="72">
        <v>0</v>
      </c>
      <c r="CX609" s="72">
        <v>0</v>
      </c>
      <c r="CY609" s="72">
        <v>0</v>
      </c>
      <c r="CZ609" s="72">
        <v>0</v>
      </c>
      <c r="DA609" s="72">
        <v>0</v>
      </c>
      <c r="DB609" s="72">
        <v>0</v>
      </c>
      <c r="DC609" s="72">
        <v>0</v>
      </c>
      <c r="DD609" s="72">
        <v>0</v>
      </c>
      <c r="DE609" s="72">
        <v>0</v>
      </c>
      <c r="DF609" s="72">
        <v>0</v>
      </c>
      <c r="DG609" s="72">
        <v>0</v>
      </c>
      <c r="DH609" s="72">
        <v>0</v>
      </c>
      <c r="DI609" s="72">
        <v>0</v>
      </c>
      <c r="DJ609" s="72">
        <v>0</v>
      </c>
      <c r="DK609" s="72">
        <v>0</v>
      </c>
      <c r="DL609" s="72">
        <v>0</v>
      </c>
      <c r="DM609" s="72">
        <v>0</v>
      </c>
      <c r="DN609" s="72">
        <v>0</v>
      </c>
      <c r="DO609" s="72">
        <v>0</v>
      </c>
      <c r="DP609" s="72">
        <v>0</v>
      </c>
      <c r="DQ609" s="72">
        <v>0</v>
      </c>
      <c r="DR609" s="72">
        <v>0</v>
      </c>
      <c r="DS609" s="72">
        <v>0</v>
      </c>
      <c r="DT609" s="72">
        <v>0</v>
      </c>
      <c r="DU609" s="72">
        <v>0</v>
      </c>
      <c r="DV609" s="72">
        <v>0</v>
      </c>
      <c r="DW609" s="72">
        <v>0</v>
      </c>
      <c r="DX609" s="72">
        <v>0</v>
      </c>
      <c r="DY609" s="72">
        <v>0</v>
      </c>
      <c r="DZ609" s="72">
        <v>0</v>
      </c>
      <c r="EA609" s="72">
        <v>0</v>
      </c>
      <c r="EB609" s="72">
        <v>0</v>
      </c>
      <c r="EC609" s="72">
        <v>0</v>
      </c>
      <c r="ED609" s="72">
        <v>0</v>
      </c>
      <c r="EE609" s="72">
        <v>0</v>
      </c>
      <c r="EF609" s="72">
        <v>0</v>
      </c>
      <c r="EG609" s="72">
        <v>0</v>
      </c>
      <c r="EH609" s="72">
        <v>0</v>
      </c>
      <c r="EI609" s="72">
        <v>0</v>
      </c>
      <c r="EJ609" s="72">
        <v>0</v>
      </c>
      <c r="EK609" s="72">
        <v>0</v>
      </c>
      <c r="EL609" s="72">
        <v>0</v>
      </c>
    </row>
    <row r="610" spans="1:142" x14ac:dyDescent="0.35">
      <c r="A610" s="59">
        <f>Данные!A610</f>
        <v>6368</v>
      </c>
      <c r="B610" s="59">
        <f>Данные!B610</f>
        <v>2021</v>
      </c>
      <c r="C610" s="59" t="str">
        <f>Данные!C610</f>
        <v>современных европейских языков</v>
      </c>
      <c r="D610" s="59" t="str">
        <f>Данные!D610</f>
        <v>Кузнецова Надежда Леонидовна</v>
      </c>
      <c r="E610" s="59" t="str">
        <f>Данные!E610</f>
        <v>нет</v>
      </c>
      <c r="F610" s="59" t="str">
        <f>Данные!F610</f>
        <v>старший преподаватель</v>
      </c>
      <c r="G610" s="59">
        <f>Данные!G610</f>
        <v>0.75</v>
      </c>
      <c r="H610" s="59" t="str">
        <f>Данные!H610</f>
        <v>4 курс 2018 год/пост</v>
      </c>
      <c r="I610" s="59" t="str">
        <f>Данные!I610</f>
        <v>Модуль "Особенности профессиональной иноязычной коммуникации"</v>
      </c>
      <c r="J610" s="59">
        <f>Данные!J610</f>
        <v>0</v>
      </c>
      <c r="K610" s="59">
        <f>Данные!K610</f>
        <v>0</v>
      </c>
      <c r="L610" s="59">
        <f>Данные!L610</f>
        <v>0</v>
      </c>
      <c r="M610" s="60">
        <f t="shared" si="81"/>
        <v>0</v>
      </c>
      <c r="N610" s="60">
        <f t="shared" ca="1" si="82"/>
        <v>14.870000000000001</v>
      </c>
      <c r="O610" s="60">
        <f t="shared" ca="1" si="83"/>
        <v>9.75</v>
      </c>
      <c r="P610" s="60">
        <f t="shared" ca="1" si="84"/>
        <v>9.75</v>
      </c>
      <c r="Q610" s="54">
        <f>Данные!Q610</f>
        <v>0</v>
      </c>
      <c r="R610" s="54">
        <f>Данные!R610</f>
        <v>0</v>
      </c>
      <c r="S610" s="54">
        <f>Данные!S610</f>
        <v>0</v>
      </c>
      <c r="T610" s="54">
        <f>Данные!T610</f>
        <v>0</v>
      </c>
      <c r="U610" s="54">
        <f>Данные!U610</f>
        <v>0</v>
      </c>
      <c r="V610" s="54">
        <f>Данные!V610</f>
        <v>0</v>
      </c>
      <c r="W610" s="54">
        <f ca="1">Данные!W610</f>
        <v>39</v>
      </c>
      <c r="X610" s="54" t="str">
        <f ca="1">Данные!X610</f>
        <v>2</v>
      </c>
      <c r="Y610" s="54" t="str">
        <f ca="1">Данные!Y610</f>
        <v>3</v>
      </c>
      <c r="Z610" s="54">
        <f>Данные!Z610</f>
        <v>0</v>
      </c>
      <c r="AA610" s="54" t="str">
        <f>Данные!AA610</f>
        <v>доп</v>
      </c>
      <c r="AB610" s="101">
        <f t="shared" si="85"/>
        <v>850</v>
      </c>
      <c r="AC610" s="101" t="str">
        <f t="shared" si="86"/>
        <v>ИВТ (бак)</v>
      </c>
      <c r="AD610" s="101" t="str">
        <f t="shared" si="87"/>
        <v/>
      </c>
      <c r="AE610" s="102">
        <f t="shared" ca="1" si="88"/>
        <v>34.370000000000005</v>
      </c>
      <c r="AF610" s="103">
        <f t="shared" ca="1" si="89"/>
        <v>4.0435294117647062E-2</v>
      </c>
      <c r="AG610" s="101"/>
      <c r="AH610" s="101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Q610" s="72">
        <v>0</v>
      </c>
      <c r="BR610" s="72">
        <v>0</v>
      </c>
      <c r="BS610" s="72">
        <v>0</v>
      </c>
      <c r="BT610" s="72">
        <v>0</v>
      </c>
      <c r="BU610" s="72">
        <v>0</v>
      </c>
      <c r="BV610" s="72">
        <v>0</v>
      </c>
      <c r="BW610" s="72">
        <v>0</v>
      </c>
      <c r="BX610" s="72">
        <v>0</v>
      </c>
      <c r="BY610" s="72">
        <v>0</v>
      </c>
      <c r="BZ610" s="72">
        <v>0</v>
      </c>
      <c r="CA610" s="72">
        <v>0</v>
      </c>
      <c r="CB610" s="72">
        <v>0</v>
      </c>
      <c r="CC610" s="72">
        <v>0</v>
      </c>
      <c r="CD610" s="72">
        <v>0</v>
      </c>
      <c r="CE610" s="72">
        <v>0</v>
      </c>
      <c r="CF610" s="72">
        <v>0</v>
      </c>
      <c r="CG610" s="72">
        <v>0</v>
      </c>
      <c r="CH610" s="72">
        <v>0</v>
      </c>
      <c r="CI610" s="72">
        <v>0</v>
      </c>
      <c r="CJ610" s="72">
        <v>0</v>
      </c>
      <c r="CK610" s="72">
        <v>0</v>
      </c>
      <c r="CL610" s="72">
        <v>0</v>
      </c>
      <c r="CM610" s="72">
        <v>0</v>
      </c>
      <c r="CN610" s="72">
        <v>0</v>
      </c>
      <c r="CO610" s="72">
        <v>0</v>
      </c>
      <c r="CP610" s="72">
        <v>0</v>
      </c>
      <c r="CQ610" s="72">
        <v>0</v>
      </c>
      <c r="CR610" s="72">
        <v>0</v>
      </c>
      <c r="CS610" s="72">
        <v>0</v>
      </c>
      <c r="CT610" s="72">
        <v>0</v>
      </c>
      <c r="CU610" s="72">
        <v>0</v>
      </c>
      <c r="CV610" s="72">
        <v>0</v>
      </c>
      <c r="CW610" s="72">
        <v>0</v>
      </c>
      <c r="CX610" s="72">
        <v>0</v>
      </c>
      <c r="CY610" s="72">
        <v>0</v>
      </c>
      <c r="CZ610" s="72">
        <v>0</v>
      </c>
      <c r="DA610" s="72">
        <v>0</v>
      </c>
      <c r="DB610" s="72">
        <v>0</v>
      </c>
      <c r="DC610" s="72">
        <v>0</v>
      </c>
      <c r="DD610" s="72">
        <v>0</v>
      </c>
      <c r="DE610" s="72">
        <v>0</v>
      </c>
      <c r="DF610" s="72">
        <v>0</v>
      </c>
      <c r="DG610" s="72">
        <v>0</v>
      </c>
      <c r="DH610" s="72">
        <v>0</v>
      </c>
      <c r="DI610" s="72">
        <v>0</v>
      </c>
      <c r="DJ610" s="72">
        <v>0</v>
      </c>
      <c r="DK610" s="72">
        <v>0</v>
      </c>
      <c r="DL610" s="72">
        <v>0</v>
      </c>
      <c r="DM610" s="72">
        <v>0</v>
      </c>
      <c r="DN610" s="72">
        <v>0</v>
      </c>
      <c r="DO610" s="72">
        <v>0</v>
      </c>
      <c r="DP610" s="72">
        <v>0</v>
      </c>
      <c r="DQ610" s="72">
        <v>0</v>
      </c>
      <c r="DR610" s="72">
        <v>0</v>
      </c>
      <c r="DS610" s="72">
        <v>0</v>
      </c>
      <c r="DT610" s="72">
        <v>0</v>
      </c>
      <c r="DU610" s="72">
        <v>0</v>
      </c>
      <c r="DV610" s="72">
        <v>0</v>
      </c>
      <c r="DW610" s="72">
        <v>0</v>
      </c>
      <c r="DX610" s="72">
        <v>0</v>
      </c>
      <c r="DY610" s="72">
        <v>0</v>
      </c>
      <c r="DZ610" s="72">
        <v>0</v>
      </c>
      <c r="EA610" s="72">
        <v>0</v>
      </c>
      <c r="EB610" s="72">
        <v>0</v>
      </c>
      <c r="EC610" s="72">
        <v>0</v>
      </c>
      <c r="ED610" s="72">
        <v>0</v>
      </c>
      <c r="EE610" s="72">
        <v>0</v>
      </c>
      <c r="EF610" s="72">
        <v>0</v>
      </c>
      <c r="EG610" s="72">
        <v>0</v>
      </c>
      <c r="EH610" s="72">
        <v>0</v>
      </c>
      <c r="EI610" s="72">
        <v>0</v>
      </c>
      <c r="EJ610" s="72">
        <v>0</v>
      </c>
      <c r="EK610" s="72">
        <v>0</v>
      </c>
      <c r="EL610" s="72">
        <v>0</v>
      </c>
    </row>
    <row r="611" spans="1:142" x14ac:dyDescent="0.35">
      <c r="A611" s="59">
        <f>Данные!A611</f>
        <v>6368</v>
      </c>
      <c r="B611" s="59">
        <f>Данные!B611</f>
        <v>2021</v>
      </c>
      <c r="C611" s="59" t="str">
        <f>Данные!C611</f>
        <v>современных европейских языков</v>
      </c>
      <c r="D611" s="59" t="str">
        <f>Данные!D611</f>
        <v>Кузнецова Надежда Леонидовна</v>
      </c>
      <c r="E611" s="59" t="str">
        <f>Данные!E611</f>
        <v>нет</v>
      </c>
      <c r="F611" s="59" t="str">
        <f>Данные!F611</f>
        <v>старший преподаватель</v>
      </c>
      <c r="G611" s="59">
        <f>Данные!G611</f>
        <v>0.75</v>
      </c>
      <c r="H611" s="59" t="str">
        <f>Данные!H611</f>
        <v>4 курс 2018 год/пост</v>
      </c>
      <c r="I611" s="59" t="str">
        <f>Данные!I611</f>
        <v>Модуль "Особенности профессиональной иноязычной коммуникации". Лингвистические основы иноязычной коммуникации</v>
      </c>
      <c r="J611" s="59">
        <f>Данные!J611</f>
        <v>0</v>
      </c>
      <c r="K611" s="59">
        <f>Данные!K611</f>
        <v>0</v>
      </c>
      <c r="L611" s="59">
        <f>Данные!L611</f>
        <v>216</v>
      </c>
      <c r="M611" s="60">
        <f t="shared" si="81"/>
        <v>21.6</v>
      </c>
      <c r="N611" s="60">
        <f t="shared" ca="1" si="82"/>
        <v>14.870000000000001</v>
      </c>
      <c r="O611" s="60">
        <f t="shared" ca="1" si="83"/>
        <v>9.75</v>
      </c>
      <c r="P611" s="60">
        <f t="shared" ca="1" si="84"/>
        <v>9.75</v>
      </c>
      <c r="Q611" s="54">
        <f>Данные!Q611</f>
        <v>0</v>
      </c>
      <c r="R611" s="54">
        <f>Данные!R611</f>
        <v>0</v>
      </c>
      <c r="S611" s="54">
        <f>Данные!S611</f>
        <v>0</v>
      </c>
      <c r="T611" s="54">
        <f>Данные!T611</f>
        <v>0</v>
      </c>
      <c r="U611" s="54">
        <f>Данные!U611</f>
        <v>0</v>
      </c>
      <c r="V611" s="54">
        <f>Данные!V611</f>
        <v>0</v>
      </c>
      <c r="W611" s="54">
        <f ca="1">Данные!W611</f>
        <v>39</v>
      </c>
      <c r="X611" s="54" t="str">
        <f ca="1">Данные!X611</f>
        <v>2</v>
      </c>
      <c r="Y611" s="54" t="str">
        <f ca="1">Данные!Y611</f>
        <v>3</v>
      </c>
      <c r="Z611" s="54">
        <f>Данные!Z611</f>
        <v>0</v>
      </c>
      <c r="AA611" s="54" t="str">
        <f>Данные!AA611</f>
        <v>осн</v>
      </c>
      <c r="AB611" s="101">
        <f t="shared" si="85"/>
        <v>850</v>
      </c>
      <c r="AC611" s="101" t="str">
        <f t="shared" si="86"/>
        <v>ИВТ (бак)</v>
      </c>
      <c r="AD611" s="101" t="str">
        <f t="shared" si="87"/>
        <v/>
      </c>
      <c r="AE611" s="102">
        <f t="shared" ca="1" si="88"/>
        <v>271.97000000000003</v>
      </c>
      <c r="AF611" s="103">
        <f t="shared" ca="1" si="89"/>
        <v>0.31996470588235298</v>
      </c>
      <c r="AG611" s="101"/>
      <c r="AH611" s="10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Q611" s="72">
        <v>0</v>
      </c>
      <c r="BR611" s="72">
        <v>0</v>
      </c>
      <c r="BS611" s="72">
        <v>0</v>
      </c>
      <c r="BT611" s="72">
        <v>0</v>
      </c>
      <c r="BU611" s="72">
        <v>0</v>
      </c>
      <c r="BV611" s="72">
        <v>0</v>
      </c>
      <c r="BW611" s="72">
        <v>0</v>
      </c>
      <c r="BX611" s="72">
        <v>0</v>
      </c>
      <c r="BY611" s="72">
        <v>0</v>
      </c>
      <c r="BZ611" s="72">
        <v>0</v>
      </c>
      <c r="CA611" s="72">
        <v>0</v>
      </c>
      <c r="CB611" s="72">
        <v>0</v>
      </c>
      <c r="CC611" s="72">
        <v>0</v>
      </c>
      <c r="CD611" s="72">
        <v>0</v>
      </c>
      <c r="CE611" s="72">
        <v>0</v>
      </c>
      <c r="CF611" s="72">
        <v>0</v>
      </c>
      <c r="CG611" s="72">
        <v>0</v>
      </c>
      <c r="CH611" s="72">
        <v>0</v>
      </c>
      <c r="CI611" s="72">
        <v>0</v>
      </c>
      <c r="CJ611" s="72">
        <v>0</v>
      </c>
      <c r="CK611" s="72">
        <v>0</v>
      </c>
      <c r="CL611" s="72">
        <v>0</v>
      </c>
      <c r="CM611" s="72">
        <v>0</v>
      </c>
      <c r="CN611" s="72">
        <v>0</v>
      </c>
      <c r="CO611" s="72">
        <v>0</v>
      </c>
      <c r="CP611" s="72">
        <v>0</v>
      </c>
      <c r="CQ611" s="72">
        <v>0</v>
      </c>
      <c r="CR611" s="72">
        <v>0</v>
      </c>
      <c r="CS611" s="72">
        <v>0</v>
      </c>
      <c r="CT611" s="72">
        <v>0</v>
      </c>
      <c r="CU611" s="72">
        <v>0</v>
      </c>
      <c r="CV611" s="72">
        <v>0</v>
      </c>
      <c r="CW611" s="72">
        <v>0</v>
      </c>
      <c r="CX611" s="72">
        <v>0</v>
      </c>
      <c r="CY611" s="72">
        <v>0</v>
      </c>
      <c r="CZ611" s="72">
        <v>0</v>
      </c>
      <c r="DA611" s="72">
        <v>0</v>
      </c>
      <c r="DB611" s="72">
        <v>0</v>
      </c>
      <c r="DC611" s="72">
        <v>0</v>
      </c>
      <c r="DD611" s="72">
        <v>0</v>
      </c>
      <c r="DE611" s="72">
        <v>0</v>
      </c>
      <c r="DF611" s="72">
        <v>0</v>
      </c>
      <c r="DG611" s="72">
        <v>0</v>
      </c>
      <c r="DH611" s="72">
        <v>0</v>
      </c>
      <c r="DI611" s="72">
        <v>0</v>
      </c>
      <c r="DJ611" s="72">
        <v>0</v>
      </c>
      <c r="DK611" s="72">
        <v>0</v>
      </c>
      <c r="DL611" s="72">
        <v>0</v>
      </c>
      <c r="DM611" s="72">
        <v>0</v>
      </c>
      <c r="DN611" s="72">
        <v>0</v>
      </c>
      <c r="DO611" s="72">
        <v>0</v>
      </c>
      <c r="DP611" s="72">
        <v>0</v>
      </c>
      <c r="DQ611" s="72">
        <v>0</v>
      </c>
      <c r="DR611" s="72">
        <v>0</v>
      </c>
      <c r="DS611" s="72">
        <v>0</v>
      </c>
      <c r="DT611" s="72">
        <v>0</v>
      </c>
      <c r="DU611" s="72">
        <v>0</v>
      </c>
      <c r="DV611" s="72">
        <v>0</v>
      </c>
      <c r="DW611" s="72">
        <v>0</v>
      </c>
      <c r="DX611" s="72">
        <v>0</v>
      </c>
      <c r="DY611" s="72">
        <v>0</v>
      </c>
      <c r="DZ611" s="72">
        <v>0</v>
      </c>
      <c r="EA611" s="72">
        <v>0</v>
      </c>
      <c r="EB611" s="72">
        <v>0</v>
      </c>
      <c r="EC611" s="72">
        <v>0</v>
      </c>
      <c r="ED611" s="72">
        <v>0</v>
      </c>
      <c r="EE611" s="72">
        <v>0</v>
      </c>
      <c r="EF611" s="72">
        <v>0</v>
      </c>
      <c r="EG611" s="72">
        <v>0</v>
      </c>
      <c r="EH611" s="72">
        <v>0</v>
      </c>
      <c r="EI611" s="72">
        <v>0</v>
      </c>
      <c r="EJ611" s="72">
        <v>0</v>
      </c>
      <c r="EK611" s="72">
        <v>0</v>
      </c>
      <c r="EL611" s="72">
        <v>0</v>
      </c>
    </row>
    <row r="612" spans="1:142" x14ac:dyDescent="0.35">
      <c r="A612" s="59">
        <f>Данные!A612</f>
        <v>4281</v>
      </c>
      <c r="B612" s="59">
        <f>Данные!B612</f>
        <v>2017</v>
      </c>
      <c r="C612" s="59" t="str">
        <f>Данные!C612</f>
        <v>компьютерных технологий и электронного обучения</v>
      </c>
      <c r="D612" s="59" t="str">
        <f>Данные!D612</f>
        <v>Жуков Николай Николаевич</v>
      </c>
      <c r="E612" s="59" t="str">
        <f>Данные!E612</f>
        <v>нет</v>
      </c>
      <c r="F612" s="59" t="str">
        <f>Данные!F612</f>
        <v>ассистент</v>
      </c>
      <c r="G612" s="59">
        <f>Данные!G612</f>
        <v>1</v>
      </c>
      <c r="H612" s="59">
        <f>Данные!H612</f>
        <v>16097</v>
      </c>
      <c r="I612" s="59" t="str">
        <f>Данные!I612</f>
        <v>Информационное обеспечение технологического образования. Информационное обеспечение инновационной технологической деятельности</v>
      </c>
      <c r="J612" s="59">
        <f>Данные!J612</f>
        <v>4</v>
      </c>
      <c r="K612" s="59">
        <f>Данные!K612</f>
        <v>0</v>
      </c>
      <c r="L612" s="59">
        <f>Данные!L612</f>
        <v>8</v>
      </c>
      <c r="M612" s="60">
        <f t="shared" si="81"/>
        <v>1.2</v>
      </c>
      <c r="N612" s="60">
        <f t="shared" ca="1" si="82"/>
        <v>9.92</v>
      </c>
      <c r="O612" s="60">
        <f t="shared" ca="1" si="83"/>
        <v>6</v>
      </c>
      <c r="P612" s="60">
        <f t="shared" ca="1" si="84"/>
        <v>6</v>
      </c>
      <c r="Q612" s="54">
        <f>Данные!Q612</f>
        <v>0</v>
      </c>
      <c r="R612" s="54">
        <f>Данные!R612</f>
        <v>0</v>
      </c>
      <c r="S612" s="54">
        <f>Данные!S612</f>
        <v>0</v>
      </c>
      <c r="T612" s="54">
        <f>Данные!T612</f>
        <v>0</v>
      </c>
      <c r="U612" s="54">
        <f>Данные!U612</f>
        <v>0</v>
      </c>
      <c r="V612" s="54">
        <f>Данные!V612</f>
        <v>0</v>
      </c>
      <c r="W612" s="54">
        <f ca="1">Данные!W612</f>
        <v>24</v>
      </c>
      <c r="X612" s="54" t="str">
        <f ca="1">Данные!X612</f>
        <v>1</v>
      </c>
      <c r="Y612" s="54" t="str">
        <f ca="1">Данные!Y612</f>
        <v>2</v>
      </c>
      <c r="Z612" s="54">
        <f>Данные!Z612</f>
        <v>0</v>
      </c>
      <c r="AA612" s="54" t="str">
        <f>Данные!AA612</f>
        <v>осн</v>
      </c>
      <c r="AB612" s="101">
        <f t="shared" si="85"/>
        <v>900</v>
      </c>
      <c r="AC612" s="101" t="str">
        <f t="shared" si="86"/>
        <v/>
      </c>
      <c r="AD612" s="101" t="str">
        <f t="shared" si="87"/>
        <v/>
      </c>
      <c r="AE612" s="102">
        <f t="shared" ca="1" si="88"/>
        <v>35.119999999999997</v>
      </c>
      <c r="AF612" s="103">
        <f t="shared" ca="1" si="89"/>
        <v>3.9022222222222222E-2</v>
      </c>
      <c r="AG612" s="101"/>
      <c r="AH612" s="101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Q612" s="72">
        <v>0</v>
      </c>
      <c r="BR612" s="72">
        <v>0</v>
      </c>
      <c r="BS612" s="72">
        <v>0</v>
      </c>
      <c r="BT612" s="72">
        <v>0</v>
      </c>
      <c r="BU612" s="72">
        <v>0</v>
      </c>
      <c r="BV612" s="72">
        <v>0</v>
      </c>
      <c r="BW612" s="72">
        <v>0</v>
      </c>
      <c r="BX612" s="72">
        <v>0</v>
      </c>
      <c r="BY612" s="72">
        <v>0</v>
      </c>
      <c r="BZ612" s="72">
        <v>0</v>
      </c>
      <c r="CA612" s="72">
        <v>0</v>
      </c>
      <c r="CB612" s="72">
        <v>0</v>
      </c>
      <c r="CC612" s="72">
        <v>0</v>
      </c>
      <c r="CD612" s="72">
        <v>0</v>
      </c>
      <c r="CE612" s="72">
        <v>0</v>
      </c>
      <c r="CF612" s="72">
        <v>0</v>
      </c>
      <c r="CG612" s="72">
        <v>0</v>
      </c>
      <c r="CH612" s="72">
        <v>0</v>
      </c>
      <c r="CI612" s="72">
        <v>0</v>
      </c>
      <c r="CJ612" s="72">
        <v>0</v>
      </c>
      <c r="CK612" s="72">
        <v>0</v>
      </c>
      <c r="CL612" s="72">
        <v>0</v>
      </c>
      <c r="CM612" s="72">
        <v>0</v>
      </c>
      <c r="CN612" s="72">
        <v>0</v>
      </c>
      <c r="CO612" s="72">
        <v>0</v>
      </c>
      <c r="CP612" s="72">
        <v>0</v>
      </c>
      <c r="CQ612" s="72">
        <v>0</v>
      </c>
      <c r="CR612" s="72">
        <v>0</v>
      </c>
      <c r="CS612" s="72">
        <v>0</v>
      </c>
      <c r="CT612" s="72">
        <v>0</v>
      </c>
      <c r="CU612" s="72">
        <v>0</v>
      </c>
      <c r="CV612" s="72">
        <v>0</v>
      </c>
      <c r="CW612" s="72">
        <v>0</v>
      </c>
      <c r="CX612" s="72">
        <v>0</v>
      </c>
      <c r="CY612" s="72">
        <v>0</v>
      </c>
      <c r="CZ612" s="72">
        <v>0</v>
      </c>
      <c r="DA612" s="72">
        <v>0</v>
      </c>
      <c r="DB612" s="72">
        <v>0</v>
      </c>
      <c r="DC612" s="72">
        <v>0</v>
      </c>
      <c r="DD612" s="72">
        <v>0</v>
      </c>
      <c r="DE612" s="72">
        <v>0</v>
      </c>
      <c r="DF612" s="72">
        <v>0</v>
      </c>
      <c r="DG612" s="72">
        <v>0</v>
      </c>
      <c r="DH612" s="72">
        <v>0</v>
      </c>
      <c r="DI612" s="72">
        <v>0</v>
      </c>
      <c r="DJ612" s="72">
        <v>0</v>
      </c>
      <c r="DK612" s="72">
        <v>0</v>
      </c>
      <c r="DL612" s="72">
        <v>0</v>
      </c>
      <c r="DM612" s="72">
        <v>0</v>
      </c>
      <c r="DN612" s="72">
        <v>0</v>
      </c>
      <c r="DO612" s="72">
        <v>0</v>
      </c>
      <c r="DP612" s="72">
        <v>0</v>
      </c>
      <c r="DQ612" s="72">
        <v>0</v>
      </c>
      <c r="DR612" s="72">
        <v>0</v>
      </c>
      <c r="DS612" s="72">
        <v>0</v>
      </c>
      <c r="DT612" s="72">
        <v>0</v>
      </c>
      <c r="DU612" s="72">
        <v>0</v>
      </c>
      <c r="DV612" s="72">
        <v>0</v>
      </c>
      <c r="DW612" s="72">
        <v>0</v>
      </c>
      <c r="DX612" s="72">
        <v>0</v>
      </c>
      <c r="DY612" s="72">
        <v>0</v>
      </c>
      <c r="DZ612" s="72">
        <v>0</v>
      </c>
      <c r="EA612" s="72">
        <v>0</v>
      </c>
      <c r="EB612" s="72">
        <v>0</v>
      </c>
      <c r="EC612" s="72">
        <v>0</v>
      </c>
      <c r="ED612" s="72">
        <v>0</v>
      </c>
      <c r="EE612" s="72">
        <v>0</v>
      </c>
      <c r="EF612" s="72">
        <v>0</v>
      </c>
      <c r="EG612" s="72">
        <v>0</v>
      </c>
      <c r="EH612" s="72">
        <v>0</v>
      </c>
      <c r="EI612" s="72">
        <v>0</v>
      </c>
      <c r="EJ612" s="72">
        <v>0</v>
      </c>
      <c r="EK612" s="72">
        <v>0</v>
      </c>
      <c r="EL612" s="72">
        <v>0</v>
      </c>
    </row>
    <row r="613" spans="1:142" x14ac:dyDescent="0.35">
      <c r="A613" s="59">
        <f>Данные!A613</f>
        <v>4282</v>
      </c>
      <c r="B613" s="59">
        <f>Данные!B613</f>
        <v>2016</v>
      </c>
      <c r="C613" s="59" t="str">
        <f>Данные!C613</f>
        <v>компьютерных технологий и электронного обучения</v>
      </c>
      <c r="D613" s="59" t="str">
        <f>Данные!D613</f>
        <v>Готская Ирина Борисовна</v>
      </c>
      <c r="E613" s="59" t="str">
        <f>Данные!E613</f>
        <v>доктор педагогических наук</v>
      </c>
      <c r="F613" s="59" t="str">
        <f>Данные!F613</f>
        <v>профессор</v>
      </c>
      <c r="G613" s="59">
        <f>Данные!G613</f>
        <v>1</v>
      </c>
      <c r="H613" s="59">
        <f>Данные!H613</f>
        <v>14908</v>
      </c>
      <c r="I613" s="59" t="str">
        <f>Данные!I613</f>
        <v>Информационное обеспечение технологического образования. Информационное обеспечение технического и декоративно-прикладного творчества учащихся</v>
      </c>
      <c r="J613" s="59">
        <f>Данные!J613</f>
        <v>4</v>
      </c>
      <c r="K613" s="59">
        <f>Данные!K613</f>
        <v>0</v>
      </c>
      <c r="L613" s="59">
        <f>Данные!L613</f>
        <v>8</v>
      </c>
      <c r="M613" s="60">
        <f t="shared" si="81"/>
        <v>1.2</v>
      </c>
      <c r="N613" s="60">
        <f t="shared" ca="1" si="82"/>
        <v>6.95</v>
      </c>
      <c r="O613" s="60">
        <f t="shared" ca="1" si="83"/>
        <v>3.75</v>
      </c>
      <c r="P613" s="60">
        <f t="shared" ca="1" si="84"/>
        <v>3.75</v>
      </c>
      <c r="Q613" s="54">
        <f>Данные!Q613</f>
        <v>0</v>
      </c>
      <c r="R613" s="54">
        <f>Данные!R613</f>
        <v>0</v>
      </c>
      <c r="S613" s="54">
        <f>Данные!S613</f>
        <v>0</v>
      </c>
      <c r="T613" s="54">
        <f>Данные!T613</f>
        <v>0</v>
      </c>
      <c r="U613" s="54">
        <f>Данные!U613</f>
        <v>0</v>
      </c>
      <c r="V613" s="54">
        <f>Данные!V613</f>
        <v>0</v>
      </c>
      <c r="W613" s="54">
        <f ca="1">Данные!W613</f>
        <v>15</v>
      </c>
      <c r="X613" s="54" t="str">
        <f ca="1">Данные!X613</f>
        <v>1</v>
      </c>
      <c r="Y613" s="54" t="str">
        <f ca="1">Данные!Y613</f>
        <v>1</v>
      </c>
      <c r="Z613" s="54">
        <f>Данные!Z613</f>
        <v>0</v>
      </c>
      <c r="AA613" s="54" t="str">
        <f>Данные!AA613</f>
        <v>осн</v>
      </c>
      <c r="AB613" s="101">
        <f t="shared" si="85"/>
        <v>750</v>
      </c>
      <c r="AC613" s="101" t="str">
        <f t="shared" si="86"/>
        <v/>
      </c>
      <c r="AD613" s="101" t="str">
        <f t="shared" si="87"/>
        <v/>
      </c>
      <c r="AE613" s="102">
        <f t="shared" ca="1" si="88"/>
        <v>27.65</v>
      </c>
      <c r="AF613" s="103">
        <f t="shared" ca="1" si="89"/>
        <v>3.6866666666666666E-2</v>
      </c>
      <c r="AG613" s="101"/>
      <c r="AH613" s="101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Q613" s="72">
        <v>0</v>
      </c>
      <c r="BR613" s="72">
        <v>0</v>
      </c>
      <c r="BS613" s="72">
        <v>0</v>
      </c>
      <c r="BT613" s="72">
        <v>0</v>
      </c>
      <c r="BU613" s="72">
        <v>0</v>
      </c>
      <c r="BV613" s="72">
        <v>0</v>
      </c>
      <c r="BW613" s="72">
        <v>0</v>
      </c>
      <c r="BX613" s="72">
        <v>0</v>
      </c>
      <c r="BY613" s="72">
        <v>0</v>
      </c>
      <c r="BZ613" s="72">
        <v>0</v>
      </c>
      <c r="CA613" s="72">
        <v>0</v>
      </c>
      <c r="CB613" s="72">
        <v>0</v>
      </c>
      <c r="CC613" s="72">
        <v>0</v>
      </c>
      <c r="CD613" s="72">
        <v>0</v>
      </c>
      <c r="CE613" s="72">
        <v>0</v>
      </c>
      <c r="CF613" s="72">
        <v>0</v>
      </c>
      <c r="CG613" s="72">
        <v>0</v>
      </c>
      <c r="CH613" s="72">
        <v>0</v>
      </c>
      <c r="CI613" s="72">
        <v>0</v>
      </c>
      <c r="CJ613" s="72">
        <v>0</v>
      </c>
      <c r="CK613" s="72">
        <v>0</v>
      </c>
      <c r="CL613" s="72">
        <v>0</v>
      </c>
      <c r="CM613" s="72">
        <v>0</v>
      </c>
      <c r="CN613" s="72">
        <v>0</v>
      </c>
      <c r="CO613" s="72">
        <v>0</v>
      </c>
      <c r="CP613" s="72">
        <v>0</v>
      </c>
      <c r="CQ613" s="72">
        <v>0</v>
      </c>
      <c r="CR613" s="72">
        <v>0</v>
      </c>
      <c r="CS613" s="72">
        <v>0</v>
      </c>
      <c r="CT613" s="72">
        <v>0</v>
      </c>
      <c r="CU613" s="72">
        <v>0</v>
      </c>
      <c r="CV613" s="72">
        <v>0</v>
      </c>
      <c r="CW613" s="72">
        <v>0</v>
      </c>
      <c r="CX613" s="72">
        <v>0</v>
      </c>
      <c r="CY613" s="72">
        <v>0</v>
      </c>
      <c r="CZ613" s="72">
        <v>0</v>
      </c>
      <c r="DA613" s="72">
        <v>0</v>
      </c>
      <c r="DB613" s="72">
        <v>0</v>
      </c>
      <c r="DC613" s="72">
        <v>0</v>
      </c>
      <c r="DD613" s="72">
        <v>0</v>
      </c>
      <c r="DE613" s="72">
        <v>0</v>
      </c>
      <c r="DF613" s="72">
        <v>0</v>
      </c>
      <c r="DG613" s="72">
        <v>0</v>
      </c>
      <c r="DH613" s="72">
        <v>0</v>
      </c>
      <c r="DI613" s="72">
        <v>0</v>
      </c>
      <c r="DJ613" s="72">
        <v>0</v>
      </c>
      <c r="DK613" s="72">
        <v>0</v>
      </c>
      <c r="DL613" s="72">
        <v>0</v>
      </c>
      <c r="DM613" s="72">
        <v>0</v>
      </c>
      <c r="DN613" s="72">
        <v>0</v>
      </c>
      <c r="DO613" s="72">
        <v>0</v>
      </c>
      <c r="DP613" s="72">
        <v>0</v>
      </c>
      <c r="DQ613" s="72">
        <v>0</v>
      </c>
      <c r="DR613" s="72">
        <v>0</v>
      </c>
      <c r="DS613" s="72">
        <v>0</v>
      </c>
      <c r="DT613" s="72">
        <v>0</v>
      </c>
      <c r="DU613" s="72">
        <v>0</v>
      </c>
      <c r="DV613" s="72">
        <v>0</v>
      </c>
      <c r="DW613" s="72">
        <v>0</v>
      </c>
      <c r="DX613" s="72">
        <v>0</v>
      </c>
      <c r="DY613" s="72">
        <v>0</v>
      </c>
      <c r="DZ613" s="72">
        <v>0</v>
      </c>
      <c r="EA613" s="72">
        <v>0</v>
      </c>
      <c r="EB613" s="72">
        <v>0</v>
      </c>
      <c r="EC613" s="72">
        <v>0</v>
      </c>
      <c r="ED613" s="72">
        <v>0</v>
      </c>
      <c r="EE613" s="72">
        <v>0</v>
      </c>
      <c r="EF613" s="72">
        <v>0</v>
      </c>
      <c r="EG613" s="72">
        <v>0</v>
      </c>
      <c r="EH613" s="72">
        <v>0</v>
      </c>
      <c r="EI613" s="72">
        <v>0</v>
      </c>
      <c r="EJ613" s="72">
        <v>0</v>
      </c>
      <c r="EK613" s="72">
        <v>0</v>
      </c>
      <c r="EL613" s="72">
        <v>0</v>
      </c>
    </row>
    <row r="614" spans="1:142" x14ac:dyDescent="0.35">
      <c r="A614" s="59">
        <f>Данные!A614</f>
        <v>4282</v>
      </c>
      <c r="B614" s="59">
        <f>Данные!B614</f>
        <v>2016</v>
      </c>
      <c r="C614" s="59" t="str">
        <f>Данные!C614</f>
        <v>компьютерных технологий и электронного обучения</v>
      </c>
      <c r="D614" s="59" t="str">
        <f>Данные!D614</f>
        <v>Готская Ирина Борисовна</v>
      </c>
      <c r="E614" s="59" t="str">
        <f>Данные!E614</f>
        <v>доктор педагогических наук</v>
      </c>
      <c r="F614" s="59" t="str">
        <f>Данные!F614</f>
        <v>профессор</v>
      </c>
      <c r="G614" s="59">
        <f>Данные!G614</f>
        <v>1</v>
      </c>
      <c r="H614" s="59">
        <f>Данные!H614</f>
        <v>14908</v>
      </c>
      <c r="I614" s="59" t="str">
        <f>Данные!I614</f>
        <v>Информационное обеспечение технологического образования. Применение электронных образовательных ресурсов в технологическом образовании</v>
      </c>
      <c r="J614" s="59">
        <f>Данные!J614</f>
        <v>4</v>
      </c>
      <c r="K614" s="59">
        <f>Данные!K614</f>
        <v>0</v>
      </c>
      <c r="L614" s="59">
        <f>Данные!L614</f>
        <v>8</v>
      </c>
      <c r="M614" s="60">
        <f t="shared" si="81"/>
        <v>1.2</v>
      </c>
      <c r="N614" s="60">
        <f t="shared" ca="1" si="82"/>
        <v>6.95</v>
      </c>
      <c r="O614" s="60">
        <f t="shared" ca="1" si="83"/>
        <v>3.75</v>
      </c>
      <c r="P614" s="60">
        <f t="shared" ca="1" si="84"/>
        <v>3.75</v>
      </c>
      <c r="Q614" s="54">
        <f>Данные!Q614</f>
        <v>0</v>
      </c>
      <c r="R614" s="54">
        <f>Данные!R614</f>
        <v>0</v>
      </c>
      <c r="S614" s="54">
        <f>Данные!S614</f>
        <v>0</v>
      </c>
      <c r="T614" s="54">
        <f>Данные!T614</f>
        <v>0</v>
      </c>
      <c r="U614" s="54">
        <f>Данные!U614</f>
        <v>0</v>
      </c>
      <c r="V614" s="54">
        <f>Данные!V614</f>
        <v>0</v>
      </c>
      <c r="W614" s="54">
        <f ca="1">Данные!W614</f>
        <v>15</v>
      </c>
      <c r="X614" s="54" t="str">
        <f ca="1">Данные!X614</f>
        <v>1</v>
      </c>
      <c r="Y614" s="54" t="str">
        <f ca="1">Данные!Y614</f>
        <v>1</v>
      </c>
      <c r="Z614" s="54">
        <f>Данные!Z614</f>
        <v>0</v>
      </c>
      <c r="AA614" s="54" t="str">
        <f>Данные!AA614</f>
        <v>осн</v>
      </c>
      <c r="AB614" s="101">
        <f t="shared" si="85"/>
        <v>750</v>
      </c>
      <c r="AC614" s="101" t="str">
        <f t="shared" si="86"/>
        <v/>
      </c>
      <c r="AD614" s="101" t="str">
        <f t="shared" si="87"/>
        <v/>
      </c>
      <c r="AE614" s="102">
        <f t="shared" ca="1" si="88"/>
        <v>27.65</v>
      </c>
      <c r="AF614" s="103">
        <f t="shared" ca="1" si="89"/>
        <v>3.6866666666666666E-2</v>
      </c>
      <c r="AG614" s="101"/>
      <c r="AH614" s="101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Q614" s="72">
        <v>0</v>
      </c>
      <c r="BR614" s="72">
        <v>0</v>
      </c>
      <c r="BS614" s="72">
        <v>0</v>
      </c>
      <c r="BT614" s="72">
        <v>0</v>
      </c>
      <c r="BU614" s="72">
        <v>0</v>
      </c>
      <c r="BV614" s="72">
        <v>0</v>
      </c>
      <c r="BW614" s="72">
        <v>0</v>
      </c>
      <c r="BX614" s="72">
        <v>0</v>
      </c>
      <c r="BY614" s="72">
        <v>0</v>
      </c>
      <c r="BZ614" s="72">
        <v>0</v>
      </c>
      <c r="CA614" s="72">
        <v>0</v>
      </c>
      <c r="CB614" s="72">
        <v>0</v>
      </c>
      <c r="CC614" s="72">
        <v>0</v>
      </c>
      <c r="CD614" s="72">
        <v>0</v>
      </c>
      <c r="CE614" s="72">
        <v>0</v>
      </c>
      <c r="CF614" s="72">
        <v>0</v>
      </c>
      <c r="CG614" s="72">
        <v>0</v>
      </c>
      <c r="CH614" s="72">
        <v>0</v>
      </c>
      <c r="CI614" s="72">
        <v>0</v>
      </c>
      <c r="CJ614" s="72">
        <v>0</v>
      </c>
      <c r="CK614" s="72">
        <v>0</v>
      </c>
      <c r="CL614" s="72">
        <v>0</v>
      </c>
      <c r="CM614" s="72">
        <v>0</v>
      </c>
      <c r="CN614" s="72">
        <v>0</v>
      </c>
      <c r="CO614" s="72">
        <v>0</v>
      </c>
      <c r="CP614" s="72">
        <v>0</v>
      </c>
      <c r="CQ614" s="72">
        <v>0</v>
      </c>
      <c r="CR614" s="72">
        <v>0</v>
      </c>
      <c r="CS614" s="72">
        <v>0</v>
      </c>
      <c r="CT614" s="72">
        <v>0</v>
      </c>
      <c r="CU614" s="72">
        <v>0</v>
      </c>
      <c r="CV614" s="72">
        <v>0</v>
      </c>
      <c r="CW614" s="72">
        <v>0</v>
      </c>
      <c r="CX614" s="72">
        <v>0</v>
      </c>
      <c r="CY614" s="72">
        <v>0</v>
      </c>
      <c r="CZ614" s="72">
        <v>0</v>
      </c>
      <c r="DA614" s="72">
        <v>0</v>
      </c>
      <c r="DB614" s="72">
        <v>0</v>
      </c>
      <c r="DC614" s="72">
        <v>0</v>
      </c>
      <c r="DD614" s="72">
        <v>0</v>
      </c>
      <c r="DE614" s="72">
        <v>0</v>
      </c>
      <c r="DF614" s="72">
        <v>0</v>
      </c>
      <c r="DG614" s="72">
        <v>0</v>
      </c>
      <c r="DH614" s="72">
        <v>0</v>
      </c>
      <c r="DI614" s="72">
        <v>0</v>
      </c>
      <c r="DJ614" s="72">
        <v>0</v>
      </c>
      <c r="DK614" s="72">
        <v>0</v>
      </c>
      <c r="DL614" s="72">
        <v>0</v>
      </c>
      <c r="DM614" s="72">
        <v>0</v>
      </c>
      <c r="DN614" s="72">
        <v>0</v>
      </c>
      <c r="DO614" s="72">
        <v>0</v>
      </c>
      <c r="DP614" s="72">
        <v>0</v>
      </c>
      <c r="DQ614" s="72">
        <v>0</v>
      </c>
      <c r="DR614" s="72">
        <v>0</v>
      </c>
      <c r="DS614" s="72">
        <v>0</v>
      </c>
      <c r="DT614" s="72">
        <v>0</v>
      </c>
      <c r="DU614" s="72">
        <v>0</v>
      </c>
      <c r="DV614" s="72">
        <v>0</v>
      </c>
      <c r="DW614" s="72">
        <v>0</v>
      </c>
      <c r="DX614" s="72">
        <v>0</v>
      </c>
      <c r="DY614" s="72">
        <v>0</v>
      </c>
      <c r="DZ614" s="72">
        <v>0</v>
      </c>
      <c r="EA614" s="72">
        <v>0</v>
      </c>
      <c r="EB614" s="72">
        <v>0</v>
      </c>
      <c r="EC614" s="72">
        <v>0</v>
      </c>
      <c r="ED614" s="72">
        <v>0</v>
      </c>
      <c r="EE614" s="72">
        <v>0</v>
      </c>
      <c r="EF614" s="72">
        <v>0</v>
      </c>
      <c r="EG614" s="72">
        <v>0</v>
      </c>
      <c r="EH614" s="72">
        <v>0</v>
      </c>
      <c r="EI614" s="72">
        <v>0</v>
      </c>
      <c r="EJ614" s="72">
        <v>0</v>
      </c>
      <c r="EK614" s="72">
        <v>0</v>
      </c>
      <c r="EL614" s="72">
        <v>0</v>
      </c>
    </row>
    <row r="615" spans="1:142" x14ac:dyDescent="0.35">
      <c r="A615" s="59">
        <f>Данные!A615</f>
        <v>4282</v>
      </c>
      <c r="B615" s="59">
        <f>Данные!B615</f>
        <v>2018</v>
      </c>
      <c r="C615" s="59" t="str">
        <f>Данные!C615</f>
        <v>компьютерных технологий и электронного обучения</v>
      </c>
      <c r="D615" s="59" t="str">
        <f>Данные!D615</f>
        <v>Готская Ирина Борисовна</v>
      </c>
      <c r="E615" s="59" t="str">
        <f>Данные!E615</f>
        <v>доктор педагогических наук</v>
      </c>
      <c r="F615" s="59" t="str">
        <f>Данные!F615</f>
        <v>профессор</v>
      </c>
      <c r="G615" s="59">
        <f>Данные!G615</f>
        <v>0.75</v>
      </c>
      <c r="H615" s="59">
        <f>Данные!H615</f>
        <v>17244</v>
      </c>
      <c r="I615" s="59" t="str">
        <f>Данные!I615</f>
        <v>Информационное обеспечение технологического образования. Информационное обеспечение инновационной технологической деятельности</v>
      </c>
      <c r="J615" s="59">
        <f>Данные!J615</f>
        <v>4</v>
      </c>
      <c r="K615" s="59">
        <f>Данные!K615</f>
        <v>0</v>
      </c>
      <c r="L615" s="59">
        <f>Данные!L615</f>
        <v>8</v>
      </c>
      <c r="M615" s="60">
        <f t="shared" si="81"/>
        <v>1.2</v>
      </c>
      <c r="N615" s="60">
        <f t="shared" ca="1" si="82"/>
        <v>5.6300000000000008</v>
      </c>
      <c r="O615" s="60">
        <f t="shared" ca="1" si="83"/>
        <v>2.75</v>
      </c>
      <c r="P615" s="60">
        <f t="shared" ca="1" si="84"/>
        <v>2.75</v>
      </c>
      <c r="Q615" s="54">
        <f>Данные!Q615</f>
        <v>0</v>
      </c>
      <c r="R615" s="54">
        <f>Данные!R615</f>
        <v>0</v>
      </c>
      <c r="S615" s="54">
        <f>Данные!S615</f>
        <v>0</v>
      </c>
      <c r="T615" s="54">
        <f>Данные!T615</f>
        <v>0</v>
      </c>
      <c r="U615" s="54">
        <f>Данные!U615</f>
        <v>0</v>
      </c>
      <c r="V615" s="54">
        <f>Данные!V615</f>
        <v>0</v>
      </c>
      <c r="W615" s="54">
        <f ca="1">Данные!W615</f>
        <v>11</v>
      </c>
      <c r="X615" s="54" t="str">
        <f ca="1">Данные!X615</f>
        <v>1</v>
      </c>
      <c r="Y615" s="54" t="str">
        <f ca="1">Данные!Y615</f>
        <v>1</v>
      </c>
      <c r="Z615" s="54">
        <f>Данные!Z615</f>
        <v>0</v>
      </c>
      <c r="AA615" s="54" t="str">
        <f>Данные!AA615</f>
        <v>осн</v>
      </c>
      <c r="AB615" s="101">
        <f t="shared" si="85"/>
        <v>750</v>
      </c>
      <c r="AC615" s="101" t="str">
        <f t="shared" si="86"/>
        <v/>
      </c>
      <c r="AD615" s="101" t="str">
        <f t="shared" si="87"/>
        <v/>
      </c>
      <c r="AE615" s="102">
        <f t="shared" ca="1" si="88"/>
        <v>24.33</v>
      </c>
      <c r="AF615" s="103">
        <f t="shared" ca="1" si="89"/>
        <v>3.2439999999999997E-2</v>
      </c>
      <c r="AG615" s="101"/>
      <c r="AH615" s="101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Q615" s="72">
        <v>0</v>
      </c>
      <c r="BR615" s="72">
        <v>0</v>
      </c>
      <c r="BS615" s="72">
        <v>0</v>
      </c>
      <c r="BT615" s="72">
        <v>0</v>
      </c>
      <c r="BU615" s="72">
        <v>0</v>
      </c>
      <c r="BV615" s="72">
        <v>0</v>
      </c>
      <c r="BW615" s="72">
        <v>0</v>
      </c>
      <c r="BX615" s="72">
        <v>0</v>
      </c>
      <c r="BY615" s="72">
        <v>0</v>
      </c>
      <c r="BZ615" s="72">
        <v>0</v>
      </c>
      <c r="CA615" s="72">
        <v>0</v>
      </c>
      <c r="CB615" s="72">
        <v>0</v>
      </c>
      <c r="CC615" s="72">
        <v>0</v>
      </c>
      <c r="CD615" s="72">
        <v>0</v>
      </c>
      <c r="CE615" s="72">
        <v>0</v>
      </c>
      <c r="CF615" s="72">
        <v>0</v>
      </c>
      <c r="CG615" s="72">
        <v>0</v>
      </c>
      <c r="CH615" s="72">
        <v>0</v>
      </c>
      <c r="CI615" s="72">
        <v>0</v>
      </c>
      <c r="CJ615" s="72">
        <v>0</v>
      </c>
      <c r="CK615" s="72">
        <v>0</v>
      </c>
      <c r="CL615" s="72">
        <v>0</v>
      </c>
      <c r="CM615" s="72">
        <v>0</v>
      </c>
      <c r="CN615" s="72">
        <v>0</v>
      </c>
      <c r="CO615" s="72">
        <v>0</v>
      </c>
      <c r="CP615" s="72">
        <v>0</v>
      </c>
      <c r="CQ615" s="72">
        <v>0</v>
      </c>
      <c r="CR615" s="72">
        <v>0</v>
      </c>
      <c r="CS615" s="72">
        <v>0</v>
      </c>
      <c r="CT615" s="72">
        <v>0</v>
      </c>
      <c r="CU615" s="72">
        <v>0</v>
      </c>
      <c r="CV615" s="72">
        <v>0</v>
      </c>
      <c r="CW615" s="72">
        <v>0</v>
      </c>
      <c r="CX615" s="72">
        <v>0</v>
      </c>
      <c r="CY615" s="72">
        <v>0</v>
      </c>
      <c r="CZ615" s="72">
        <v>0</v>
      </c>
      <c r="DA615" s="72">
        <v>0</v>
      </c>
      <c r="DB615" s="72">
        <v>0</v>
      </c>
      <c r="DC615" s="72">
        <v>0</v>
      </c>
      <c r="DD615" s="72">
        <v>0</v>
      </c>
      <c r="DE615" s="72">
        <v>0</v>
      </c>
      <c r="DF615" s="72">
        <v>0</v>
      </c>
      <c r="DG615" s="72">
        <v>0</v>
      </c>
      <c r="DH615" s="72">
        <v>0</v>
      </c>
      <c r="DI615" s="72">
        <v>0</v>
      </c>
      <c r="DJ615" s="72">
        <v>0</v>
      </c>
      <c r="DK615" s="72">
        <v>0</v>
      </c>
      <c r="DL615" s="72">
        <v>0</v>
      </c>
      <c r="DM615" s="72">
        <v>0</v>
      </c>
      <c r="DN615" s="72">
        <v>0</v>
      </c>
      <c r="DO615" s="72">
        <v>0</v>
      </c>
      <c r="DP615" s="72">
        <v>0</v>
      </c>
      <c r="DQ615" s="72">
        <v>0</v>
      </c>
      <c r="DR615" s="72">
        <v>0</v>
      </c>
      <c r="DS615" s="72">
        <v>0</v>
      </c>
      <c r="DT615" s="72">
        <v>0</v>
      </c>
      <c r="DU615" s="72">
        <v>0</v>
      </c>
      <c r="DV615" s="72">
        <v>0</v>
      </c>
      <c r="DW615" s="72">
        <v>0</v>
      </c>
      <c r="DX615" s="72">
        <v>0</v>
      </c>
      <c r="DY615" s="72">
        <v>0</v>
      </c>
      <c r="DZ615" s="72">
        <v>0</v>
      </c>
      <c r="EA615" s="72">
        <v>0</v>
      </c>
      <c r="EB615" s="72">
        <v>0</v>
      </c>
      <c r="EC615" s="72">
        <v>0</v>
      </c>
      <c r="ED615" s="72">
        <v>0</v>
      </c>
      <c r="EE615" s="72">
        <v>0</v>
      </c>
      <c r="EF615" s="72">
        <v>0</v>
      </c>
      <c r="EG615" s="72">
        <v>0</v>
      </c>
      <c r="EH615" s="72">
        <v>0</v>
      </c>
      <c r="EI615" s="72">
        <v>0</v>
      </c>
      <c r="EJ615" s="72">
        <v>0</v>
      </c>
      <c r="EK615" s="72">
        <v>0</v>
      </c>
      <c r="EL615" s="72">
        <v>0</v>
      </c>
    </row>
    <row r="616" spans="1:142" x14ac:dyDescent="0.35">
      <c r="A616" s="59">
        <f>Данные!A616</f>
        <v>4773</v>
      </c>
      <c r="B616" s="59">
        <f>Данные!B616</f>
        <v>2016</v>
      </c>
      <c r="C616" s="59" t="str">
        <f>Данные!C616</f>
        <v>компьютерных технологий и электронного обучения</v>
      </c>
      <c r="D616" s="59" t="str">
        <f>Данные!D616</f>
        <v>Жуков Николай Николаевич</v>
      </c>
      <c r="E616" s="59" t="str">
        <f>Данные!E616</f>
        <v>нет</v>
      </c>
      <c r="F616" s="59" t="str">
        <f>Данные!F616</f>
        <v>ассистент</v>
      </c>
      <c r="G616" s="59">
        <f>Данные!G616</f>
        <v>1</v>
      </c>
      <c r="H616" s="59">
        <f>Данные!H616</f>
        <v>15073</v>
      </c>
      <c r="I616" s="59" t="str">
        <f>Данные!I616</f>
        <v>Информационное обеспечение технологического образования. Применение Интернет-технологий в технологическом образовании</v>
      </c>
      <c r="J616" s="59">
        <f>Данные!J616</f>
        <v>4</v>
      </c>
      <c r="K616" s="59">
        <f>Данные!K616</f>
        <v>0</v>
      </c>
      <c r="L616" s="59">
        <f>Данные!L616</f>
        <v>8</v>
      </c>
      <c r="M616" s="60">
        <f t="shared" si="81"/>
        <v>1.2</v>
      </c>
      <c r="N616" s="60">
        <f t="shared" ca="1" si="82"/>
        <v>8.6000000000000014</v>
      </c>
      <c r="O616" s="60">
        <f t="shared" ca="1" si="83"/>
        <v>5</v>
      </c>
      <c r="P616" s="60">
        <f t="shared" ca="1" si="84"/>
        <v>5</v>
      </c>
      <c r="Q616" s="54">
        <f>Данные!Q616</f>
        <v>0</v>
      </c>
      <c r="R616" s="54">
        <f>Данные!R616</f>
        <v>0</v>
      </c>
      <c r="S616" s="54">
        <f>Данные!S616</f>
        <v>0</v>
      </c>
      <c r="T616" s="54">
        <f>Данные!T616</f>
        <v>0</v>
      </c>
      <c r="U616" s="54">
        <f>Данные!U616</f>
        <v>0</v>
      </c>
      <c r="V616" s="54">
        <f>Данные!V616</f>
        <v>0</v>
      </c>
      <c r="W616" s="54">
        <f ca="1">Данные!W616</f>
        <v>20</v>
      </c>
      <c r="X616" s="54" t="str">
        <f ca="1">Данные!X616</f>
        <v>1</v>
      </c>
      <c r="Y616" s="54" t="str">
        <f ca="1">Данные!Y616</f>
        <v>2</v>
      </c>
      <c r="Z616" s="54">
        <f>Данные!Z616</f>
        <v>0</v>
      </c>
      <c r="AA616" s="54" t="str">
        <f>Данные!AA616</f>
        <v>осн</v>
      </c>
      <c r="AB616" s="101">
        <f t="shared" si="85"/>
        <v>900</v>
      </c>
      <c r="AC616" s="101" t="str">
        <f t="shared" si="86"/>
        <v/>
      </c>
      <c r="AD616" s="101" t="str">
        <f t="shared" si="87"/>
        <v/>
      </c>
      <c r="AE616" s="102">
        <f t="shared" ca="1" si="88"/>
        <v>31.8</v>
      </c>
      <c r="AF616" s="103">
        <f t="shared" ca="1" si="89"/>
        <v>3.5333333333333335E-2</v>
      </c>
      <c r="AG616" s="101"/>
      <c r="AH616" s="101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Q616" s="72">
        <v>0</v>
      </c>
      <c r="BR616" s="72">
        <v>0</v>
      </c>
      <c r="BS616" s="72">
        <v>0</v>
      </c>
      <c r="BT616" s="72">
        <v>0</v>
      </c>
      <c r="BU616" s="72">
        <v>0</v>
      </c>
      <c r="BV616" s="72">
        <v>0</v>
      </c>
      <c r="BW616" s="72">
        <v>0</v>
      </c>
      <c r="BX616" s="72">
        <v>0</v>
      </c>
      <c r="BY616" s="72">
        <v>0</v>
      </c>
      <c r="BZ616" s="72">
        <v>0</v>
      </c>
      <c r="CA616" s="72">
        <v>0</v>
      </c>
      <c r="CB616" s="72">
        <v>0</v>
      </c>
      <c r="CC616" s="72">
        <v>0</v>
      </c>
      <c r="CD616" s="72">
        <v>0</v>
      </c>
      <c r="CE616" s="72">
        <v>0</v>
      </c>
      <c r="CF616" s="72">
        <v>0</v>
      </c>
      <c r="CG616" s="72">
        <v>0</v>
      </c>
      <c r="CH616" s="72">
        <v>0</v>
      </c>
      <c r="CI616" s="72">
        <v>0</v>
      </c>
      <c r="CJ616" s="72">
        <v>0</v>
      </c>
      <c r="CK616" s="72">
        <v>0</v>
      </c>
      <c r="CL616" s="72">
        <v>0</v>
      </c>
      <c r="CM616" s="72">
        <v>0</v>
      </c>
      <c r="CN616" s="72">
        <v>0</v>
      </c>
      <c r="CO616" s="72">
        <v>0</v>
      </c>
      <c r="CP616" s="72">
        <v>0</v>
      </c>
      <c r="CQ616" s="72">
        <v>0</v>
      </c>
      <c r="CR616" s="72">
        <v>0</v>
      </c>
      <c r="CS616" s="72">
        <v>0</v>
      </c>
      <c r="CT616" s="72">
        <v>0</v>
      </c>
      <c r="CU616" s="72">
        <v>0</v>
      </c>
      <c r="CV616" s="72">
        <v>0</v>
      </c>
      <c r="CW616" s="72">
        <v>0</v>
      </c>
      <c r="CX616" s="72">
        <v>0</v>
      </c>
      <c r="CY616" s="72">
        <v>0</v>
      </c>
      <c r="CZ616" s="72">
        <v>0</v>
      </c>
      <c r="DA616" s="72">
        <v>0</v>
      </c>
      <c r="DB616" s="72">
        <v>0</v>
      </c>
      <c r="DC616" s="72">
        <v>0</v>
      </c>
      <c r="DD616" s="72">
        <v>0</v>
      </c>
      <c r="DE616" s="72">
        <v>0</v>
      </c>
      <c r="DF616" s="72">
        <v>0</v>
      </c>
      <c r="DG616" s="72">
        <v>0</v>
      </c>
      <c r="DH616" s="72">
        <v>0</v>
      </c>
      <c r="DI616" s="72">
        <v>0</v>
      </c>
      <c r="DJ616" s="72">
        <v>0</v>
      </c>
      <c r="DK616" s="72">
        <v>0</v>
      </c>
      <c r="DL616" s="72">
        <v>0</v>
      </c>
      <c r="DM616" s="72">
        <v>0</v>
      </c>
      <c r="DN616" s="72">
        <v>0</v>
      </c>
      <c r="DO616" s="72">
        <v>0</v>
      </c>
      <c r="DP616" s="72">
        <v>0</v>
      </c>
      <c r="DQ616" s="72">
        <v>0</v>
      </c>
      <c r="DR616" s="72">
        <v>0</v>
      </c>
      <c r="DS616" s="72">
        <v>0</v>
      </c>
      <c r="DT616" s="72">
        <v>0</v>
      </c>
      <c r="DU616" s="72">
        <v>0</v>
      </c>
      <c r="DV616" s="72">
        <v>0</v>
      </c>
      <c r="DW616" s="72">
        <v>0</v>
      </c>
      <c r="DX616" s="72">
        <v>0</v>
      </c>
      <c r="DY616" s="72">
        <v>0</v>
      </c>
      <c r="DZ616" s="72">
        <v>0</v>
      </c>
      <c r="EA616" s="72">
        <v>0</v>
      </c>
      <c r="EB616" s="72">
        <v>0</v>
      </c>
      <c r="EC616" s="72">
        <v>0</v>
      </c>
      <c r="ED616" s="72">
        <v>0</v>
      </c>
      <c r="EE616" s="72">
        <v>0</v>
      </c>
      <c r="EF616" s="72">
        <v>0</v>
      </c>
      <c r="EG616" s="72">
        <v>0</v>
      </c>
      <c r="EH616" s="72">
        <v>0</v>
      </c>
      <c r="EI616" s="72">
        <v>0</v>
      </c>
      <c r="EJ616" s="72">
        <v>0</v>
      </c>
      <c r="EK616" s="72">
        <v>0</v>
      </c>
      <c r="EL616" s="72">
        <v>0</v>
      </c>
    </row>
    <row r="617" spans="1:142" x14ac:dyDescent="0.35">
      <c r="A617" s="59">
        <f>Данные!A617</f>
        <v>4773</v>
      </c>
      <c r="B617" s="59">
        <f>Данные!B617</f>
        <v>2017</v>
      </c>
      <c r="C617" s="59" t="str">
        <f>Данные!C617</f>
        <v>компьютерных технологий и электронного обучения</v>
      </c>
      <c r="D617" s="59" t="str">
        <f>Данные!D617</f>
        <v>Жуков Николай Николаевич</v>
      </c>
      <c r="E617" s="59" t="str">
        <f>Данные!E617</f>
        <v>нет</v>
      </c>
      <c r="F617" s="59" t="str">
        <f>Данные!F617</f>
        <v>ассистент</v>
      </c>
      <c r="G617" s="59">
        <f>Данные!G617</f>
        <v>1</v>
      </c>
      <c r="H617" s="59">
        <f>Данные!H617</f>
        <v>16095</v>
      </c>
      <c r="I617" s="59" t="str">
        <f>Данные!I617</f>
        <v>Информационное обеспечение технологического образования. Применение электронных образовательных ресурсов в технологическом образовании</v>
      </c>
      <c r="J617" s="59">
        <f>Данные!J617</f>
        <v>6</v>
      </c>
      <c r="K617" s="59">
        <f>Данные!K617</f>
        <v>0</v>
      </c>
      <c r="L617" s="59">
        <f>Данные!L617</f>
        <v>12</v>
      </c>
      <c r="M617" s="60">
        <f t="shared" si="81"/>
        <v>1.8</v>
      </c>
      <c r="N617" s="60">
        <f t="shared" ca="1" si="82"/>
        <v>9.2600000000000016</v>
      </c>
      <c r="O617" s="60">
        <f t="shared" ca="1" si="83"/>
        <v>5.5</v>
      </c>
      <c r="P617" s="60">
        <f t="shared" ca="1" si="84"/>
        <v>5.5</v>
      </c>
      <c r="Q617" s="54">
        <f>Данные!Q617</f>
        <v>0</v>
      </c>
      <c r="R617" s="54">
        <f>Данные!R617</f>
        <v>0</v>
      </c>
      <c r="S617" s="54">
        <f>Данные!S617</f>
        <v>0</v>
      </c>
      <c r="T617" s="54">
        <f>Данные!T617</f>
        <v>0</v>
      </c>
      <c r="U617" s="54">
        <f>Данные!U617</f>
        <v>0</v>
      </c>
      <c r="V617" s="54">
        <f>Данные!V617</f>
        <v>0</v>
      </c>
      <c r="W617" s="54">
        <f ca="1">Данные!W617</f>
        <v>22</v>
      </c>
      <c r="X617" s="54" t="str">
        <f ca="1">Данные!X617</f>
        <v>1</v>
      </c>
      <c r="Y617" s="54" t="str">
        <f ca="1">Данные!Y617</f>
        <v>2</v>
      </c>
      <c r="Z617" s="54">
        <f>Данные!Z617</f>
        <v>0</v>
      </c>
      <c r="AA617" s="54" t="str">
        <f>Данные!AA617</f>
        <v>осн</v>
      </c>
      <c r="AB617" s="101">
        <f t="shared" si="85"/>
        <v>900</v>
      </c>
      <c r="AC617" s="101" t="str">
        <f t="shared" si="86"/>
        <v/>
      </c>
      <c r="AD617" s="101" t="str">
        <f t="shared" si="87"/>
        <v/>
      </c>
      <c r="AE617" s="102">
        <f t="shared" ca="1" si="88"/>
        <v>40.06</v>
      </c>
      <c r="AF617" s="103">
        <f t="shared" ca="1" si="89"/>
        <v>4.4511111111111112E-2</v>
      </c>
      <c r="AG617" s="101"/>
      <c r="AH617" s="101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Q617" s="72">
        <v>0</v>
      </c>
      <c r="BR617" s="72">
        <v>0</v>
      </c>
      <c r="BS617" s="72">
        <v>0</v>
      </c>
      <c r="BT617" s="72">
        <v>0</v>
      </c>
      <c r="BU617" s="72">
        <v>0</v>
      </c>
      <c r="BV617" s="72">
        <v>0</v>
      </c>
      <c r="BW617" s="72">
        <v>0</v>
      </c>
      <c r="BX617" s="72">
        <v>0</v>
      </c>
      <c r="BY617" s="72">
        <v>0</v>
      </c>
      <c r="BZ617" s="72">
        <v>0</v>
      </c>
      <c r="CA617" s="72">
        <v>0</v>
      </c>
      <c r="CB617" s="72">
        <v>0</v>
      </c>
      <c r="CC617" s="72">
        <v>0</v>
      </c>
      <c r="CD617" s="72">
        <v>0</v>
      </c>
      <c r="CE617" s="72">
        <v>0</v>
      </c>
      <c r="CF617" s="72">
        <v>0</v>
      </c>
      <c r="CG617" s="72">
        <v>0</v>
      </c>
      <c r="CH617" s="72">
        <v>0</v>
      </c>
      <c r="CI617" s="72">
        <v>0</v>
      </c>
      <c r="CJ617" s="72">
        <v>0</v>
      </c>
      <c r="CK617" s="72">
        <v>0</v>
      </c>
      <c r="CL617" s="72">
        <v>0</v>
      </c>
      <c r="CM617" s="72">
        <v>0</v>
      </c>
      <c r="CN617" s="72">
        <v>0</v>
      </c>
      <c r="CO617" s="72">
        <v>0</v>
      </c>
      <c r="CP617" s="72">
        <v>0</v>
      </c>
      <c r="CQ617" s="72">
        <v>0</v>
      </c>
      <c r="CR617" s="72">
        <v>0</v>
      </c>
      <c r="CS617" s="72">
        <v>0</v>
      </c>
      <c r="CT617" s="72">
        <v>0</v>
      </c>
      <c r="CU617" s="72">
        <v>0</v>
      </c>
      <c r="CV617" s="72">
        <v>0</v>
      </c>
      <c r="CW617" s="72">
        <v>0</v>
      </c>
      <c r="CX617" s="72">
        <v>0</v>
      </c>
      <c r="CY617" s="72">
        <v>0</v>
      </c>
      <c r="CZ617" s="72">
        <v>0</v>
      </c>
      <c r="DA617" s="72">
        <v>0</v>
      </c>
      <c r="DB617" s="72">
        <v>0</v>
      </c>
      <c r="DC617" s="72">
        <v>0</v>
      </c>
      <c r="DD617" s="72">
        <v>0</v>
      </c>
      <c r="DE617" s="72">
        <v>0</v>
      </c>
      <c r="DF617" s="72">
        <v>0</v>
      </c>
      <c r="DG617" s="72">
        <v>0</v>
      </c>
      <c r="DH617" s="72">
        <v>0</v>
      </c>
      <c r="DI617" s="72">
        <v>0</v>
      </c>
      <c r="DJ617" s="72">
        <v>0</v>
      </c>
      <c r="DK617" s="72">
        <v>0</v>
      </c>
      <c r="DL617" s="72">
        <v>0</v>
      </c>
      <c r="DM617" s="72">
        <v>0</v>
      </c>
      <c r="DN617" s="72">
        <v>0</v>
      </c>
      <c r="DO617" s="72">
        <v>0</v>
      </c>
      <c r="DP617" s="72">
        <v>0</v>
      </c>
      <c r="DQ617" s="72">
        <v>0</v>
      </c>
      <c r="DR617" s="72">
        <v>0</v>
      </c>
      <c r="DS617" s="72">
        <v>0</v>
      </c>
      <c r="DT617" s="72">
        <v>0</v>
      </c>
      <c r="DU617" s="72">
        <v>0</v>
      </c>
      <c r="DV617" s="72">
        <v>0</v>
      </c>
      <c r="DW617" s="72">
        <v>0</v>
      </c>
      <c r="DX617" s="72">
        <v>0</v>
      </c>
      <c r="DY617" s="72">
        <v>0</v>
      </c>
      <c r="DZ617" s="72">
        <v>0</v>
      </c>
      <c r="EA617" s="72">
        <v>0</v>
      </c>
      <c r="EB617" s="72">
        <v>0</v>
      </c>
      <c r="EC617" s="72">
        <v>0</v>
      </c>
      <c r="ED617" s="72">
        <v>0</v>
      </c>
      <c r="EE617" s="72">
        <v>0</v>
      </c>
      <c r="EF617" s="72">
        <v>0</v>
      </c>
      <c r="EG617" s="72">
        <v>0</v>
      </c>
      <c r="EH617" s="72">
        <v>0</v>
      </c>
      <c r="EI617" s="72">
        <v>0</v>
      </c>
      <c r="EJ617" s="72">
        <v>0</v>
      </c>
      <c r="EK617" s="72">
        <v>0</v>
      </c>
      <c r="EL617" s="72">
        <v>0</v>
      </c>
    </row>
    <row r="618" spans="1:142" x14ac:dyDescent="0.35">
      <c r="A618" s="59">
        <f>Данные!A618</f>
        <v>4773</v>
      </c>
      <c r="B618" s="59">
        <f>Данные!B618</f>
        <v>2017</v>
      </c>
      <c r="C618" s="59" t="str">
        <f>Данные!C618</f>
        <v>компьютерных технологий и электронного обучения</v>
      </c>
      <c r="D618" s="59" t="str">
        <f>Данные!D618</f>
        <v>Жуков Николай Николаевич</v>
      </c>
      <c r="E618" s="59" t="str">
        <f>Данные!E618</f>
        <v>нет</v>
      </c>
      <c r="F618" s="59" t="str">
        <f>Данные!F618</f>
        <v>ассистент</v>
      </c>
      <c r="G618" s="59">
        <f>Данные!G618</f>
        <v>1</v>
      </c>
      <c r="H618" s="59">
        <f>Данные!H618</f>
        <v>16095</v>
      </c>
      <c r="I618" s="59" t="str">
        <f>Данные!I618</f>
        <v>Информационные технологии</v>
      </c>
      <c r="J618" s="59">
        <f>Данные!J618</f>
        <v>4</v>
      </c>
      <c r="K618" s="59">
        <f>Данные!K618</f>
        <v>0</v>
      </c>
      <c r="L618" s="59">
        <f>Данные!L618</f>
        <v>6</v>
      </c>
      <c r="M618" s="60">
        <f t="shared" si="81"/>
        <v>1</v>
      </c>
      <c r="N618" s="60">
        <f t="shared" ca="1" si="82"/>
        <v>9.2600000000000016</v>
      </c>
      <c r="O618" s="60">
        <f t="shared" ca="1" si="83"/>
        <v>5.5</v>
      </c>
      <c r="P618" s="60">
        <f t="shared" ca="1" si="84"/>
        <v>5.5</v>
      </c>
      <c r="Q618" s="54">
        <f>Данные!Q618</f>
        <v>0</v>
      </c>
      <c r="R618" s="54">
        <f>Данные!R618</f>
        <v>0</v>
      </c>
      <c r="S618" s="54">
        <f>Данные!S618</f>
        <v>0</v>
      </c>
      <c r="T618" s="54">
        <f>Данные!T618</f>
        <v>0</v>
      </c>
      <c r="U618" s="54">
        <f>Данные!U618</f>
        <v>0</v>
      </c>
      <c r="V618" s="54">
        <f>Данные!V618</f>
        <v>0</v>
      </c>
      <c r="W618" s="54">
        <f ca="1">Данные!W618</f>
        <v>22</v>
      </c>
      <c r="X618" s="54" t="str">
        <f ca="1">Данные!X618</f>
        <v>1</v>
      </c>
      <c r="Y618" s="54" t="str">
        <f ca="1">Данные!Y618</f>
        <v>2</v>
      </c>
      <c r="Z618" s="54">
        <f>Данные!Z618</f>
        <v>0</v>
      </c>
      <c r="AA618" s="54" t="str">
        <f>Данные!AA618</f>
        <v>осн</v>
      </c>
      <c r="AB618" s="101">
        <f t="shared" si="85"/>
        <v>900</v>
      </c>
      <c r="AC618" s="101" t="str">
        <f t="shared" si="86"/>
        <v/>
      </c>
      <c r="AD618" s="101" t="str">
        <f t="shared" si="87"/>
        <v/>
      </c>
      <c r="AE618" s="102">
        <f t="shared" ca="1" si="88"/>
        <v>31.26</v>
      </c>
      <c r="AF618" s="103">
        <f t="shared" ca="1" si="89"/>
        <v>3.4733333333333338E-2</v>
      </c>
      <c r="AG618" s="101"/>
      <c r="AH618" s="101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Q618" s="72">
        <v>0</v>
      </c>
      <c r="BR618" s="72">
        <v>0</v>
      </c>
      <c r="BS618" s="72">
        <v>0</v>
      </c>
      <c r="BT618" s="72">
        <v>0</v>
      </c>
      <c r="BU618" s="72">
        <v>0</v>
      </c>
      <c r="BV618" s="72">
        <v>0</v>
      </c>
      <c r="BW618" s="72">
        <v>0</v>
      </c>
      <c r="BX618" s="72">
        <v>0</v>
      </c>
      <c r="BY618" s="72">
        <v>0</v>
      </c>
      <c r="BZ618" s="72">
        <v>0</v>
      </c>
      <c r="CA618" s="72">
        <v>0</v>
      </c>
      <c r="CB618" s="72">
        <v>0</v>
      </c>
      <c r="CC618" s="72">
        <v>0</v>
      </c>
      <c r="CD618" s="72">
        <v>0</v>
      </c>
      <c r="CE618" s="72">
        <v>0</v>
      </c>
      <c r="CF618" s="72">
        <v>0</v>
      </c>
      <c r="CG618" s="72">
        <v>0</v>
      </c>
      <c r="CH618" s="72">
        <v>0</v>
      </c>
      <c r="CI618" s="72">
        <v>0</v>
      </c>
      <c r="CJ618" s="72">
        <v>0</v>
      </c>
      <c r="CK618" s="72">
        <v>0</v>
      </c>
      <c r="CL618" s="72">
        <v>0</v>
      </c>
      <c r="CM618" s="72">
        <v>0</v>
      </c>
      <c r="CN618" s="72">
        <v>0</v>
      </c>
      <c r="CO618" s="72">
        <v>0</v>
      </c>
      <c r="CP618" s="72">
        <v>0</v>
      </c>
      <c r="CQ618" s="72">
        <v>0</v>
      </c>
      <c r="CR618" s="72">
        <v>0</v>
      </c>
      <c r="CS618" s="72">
        <v>0</v>
      </c>
      <c r="CT618" s="72">
        <v>0</v>
      </c>
      <c r="CU618" s="72">
        <v>0</v>
      </c>
      <c r="CV618" s="72">
        <v>0</v>
      </c>
      <c r="CW618" s="72">
        <v>0</v>
      </c>
      <c r="CX618" s="72">
        <v>0</v>
      </c>
      <c r="CY618" s="72">
        <v>0</v>
      </c>
      <c r="CZ618" s="72">
        <v>0</v>
      </c>
      <c r="DA618" s="72">
        <v>0</v>
      </c>
      <c r="DB618" s="72">
        <v>0</v>
      </c>
      <c r="DC618" s="72">
        <v>0</v>
      </c>
      <c r="DD618" s="72">
        <v>0</v>
      </c>
      <c r="DE618" s="72">
        <v>0</v>
      </c>
      <c r="DF618" s="72">
        <v>0</v>
      </c>
      <c r="DG618" s="72">
        <v>0</v>
      </c>
      <c r="DH618" s="72">
        <v>0</v>
      </c>
      <c r="DI618" s="72">
        <v>0</v>
      </c>
      <c r="DJ618" s="72">
        <v>0</v>
      </c>
      <c r="DK618" s="72">
        <v>0</v>
      </c>
      <c r="DL618" s="72">
        <v>0</v>
      </c>
      <c r="DM618" s="72">
        <v>0</v>
      </c>
      <c r="DN618" s="72">
        <v>0</v>
      </c>
      <c r="DO618" s="72">
        <v>0</v>
      </c>
      <c r="DP618" s="72">
        <v>0</v>
      </c>
      <c r="DQ618" s="72">
        <v>0</v>
      </c>
      <c r="DR618" s="72">
        <v>0</v>
      </c>
      <c r="DS618" s="72">
        <v>0</v>
      </c>
      <c r="DT618" s="72">
        <v>0</v>
      </c>
      <c r="DU618" s="72">
        <v>0</v>
      </c>
      <c r="DV618" s="72">
        <v>0</v>
      </c>
      <c r="DW618" s="72">
        <v>0</v>
      </c>
      <c r="DX618" s="72">
        <v>0</v>
      </c>
      <c r="DY618" s="72">
        <v>0</v>
      </c>
      <c r="DZ618" s="72">
        <v>0</v>
      </c>
      <c r="EA618" s="72">
        <v>0</v>
      </c>
      <c r="EB618" s="72">
        <v>0</v>
      </c>
      <c r="EC618" s="72">
        <v>0</v>
      </c>
      <c r="ED618" s="72">
        <v>0</v>
      </c>
      <c r="EE618" s="72">
        <v>0</v>
      </c>
      <c r="EF618" s="72">
        <v>0</v>
      </c>
      <c r="EG618" s="72">
        <v>0</v>
      </c>
      <c r="EH618" s="72">
        <v>0</v>
      </c>
      <c r="EI618" s="72">
        <v>0</v>
      </c>
      <c r="EJ618" s="72">
        <v>0</v>
      </c>
      <c r="EK618" s="72">
        <v>0</v>
      </c>
      <c r="EL618" s="72">
        <v>0</v>
      </c>
    </row>
    <row r="619" spans="1:142" x14ac:dyDescent="0.35">
      <c r="A619" s="59">
        <f>Данные!A619</f>
        <v>5933</v>
      </c>
      <c r="B619" s="59">
        <f>Данные!B619</f>
        <v>2018</v>
      </c>
      <c r="C619" s="59" t="str">
        <f>Данные!C619</f>
        <v>компьютерных технологий и электронного обучения</v>
      </c>
      <c r="D619" s="59" t="str">
        <f>Данные!D619</f>
        <v>Готская Ирина Борисовна</v>
      </c>
      <c r="E619" s="59" t="str">
        <f>Данные!E619</f>
        <v>доктор педагогических наук</v>
      </c>
      <c r="F619" s="59" t="str">
        <f>Данные!F619</f>
        <v>профессор</v>
      </c>
      <c r="G619" s="59">
        <f>Данные!G619</f>
        <v>0.75</v>
      </c>
      <c r="H619" s="59">
        <f>Данные!H619</f>
        <v>17241</v>
      </c>
      <c r="I619" s="59" t="str">
        <f>Данные!I619</f>
        <v>Модуль "Естественнонаучный". Информационные технологии</v>
      </c>
      <c r="J619" s="59">
        <f>Данные!J619</f>
        <v>4</v>
      </c>
      <c r="K619" s="59">
        <f>Данные!K619</f>
        <v>6</v>
      </c>
      <c r="L619" s="59">
        <f>Данные!L619</f>
        <v>0</v>
      </c>
      <c r="M619" s="60">
        <f t="shared" si="81"/>
        <v>1</v>
      </c>
      <c r="N619" s="60">
        <f t="shared" ca="1" si="82"/>
        <v>4.6400000000000006</v>
      </c>
      <c r="O619" s="60">
        <f t="shared" ca="1" si="83"/>
        <v>2</v>
      </c>
      <c r="P619" s="60">
        <f t="shared" ca="1" si="84"/>
        <v>2</v>
      </c>
      <c r="Q619" s="54">
        <f>Данные!Q619</f>
        <v>0</v>
      </c>
      <c r="R619" s="54">
        <f>Данные!R619</f>
        <v>0</v>
      </c>
      <c r="S619" s="54">
        <f>Данные!S619</f>
        <v>0</v>
      </c>
      <c r="T619" s="54">
        <f>Данные!T619</f>
        <v>0</v>
      </c>
      <c r="U619" s="54">
        <f>Данные!U619</f>
        <v>0</v>
      </c>
      <c r="V619" s="54">
        <f>Данные!V619</f>
        <v>0</v>
      </c>
      <c r="W619" s="54">
        <f ca="1">Данные!W619</f>
        <v>8</v>
      </c>
      <c r="X619" s="54" t="str">
        <f ca="1">Данные!X619</f>
        <v>1</v>
      </c>
      <c r="Y619" s="54" t="str">
        <f ca="1">Данные!Y619</f>
        <v>1</v>
      </c>
      <c r="Z619" s="54">
        <f>Данные!Z619</f>
        <v>0</v>
      </c>
      <c r="AA619" s="54" t="str">
        <f>Данные!AA619</f>
        <v>осн</v>
      </c>
      <c r="AB619" s="101">
        <f t="shared" si="85"/>
        <v>750</v>
      </c>
      <c r="AC619" s="101" t="str">
        <f t="shared" si="86"/>
        <v/>
      </c>
      <c r="AD619" s="101" t="str">
        <f t="shared" si="87"/>
        <v/>
      </c>
      <c r="AE619" s="102">
        <f t="shared" ca="1" si="88"/>
        <v>19.64</v>
      </c>
      <c r="AF619" s="103">
        <f t="shared" ca="1" si="89"/>
        <v>2.6186666666666667E-2</v>
      </c>
      <c r="AG619" s="101"/>
      <c r="AH619" s="101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Q619" s="72">
        <v>0</v>
      </c>
      <c r="BR619" s="72">
        <v>0</v>
      </c>
      <c r="BS619" s="72">
        <v>0</v>
      </c>
      <c r="BT619" s="72">
        <v>0</v>
      </c>
      <c r="BU619" s="72">
        <v>0</v>
      </c>
      <c r="BV619" s="72">
        <v>0</v>
      </c>
      <c r="BW619" s="72">
        <v>0</v>
      </c>
      <c r="BX619" s="72">
        <v>0</v>
      </c>
      <c r="BY619" s="72">
        <v>0</v>
      </c>
      <c r="BZ619" s="72">
        <v>0</v>
      </c>
      <c r="CA619" s="72">
        <v>0</v>
      </c>
      <c r="CB619" s="72">
        <v>0</v>
      </c>
      <c r="CC619" s="72">
        <v>0</v>
      </c>
      <c r="CD619" s="72">
        <v>0</v>
      </c>
      <c r="CE619" s="72">
        <v>0</v>
      </c>
      <c r="CF619" s="72">
        <v>0</v>
      </c>
      <c r="CG619" s="72">
        <v>0</v>
      </c>
      <c r="CH619" s="72">
        <v>0</v>
      </c>
      <c r="CI619" s="72">
        <v>0</v>
      </c>
      <c r="CJ619" s="72">
        <v>0</v>
      </c>
      <c r="CK619" s="72">
        <v>0</v>
      </c>
      <c r="CL619" s="72">
        <v>0</v>
      </c>
      <c r="CM619" s="72">
        <v>0</v>
      </c>
      <c r="CN619" s="72">
        <v>0</v>
      </c>
      <c r="CO619" s="72">
        <v>0</v>
      </c>
      <c r="CP619" s="72">
        <v>0</v>
      </c>
      <c r="CQ619" s="72">
        <v>0</v>
      </c>
      <c r="CR619" s="72">
        <v>0</v>
      </c>
      <c r="CS619" s="72">
        <v>0</v>
      </c>
      <c r="CT619" s="72">
        <v>0</v>
      </c>
      <c r="CU619" s="72">
        <v>0</v>
      </c>
      <c r="CV619" s="72">
        <v>0</v>
      </c>
      <c r="CW619" s="72">
        <v>0</v>
      </c>
      <c r="CX619" s="72">
        <v>0</v>
      </c>
      <c r="CY619" s="72">
        <v>0</v>
      </c>
      <c r="CZ619" s="72">
        <v>0</v>
      </c>
      <c r="DA619" s="72">
        <v>0</v>
      </c>
      <c r="DB619" s="72">
        <v>0</v>
      </c>
      <c r="DC619" s="72">
        <v>0</v>
      </c>
      <c r="DD619" s="72">
        <v>0</v>
      </c>
      <c r="DE619" s="72">
        <v>0</v>
      </c>
      <c r="DF619" s="72">
        <v>0</v>
      </c>
      <c r="DG619" s="72">
        <v>0</v>
      </c>
      <c r="DH619" s="72">
        <v>0</v>
      </c>
      <c r="DI619" s="72">
        <v>0</v>
      </c>
      <c r="DJ619" s="72">
        <v>0</v>
      </c>
      <c r="DK619" s="72">
        <v>0</v>
      </c>
      <c r="DL619" s="72">
        <v>0</v>
      </c>
      <c r="DM619" s="72">
        <v>0</v>
      </c>
      <c r="DN619" s="72">
        <v>0</v>
      </c>
      <c r="DO619" s="72">
        <v>0</v>
      </c>
      <c r="DP619" s="72">
        <v>0</v>
      </c>
      <c r="DQ619" s="72">
        <v>0</v>
      </c>
      <c r="DR619" s="72">
        <v>0</v>
      </c>
      <c r="DS619" s="72">
        <v>0</v>
      </c>
      <c r="DT619" s="72">
        <v>0</v>
      </c>
      <c r="DU619" s="72">
        <v>0</v>
      </c>
      <c r="DV619" s="72">
        <v>0</v>
      </c>
      <c r="DW619" s="72">
        <v>0</v>
      </c>
      <c r="DX619" s="72">
        <v>0</v>
      </c>
      <c r="DY619" s="72">
        <v>0</v>
      </c>
      <c r="DZ619" s="72">
        <v>0</v>
      </c>
      <c r="EA619" s="72">
        <v>0</v>
      </c>
      <c r="EB619" s="72">
        <v>0</v>
      </c>
      <c r="EC619" s="72">
        <v>0</v>
      </c>
      <c r="ED619" s="72">
        <v>0</v>
      </c>
      <c r="EE619" s="72">
        <v>0</v>
      </c>
      <c r="EF619" s="72">
        <v>0</v>
      </c>
      <c r="EG619" s="72">
        <v>0</v>
      </c>
      <c r="EH619" s="72">
        <v>0</v>
      </c>
      <c r="EI619" s="72">
        <v>0</v>
      </c>
      <c r="EJ619" s="72">
        <v>0</v>
      </c>
      <c r="EK619" s="72">
        <v>0</v>
      </c>
      <c r="EL619" s="72">
        <v>0</v>
      </c>
    </row>
    <row r="620" spans="1:142" x14ac:dyDescent="0.35">
      <c r="A620" s="59">
        <f>Данные!A620</f>
        <v>5933</v>
      </c>
      <c r="B620" s="59">
        <f>Данные!B620</f>
        <v>2018</v>
      </c>
      <c r="C620" s="59" t="str">
        <f>Данные!C620</f>
        <v>компьютерных технологий и электронного обучения</v>
      </c>
      <c r="D620" s="59" t="str">
        <f>Данные!D620</f>
        <v>Готская Ирина Борисовна</v>
      </c>
      <c r="E620" s="59" t="str">
        <f>Данные!E620</f>
        <v>доктор педагогических наук</v>
      </c>
      <c r="F620" s="59" t="str">
        <f>Данные!F620</f>
        <v>профессор</v>
      </c>
      <c r="G620" s="59">
        <f>Данные!G620</f>
        <v>0.75</v>
      </c>
      <c r="H620" s="59">
        <f>Данные!H620</f>
        <v>17241</v>
      </c>
      <c r="I620" s="59" t="str">
        <f>Данные!I620</f>
        <v>Модуль "Технологический". Информационное обеспечение производственных процессов</v>
      </c>
      <c r="J620" s="59">
        <f>Данные!J620</f>
        <v>4</v>
      </c>
      <c r="K620" s="59">
        <f>Данные!K620</f>
        <v>12</v>
      </c>
      <c r="L620" s="59">
        <f>Данные!L620</f>
        <v>0</v>
      </c>
      <c r="M620" s="60">
        <f t="shared" si="81"/>
        <v>1.6</v>
      </c>
      <c r="N620" s="60">
        <f t="shared" ca="1" si="82"/>
        <v>4.6400000000000006</v>
      </c>
      <c r="O620" s="60">
        <f t="shared" ca="1" si="83"/>
        <v>2</v>
      </c>
      <c r="P620" s="60">
        <f t="shared" ca="1" si="84"/>
        <v>2</v>
      </c>
      <c r="Q620" s="54">
        <f>Данные!Q620</f>
        <v>0</v>
      </c>
      <c r="R620" s="54">
        <f>Данные!R620</f>
        <v>0</v>
      </c>
      <c r="S620" s="54">
        <f>Данные!S620</f>
        <v>0</v>
      </c>
      <c r="T620" s="54">
        <f>Данные!T620</f>
        <v>0</v>
      </c>
      <c r="U620" s="54">
        <f>Данные!U620</f>
        <v>0</v>
      </c>
      <c r="V620" s="54">
        <f>Данные!V620</f>
        <v>0</v>
      </c>
      <c r="W620" s="54">
        <f ca="1">Данные!W620</f>
        <v>8</v>
      </c>
      <c r="X620" s="54" t="str">
        <f ca="1">Данные!X620</f>
        <v>1</v>
      </c>
      <c r="Y620" s="54" t="str">
        <f ca="1">Данные!Y620</f>
        <v>1</v>
      </c>
      <c r="Z620" s="54">
        <f>Данные!Z620</f>
        <v>0</v>
      </c>
      <c r="AA620" s="54" t="str">
        <f>Данные!AA620</f>
        <v>осн</v>
      </c>
      <c r="AB620" s="101">
        <f t="shared" si="85"/>
        <v>750</v>
      </c>
      <c r="AC620" s="101" t="str">
        <f t="shared" si="86"/>
        <v/>
      </c>
      <c r="AD620" s="101" t="str">
        <f t="shared" si="87"/>
        <v/>
      </c>
      <c r="AE620" s="102">
        <f t="shared" ca="1" si="88"/>
        <v>26.240000000000002</v>
      </c>
      <c r="AF620" s="103">
        <f t="shared" ca="1" si="89"/>
        <v>3.4986666666666666E-2</v>
      </c>
      <c r="AG620" s="101"/>
      <c r="AH620" s="101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Q620" s="72">
        <v>0</v>
      </c>
      <c r="BR620" s="72">
        <v>0</v>
      </c>
      <c r="BS620" s="72">
        <v>0</v>
      </c>
      <c r="BT620" s="72">
        <v>0</v>
      </c>
      <c r="BU620" s="72">
        <v>0</v>
      </c>
      <c r="BV620" s="72">
        <v>0</v>
      </c>
      <c r="BW620" s="72">
        <v>0</v>
      </c>
      <c r="BX620" s="72">
        <v>0</v>
      </c>
      <c r="BY620" s="72">
        <v>0</v>
      </c>
      <c r="BZ620" s="72">
        <v>0</v>
      </c>
      <c r="CA620" s="72">
        <v>0</v>
      </c>
      <c r="CB620" s="72">
        <v>0</v>
      </c>
      <c r="CC620" s="72">
        <v>0</v>
      </c>
      <c r="CD620" s="72">
        <v>0</v>
      </c>
      <c r="CE620" s="72">
        <v>0</v>
      </c>
      <c r="CF620" s="72">
        <v>0</v>
      </c>
      <c r="CG620" s="72">
        <v>0</v>
      </c>
      <c r="CH620" s="72">
        <v>0</v>
      </c>
      <c r="CI620" s="72">
        <v>0</v>
      </c>
      <c r="CJ620" s="72">
        <v>0</v>
      </c>
      <c r="CK620" s="72">
        <v>0</v>
      </c>
      <c r="CL620" s="72">
        <v>0</v>
      </c>
      <c r="CM620" s="72">
        <v>0</v>
      </c>
      <c r="CN620" s="72">
        <v>0</v>
      </c>
      <c r="CO620" s="72">
        <v>0</v>
      </c>
      <c r="CP620" s="72">
        <v>0</v>
      </c>
      <c r="CQ620" s="72">
        <v>0</v>
      </c>
      <c r="CR620" s="72">
        <v>0</v>
      </c>
      <c r="CS620" s="72">
        <v>0</v>
      </c>
      <c r="CT620" s="72">
        <v>0</v>
      </c>
      <c r="CU620" s="72">
        <v>0</v>
      </c>
      <c r="CV620" s="72">
        <v>0</v>
      </c>
      <c r="CW620" s="72">
        <v>0</v>
      </c>
      <c r="CX620" s="72">
        <v>0</v>
      </c>
      <c r="CY620" s="72">
        <v>0</v>
      </c>
      <c r="CZ620" s="72">
        <v>0</v>
      </c>
      <c r="DA620" s="72">
        <v>0</v>
      </c>
      <c r="DB620" s="72">
        <v>0</v>
      </c>
      <c r="DC620" s="72">
        <v>0</v>
      </c>
      <c r="DD620" s="72">
        <v>0</v>
      </c>
      <c r="DE620" s="72">
        <v>0</v>
      </c>
      <c r="DF620" s="72">
        <v>0</v>
      </c>
      <c r="DG620" s="72">
        <v>0</v>
      </c>
      <c r="DH620" s="72">
        <v>0</v>
      </c>
      <c r="DI620" s="72">
        <v>0</v>
      </c>
      <c r="DJ620" s="72">
        <v>0</v>
      </c>
      <c r="DK620" s="72">
        <v>0</v>
      </c>
      <c r="DL620" s="72">
        <v>0</v>
      </c>
      <c r="DM620" s="72">
        <v>0</v>
      </c>
      <c r="DN620" s="72">
        <v>0</v>
      </c>
      <c r="DO620" s="72">
        <v>0</v>
      </c>
      <c r="DP620" s="72">
        <v>0</v>
      </c>
      <c r="DQ620" s="72">
        <v>0</v>
      </c>
      <c r="DR620" s="72">
        <v>0</v>
      </c>
      <c r="DS620" s="72">
        <v>0</v>
      </c>
      <c r="DT620" s="72">
        <v>0</v>
      </c>
      <c r="DU620" s="72">
        <v>0</v>
      </c>
      <c r="DV620" s="72">
        <v>0</v>
      </c>
      <c r="DW620" s="72">
        <v>0</v>
      </c>
      <c r="DX620" s="72">
        <v>0</v>
      </c>
      <c r="DY620" s="72">
        <v>0</v>
      </c>
      <c r="DZ620" s="72">
        <v>0</v>
      </c>
      <c r="EA620" s="72">
        <v>0</v>
      </c>
      <c r="EB620" s="72">
        <v>0</v>
      </c>
      <c r="EC620" s="72">
        <v>0</v>
      </c>
      <c r="ED620" s="72">
        <v>0</v>
      </c>
      <c r="EE620" s="72">
        <v>0</v>
      </c>
      <c r="EF620" s="72">
        <v>0</v>
      </c>
      <c r="EG620" s="72">
        <v>0</v>
      </c>
      <c r="EH620" s="72">
        <v>0</v>
      </c>
      <c r="EI620" s="72">
        <v>0</v>
      </c>
      <c r="EJ620" s="72">
        <v>0</v>
      </c>
      <c r="EK620" s="72">
        <v>0</v>
      </c>
      <c r="EL620" s="72">
        <v>0</v>
      </c>
    </row>
    <row r="621" spans="1:142" x14ac:dyDescent="0.35">
      <c r="A621" s="59">
        <f>Данные!A621</f>
        <v>5761</v>
      </c>
      <c r="B621" s="59">
        <f>Данные!B621</f>
        <v>2018</v>
      </c>
      <c r="C621" s="59" t="str">
        <f>Данные!C621</f>
        <v>компьютерных технологий и электронного обучения</v>
      </c>
      <c r="D621" s="59" t="str">
        <f>Данные!D621</f>
        <v>Готская Ирина Борисовна</v>
      </c>
      <c r="E621" s="59" t="str">
        <f>Данные!E621</f>
        <v>доктор педагогических наук</v>
      </c>
      <c r="F621" s="59" t="str">
        <f>Данные!F621</f>
        <v>профессор</v>
      </c>
      <c r="G621" s="59">
        <f>Данные!G621</f>
        <v>0.75</v>
      </c>
      <c r="H621" s="59">
        <f>Данные!H621</f>
        <v>17247</v>
      </c>
      <c r="I621" s="59" t="str">
        <f>Данные!I621</f>
        <v>Подготовка к защите и защита выпускной квалификационной работы. Педагогическое образование. Магистерская программа "Информационные технологии в образовании"</v>
      </c>
      <c r="J621" s="59">
        <f>Данные!J621</f>
        <v>0</v>
      </c>
      <c r="K621" s="59">
        <f>Данные!K621</f>
        <v>0</v>
      </c>
      <c r="L621" s="59">
        <f>Данные!L621</f>
        <v>0</v>
      </c>
      <c r="M621" s="60">
        <f t="shared" si="81"/>
        <v>0</v>
      </c>
      <c r="N621" s="60">
        <f t="shared" ca="1" si="82"/>
        <v>6.62</v>
      </c>
      <c r="O621" s="60">
        <f t="shared" ca="1" si="83"/>
        <v>3.5</v>
      </c>
      <c r="P621" s="60">
        <f t="shared" ca="1" si="84"/>
        <v>3.5</v>
      </c>
      <c r="Q621" s="54">
        <f>Данные!Q621</f>
        <v>0</v>
      </c>
      <c r="R621" s="54">
        <f>Данные!R621</f>
        <v>0</v>
      </c>
      <c r="S621" s="54">
        <f>Данные!S621</f>
        <v>0</v>
      </c>
      <c r="T621" s="54">
        <f>Данные!T621</f>
        <v>0</v>
      </c>
      <c r="U621" s="54">
        <f>Данные!U621</f>
        <v>0</v>
      </c>
      <c r="V621" s="54">
        <f>Данные!V621</f>
        <v>8</v>
      </c>
      <c r="W621" s="54">
        <f ca="1">Данные!W621</f>
        <v>14</v>
      </c>
      <c r="X621" s="54" t="str">
        <f ca="1">Данные!X621</f>
        <v>1</v>
      </c>
      <c r="Y621" s="54" t="str">
        <f ca="1">Данные!Y621</f>
        <v>1</v>
      </c>
      <c r="Z621" s="54">
        <f>Данные!Z621</f>
        <v>0</v>
      </c>
      <c r="AA621" s="54" t="str">
        <f>Данные!AA621</f>
        <v>осн</v>
      </c>
      <c r="AB621" s="101">
        <f t="shared" si="85"/>
        <v>750</v>
      </c>
      <c r="AC621" s="101" t="str">
        <f t="shared" si="86"/>
        <v/>
      </c>
      <c r="AD621" s="101" t="str">
        <f t="shared" si="87"/>
        <v/>
      </c>
      <c r="AE621" s="102">
        <f t="shared" ca="1" si="88"/>
        <v>21.62</v>
      </c>
      <c r="AF621" s="103">
        <f t="shared" ca="1" si="89"/>
        <v>2.8826666666666667E-2</v>
      </c>
      <c r="AG621" s="101"/>
      <c r="AH621" s="10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Q621" s="72">
        <v>0</v>
      </c>
      <c r="BR621" s="72">
        <v>0</v>
      </c>
      <c r="BS621" s="72">
        <v>0</v>
      </c>
      <c r="BT621" s="72">
        <v>0</v>
      </c>
      <c r="BU621" s="72">
        <v>0</v>
      </c>
      <c r="BV621" s="72">
        <v>0</v>
      </c>
      <c r="BW621" s="72">
        <v>0</v>
      </c>
      <c r="BX621" s="72">
        <v>0</v>
      </c>
      <c r="BY621" s="72">
        <v>0</v>
      </c>
      <c r="BZ621" s="72">
        <v>0</v>
      </c>
      <c r="CA621" s="72">
        <v>0</v>
      </c>
      <c r="CB621" s="72">
        <v>0</v>
      </c>
      <c r="CC621" s="72">
        <v>0</v>
      </c>
      <c r="CD621" s="72">
        <v>0</v>
      </c>
      <c r="CE621" s="72">
        <v>0</v>
      </c>
      <c r="CF621" s="72">
        <v>0</v>
      </c>
      <c r="CG621" s="72">
        <v>0</v>
      </c>
      <c r="CH621" s="72">
        <v>0</v>
      </c>
      <c r="CI621" s="72">
        <v>0</v>
      </c>
      <c r="CJ621" s="72">
        <v>0</v>
      </c>
      <c r="CK621" s="72">
        <v>0</v>
      </c>
      <c r="CL621" s="72">
        <v>0</v>
      </c>
      <c r="CM621" s="72">
        <v>0</v>
      </c>
      <c r="CN621" s="72">
        <v>0</v>
      </c>
      <c r="CO621" s="72">
        <v>0</v>
      </c>
      <c r="CP621" s="72">
        <v>0</v>
      </c>
      <c r="CQ621" s="72">
        <v>0</v>
      </c>
      <c r="CR621" s="72">
        <v>0</v>
      </c>
      <c r="CS621" s="72">
        <v>0</v>
      </c>
      <c r="CT621" s="72">
        <v>0</v>
      </c>
      <c r="CU621" s="72">
        <v>0</v>
      </c>
      <c r="CV621" s="72">
        <v>0</v>
      </c>
      <c r="CW621" s="72">
        <v>0</v>
      </c>
      <c r="CX621" s="72">
        <v>0</v>
      </c>
      <c r="CY621" s="72">
        <v>0</v>
      </c>
      <c r="CZ621" s="72">
        <v>0</v>
      </c>
      <c r="DA621" s="72">
        <v>0</v>
      </c>
      <c r="DB621" s="72">
        <v>0</v>
      </c>
      <c r="DC621" s="72">
        <v>0</v>
      </c>
      <c r="DD621" s="72">
        <v>0</v>
      </c>
      <c r="DE621" s="72">
        <v>0</v>
      </c>
      <c r="DF621" s="72">
        <v>0</v>
      </c>
      <c r="DG621" s="72">
        <v>0</v>
      </c>
      <c r="DH621" s="72">
        <v>0</v>
      </c>
      <c r="DI621" s="72">
        <v>0</v>
      </c>
      <c r="DJ621" s="72">
        <v>0</v>
      </c>
      <c r="DK621" s="72">
        <v>0</v>
      </c>
      <c r="DL621" s="72">
        <v>0</v>
      </c>
      <c r="DM621" s="72">
        <v>0</v>
      </c>
      <c r="DN621" s="72">
        <v>0</v>
      </c>
      <c r="DO621" s="72">
        <v>0</v>
      </c>
      <c r="DP621" s="72">
        <v>0</v>
      </c>
      <c r="DQ621" s="72">
        <v>0</v>
      </c>
      <c r="DR621" s="72">
        <v>0</v>
      </c>
      <c r="DS621" s="72">
        <v>0</v>
      </c>
      <c r="DT621" s="72">
        <v>0</v>
      </c>
      <c r="DU621" s="72">
        <v>0</v>
      </c>
      <c r="DV621" s="72">
        <v>0</v>
      </c>
      <c r="DW621" s="72">
        <v>0</v>
      </c>
      <c r="DX621" s="72">
        <v>0</v>
      </c>
      <c r="DY621" s="72">
        <v>0</v>
      </c>
      <c r="DZ621" s="72">
        <v>0</v>
      </c>
      <c r="EA621" s="72">
        <v>0</v>
      </c>
      <c r="EB621" s="72">
        <v>0</v>
      </c>
      <c r="EC621" s="72">
        <v>0</v>
      </c>
      <c r="ED621" s="72">
        <v>0</v>
      </c>
      <c r="EE621" s="72">
        <v>0</v>
      </c>
      <c r="EF621" s="72">
        <v>0</v>
      </c>
      <c r="EG621" s="72">
        <v>0</v>
      </c>
      <c r="EH621" s="72">
        <v>0</v>
      </c>
      <c r="EI621" s="72">
        <v>0</v>
      </c>
      <c r="EJ621" s="72">
        <v>0</v>
      </c>
      <c r="EK621" s="72">
        <v>0</v>
      </c>
      <c r="EL621" s="72">
        <v>0</v>
      </c>
    </row>
    <row r="622" spans="1:142" x14ac:dyDescent="0.35">
      <c r="A622" s="59">
        <f>Данные!A622</f>
        <v>5761</v>
      </c>
      <c r="B622" s="59">
        <f>Данные!B622</f>
        <v>2018</v>
      </c>
      <c r="C622" s="59" t="str">
        <f>Данные!C622</f>
        <v>компьютерных технологий и электронного обучения</v>
      </c>
      <c r="D622" s="59" t="str">
        <f>Данные!D622</f>
        <v>Готская Ирина Борисовна</v>
      </c>
      <c r="E622" s="59" t="str">
        <f>Данные!E622</f>
        <v>доктор педагогических наук</v>
      </c>
      <c r="F622" s="59" t="str">
        <f>Данные!F622</f>
        <v>профессор</v>
      </c>
      <c r="G622" s="59">
        <f>Данные!G622</f>
        <v>0.75</v>
      </c>
      <c r="H622" s="59">
        <f>Данные!H622</f>
        <v>17247</v>
      </c>
      <c r="I622" s="59" t="str">
        <f>Данные!I622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"Информационные технологии в образовании"</v>
      </c>
      <c r="J622" s="59">
        <f>Данные!J622</f>
        <v>0</v>
      </c>
      <c r="K622" s="59">
        <f>Данные!K622</f>
        <v>0</v>
      </c>
      <c r="L622" s="59">
        <f>Данные!L622</f>
        <v>0</v>
      </c>
      <c r="M622" s="60">
        <f t="shared" si="81"/>
        <v>0</v>
      </c>
      <c r="N622" s="60">
        <f t="shared" ca="1" si="82"/>
        <v>6.62</v>
      </c>
      <c r="O622" s="60">
        <f t="shared" ca="1" si="83"/>
        <v>3.5</v>
      </c>
      <c r="P622" s="60">
        <f t="shared" ca="1" si="84"/>
        <v>3.5</v>
      </c>
      <c r="Q622" s="54">
        <f>Данные!Q622</f>
        <v>0</v>
      </c>
      <c r="R622" s="54">
        <f>Данные!R622</f>
        <v>0</v>
      </c>
      <c r="S622" s="54">
        <f>Данные!S622</f>
        <v>0</v>
      </c>
      <c r="T622" s="54">
        <f>Данные!T622</f>
        <v>0</v>
      </c>
      <c r="U622" s="54">
        <f>Данные!U622</f>
        <v>0</v>
      </c>
      <c r="V622" s="54">
        <f>Данные!V622</f>
        <v>8</v>
      </c>
      <c r="W622" s="54">
        <f ca="1">Данные!W622</f>
        <v>14</v>
      </c>
      <c r="X622" s="54" t="str">
        <f ca="1">Данные!X622</f>
        <v>1</v>
      </c>
      <c r="Y622" s="54" t="str">
        <f ca="1">Данные!Y622</f>
        <v>1</v>
      </c>
      <c r="Z622" s="54">
        <f>Данные!Z622</f>
        <v>0</v>
      </c>
      <c r="AA622" s="54" t="str">
        <f>Данные!AA622</f>
        <v>осн</v>
      </c>
      <c r="AB622" s="101">
        <f t="shared" si="85"/>
        <v>750</v>
      </c>
      <c r="AC622" s="101" t="str">
        <f t="shared" si="86"/>
        <v/>
      </c>
      <c r="AD622" s="101" t="str">
        <f t="shared" si="87"/>
        <v/>
      </c>
      <c r="AE622" s="102">
        <f t="shared" ca="1" si="88"/>
        <v>21.62</v>
      </c>
      <c r="AF622" s="103">
        <f t="shared" ca="1" si="89"/>
        <v>2.8826666666666667E-2</v>
      </c>
      <c r="AG622" s="101"/>
      <c r="AH622" s="101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Q622" s="72">
        <v>0</v>
      </c>
      <c r="BR622" s="72">
        <v>0</v>
      </c>
      <c r="BS622" s="72">
        <v>0</v>
      </c>
      <c r="BT622" s="72">
        <v>0</v>
      </c>
      <c r="BU622" s="72">
        <v>0</v>
      </c>
      <c r="BV622" s="72">
        <v>0</v>
      </c>
      <c r="BW622" s="72">
        <v>0</v>
      </c>
      <c r="BX622" s="72">
        <v>0</v>
      </c>
      <c r="BY622" s="72">
        <v>0</v>
      </c>
      <c r="BZ622" s="72">
        <v>0</v>
      </c>
      <c r="CA622" s="72">
        <v>0</v>
      </c>
      <c r="CB622" s="72">
        <v>0</v>
      </c>
      <c r="CC622" s="72">
        <v>0</v>
      </c>
      <c r="CD622" s="72">
        <v>0</v>
      </c>
      <c r="CE622" s="72">
        <v>0</v>
      </c>
      <c r="CF622" s="72">
        <v>0</v>
      </c>
      <c r="CG622" s="72">
        <v>0</v>
      </c>
      <c r="CH622" s="72">
        <v>0</v>
      </c>
      <c r="CI622" s="72">
        <v>0</v>
      </c>
      <c r="CJ622" s="72">
        <v>0</v>
      </c>
      <c r="CK622" s="72">
        <v>0</v>
      </c>
      <c r="CL622" s="72">
        <v>0</v>
      </c>
      <c r="CM622" s="72">
        <v>0</v>
      </c>
      <c r="CN622" s="72">
        <v>0</v>
      </c>
      <c r="CO622" s="72">
        <v>0</v>
      </c>
      <c r="CP622" s="72">
        <v>0</v>
      </c>
      <c r="CQ622" s="72">
        <v>0</v>
      </c>
      <c r="CR622" s="72">
        <v>0</v>
      </c>
      <c r="CS622" s="72">
        <v>0</v>
      </c>
      <c r="CT622" s="72">
        <v>0</v>
      </c>
      <c r="CU622" s="72">
        <v>0</v>
      </c>
      <c r="CV622" s="72">
        <v>0</v>
      </c>
      <c r="CW622" s="72">
        <v>0</v>
      </c>
      <c r="CX622" s="72">
        <v>0</v>
      </c>
      <c r="CY622" s="72">
        <v>0</v>
      </c>
      <c r="CZ622" s="72">
        <v>0</v>
      </c>
      <c r="DA622" s="72">
        <v>0</v>
      </c>
      <c r="DB622" s="72">
        <v>0</v>
      </c>
      <c r="DC622" s="72">
        <v>0</v>
      </c>
      <c r="DD622" s="72">
        <v>0</v>
      </c>
      <c r="DE622" s="72">
        <v>0</v>
      </c>
      <c r="DF622" s="72">
        <v>0</v>
      </c>
      <c r="DG622" s="72">
        <v>0</v>
      </c>
      <c r="DH622" s="72">
        <v>0</v>
      </c>
      <c r="DI622" s="72">
        <v>0</v>
      </c>
      <c r="DJ622" s="72">
        <v>0</v>
      </c>
      <c r="DK622" s="72">
        <v>0</v>
      </c>
      <c r="DL622" s="72">
        <v>0</v>
      </c>
      <c r="DM622" s="72">
        <v>0</v>
      </c>
      <c r="DN622" s="72">
        <v>0</v>
      </c>
      <c r="DO622" s="72">
        <v>0</v>
      </c>
      <c r="DP622" s="72">
        <v>0</v>
      </c>
      <c r="DQ622" s="72">
        <v>0</v>
      </c>
      <c r="DR622" s="72">
        <v>0</v>
      </c>
      <c r="DS622" s="72">
        <v>0</v>
      </c>
      <c r="DT622" s="72">
        <v>0</v>
      </c>
      <c r="DU622" s="72">
        <v>0</v>
      </c>
      <c r="DV622" s="72">
        <v>0</v>
      </c>
      <c r="DW622" s="72">
        <v>0</v>
      </c>
      <c r="DX622" s="72">
        <v>0</v>
      </c>
      <c r="DY622" s="72">
        <v>0</v>
      </c>
      <c r="DZ622" s="72">
        <v>0</v>
      </c>
      <c r="EA622" s="72">
        <v>0</v>
      </c>
      <c r="EB622" s="72">
        <v>0</v>
      </c>
      <c r="EC622" s="72">
        <v>0</v>
      </c>
      <c r="ED622" s="72">
        <v>0</v>
      </c>
      <c r="EE622" s="72">
        <v>0</v>
      </c>
      <c r="EF622" s="72">
        <v>0</v>
      </c>
      <c r="EG622" s="72">
        <v>0</v>
      </c>
      <c r="EH622" s="72">
        <v>0</v>
      </c>
      <c r="EI622" s="72">
        <v>0</v>
      </c>
      <c r="EJ622" s="72">
        <v>0</v>
      </c>
      <c r="EK622" s="72">
        <v>0</v>
      </c>
      <c r="EL622" s="72">
        <v>0</v>
      </c>
    </row>
    <row r="623" spans="1:142" x14ac:dyDescent="0.35">
      <c r="A623" s="59">
        <f>Данные!A623</f>
        <v>5762</v>
      </c>
      <c r="B623" s="59">
        <f>Данные!B623</f>
        <v>2017</v>
      </c>
      <c r="C623" s="59" t="str">
        <f>Данные!C623</f>
        <v>компьютерных технологий и электронного обучения</v>
      </c>
      <c r="D623" s="59" t="str">
        <f>Данные!D623</f>
        <v>Авксентьева Елена Юрьевна</v>
      </c>
      <c r="E623" s="59" t="str">
        <f>Данные!E623</f>
        <v>кандидат педагогических наук</v>
      </c>
      <c r="F623" s="59" t="str">
        <f>Данные!F623</f>
        <v>доцент</v>
      </c>
      <c r="G623" s="59">
        <f>Данные!G623</f>
        <v>1</v>
      </c>
      <c r="H623" s="59">
        <f>Данные!H623</f>
        <v>16595</v>
      </c>
      <c r="I623" s="59" t="str">
        <f>Данные!I623</f>
        <v>Научно-исследовательская работа. Педагогическое образование. Магистерская программа "Корпоративное электронное обучение"</v>
      </c>
      <c r="J623" s="59">
        <f>Данные!J623</f>
        <v>0</v>
      </c>
      <c r="K623" s="59">
        <f>Данные!K623</f>
        <v>0</v>
      </c>
      <c r="L623" s="59">
        <f>Данные!L623</f>
        <v>0</v>
      </c>
      <c r="M623" s="60">
        <f t="shared" si="81"/>
        <v>0</v>
      </c>
      <c r="N623" s="60">
        <f t="shared" ca="1" si="82"/>
        <v>5.3000000000000007</v>
      </c>
      <c r="O623" s="60">
        <f t="shared" ca="1" si="83"/>
        <v>2.5</v>
      </c>
      <c r="P623" s="60">
        <f t="shared" ca="1" si="84"/>
        <v>2.5</v>
      </c>
      <c r="Q623" s="54">
        <f>Данные!Q623</f>
        <v>0</v>
      </c>
      <c r="R623" s="54">
        <f>Данные!R623</f>
        <v>0</v>
      </c>
      <c r="S623" s="54">
        <f>Данные!S623</f>
        <v>0</v>
      </c>
      <c r="T623" s="54">
        <f>Данные!T623</f>
        <v>0</v>
      </c>
      <c r="U623" s="54">
        <f>Данные!U623</f>
        <v>7</v>
      </c>
      <c r="V623" s="54">
        <f>Данные!V623</f>
        <v>0</v>
      </c>
      <c r="W623" s="54">
        <f ca="1">Данные!W623</f>
        <v>10</v>
      </c>
      <c r="X623" s="54" t="str">
        <f ca="1">Данные!X623</f>
        <v>1</v>
      </c>
      <c r="Y623" s="54" t="str">
        <f ca="1">Данные!Y623</f>
        <v>1</v>
      </c>
      <c r="Z623" s="54">
        <f>Данные!Z623</f>
        <v>0</v>
      </c>
      <c r="AA623" s="54" t="str">
        <f>Данные!AA623</f>
        <v>осн</v>
      </c>
      <c r="AB623" s="101">
        <f t="shared" si="85"/>
        <v>800</v>
      </c>
      <c r="AC623" s="101" t="str">
        <f t="shared" si="86"/>
        <v>КЭО (маг)</v>
      </c>
      <c r="AD623" s="101" t="str">
        <f t="shared" si="87"/>
        <v/>
      </c>
      <c r="AE623" s="102">
        <f t="shared" ca="1" si="88"/>
        <v>17.3</v>
      </c>
      <c r="AF623" s="103">
        <f t="shared" ca="1" si="89"/>
        <v>2.1625000000000002E-2</v>
      </c>
      <c r="AG623" s="101"/>
      <c r="AH623" s="101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Q623" s="72">
        <v>0</v>
      </c>
      <c r="BR623" s="72">
        <v>0</v>
      </c>
      <c r="BS623" s="72">
        <v>0</v>
      </c>
      <c r="BT623" s="72">
        <v>0</v>
      </c>
      <c r="BU623" s="72">
        <v>0</v>
      </c>
      <c r="BV623" s="72">
        <v>0</v>
      </c>
      <c r="BW623" s="72">
        <v>0</v>
      </c>
      <c r="BX623" s="72">
        <v>0</v>
      </c>
      <c r="BY623" s="72">
        <v>0</v>
      </c>
      <c r="BZ623" s="72">
        <v>0</v>
      </c>
      <c r="CA623" s="72">
        <v>0</v>
      </c>
      <c r="CB623" s="72">
        <v>0</v>
      </c>
      <c r="CC623" s="72">
        <v>0</v>
      </c>
      <c r="CD623" s="72">
        <v>0</v>
      </c>
      <c r="CE623" s="72">
        <v>0</v>
      </c>
      <c r="CF623" s="72">
        <v>0</v>
      </c>
      <c r="CG623" s="72">
        <v>0</v>
      </c>
      <c r="CH623" s="72">
        <v>0</v>
      </c>
      <c r="CI623" s="72">
        <v>0</v>
      </c>
      <c r="CJ623" s="72">
        <v>0</v>
      </c>
      <c r="CK623" s="72">
        <v>0</v>
      </c>
      <c r="CL623" s="72">
        <v>0</v>
      </c>
      <c r="CM623" s="72">
        <v>0</v>
      </c>
      <c r="CN623" s="72">
        <v>0</v>
      </c>
      <c r="CO623" s="72">
        <v>0</v>
      </c>
      <c r="CP623" s="72">
        <v>0</v>
      </c>
      <c r="CQ623" s="72">
        <v>0</v>
      </c>
      <c r="CR623" s="72">
        <v>0</v>
      </c>
      <c r="CS623" s="72">
        <v>0</v>
      </c>
      <c r="CT623" s="72">
        <v>0</v>
      </c>
      <c r="CU623" s="72">
        <v>0</v>
      </c>
      <c r="CV623" s="72">
        <v>0</v>
      </c>
      <c r="CW623" s="72">
        <v>0</v>
      </c>
      <c r="CX623" s="72">
        <v>0</v>
      </c>
      <c r="CY623" s="72">
        <v>0</v>
      </c>
      <c r="CZ623" s="72">
        <v>0</v>
      </c>
      <c r="DA623" s="72">
        <v>0</v>
      </c>
      <c r="DB623" s="72">
        <v>0</v>
      </c>
      <c r="DC623" s="72">
        <v>0</v>
      </c>
      <c r="DD623" s="72">
        <v>0</v>
      </c>
      <c r="DE623" s="72">
        <v>0</v>
      </c>
      <c r="DF623" s="72">
        <v>0</v>
      </c>
      <c r="DG623" s="72">
        <v>0</v>
      </c>
      <c r="DH623" s="72">
        <v>0</v>
      </c>
      <c r="DI623" s="72">
        <v>0</v>
      </c>
      <c r="DJ623" s="72">
        <v>0</v>
      </c>
      <c r="DK623" s="72">
        <v>0</v>
      </c>
      <c r="DL623" s="72">
        <v>0</v>
      </c>
      <c r="DM623" s="72">
        <v>0</v>
      </c>
      <c r="DN623" s="72">
        <v>0</v>
      </c>
      <c r="DO623" s="72">
        <v>0</v>
      </c>
      <c r="DP623" s="72">
        <v>0</v>
      </c>
      <c r="DQ623" s="72">
        <v>0</v>
      </c>
      <c r="DR623" s="72">
        <v>0</v>
      </c>
      <c r="DS623" s="72">
        <v>0</v>
      </c>
      <c r="DT623" s="72">
        <v>0</v>
      </c>
      <c r="DU623" s="72">
        <v>0</v>
      </c>
      <c r="DV623" s="72">
        <v>0</v>
      </c>
      <c r="DW623" s="72">
        <v>0</v>
      </c>
      <c r="DX623" s="72">
        <v>0</v>
      </c>
      <c r="DY623" s="72">
        <v>0</v>
      </c>
      <c r="DZ623" s="72">
        <v>0</v>
      </c>
      <c r="EA623" s="72">
        <v>0</v>
      </c>
      <c r="EB623" s="72">
        <v>0</v>
      </c>
      <c r="EC623" s="72">
        <v>0</v>
      </c>
      <c r="ED623" s="72">
        <v>0</v>
      </c>
      <c r="EE623" s="72">
        <v>0</v>
      </c>
      <c r="EF623" s="72">
        <v>0</v>
      </c>
      <c r="EG623" s="72">
        <v>0</v>
      </c>
      <c r="EH623" s="72">
        <v>0</v>
      </c>
      <c r="EI623" s="72">
        <v>0</v>
      </c>
      <c r="EJ623" s="72">
        <v>0</v>
      </c>
      <c r="EK623" s="72">
        <v>0</v>
      </c>
      <c r="EL623" s="72">
        <v>0</v>
      </c>
    </row>
    <row r="624" spans="1:142" x14ac:dyDescent="0.35">
      <c r="A624" s="59">
        <f>Данные!A624</f>
        <v>5762</v>
      </c>
      <c r="B624" s="59">
        <f>Данные!B624</f>
        <v>2017</v>
      </c>
      <c r="C624" s="59" t="str">
        <f>Данные!C624</f>
        <v>компьютерных технологий и электронного обучения</v>
      </c>
      <c r="D624" s="59" t="str">
        <f>Данные!D624</f>
        <v>Авксентьева Елена Юрьевна</v>
      </c>
      <c r="E624" s="59" t="str">
        <f>Данные!E624</f>
        <v>кандидат педагогических наук</v>
      </c>
      <c r="F624" s="59" t="str">
        <f>Данные!F624</f>
        <v>доцент</v>
      </c>
      <c r="G624" s="59">
        <f>Данные!G624</f>
        <v>1</v>
      </c>
      <c r="H624" s="59">
        <f>Данные!H624</f>
        <v>16595</v>
      </c>
      <c r="I624" s="59" t="str">
        <f>Данные!I624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24" s="59">
        <f>Данные!J624</f>
        <v>0</v>
      </c>
      <c r="K624" s="59">
        <f>Данные!K624</f>
        <v>0</v>
      </c>
      <c r="L624" s="59">
        <f>Данные!L624</f>
        <v>0</v>
      </c>
      <c r="M624" s="60">
        <f t="shared" si="81"/>
        <v>0</v>
      </c>
      <c r="N624" s="60">
        <f t="shared" ca="1" si="82"/>
        <v>5.3000000000000007</v>
      </c>
      <c r="O624" s="60">
        <f t="shared" ca="1" si="83"/>
        <v>2.5</v>
      </c>
      <c r="P624" s="60">
        <f t="shared" ca="1" si="84"/>
        <v>2.5</v>
      </c>
      <c r="Q624" s="54">
        <f>Данные!Q624</f>
        <v>0</v>
      </c>
      <c r="R624" s="54">
        <f>Данные!R624</f>
        <v>0</v>
      </c>
      <c r="S624" s="54">
        <f>Данные!S624</f>
        <v>0</v>
      </c>
      <c r="T624" s="54">
        <f>Данные!T624</f>
        <v>0</v>
      </c>
      <c r="U624" s="54">
        <f>Данные!U624</f>
        <v>2</v>
      </c>
      <c r="V624" s="54">
        <f>Данные!V624</f>
        <v>0</v>
      </c>
      <c r="W624" s="54">
        <f ca="1">Данные!W624</f>
        <v>10</v>
      </c>
      <c r="X624" s="54" t="str">
        <f ca="1">Данные!X624</f>
        <v>1</v>
      </c>
      <c r="Y624" s="54" t="str">
        <f ca="1">Данные!Y624</f>
        <v>1</v>
      </c>
      <c r="Z624" s="54">
        <f>Данные!Z624</f>
        <v>0</v>
      </c>
      <c r="AA624" s="54" t="str">
        <f>Данные!AA624</f>
        <v>доп</v>
      </c>
      <c r="AB624" s="101">
        <f t="shared" si="85"/>
        <v>800</v>
      </c>
      <c r="AC624" s="101" t="str">
        <f t="shared" si="86"/>
        <v>КЭО (маг)</v>
      </c>
      <c r="AD624" s="101" t="str">
        <f t="shared" si="87"/>
        <v/>
      </c>
      <c r="AE624" s="102">
        <f t="shared" ca="1" si="88"/>
        <v>12.3</v>
      </c>
      <c r="AF624" s="103">
        <f t="shared" ca="1" si="89"/>
        <v>1.5375000000000002E-2</v>
      </c>
      <c r="AG624" s="101"/>
      <c r="AH624" s="101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Q624" s="72">
        <v>0</v>
      </c>
      <c r="BR624" s="72">
        <v>0</v>
      </c>
      <c r="BS624" s="72">
        <v>0</v>
      </c>
      <c r="BT624" s="72">
        <v>0</v>
      </c>
      <c r="BU624" s="72">
        <v>0</v>
      </c>
      <c r="BV624" s="72">
        <v>0</v>
      </c>
      <c r="BW624" s="72">
        <v>0</v>
      </c>
      <c r="BX624" s="72">
        <v>0</v>
      </c>
      <c r="BY624" s="72">
        <v>0</v>
      </c>
      <c r="BZ624" s="72">
        <v>0</v>
      </c>
      <c r="CA624" s="72">
        <v>0</v>
      </c>
      <c r="CB624" s="72">
        <v>0</v>
      </c>
      <c r="CC624" s="72">
        <v>0</v>
      </c>
      <c r="CD624" s="72">
        <v>0</v>
      </c>
      <c r="CE624" s="72">
        <v>0</v>
      </c>
      <c r="CF624" s="72">
        <v>0</v>
      </c>
      <c r="CG624" s="72">
        <v>0</v>
      </c>
      <c r="CH624" s="72">
        <v>0</v>
      </c>
      <c r="CI624" s="72">
        <v>0</v>
      </c>
      <c r="CJ624" s="72">
        <v>0</v>
      </c>
      <c r="CK624" s="72">
        <v>0</v>
      </c>
      <c r="CL624" s="72">
        <v>0</v>
      </c>
      <c r="CM624" s="72">
        <v>0</v>
      </c>
      <c r="CN624" s="72">
        <v>0</v>
      </c>
      <c r="CO624" s="72">
        <v>0</v>
      </c>
      <c r="CP624" s="72">
        <v>0</v>
      </c>
      <c r="CQ624" s="72">
        <v>0</v>
      </c>
      <c r="CR624" s="72">
        <v>0</v>
      </c>
      <c r="CS624" s="72">
        <v>0</v>
      </c>
      <c r="CT624" s="72">
        <v>0</v>
      </c>
      <c r="CU624" s="72">
        <v>0</v>
      </c>
      <c r="CV624" s="72">
        <v>0</v>
      </c>
      <c r="CW624" s="72">
        <v>0</v>
      </c>
      <c r="CX624" s="72">
        <v>0</v>
      </c>
      <c r="CY624" s="72">
        <v>0</v>
      </c>
      <c r="CZ624" s="72">
        <v>0</v>
      </c>
      <c r="DA624" s="72">
        <v>0</v>
      </c>
      <c r="DB624" s="72">
        <v>0</v>
      </c>
      <c r="DC624" s="72">
        <v>0</v>
      </c>
      <c r="DD624" s="72">
        <v>0</v>
      </c>
      <c r="DE624" s="72">
        <v>0</v>
      </c>
      <c r="DF624" s="72">
        <v>0</v>
      </c>
      <c r="DG624" s="72">
        <v>0</v>
      </c>
      <c r="DH624" s="72">
        <v>0</v>
      </c>
      <c r="DI624" s="72">
        <v>0</v>
      </c>
      <c r="DJ624" s="72">
        <v>0</v>
      </c>
      <c r="DK624" s="72">
        <v>0</v>
      </c>
      <c r="DL624" s="72">
        <v>0</v>
      </c>
      <c r="DM624" s="72">
        <v>0</v>
      </c>
      <c r="DN624" s="72">
        <v>0</v>
      </c>
      <c r="DO624" s="72">
        <v>0</v>
      </c>
      <c r="DP624" s="72">
        <v>0</v>
      </c>
      <c r="DQ624" s="72">
        <v>0</v>
      </c>
      <c r="DR624" s="72">
        <v>0</v>
      </c>
      <c r="DS624" s="72">
        <v>0</v>
      </c>
      <c r="DT624" s="72">
        <v>0</v>
      </c>
      <c r="DU624" s="72">
        <v>0</v>
      </c>
      <c r="DV624" s="72">
        <v>0</v>
      </c>
      <c r="DW624" s="72">
        <v>0</v>
      </c>
      <c r="DX624" s="72">
        <v>0</v>
      </c>
      <c r="DY624" s="72">
        <v>0</v>
      </c>
      <c r="DZ624" s="72">
        <v>0</v>
      </c>
      <c r="EA624" s="72">
        <v>0</v>
      </c>
      <c r="EB624" s="72">
        <v>0</v>
      </c>
      <c r="EC624" s="72">
        <v>0</v>
      </c>
      <c r="ED624" s="72">
        <v>0</v>
      </c>
      <c r="EE624" s="72">
        <v>0</v>
      </c>
      <c r="EF624" s="72">
        <v>0</v>
      </c>
      <c r="EG624" s="72">
        <v>0</v>
      </c>
      <c r="EH624" s="72">
        <v>0</v>
      </c>
      <c r="EI624" s="72">
        <v>0</v>
      </c>
      <c r="EJ624" s="72">
        <v>0</v>
      </c>
      <c r="EK624" s="72">
        <v>0</v>
      </c>
      <c r="EL624" s="72">
        <v>0</v>
      </c>
    </row>
    <row r="625" spans="1:142" x14ac:dyDescent="0.35">
      <c r="A625" s="59">
        <f>Данные!A625</f>
        <v>5762</v>
      </c>
      <c r="B625" s="59">
        <f>Данные!B625</f>
        <v>2017</v>
      </c>
      <c r="C625" s="59" t="str">
        <f>Данные!C625</f>
        <v>компьютерных технологий и электронного обучения</v>
      </c>
      <c r="D625" s="59" t="str">
        <f>Данные!D625</f>
        <v>Авксентьева Елена Юрьевна</v>
      </c>
      <c r="E625" s="59" t="str">
        <f>Данные!E625</f>
        <v>кандидат педагогических наук</v>
      </c>
      <c r="F625" s="59" t="str">
        <f>Данные!F625</f>
        <v>доцент</v>
      </c>
      <c r="G625" s="59">
        <f>Данные!G625</f>
        <v>1</v>
      </c>
      <c r="H625" s="59">
        <f>Данные!H625</f>
        <v>16595</v>
      </c>
      <c r="I625" s="59" t="str">
        <f>Данные!I625</f>
        <v>Руководство ВКР (магистерская диссертация)</v>
      </c>
      <c r="J625" s="59">
        <f>Данные!J625</f>
        <v>0</v>
      </c>
      <c r="K625" s="59">
        <f>Данные!K625</f>
        <v>0</v>
      </c>
      <c r="L625" s="59">
        <f>Данные!L625</f>
        <v>0</v>
      </c>
      <c r="M625" s="60">
        <f t="shared" si="81"/>
        <v>0</v>
      </c>
      <c r="N625" s="60">
        <f t="shared" ca="1" si="82"/>
        <v>5.3000000000000007</v>
      </c>
      <c r="O625" s="60">
        <f t="shared" ca="1" si="83"/>
        <v>2.5</v>
      </c>
      <c r="P625" s="60">
        <f t="shared" ca="1" si="84"/>
        <v>2.5</v>
      </c>
      <c r="Q625" s="54">
        <f>Данные!Q625</f>
        <v>0</v>
      </c>
      <c r="R625" s="54">
        <f>Данные!R625</f>
        <v>0</v>
      </c>
      <c r="S625" s="54">
        <f>Данные!S625</f>
        <v>0</v>
      </c>
      <c r="T625" s="54">
        <f>Данные!T625</f>
        <v>0</v>
      </c>
      <c r="U625" s="54">
        <f>Данные!U625</f>
        <v>0</v>
      </c>
      <c r="V625" s="54">
        <f>Данные!V625</f>
        <v>18</v>
      </c>
      <c r="W625" s="54">
        <f ca="1">Данные!W625</f>
        <v>10</v>
      </c>
      <c r="X625" s="54" t="str">
        <f ca="1">Данные!X625</f>
        <v>1</v>
      </c>
      <c r="Y625" s="54" t="str">
        <f ca="1">Данные!Y625</f>
        <v>1</v>
      </c>
      <c r="Z625" s="54">
        <f>Данные!Z625</f>
        <v>0</v>
      </c>
      <c r="AA625" s="54" t="str">
        <f>Данные!AA625</f>
        <v>осн</v>
      </c>
      <c r="AB625" s="101">
        <f t="shared" si="85"/>
        <v>800</v>
      </c>
      <c r="AC625" s="101" t="str">
        <f t="shared" si="86"/>
        <v>КЭО (маг)</v>
      </c>
      <c r="AD625" s="101" t="str">
        <f t="shared" si="87"/>
        <v/>
      </c>
      <c r="AE625" s="102">
        <f t="shared" ca="1" si="88"/>
        <v>28.3</v>
      </c>
      <c r="AF625" s="103">
        <f t="shared" ca="1" si="89"/>
        <v>3.5375000000000004E-2</v>
      </c>
      <c r="AG625" s="101"/>
      <c r="AH625" s="101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Q625" s="72">
        <v>0</v>
      </c>
      <c r="BR625" s="72">
        <v>0</v>
      </c>
      <c r="BS625" s="72">
        <v>0</v>
      </c>
      <c r="BT625" s="72">
        <v>0</v>
      </c>
      <c r="BU625" s="72">
        <v>0</v>
      </c>
      <c r="BV625" s="72">
        <v>0</v>
      </c>
      <c r="BW625" s="72">
        <v>0</v>
      </c>
      <c r="BX625" s="72">
        <v>0</v>
      </c>
      <c r="BY625" s="72">
        <v>0</v>
      </c>
      <c r="BZ625" s="72">
        <v>0</v>
      </c>
      <c r="CA625" s="72">
        <v>0</v>
      </c>
      <c r="CB625" s="72">
        <v>0</v>
      </c>
      <c r="CC625" s="72">
        <v>0</v>
      </c>
      <c r="CD625" s="72">
        <v>0</v>
      </c>
      <c r="CE625" s="72">
        <v>0</v>
      </c>
      <c r="CF625" s="72">
        <v>0</v>
      </c>
      <c r="CG625" s="72">
        <v>0</v>
      </c>
      <c r="CH625" s="72">
        <v>0</v>
      </c>
      <c r="CI625" s="72">
        <v>0</v>
      </c>
      <c r="CJ625" s="72">
        <v>0</v>
      </c>
      <c r="CK625" s="72">
        <v>0</v>
      </c>
      <c r="CL625" s="72">
        <v>0</v>
      </c>
      <c r="CM625" s="72">
        <v>0</v>
      </c>
      <c r="CN625" s="72">
        <v>0</v>
      </c>
      <c r="CO625" s="72">
        <v>0</v>
      </c>
      <c r="CP625" s="72">
        <v>0</v>
      </c>
      <c r="CQ625" s="72">
        <v>0</v>
      </c>
      <c r="CR625" s="72">
        <v>0</v>
      </c>
      <c r="CS625" s="72">
        <v>0</v>
      </c>
      <c r="CT625" s="72">
        <v>0</v>
      </c>
      <c r="CU625" s="72">
        <v>0</v>
      </c>
      <c r="CV625" s="72">
        <v>0</v>
      </c>
      <c r="CW625" s="72">
        <v>0</v>
      </c>
      <c r="CX625" s="72">
        <v>0</v>
      </c>
      <c r="CY625" s="72">
        <v>0</v>
      </c>
      <c r="CZ625" s="72">
        <v>0</v>
      </c>
      <c r="DA625" s="72">
        <v>0</v>
      </c>
      <c r="DB625" s="72">
        <v>0</v>
      </c>
      <c r="DC625" s="72">
        <v>0</v>
      </c>
      <c r="DD625" s="72">
        <v>0</v>
      </c>
      <c r="DE625" s="72">
        <v>0</v>
      </c>
      <c r="DF625" s="72">
        <v>0</v>
      </c>
      <c r="DG625" s="72">
        <v>0</v>
      </c>
      <c r="DH625" s="72">
        <v>0</v>
      </c>
      <c r="DI625" s="72">
        <v>0</v>
      </c>
      <c r="DJ625" s="72">
        <v>0</v>
      </c>
      <c r="DK625" s="72">
        <v>0</v>
      </c>
      <c r="DL625" s="72">
        <v>0</v>
      </c>
      <c r="DM625" s="72">
        <v>0</v>
      </c>
      <c r="DN625" s="72">
        <v>0</v>
      </c>
      <c r="DO625" s="72">
        <v>0</v>
      </c>
      <c r="DP625" s="72">
        <v>0</v>
      </c>
      <c r="DQ625" s="72">
        <v>0</v>
      </c>
      <c r="DR625" s="72">
        <v>0</v>
      </c>
      <c r="DS625" s="72">
        <v>0</v>
      </c>
      <c r="DT625" s="72">
        <v>0</v>
      </c>
      <c r="DU625" s="72">
        <v>0</v>
      </c>
      <c r="DV625" s="72">
        <v>0</v>
      </c>
      <c r="DW625" s="72">
        <v>0</v>
      </c>
      <c r="DX625" s="72">
        <v>0</v>
      </c>
      <c r="DY625" s="72">
        <v>0</v>
      </c>
      <c r="DZ625" s="72">
        <v>0</v>
      </c>
      <c r="EA625" s="72">
        <v>0</v>
      </c>
      <c r="EB625" s="72">
        <v>0</v>
      </c>
      <c r="EC625" s="72">
        <v>0</v>
      </c>
      <c r="ED625" s="72">
        <v>0</v>
      </c>
      <c r="EE625" s="72">
        <v>0</v>
      </c>
      <c r="EF625" s="72">
        <v>0</v>
      </c>
      <c r="EG625" s="72">
        <v>0</v>
      </c>
      <c r="EH625" s="72">
        <v>0</v>
      </c>
      <c r="EI625" s="72">
        <v>0</v>
      </c>
      <c r="EJ625" s="72">
        <v>0</v>
      </c>
      <c r="EK625" s="72">
        <v>0</v>
      </c>
      <c r="EL625" s="72">
        <v>0</v>
      </c>
    </row>
    <row r="626" spans="1:142" x14ac:dyDescent="0.35">
      <c r="A626" s="59">
        <f>Данные!A626</f>
        <v>5762</v>
      </c>
      <c r="B626" s="59">
        <f>Данные!B626</f>
        <v>2017</v>
      </c>
      <c r="C626" s="59" t="str">
        <f>Данные!C626</f>
        <v>компьютерных технологий и электронного обучения</v>
      </c>
      <c r="D626" s="59" t="str">
        <f>Данные!D626</f>
        <v>Власова Елена Зотиковна</v>
      </c>
      <c r="E626" s="59" t="str">
        <f>Данные!E626</f>
        <v>доктор педагогических наук</v>
      </c>
      <c r="F626" s="59" t="str">
        <f>Данные!F626</f>
        <v>заведующий кафедрой</v>
      </c>
      <c r="G626" s="59">
        <f>Данные!G626</f>
        <v>1</v>
      </c>
      <c r="H626" s="59">
        <f>Данные!H626</f>
        <v>16595</v>
      </c>
      <c r="I626" s="59" t="str">
        <f>Данные!I626</f>
        <v>Модуль "Методология исследования в образовании". Методология и методы научного исследования</v>
      </c>
      <c r="J626" s="59">
        <f>Данные!J626</f>
        <v>2</v>
      </c>
      <c r="K626" s="59">
        <f>Данные!K626</f>
        <v>0</v>
      </c>
      <c r="L626" s="59">
        <f>Данные!L626</f>
        <v>0</v>
      </c>
      <c r="M626" s="60">
        <f t="shared" si="81"/>
        <v>0.2</v>
      </c>
      <c r="N626" s="60">
        <f t="shared" ca="1" si="82"/>
        <v>5.3000000000000007</v>
      </c>
      <c r="O626" s="60">
        <f t="shared" ca="1" si="83"/>
        <v>2.5</v>
      </c>
      <c r="P626" s="60">
        <f t="shared" ca="1" si="84"/>
        <v>2.5</v>
      </c>
      <c r="Q626" s="54">
        <f>Данные!Q626</f>
        <v>0</v>
      </c>
      <c r="R626" s="54">
        <f>Данные!R626</f>
        <v>0</v>
      </c>
      <c r="S626" s="54">
        <f>Данные!S626</f>
        <v>0</v>
      </c>
      <c r="T626" s="54">
        <f>Данные!T626</f>
        <v>0</v>
      </c>
      <c r="U626" s="54">
        <f>Данные!U626</f>
        <v>0</v>
      </c>
      <c r="V626" s="54">
        <f>Данные!V626</f>
        <v>0</v>
      </c>
      <c r="W626" s="54">
        <f ca="1">Данные!W626</f>
        <v>10</v>
      </c>
      <c r="X626" s="54" t="str">
        <f ca="1">Данные!X626</f>
        <v>1</v>
      </c>
      <c r="Y626" s="54" t="str">
        <f ca="1">Данные!Y626</f>
        <v>1</v>
      </c>
      <c r="Z626" s="54">
        <f>Данные!Z626</f>
        <v>0</v>
      </c>
      <c r="AA626" s="54" t="str">
        <f>Данные!AA626</f>
        <v>осн</v>
      </c>
      <c r="AB626" s="101">
        <f t="shared" si="85"/>
        <v>700</v>
      </c>
      <c r="AC626" s="101" t="str">
        <f t="shared" si="86"/>
        <v>КЭО (маг)</v>
      </c>
      <c r="AD626" s="101" t="str">
        <f t="shared" si="87"/>
        <v/>
      </c>
      <c r="AE626" s="102">
        <f t="shared" ca="1" si="88"/>
        <v>12.5</v>
      </c>
      <c r="AF626" s="103">
        <f t="shared" ca="1" si="89"/>
        <v>1.7857142857142856E-2</v>
      </c>
      <c r="AG626" s="101"/>
      <c r="AH626" s="101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Q626" s="72">
        <v>0</v>
      </c>
      <c r="BR626" s="72">
        <v>0</v>
      </c>
      <c r="BS626" s="72">
        <v>0</v>
      </c>
      <c r="BT626" s="72">
        <v>0</v>
      </c>
      <c r="BU626" s="72">
        <v>0</v>
      </c>
      <c r="BV626" s="72">
        <v>0</v>
      </c>
      <c r="BW626" s="72">
        <v>0</v>
      </c>
      <c r="BX626" s="72">
        <v>0</v>
      </c>
      <c r="BY626" s="72">
        <v>0</v>
      </c>
      <c r="BZ626" s="72">
        <v>0</v>
      </c>
      <c r="CA626" s="72">
        <v>0</v>
      </c>
      <c r="CB626" s="72">
        <v>0</v>
      </c>
      <c r="CC626" s="72">
        <v>0</v>
      </c>
      <c r="CD626" s="72">
        <v>0</v>
      </c>
      <c r="CE626" s="72">
        <v>0</v>
      </c>
      <c r="CF626" s="72">
        <v>0</v>
      </c>
      <c r="CG626" s="72">
        <v>0</v>
      </c>
      <c r="CH626" s="72">
        <v>0</v>
      </c>
      <c r="CI626" s="72">
        <v>0</v>
      </c>
      <c r="CJ626" s="72">
        <v>0</v>
      </c>
      <c r="CK626" s="72">
        <v>0</v>
      </c>
      <c r="CL626" s="72">
        <v>0</v>
      </c>
      <c r="CM626" s="72">
        <v>0</v>
      </c>
      <c r="CN626" s="72">
        <v>0</v>
      </c>
      <c r="CO626" s="72">
        <v>0</v>
      </c>
      <c r="CP626" s="72">
        <v>0</v>
      </c>
      <c r="CQ626" s="72">
        <v>0</v>
      </c>
      <c r="CR626" s="72">
        <v>0</v>
      </c>
      <c r="CS626" s="72">
        <v>0</v>
      </c>
      <c r="CT626" s="72">
        <v>0</v>
      </c>
      <c r="CU626" s="72">
        <v>0</v>
      </c>
      <c r="CV626" s="72">
        <v>0</v>
      </c>
      <c r="CW626" s="72">
        <v>0</v>
      </c>
      <c r="CX626" s="72">
        <v>0</v>
      </c>
      <c r="CY626" s="72">
        <v>0</v>
      </c>
      <c r="CZ626" s="72">
        <v>0</v>
      </c>
      <c r="DA626" s="72">
        <v>0</v>
      </c>
      <c r="DB626" s="72">
        <v>0</v>
      </c>
      <c r="DC626" s="72">
        <v>0</v>
      </c>
      <c r="DD626" s="72">
        <v>0</v>
      </c>
      <c r="DE626" s="72">
        <v>0</v>
      </c>
      <c r="DF626" s="72">
        <v>0</v>
      </c>
      <c r="DG626" s="72">
        <v>0</v>
      </c>
      <c r="DH626" s="72">
        <v>0</v>
      </c>
      <c r="DI626" s="72">
        <v>0</v>
      </c>
      <c r="DJ626" s="72">
        <v>0</v>
      </c>
      <c r="DK626" s="72">
        <v>0</v>
      </c>
      <c r="DL626" s="72">
        <v>0</v>
      </c>
      <c r="DM626" s="72">
        <v>0</v>
      </c>
      <c r="DN626" s="72">
        <v>0</v>
      </c>
      <c r="DO626" s="72">
        <v>0</v>
      </c>
      <c r="DP626" s="72">
        <v>0</v>
      </c>
      <c r="DQ626" s="72">
        <v>0</v>
      </c>
      <c r="DR626" s="72">
        <v>0</v>
      </c>
      <c r="DS626" s="72">
        <v>0</v>
      </c>
      <c r="DT626" s="72">
        <v>0</v>
      </c>
      <c r="DU626" s="72">
        <v>0</v>
      </c>
      <c r="DV626" s="72">
        <v>0</v>
      </c>
      <c r="DW626" s="72">
        <v>0</v>
      </c>
      <c r="DX626" s="72">
        <v>0</v>
      </c>
      <c r="DY626" s="72">
        <v>0</v>
      </c>
      <c r="DZ626" s="72">
        <v>0</v>
      </c>
      <c r="EA626" s="72">
        <v>0</v>
      </c>
      <c r="EB626" s="72">
        <v>0</v>
      </c>
      <c r="EC626" s="72">
        <v>0</v>
      </c>
      <c r="ED626" s="72">
        <v>0</v>
      </c>
      <c r="EE626" s="72">
        <v>0</v>
      </c>
      <c r="EF626" s="72">
        <v>0</v>
      </c>
      <c r="EG626" s="72">
        <v>0</v>
      </c>
      <c r="EH626" s="72">
        <v>0</v>
      </c>
      <c r="EI626" s="72">
        <v>0</v>
      </c>
      <c r="EJ626" s="72">
        <v>0</v>
      </c>
      <c r="EK626" s="72">
        <v>0</v>
      </c>
      <c r="EL626" s="72">
        <v>0</v>
      </c>
    </row>
    <row r="627" spans="1:142" x14ac:dyDescent="0.35">
      <c r="A627" s="59">
        <f>Данные!A627</f>
        <v>5762</v>
      </c>
      <c r="B627" s="59">
        <f>Данные!B627</f>
        <v>2017</v>
      </c>
      <c r="C627" s="59" t="str">
        <f>Данные!C627</f>
        <v>компьютерных технологий и электронного обучения</v>
      </c>
      <c r="D627" s="59" t="str">
        <f>Данные!D627</f>
        <v>Власова Елена Зотиковна</v>
      </c>
      <c r="E627" s="59" t="str">
        <f>Данные!E627</f>
        <v>доктор педагогических наук</v>
      </c>
      <c r="F627" s="59" t="str">
        <f>Данные!F627</f>
        <v>заведующий кафедрой</v>
      </c>
      <c r="G627" s="59">
        <f>Данные!G627</f>
        <v>1</v>
      </c>
      <c r="H627" s="59">
        <f>Данные!H627</f>
        <v>16595</v>
      </c>
      <c r="I627" s="59" t="str">
        <f>Данные!I627</f>
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</c>
      <c r="J627" s="59">
        <f>Данные!J627</f>
        <v>4</v>
      </c>
      <c r="K627" s="59">
        <f>Данные!K627</f>
        <v>0</v>
      </c>
      <c r="L627" s="59">
        <f>Данные!L627</f>
        <v>0</v>
      </c>
      <c r="M627" s="60">
        <f t="shared" si="81"/>
        <v>0.4</v>
      </c>
      <c r="N627" s="60">
        <f t="shared" ca="1" si="82"/>
        <v>5.3000000000000007</v>
      </c>
      <c r="O627" s="60">
        <f t="shared" ca="1" si="83"/>
        <v>2.5</v>
      </c>
      <c r="P627" s="60">
        <f t="shared" ca="1" si="84"/>
        <v>2.5</v>
      </c>
      <c r="Q627" s="54">
        <f>Данные!Q627</f>
        <v>0</v>
      </c>
      <c r="R627" s="54">
        <f>Данные!R627</f>
        <v>0</v>
      </c>
      <c r="S627" s="54">
        <f>Данные!S627</f>
        <v>0</v>
      </c>
      <c r="T627" s="54">
        <f>Данные!T627</f>
        <v>0</v>
      </c>
      <c r="U627" s="54">
        <f>Данные!U627</f>
        <v>0</v>
      </c>
      <c r="V627" s="54">
        <f>Данные!V627</f>
        <v>0</v>
      </c>
      <c r="W627" s="54">
        <f ca="1">Данные!W627</f>
        <v>10</v>
      </c>
      <c r="X627" s="54" t="str">
        <f ca="1">Данные!X627</f>
        <v>1</v>
      </c>
      <c r="Y627" s="54" t="str">
        <f ca="1">Данные!Y627</f>
        <v>1</v>
      </c>
      <c r="Z627" s="54">
        <f>Данные!Z627</f>
        <v>0</v>
      </c>
      <c r="AA627" s="54" t="str">
        <f>Данные!AA627</f>
        <v>осн</v>
      </c>
      <c r="AB627" s="101">
        <f t="shared" si="85"/>
        <v>700</v>
      </c>
      <c r="AC627" s="101" t="str">
        <f t="shared" si="86"/>
        <v>КЭО (маг)</v>
      </c>
      <c r="AD627" s="101" t="str">
        <f t="shared" si="87"/>
        <v/>
      </c>
      <c r="AE627" s="102">
        <f t="shared" ca="1" si="88"/>
        <v>14.700000000000001</v>
      </c>
      <c r="AF627" s="103">
        <f t="shared" ca="1" si="89"/>
        <v>2.1000000000000001E-2</v>
      </c>
      <c r="AG627" s="101"/>
      <c r="AH627" s="101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Q627" s="72">
        <v>0</v>
      </c>
      <c r="BR627" s="72">
        <v>0</v>
      </c>
      <c r="BS627" s="72">
        <v>0</v>
      </c>
      <c r="BT627" s="72">
        <v>0</v>
      </c>
      <c r="BU627" s="72">
        <v>0</v>
      </c>
      <c r="BV627" s="72">
        <v>0</v>
      </c>
      <c r="BW627" s="72">
        <v>0</v>
      </c>
      <c r="BX627" s="72">
        <v>0</v>
      </c>
      <c r="BY627" s="72">
        <v>0</v>
      </c>
      <c r="BZ627" s="72">
        <v>0</v>
      </c>
      <c r="CA627" s="72">
        <v>0</v>
      </c>
      <c r="CB627" s="72">
        <v>0</v>
      </c>
      <c r="CC627" s="72">
        <v>0</v>
      </c>
      <c r="CD627" s="72">
        <v>0</v>
      </c>
      <c r="CE627" s="72">
        <v>0</v>
      </c>
      <c r="CF627" s="72">
        <v>0</v>
      </c>
      <c r="CG627" s="72">
        <v>0</v>
      </c>
      <c r="CH627" s="72">
        <v>0</v>
      </c>
      <c r="CI627" s="72">
        <v>0</v>
      </c>
      <c r="CJ627" s="72">
        <v>0</v>
      </c>
      <c r="CK627" s="72">
        <v>0</v>
      </c>
      <c r="CL627" s="72">
        <v>0</v>
      </c>
      <c r="CM627" s="72">
        <v>0</v>
      </c>
      <c r="CN627" s="72">
        <v>0</v>
      </c>
      <c r="CO627" s="72">
        <v>0</v>
      </c>
      <c r="CP627" s="72">
        <v>0</v>
      </c>
      <c r="CQ627" s="72">
        <v>0</v>
      </c>
      <c r="CR627" s="72">
        <v>0</v>
      </c>
      <c r="CS627" s="72">
        <v>0</v>
      </c>
      <c r="CT627" s="72">
        <v>0</v>
      </c>
      <c r="CU627" s="72">
        <v>0</v>
      </c>
      <c r="CV627" s="72">
        <v>0</v>
      </c>
      <c r="CW627" s="72">
        <v>0</v>
      </c>
      <c r="CX627" s="72">
        <v>0</v>
      </c>
      <c r="CY627" s="72">
        <v>0</v>
      </c>
      <c r="CZ627" s="72">
        <v>0</v>
      </c>
      <c r="DA627" s="72">
        <v>0</v>
      </c>
      <c r="DB627" s="72">
        <v>0</v>
      </c>
      <c r="DC627" s="72">
        <v>0</v>
      </c>
      <c r="DD627" s="72">
        <v>0</v>
      </c>
      <c r="DE627" s="72">
        <v>0</v>
      </c>
      <c r="DF627" s="72">
        <v>0</v>
      </c>
      <c r="DG627" s="72">
        <v>0</v>
      </c>
      <c r="DH627" s="72">
        <v>0</v>
      </c>
      <c r="DI627" s="72">
        <v>0</v>
      </c>
      <c r="DJ627" s="72">
        <v>0</v>
      </c>
      <c r="DK627" s="72">
        <v>0</v>
      </c>
      <c r="DL627" s="72">
        <v>0</v>
      </c>
      <c r="DM627" s="72">
        <v>0</v>
      </c>
      <c r="DN627" s="72">
        <v>0</v>
      </c>
      <c r="DO627" s="72">
        <v>0</v>
      </c>
      <c r="DP627" s="72">
        <v>0</v>
      </c>
      <c r="DQ627" s="72">
        <v>0</v>
      </c>
      <c r="DR627" s="72">
        <v>0</v>
      </c>
      <c r="DS627" s="72">
        <v>0</v>
      </c>
      <c r="DT627" s="72">
        <v>0</v>
      </c>
      <c r="DU627" s="72">
        <v>0</v>
      </c>
      <c r="DV627" s="72">
        <v>0</v>
      </c>
      <c r="DW627" s="72">
        <v>0</v>
      </c>
      <c r="DX627" s="72">
        <v>0</v>
      </c>
      <c r="DY627" s="72">
        <v>0</v>
      </c>
      <c r="DZ627" s="72">
        <v>0</v>
      </c>
      <c r="EA627" s="72">
        <v>0</v>
      </c>
      <c r="EB627" s="72">
        <v>0</v>
      </c>
      <c r="EC627" s="72">
        <v>0</v>
      </c>
      <c r="ED627" s="72">
        <v>0</v>
      </c>
      <c r="EE627" s="72">
        <v>0</v>
      </c>
      <c r="EF627" s="72">
        <v>0</v>
      </c>
      <c r="EG627" s="72">
        <v>0</v>
      </c>
      <c r="EH627" s="72">
        <v>0</v>
      </c>
      <c r="EI627" s="72">
        <v>0</v>
      </c>
      <c r="EJ627" s="72">
        <v>0</v>
      </c>
      <c r="EK627" s="72">
        <v>0</v>
      </c>
      <c r="EL627" s="72">
        <v>0</v>
      </c>
    </row>
    <row r="628" spans="1:142" x14ac:dyDescent="0.35">
      <c r="A628" s="59">
        <f>Данные!A628</f>
        <v>5762</v>
      </c>
      <c r="B628" s="59">
        <f>Данные!B628</f>
        <v>2017</v>
      </c>
      <c r="C628" s="59" t="str">
        <f>Данные!C628</f>
        <v>компьютерных технологий и электронного обучения</v>
      </c>
      <c r="D628" s="59" t="str">
        <f>Данные!D628</f>
        <v>Власова Елена Зотиковна</v>
      </c>
      <c r="E628" s="59" t="str">
        <f>Данные!E628</f>
        <v>доктор педагогических наук</v>
      </c>
      <c r="F628" s="59" t="str">
        <f>Данные!F628</f>
        <v>заведующий кафедрой</v>
      </c>
      <c r="G628" s="59">
        <f>Данные!G628</f>
        <v>1</v>
      </c>
      <c r="H628" s="59">
        <f>Данные!H628</f>
        <v>16595</v>
      </c>
      <c r="I628" s="59" t="str">
        <f>Данные!I628</f>
        <v>Модуль "Теория и практика корпоративного электронного обучения". Организация и модели корпоративного обучения</v>
      </c>
      <c r="J628" s="59">
        <f>Данные!J628</f>
        <v>3</v>
      </c>
      <c r="K628" s="59">
        <f>Данные!K628</f>
        <v>6</v>
      </c>
      <c r="L628" s="59">
        <f>Данные!L628</f>
        <v>0</v>
      </c>
      <c r="M628" s="60">
        <f t="shared" si="81"/>
        <v>0.9</v>
      </c>
      <c r="N628" s="60">
        <f t="shared" ca="1" si="82"/>
        <v>5.3000000000000007</v>
      </c>
      <c r="O628" s="60">
        <f t="shared" ca="1" si="83"/>
        <v>2.5</v>
      </c>
      <c r="P628" s="60">
        <f t="shared" ca="1" si="84"/>
        <v>2.5</v>
      </c>
      <c r="Q628" s="54">
        <f>Данные!Q628</f>
        <v>0</v>
      </c>
      <c r="R628" s="54">
        <f>Данные!R628</f>
        <v>0</v>
      </c>
      <c r="S628" s="54">
        <f>Данные!S628</f>
        <v>0</v>
      </c>
      <c r="T628" s="54">
        <f>Данные!T628</f>
        <v>0</v>
      </c>
      <c r="U628" s="54">
        <f>Данные!U628</f>
        <v>0</v>
      </c>
      <c r="V628" s="54">
        <f>Данные!V628</f>
        <v>0</v>
      </c>
      <c r="W628" s="54">
        <f ca="1">Данные!W628</f>
        <v>10</v>
      </c>
      <c r="X628" s="54" t="str">
        <f ca="1">Данные!X628</f>
        <v>1</v>
      </c>
      <c r="Y628" s="54" t="str">
        <f ca="1">Данные!Y628</f>
        <v>1</v>
      </c>
      <c r="Z628" s="54">
        <f>Данные!Z628</f>
        <v>0</v>
      </c>
      <c r="AA628" s="54" t="str">
        <f>Данные!AA628</f>
        <v>осн</v>
      </c>
      <c r="AB628" s="101">
        <f t="shared" si="85"/>
        <v>700</v>
      </c>
      <c r="AC628" s="101" t="str">
        <f t="shared" si="86"/>
        <v>КЭО (маг)</v>
      </c>
      <c r="AD628" s="101" t="str">
        <f t="shared" si="87"/>
        <v/>
      </c>
      <c r="AE628" s="102">
        <f t="shared" ca="1" si="88"/>
        <v>20.200000000000003</v>
      </c>
      <c r="AF628" s="103">
        <f t="shared" ca="1" si="89"/>
        <v>2.8857142857142862E-2</v>
      </c>
      <c r="AG628" s="101"/>
      <c r="AH628" s="101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Q628" s="72">
        <v>0</v>
      </c>
      <c r="BR628" s="72">
        <v>0</v>
      </c>
      <c r="BS628" s="72">
        <v>0</v>
      </c>
      <c r="BT628" s="72">
        <v>0</v>
      </c>
      <c r="BU628" s="72">
        <v>0</v>
      </c>
      <c r="BV628" s="72">
        <v>0</v>
      </c>
      <c r="BW628" s="72">
        <v>0</v>
      </c>
      <c r="BX628" s="72">
        <v>0</v>
      </c>
      <c r="BY628" s="72">
        <v>0</v>
      </c>
      <c r="BZ628" s="72">
        <v>0</v>
      </c>
      <c r="CA628" s="72">
        <v>0</v>
      </c>
      <c r="CB628" s="72">
        <v>0</v>
      </c>
      <c r="CC628" s="72">
        <v>0</v>
      </c>
      <c r="CD628" s="72">
        <v>0</v>
      </c>
      <c r="CE628" s="72">
        <v>0</v>
      </c>
      <c r="CF628" s="72">
        <v>0</v>
      </c>
      <c r="CG628" s="72">
        <v>0</v>
      </c>
      <c r="CH628" s="72">
        <v>0</v>
      </c>
      <c r="CI628" s="72">
        <v>0</v>
      </c>
      <c r="CJ628" s="72">
        <v>0</v>
      </c>
      <c r="CK628" s="72">
        <v>0</v>
      </c>
      <c r="CL628" s="72">
        <v>0</v>
      </c>
      <c r="CM628" s="72">
        <v>0</v>
      </c>
      <c r="CN628" s="72">
        <v>0</v>
      </c>
      <c r="CO628" s="72">
        <v>0</v>
      </c>
      <c r="CP628" s="72">
        <v>0</v>
      </c>
      <c r="CQ628" s="72">
        <v>0</v>
      </c>
      <c r="CR628" s="72">
        <v>0</v>
      </c>
      <c r="CS628" s="72">
        <v>0</v>
      </c>
      <c r="CT628" s="72">
        <v>0</v>
      </c>
      <c r="CU628" s="72">
        <v>0</v>
      </c>
      <c r="CV628" s="72">
        <v>0</v>
      </c>
      <c r="CW628" s="72">
        <v>0</v>
      </c>
      <c r="CX628" s="72">
        <v>0</v>
      </c>
      <c r="CY628" s="72">
        <v>0</v>
      </c>
      <c r="CZ628" s="72">
        <v>0</v>
      </c>
      <c r="DA628" s="72">
        <v>0</v>
      </c>
      <c r="DB628" s="72">
        <v>0</v>
      </c>
      <c r="DC628" s="72">
        <v>0</v>
      </c>
      <c r="DD628" s="72">
        <v>0</v>
      </c>
      <c r="DE628" s="72">
        <v>0</v>
      </c>
      <c r="DF628" s="72">
        <v>0</v>
      </c>
      <c r="DG628" s="72">
        <v>0</v>
      </c>
      <c r="DH628" s="72">
        <v>0</v>
      </c>
      <c r="DI628" s="72">
        <v>0</v>
      </c>
      <c r="DJ628" s="72">
        <v>0</v>
      </c>
      <c r="DK628" s="72">
        <v>0</v>
      </c>
      <c r="DL628" s="72">
        <v>0</v>
      </c>
      <c r="DM628" s="72">
        <v>0</v>
      </c>
      <c r="DN628" s="72">
        <v>0</v>
      </c>
      <c r="DO628" s="72">
        <v>0</v>
      </c>
      <c r="DP628" s="72">
        <v>0</v>
      </c>
      <c r="DQ628" s="72">
        <v>0</v>
      </c>
      <c r="DR628" s="72">
        <v>0</v>
      </c>
      <c r="DS628" s="72">
        <v>0</v>
      </c>
      <c r="DT628" s="72">
        <v>0</v>
      </c>
      <c r="DU628" s="72">
        <v>0</v>
      </c>
      <c r="DV628" s="72">
        <v>0</v>
      </c>
      <c r="DW628" s="72">
        <v>0</v>
      </c>
      <c r="DX628" s="72">
        <v>0</v>
      </c>
      <c r="DY628" s="72">
        <v>0</v>
      </c>
      <c r="DZ628" s="72">
        <v>0</v>
      </c>
      <c r="EA628" s="72">
        <v>0</v>
      </c>
      <c r="EB628" s="72">
        <v>0</v>
      </c>
      <c r="EC628" s="72">
        <v>0</v>
      </c>
      <c r="ED628" s="72">
        <v>0</v>
      </c>
      <c r="EE628" s="72">
        <v>0</v>
      </c>
      <c r="EF628" s="72">
        <v>0</v>
      </c>
      <c r="EG628" s="72">
        <v>0</v>
      </c>
      <c r="EH628" s="72">
        <v>0</v>
      </c>
      <c r="EI628" s="72">
        <v>0</v>
      </c>
      <c r="EJ628" s="72">
        <v>0</v>
      </c>
      <c r="EK628" s="72">
        <v>0</v>
      </c>
      <c r="EL628" s="72">
        <v>0</v>
      </c>
    </row>
    <row r="629" spans="1:142" x14ac:dyDescent="0.35">
      <c r="A629" s="59">
        <f>Данные!A629</f>
        <v>5762</v>
      </c>
      <c r="B629" s="59">
        <f>Данные!B629</f>
        <v>2017</v>
      </c>
      <c r="C629" s="59" t="str">
        <f>Данные!C629</f>
        <v>компьютерных технологий и электронного обучения</v>
      </c>
      <c r="D629" s="59" t="str">
        <f>Данные!D629</f>
        <v>Власова Елена Зотиковна</v>
      </c>
      <c r="E629" s="59" t="str">
        <f>Данные!E629</f>
        <v>доктор педагогических наук</v>
      </c>
      <c r="F629" s="59" t="str">
        <f>Данные!F629</f>
        <v>заведующий кафедрой</v>
      </c>
      <c r="G629" s="59">
        <f>Данные!G629</f>
        <v>1</v>
      </c>
      <c r="H629" s="59">
        <f>Данные!H629</f>
        <v>16595</v>
      </c>
      <c r="I629" s="59" t="str">
        <f>Данные!I629</f>
        <v>Научно-исследовательская работа. Педагогическое образование. Магистерская программа "Корпоративное электронное обучение"</v>
      </c>
      <c r="J629" s="59">
        <f>Данные!J629</f>
        <v>0</v>
      </c>
      <c r="K629" s="59">
        <f>Данные!K629</f>
        <v>0</v>
      </c>
      <c r="L629" s="59">
        <f>Данные!L629</f>
        <v>0</v>
      </c>
      <c r="M629" s="60">
        <f t="shared" si="81"/>
        <v>0</v>
      </c>
      <c r="N629" s="60">
        <f t="shared" ca="1" si="82"/>
        <v>5.3000000000000007</v>
      </c>
      <c r="O629" s="60">
        <f t="shared" ca="1" si="83"/>
        <v>2.5</v>
      </c>
      <c r="P629" s="60">
        <f t="shared" ca="1" si="84"/>
        <v>2.5</v>
      </c>
      <c r="Q629" s="54">
        <f>Данные!Q629</f>
        <v>0</v>
      </c>
      <c r="R629" s="54">
        <f>Данные!R629</f>
        <v>0</v>
      </c>
      <c r="S629" s="54">
        <f>Данные!S629</f>
        <v>0</v>
      </c>
      <c r="T629" s="54">
        <f>Данные!T629</f>
        <v>0</v>
      </c>
      <c r="U629" s="54">
        <f>Данные!U629</f>
        <v>23</v>
      </c>
      <c r="V629" s="54">
        <f>Данные!V629</f>
        <v>0</v>
      </c>
      <c r="W629" s="54">
        <f ca="1">Данные!W629</f>
        <v>10</v>
      </c>
      <c r="X629" s="54" t="str">
        <f ca="1">Данные!X629</f>
        <v>1</v>
      </c>
      <c r="Y629" s="54" t="str">
        <f ca="1">Данные!Y629</f>
        <v>1</v>
      </c>
      <c r="Z629" s="54">
        <f>Данные!Z629</f>
        <v>0</v>
      </c>
      <c r="AA629" s="54" t="str">
        <f>Данные!AA629</f>
        <v>осн</v>
      </c>
      <c r="AB629" s="101">
        <f t="shared" si="85"/>
        <v>700</v>
      </c>
      <c r="AC629" s="101" t="str">
        <f t="shared" si="86"/>
        <v>КЭО (маг)</v>
      </c>
      <c r="AD629" s="101" t="str">
        <f t="shared" si="87"/>
        <v/>
      </c>
      <c r="AE629" s="102">
        <f t="shared" ca="1" si="88"/>
        <v>33.299999999999997</v>
      </c>
      <c r="AF629" s="103">
        <f t="shared" ca="1" si="89"/>
        <v>4.757142857142857E-2</v>
      </c>
      <c r="AG629" s="101"/>
      <c r="AH629" s="101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Q629" s="72">
        <v>0</v>
      </c>
      <c r="BR629" s="72">
        <v>0</v>
      </c>
      <c r="BS629" s="72">
        <v>0</v>
      </c>
      <c r="BT629" s="72">
        <v>0</v>
      </c>
      <c r="BU629" s="72">
        <v>0</v>
      </c>
      <c r="BV629" s="72">
        <v>0</v>
      </c>
      <c r="BW629" s="72">
        <v>0</v>
      </c>
      <c r="BX629" s="72">
        <v>0</v>
      </c>
      <c r="BY629" s="72">
        <v>0</v>
      </c>
      <c r="BZ629" s="72">
        <v>0</v>
      </c>
      <c r="CA629" s="72">
        <v>0</v>
      </c>
      <c r="CB629" s="72">
        <v>0</v>
      </c>
      <c r="CC629" s="72">
        <v>0</v>
      </c>
      <c r="CD629" s="72">
        <v>0</v>
      </c>
      <c r="CE629" s="72">
        <v>0</v>
      </c>
      <c r="CF629" s="72">
        <v>0</v>
      </c>
      <c r="CG629" s="72">
        <v>0</v>
      </c>
      <c r="CH629" s="72">
        <v>0</v>
      </c>
      <c r="CI629" s="72">
        <v>0</v>
      </c>
      <c r="CJ629" s="72">
        <v>0</v>
      </c>
      <c r="CK629" s="72">
        <v>0</v>
      </c>
      <c r="CL629" s="72">
        <v>0</v>
      </c>
      <c r="CM629" s="72">
        <v>0</v>
      </c>
      <c r="CN629" s="72">
        <v>0</v>
      </c>
      <c r="CO629" s="72">
        <v>0</v>
      </c>
      <c r="CP629" s="72">
        <v>0</v>
      </c>
      <c r="CQ629" s="72">
        <v>0</v>
      </c>
      <c r="CR629" s="72">
        <v>0</v>
      </c>
      <c r="CS629" s="72">
        <v>0</v>
      </c>
      <c r="CT629" s="72">
        <v>0</v>
      </c>
      <c r="CU629" s="72">
        <v>0</v>
      </c>
      <c r="CV629" s="72">
        <v>0</v>
      </c>
      <c r="CW629" s="72">
        <v>0</v>
      </c>
      <c r="CX629" s="72">
        <v>0</v>
      </c>
      <c r="CY629" s="72">
        <v>0</v>
      </c>
      <c r="CZ629" s="72">
        <v>0</v>
      </c>
      <c r="DA629" s="72">
        <v>0</v>
      </c>
      <c r="DB629" s="72">
        <v>0</v>
      </c>
      <c r="DC629" s="72">
        <v>0</v>
      </c>
      <c r="DD629" s="72">
        <v>0</v>
      </c>
      <c r="DE629" s="72">
        <v>0</v>
      </c>
      <c r="DF629" s="72">
        <v>0</v>
      </c>
      <c r="DG629" s="72">
        <v>0</v>
      </c>
      <c r="DH629" s="72">
        <v>0</v>
      </c>
      <c r="DI629" s="72">
        <v>0</v>
      </c>
      <c r="DJ629" s="72">
        <v>0</v>
      </c>
      <c r="DK629" s="72">
        <v>0</v>
      </c>
      <c r="DL629" s="72">
        <v>0</v>
      </c>
      <c r="DM629" s="72">
        <v>0</v>
      </c>
      <c r="DN629" s="72">
        <v>0</v>
      </c>
      <c r="DO629" s="72">
        <v>0</v>
      </c>
      <c r="DP629" s="72">
        <v>0</v>
      </c>
      <c r="DQ629" s="72">
        <v>0</v>
      </c>
      <c r="DR629" s="72">
        <v>0</v>
      </c>
      <c r="DS629" s="72">
        <v>0</v>
      </c>
      <c r="DT629" s="72">
        <v>0</v>
      </c>
      <c r="DU629" s="72">
        <v>0</v>
      </c>
      <c r="DV629" s="72">
        <v>0</v>
      </c>
      <c r="DW629" s="72">
        <v>0</v>
      </c>
      <c r="DX629" s="72">
        <v>0</v>
      </c>
      <c r="DY629" s="72">
        <v>0</v>
      </c>
      <c r="DZ629" s="72">
        <v>0</v>
      </c>
      <c r="EA629" s="72">
        <v>0</v>
      </c>
      <c r="EB629" s="72">
        <v>0</v>
      </c>
      <c r="EC629" s="72">
        <v>0</v>
      </c>
      <c r="ED629" s="72">
        <v>0</v>
      </c>
      <c r="EE629" s="72">
        <v>0</v>
      </c>
      <c r="EF629" s="72">
        <v>0</v>
      </c>
      <c r="EG629" s="72">
        <v>0</v>
      </c>
      <c r="EH629" s="72">
        <v>0</v>
      </c>
      <c r="EI629" s="72">
        <v>0</v>
      </c>
      <c r="EJ629" s="72">
        <v>0</v>
      </c>
      <c r="EK629" s="72">
        <v>0</v>
      </c>
      <c r="EL629" s="72">
        <v>0</v>
      </c>
    </row>
    <row r="630" spans="1:142" x14ac:dyDescent="0.35">
      <c r="A630" s="59">
        <f>Данные!A630</f>
        <v>5762</v>
      </c>
      <c r="B630" s="59">
        <f>Данные!B630</f>
        <v>2017</v>
      </c>
      <c r="C630" s="59" t="str">
        <f>Данные!C630</f>
        <v>компьютерных технологий и электронного обучения</v>
      </c>
      <c r="D630" s="59" t="str">
        <f>Данные!D630</f>
        <v>Власова Елена Зотиковна</v>
      </c>
      <c r="E630" s="59" t="str">
        <f>Данные!E630</f>
        <v>доктор педагогических наук</v>
      </c>
      <c r="F630" s="59" t="str">
        <f>Данные!F630</f>
        <v>заведующий кафедрой</v>
      </c>
      <c r="G630" s="59">
        <f>Данные!G630</f>
        <v>1</v>
      </c>
      <c r="H630" s="59">
        <f>Данные!H630</f>
        <v>16595</v>
      </c>
      <c r="I630" s="59" t="str">
        <f>Данные!I630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30" s="59">
        <f>Данные!J630</f>
        <v>0</v>
      </c>
      <c r="K630" s="59">
        <f>Данные!K630</f>
        <v>0</v>
      </c>
      <c r="L630" s="59">
        <f>Данные!L630</f>
        <v>0</v>
      </c>
      <c r="M630" s="60">
        <f t="shared" si="81"/>
        <v>0</v>
      </c>
      <c r="N630" s="60">
        <f t="shared" ca="1" si="82"/>
        <v>5.3000000000000007</v>
      </c>
      <c r="O630" s="60">
        <f t="shared" ca="1" si="83"/>
        <v>2.5</v>
      </c>
      <c r="P630" s="60">
        <f t="shared" ca="1" si="84"/>
        <v>2.5</v>
      </c>
      <c r="Q630" s="54">
        <f>Данные!Q630</f>
        <v>0</v>
      </c>
      <c r="R630" s="54">
        <f>Данные!R630</f>
        <v>0</v>
      </c>
      <c r="S630" s="54">
        <f>Данные!S630</f>
        <v>0</v>
      </c>
      <c r="T630" s="54">
        <f>Данные!T630</f>
        <v>0</v>
      </c>
      <c r="U630" s="54">
        <f>Данные!U630</f>
        <v>6</v>
      </c>
      <c r="V630" s="54">
        <f>Данные!V630</f>
        <v>0</v>
      </c>
      <c r="W630" s="54">
        <f ca="1">Данные!W630</f>
        <v>10</v>
      </c>
      <c r="X630" s="54" t="str">
        <f ca="1">Данные!X630</f>
        <v>1</v>
      </c>
      <c r="Y630" s="54" t="str">
        <f ca="1">Данные!Y630</f>
        <v>1</v>
      </c>
      <c r="Z630" s="54">
        <f>Данные!Z630</f>
        <v>0</v>
      </c>
      <c r="AA630" s="54" t="str">
        <f>Данные!AA630</f>
        <v>осн</v>
      </c>
      <c r="AB630" s="101">
        <f t="shared" si="85"/>
        <v>700</v>
      </c>
      <c r="AC630" s="101" t="str">
        <f t="shared" si="86"/>
        <v>КЭО (маг)</v>
      </c>
      <c r="AD630" s="101" t="str">
        <f t="shared" si="87"/>
        <v/>
      </c>
      <c r="AE630" s="102">
        <f t="shared" ca="1" si="88"/>
        <v>16.3</v>
      </c>
      <c r="AF630" s="103">
        <f t="shared" ca="1" si="89"/>
        <v>2.3285714285714288E-2</v>
      </c>
      <c r="AG630" s="101"/>
      <c r="AH630" s="101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Q630" s="72">
        <v>0</v>
      </c>
      <c r="BR630" s="72">
        <v>0</v>
      </c>
      <c r="BS630" s="72">
        <v>0</v>
      </c>
      <c r="BT630" s="72">
        <v>0</v>
      </c>
      <c r="BU630" s="72">
        <v>0</v>
      </c>
      <c r="BV630" s="72">
        <v>0</v>
      </c>
      <c r="BW630" s="72">
        <v>0</v>
      </c>
      <c r="BX630" s="72">
        <v>0</v>
      </c>
      <c r="BY630" s="72">
        <v>0</v>
      </c>
      <c r="BZ630" s="72">
        <v>0</v>
      </c>
      <c r="CA630" s="72">
        <v>0</v>
      </c>
      <c r="CB630" s="72">
        <v>0</v>
      </c>
      <c r="CC630" s="72">
        <v>0</v>
      </c>
      <c r="CD630" s="72">
        <v>0</v>
      </c>
      <c r="CE630" s="72">
        <v>0</v>
      </c>
      <c r="CF630" s="72">
        <v>0</v>
      </c>
      <c r="CG630" s="72">
        <v>0</v>
      </c>
      <c r="CH630" s="72">
        <v>0</v>
      </c>
      <c r="CI630" s="72">
        <v>0</v>
      </c>
      <c r="CJ630" s="72">
        <v>0</v>
      </c>
      <c r="CK630" s="72">
        <v>0</v>
      </c>
      <c r="CL630" s="72">
        <v>0</v>
      </c>
      <c r="CM630" s="72">
        <v>0</v>
      </c>
      <c r="CN630" s="72">
        <v>0</v>
      </c>
      <c r="CO630" s="72">
        <v>0</v>
      </c>
      <c r="CP630" s="72">
        <v>0</v>
      </c>
      <c r="CQ630" s="72">
        <v>0</v>
      </c>
      <c r="CR630" s="72">
        <v>0</v>
      </c>
      <c r="CS630" s="72">
        <v>0</v>
      </c>
      <c r="CT630" s="72">
        <v>0</v>
      </c>
      <c r="CU630" s="72">
        <v>0</v>
      </c>
      <c r="CV630" s="72">
        <v>0</v>
      </c>
      <c r="CW630" s="72">
        <v>0</v>
      </c>
      <c r="CX630" s="72">
        <v>0</v>
      </c>
      <c r="CY630" s="72">
        <v>0</v>
      </c>
      <c r="CZ630" s="72">
        <v>0</v>
      </c>
      <c r="DA630" s="72">
        <v>0</v>
      </c>
      <c r="DB630" s="72">
        <v>0</v>
      </c>
      <c r="DC630" s="72">
        <v>0</v>
      </c>
      <c r="DD630" s="72">
        <v>0</v>
      </c>
      <c r="DE630" s="72">
        <v>0</v>
      </c>
      <c r="DF630" s="72">
        <v>0</v>
      </c>
      <c r="DG630" s="72">
        <v>0</v>
      </c>
      <c r="DH630" s="72">
        <v>0</v>
      </c>
      <c r="DI630" s="72">
        <v>0</v>
      </c>
      <c r="DJ630" s="72">
        <v>0</v>
      </c>
      <c r="DK630" s="72">
        <v>0</v>
      </c>
      <c r="DL630" s="72">
        <v>0</v>
      </c>
      <c r="DM630" s="72">
        <v>0</v>
      </c>
      <c r="DN630" s="72">
        <v>0</v>
      </c>
      <c r="DO630" s="72">
        <v>0</v>
      </c>
      <c r="DP630" s="72">
        <v>0</v>
      </c>
      <c r="DQ630" s="72">
        <v>0</v>
      </c>
      <c r="DR630" s="72">
        <v>0</v>
      </c>
      <c r="DS630" s="72">
        <v>0</v>
      </c>
      <c r="DT630" s="72">
        <v>0</v>
      </c>
      <c r="DU630" s="72">
        <v>0</v>
      </c>
      <c r="DV630" s="72">
        <v>0</v>
      </c>
      <c r="DW630" s="72">
        <v>0</v>
      </c>
      <c r="DX630" s="72">
        <v>0</v>
      </c>
      <c r="DY630" s="72">
        <v>0</v>
      </c>
      <c r="DZ630" s="72">
        <v>0</v>
      </c>
      <c r="EA630" s="72">
        <v>0</v>
      </c>
      <c r="EB630" s="72">
        <v>0</v>
      </c>
      <c r="EC630" s="72">
        <v>0</v>
      </c>
      <c r="ED630" s="72">
        <v>0</v>
      </c>
      <c r="EE630" s="72">
        <v>0</v>
      </c>
      <c r="EF630" s="72">
        <v>0</v>
      </c>
      <c r="EG630" s="72">
        <v>0</v>
      </c>
      <c r="EH630" s="72">
        <v>0</v>
      </c>
      <c r="EI630" s="72">
        <v>0</v>
      </c>
      <c r="EJ630" s="72">
        <v>0</v>
      </c>
      <c r="EK630" s="72">
        <v>0</v>
      </c>
      <c r="EL630" s="72">
        <v>0</v>
      </c>
    </row>
    <row r="631" spans="1:142" x14ac:dyDescent="0.35">
      <c r="A631" s="59">
        <f>Данные!A631</f>
        <v>5762</v>
      </c>
      <c r="B631" s="59">
        <f>Данные!B631</f>
        <v>2017</v>
      </c>
      <c r="C631" s="59" t="str">
        <f>Данные!C631</f>
        <v>компьютерных технологий и электронного обучения</v>
      </c>
      <c r="D631" s="59" t="str">
        <f>Данные!D631</f>
        <v>Власова Елена Зотиковна</v>
      </c>
      <c r="E631" s="59" t="str">
        <f>Данные!E631</f>
        <v>доктор педагогических наук</v>
      </c>
      <c r="F631" s="59" t="str">
        <f>Данные!F631</f>
        <v>заведующий кафедрой</v>
      </c>
      <c r="G631" s="59">
        <f>Данные!G631</f>
        <v>1</v>
      </c>
      <c r="H631" s="59">
        <f>Данные!H631</f>
        <v>16595</v>
      </c>
      <c r="I631" s="59" t="str">
        <f>Данные!I631</f>
        <v>Руководство ВКР (магистерская диссертация)</v>
      </c>
      <c r="J631" s="59">
        <f>Данные!J631</f>
        <v>0</v>
      </c>
      <c r="K631" s="59">
        <f>Данные!K631</f>
        <v>0</v>
      </c>
      <c r="L631" s="59">
        <f>Данные!L631</f>
        <v>0</v>
      </c>
      <c r="M631" s="60">
        <f t="shared" si="81"/>
        <v>0</v>
      </c>
      <c r="N631" s="60">
        <f t="shared" ca="1" si="82"/>
        <v>5.3000000000000007</v>
      </c>
      <c r="O631" s="60">
        <f t="shared" ca="1" si="83"/>
        <v>2.5</v>
      </c>
      <c r="P631" s="60">
        <f t="shared" ca="1" si="84"/>
        <v>2.5</v>
      </c>
      <c r="Q631" s="54">
        <f>Данные!Q631</f>
        <v>0</v>
      </c>
      <c r="R631" s="54">
        <f>Данные!R631</f>
        <v>0</v>
      </c>
      <c r="S631" s="54">
        <f>Данные!S631</f>
        <v>0</v>
      </c>
      <c r="T631" s="54">
        <f>Данные!T631</f>
        <v>0</v>
      </c>
      <c r="U631" s="54">
        <f>Данные!U631</f>
        <v>0</v>
      </c>
      <c r="V631" s="54">
        <f>Данные!V631</f>
        <v>54</v>
      </c>
      <c r="W631" s="54">
        <f ca="1">Данные!W631</f>
        <v>10</v>
      </c>
      <c r="X631" s="54" t="str">
        <f ca="1">Данные!X631</f>
        <v>1</v>
      </c>
      <c r="Y631" s="54" t="str">
        <f ca="1">Данные!Y631</f>
        <v>1</v>
      </c>
      <c r="Z631" s="54">
        <f>Данные!Z631</f>
        <v>0</v>
      </c>
      <c r="AA631" s="54" t="str">
        <f>Данные!AA631</f>
        <v>осн</v>
      </c>
      <c r="AB631" s="101">
        <f t="shared" si="85"/>
        <v>700</v>
      </c>
      <c r="AC631" s="101" t="str">
        <f t="shared" si="86"/>
        <v>КЭО (маг)</v>
      </c>
      <c r="AD631" s="101" t="str">
        <f t="shared" si="87"/>
        <v/>
      </c>
      <c r="AE631" s="102">
        <f t="shared" ca="1" si="88"/>
        <v>64.3</v>
      </c>
      <c r="AF631" s="103">
        <f t="shared" ca="1" si="89"/>
        <v>9.1857142857142859E-2</v>
      </c>
      <c r="AG631" s="101"/>
      <c r="AH631" s="10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Q631" s="72">
        <v>0</v>
      </c>
      <c r="BR631" s="72">
        <v>0</v>
      </c>
      <c r="BS631" s="72">
        <v>0</v>
      </c>
      <c r="BT631" s="72">
        <v>0</v>
      </c>
      <c r="BU631" s="72">
        <v>0</v>
      </c>
      <c r="BV631" s="72">
        <v>0</v>
      </c>
      <c r="BW631" s="72">
        <v>0</v>
      </c>
      <c r="BX631" s="72">
        <v>0</v>
      </c>
      <c r="BY631" s="72">
        <v>0</v>
      </c>
      <c r="BZ631" s="72">
        <v>0</v>
      </c>
      <c r="CA631" s="72">
        <v>0</v>
      </c>
      <c r="CB631" s="72">
        <v>0</v>
      </c>
      <c r="CC631" s="72">
        <v>0</v>
      </c>
      <c r="CD631" s="72">
        <v>0</v>
      </c>
      <c r="CE631" s="72">
        <v>0</v>
      </c>
      <c r="CF631" s="72">
        <v>0</v>
      </c>
      <c r="CG631" s="72">
        <v>0</v>
      </c>
      <c r="CH631" s="72">
        <v>0</v>
      </c>
      <c r="CI631" s="72">
        <v>0</v>
      </c>
      <c r="CJ631" s="72">
        <v>0</v>
      </c>
      <c r="CK631" s="72">
        <v>0</v>
      </c>
      <c r="CL631" s="72">
        <v>0</v>
      </c>
      <c r="CM631" s="72">
        <v>0</v>
      </c>
      <c r="CN631" s="72">
        <v>0</v>
      </c>
      <c r="CO631" s="72">
        <v>0</v>
      </c>
      <c r="CP631" s="72">
        <v>0</v>
      </c>
      <c r="CQ631" s="72">
        <v>0</v>
      </c>
      <c r="CR631" s="72">
        <v>0</v>
      </c>
      <c r="CS631" s="72">
        <v>0</v>
      </c>
      <c r="CT631" s="72">
        <v>0</v>
      </c>
      <c r="CU631" s="72">
        <v>0</v>
      </c>
      <c r="CV631" s="72">
        <v>0</v>
      </c>
      <c r="CW631" s="72">
        <v>0</v>
      </c>
      <c r="CX631" s="72">
        <v>0</v>
      </c>
      <c r="CY631" s="72">
        <v>0</v>
      </c>
      <c r="CZ631" s="72">
        <v>0</v>
      </c>
      <c r="DA631" s="72">
        <v>0</v>
      </c>
      <c r="DB631" s="72">
        <v>0</v>
      </c>
      <c r="DC631" s="72">
        <v>0</v>
      </c>
      <c r="DD631" s="72">
        <v>0</v>
      </c>
      <c r="DE631" s="72">
        <v>0</v>
      </c>
      <c r="DF631" s="72">
        <v>0</v>
      </c>
      <c r="DG631" s="72">
        <v>0</v>
      </c>
      <c r="DH631" s="72">
        <v>0</v>
      </c>
      <c r="DI631" s="72">
        <v>0</v>
      </c>
      <c r="DJ631" s="72">
        <v>0</v>
      </c>
      <c r="DK631" s="72">
        <v>0</v>
      </c>
      <c r="DL631" s="72">
        <v>0</v>
      </c>
      <c r="DM631" s="72">
        <v>0</v>
      </c>
      <c r="DN631" s="72">
        <v>0</v>
      </c>
      <c r="DO631" s="72">
        <v>0</v>
      </c>
      <c r="DP631" s="72">
        <v>0</v>
      </c>
      <c r="DQ631" s="72">
        <v>0</v>
      </c>
      <c r="DR631" s="72">
        <v>0</v>
      </c>
      <c r="DS631" s="72">
        <v>0</v>
      </c>
      <c r="DT631" s="72">
        <v>0</v>
      </c>
      <c r="DU631" s="72">
        <v>0</v>
      </c>
      <c r="DV631" s="72">
        <v>0</v>
      </c>
      <c r="DW631" s="72">
        <v>0</v>
      </c>
      <c r="DX631" s="72">
        <v>0</v>
      </c>
      <c r="DY631" s="72">
        <v>0</v>
      </c>
      <c r="DZ631" s="72">
        <v>0</v>
      </c>
      <c r="EA631" s="72">
        <v>0</v>
      </c>
      <c r="EB631" s="72">
        <v>0</v>
      </c>
      <c r="EC631" s="72">
        <v>0</v>
      </c>
      <c r="ED631" s="72">
        <v>0</v>
      </c>
      <c r="EE631" s="72">
        <v>0</v>
      </c>
      <c r="EF631" s="72">
        <v>0</v>
      </c>
      <c r="EG631" s="72">
        <v>0</v>
      </c>
      <c r="EH631" s="72">
        <v>0</v>
      </c>
      <c r="EI631" s="72">
        <v>0</v>
      </c>
      <c r="EJ631" s="72">
        <v>0</v>
      </c>
      <c r="EK631" s="72">
        <v>0</v>
      </c>
      <c r="EL631" s="72">
        <v>0</v>
      </c>
    </row>
    <row r="632" spans="1:142" x14ac:dyDescent="0.35">
      <c r="A632" s="59">
        <f>Данные!A632</f>
        <v>5762</v>
      </c>
      <c r="B632" s="59">
        <f>Данные!B632</f>
        <v>2017</v>
      </c>
      <c r="C632" s="59" t="str">
        <f>Данные!C632</f>
        <v>компьютерных технологий и электронного обучения</v>
      </c>
      <c r="D632" s="59" t="str">
        <f>Данные!D632</f>
        <v>Гончарова Светлана Викторовна</v>
      </c>
      <c r="E632" s="59" t="str">
        <f>Данные!E632</f>
        <v>кандидат педагогических наук</v>
      </c>
      <c r="F632" s="59" t="str">
        <f>Данные!F632</f>
        <v>доцент</v>
      </c>
      <c r="G632" s="59">
        <f>Данные!G632</f>
        <v>1</v>
      </c>
      <c r="H632" s="59">
        <f>Данные!H632</f>
        <v>16595</v>
      </c>
      <c r="I632" s="59" t="str">
        <f>Данные!I632</f>
        <v>Научно-исследовательская работа. Педагогическое образование. Магистерская программа "Корпоративное электронное обучение"</v>
      </c>
      <c r="J632" s="59">
        <f>Данные!J632</f>
        <v>0</v>
      </c>
      <c r="K632" s="59">
        <f>Данные!K632</f>
        <v>0</v>
      </c>
      <c r="L632" s="59">
        <f>Данные!L632</f>
        <v>0</v>
      </c>
      <c r="M632" s="60">
        <f t="shared" si="81"/>
        <v>0</v>
      </c>
      <c r="N632" s="60">
        <f t="shared" ca="1" si="82"/>
        <v>5.3000000000000007</v>
      </c>
      <c r="O632" s="60">
        <f t="shared" ca="1" si="83"/>
        <v>2.5</v>
      </c>
      <c r="P632" s="60">
        <f t="shared" ca="1" si="84"/>
        <v>2.5</v>
      </c>
      <c r="Q632" s="54">
        <f>Данные!Q632</f>
        <v>0</v>
      </c>
      <c r="R632" s="54">
        <f>Данные!R632</f>
        <v>0</v>
      </c>
      <c r="S632" s="54">
        <f>Данные!S632</f>
        <v>0</v>
      </c>
      <c r="T632" s="54">
        <f>Данные!T632</f>
        <v>0</v>
      </c>
      <c r="U632" s="54">
        <f>Данные!U632</f>
        <v>8</v>
      </c>
      <c r="V632" s="54">
        <f>Данные!V632</f>
        <v>0</v>
      </c>
      <c r="W632" s="54">
        <f ca="1">Данные!W632</f>
        <v>10</v>
      </c>
      <c r="X632" s="54" t="str">
        <f ca="1">Данные!X632</f>
        <v>1</v>
      </c>
      <c r="Y632" s="54" t="str">
        <f ca="1">Данные!Y632</f>
        <v>1</v>
      </c>
      <c r="Z632" s="54">
        <f>Данные!Z632</f>
        <v>0</v>
      </c>
      <c r="AA632" s="54" t="str">
        <f>Данные!AA632</f>
        <v>осн</v>
      </c>
      <c r="AB632" s="101">
        <f t="shared" si="85"/>
        <v>800</v>
      </c>
      <c r="AC632" s="101" t="str">
        <f t="shared" si="86"/>
        <v>КЭО (маг)</v>
      </c>
      <c r="AD632" s="101" t="str">
        <f t="shared" si="87"/>
        <v/>
      </c>
      <c r="AE632" s="102">
        <f t="shared" ca="1" si="88"/>
        <v>18.3</v>
      </c>
      <c r="AF632" s="103">
        <f t="shared" ca="1" si="89"/>
        <v>2.2875E-2</v>
      </c>
      <c r="AG632" s="101"/>
      <c r="AH632" s="101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Q632" s="72">
        <v>0</v>
      </c>
      <c r="BR632" s="72">
        <v>0</v>
      </c>
      <c r="BS632" s="72">
        <v>0</v>
      </c>
      <c r="BT632" s="72">
        <v>0</v>
      </c>
      <c r="BU632" s="72">
        <v>0</v>
      </c>
      <c r="BV632" s="72">
        <v>0</v>
      </c>
      <c r="BW632" s="72">
        <v>0</v>
      </c>
      <c r="BX632" s="72">
        <v>0</v>
      </c>
      <c r="BY632" s="72">
        <v>0</v>
      </c>
      <c r="BZ632" s="72">
        <v>0</v>
      </c>
      <c r="CA632" s="72">
        <v>0</v>
      </c>
      <c r="CB632" s="72">
        <v>0</v>
      </c>
      <c r="CC632" s="72">
        <v>0</v>
      </c>
      <c r="CD632" s="72">
        <v>0</v>
      </c>
      <c r="CE632" s="72">
        <v>0</v>
      </c>
      <c r="CF632" s="72">
        <v>0</v>
      </c>
      <c r="CG632" s="72">
        <v>0</v>
      </c>
      <c r="CH632" s="72">
        <v>0</v>
      </c>
      <c r="CI632" s="72">
        <v>0</v>
      </c>
      <c r="CJ632" s="72">
        <v>0</v>
      </c>
      <c r="CK632" s="72">
        <v>0</v>
      </c>
      <c r="CL632" s="72">
        <v>0</v>
      </c>
      <c r="CM632" s="72">
        <v>0</v>
      </c>
      <c r="CN632" s="72">
        <v>0</v>
      </c>
      <c r="CO632" s="72">
        <v>0</v>
      </c>
      <c r="CP632" s="72">
        <v>0</v>
      </c>
      <c r="CQ632" s="72">
        <v>0</v>
      </c>
      <c r="CR632" s="72">
        <v>0</v>
      </c>
      <c r="CS632" s="72">
        <v>0</v>
      </c>
      <c r="CT632" s="72">
        <v>0</v>
      </c>
      <c r="CU632" s="72">
        <v>0</v>
      </c>
      <c r="CV632" s="72">
        <v>0</v>
      </c>
      <c r="CW632" s="72">
        <v>0</v>
      </c>
      <c r="CX632" s="72">
        <v>0</v>
      </c>
      <c r="CY632" s="72">
        <v>0</v>
      </c>
      <c r="CZ632" s="72">
        <v>0</v>
      </c>
      <c r="DA632" s="72">
        <v>0</v>
      </c>
      <c r="DB632" s="72">
        <v>0</v>
      </c>
      <c r="DC632" s="72">
        <v>0</v>
      </c>
      <c r="DD632" s="72">
        <v>0</v>
      </c>
      <c r="DE632" s="72">
        <v>0</v>
      </c>
      <c r="DF632" s="72">
        <v>0</v>
      </c>
      <c r="DG632" s="72">
        <v>0</v>
      </c>
      <c r="DH632" s="72">
        <v>0</v>
      </c>
      <c r="DI632" s="72">
        <v>0</v>
      </c>
      <c r="DJ632" s="72">
        <v>0</v>
      </c>
      <c r="DK632" s="72">
        <v>0</v>
      </c>
      <c r="DL632" s="72">
        <v>0</v>
      </c>
      <c r="DM632" s="72">
        <v>0</v>
      </c>
      <c r="DN632" s="72">
        <v>0</v>
      </c>
      <c r="DO632" s="72">
        <v>0</v>
      </c>
      <c r="DP632" s="72">
        <v>0</v>
      </c>
      <c r="DQ632" s="72">
        <v>0</v>
      </c>
      <c r="DR632" s="72">
        <v>0</v>
      </c>
      <c r="DS632" s="72">
        <v>0</v>
      </c>
      <c r="DT632" s="72">
        <v>0</v>
      </c>
      <c r="DU632" s="72">
        <v>0</v>
      </c>
      <c r="DV632" s="72">
        <v>0</v>
      </c>
      <c r="DW632" s="72">
        <v>0</v>
      </c>
      <c r="DX632" s="72">
        <v>0</v>
      </c>
      <c r="DY632" s="72">
        <v>0</v>
      </c>
      <c r="DZ632" s="72">
        <v>0</v>
      </c>
      <c r="EA632" s="72">
        <v>0</v>
      </c>
      <c r="EB632" s="72">
        <v>0</v>
      </c>
      <c r="EC632" s="72">
        <v>0</v>
      </c>
      <c r="ED632" s="72">
        <v>0</v>
      </c>
      <c r="EE632" s="72">
        <v>0</v>
      </c>
      <c r="EF632" s="72">
        <v>0</v>
      </c>
      <c r="EG632" s="72">
        <v>0</v>
      </c>
      <c r="EH632" s="72">
        <v>0</v>
      </c>
      <c r="EI632" s="72">
        <v>0</v>
      </c>
      <c r="EJ632" s="72">
        <v>0</v>
      </c>
      <c r="EK632" s="72">
        <v>0</v>
      </c>
      <c r="EL632" s="72">
        <v>0</v>
      </c>
    </row>
    <row r="633" spans="1:142" x14ac:dyDescent="0.35">
      <c r="A633" s="59">
        <f>Данные!A633</f>
        <v>5762</v>
      </c>
      <c r="B633" s="59">
        <f>Данные!B633</f>
        <v>2017</v>
      </c>
      <c r="C633" s="59" t="str">
        <f>Данные!C633</f>
        <v>компьютерных технологий и электронного обучения</v>
      </c>
      <c r="D633" s="59" t="str">
        <f>Данные!D633</f>
        <v>Гончарова Светлана Викторовна</v>
      </c>
      <c r="E633" s="59" t="str">
        <f>Данные!E633</f>
        <v>кандидат педагогических наук</v>
      </c>
      <c r="F633" s="59" t="str">
        <f>Данные!F633</f>
        <v>доцент</v>
      </c>
      <c r="G633" s="59">
        <f>Данные!G633</f>
        <v>1</v>
      </c>
      <c r="H633" s="59">
        <f>Данные!H633</f>
        <v>16595</v>
      </c>
      <c r="I633" s="59" t="str">
        <f>Данные!I633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33" s="59">
        <f>Данные!J633</f>
        <v>0</v>
      </c>
      <c r="K633" s="59">
        <f>Данные!K633</f>
        <v>0</v>
      </c>
      <c r="L633" s="59">
        <f>Данные!L633</f>
        <v>0</v>
      </c>
      <c r="M633" s="60">
        <f t="shared" si="81"/>
        <v>0</v>
      </c>
      <c r="N633" s="60">
        <f t="shared" ca="1" si="82"/>
        <v>5.3000000000000007</v>
      </c>
      <c r="O633" s="60">
        <f t="shared" ca="1" si="83"/>
        <v>2.5</v>
      </c>
      <c r="P633" s="60">
        <f t="shared" ca="1" si="84"/>
        <v>2.5</v>
      </c>
      <c r="Q633" s="54">
        <f>Данные!Q633</f>
        <v>0</v>
      </c>
      <c r="R633" s="54">
        <f>Данные!R633</f>
        <v>0</v>
      </c>
      <c r="S633" s="54">
        <f>Данные!S633</f>
        <v>0</v>
      </c>
      <c r="T633" s="54">
        <f>Данные!T633</f>
        <v>0</v>
      </c>
      <c r="U633" s="54">
        <f>Данные!U633</f>
        <v>2</v>
      </c>
      <c r="V633" s="54">
        <f>Данные!V633</f>
        <v>0</v>
      </c>
      <c r="W633" s="54">
        <f ca="1">Данные!W633</f>
        <v>10</v>
      </c>
      <c r="X633" s="54" t="str">
        <f ca="1">Данные!X633</f>
        <v>1</v>
      </c>
      <c r="Y633" s="54" t="str">
        <f ca="1">Данные!Y633</f>
        <v>1</v>
      </c>
      <c r="Z633" s="54">
        <f>Данные!Z633</f>
        <v>0</v>
      </c>
      <c r="AA633" s="54" t="str">
        <f>Данные!AA633</f>
        <v>осн</v>
      </c>
      <c r="AB633" s="101">
        <f t="shared" si="85"/>
        <v>800</v>
      </c>
      <c r="AC633" s="101" t="str">
        <f t="shared" si="86"/>
        <v>КЭО (маг)</v>
      </c>
      <c r="AD633" s="101" t="str">
        <f t="shared" si="87"/>
        <v/>
      </c>
      <c r="AE633" s="102">
        <f t="shared" ca="1" si="88"/>
        <v>12.3</v>
      </c>
      <c r="AF633" s="103">
        <f t="shared" ca="1" si="89"/>
        <v>1.5375000000000002E-2</v>
      </c>
      <c r="AG633" s="101"/>
      <c r="AH633" s="101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Q633" s="72">
        <v>0</v>
      </c>
      <c r="BR633" s="72">
        <v>0</v>
      </c>
      <c r="BS633" s="72">
        <v>0</v>
      </c>
      <c r="BT633" s="72">
        <v>0</v>
      </c>
      <c r="BU633" s="72">
        <v>0</v>
      </c>
      <c r="BV633" s="72">
        <v>0</v>
      </c>
      <c r="BW633" s="72">
        <v>0</v>
      </c>
      <c r="BX633" s="72">
        <v>0</v>
      </c>
      <c r="BY633" s="72">
        <v>0</v>
      </c>
      <c r="BZ633" s="72">
        <v>0</v>
      </c>
      <c r="CA633" s="72">
        <v>0</v>
      </c>
      <c r="CB633" s="72">
        <v>0</v>
      </c>
      <c r="CC633" s="72">
        <v>0</v>
      </c>
      <c r="CD633" s="72">
        <v>0</v>
      </c>
      <c r="CE633" s="72">
        <v>0</v>
      </c>
      <c r="CF633" s="72">
        <v>0</v>
      </c>
      <c r="CG633" s="72">
        <v>0</v>
      </c>
      <c r="CH633" s="72">
        <v>0</v>
      </c>
      <c r="CI633" s="72">
        <v>0</v>
      </c>
      <c r="CJ633" s="72">
        <v>0</v>
      </c>
      <c r="CK633" s="72">
        <v>0</v>
      </c>
      <c r="CL633" s="72">
        <v>0</v>
      </c>
      <c r="CM633" s="72">
        <v>0</v>
      </c>
      <c r="CN633" s="72">
        <v>0</v>
      </c>
      <c r="CO633" s="72">
        <v>0</v>
      </c>
      <c r="CP633" s="72">
        <v>0</v>
      </c>
      <c r="CQ633" s="72">
        <v>0</v>
      </c>
      <c r="CR633" s="72">
        <v>0</v>
      </c>
      <c r="CS633" s="72">
        <v>0</v>
      </c>
      <c r="CT633" s="72">
        <v>0</v>
      </c>
      <c r="CU633" s="72">
        <v>0</v>
      </c>
      <c r="CV633" s="72">
        <v>0</v>
      </c>
      <c r="CW633" s="72">
        <v>0</v>
      </c>
      <c r="CX633" s="72">
        <v>0</v>
      </c>
      <c r="CY633" s="72">
        <v>0</v>
      </c>
      <c r="CZ633" s="72">
        <v>0</v>
      </c>
      <c r="DA633" s="72">
        <v>0</v>
      </c>
      <c r="DB633" s="72">
        <v>0</v>
      </c>
      <c r="DC633" s="72">
        <v>0</v>
      </c>
      <c r="DD633" s="72">
        <v>0</v>
      </c>
      <c r="DE633" s="72">
        <v>0</v>
      </c>
      <c r="DF633" s="72">
        <v>0</v>
      </c>
      <c r="DG633" s="72">
        <v>0</v>
      </c>
      <c r="DH633" s="72">
        <v>0</v>
      </c>
      <c r="DI633" s="72">
        <v>0</v>
      </c>
      <c r="DJ633" s="72">
        <v>0</v>
      </c>
      <c r="DK633" s="72">
        <v>0</v>
      </c>
      <c r="DL633" s="72">
        <v>0</v>
      </c>
      <c r="DM633" s="72">
        <v>0</v>
      </c>
      <c r="DN633" s="72">
        <v>0</v>
      </c>
      <c r="DO633" s="72">
        <v>0</v>
      </c>
      <c r="DP633" s="72">
        <v>0</v>
      </c>
      <c r="DQ633" s="72">
        <v>0</v>
      </c>
      <c r="DR633" s="72">
        <v>0</v>
      </c>
      <c r="DS633" s="72">
        <v>0</v>
      </c>
      <c r="DT633" s="72">
        <v>0</v>
      </c>
      <c r="DU633" s="72">
        <v>0</v>
      </c>
      <c r="DV633" s="72">
        <v>0</v>
      </c>
      <c r="DW633" s="72">
        <v>0</v>
      </c>
      <c r="DX633" s="72">
        <v>0</v>
      </c>
      <c r="DY633" s="72">
        <v>0</v>
      </c>
      <c r="DZ633" s="72">
        <v>0</v>
      </c>
      <c r="EA633" s="72">
        <v>0</v>
      </c>
      <c r="EB633" s="72">
        <v>0</v>
      </c>
      <c r="EC633" s="72">
        <v>0</v>
      </c>
      <c r="ED633" s="72">
        <v>0</v>
      </c>
      <c r="EE633" s="72">
        <v>0</v>
      </c>
      <c r="EF633" s="72">
        <v>0</v>
      </c>
      <c r="EG633" s="72">
        <v>0</v>
      </c>
      <c r="EH633" s="72">
        <v>0</v>
      </c>
      <c r="EI633" s="72">
        <v>0</v>
      </c>
      <c r="EJ633" s="72">
        <v>0</v>
      </c>
      <c r="EK633" s="72">
        <v>0</v>
      </c>
      <c r="EL633" s="72">
        <v>0</v>
      </c>
    </row>
    <row r="634" spans="1:142" x14ac:dyDescent="0.35">
      <c r="A634" s="59">
        <f>Данные!A634</f>
        <v>5762</v>
      </c>
      <c r="B634" s="59">
        <f>Данные!B634</f>
        <v>2017</v>
      </c>
      <c r="C634" s="59" t="str">
        <f>Данные!C634</f>
        <v>компьютерных технологий и электронного обучения</v>
      </c>
      <c r="D634" s="59" t="str">
        <f>Данные!D634</f>
        <v>Гончарова Светлана Викторовна</v>
      </c>
      <c r="E634" s="59" t="str">
        <f>Данные!E634</f>
        <v>кандидат педагогических наук</v>
      </c>
      <c r="F634" s="59" t="str">
        <f>Данные!F634</f>
        <v>доцент</v>
      </c>
      <c r="G634" s="59">
        <f>Данные!G634</f>
        <v>1</v>
      </c>
      <c r="H634" s="59">
        <f>Данные!H634</f>
        <v>16595</v>
      </c>
      <c r="I634" s="59" t="str">
        <f>Данные!I634</f>
        <v>Руководство ВКР (магистерская диссертация)</v>
      </c>
      <c r="J634" s="59">
        <f>Данные!J634</f>
        <v>0</v>
      </c>
      <c r="K634" s="59">
        <f>Данные!K634</f>
        <v>0</v>
      </c>
      <c r="L634" s="59">
        <f>Данные!L634</f>
        <v>0</v>
      </c>
      <c r="M634" s="60">
        <f t="shared" si="81"/>
        <v>0</v>
      </c>
      <c r="N634" s="60">
        <f t="shared" ca="1" si="82"/>
        <v>5.3000000000000007</v>
      </c>
      <c r="O634" s="60">
        <f t="shared" ca="1" si="83"/>
        <v>2.5</v>
      </c>
      <c r="P634" s="60">
        <f t="shared" ca="1" si="84"/>
        <v>2.5</v>
      </c>
      <c r="Q634" s="54">
        <f>Данные!Q634</f>
        <v>0</v>
      </c>
      <c r="R634" s="54">
        <f>Данные!R634</f>
        <v>0</v>
      </c>
      <c r="S634" s="54">
        <f>Данные!S634</f>
        <v>0</v>
      </c>
      <c r="T634" s="54">
        <f>Данные!T634</f>
        <v>0</v>
      </c>
      <c r="U634" s="54">
        <f>Данные!U634</f>
        <v>0</v>
      </c>
      <c r="V634" s="54">
        <f>Данные!V634</f>
        <v>18</v>
      </c>
      <c r="W634" s="54">
        <f ca="1">Данные!W634</f>
        <v>10</v>
      </c>
      <c r="X634" s="54" t="str">
        <f ca="1">Данные!X634</f>
        <v>1</v>
      </c>
      <c r="Y634" s="54" t="str">
        <f ca="1">Данные!Y634</f>
        <v>1</v>
      </c>
      <c r="Z634" s="54">
        <f>Данные!Z634</f>
        <v>0</v>
      </c>
      <c r="AA634" s="54" t="str">
        <f>Данные!AA634</f>
        <v>осн</v>
      </c>
      <c r="AB634" s="101">
        <f t="shared" si="85"/>
        <v>800</v>
      </c>
      <c r="AC634" s="101" t="str">
        <f t="shared" si="86"/>
        <v>КЭО (маг)</v>
      </c>
      <c r="AD634" s="101" t="str">
        <f t="shared" si="87"/>
        <v/>
      </c>
      <c r="AE634" s="102">
        <f t="shared" ca="1" si="88"/>
        <v>28.3</v>
      </c>
      <c r="AF634" s="103">
        <f t="shared" ca="1" si="89"/>
        <v>3.5375000000000004E-2</v>
      </c>
      <c r="AG634" s="101"/>
      <c r="AH634" s="101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Q634" s="72">
        <v>0</v>
      </c>
      <c r="BR634" s="72">
        <v>0</v>
      </c>
      <c r="BS634" s="72">
        <v>0</v>
      </c>
      <c r="BT634" s="72">
        <v>0</v>
      </c>
      <c r="BU634" s="72">
        <v>0</v>
      </c>
      <c r="BV634" s="72">
        <v>0</v>
      </c>
      <c r="BW634" s="72">
        <v>0</v>
      </c>
      <c r="BX634" s="72">
        <v>0</v>
      </c>
      <c r="BY634" s="72">
        <v>0</v>
      </c>
      <c r="BZ634" s="72">
        <v>0</v>
      </c>
      <c r="CA634" s="72">
        <v>0</v>
      </c>
      <c r="CB634" s="72">
        <v>0</v>
      </c>
      <c r="CC634" s="72">
        <v>0</v>
      </c>
      <c r="CD634" s="72">
        <v>0</v>
      </c>
      <c r="CE634" s="72">
        <v>0</v>
      </c>
      <c r="CF634" s="72">
        <v>0</v>
      </c>
      <c r="CG634" s="72">
        <v>0</v>
      </c>
      <c r="CH634" s="72">
        <v>0</v>
      </c>
      <c r="CI634" s="72">
        <v>0</v>
      </c>
      <c r="CJ634" s="72">
        <v>0</v>
      </c>
      <c r="CK634" s="72">
        <v>0</v>
      </c>
      <c r="CL634" s="72">
        <v>0</v>
      </c>
      <c r="CM634" s="72">
        <v>0</v>
      </c>
      <c r="CN634" s="72">
        <v>0</v>
      </c>
      <c r="CO634" s="72">
        <v>0</v>
      </c>
      <c r="CP634" s="72">
        <v>0</v>
      </c>
      <c r="CQ634" s="72">
        <v>0</v>
      </c>
      <c r="CR634" s="72">
        <v>0</v>
      </c>
      <c r="CS634" s="72">
        <v>0</v>
      </c>
      <c r="CT634" s="72">
        <v>0</v>
      </c>
      <c r="CU634" s="72">
        <v>0</v>
      </c>
      <c r="CV634" s="72">
        <v>0</v>
      </c>
      <c r="CW634" s="72">
        <v>0</v>
      </c>
      <c r="CX634" s="72">
        <v>0</v>
      </c>
      <c r="CY634" s="72">
        <v>0</v>
      </c>
      <c r="CZ634" s="72">
        <v>0</v>
      </c>
      <c r="DA634" s="72">
        <v>0</v>
      </c>
      <c r="DB634" s="72">
        <v>0</v>
      </c>
      <c r="DC634" s="72">
        <v>0</v>
      </c>
      <c r="DD634" s="72">
        <v>0</v>
      </c>
      <c r="DE634" s="72">
        <v>0</v>
      </c>
      <c r="DF634" s="72">
        <v>0</v>
      </c>
      <c r="DG634" s="72">
        <v>0</v>
      </c>
      <c r="DH634" s="72">
        <v>0</v>
      </c>
      <c r="DI634" s="72">
        <v>0</v>
      </c>
      <c r="DJ634" s="72">
        <v>0</v>
      </c>
      <c r="DK634" s="72">
        <v>0</v>
      </c>
      <c r="DL634" s="72">
        <v>0</v>
      </c>
      <c r="DM634" s="72">
        <v>0</v>
      </c>
      <c r="DN634" s="72">
        <v>0</v>
      </c>
      <c r="DO634" s="72">
        <v>0</v>
      </c>
      <c r="DP634" s="72">
        <v>0</v>
      </c>
      <c r="DQ634" s="72">
        <v>0</v>
      </c>
      <c r="DR634" s="72">
        <v>0</v>
      </c>
      <c r="DS634" s="72">
        <v>0</v>
      </c>
      <c r="DT634" s="72">
        <v>0</v>
      </c>
      <c r="DU634" s="72">
        <v>0</v>
      </c>
      <c r="DV634" s="72">
        <v>0</v>
      </c>
      <c r="DW634" s="72">
        <v>0</v>
      </c>
      <c r="DX634" s="72">
        <v>0</v>
      </c>
      <c r="DY634" s="72">
        <v>0</v>
      </c>
      <c r="DZ634" s="72">
        <v>0</v>
      </c>
      <c r="EA634" s="72">
        <v>0</v>
      </c>
      <c r="EB634" s="72">
        <v>0</v>
      </c>
      <c r="EC634" s="72">
        <v>0</v>
      </c>
      <c r="ED634" s="72">
        <v>0</v>
      </c>
      <c r="EE634" s="72">
        <v>0</v>
      </c>
      <c r="EF634" s="72">
        <v>0</v>
      </c>
      <c r="EG634" s="72">
        <v>0</v>
      </c>
      <c r="EH634" s="72">
        <v>0</v>
      </c>
      <c r="EI634" s="72">
        <v>0</v>
      </c>
      <c r="EJ634" s="72">
        <v>0</v>
      </c>
      <c r="EK634" s="72">
        <v>0</v>
      </c>
      <c r="EL634" s="72">
        <v>0</v>
      </c>
    </row>
    <row r="635" spans="1:142" x14ac:dyDescent="0.35">
      <c r="A635" s="59">
        <f>Данные!A635</f>
        <v>5762</v>
      </c>
      <c r="B635" s="59">
        <f>Данные!B635</f>
        <v>2017</v>
      </c>
      <c r="C635" s="59" t="str">
        <f>Данные!C635</f>
        <v>компьютерных технологий и электронного обучения</v>
      </c>
      <c r="D635" s="59" t="str">
        <f>Данные!D635</f>
        <v>Государев Илья Борисович</v>
      </c>
      <c r="E635" s="59" t="str">
        <f>Данные!E635</f>
        <v>кандидат педагогических наук</v>
      </c>
      <c r="F635" s="59" t="str">
        <f>Данные!F635</f>
        <v>доцент</v>
      </c>
      <c r="G635" s="59">
        <f>Данные!G635</f>
        <v>1</v>
      </c>
      <c r="H635" s="59">
        <f>Данные!H635</f>
        <v>16595</v>
      </c>
      <c r="I635" s="59" t="str">
        <f>Данные!I635</f>
        <v>Модуль "IT- инфраструктура образовательного учреждения". Web-технологии и web-проектирование</v>
      </c>
      <c r="J635" s="59">
        <f>Данные!J635</f>
        <v>0</v>
      </c>
      <c r="K635" s="59">
        <f>Данные!K635</f>
        <v>9</v>
      </c>
      <c r="L635" s="59">
        <f>Данные!L635</f>
        <v>0</v>
      </c>
      <c r="M635" s="60">
        <f t="shared" si="81"/>
        <v>0.9</v>
      </c>
      <c r="N635" s="60">
        <f t="shared" ca="1" si="82"/>
        <v>5.3000000000000007</v>
      </c>
      <c r="O635" s="60">
        <f t="shared" ca="1" si="83"/>
        <v>2.5</v>
      </c>
      <c r="P635" s="60">
        <f t="shared" ca="1" si="84"/>
        <v>2.5</v>
      </c>
      <c r="Q635" s="54">
        <f>Данные!Q635</f>
        <v>0</v>
      </c>
      <c r="R635" s="54">
        <f>Данные!R635</f>
        <v>0</v>
      </c>
      <c r="S635" s="54">
        <f>Данные!S635</f>
        <v>0</v>
      </c>
      <c r="T635" s="54">
        <f>Данные!T635</f>
        <v>0</v>
      </c>
      <c r="U635" s="54">
        <f>Данные!U635</f>
        <v>0</v>
      </c>
      <c r="V635" s="54">
        <f>Данные!V635</f>
        <v>0</v>
      </c>
      <c r="W635" s="54">
        <f ca="1">Данные!W635</f>
        <v>10</v>
      </c>
      <c r="X635" s="54" t="str">
        <f ca="1">Данные!X635</f>
        <v>1</v>
      </c>
      <c r="Y635" s="54" t="str">
        <f ca="1">Данные!Y635</f>
        <v>1</v>
      </c>
      <c r="Z635" s="54">
        <f>Данные!Z635</f>
        <v>0</v>
      </c>
      <c r="AA635" s="54" t="str">
        <f>Данные!AA635</f>
        <v>осн</v>
      </c>
      <c r="AB635" s="101">
        <f t="shared" si="85"/>
        <v>800</v>
      </c>
      <c r="AC635" s="101" t="str">
        <f t="shared" si="86"/>
        <v>КЭО (маг)</v>
      </c>
      <c r="AD635" s="101" t="str">
        <f t="shared" si="87"/>
        <v/>
      </c>
      <c r="AE635" s="102">
        <f t="shared" ca="1" si="88"/>
        <v>20.200000000000003</v>
      </c>
      <c r="AF635" s="103">
        <f t="shared" ca="1" si="89"/>
        <v>2.5250000000000005E-2</v>
      </c>
      <c r="AG635" s="101"/>
      <c r="AH635" s="101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Q635" s="72">
        <v>0</v>
      </c>
      <c r="BR635" s="72">
        <v>0</v>
      </c>
      <c r="BS635" s="72">
        <v>0</v>
      </c>
      <c r="BT635" s="72">
        <v>0</v>
      </c>
      <c r="BU635" s="72">
        <v>0</v>
      </c>
      <c r="BV635" s="72">
        <v>0</v>
      </c>
      <c r="BW635" s="72">
        <v>0</v>
      </c>
      <c r="BX635" s="72">
        <v>0</v>
      </c>
      <c r="BY635" s="72">
        <v>0</v>
      </c>
      <c r="BZ635" s="72">
        <v>0</v>
      </c>
      <c r="CA635" s="72">
        <v>0</v>
      </c>
      <c r="CB635" s="72">
        <v>0</v>
      </c>
      <c r="CC635" s="72">
        <v>0</v>
      </c>
      <c r="CD635" s="72">
        <v>0</v>
      </c>
      <c r="CE635" s="72">
        <v>0</v>
      </c>
      <c r="CF635" s="72">
        <v>0</v>
      </c>
      <c r="CG635" s="72">
        <v>0</v>
      </c>
      <c r="CH635" s="72">
        <v>0</v>
      </c>
      <c r="CI635" s="72">
        <v>0</v>
      </c>
      <c r="CJ635" s="72">
        <v>0</v>
      </c>
      <c r="CK635" s="72">
        <v>0</v>
      </c>
      <c r="CL635" s="72">
        <v>0</v>
      </c>
      <c r="CM635" s="72">
        <v>0</v>
      </c>
      <c r="CN635" s="72">
        <v>0</v>
      </c>
      <c r="CO635" s="72">
        <v>0</v>
      </c>
      <c r="CP635" s="72">
        <v>0</v>
      </c>
      <c r="CQ635" s="72">
        <v>0</v>
      </c>
      <c r="CR635" s="72">
        <v>0</v>
      </c>
      <c r="CS635" s="72">
        <v>0</v>
      </c>
      <c r="CT635" s="72">
        <v>0</v>
      </c>
      <c r="CU635" s="72">
        <v>0</v>
      </c>
      <c r="CV635" s="72">
        <v>0</v>
      </c>
      <c r="CW635" s="72">
        <v>0</v>
      </c>
      <c r="CX635" s="72">
        <v>0</v>
      </c>
      <c r="CY635" s="72">
        <v>0</v>
      </c>
      <c r="CZ635" s="72">
        <v>0</v>
      </c>
      <c r="DA635" s="72">
        <v>0</v>
      </c>
      <c r="DB635" s="72">
        <v>0</v>
      </c>
      <c r="DC635" s="72">
        <v>0</v>
      </c>
      <c r="DD635" s="72">
        <v>0</v>
      </c>
      <c r="DE635" s="72">
        <v>0</v>
      </c>
      <c r="DF635" s="72">
        <v>0</v>
      </c>
      <c r="DG635" s="72">
        <v>0</v>
      </c>
      <c r="DH635" s="72">
        <v>0</v>
      </c>
      <c r="DI635" s="72">
        <v>0</v>
      </c>
      <c r="DJ635" s="72">
        <v>0</v>
      </c>
      <c r="DK635" s="72">
        <v>0</v>
      </c>
      <c r="DL635" s="72">
        <v>0</v>
      </c>
      <c r="DM635" s="72">
        <v>0</v>
      </c>
      <c r="DN635" s="72">
        <v>0</v>
      </c>
      <c r="DO635" s="72">
        <v>0</v>
      </c>
      <c r="DP635" s="72">
        <v>0</v>
      </c>
      <c r="DQ635" s="72">
        <v>0</v>
      </c>
      <c r="DR635" s="72">
        <v>0</v>
      </c>
      <c r="DS635" s="72">
        <v>0</v>
      </c>
      <c r="DT635" s="72">
        <v>0</v>
      </c>
      <c r="DU635" s="72">
        <v>0</v>
      </c>
      <c r="DV635" s="72">
        <v>0</v>
      </c>
      <c r="DW635" s="72">
        <v>0</v>
      </c>
      <c r="DX635" s="72">
        <v>0</v>
      </c>
      <c r="DY635" s="72">
        <v>0</v>
      </c>
      <c r="DZ635" s="72">
        <v>0</v>
      </c>
      <c r="EA635" s="72">
        <v>0</v>
      </c>
      <c r="EB635" s="72">
        <v>0</v>
      </c>
      <c r="EC635" s="72">
        <v>0</v>
      </c>
      <c r="ED635" s="72">
        <v>0</v>
      </c>
      <c r="EE635" s="72">
        <v>0</v>
      </c>
      <c r="EF635" s="72">
        <v>0</v>
      </c>
      <c r="EG635" s="72">
        <v>0</v>
      </c>
      <c r="EH635" s="72">
        <v>0</v>
      </c>
      <c r="EI635" s="72">
        <v>0</v>
      </c>
      <c r="EJ635" s="72">
        <v>0</v>
      </c>
      <c r="EK635" s="72">
        <v>0</v>
      </c>
      <c r="EL635" s="72">
        <v>0</v>
      </c>
    </row>
    <row r="636" spans="1:142" x14ac:dyDescent="0.35">
      <c r="A636" s="59">
        <f>Данные!A636</f>
        <v>5762</v>
      </c>
      <c r="B636" s="59">
        <f>Данные!B636</f>
        <v>2017</v>
      </c>
      <c r="C636" s="59" t="str">
        <f>Данные!C636</f>
        <v>компьютерных технологий и электронного обучения</v>
      </c>
      <c r="D636" s="59" t="str">
        <f>Данные!D636</f>
        <v>Государев Илья Борисович</v>
      </c>
      <c r="E636" s="59" t="str">
        <f>Данные!E636</f>
        <v>кандидат педагогических наук</v>
      </c>
      <c r="F636" s="59" t="str">
        <f>Данные!F636</f>
        <v>доцент</v>
      </c>
      <c r="G636" s="59">
        <f>Данные!G636</f>
        <v>1</v>
      </c>
      <c r="H636" s="59">
        <f>Данные!H636</f>
        <v>16595</v>
      </c>
      <c r="I636" s="59" t="str">
        <f>Данные!I636</f>
        <v>Модуль "Инновационные методы и технологии корпоративного электронного обучения "</v>
      </c>
      <c r="J636" s="59">
        <f>Данные!J636</f>
        <v>0</v>
      </c>
      <c r="K636" s="59">
        <f>Данные!K636</f>
        <v>0</v>
      </c>
      <c r="L636" s="59">
        <f>Данные!L636</f>
        <v>0</v>
      </c>
      <c r="M636" s="60">
        <f t="shared" si="81"/>
        <v>0</v>
      </c>
      <c r="N636" s="60">
        <f t="shared" ca="1" si="82"/>
        <v>5.3000000000000007</v>
      </c>
      <c r="O636" s="60">
        <f t="shared" ca="1" si="83"/>
        <v>2.5</v>
      </c>
      <c r="P636" s="60">
        <f t="shared" ca="1" si="84"/>
        <v>2.5</v>
      </c>
      <c r="Q636" s="54">
        <f>Данные!Q636</f>
        <v>0</v>
      </c>
      <c r="R636" s="54">
        <f>Данные!R636</f>
        <v>0</v>
      </c>
      <c r="S636" s="54">
        <f>Данные!S636</f>
        <v>0</v>
      </c>
      <c r="T636" s="54">
        <f>Данные!T636</f>
        <v>0</v>
      </c>
      <c r="U636" s="54">
        <f>Данные!U636</f>
        <v>0</v>
      </c>
      <c r="V636" s="54">
        <f>Данные!V636</f>
        <v>0</v>
      </c>
      <c r="W636" s="54">
        <f ca="1">Данные!W636</f>
        <v>10</v>
      </c>
      <c r="X636" s="54" t="str">
        <f ca="1">Данные!X636</f>
        <v>1</v>
      </c>
      <c r="Y636" s="54" t="str">
        <f ca="1">Данные!Y636</f>
        <v>1</v>
      </c>
      <c r="Z636" s="54">
        <f>Данные!Z636</f>
        <v>0</v>
      </c>
      <c r="AA636" s="54" t="str">
        <f>Данные!AA636</f>
        <v>осн</v>
      </c>
      <c r="AB636" s="101">
        <f t="shared" si="85"/>
        <v>800</v>
      </c>
      <c r="AC636" s="101" t="str">
        <f t="shared" si="86"/>
        <v>КЭО (маг)</v>
      </c>
      <c r="AD636" s="101" t="str">
        <f t="shared" si="87"/>
        <v/>
      </c>
      <c r="AE636" s="102">
        <f t="shared" ca="1" si="88"/>
        <v>10.3</v>
      </c>
      <c r="AF636" s="103">
        <f t="shared" ca="1" si="89"/>
        <v>1.2875000000000001E-2</v>
      </c>
      <c r="AG636" s="101"/>
      <c r="AH636" s="101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Q636" s="72">
        <v>0</v>
      </c>
      <c r="BR636" s="72">
        <v>0</v>
      </c>
      <c r="BS636" s="72">
        <v>0</v>
      </c>
      <c r="BT636" s="72">
        <v>0</v>
      </c>
      <c r="BU636" s="72">
        <v>0</v>
      </c>
      <c r="BV636" s="72">
        <v>0</v>
      </c>
      <c r="BW636" s="72">
        <v>0</v>
      </c>
      <c r="BX636" s="72">
        <v>0</v>
      </c>
      <c r="BY636" s="72">
        <v>0</v>
      </c>
      <c r="BZ636" s="72">
        <v>0</v>
      </c>
      <c r="CA636" s="72">
        <v>0</v>
      </c>
      <c r="CB636" s="72">
        <v>0</v>
      </c>
      <c r="CC636" s="72">
        <v>0</v>
      </c>
      <c r="CD636" s="72">
        <v>0</v>
      </c>
      <c r="CE636" s="72">
        <v>0</v>
      </c>
      <c r="CF636" s="72">
        <v>0</v>
      </c>
      <c r="CG636" s="72">
        <v>0</v>
      </c>
      <c r="CH636" s="72">
        <v>0</v>
      </c>
      <c r="CI636" s="72">
        <v>0</v>
      </c>
      <c r="CJ636" s="72">
        <v>0</v>
      </c>
      <c r="CK636" s="72">
        <v>0</v>
      </c>
      <c r="CL636" s="72">
        <v>0</v>
      </c>
      <c r="CM636" s="72">
        <v>0</v>
      </c>
      <c r="CN636" s="72">
        <v>0</v>
      </c>
      <c r="CO636" s="72">
        <v>0</v>
      </c>
      <c r="CP636" s="72">
        <v>0</v>
      </c>
      <c r="CQ636" s="72">
        <v>0</v>
      </c>
      <c r="CR636" s="72">
        <v>0</v>
      </c>
      <c r="CS636" s="72">
        <v>0</v>
      </c>
      <c r="CT636" s="72">
        <v>0</v>
      </c>
      <c r="CU636" s="72">
        <v>0</v>
      </c>
      <c r="CV636" s="72">
        <v>0</v>
      </c>
      <c r="CW636" s="72">
        <v>0</v>
      </c>
      <c r="CX636" s="72">
        <v>0</v>
      </c>
      <c r="CY636" s="72">
        <v>0</v>
      </c>
      <c r="CZ636" s="72">
        <v>0</v>
      </c>
      <c r="DA636" s="72">
        <v>0</v>
      </c>
      <c r="DB636" s="72">
        <v>0</v>
      </c>
      <c r="DC636" s="72">
        <v>0</v>
      </c>
      <c r="DD636" s="72">
        <v>0</v>
      </c>
      <c r="DE636" s="72">
        <v>0</v>
      </c>
      <c r="DF636" s="72">
        <v>0</v>
      </c>
      <c r="DG636" s="72">
        <v>0</v>
      </c>
      <c r="DH636" s="72">
        <v>0</v>
      </c>
      <c r="DI636" s="72">
        <v>0</v>
      </c>
      <c r="DJ636" s="72">
        <v>0</v>
      </c>
      <c r="DK636" s="72">
        <v>0</v>
      </c>
      <c r="DL636" s="72">
        <v>0</v>
      </c>
      <c r="DM636" s="72">
        <v>0</v>
      </c>
      <c r="DN636" s="72">
        <v>0</v>
      </c>
      <c r="DO636" s="72">
        <v>0</v>
      </c>
      <c r="DP636" s="72">
        <v>0</v>
      </c>
      <c r="DQ636" s="72">
        <v>0</v>
      </c>
      <c r="DR636" s="72">
        <v>0</v>
      </c>
      <c r="DS636" s="72">
        <v>0</v>
      </c>
      <c r="DT636" s="72">
        <v>0</v>
      </c>
      <c r="DU636" s="72">
        <v>0</v>
      </c>
      <c r="DV636" s="72">
        <v>0</v>
      </c>
      <c r="DW636" s="72">
        <v>0</v>
      </c>
      <c r="DX636" s="72">
        <v>0</v>
      </c>
      <c r="DY636" s="72">
        <v>0</v>
      </c>
      <c r="DZ636" s="72">
        <v>0</v>
      </c>
      <c r="EA636" s="72">
        <v>0</v>
      </c>
      <c r="EB636" s="72">
        <v>0</v>
      </c>
      <c r="EC636" s="72">
        <v>0</v>
      </c>
      <c r="ED636" s="72">
        <v>0</v>
      </c>
      <c r="EE636" s="72">
        <v>0</v>
      </c>
      <c r="EF636" s="72">
        <v>0</v>
      </c>
      <c r="EG636" s="72">
        <v>0</v>
      </c>
      <c r="EH636" s="72">
        <v>0</v>
      </c>
      <c r="EI636" s="72">
        <v>0</v>
      </c>
      <c r="EJ636" s="72">
        <v>0</v>
      </c>
      <c r="EK636" s="72">
        <v>0</v>
      </c>
      <c r="EL636" s="72">
        <v>0</v>
      </c>
    </row>
    <row r="637" spans="1:142" x14ac:dyDescent="0.35">
      <c r="A637" s="59">
        <f>Данные!A637</f>
        <v>5762</v>
      </c>
      <c r="B637" s="59">
        <f>Данные!B637</f>
        <v>2017</v>
      </c>
      <c r="C637" s="59" t="str">
        <f>Данные!C637</f>
        <v>компьютерных технологий и электронного обучения</v>
      </c>
      <c r="D637" s="59" t="str">
        <f>Данные!D637</f>
        <v>Государев Илья Борисович</v>
      </c>
      <c r="E637" s="59" t="str">
        <f>Данные!E637</f>
        <v>кандидат педагогических наук</v>
      </c>
      <c r="F637" s="59" t="str">
        <f>Данные!F637</f>
        <v>доцент</v>
      </c>
      <c r="G637" s="59">
        <f>Данные!G637</f>
        <v>1</v>
      </c>
      <c r="H637" s="59">
        <f>Данные!H637</f>
        <v>16595</v>
      </c>
      <c r="I637" s="59" t="str">
        <f>Данные!I637</f>
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</c>
      <c r="J637" s="59">
        <f>Данные!J637</f>
        <v>4</v>
      </c>
      <c r="K637" s="59">
        <f>Данные!K637</f>
        <v>0</v>
      </c>
      <c r="L637" s="59">
        <f>Данные!L637</f>
        <v>0</v>
      </c>
      <c r="M637" s="60">
        <f t="shared" si="81"/>
        <v>0.4</v>
      </c>
      <c r="N637" s="60">
        <f t="shared" ca="1" si="82"/>
        <v>5.3000000000000007</v>
      </c>
      <c r="O637" s="60">
        <f t="shared" ca="1" si="83"/>
        <v>2.5</v>
      </c>
      <c r="P637" s="60">
        <f t="shared" ca="1" si="84"/>
        <v>2.5</v>
      </c>
      <c r="Q637" s="54">
        <f>Данные!Q637</f>
        <v>0</v>
      </c>
      <c r="R637" s="54">
        <f>Данные!R637</f>
        <v>0</v>
      </c>
      <c r="S637" s="54">
        <f>Данные!S637</f>
        <v>0</v>
      </c>
      <c r="T637" s="54">
        <f>Данные!T637</f>
        <v>0</v>
      </c>
      <c r="U637" s="54">
        <f>Данные!U637</f>
        <v>0</v>
      </c>
      <c r="V637" s="54">
        <f>Данные!V637</f>
        <v>0</v>
      </c>
      <c r="W637" s="54">
        <f ca="1">Данные!W637</f>
        <v>10</v>
      </c>
      <c r="X637" s="54" t="str">
        <f ca="1">Данные!X637</f>
        <v>1</v>
      </c>
      <c r="Y637" s="54" t="str">
        <f ca="1">Данные!Y637</f>
        <v>1</v>
      </c>
      <c r="Z637" s="54">
        <f>Данные!Z637</f>
        <v>0</v>
      </c>
      <c r="AA637" s="54" t="str">
        <f>Данные!AA637</f>
        <v>осн</v>
      </c>
      <c r="AB637" s="101">
        <f t="shared" si="85"/>
        <v>800</v>
      </c>
      <c r="AC637" s="101" t="str">
        <f t="shared" si="86"/>
        <v>КЭО (маг)</v>
      </c>
      <c r="AD637" s="101" t="str">
        <f t="shared" si="87"/>
        <v/>
      </c>
      <c r="AE637" s="102">
        <f t="shared" ca="1" si="88"/>
        <v>14.700000000000001</v>
      </c>
      <c r="AF637" s="103">
        <f t="shared" ca="1" si="89"/>
        <v>1.8375000000000002E-2</v>
      </c>
      <c r="AG637" s="101"/>
      <c r="AH637" s="101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Q637" s="72">
        <v>0</v>
      </c>
      <c r="BR637" s="72">
        <v>0</v>
      </c>
      <c r="BS637" s="72">
        <v>0</v>
      </c>
      <c r="BT637" s="72">
        <v>0</v>
      </c>
      <c r="BU637" s="72">
        <v>0</v>
      </c>
      <c r="BV637" s="72">
        <v>0</v>
      </c>
      <c r="BW637" s="72">
        <v>0</v>
      </c>
      <c r="BX637" s="72">
        <v>0</v>
      </c>
      <c r="BY637" s="72">
        <v>0</v>
      </c>
      <c r="BZ637" s="72">
        <v>0</v>
      </c>
      <c r="CA637" s="72">
        <v>0</v>
      </c>
      <c r="CB637" s="72">
        <v>0</v>
      </c>
      <c r="CC637" s="72">
        <v>0</v>
      </c>
      <c r="CD637" s="72">
        <v>0</v>
      </c>
      <c r="CE637" s="72">
        <v>0</v>
      </c>
      <c r="CF637" s="72">
        <v>0</v>
      </c>
      <c r="CG637" s="72">
        <v>0</v>
      </c>
      <c r="CH637" s="72">
        <v>0</v>
      </c>
      <c r="CI637" s="72">
        <v>0</v>
      </c>
      <c r="CJ637" s="72">
        <v>0</v>
      </c>
      <c r="CK637" s="72">
        <v>0</v>
      </c>
      <c r="CL637" s="72">
        <v>0</v>
      </c>
      <c r="CM637" s="72">
        <v>0</v>
      </c>
      <c r="CN637" s="72">
        <v>0</v>
      </c>
      <c r="CO637" s="72">
        <v>0</v>
      </c>
      <c r="CP637" s="72">
        <v>0</v>
      </c>
      <c r="CQ637" s="72">
        <v>0</v>
      </c>
      <c r="CR637" s="72">
        <v>0</v>
      </c>
      <c r="CS637" s="72">
        <v>0</v>
      </c>
      <c r="CT637" s="72">
        <v>0</v>
      </c>
      <c r="CU637" s="72">
        <v>0</v>
      </c>
      <c r="CV637" s="72">
        <v>0</v>
      </c>
      <c r="CW637" s="72">
        <v>0</v>
      </c>
      <c r="CX637" s="72">
        <v>0</v>
      </c>
      <c r="CY637" s="72">
        <v>0</v>
      </c>
      <c r="CZ637" s="72">
        <v>0</v>
      </c>
      <c r="DA637" s="72">
        <v>0</v>
      </c>
      <c r="DB637" s="72">
        <v>0</v>
      </c>
      <c r="DC637" s="72">
        <v>0</v>
      </c>
      <c r="DD637" s="72">
        <v>0</v>
      </c>
      <c r="DE637" s="72">
        <v>0</v>
      </c>
      <c r="DF637" s="72">
        <v>0</v>
      </c>
      <c r="DG637" s="72">
        <v>0</v>
      </c>
      <c r="DH637" s="72">
        <v>0</v>
      </c>
      <c r="DI637" s="72">
        <v>0</v>
      </c>
      <c r="DJ637" s="72">
        <v>0</v>
      </c>
      <c r="DK637" s="72">
        <v>0</v>
      </c>
      <c r="DL637" s="72">
        <v>0</v>
      </c>
      <c r="DM637" s="72">
        <v>0</v>
      </c>
      <c r="DN637" s="72">
        <v>0</v>
      </c>
      <c r="DO637" s="72">
        <v>0</v>
      </c>
      <c r="DP637" s="72">
        <v>0</v>
      </c>
      <c r="DQ637" s="72">
        <v>0</v>
      </c>
      <c r="DR637" s="72">
        <v>0</v>
      </c>
      <c r="DS637" s="72">
        <v>0</v>
      </c>
      <c r="DT637" s="72">
        <v>0</v>
      </c>
      <c r="DU637" s="72">
        <v>0</v>
      </c>
      <c r="DV637" s="72">
        <v>0</v>
      </c>
      <c r="DW637" s="72">
        <v>0</v>
      </c>
      <c r="DX637" s="72">
        <v>0</v>
      </c>
      <c r="DY637" s="72">
        <v>0</v>
      </c>
      <c r="DZ637" s="72">
        <v>0</v>
      </c>
      <c r="EA637" s="72">
        <v>0</v>
      </c>
      <c r="EB637" s="72">
        <v>0</v>
      </c>
      <c r="EC637" s="72">
        <v>0</v>
      </c>
      <c r="ED637" s="72">
        <v>0</v>
      </c>
      <c r="EE637" s="72">
        <v>0</v>
      </c>
      <c r="EF637" s="72">
        <v>0</v>
      </c>
      <c r="EG637" s="72">
        <v>0</v>
      </c>
      <c r="EH637" s="72">
        <v>0</v>
      </c>
      <c r="EI637" s="72">
        <v>0</v>
      </c>
      <c r="EJ637" s="72">
        <v>0</v>
      </c>
      <c r="EK637" s="72">
        <v>0</v>
      </c>
      <c r="EL637" s="72">
        <v>0</v>
      </c>
    </row>
    <row r="638" spans="1:142" x14ac:dyDescent="0.35">
      <c r="A638" s="59">
        <f>Данные!A638</f>
        <v>5762</v>
      </c>
      <c r="B638" s="59">
        <f>Данные!B638</f>
        <v>2017</v>
      </c>
      <c r="C638" s="59" t="str">
        <f>Данные!C638</f>
        <v>компьютерных технологий и электронного обучения</v>
      </c>
      <c r="D638" s="59" t="str">
        <f>Данные!D638</f>
        <v>Государев Илья Борисович</v>
      </c>
      <c r="E638" s="59" t="str">
        <f>Данные!E638</f>
        <v>кандидат педагогических наук</v>
      </c>
      <c r="F638" s="59" t="str">
        <f>Данные!F638</f>
        <v>доцент</v>
      </c>
      <c r="G638" s="59">
        <f>Данные!G638</f>
        <v>1</v>
      </c>
      <c r="H638" s="59">
        <f>Данные!H638</f>
        <v>16595</v>
      </c>
      <c r="I638" s="59" t="str">
        <f>Данные!I638</f>
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</c>
      <c r="J638" s="59">
        <f>Данные!J638</f>
        <v>4</v>
      </c>
      <c r="K638" s="59">
        <f>Данные!K638</f>
        <v>0</v>
      </c>
      <c r="L638" s="59">
        <f>Данные!L638</f>
        <v>0</v>
      </c>
      <c r="M638" s="60">
        <f t="shared" si="81"/>
        <v>0.4</v>
      </c>
      <c r="N638" s="60">
        <f t="shared" ca="1" si="82"/>
        <v>5.3000000000000007</v>
      </c>
      <c r="O638" s="60">
        <f t="shared" ca="1" si="83"/>
        <v>2.5</v>
      </c>
      <c r="P638" s="60">
        <f t="shared" ca="1" si="84"/>
        <v>2.5</v>
      </c>
      <c r="Q638" s="54">
        <f>Данные!Q638</f>
        <v>0</v>
      </c>
      <c r="R638" s="54">
        <f>Данные!R638</f>
        <v>0</v>
      </c>
      <c r="S638" s="54">
        <f>Данные!S638</f>
        <v>0</v>
      </c>
      <c r="T638" s="54">
        <f>Данные!T638</f>
        <v>0</v>
      </c>
      <c r="U638" s="54">
        <f>Данные!U638</f>
        <v>0</v>
      </c>
      <c r="V638" s="54">
        <f>Данные!V638</f>
        <v>0</v>
      </c>
      <c r="W638" s="54">
        <f ca="1">Данные!W638</f>
        <v>10</v>
      </c>
      <c r="X638" s="54" t="str">
        <f ca="1">Данные!X638</f>
        <v>1</v>
      </c>
      <c r="Y638" s="54" t="str">
        <f ca="1">Данные!Y638</f>
        <v>1</v>
      </c>
      <c r="Z638" s="54">
        <f>Данные!Z638</f>
        <v>0</v>
      </c>
      <c r="AA638" s="54" t="str">
        <f>Данные!AA638</f>
        <v>осн</v>
      </c>
      <c r="AB638" s="101">
        <f t="shared" si="85"/>
        <v>800</v>
      </c>
      <c r="AC638" s="101" t="str">
        <f t="shared" si="86"/>
        <v>КЭО (маг)</v>
      </c>
      <c r="AD638" s="101" t="str">
        <f t="shared" si="87"/>
        <v/>
      </c>
      <c r="AE638" s="102">
        <f t="shared" ca="1" si="88"/>
        <v>14.700000000000001</v>
      </c>
      <c r="AF638" s="103">
        <f t="shared" ca="1" si="89"/>
        <v>1.8375000000000002E-2</v>
      </c>
      <c r="AG638" s="101"/>
      <c r="AH638" s="101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Q638" s="72">
        <v>0</v>
      </c>
      <c r="BR638" s="72">
        <v>0</v>
      </c>
      <c r="BS638" s="72">
        <v>0</v>
      </c>
      <c r="BT638" s="72">
        <v>0</v>
      </c>
      <c r="BU638" s="72">
        <v>0</v>
      </c>
      <c r="BV638" s="72">
        <v>0</v>
      </c>
      <c r="BW638" s="72">
        <v>0</v>
      </c>
      <c r="BX638" s="72">
        <v>0</v>
      </c>
      <c r="BY638" s="72">
        <v>0</v>
      </c>
      <c r="BZ638" s="72">
        <v>0</v>
      </c>
      <c r="CA638" s="72">
        <v>0</v>
      </c>
      <c r="CB638" s="72">
        <v>0</v>
      </c>
      <c r="CC638" s="72">
        <v>0</v>
      </c>
      <c r="CD638" s="72">
        <v>0</v>
      </c>
      <c r="CE638" s="72">
        <v>0</v>
      </c>
      <c r="CF638" s="72">
        <v>0</v>
      </c>
      <c r="CG638" s="72">
        <v>0</v>
      </c>
      <c r="CH638" s="72">
        <v>0</v>
      </c>
      <c r="CI638" s="72">
        <v>0</v>
      </c>
      <c r="CJ638" s="72">
        <v>0</v>
      </c>
      <c r="CK638" s="72">
        <v>0</v>
      </c>
      <c r="CL638" s="72">
        <v>0</v>
      </c>
      <c r="CM638" s="72">
        <v>0</v>
      </c>
      <c r="CN638" s="72">
        <v>0</v>
      </c>
      <c r="CO638" s="72">
        <v>0</v>
      </c>
      <c r="CP638" s="72">
        <v>0</v>
      </c>
      <c r="CQ638" s="72">
        <v>0</v>
      </c>
      <c r="CR638" s="72">
        <v>0</v>
      </c>
      <c r="CS638" s="72">
        <v>0</v>
      </c>
      <c r="CT638" s="72">
        <v>0</v>
      </c>
      <c r="CU638" s="72">
        <v>0</v>
      </c>
      <c r="CV638" s="72">
        <v>0</v>
      </c>
      <c r="CW638" s="72">
        <v>0</v>
      </c>
      <c r="CX638" s="72">
        <v>0</v>
      </c>
      <c r="CY638" s="72">
        <v>0</v>
      </c>
      <c r="CZ638" s="72">
        <v>0</v>
      </c>
      <c r="DA638" s="72">
        <v>0</v>
      </c>
      <c r="DB638" s="72">
        <v>0</v>
      </c>
      <c r="DC638" s="72">
        <v>0</v>
      </c>
      <c r="DD638" s="72">
        <v>0</v>
      </c>
      <c r="DE638" s="72">
        <v>0</v>
      </c>
      <c r="DF638" s="72">
        <v>0</v>
      </c>
      <c r="DG638" s="72">
        <v>0</v>
      </c>
      <c r="DH638" s="72">
        <v>0</v>
      </c>
      <c r="DI638" s="72">
        <v>0</v>
      </c>
      <c r="DJ638" s="72">
        <v>0</v>
      </c>
      <c r="DK638" s="72">
        <v>0</v>
      </c>
      <c r="DL638" s="72">
        <v>0</v>
      </c>
      <c r="DM638" s="72">
        <v>0</v>
      </c>
      <c r="DN638" s="72">
        <v>0</v>
      </c>
      <c r="DO638" s="72">
        <v>0</v>
      </c>
      <c r="DP638" s="72">
        <v>0</v>
      </c>
      <c r="DQ638" s="72">
        <v>0</v>
      </c>
      <c r="DR638" s="72">
        <v>0</v>
      </c>
      <c r="DS638" s="72">
        <v>0</v>
      </c>
      <c r="DT638" s="72">
        <v>0</v>
      </c>
      <c r="DU638" s="72">
        <v>0</v>
      </c>
      <c r="DV638" s="72">
        <v>0</v>
      </c>
      <c r="DW638" s="72">
        <v>0</v>
      </c>
      <c r="DX638" s="72">
        <v>0</v>
      </c>
      <c r="DY638" s="72">
        <v>0</v>
      </c>
      <c r="DZ638" s="72">
        <v>0</v>
      </c>
      <c r="EA638" s="72">
        <v>0</v>
      </c>
      <c r="EB638" s="72">
        <v>0</v>
      </c>
      <c r="EC638" s="72">
        <v>0</v>
      </c>
      <c r="ED638" s="72">
        <v>0</v>
      </c>
      <c r="EE638" s="72">
        <v>0</v>
      </c>
      <c r="EF638" s="72">
        <v>0</v>
      </c>
      <c r="EG638" s="72">
        <v>0</v>
      </c>
      <c r="EH638" s="72">
        <v>0</v>
      </c>
      <c r="EI638" s="72">
        <v>0</v>
      </c>
      <c r="EJ638" s="72">
        <v>0</v>
      </c>
      <c r="EK638" s="72">
        <v>0</v>
      </c>
      <c r="EL638" s="72">
        <v>0</v>
      </c>
    </row>
    <row r="639" spans="1:142" x14ac:dyDescent="0.35">
      <c r="A639" s="59">
        <f>Данные!A639</f>
        <v>5762</v>
      </c>
      <c r="B639" s="59">
        <f>Данные!B639</f>
        <v>2017</v>
      </c>
      <c r="C639" s="59" t="str">
        <f>Данные!C639</f>
        <v>компьютерных технологий и электронного обучения</v>
      </c>
      <c r="D639" s="59" t="str">
        <f>Данные!D639</f>
        <v>Государев Илья Борисович</v>
      </c>
      <c r="E639" s="59" t="str">
        <f>Данные!E639</f>
        <v>кандидат педагогических наук</v>
      </c>
      <c r="F639" s="59" t="str">
        <f>Данные!F639</f>
        <v>доцент</v>
      </c>
      <c r="G639" s="59">
        <f>Данные!G639</f>
        <v>1</v>
      </c>
      <c r="H639" s="59">
        <f>Данные!H639</f>
        <v>16595</v>
      </c>
      <c r="I639" s="59" t="str">
        <f>Данные!I639</f>
        <v>Модуль "Инновационные методы и технологии корпоративного электронного обучения ". Мобильное корпоративное обучение</v>
      </c>
      <c r="J639" s="59">
        <f>Данные!J639</f>
        <v>6</v>
      </c>
      <c r="K639" s="59">
        <f>Данные!K639</f>
        <v>0</v>
      </c>
      <c r="L639" s="59">
        <f>Данные!L639</f>
        <v>0</v>
      </c>
      <c r="M639" s="60">
        <f t="shared" si="81"/>
        <v>0.6</v>
      </c>
      <c r="N639" s="60">
        <f t="shared" ca="1" si="82"/>
        <v>5.3000000000000007</v>
      </c>
      <c r="O639" s="60">
        <f t="shared" ca="1" si="83"/>
        <v>2.5</v>
      </c>
      <c r="P639" s="60">
        <f t="shared" ca="1" si="84"/>
        <v>2.5</v>
      </c>
      <c r="Q639" s="54">
        <f>Данные!Q639</f>
        <v>0</v>
      </c>
      <c r="R639" s="54">
        <f>Данные!R639</f>
        <v>0</v>
      </c>
      <c r="S639" s="54">
        <f>Данные!S639</f>
        <v>0</v>
      </c>
      <c r="T639" s="54">
        <f>Данные!T639</f>
        <v>0</v>
      </c>
      <c r="U639" s="54">
        <f>Данные!U639</f>
        <v>0</v>
      </c>
      <c r="V639" s="54">
        <f>Данные!V639</f>
        <v>0</v>
      </c>
      <c r="W639" s="54">
        <f ca="1">Данные!W639</f>
        <v>10</v>
      </c>
      <c r="X639" s="54" t="str">
        <f ca="1">Данные!X639</f>
        <v>1</v>
      </c>
      <c r="Y639" s="54" t="str">
        <f ca="1">Данные!Y639</f>
        <v>1</v>
      </c>
      <c r="Z639" s="54">
        <f>Данные!Z639</f>
        <v>0</v>
      </c>
      <c r="AA639" s="54" t="str">
        <f>Данные!AA639</f>
        <v>доп</v>
      </c>
      <c r="AB639" s="101">
        <f t="shared" si="85"/>
        <v>800</v>
      </c>
      <c r="AC639" s="101" t="str">
        <f t="shared" si="86"/>
        <v>КЭО (маг)</v>
      </c>
      <c r="AD639" s="101" t="str">
        <f t="shared" si="87"/>
        <v/>
      </c>
      <c r="AE639" s="102">
        <f t="shared" ca="1" si="88"/>
        <v>16.899999999999999</v>
      </c>
      <c r="AF639" s="103">
        <f t="shared" ca="1" si="89"/>
        <v>2.1124999999999998E-2</v>
      </c>
      <c r="AG639" s="101"/>
      <c r="AH639" s="101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Q639" s="72">
        <v>0</v>
      </c>
      <c r="BR639" s="72">
        <v>0</v>
      </c>
      <c r="BS639" s="72">
        <v>0</v>
      </c>
      <c r="BT639" s="72">
        <v>0</v>
      </c>
      <c r="BU639" s="72">
        <v>0</v>
      </c>
      <c r="BV639" s="72">
        <v>0</v>
      </c>
      <c r="BW639" s="72">
        <v>0</v>
      </c>
      <c r="BX639" s="72">
        <v>0</v>
      </c>
      <c r="BY639" s="72">
        <v>0</v>
      </c>
      <c r="BZ639" s="72">
        <v>0</v>
      </c>
      <c r="CA639" s="72">
        <v>0</v>
      </c>
      <c r="CB639" s="72">
        <v>0</v>
      </c>
      <c r="CC639" s="72">
        <v>0</v>
      </c>
      <c r="CD639" s="72">
        <v>0</v>
      </c>
      <c r="CE639" s="72">
        <v>0</v>
      </c>
      <c r="CF639" s="72">
        <v>0</v>
      </c>
      <c r="CG639" s="72">
        <v>0</v>
      </c>
      <c r="CH639" s="72">
        <v>0</v>
      </c>
      <c r="CI639" s="72">
        <v>0</v>
      </c>
      <c r="CJ639" s="72">
        <v>0</v>
      </c>
      <c r="CK639" s="72">
        <v>0</v>
      </c>
      <c r="CL639" s="72">
        <v>0</v>
      </c>
      <c r="CM639" s="72">
        <v>0</v>
      </c>
      <c r="CN639" s="72">
        <v>0</v>
      </c>
      <c r="CO639" s="72">
        <v>0</v>
      </c>
      <c r="CP639" s="72">
        <v>0</v>
      </c>
      <c r="CQ639" s="72">
        <v>0</v>
      </c>
      <c r="CR639" s="72">
        <v>0</v>
      </c>
      <c r="CS639" s="72">
        <v>0</v>
      </c>
      <c r="CT639" s="72">
        <v>0</v>
      </c>
      <c r="CU639" s="72">
        <v>0</v>
      </c>
      <c r="CV639" s="72">
        <v>0</v>
      </c>
      <c r="CW639" s="72">
        <v>0</v>
      </c>
      <c r="CX639" s="72">
        <v>0</v>
      </c>
      <c r="CY639" s="72">
        <v>0</v>
      </c>
      <c r="CZ639" s="72">
        <v>0</v>
      </c>
      <c r="DA639" s="72">
        <v>0</v>
      </c>
      <c r="DB639" s="72">
        <v>0</v>
      </c>
      <c r="DC639" s="72">
        <v>0</v>
      </c>
      <c r="DD639" s="72">
        <v>0</v>
      </c>
      <c r="DE639" s="72">
        <v>0</v>
      </c>
      <c r="DF639" s="72">
        <v>0</v>
      </c>
      <c r="DG639" s="72">
        <v>0</v>
      </c>
      <c r="DH639" s="72">
        <v>0</v>
      </c>
      <c r="DI639" s="72">
        <v>0</v>
      </c>
      <c r="DJ639" s="72">
        <v>0</v>
      </c>
      <c r="DK639" s="72">
        <v>0</v>
      </c>
      <c r="DL639" s="72">
        <v>0</v>
      </c>
      <c r="DM639" s="72">
        <v>0</v>
      </c>
      <c r="DN639" s="72">
        <v>0</v>
      </c>
      <c r="DO639" s="72">
        <v>0</v>
      </c>
      <c r="DP639" s="72">
        <v>0</v>
      </c>
      <c r="DQ639" s="72">
        <v>0</v>
      </c>
      <c r="DR639" s="72">
        <v>0</v>
      </c>
      <c r="DS639" s="72">
        <v>0</v>
      </c>
      <c r="DT639" s="72">
        <v>0</v>
      </c>
      <c r="DU639" s="72">
        <v>0</v>
      </c>
      <c r="DV639" s="72">
        <v>0</v>
      </c>
      <c r="DW639" s="72">
        <v>0</v>
      </c>
      <c r="DX639" s="72">
        <v>0</v>
      </c>
      <c r="DY639" s="72">
        <v>0</v>
      </c>
      <c r="DZ639" s="72">
        <v>0</v>
      </c>
      <c r="EA639" s="72">
        <v>0</v>
      </c>
      <c r="EB639" s="72">
        <v>0</v>
      </c>
      <c r="EC639" s="72">
        <v>0</v>
      </c>
      <c r="ED639" s="72">
        <v>0</v>
      </c>
      <c r="EE639" s="72">
        <v>0</v>
      </c>
      <c r="EF639" s="72">
        <v>0</v>
      </c>
      <c r="EG639" s="72">
        <v>0</v>
      </c>
      <c r="EH639" s="72">
        <v>0</v>
      </c>
      <c r="EI639" s="72">
        <v>0</v>
      </c>
      <c r="EJ639" s="72">
        <v>0</v>
      </c>
      <c r="EK639" s="72">
        <v>0</v>
      </c>
      <c r="EL639" s="72">
        <v>0</v>
      </c>
    </row>
    <row r="640" spans="1:142" x14ac:dyDescent="0.35">
      <c r="A640" s="59">
        <f>Данные!A640</f>
        <v>5762</v>
      </c>
      <c r="B640" s="59">
        <f>Данные!B640</f>
        <v>2017</v>
      </c>
      <c r="C640" s="59" t="str">
        <f>Данные!C640</f>
        <v>компьютерных технологий и электронного обучения</v>
      </c>
      <c r="D640" s="59" t="str">
        <f>Данные!D640</f>
        <v>Государев Илья Борисович</v>
      </c>
      <c r="E640" s="59" t="str">
        <f>Данные!E640</f>
        <v>кандидат педагогических наук</v>
      </c>
      <c r="F640" s="59" t="str">
        <f>Данные!F640</f>
        <v>доцент</v>
      </c>
      <c r="G640" s="59">
        <f>Данные!G640</f>
        <v>1</v>
      </c>
      <c r="H640" s="59">
        <f>Данные!H640</f>
        <v>16595</v>
      </c>
      <c r="I640" s="59" t="str">
        <f>Данные!I640</f>
        <v>Модуль "Прикладные информационные технологии в образовательном процессе"</v>
      </c>
      <c r="J640" s="59">
        <f>Данные!J640</f>
        <v>0</v>
      </c>
      <c r="K640" s="59">
        <f>Данные!K640</f>
        <v>0</v>
      </c>
      <c r="L640" s="59">
        <f>Данные!L640</f>
        <v>0</v>
      </c>
      <c r="M640" s="60">
        <f t="shared" si="81"/>
        <v>0</v>
      </c>
      <c r="N640" s="60">
        <f t="shared" ca="1" si="82"/>
        <v>5.3000000000000007</v>
      </c>
      <c r="O640" s="60">
        <f t="shared" ca="1" si="83"/>
        <v>2.5</v>
      </c>
      <c r="P640" s="60">
        <f t="shared" ca="1" si="84"/>
        <v>2.5</v>
      </c>
      <c r="Q640" s="54">
        <f>Данные!Q640</f>
        <v>0</v>
      </c>
      <c r="R640" s="54">
        <f>Данные!R640</f>
        <v>0</v>
      </c>
      <c r="S640" s="54">
        <f>Данные!S640</f>
        <v>0</v>
      </c>
      <c r="T640" s="54">
        <f>Данные!T640</f>
        <v>0</v>
      </c>
      <c r="U640" s="54">
        <f>Данные!U640</f>
        <v>0</v>
      </c>
      <c r="V640" s="54">
        <f>Данные!V640</f>
        <v>0</v>
      </c>
      <c r="W640" s="54">
        <f ca="1">Данные!W640</f>
        <v>10</v>
      </c>
      <c r="X640" s="54" t="str">
        <f ca="1">Данные!X640</f>
        <v>1</v>
      </c>
      <c r="Y640" s="54" t="str">
        <f ca="1">Данные!Y640</f>
        <v>1</v>
      </c>
      <c r="Z640" s="54">
        <f>Данные!Z640</f>
        <v>0</v>
      </c>
      <c r="AA640" s="54" t="str">
        <f>Данные!AA640</f>
        <v>осн</v>
      </c>
      <c r="AB640" s="101">
        <f t="shared" si="85"/>
        <v>800</v>
      </c>
      <c r="AC640" s="101" t="str">
        <f t="shared" si="86"/>
        <v>КЭО (маг)</v>
      </c>
      <c r="AD640" s="101" t="str">
        <f t="shared" si="87"/>
        <v/>
      </c>
      <c r="AE640" s="102">
        <f t="shared" ca="1" si="88"/>
        <v>10.3</v>
      </c>
      <c r="AF640" s="103">
        <f t="shared" ca="1" si="89"/>
        <v>1.2875000000000001E-2</v>
      </c>
      <c r="AG640" s="101"/>
      <c r="AH640" s="101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Q640" s="72">
        <v>0</v>
      </c>
      <c r="BR640" s="72">
        <v>0</v>
      </c>
      <c r="BS640" s="72">
        <v>0</v>
      </c>
      <c r="BT640" s="72">
        <v>0</v>
      </c>
      <c r="BU640" s="72">
        <v>0</v>
      </c>
      <c r="BV640" s="72">
        <v>0</v>
      </c>
      <c r="BW640" s="72">
        <v>0</v>
      </c>
      <c r="BX640" s="72">
        <v>0</v>
      </c>
      <c r="BY640" s="72">
        <v>0</v>
      </c>
      <c r="BZ640" s="72">
        <v>0</v>
      </c>
      <c r="CA640" s="72">
        <v>0</v>
      </c>
      <c r="CB640" s="72">
        <v>0</v>
      </c>
      <c r="CC640" s="72">
        <v>0</v>
      </c>
      <c r="CD640" s="72">
        <v>0</v>
      </c>
      <c r="CE640" s="72">
        <v>0</v>
      </c>
      <c r="CF640" s="72">
        <v>0</v>
      </c>
      <c r="CG640" s="72">
        <v>0</v>
      </c>
      <c r="CH640" s="72">
        <v>0</v>
      </c>
      <c r="CI640" s="72">
        <v>0</v>
      </c>
      <c r="CJ640" s="72">
        <v>0</v>
      </c>
      <c r="CK640" s="72">
        <v>0</v>
      </c>
      <c r="CL640" s="72">
        <v>0</v>
      </c>
      <c r="CM640" s="72">
        <v>0</v>
      </c>
      <c r="CN640" s="72">
        <v>0</v>
      </c>
      <c r="CO640" s="72">
        <v>0</v>
      </c>
      <c r="CP640" s="72">
        <v>0</v>
      </c>
      <c r="CQ640" s="72">
        <v>0</v>
      </c>
      <c r="CR640" s="72">
        <v>0</v>
      </c>
      <c r="CS640" s="72">
        <v>0</v>
      </c>
      <c r="CT640" s="72">
        <v>0</v>
      </c>
      <c r="CU640" s="72">
        <v>0</v>
      </c>
      <c r="CV640" s="72">
        <v>0</v>
      </c>
      <c r="CW640" s="72">
        <v>0</v>
      </c>
      <c r="CX640" s="72">
        <v>0</v>
      </c>
      <c r="CY640" s="72">
        <v>0</v>
      </c>
      <c r="CZ640" s="72">
        <v>0</v>
      </c>
      <c r="DA640" s="72">
        <v>0</v>
      </c>
      <c r="DB640" s="72">
        <v>0</v>
      </c>
      <c r="DC640" s="72">
        <v>0</v>
      </c>
      <c r="DD640" s="72">
        <v>0</v>
      </c>
      <c r="DE640" s="72">
        <v>0</v>
      </c>
      <c r="DF640" s="72">
        <v>0</v>
      </c>
      <c r="DG640" s="72">
        <v>0</v>
      </c>
      <c r="DH640" s="72">
        <v>0</v>
      </c>
      <c r="DI640" s="72">
        <v>0</v>
      </c>
      <c r="DJ640" s="72">
        <v>0</v>
      </c>
      <c r="DK640" s="72">
        <v>0</v>
      </c>
      <c r="DL640" s="72">
        <v>0</v>
      </c>
      <c r="DM640" s="72">
        <v>0</v>
      </c>
      <c r="DN640" s="72">
        <v>0</v>
      </c>
      <c r="DO640" s="72">
        <v>0</v>
      </c>
      <c r="DP640" s="72">
        <v>0</v>
      </c>
      <c r="DQ640" s="72">
        <v>0</v>
      </c>
      <c r="DR640" s="72">
        <v>0</v>
      </c>
      <c r="DS640" s="72">
        <v>0</v>
      </c>
      <c r="DT640" s="72">
        <v>0</v>
      </c>
      <c r="DU640" s="72">
        <v>0</v>
      </c>
      <c r="DV640" s="72">
        <v>0</v>
      </c>
      <c r="DW640" s="72">
        <v>0</v>
      </c>
      <c r="DX640" s="72">
        <v>0</v>
      </c>
      <c r="DY640" s="72">
        <v>0</v>
      </c>
      <c r="DZ640" s="72">
        <v>0</v>
      </c>
      <c r="EA640" s="72">
        <v>0</v>
      </c>
      <c r="EB640" s="72">
        <v>0</v>
      </c>
      <c r="EC640" s="72">
        <v>0</v>
      </c>
      <c r="ED640" s="72">
        <v>0</v>
      </c>
      <c r="EE640" s="72">
        <v>0</v>
      </c>
      <c r="EF640" s="72">
        <v>0</v>
      </c>
      <c r="EG640" s="72">
        <v>0</v>
      </c>
      <c r="EH640" s="72">
        <v>0</v>
      </c>
      <c r="EI640" s="72">
        <v>0</v>
      </c>
      <c r="EJ640" s="72">
        <v>0</v>
      </c>
      <c r="EK640" s="72">
        <v>0</v>
      </c>
      <c r="EL640" s="72">
        <v>0</v>
      </c>
    </row>
    <row r="641" spans="1:142" x14ac:dyDescent="0.35">
      <c r="A641" s="59">
        <f>Данные!A641</f>
        <v>5762</v>
      </c>
      <c r="B641" s="59">
        <f>Данные!B641</f>
        <v>2017</v>
      </c>
      <c r="C641" s="59" t="str">
        <f>Данные!C641</f>
        <v>компьютерных технологий и электронного обучения</v>
      </c>
      <c r="D641" s="59" t="str">
        <f>Данные!D641</f>
        <v>Государев Илья Борисович</v>
      </c>
      <c r="E641" s="59" t="str">
        <f>Данные!E641</f>
        <v>кандидат педагогических наук</v>
      </c>
      <c r="F641" s="59" t="str">
        <f>Данные!F641</f>
        <v>доцент</v>
      </c>
      <c r="G641" s="59">
        <f>Данные!G641</f>
        <v>1</v>
      </c>
      <c r="H641" s="59">
        <f>Данные!H641</f>
        <v>16595</v>
      </c>
      <c r="I641" s="59" t="str">
        <f>Данные!I641</f>
        <v>Модуль "Теория и практика корпоративного электронного обучения". Методы и инструменты корпоративного электронного обучения</v>
      </c>
      <c r="J641" s="59">
        <f>Данные!J641</f>
        <v>4</v>
      </c>
      <c r="K641" s="59">
        <f>Данные!K641</f>
        <v>0</v>
      </c>
      <c r="L641" s="59">
        <f>Данные!L641</f>
        <v>0</v>
      </c>
      <c r="M641" s="60">
        <f t="shared" si="81"/>
        <v>0.4</v>
      </c>
      <c r="N641" s="60">
        <f t="shared" ca="1" si="82"/>
        <v>5.3000000000000007</v>
      </c>
      <c r="O641" s="60">
        <f t="shared" ca="1" si="83"/>
        <v>2.5</v>
      </c>
      <c r="P641" s="60">
        <f t="shared" ca="1" si="84"/>
        <v>2.5</v>
      </c>
      <c r="Q641" s="54">
        <f>Данные!Q641</f>
        <v>0</v>
      </c>
      <c r="R641" s="54">
        <f>Данные!R641</f>
        <v>0</v>
      </c>
      <c r="S641" s="54">
        <f>Данные!S641</f>
        <v>0</v>
      </c>
      <c r="T641" s="54">
        <f>Данные!T641</f>
        <v>0</v>
      </c>
      <c r="U641" s="54">
        <f>Данные!U641</f>
        <v>0</v>
      </c>
      <c r="V641" s="54">
        <f>Данные!V641</f>
        <v>0</v>
      </c>
      <c r="W641" s="54">
        <f ca="1">Данные!W641</f>
        <v>10</v>
      </c>
      <c r="X641" s="54" t="str">
        <f ca="1">Данные!X641</f>
        <v>1</v>
      </c>
      <c r="Y641" s="54" t="str">
        <f ca="1">Данные!Y641</f>
        <v>1</v>
      </c>
      <c r="Z641" s="54">
        <f>Данные!Z641</f>
        <v>0</v>
      </c>
      <c r="AA641" s="54" t="str">
        <f>Данные!AA641</f>
        <v>осн</v>
      </c>
      <c r="AB641" s="101">
        <f t="shared" si="85"/>
        <v>800</v>
      </c>
      <c r="AC641" s="101" t="str">
        <f t="shared" si="86"/>
        <v>КЭО (маг)</v>
      </c>
      <c r="AD641" s="101" t="str">
        <f t="shared" si="87"/>
        <v/>
      </c>
      <c r="AE641" s="102">
        <f t="shared" ca="1" si="88"/>
        <v>14.700000000000001</v>
      </c>
      <c r="AF641" s="103">
        <f t="shared" ca="1" si="89"/>
        <v>1.8375000000000002E-2</v>
      </c>
      <c r="AG641" s="101"/>
      <c r="AH641" s="10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Q641" s="72">
        <v>0</v>
      </c>
      <c r="BR641" s="72">
        <v>0</v>
      </c>
      <c r="BS641" s="72">
        <v>0</v>
      </c>
      <c r="BT641" s="72">
        <v>0</v>
      </c>
      <c r="BU641" s="72">
        <v>0</v>
      </c>
      <c r="BV641" s="72">
        <v>0</v>
      </c>
      <c r="BW641" s="72">
        <v>0</v>
      </c>
      <c r="BX641" s="72">
        <v>0</v>
      </c>
      <c r="BY641" s="72">
        <v>0</v>
      </c>
      <c r="BZ641" s="72">
        <v>0</v>
      </c>
      <c r="CA641" s="72">
        <v>0</v>
      </c>
      <c r="CB641" s="72">
        <v>0</v>
      </c>
      <c r="CC641" s="72">
        <v>0</v>
      </c>
      <c r="CD641" s="72">
        <v>0</v>
      </c>
      <c r="CE641" s="72">
        <v>0</v>
      </c>
      <c r="CF641" s="72">
        <v>0</v>
      </c>
      <c r="CG641" s="72">
        <v>0</v>
      </c>
      <c r="CH641" s="72">
        <v>0</v>
      </c>
      <c r="CI641" s="72">
        <v>0</v>
      </c>
      <c r="CJ641" s="72">
        <v>0</v>
      </c>
      <c r="CK641" s="72">
        <v>0</v>
      </c>
      <c r="CL641" s="72">
        <v>0</v>
      </c>
      <c r="CM641" s="72">
        <v>0</v>
      </c>
      <c r="CN641" s="72">
        <v>0</v>
      </c>
      <c r="CO641" s="72">
        <v>0</v>
      </c>
      <c r="CP641" s="72">
        <v>0</v>
      </c>
      <c r="CQ641" s="72">
        <v>0</v>
      </c>
      <c r="CR641" s="72">
        <v>0</v>
      </c>
      <c r="CS641" s="72">
        <v>0</v>
      </c>
      <c r="CT641" s="72">
        <v>0</v>
      </c>
      <c r="CU641" s="72">
        <v>0</v>
      </c>
      <c r="CV641" s="72">
        <v>0</v>
      </c>
      <c r="CW641" s="72">
        <v>0</v>
      </c>
      <c r="CX641" s="72">
        <v>0</v>
      </c>
      <c r="CY641" s="72">
        <v>0</v>
      </c>
      <c r="CZ641" s="72">
        <v>0</v>
      </c>
      <c r="DA641" s="72">
        <v>0</v>
      </c>
      <c r="DB641" s="72">
        <v>0</v>
      </c>
      <c r="DC641" s="72">
        <v>0</v>
      </c>
      <c r="DD641" s="72">
        <v>0</v>
      </c>
      <c r="DE641" s="72">
        <v>0</v>
      </c>
      <c r="DF641" s="72">
        <v>0</v>
      </c>
      <c r="DG641" s="72">
        <v>0</v>
      </c>
      <c r="DH641" s="72">
        <v>0</v>
      </c>
      <c r="DI641" s="72">
        <v>0</v>
      </c>
      <c r="DJ641" s="72">
        <v>0</v>
      </c>
      <c r="DK641" s="72">
        <v>0</v>
      </c>
      <c r="DL641" s="72">
        <v>0</v>
      </c>
      <c r="DM641" s="72">
        <v>0</v>
      </c>
      <c r="DN641" s="72">
        <v>0</v>
      </c>
      <c r="DO641" s="72">
        <v>0</v>
      </c>
      <c r="DP641" s="72">
        <v>0</v>
      </c>
      <c r="DQ641" s="72">
        <v>0</v>
      </c>
      <c r="DR641" s="72">
        <v>0</v>
      </c>
      <c r="DS641" s="72">
        <v>0</v>
      </c>
      <c r="DT641" s="72">
        <v>0</v>
      </c>
      <c r="DU641" s="72">
        <v>0</v>
      </c>
      <c r="DV641" s="72">
        <v>0</v>
      </c>
      <c r="DW641" s="72">
        <v>0</v>
      </c>
      <c r="DX641" s="72">
        <v>0</v>
      </c>
      <c r="DY641" s="72">
        <v>0</v>
      </c>
      <c r="DZ641" s="72">
        <v>0</v>
      </c>
      <c r="EA641" s="72">
        <v>0</v>
      </c>
      <c r="EB641" s="72">
        <v>0</v>
      </c>
      <c r="EC641" s="72">
        <v>0</v>
      </c>
      <c r="ED641" s="72">
        <v>0</v>
      </c>
      <c r="EE641" s="72">
        <v>0</v>
      </c>
      <c r="EF641" s="72">
        <v>0</v>
      </c>
      <c r="EG641" s="72">
        <v>0</v>
      </c>
      <c r="EH641" s="72">
        <v>0</v>
      </c>
      <c r="EI641" s="72">
        <v>0</v>
      </c>
      <c r="EJ641" s="72">
        <v>0</v>
      </c>
      <c r="EK641" s="72">
        <v>0</v>
      </c>
      <c r="EL641" s="72">
        <v>0</v>
      </c>
    </row>
    <row r="642" spans="1:142" x14ac:dyDescent="0.35">
      <c r="A642" s="59">
        <f>Данные!A642</f>
        <v>5762</v>
      </c>
      <c r="B642" s="59">
        <f>Данные!B642</f>
        <v>2017</v>
      </c>
      <c r="C642" s="59" t="str">
        <f>Данные!C642</f>
        <v>компьютерных технологий и электронного обучения</v>
      </c>
      <c r="D642" s="59" t="str">
        <f>Данные!D642</f>
        <v>Государев Илья Борисович</v>
      </c>
      <c r="E642" s="59" t="str">
        <f>Данные!E642</f>
        <v>кандидат педагогических наук</v>
      </c>
      <c r="F642" s="59" t="str">
        <f>Данные!F642</f>
        <v>доцент</v>
      </c>
      <c r="G642" s="59">
        <f>Данные!G642</f>
        <v>1</v>
      </c>
      <c r="H642" s="59">
        <f>Данные!H642</f>
        <v>16595</v>
      </c>
      <c r="I642" s="59" t="str">
        <f>Данные!I642</f>
        <v>Руководство ВКР (магистерская диссертация)</v>
      </c>
      <c r="J642" s="59">
        <f>Данные!J642</f>
        <v>0</v>
      </c>
      <c r="K642" s="59">
        <f>Данные!K642</f>
        <v>0</v>
      </c>
      <c r="L642" s="59">
        <f>Данные!L642</f>
        <v>0</v>
      </c>
      <c r="M642" s="60">
        <f t="shared" si="81"/>
        <v>0</v>
      </c>
      <c r="N642" s="60">
        <f t="shared" ca="1" si="82"/>
        <v>5.3000000000000007</v>
      </c>
      <c r="O642" s="60">
        <f t="shared" ca="1" si="83"/>
        <v>2.5</v>
      </c>
      <c r="P642" s="60">
        <f t="shared" ca="1" si="84"/>
        <v>2.5</v>
      </c>
      <c r="Q642" s="54">
        <f>Данные!Q642</f>
        <v>0</v>
      </c>
      <c r="R642" s="54">
        <f>Данные!R642</f>
        <v>0</v>
      </c>
      <c r="S642" s="54">
        <f>Данные!S642</f>
        <v>0</v>
      </c>
      <c r="T642" s="54">
        <f>Данные!T642</f>
        <v>0</v>
      </c>
      <c r="U642" s="54">
        <f>Данные!U642</f>
        <v>0</v>
      </c>
      <c r="V642" s="54">
        <f>Данные!V642</f>
        <v>18</v>
      </c>
      <c r="W642" s="54">
        <f ca="1">Данные!W642</f>
        <v>10</v>
      </c>
      <c r="X642" s="54" t="str">
        <f ca="1">Данные!X642</f>
        <v>1</v>
      </c>
      <c r="Y642" s="54" t="str">
        <f ca="1">Данные!Y642</f>
        <v>1</v>
      </c>
      <c r="Z642" s="54">
        <f>Данные!Z642</f>
        <v>0</v>
      </c>
      <c r="AA642" s="54" t="str">
        <f>Данные!AA642</f>
        <v>осн</v>
      </c>
      <c r="AB642" s="101">
        <f t="shared" si="85"/>
        <v>800</v>
      </c>
      <c r="AC642" s="101" t="str">
        <f t="shared" si="86"/>
        <v>КЭО (маг)</v>
      </c>
      <c r="AD642" s="101" t="str">
        <f t="shared" si="87"/>
        <v/>
      </c>
      <c r="AE642" s="102">
        <f t="shared" ca="1" si="88"/>
        <v>28.3</v>
      </c>
      <c r="AF642" s="103">
        <f t="shared" ca="1" si="89"/>
        <v>3.5375000000000004E-2</v>
      </c>
      <c r="AG642" s="101"/>
      <c r="AH642" s="101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Q642" s="72">
        <v>0</v>
      </c>
      <c r="BR642" s="72">
        <v>0</v>
      </c>
      <c r="BS642" s="72">
        <v>0</v>
      </c>
      <c r="BT642" s="72">
        <v>0</v>
      </c>
      <c r="BU642" s="72">
        <v>0</v>
      </c>
      <c r="BV642" s="72">
        <v>0</v>
      </c>
      <c r="BW642" s="72">
        <v>0</v>
      </c>
      <c r="BX642" s="72">
        <v>0</v>
      </c>
      <c r="BY642" s="72">
        <v>0</v>
      </c>
      <c r="BZ642" s="72">
        <v>0</v>
      </c>
      <c r="CA642" s="72">
        <v>0</v>
      </c>
      <c r="CB642" s="72">
        <v>0</v>
      </c>
      <c r="CC642" s="72">
        <v>0</v>
      </c>
      <c r="CD642" s="72">
        <v>0</v>
      </c>
      <c r="CE642" s="72">
        <v>0</v>
      </c>
      <c r="CF642" s="72">
        <v>0</v>
      </c>
      <c r="CG642" s="72">
        <v>0</v>
      </c>
      <c r="CH642" s="72">
        <v>0</v>
      </c>
      <c r="CI642" s="72">
        <v>0</v>
      </c>
      <c r="CJ642" s="72">
        <v>0</v>
      </c>
      <c r="CK642" s="72">
        <v>0</v>
      </c>
      <c r="CL642" s="72">
        <v>0</v>
      </c>
      <c r="CM642" s="72">
        <v>0</v>
      </c>
      <c r="CN642" s="72">
        <v>0</v>
      </c>
      <c r="CO642" s="72">
        <v>0</v>
      </c>
      <c r="CP642" s="72">
        <v>0</v>
      </c>
      <c r="CQ642" s="72">
        <v>0</v>
      </c>
      <c r="CR642" s="72">
        <v>0</v>
      </c>
      <c r="CS642" s="72">
        <v>0</v>
      </c>
      <c r="CT642" s="72">
        <v>0</v>
      </c>
      <c r="CU642" s="72">
        <v>0</v>
      </c>
      <c r="CV642" s="72">
        <v>0</v>
      </c>
      <c r="CW642" s="72">
        <v>0</v>
      </c>
      <c r="CX642" s="72">
        <v>0</v>
      </c>
      <c r="CY642" s="72">
        <v>0</v>
      </c>
      <c r="CZ642" s="72">
        <v>0</v>
      </c>
      <c r="DA642" s="72">
        <v>0</v>
      </c>
      <c r="DB642" s="72">
        <v>0</v>
      </c>
      <c r="DC642" s="72">
        <v>0</v>
      </c>
      <c r="DD642" s="72">
        <v>0</v>
      </c>
      <c r="DE642" s="72">
        <v>0</v>
      </c>
      <c r="DF642" s="72">
        <v>0</v>
      </c>
      <c r="DG642" s="72">
        <v>0</v>
      </c>
      <c r="DH642" s="72">
        <v>0</v>
      </c>
      <c r="DI642" s="72">
        <v>0</v>
      </c>
      <c r="DJ642" s="72">
        <v>0</v>
      </c>
      <c r="DK642" s="72">
        <v>0</v>
      </c>
      <c r="DL642" s="72">
        <v>0</v>
      </c>
      <c r="DM642" s="72">
        <v>0</v>
      </c>
      <c r="DN642" s="72">
        <v>0</v>
      </c>
      <c r="DO642" s="72">
        <v>0</v>
      </c>
      <c r="DP642" s="72">
        <v>0</v>
      </c>
      <c r="DQ642" s="72">
        <v>0</v>
      </c>
      <c r="DR642" s="72">
        <v>0</v>
      </c>
      <c r="DS642" s="72">
        <v>0</v>
      </c>
      <c r="DT642" s="72">
        <v>0</v>
      </c>
      <c r="DU642" s="72">
        <v>0</v>
      </c>
      <c r="DV642" s="72">
        <v>0</v>
      </c>
      <c r="DW642" s="72">
        <v>0</v>
      </c>
      <c r="DX642" s="72">
        <v>0</v>
      </c>
      <c r="DY642" s="72">
        <v>0</v>
      </c>
      <c r="DZ642" s="72">
        <v>0</v>
      </c>
      <c r="EA642" s="72">
        <v>0</v>
      </c>
      <c r="EB642" s="72">
        <v>0</v>
      </c>
      <c r="EC642" s="72">
        <v>0</v>
      </c>
      <c r="ED642" s="72">
        <v>0</v>
      </c>
      <c r="EE642" s="72">
        <v>0</v>
      </c>
      <c r="EF642" s="72">
        <v>0</v>
      </c>
      <c r="EG642" s="72">
        <v>0</v>
      </c>
      <c r="EH642" s="72">
        <v>0</v>
      </c>
      <c r="EI642" s="72">
        <v>0</v>
      </c>
      <c r="EJ642" s="72">
        <v>0</v>
      </c>
      <c r="EK642" s="72">
        <v>0</v>
      </c>
      <c r="EL642" s="72">
        <v>0</v>
      </c>
    </row>
    <row r="643" spans="1:142" x14ac:dyDescent="0.35">
      <c r="A643" s="59">
        <f>Данные!A643</f>
        <v>5762</v>
      </c>
      <c r="B643" s="59">
        <f>Данные!B643</f>
        <v>2017</v>
      </c>
      <c r="C643" s="59" t="str">
        <f>Данные!C643</f>
        <v>компьютерных технологий и электронного обучения</v>
      </c>
      <c r="D643" s="59" t="str">
        <f>Данные!D643</f>
        <v>Государев Илья Борисович</v>
      </c>
      <c r="E643" s="59" t="str">
        <f>Данные!E643</f>
        <v>кандидат педагогических наук</v>
      </c>
      <c r="F643" s="59" t="str">
        <f>Данные!F643</f>
        <v>доцент</v>
      </c>
      <c r="G643" s="59">
        <f>Данные!G643</f>
        <v>1</v>
      </c>
      <c r="H643" s="59">
        <f>Данные!H643</f>
        <v>16595</v>
      </c>
      <c r="I643" s="59" t="str">
        <f>Данные!I643</f>
        <v>Научно-исследовательская работа. Педагогическое образование. Магистерская программа "Корпоративное электронное обучение"</v>
      </c>
      <c r="J643" s="59">
        <f>Данные!J643</f>
        <v>0</v>
      </c>
      <c r="K643" s="59">
        <f>Данные!K643</f>
        <v>0</v>
      </c>
      <c r="L643" s="59">
        <f>Данные!L643</f>
        <v>0</v>
      </c>
      <c r="M643" s="60">
        <f t="shared" si="81"/>
        <v>0</v>
      </c>
      <c r="N643" s="60">
        <f t="shared" ca="1" si="82"/>
        <v>5.3000000000000007</v>
      </c>
      <c r="O643" s="60">
        <f t="shared" ca="1" si="83"/>
        <v>2.5</v>
      </c>
      <c r="P643" s="60">
        <f t="shared" ca="1" si="84"/>
        <v>2.5</v>
      </c>
      <c r="Q643" s="54">
        <f>Данные!Q643</f>
        <v>0</v>
      </c>
      <c r="R643" s="54">
        <f>Данные!R643</f>
        <v>0</v>
      </c>
      <c r="S643" s="54">
        <f>Данные!S643</f>
        <v>0</v>
      </c>
      <c r="T643" s="54">
        <f>Данные!T643</f>
        <v>0</v>
      </c>
      <c r="U643" s="54">
        <f>Данные!U643</f>
        <v>7</v>
      </c>
      <c r="V643" s="54">
        <f>Данные!V643</f>
        <v>0</v>
      </c>
      <c r="W643" s="54">
        <f ca="1">Данные!W643</f>
        <v>10</v>
      </c>
      <c r="X643" s="54" t="str">
        <f ca="1">Данные!X643</f>
        <v>1</v>
      </c>
      <c r="Y643" s="54" t="str">
        <f ca="1">Данные!Y643</f>
        <v>1</v>
      </c>
      <c r="Z643" s="54">
        <f>Данные!Z643</f>
        <v>0</v>
      </c>
      <c r="AA643" s="54" t="str">
        <f>Данные!AA643</f>
        <v>осн</v>
      </c>
      <c r="AB643" s="101">
        <f t="shared" si="85"/>
        <v>800</v>
      </c>
      <c r="AC643" s="101" t="str">
        <f t="shared" si="86"/>
        <v>КЭО (маг)</v>
      </c>
      <c r="AD643" s="101" t="str">
        <f t="shared" si="87"/>
        <v/>
      </c>
      <c r="AE643" s="102">
        <f t="shared" ca="1" si="88"/>
        <v>17.3</v>
      </c>
      <c r="AF643" s="103">
        <f t="shared" ca="1" si="89"/>
        <v>2.1625000000000002E-2</v>
      </c>
      <c r="AG643" s="101"/>
      <c r="AH643" s="101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Q643" s="72">
        <v>0</v>
      </c>
      <c r="BR643" s="72">
        <v>0</v>
      </c>
      <c r="BS643" s="72">
        <v>0</v>
      </c>
      <c r="BT643" s="72">
        <v>0</v>
      </c>
      <c r="BU643" s="72">
        <v>0</v>
      </c>
      <c r="BV643" s="72">
        <v>0</v>
      </c>
      <c r="BW643" s="72">
        <v>0</v>
      </c>
      <c r="BX643" s="72">
        <v>0</v>
      </c>
      <c r="BY643" s="72">
        <v>0</v>
      </c>
      <c r="BZ643" s="72">
        <v>0</v>
      </c>
      <c r="CA643" s="72">
        <v>0</v>
      </c>
      <c r="CB643" s="72">
        <v>0</v>
      </c>
      <c r="CC643" s="72">
        <v>0</v>
      </c>
      <c r="CD643" s="72">
        <v>0</v>
      </c>
      <c r="CE643" s="72">
        <v>0</v>
      </c>
      <c r="CF643" s="72">
        <v>0</v>
      </c>
      <c r="CG643" s="72">
        <v>0</v>
      </c>
      <c r="CH643" s="72">
        <v>0</v>
      </c>
      <c r="CI643" s="72">
        <v>0</v>
      </c>
      <c r="CJ643" s="72">
        <v>0</v>
      </c>
      <c r="CK643" s="72">
        <v>0</v>
      </c>
      <c r="CL643" s="72">
        <v>0</v>
      </c>
      <c r="CM643" s="72">
        <v>0</v>
      </c>
      <c r="CN643" s="72">
        <v>0</v>
      </c>
      <c r="CO643" s="72">
        <v>0</v>
      </c>
      <c r="CP643" s="72">
        <v>0</v>
      </c>
      <c r="CQ643" s="72">
        <v>0</v>
      </c>
      <c r="CR643" s="72">
        <v>0</v>
      </c>
      <c r="CS643" s="72">
        <v>0</v>
      </c>
      <c r="CT643" s="72">
        <v>0</v>
      </c>
      <c r="CU643" s="72">
        <v>0</v>
      </c>
      <c r="CV643" s="72">
        <v>0</v>
      </c>
      <c r="CW643" s="72">
        <v>0</v>
      </c>
      <c r="CX643" s="72">
        <v>0</v>
      </c>
      <c r="CY643" s="72">
        <v>0</v>
      </c>
      <c r="CZ643" s="72">
        <v>0</v>
      </c>
      <c r="DA643" s="72">
        <v>0</v>
      </c>
      <c r="DB643" s="72">
        <v>0</v>
      </c>
      <c r="DC643" s="72">
        <v>0</v>
      </c>
      <c r="DD643" s="72">
        <v>0</v>
      </c>
      <c r="DE643" s="72">
        <v>0</v>
      </c>
      <c r="DF643" s="72">
        <v>0</v>
      </c>
      <c r="DG643" s="72">
        <v>0</v>
      </c>
      <c r="DH643" s="72">
        <v>0</v>
      </c>
      <c r="DI643" s="72">
        <v>0</v>
      </c>
      <c r="DJ643" s="72">
        <v>0</v>
      </c>
      <c r="DK643" s="72">
        <v>0</v>
      </c>
      <c r="DL643" s="72">
        <v>0</v>
      </c>
      <c r="DM643" s="72">
        <v>0</v>
      </c>
      <c r="DN643" s="72">
        <v>0</v>
      </c>
      <c r="DO643" s="72">
        <v>0</v>
      </c>
      <c r="DP643" s="72">
        <v>0</v>
      </c>
      <c r="DQ643" s="72">
        <v>0</v>
      </c>
      <c r="DR643" s="72">
        <v>0</v>
      </c>
      <c r="DS643" s="72">
        <v>0</v>
      </c>
      <c r="DT643" s="72">
        <v>0</v>
      </c>
      <c r="DU643" s="72">
        <v>0</v>
      </c>
      <c r="DV643" s="72">
        <v>0</v>
      </c>
      <c r="DW643" s="72">
        <v>0</v>
      </c>
      <c r="DX643" s="72">
        <v>0</v>
      </c>
      <c r="DY643" s="72">
        <v>0</v>
      </c>
      <c r="DZ643" s="72">
        <v>0</v>
      </c>
      <c r="EA643" s="72">
        <v>0</v>
      </c>
      <c r="EB643" s="72">
        <v>0</v>
      </c>
      <c r="EC643" s="72">
        <v>0</v>
      </c>
      <c r="ED643" s="72">
        <v>0</v>
      </c>
      <c r="EE643" s="72">
        <v>0</v>
      </c>
      <c r="EF643" s="72">
        <v>0</v>
      </c>
      <c r="EG643" s="72">
        <v>0</v>
      </c>
      <c r="EH643" s="72">
        <v>0</v>
      </c>
      <c r="EI643" s="72">
        <v>0</v>
      </c>
      <c r="EJ643" s="72">
        <v>0</v>
      </c>
      <c r="EK643" s="72">
        <v>0</v>
      </c>
      <c r="EL643" s="72">
        <v>0</v>
      </c>
    </row>
    <row r="644" spans="1:142" x14ac:dyDescent="0.35">
      <c r="A644" s="59">
        <f>Данные!A644</f>
        <v>5762</v>
      </c>
      <c r="B644" s="59">
        <f>Данные!B644</f>
        <v>2017</v>
      </c>
      <c r="C644" s="59" t="str">
        <f>Данные!C644</f>
        <v>компьютерных технологий и электронного обучения</v>
      </c>
      <c r="D644" s="59" t="str">
        <f>Данные!D644</f>
        <v>Государев Илья Борисович</v>
      </c>
      <c r="E644" s="59" t="str">
        <f>Данные!E644</f>
        <v>кандидат педагогических наук</v>
      </c>
      <c r="F644" s="59" t="str">
        <f>Данные!F644</f>
        <v>доцент</v>
      </c>
      <c r="G644" s="59">
        <f>Данные!G644</f>
        <v>1</v>
      </c>
      <c r="H644" s="59">
        <f>Данные!H644</f>
        <v>16595</v>
      </c>
      <c r="I644" s="59" t="str">
        <f>Данные!I644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44" s="59">
        <f>Данные!J644</f>
        <v>0</v>
      </c>
      <c r="K644" s="59">
        <f>Данные!K644</f>
        <v>0</v>
      </c>
      <c r="L644" s="59">
        <f>Данные!L644</f>
        <v>0</v>
      </c>
      <c r="M644" s="60">
        <f t="shared" ref="M644:M707" si="90">SUM(J644:L644)/10</f>
        <v>0</v>
      </c>
      <c r="N644" s="60">
        <f t="shared" ref="N644:N707" ca="1" si="91">2+(0.33*W644)</f>
        <v>5.3000000000000007</v>
      </c>
      <c r="O644" s="60">
        <f t="shared" ref="O644:O707" ca="1" si="92">0.25*W644</f>
        <v>2.5</v>
      </c>
      <c r="P644" s="60">
        <f t="shared" ref="P644:P707" ca="1" si="93">0.25*W644</f>
        <v>2.5</v>
      </c>
      <c r="Q644" s="54">
        <f>Данные!Q644</f>
        <v>0</v>
      </c>
      <c r="R644" s="54">
        <f>Данные!R644</f>
        <v>0</v>
      </c>
      <c r="S644" s="54">
        <f>Данные!S644</f>
        <v>0</v>
      </c>
      <c r="T644" s="54">
        <f>Данные!T644</f>
        <v>0</v>
      </c>
      <c r="U644" s="54">
        <f>Данные!U644</f>
        <v>2</v>
      </c>
      <c r="V644" s="54">
        <f>Данные!V644</f>
        <v>0</v>
      </c>
      <c r="W644" s="54">
        <f ca="1">Данные!W644</f>
        <v>10</v>
      </c>
      <c r="X644" s="54" t="str">
        <f ca="1">Данные!X644</f>
        <v>1</v>
      </c>
      <c r="Y644" s="54" t="str">
        <f ca="1">Данные!Y644</f>
        <v>1</v>
      </c>
      <c r="Z644" s="54">
        <f>Данные!Z644</f>
        <v>0</v>
      </c>
      <c r="AA644" s="54" t="str">
        <f>Данные!AA644</f>
        <v>осн</v>
      </c>
      <c r="AB644" s="101">
        <f t="shared" ref="AB644:AB707" si="94">VLOOKUP(F644, $BN$3:$BO$15, 2, 0)</f>
        <v>800</v>
      </c>
      <c r="AC644" s="101" t="str">
        <f t="shared" ref="AC644:AC707" si="95">IF(IFERROR(MATCH(H644, $AK$4:$BL$4, 0), 0)&gt;=1, "ИВТ (бак)", IF(IFERROR(MATCH(H644, $AK$5:$BL$5, 0), 0)&gt;=1, "КЭО (маг)", ""))</f>
        <v>КЭО (маг)</v>
      </c>
      <c r="AD644" s="101" t="str">
        <f t="shared" ref="AD644:AD707" si="96">IF(IFERROR(MATCH(H644, $AK$4:$AN$4, 0), 0)=1, "2015–2016", IF(IFERROR(MATCH(H644, $AO$4:$AR$4, 0), 0)=1, "2016–2017", IF(IFERROR(MATCH(H644, $AS$4:$AV$4, 0), 0)=1, "2017–2018", IF(IFERROR(MATCH(H644, $AW$4:$AZ$4, 0), 0)=1, "2018–2019", IF(IFERROR(MATCH(H644, $BA$4:$BD$4, 0), 0)=1, "2019–2020", IF(IFERROR(MATCH(H644, $BE$4:$BH$4, 0), 0)=1, "2020–2021", IF(IFERROR(MATCH(H644, $BI$4:$BL$4, 0), 0)=1, "2021–2022", "")))))))</f>
        <v/>
      </c>
      <c r="AE644" s="102">
        <f t="shared" ref="AE644:AE707" ca="1" si="97">SUM(J644:V644)</f>
        <v>12.3</v>
      </c>
      <c r="AF644" s="103">
        <f t="shared" ca="1" si="89"/>
        <v>1.5375000000000002E-2</v>
      </c>
      <c r="AG644" s="101"/>
      <c r="AH644" s="101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Q644" s="72">
        <v>0</v>
      </c>
      <c r="BR644" s="72">
        <v>0</v>
      </c>
      <c r="BS644" s="72">
        <v>0</v>
      </c>
      <c r="BT644" s="72">
        <v>0</v>
      </c>
      <c r="BU644" s="72">
        <v>0</v>
      </c>
      <c r="BV644" s="72">
        <v>0</v>
      </c>
      <c r="BW644" s="72">
        <v>0</v>
      </c>
      <c r="BX644" s="72">
        <v>0</v>
      </c>
      <c r="BY644" s="72">
        <v>0</v>
      </c>
      <c r="BZ644" s="72">
        <v>0</v>
      </c>
      <c r="CA644" s="72">
        <v>0</v>
      </c>
      <c r="CB644" s="72">
        <v>0</v>
      </c>
      <c r="CC644" s="72">
        <v>0</v>
      </c>
      <c r="CD644" s="72">
        <v>0</v>
      </c>
      <c r="CE644" s="72">
        <v>0</v>
      </c>
      <c r="CF644" s="72">
        <v>0</v>
      </c>
      <c r="CG644" s="72">
        <v>0</v>
      </c>
      <c r="CH644" s="72">
        <v>0</v>
      </c>
      <c r="CI644" s="72">
        <v>0</v>
      </c>
      <c r="CJ644" s="72">
        <v>0</v>
      </c>
      <c r="CK644" s="72">
        <v>0</v>
      </c>
      <c r="CL644" s="72">
        <v>0</v>
      </c>
      <c r="CM644" s="72">
        <v>0</v>
      </c>
      <c r="CN644" s="72">
        <v>0</v>
      </c>
      <c r="CO644" s="72">
        <v>0</v>
      </c>
      <c r="CP644" s="72">
        <v>0</v>
      </c>
      <c r="CQ644" s="72">
        <v>0</v>
      </c>
      <c r="CR644" s="72">
        <v>0</v>
      </c>
      <c r="CS644" s="72">
        <v>0</v>
      </c>
      <c r="CT644" s="72">
        <v>0</v>
      </c>
      <c r="CU644" s="72">
        <v>0</v>
      </c>
      <c r="CV644" s="72">
        <v>0</v>
      </c>
      <c r="CW644" s="72">
        <v>0</v>
      </c>
      <c r="CX644" s="72">
        <v>0</v>
      </c>
      <c r="CY644" s="72">
        <v>0</v>
      </c>
      <c r="CZ644" s="72">
        <v>0</v>
      </c>
      <c r="DA644" s="72">
        <v>0</v>
      </c>
      <c r="DB644" s="72">
        <v>0</v>
      </c>
      <c r="DC644" s="72">
        <v>0</v>
      </c>
      <c r="DD644" s="72">
        <v>0</v>
      </c>
      <c r="DE644" s="72">
        <v>0</v>
      </c>
      <c r="DF644" s="72">
        <v>0</v>
      </c>
      <c r="DG644" s="72">
        <v>0</v>
      </c>
      <c r="DH644" s="72">
        <v>0</v>
      </c>
      <c r="DI644" s="72">
        <v>0</v>
      </c>
      <c r="DJ644" s="72">
        <v>0</v>
      </c>
      <c r="DK644" s="72">
        <v>0</v>
      </c>
      <c r="DL644" s="72">
        <v>0</v>
      </c>
      <c r="DM644" s="72">
        <v>0</v>
      </c>
      <c r="DN644" s="72">
        <v>0</v>
      </c>
      <c r="DO644" s="72">
        <v>0</v>
      </c>
      <c r="DP644" s="72">
        <v>0</v>
      </c>
      <c r="DQ644" s="72">
        <v>0</v>
      </c>
      <c r="DR644" s="72">
        <v>0</v>
      </c>
      <c r="DS644" s="72">
        <v>0</v>
      </c>
      <c r="DT644" s="72">
        <v>0</v>
      </c>
      <c r="DU644" s="72">
        <v>0</v>
      </c>
      <c r="DV644" s="72">
        <v>0</v>
      </c>
      <c r="DW644" s="72">
        <v>0</v>
      </c>
      <c r="DX644" s="72">
        <v>0</v>
      </c>
      <c r="DY644" s="72">
        <v>0</v>
      </c>
      <c r="DZ644" s="72">
        <v>0</v>
      </c>
      <c r="EA644" s="72">
        <v>0</v>
      </c>
      <c r="EB644" s="72">
        <v>0</v>
      </c>
      <c r="EC644" s="72">
        <v>0</v>
      </c>
      <c r="ED644" s="72">
        <v>0</v>
      </c>
      <c r="EE644" s="72">
        <v>0</v>
      </c>
      <c r="EF644" s="72">
        <v>0</v>
      </c>
      <c r="EG644" s="72">
        <v>0</v>
      </c>
      <c r="EH644" s="72">
        <v>0</v>
      </c>
      <c r="EI644" s="72">
        <v>0</v>
      </c>
      <c r="EJ644" s="72">
        <v>0</v>
      </c>
      <c r="EK644" s="72">
        <v>0</v>
      </c>
      <c r="EL644" s="72">
        <v>0</v>
      </c>
    </row>
    <row r="645" spans="1:142" x14ac:dyDescent="0.35">
      <c r="A645" s="59">
        <f>Данные!A645</f>
        <v>5762</v>
      </c>
      <c r="B645" s="59">
        <f>Данные!B645</f>
        <v>2017</v>
      </c>
      <c r="C645" s="59" t="str">
        <f>Данные!C645</f>
        <v>компьютерных технологий и электронного обучения</v>
      </c>
      <c r="D645" s="59" t="str">
        <f>Данные!D645</f>
        <v>Готская Ирина Борисовна</v>
      </c>
      <c r="E645" s="59" t="str">
        <f>Данные!E645</f>
        <v>доктор педагогических наук</v>
      </c>
      <c r="F645" s="59" t="str">
        <f>Данные!F645</f>
        <v>профессор</v>
      </c>
      <c r="G645" s="59">
        <f>Данные!G645</f>
        <v>1</v>
      </c>
      <c r="H645" s="59">
        <f>Данные!H645</f>
        <v>16595</v>
      </c>
      <c r="I645" s="59" t="str">
        <f>Данные!I645</f>
        <v>Модуль "Методология исследования в образовании". Методология и методы научного исследования</v>
      </c>
      <c r="J645" s="59">
        <f>Данные!J645</f>
        <v>4</v>
      </c>
      <c r="K645" s="59">
        <f>Данные!K645</f>
        <v>22</v>
      </c>
      <c r="L645" s="59">
        <f>Данные!L645</f>
        <v>0</v>
      </c>
      <c r="M645" s="60">
        <f t="shared" si="90"/>
        <v>2.6</v>
      </c>
      <c r="N645" s="60">
        <f t="shared" ca="1" si="91"/>
        <v>5.3000000000000007</v>
      </c>
      <c r="O645" s="60">
        <f t="shared" ca="1" si="92"/>
        <v>2.5</v>
      </c>
      <c r="P645" s="60">
        <f t="shared" ca="1" si="93"/>
        <v>2.5</v>
      </c>
      <c r="Q645" s="54">
        <f>Данные!Q645</f>
        <v>0</v>
      </c>
      <c r="R645" s="54">
        <f>Данные!R645</f>
        <v>0</v>
      </c>
      <c r="S645" s="54">
        <f>Данные!S645</f>
        <v>0</v>
      </c>
      <c r="T645" s="54">
        <f>Данные!T645</f>
        <v>0</v>
      </c>
      <c r="U645" s="54">
        <f>Данные!U645</f>
        <v>0</v>
      </c>
      <c r="V645" s="54">
        <f>Данные!V645</f>
        <v>0</v>
      </c>
      <c r="W645" s="54">
        <f ca="1">Данные!W645</f>
        <v>10</v>
      </c>
      <c r="X645" s="54" t="str">
        <f ca="1">Данные!X645</f>
        <v>1</v>
      </c>
      <c r="Y645" s="54" t="str">
        <f ca="1">Данные!Y645</f>
        <v>1</v>
      </c>
      <c r="Z645" s="54">
        <f>Данные!Z645</f>
        <v>0</v>
      </c>
      <c r="AA645" s="54" t="str">
        <f>Данные!AA645</f>
        <v>осн</v>
      </c>
      <c r="AB645" s="101">
        <f t="shared" si="94"/>
        <v>750</v>
      </c>
      <c r="AC645" s="101" t="str">
        <f t="shared" si="95"/>
        <v>КЭО (маг)</v>
      </c>
      <c r="AD645" s="101" t="str">
        <f t="shared" si="96"/>
        <v/>
      </c>
      <c r="AE645" s="102">
        <f t="shared" ca="1" si="97"/>
        <v>38.900000000000006</v>
      </c>
      <c r="AF645" s="103">
        <f t="shared" ref="AF645:AF708" ca="1" si="98">AE645/AB645</f>
        <v>5.1866666666666672E-2</v>
      </c>
      <c r="AG645" s="101"/>
      <c r="AH645" s="101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Q645" s="72">
        <v>0</v>
      </c>
      <c r="BR645" s="72">
        <v>0</v>
      </c>
      <c r="BS645" s="72">
        <v>0</v>
      </c>
      <c r="BT645" s="72">
        <v>0</v>
      </c>
      <c r="BU645" s="72">
        <v>0</v>
      </c>
      <c r="BV645" s="72">
        <v>0</v>
      </c>
      <c r="BW645" s="72">
        <v>0</v>
      </c>
      <c r="BX645" s="72">
        <v>0</v>
      </c>
      <c r="BY645" s="72">
        <v>0</v>
      </c>
      <c r="BZ645" s="72">
        <v>0</v>
      </c>
      <c r="CA645" s="72">
        <v>0</v>
      </c>
      <c r="CB645" s="72">
        <v>0</v>
      </c>
      <c r="CC645" s="72">
        <v>0</v>
      </c>
      <c r="CD645" s="72">
        <v>0</v>
      </c>
      <c r="CE645" s="72">
        <v>0</v>
      </c>
      <c r="CF645" s="72">
        <v>0</v>
      </c>
      <c r="CG645" s="72">
        <v>0</v>
      </c>
      <c r="CH645" s="72">
        <v>0</v>
      </c>
      <c r="CI645" s="72">
        <v>0</v>
      </c>
      <c r="CJ645" s="72">
        <v>0</v>
      </c>
      <c r="CK645" s="72">
        <v>0</v>
      </c>
      <c r="CL645" s="72">
        <v>0</v>
      </c>
      <c r="CM645" s="72">
        <v>0</v>
      </c>
      <c r="CN645" s="72">
        <v>0</v>
      </c>
      <c r="CO645" s="72">
        <v>0</v>
      </c>
      <c r="CP645" s="72">
        <v>0</v>
      </c>
      <c r="CQ645" s="72">
        <v>0</v>
      </c>
      <c r="CR645" s="72">
        <v>0</v>
      </c>
      <c r="CS645" s="72">
        <v>0</v>
      </c>
      <c r="CT645" s="72">
        <v>0</v>
      </c>
      <c r="CU645" s="72">
        <v>0</v>
      </c>
      <c r="CV645" s="72">
        <v>0</v>
      </c>
      <c r="CW645" s="72">
        <v>0</v>
      </c>
      <c r="CX645" s="72">
        <v>0</v>
      </c>
      <c r="CY645" s="72">
        <v>0</v>
      </c>
      <c r="CZ645" s="72">
        <v>0</v>
      </c>
      <c r="DA645" s="72">
        <v>0</v>
      </c>
      <c r="DB645" s="72">
        <v>0</v>
      </c>
      <c r="DC645" s="72">
        <v>0</v>
      </c>
      <c r="DD645" s="72">
        <v>0</v>
      </c>
      <c r="DE645" s="72">
        <v>0</v>
      </c>
      <c r="DF645" s="72">
        <v>0</v>
      </c>
      <c r="DG645" s="72">
        <v>0</v>
      </c>
      <c r="DH645" s="72">
        <v>0</v>
      </c>
      <c r="DI645" s="72">
        <v>0</v>
      </c>
      <c r="DJ645" s="72">
        <v>0</v>
      </c>
      <c r="DK645" s="72">
        <v>0</v>
      </c>
      <c r="DL645" s="72">
        <v>0</v>
      </c>
      <c r="DM645" s="72">
        <v>0</v>
      </c>
      <c r="DN645" s="72">
        <v>0</v>
      </c>
      <c r="DO645" s="72">
        <v>0</v>
      </c>
      <c r="DP645" s="72">
        <v>0</v>
      </c>
      <c r="DQ645" s="72">
        <v>0</v>
      </c>
      <c r="DR645" s="72">
        <v>0</v>
      </c>
      <c r="DS645" s="72">
        <v>0</v>
      </c>
      <c r="DT645" s="72">
        <v>0</v>
      </c>
      <c r="DU645" s="72">
        <v>0</v>
      </c>
      <c r="DV645" s="72">
        <v>0</v>
      </c>
      <c r="DW645" s="72">
        <v>0</v>
      </c>
      <c r="DX645" s="72">
        <v>0</v>
      </c>
      <c r="DY645" s="72">
        <v>0</v>
      </c>
      <c r="DZ645" s="72">
        <v>0</v>
      </c>
      <c r="EA645" s="72">
        <v>0</v>
      </c>
      <c r="EB645" s="72">
        <v>0</v>
      </c>
      <c r="EC645" s="72">
        <v>0</v>
      </c>
      <c r="ED645" s="72">
        <v>0</v>
      </c>
      <c r="EE645" s="72">
        <v>0</v>
      </c>
      <c r="EF645" s="72">
        <v>0</v>
      </c>
      <c r="EG645" s="72">
        <v>0</v>
      </c>
      <c r="EH645" s="72">
        <v>0</v>
      </c>
      <c r="EI645" s="72">
        <v>0</v>
      </c>
      <c r="EJ645" s="72">
        <v>0</v>
      </c>
      <c r="EK645" s="72">
        <v>0</v>
      </c>
      <c r="EL645" s="72">
        <v>0</v>
      </c>
    </row>
    <row r="646" spans="1:142" x14ac:dyDescent="0.35">
      <c r="A646" s="59">
        <f>Данные!A646</f>
        <v>5762</v>
      </c>
      <c r="B646" s="59">
        <f>Данные!B646</f>
        <v>2017</v>
      </c>
      <c r="C646" s="59" t="str">
        <f>Данные!C646</f>
        <v>компьютерных технологий и электронного обучения</v>
      </c>
      <c r="D646" s="59" t="str">
        <f>Данные!D646</f>
        <v>Готская Ирина Борисовна</v>
      </c>
      <c r="E646" s="59" t="str">
        <f>Данные!E646</f>
        <v>доктор педагогических наук</v>
      </c>
      <c r="F646" s="59" t="str">
        <f>Данные!F646</f>
        <v>профессор</v>
      </c>
      <c r="G646" s="59">
        <f>Данные!G646</f>
        <v>1</v>
      </c>
      <c r="H646" s="59">
        <f>Данные!H646</f>
        <v>16595</v>
      </c>
      <c r="I646" s="59" t="str">
        <f>Данные!I646</f>
        <v>Модуль "Методология исследования в образовании". Современные проблемы науки и образования</v>
      </c>
      <c r="J646" s="59">
        <f>Данные!J646</f>
        <v>10</v>
      </c>
      <c r="K646" s="59">
        <f>Данные!K646</f>
        <v>36</v>
      </c>
      <c r="L646" s="59">
        <f>Данные!L646</f>
        <v>0</v>
      </c>
      <c r="M646" s="60">
        <f t="shared" si="90"/>
        <v>4.5999999999999996</v>
      </c>
      <c r="N646" s="60">
        <f t="shared" ca="1" si="91"/>
        <v>5.3000000000000007</v>
      </c>
      <c r="O646" s="60">
        <f t="shared" ca="1" si="92"/>
        <v>2.5</v>
      </c>
      <c r="P646" s="60">
        <f t="shared" ca="1" si="93"/>
        <v>2.5</v>
      </c>
      <c r="Q646" s="54">
        <f>Данные!Q646</f>
        <v>0</v>
      </c>
      <c r="R646" s="54">
        <f>Данные!R646</f>
        <v>0</v>
      </c>
      <c r="S646" s="54">
        <f>Данные!S646</f>
        <v>0</v>
      </c>
      <c r="T646" s="54">
        <f>Данные!T646</f>
        <v>0</v>
      </c>
      <c r="U646" s="54">
        <f>Данные!U646</f>
        <v>0</v>
      </c>
      <c r="V646" s="54">
        <f>Данные!V646</f>
        <v>0</v>
      </c>
      <c r="W646" s="54">
        <f ca="1">Данные!W646</f>
        <v>10</v>
      </c>
      <c r="X646" s="54" t="str">
        <f ca="1">Данные!X646</f>
        <v>1</v>
      </c>
      <c r="Y646" s="54" t="str">
        <f ca="1">Данные!Y646</f>
        <v>1</v>
      </c>
      <c r="Z646" s="54">
        <f>Данные!Z646</f>
        <v>0</v>
      </c>
      <c r="AA646" s="54" t="str">
        <f>Данные!AA646</f>
        <v>осн</v>
      </c>
      <c r="AB646" s="101">
        <f t="shared" si="94"/>
        <v>750</v>
      </c>
      <c r="AC646" s="101" t="str">
        <f t="shared" si="95"/>
        <v>КЭО (маг)</v>
      </c>
      <c r="AD646" s="101" t="str">
        <f t="shared" si="96"/>
        <v/>
      </c>
      <c r="AE646" s="102">
        <f t="shared" ca="1" si="97"/>
        <v>60.900000000000006</v>
      </c>
      <c r="AF646" s="103">
        <f t="shared" ca="1" si="98"/>
        <v>8.1200000000000008E-2</v>
      </c>
      <c r="AG646" s="101"/>
      <c r="AH646" s="101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Q646" s="72">
        <v>0</v>
      </c>
      <c r="BR646" s="72">
        <v>0</v>
      </c>
      <c r="BS646" s="72">
        <v>0</v>
      </c>
      <c r="BT646" s="72">
        <v>0</v>
      </c>
      <c r="BU646" s="72">
        <v>0</v>
      </c>
      <c r="BV646" s="72">
        <v>0</v>
      </c>
      <c r="BW646" s="72">
        <v>0</v>
      </c>
      <c r="BX646" s="72">
        <v>0</v>
      </c>
      <c r="BY646" s="72">
        <v>0</v>
      </c>
      <c r="BZ646" s="72">
        <v>0</v>
      </c>
      <c r="CA646" s="72">
        <v>0</v>
      </c>
      <c r="CB646" s="72">
        <v>0</v>
      </c>
      <c r="CC646" s="72">
        <v>0</v>
      </c>
      <c r="CD646" s="72">
        <v>0</v>
      </c>
      <c r="CE646" s="72">
        <v>0</v>
      </c>
      <c r="CF646" s="72">
        <v>0</v>
      </c>
      <c r="CG646" s="72">
        <v>0</v>
      </c>
      <c r="CH646" s="72">
        <v>0</v>
      </c>
      <c r="CI646" s="72">
        <v>0</v>
      </c>
      <c r="CJ646" s="72">
        <v>0</v>
      </c>
      <c r="CK646" s="72">
        <v>0</v>
      </c>
      <c r="CL646" s="72">
        <v>0</v>
      </c>
      <c r="CM646" s="72">
        <v>0</v>
      </c>
      <c r="CN646" s="72">
        <v>0</v>
      </c>
      <c r="CO646" s="72">
        <v>0</v>
      </c>
      <c r="CP646" s="72">
        <v>0</v>
      </c>
      <c r="CQ646" s="72">
        <v>0</v>
      </c>
      <c r="CR646" s="72">
        <v>0</v>
      </c>
      <c r="CS646" s="72">
        <v>0</v>
      </c>
      <c r="CT646" s="72">
        <v>0</v>
      </c>
      <c r="CU646" s="72">
        <v>0</v>
      </c>
      <c r="CV646" s="72">
        <v>0</v>
      </c>
      <c r="CW646" s="72">
        <v>0</v>
      </c>
      <c r="CX646" s="72">
        <v>0</v>
      </c>
      <c r="CY646" s="72">
        <v>0</v>
      </c>
      <c r="CZ646" s="72">
        <v>0</v>
      </c>
      <c r="DA646" s="72">
        <v>0</v>
      </c>
      <c r="DB646" s="72">
        <v>0</v>
      </c>
      <c r="DC646" s="72">
        <v>0</v>
      </c>
      <c r="DD646" s="72">
        <v>0</v>
      </c>
      <c r="DE646" s="72">
        <v>0</v>
      </c>
      <c r="DF646" s="72">
        <v>0</v>
      </c>
      <c r="DG646" s="72">
        <v>0</v>
      </c>
      <c r="DH646" s="72">
        <v>0</v>
      </c>
      <c r="DI646" s="72">
        <v>0</v>
      </c>
      <c r="DJ646" s="72">
        <v>0</v>
      </c>
      <c r="DK646" s="72">
        <v>0</v>
      </c>
      <c r="DL646" s="72">
        <v>0</v>
      </c>
      <c r="DM646" s="72">
        <v>0</v>
      </c>
      <c r="DN646" s="72">
        <v>0</v>
      </c>
      <c r="DO646" s="72">
        <v>0</v>
      </c>
      <c r="DP646" s="72">
        <v>0</v>
      </c>
      <c r="DQ646" s="72">
        <v>0</v>
      </c>
      <c r="DR646" s="72">
        <v>0</v>
      </c>
      <c r="DS646" s="72">
        <v>0</v>
      </c>
      <c r="DT646" s="72">
        <v>0</v>
      </c>
      <c r="DU646" s="72">
        <v>0</v>
      </c>
      <c r="DV646" s="72">
        <v>0</v>
      </c>
      <c r="DW646" s="72">
        <v>0</v>
      </c>
      <c r="DX646" s="72">
        <v>0</v>
      </c>
      <c r="DY646" s="72">
        <v>0</v>
      </c>
      <c r="DZ646" s="72">
        <v>0</v>
      </c>
      <c r="EA646" s="72">
        <v>0</v>
      </c>
      <c r="EB646" s="72">
        <v>0</v>
      </c>
      <c r="EC646" s="72">
        <v>0</v>
      </c>
      <c r="ED646" s="72">
        <v>0</v>
      </c>
      <c r="EE646" s="72">
        <v>0</v>
      </c>
      <c r="EF646" s="72">
        <v>0</v>
      </c>
      <c r="EG646" s="72">
        <v>0</v>
      </c>
      <c r="EH646" s="72">
        <v>0</v>
      </c>
      <c r="EI646" s="72">
        <v>0</v>
      </c>
      <c r="EJ646" s="72">
        <v>0</v>
      </c>
      <c r="EK646" s="72">
        <v>0</v>
      </c>
      <c r="EL646" s="72">
        <v>0</v>
      </c>
    </row>
    <row r="647" spans="1:142" x14ac:dyDescent="0.35">
      <c r="A647" s="59">
        <f>Данные!A647</f>
        <v>5762</v>
      </c>
      <c r="B647" s="59">
        <f>Данные!B647</f>
        <v>2017</v>
      </c>
      <c r="C647" s="59" t="str">
        <f>Данные!C647</f>
        <v>компьютерных технологий и электронного обучения</v>
      </c>
      <c r="D647" s="59" t="str">
        <f>Данные!D647</f>
        <v>Готская Ирина Борисовна</v>
      </c>
      <c r="E647" s="59" t="str">
        <f>Данные!E647</f>
        <v>доктор педагогических наук</v>
      </c>
      <c r="F647" s="59" t="str">
        <f>Данные!F647</f>
        <v>профессор</v>
      </c>
      <c r="G647" s="59">
        <f>Данные!G647</f>
        <v>1</v>
      </c>
      <c r="H647" s="59">
        <f>Данные!H647</f>
        <v>16595</v>
      </c>
      <c r="I647" s="59" t="str">
        <f>Данные!I647</f>
        <v>Научно-исследовательская работа. Педагогическое образование. Магистерская программа "Корпоративное электронное обучение"</v>
      </c>
      <c r="J647" s="59">
        <f>Данные!J647</f>
        <v>0</v>
      </c>
      <c r="K647" s="59">
        <f>Данные!K647</f>
        <v>0</v>
      </c>
      <c r="L647" s="59">
        <f>Данные!L647</f>
        <v>0</v>
      </c>
      <c r="M647" s="60">
        <f t="shared" si="90"/>
        <v>0</v>
      </c>
      <c r="N647" s="60">
        <f t="shared" ca="1" si="91"/>
        <v>5.3000000000000007</v>
      </c>
      <c r="O647" s="60">
        <f t="shared" ca="1" si="92"/>
        <v>2.5</v>
      </c>
      <c r="P647" s="60">
        <f t="shared" ca="1" si="93"/>
        <v>2.5</v>
      </c>
      <c r="Q647" s="54">
        <f>Данные!Q647</f>
        <v>0</v>
      </c>
      <c r="R647" s="54">
        <f>Данные!R647</f>
        <v>0</v>
      </c>
      <c r="S647" s="54">
        <f>Данные!S647</f>
        <v>0</v>
      </c>
      <c r="T647" s="54">
        <f>Данные!T647</f>
        <v>0</v>
      </c>
      <c r="U647" s="54">
        <f>Данные!U647</f>
        <v>15</v>
      </c>
      <c r="V647" s="54">
        <f>Данные!V647</f>
        <v>0</v>
      </c>
      <c r="W647" s="54">
        <f ca="1">Данные!W647</f>
        <v>10</v>
      </c>
      <c r="X647" s="54" t="str">
        <f ca="1">Данные!X647</f>
        <v>1</v>
      </c>
      <c r="Y647" s="54" t="str">
        <f ca="1">Данные!Y647</f>
        <v>1</v>
      </c>
      <c r="Z647" s="54">
        <f>Данные!Z647</f>
        <v>0</v>
      </c>
      <c r="AA647" s="54" t="str">
        <f>Данные!AA647</f>
        <v>осн</v>
      </c>
      <c r="AB647" s="101">
        <f t="shared" si="94"/>
        <v>750</v>
      </c>
      <c r="AC647" s="101" t="str">
        <f t="shared" si="95"/>
        <v>КЭО (маг)</v>
      </c>
      <c r="AD647" s="101" t="str">
        <f t="shared" si="96"/>
        <v/>
      </c>
      <c r="AE647" s="102">
        <f t="shared" ca="1" si="97"/>
        <v>25.3</v>
      </c>
      <c r="AF647" s="103">
        <f t="shared" ca="1" si="98"/>
        <v>3.3733333333333337E-2</v>
      </c>
      <c r="AG647" s="101"/>
      <c r="AH647" s="101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Q647" s="72">
        <v>0</v>
      </c>
      <c r="BR647" s="72">
        <v>0</v>
      </c>
      <c r="BS647" s="72">
        <v>0</v>
      </c>
      <c r="BT647" s="72">
        <v>0</v>
      </c>
      <c r="BU647" s="72">
        <v>0</v>
      </c>
      <c r="BV647" s="72">
        <v>0</v>
      </c>
      <c r="BW647" s="72">
        <v>0</v>
      </c>
      <c r="BX647" s="72">
        <v>0</v>
      </c>
      <c r="BY647" s="72">
        <v>0</v>
      </c>
      <c r="BZ647" s="72">
        <v>0</v>
      </c>
      <c r="CA647" s="72">
        <v>0</v>
      </c>
      <c r="CB647" s="72">
        <v>0</v>
      </c>
      <c r="CC647" s="72">
        <v>0</v>
      </c>
      <c r="CD647" s="72">
        <v>0</v>
      </c>
      <c r="CE647" s="72">
        <v>0</v>
      </c>
      <c r="CF647" s="72">
        <v>0</v>
      </c>
      <c r="CG647" s="72">
        <v>0</v>
      </c>
      <c r="CH647" s="72">
        <v>0</v>
      </c>
      <c r="CI647" s="72">
        <v>0</v>
      </c>
      <c r="CJ647" s="72">
        <v>0</v>
      </c>
      <c r="CK647" s="72">
        <v>0</v>
      </c>
      <c r="CL647" s="72">
        <v>0</v>
      </c>
      <c r="CM647" s="72">
        <v>0</v>
      </c>
      <c r="CN647" s="72">
        <v>0</v>
      </c>
      <c r="CO647" s="72">
        <v>0</v>
      </c>
      <c r="CP647" s="72">
        <v>0</v>
      </c>
      <c r="CQ647" s="72">
        <v>0</v>
      </c>
      <c r="CR647" s="72">
        <v>0</v>
      </c>
      <c r="CS647" s="72">
        <v>0</v>
      </c>
      <c r="CT647" s="72">
        <v>0</v>
      </c>
      <c r="CU647" s="72">
        <v>0</v>
      </c>
      <c r="CV647" s="72">
        <v>0</v>
      </c>
      <c r="CW647" s="72">
        <v>0</v>
      </c>
      <c r="CX647" s="72">
        <v>0</v>
      </c>
      <c r="CY647" s="72">
        <v>0</v>
      </c>
      <c r="CZ647" s="72">
        <v>0</v>
      </c>
      <c r="DA647" s="72">
        <v>0</v>
      </c>
      <c r="DB647" s="72">
        <v>0</v>
      </c>
      <c r="DC647" s="72">
        <v>0</v>
      </c>
      <c r="DD647" s="72">
        <v>0</v>
      </c>
      <c r="DE647" s="72">
        <v>0</v>
      </c>
      <c r="DF647" s="72">
        <v>0</v>
      </c>
      <c r="DG647" s="72">
        <v>0</v>
      </c>
      <c r="DH647" s="72">
        <v>0</v>
      </c>
      <c r="DI647" s="72">
        <v>0</v>
      </c>
      <c r="DJ647" s="72">
        <v>0</v>
      </c>
      <c r="DK647" s="72">
        <v>0</v>
      </c>
      <c r="DL647" s="72">
        <v>0</v>
      </c>
      <c r="DM647" s="72">
        <v>0</v>
      </c>
      <c r="DN647" s="72">
        <v>0</v>
      </c>
      <c r="DO647" s="72">
        <v>0</v>
      </c>
      <c r="DP647" s="72">
        <v>0</v>
      </c>
      <c r="DQ647" s="72">
        <v>0</v>
      </c>
      <c r="DR647" s="72">
        <v>0</v>
      </c>
      <c r="DS647" s="72">
        <v>0</v>
      </c>
      <c r="DT647" s="72">
        <v>0</v>
      </c>
      <c r="DU647" s="72">
        <v>0</v>
      </c>
      <c r="DV647" s="72">
        <v>0</v>
      </c>
      <c r="DW647" s="72">
        <v>0</v>
      </c>
      <c r="DX647" s="72">
        <v>0</v>
      </c>
      <c r="DY647" s="72">
        <v>0</v>
      </c>
      <c r="DZ647" s="72">
        <v>0</v>
      </c>
      <c r="EA647" s="72">
        <v>0</v>
      </c>
      <c r="EB647" s="72">
        <v>0</v>
      </c>
      <c r="EC647" s="72">
        <v>0</v>
      </c>
      <c r="ED647" s="72">
        <v>0</v>
      </c>
      <c r="EE647" s="72">
        <v>0</v>
      </c>
      <c r="EF647" s="72">
        <v>0</v>
      </c>
      <c r="EG647" s="72">
        <v>0</v>
      </c>
      <c r="EH647" s="72">
        <v>0</v>
      </c>
      <c r="EI647" s="72">
        <v>0</v>
      </c>
      <c r="EJ647" s="72">
        <v>0</v>
      </c>
      <c r="EK647" s="72">
        <v>0</v>
      </c>
      <c r="EL647" s="72">
        <v>0</v>
      </c>
    </row>
    <row r="648" spans="1:142" x14ac:dyDescent="0.35">
      <c r="A648" s="59">
        <f>Данные!A648</f>
        <v>5762</v>
      </c>
      <c r="B648" s="59">
        <f>Данные!B648</f>
        <v>2017</v>
      </c>
      <c r="C648" s="59" t="str">
        <f>Данные!C648</f>
        <v>компьютерных технологий и электронного обучения</v>
      </c>
      <c r="D648" s="59" t="str">
        <f>Данные!D648</f>
        <v>Готская Ирина Борисовна</v>
      </c>
      <c r="E648" s="59" t="str">
        <f>Данные!E648</f>
        <v>доктор педагогических наук</v>
      </c>
      <c r="F648" s="59" t="str">
        <f>Данные!F648</f>
        <v>профессор</v>
      </c>
      <c r="G648" s="59">
        <f>Данные!G648</f>
        <v>1</v>
      </c>
      <c r="H648" s="59">
        <f>Данные!H648</f>
        <v>16595</v>
      </c>
      <c r="I648" s="59" t="str">
        <f>Данные!I648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48" s="59">
        <f>Данные!J648</f>
        <v>0</v>
      </c>
      <c r="K648" s="59">
        <f>Данные!K648</f>
        <v>0</v>
      </c>
      <c r="L648" s="59">
        <f>Данные!L648</f>
        <v>0</v>
      </c>
      <c r="M648" s="60">
        <f t="shared" si="90"/>
        <v>0</v>
      </c>
      <c r="N648" s="60">
        <f t="shared" ca="1" si="91"/>
        <v>5.3000000000000007</v>
      </c>
      <c r="O648" s="60">
        <f t="shared" ca="1" si="92"/>
        <v>2.5</v>
      </c>
      <c r="P648" s="60">
        <f t="shared" ca="1" si="93"/>
        <v>2.5</v>
      </c>
      <c r="Q648" s="54">
        <f>Данные!Q648</f>
        <v>0</v>
      </c>
      <c r="R648" s="54">
        <f>Данные!R648</f>
        <v>0</v>
      </c>
      <c r="S648" s="54">
        <f>Данные!S648</f>
        <v>0</v>
      </c>
      <c r="T648" s="54">
        <f>Данные!T648</f>
        <v>0</v>
      </c>
      <c r="U648" s="54">
        <f>Данные!U648</f>
        <v>4</v>
      </c>
      <c r="V648" s="54">
        <f>Данные!V648</f>
        <v>0</v>
      </c>
      <c r="W648" s="54">
        <f ca="1">Данные!W648</f>
        <v>10</v>
      </c>
      <c r="X648" s="54" t="str">
        <f ca="1">Данные!X648</f>
        <v>1</v>
      </c>
      <c r="Y648" s="54" t="str">
        <f ca="1">Данные!Y648</f>
        <v>1</v>
      </c>
      <c r="Z648" s="54">
        <f>Данные!Z648</f>
        <v>0</v>
      </c>
      <c r="AA648" s="54" t="str">
        <f>Данные!AA648</f>
        <v>осн</v>
      </c>
      <c r="AB648" s="101">
        <f t="shared" si="94"/>
        <v>750</v>
      </c>
      <c r="AC648" s="101" t="str">
        <f t="shared" si="95"/>
        <v>КЭО (маг)</v>
      </c>
      <c r="AD648" s="101" t="str">
        <f t="shared" si="96"/>
        <v/>
      </c>
      <c r="AE648" s="102">
        <f t="shared" ca="1" si="97"/>
        <v>14.3</v>
      </c>
      <c r="AF648" s="103">
        <f t="shared" ca="1" si="98"/>
        <v>1.9066666666666669E-2</v>
      </c>
      <c r="AG648" s="101"/>
      <c r="AH648" s="101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Q648" s="72">
        <v>0</v>
      </c>
      <c r="BR648" s="72">
        <v>0</v>
      </c>
      <c r="BS648" s="72">
        <v>0</v>
      </c>
      <c r="BT648" s="72">
        <v>0</v>
      </c>
      <c r="BU648" s="72">
        <v>0</v>
      </c>
      <c r="BV648" s="72">
        <v>0</v>
      </c>
      <c r="BW648" s="72">
        <v>0</v>
      </c>
      <c r="BX648" s="72">
        <v>0</v>
      </c>
      <c r="BY648" s="72">
        <v>0</v>
      </c>
      <c r="BZ648" s="72">
        <v>0</v>
      </c>
      <c r="CA648" s="72">
        <v>0</v>
      </c>
      <c r="CB648" s="72">
        <v>0</v>
      </c>
      <c r="CC648" s="72">
        <v>0</v>
      </c>
      <c r="CD648" s="72">
        <v>0</v>
      </c>
      <c r="CE648" s="72">
        <v>0</v>
      </c>
      <c r="CF648" s="72">
        <v>0</v>
      </c>
      <c r="CG648" s="72">
        <v>0</v>
      </c>
      <c r="CH648" s="72">
        <v>0</v>
      </c>
      <c r="CI648" s="72">
        <v>0</v>
      </c>
      <c r="CJ648" s="72">
        <v>0</v>
      </c>
      <c r="CK648" s="72">
        <v>0</v>
      </c>
      <c r="CL648" s="72">
        <v>0</v>
      </c>
      <c r="CM648" s="72">
        <v>0</v>
      </c>
      <c r="CN648" s="72">
        <v>0</v>
      </c>
      <c r="CO648" s="72">
        <v>0</v>
      </c>
      <c r="CP648" s="72">
        <v>0</v>
      </c>
      <c r="CQ648" s="72">
        <v>0</v>
      </c>
      <c r="CR648" s="72">
        <v>0</v>
      </c>
      <c r="CS648" s="72">
        <v>0</v>
      </c>
      <c r="CT648" s="72">
        <v>0</v>
      </c>
      <c r="CU648" s="72">
        <v>0</v>
      </c>
      <c r="CV648" s="72">
        <v>0</v>
      </c>
      <c r="CW648" s="72">
        <v>0</v>
      </c>
      <c r="CX648" s="72">
        <v>0</v>
      </c>
      <c r="CY648" s="72">
        <v>0</v>
      </c>
      <c r="CZ648" s="72">
        <v>0</v>
      </c>
      <c r="DA648" s="72">
        <v>0</v>
      </c>
      <c r="DB648" s="72">
        <v>0</v>
      </c>
      <c r="DC648" s="72">
        <v>0</v>
      </c>
      <c r="DD648" s="72">
        <v>0</v>
      </c>
      <c r="DE648" s="72">
        <v>0</v>
      </c>
      <c r="DF648" s="72">
        <v>0</v>
      </c>
      <c r="DG648" s="72">
        <v>0</v>
      </c>
      <c r="DH648" s="72">
        <v>0</v>
      </c>
      <c r="DI648" s="72">
        <v>0</v>
      </c>
      <c r="DJ648" s="72">
        <v>0</v>
      </c>
      <c r="DK648" s="72">
        <v>0</v>
      </c>
      <c r="DL648" s="72">
        <v>0</v>
      </c>
      <c r="DM648" s="72">
        <v>0</v>
      </c>
      <c r="DN648" s="72">
        <v>0</v>
      </c>
      <c r="DO648" s="72">
        <v>0</v>
      </c>
      <c r="DP648" s="72">
        <v>0</v>
      </c>
      <c r="DQ648" s="72">
        <v>0</v>
      </c>
      <c r="DR648" s="72">
        <v>0</v>
      </c>
      <c r="DS648" s="72">
        <v>0</v>
      </c>
      <c r="DT648" s="72">
        <v>0</v>
      </c>
      <c r="DU648" s="72">
        <v>0</v>
      </c>
      <c r="DV648" s="72">
        <v>0</v>
      </c>
      <c r="DW648" s="72">
        <v>0</v>
      </c>
      <c r="DX648" s="72">
        <v>0</v>
      </c>
      <c r="DY648" s="72">
        <v>0</v>
      </c>
      <c r="DZ648" s="72">
        <v>0</v>
      </c>
      <c r="EA648" s="72">
        <v>0</v>
      </c>
      <c r="EB648" s="72">
        <v>0</v>
      </c>
      <c r="EC648" s="72">
        <v>0</v>
      </c>
      <c r="ED648" s="72">
        <v>0</v>
      </c>
      <c r="EE648" s="72">
        <v>0</v>
      </c>
      <c r="EF648" s="72">
        <v>0</v>
      </c>
      <c r="EG648" s="72">
        <v>0</v>
      </c>
      <c r="EH648" s="72">
        <v>0</v>
      </c>
      <c r="EI648" s="72">
        <v>0</v>
      </c>
      <c r="EJ648" s="72">
        <v>0</v>
      </c>
      <c r="EK648" s="72">
        <v>0</v>
      </c>
      <c r="EL648" s="72">
        <v>0</v>
      </c>
    </row>
    <row r="649" spans="1:142" x14ac:dyDescent="0.35">
      <c r="A649" s="59">
        <f>Данные!A649</f>
        <v>5762</v>
      </c>
      <c r="B649" s="59">
        <f>Данные!B649</f>
        <v>2017</v>
      </c>
      <c r="C649" s="59" t="str">
        <f>Данные!C649</f>
        <v>компьютерных технологий и электронного обучения</v>
      </c>
      <c r="D649" s="59" t="str">
        <f>Данные!D649</f>
        <v>Готская Ирина Борисовна</v>
      </c>
      <c r="E649" s="59" t="str">
        <f>Данные!E649</f>
        <v>доктор педагогических наук</v>
      </c>
      <c r="F649" s="59" t="str">
        <f>Данные!F649</f>
        <v>профессор</v>
      </c>
      <c r="G649" s="59">
        <f>Данные!G649</f>
        <v>1</v>
      </c>
      <c r="H649" s="59">
        <f>Данные!H649</f>
        <v>16595</v>
      </c>
      <c r="I649" s="59" t="str">
        <f>Данные!I649</f>
        <v>Руководство ВКР (магистерская диссертация)</v>
      </c>
      <c r="J649" s="59">
        <f>Данные!J649</f>
        <v>0</v>
      </c>
      <c r="K649" s="59">
        <f>Данные!K649</f>
        <v>0</v>
      </c>
      <c r="L649" s="59">
        <f>Данные!L649</f>
        <v>0</v>
      </c>
      <c r="M649" s="60">
        <f t="shared" si="90"/>
        <v>0</v>
      </c>
      <c r="N649" s="60">
        <f t="shared" ca="1" si="91"/>
        <v>5.3000000000000007</v>
      </c>
      <c r="O649" s="60">
        <f t="shared" ca="1" si="92"/>
        <v>2.5</v>
      </c>
      <c r="P649" s="60">
        <f t="shared" ca="1" si="93"/>
        <v>2.5</v>
      </c>
      <c r="Q649" s="54">
        <f>Данные!Q649</f>
        <v>0</v>
      </c>
      <c r="R649" s="54">
        <f>Данные!R649</f>
        <v>0</v>
      </c>
      <c r="S649" s="54">
        <f>Данные!S649</f>
        <v>0</v>
      </c>
      <c r="T649" s="54">
        <f>Данные!T649</f>
        <v>0</v>
      </c>
      <c r="U649" s="54">
        <f>Данные!U649</f>
        <v>0</v>
      </c>
      <c r="V649" s="54">
        <f>Данные!V649</f>
        <v>36</v>
      </c>
      <c r="W649" s="54">
        <f ca="1">Данные!W649</f>
        <v>10</v>
      </c>
      <c r="X649" s="54" t="str">
        <f ca="1">Данные!X649</f>
        <v>1</v>
      </c>
      <c r="Y649" s="54" t="str">
        <f ca="1">Данные!Y649</f>
        <v>1</v>
      </c>
      <c r="Z649" s="54">
        <f>Данные!Z649</f>
        <v>0</v>
      </c>
      <c r="AA649" s="54" t="str">
        <f>Данные!AA649</f>
        <v>осн</v>
      </c>
      <c r="AB649" s="101">
        <f t="shared" si="94"/>
        <v>750</v>
      </c>
      <c r="AC649" s="101" t="str">
        <f t="shared" si="95"/>
        <v>КЭО (маг)</v>
      </c>
      <c r="AD649" s="101" t="str">
        <f t="shared" si="96"/>
        <v/>
      </c>
      <c r="AE649" s="102">
        <f t="shared" ca="1" si="97"/>
        <v>46.3</v>
      </c>
      <c r="AF649" s="103">
        <f t="shared" ca="1" si="98"/>
        <v>6.1733333333333328E-2</v>
      </c>
      <c r="AG649" s="101"/>
      <c r="AH649" s="101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Q649" s="72">
        <v>0</v>
      </c>
      <c r="BR649" s="72">
        <v>0</v>
      </c>
      <c r="BS649" s="72">
        <v>0</v>
      </c>
      <c r="BT649" s="72">
        <v>0</v>
      </c>
      <c r="BU649" s="72">
        <v>0</v>
      </c>
      <c r="BV649" s="72">
        <v>0</v>
      </c>
      <c r="BW649" s="72">
        <v>0</v>
      </c>
      <c r="BX649" s="72">
        <v>0</v>
      </c>
      <c r="BY649" s="72">
        <v>0</v>
      </c>
      <c r="BZ649" s="72">
        <v>0</v>
      </c>
      <c r="CA649" s="72">
        <v>0</v>
      </c>
      <c r="CB649" s="72">
        <v>0</v>
      </c>
      <c r="CC649" s="72">
        <v>0</v>
      </c>
      <c r="CD649" s="72">
        <v>0</v>
      </c>
      <c r="CE649" s="72">
        <v>0</v>
      </c>
      <c r="CF649" s="72">
        <v>0</v>
      </c>
      <c r="CG649" s="72">
        <v>0</v>
      </c>
      <c r="CH649" s="72">
        <v>0</v>
      </c>
      <c r="CI649" s="72">
        <v>0</v>
      </c>
      <c r="CJ649" s="72">
        <v>0</v>
      </c>
      <c r="CK649" s="72">
        <v>0</v>
      </c>
      <c r="CL649" s="72">
        <v>0</v>
      </c>
      <c r="CM649" s="72">
        <v>0</v>
      </c>
      <c r="CN649" s="72">
        <v>0</v>
      </c>
      <c r="CO649" s="72">
        <v>0</v>
      </c>
      <c r="CP649" s="72">
        <v>0</v>
      </c>
      <c r="CQ649" s="72">
        <v>0</v>
      </c>
      <c r="CR649" s="72">
        <v>0</v>
      </c>
      <c r="CS649" s="72">
        <v>0</v>
      </c>
      <c r="CT649" s="72">
        <v>0</v>
      </c>
      <c r="CU649" s="72">
        <v>0</v>
      </c>
      <c r="CV649" s="72">
        <v>0</v>
      </c>
      <c r="CW649" s="72">
        <v>0</v>
      </c>
      <c r="CX649" s="72">
        <v>0</v>
      </c>
      <c r="CY649" s="72">
        <v>0</v>
      </c>
      <c r="CZ649" s="72">
        <v>0</v>
      </c>
      <c r="DA649" s="72">
        <v>0</v>
      </c>
      <c r="DB649" s="72">
        <v>0</v>
      </c>
      <c r="DC649" s="72">
        <v>0</v>
      </c>
      <c r="DD649" s="72">
        <v>0</v>
      </c>
      <c r="DE649" s="72">
        <v>0</v>
      </c>
      <c r="DF649" s="72">
        <v>0</v>
      </c>
      <c r="DG649" s="72">
        <v>0</v>
      </c>
      <c r="DH649" s="72">
        <v>0</v>
      </c>
      <c r="DI649" s="72">
        <v>0</v>
      </c>
      <c r="DJ649" s="72">
        <v>0</v>
      </c>
      <c r="DK649" s="72">
        <v>0</v>
      </c>
      <c r="DL649" s="72">
        <v>0</v>
      </c>
      <c r="DM649" s="72">
        <v>0</v>
      </c>
      <c r="DN649" s="72">
        <v>0</v>
      </c>
      <c r="DO649" s="72">
        <v>0</v>
      </c>
      <c r="DP649" s="72">
        <v>0</v>
      </c>
      <c r="DQ649" s="72">
        <v>0</v>
      </c>
      <c r="DR649" s="72">
        <v>0</v>
      </c>
      <c r="DS649" s="72">
        <v>0</v>
      </c>
      <c r="DT649" s="72">
        <v>0</v>
      </c>
      <c r="DU649" s="72">
        <v>0</v>
      </c>
      <c r="DV649" s="72">
        <v>0</v>
      </c>
      <c r="DW649" s="72">
        <v>0</v>
      </c>
      <c r="DX649" s="72">
        <v>0</v>
      </c>
      <c r="DY649" s="72">
        <v>0</v>
      </c>
      <c r="DZ649" s="72">
        <v>0</v>
      </c>
      <c r="EA649" s="72">
        <v>0</v>
      </c>
      <c r="EB649" s="72">
        <v>0</v>
      </c>
      <c r="EC649" s="72">
        <v>0</v>
      </c>
      <c r="ED649" s="72">
        <v>0</v>
      </c>
      <c r="EE649" s="72">
        <v>0</v>
      </c>
      <c r="EF649" s="72">
        <v>0</v>
      </c>
      <c r="EG649" s="72">
        <v>0</v>
      </c>
      <c r="EH649" s="72">
        <v>0</v>
      </c>
      <c r="EI649" s="72">
        <v>0</v>
      </c>
      <c r="EJ649" s="72">
        <v>0</v>
      </c>
      <c r="EK649" s="72">
        <v>0</v>
      </c>
      <c r="EL649" s="72">
        <v>0</v>
      </c>
    </row>
    <row r="650" spans="1:142" x14ac:dyDescent="0.35">
      <c r="A650" s="59">
        <f>Данные!A650</f>
        <v>5762</v>
      </c>
      <c r="B650" s="59">
        <f>Данные!B650</f>
        <v>2017</v>
      </c>
      <c r="C650" s="59" t="str">
        <f>Данные!C650</f>
        <v>компьютерных технологий и электронного обучения</v>
      </c>
      <c r="D650" s="59" t="str">
        <f>Данные!D650</f>
        <v>Жуков Николай Николаевич</v>
      </c>
      <c r="E650" s="59" t="str">
        <f>Данные!E650</f>
        <v>нет</v>
      </c>
      <c r="F650" s="59" t="str">
        <f>Данные!F650</f>
        <v>ассистент</v>
      </c>
      <c r="G650" s="59">
        <f>Данные!G650</f>
        <v>1</v>
      </c>
      <c r="H650" s="59">
        <f>Данные!H650</f>
        <v>16595</v>
      </c>
      <c r="I650" s="59" t="str">
        <f>Данные!I650</f>
        <v>Модуль "IT- инфраструктура образовательного учреждения". Проектирование и разработка электронных образовательных ресурсов</v>
      </c>
      <c r="J650" s="59">
        <f>Данные!J650</f>
        <v>4</v>
      </c>
      <c r="K650" s="59">
        <f>Данные!K650</f>
        <v>22</v>
      </c>
      <c r="L650" s="59">
        <f>Данные!L650</f>
        <v>0</v>
      </c>
      <c r="M650" s="60">
        <f t="shared" si="90"/>
        <v>2.6</v>
      </c>
      <c r="N650" s="60">
        <f t="shared" ca="1" si="91"/>
        <v>5.3000000000000007</v>
      </c>
      <c r="O650" s="60">
        <f t="shared" ca="1" si="92"/>
        <v>2.5</v>
      </c>
      <c r="P650" s="60">
        <f t="shared" ca="1" si="93"/>
        <v>2.5</v>
      </c>
      <c r="Q650" s="54">
        <f>Данные!Q650</f>
        <v>0</v>
      </c>
      <c r="R650" s="54">
        <f>Данные!R650</f>
        <v>0</v>
      </c>
      <c r="S650" s="54">
        <f>Данные!S650</f>
        <v>0</v>
      </c>
      <c r="T650" s="54">
        <f>Данные!T650</f>
        <v>0</v>
      </c>
      <c r="U650" s="54">
        <f>Данные!U650</f>
        <v>0</v>
      </c>
      <c r="V650" s="54">
        <f>Данные!V650</f>
        <v>0</v>
      </c>
      <c r="W650" s="54">
        <f ca="1">Данные!W650</f>
        <v>10</v>
      </c>
      <c r="X650" s="54" t="str">
        <f ca="1">Данные!X650</f>
        <v>1</v>
      </c>
      <c r="Y650" s="54" t="str">
        <f ca="1">Данные!Y650</f>
        <v>1</v>
      </c>
      <c r="Z650" s="54">
        <f>Данные!Z650</f>
        <v>0</v>
      </c>
      <c r="AA650" s="54" t="str">
        <f>Данные!AA650</f>
        <v>осн</v>
      </c>
      <c r="AB650" s="101">
        <f t="shared" si="94"/>
        <v>900</v>
      </c>
      <c r="AC650" s="101" t="str">
        <f t="shared" si="95"/>
        <v>КЭО (маг)</v>
      </c>
      <c r="AD650" s="101" t="str">
        <f t="shared" si="96"/>
        <v/>
      </c>
      <c r="AE650" s="102">
        <f t="shared" ca="1" si="97"/>
        <v>38.900000000000006</v>
      </c>
      <c r="AF650" s="103">
        <f t="shared" ca="1" si="98"/>
        <v>4.3222222222222231E-2</v>
      </c>
      <c r="AG650" s="101"/>
      <c r="AH650" s="101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Q650" s="72">
        <v>0</v>
      </c>
      <c r="BR650" s="72">
        <v>0</v>
      </c>
      <c r="BS650" s="72">
        <v>0</v>
      </c>
      <c r="BT650" s="72">
        <v>0</v>
      </c>
      <c r="BU650" s="72">
        <v>0</v>
      </c>
      <c r="BV650" s="72">
        <v>0</v>
      </c>
      <c r="BW650" s="72">
        <v>0</v>
      </c>
      <c r="BX650" s="72">
        <v>0</v>
      </c>
      <c r="BY650" s="72">
        <v>0</v>
      </c>
      <c r="BZ650" s="72">
        <v>0</v>
      </c>
      <c r="CA650" s="72">
        <v>0</v>
      </c>
      <c r="CB650" s="72">
        <v>0</v>
      </c>
      <c r="CC650" s="72">
        <v>0</v>
      </c>
      <c r="CD650" s="72">
        <v>0</v>
      </c>
      <c r="CE650" s="72">
        <v>0</v>
      </c>
      <c r="CF650" s="72">
        <v>0</v>
      </c>
      <c r="CG650" s="72">
        <v>0</v>
      </c>
      <c r="CH650" s="72">
        <v>0</v>
      </c>
      <c r="CI650" s="72">
        <v>0</v>
      </c>
      <c r="CJ650" s="72">
        <v>0</v>
      </c>
      <c r="CK650" s="72">
        <v>0</v>
      </c>
      <c r="CL650" s="72">
        <v>0</v>
      </c>
      <c r="CM650" s="72">
        <v>0</v>
      </c>
      <c r="CN650" s="72">
        <v>0</v>
      </c>
      <c r="CO650" s="72">
        <v>0</v>
      </c>
      <c r="CP650" s="72">
        <v>0</v>
      </c>
      <c r="CQ650" s="72">
        <v>0</v>
      </c>
      <c r="CR650" s="72">
        <v>0</v>
      </c>
      <c r="CS650" s="72">
        <v>0</v>
      </c>
      <c r="CT650" s="72">
        <v>0</v>
      </c>
      <c r="CU650" s="72">
        <v>0</v>
      </c>
      <c r="CV650" s="72">
        <v>0</v>
      </c>
      <c r="CW650" s="72">
        <v>0</v>
      </c>
      <c r="CX650" s="72">
        <v>0</v>
      </c>
      <c r="CY650" s="72">
        <v>0</v>
      </c>
      <c r="CZ650" s="72">
        <v>0</v>
      </c>
      <c r="DA650" s="72">
        <v>0</v>
      </c>
      <c r="DB650" s="72">
        <v>0</v>
      </c>
      <c r="DC650" s="72">
        <v>0</v>
      </c>
      <c r="DD650" s="72">
        <v>0</v>
      </c>
      <c r="DE650" s="72">
        <v>0</v>
      </c>
      <c r="DF650" s="72">
        <v>0</v>
      </c>
      <c r="DG650" s="72">
        <v>0</v>
      </c>
      <c r="DH650" s="72">
        <v>0</v>
      </c>
      <c r="DI650" s="72">
        <v>0</v>
      </c>
      <c r="DJ650" s="72">
        <v>0</v>
      </c>
      <c r="DK650" s="72">
        <v>0</v>
      </c>
      <c r="DL650" s="72">
        <v>0</v>
      </c>
      <c r="DM650" s="72">
        <v>0</v>
      </c>
      <c r="DN650" s="72">
        <v>0</v>
      </c>
      <c r="DO650" s="72">
        <v>0</v>
      </c>
      <c r="DP650" s="72">
        <v>0</v>
      </c>
      <c r="DQ650" s="72">
        <v>0</v>
      </c>
      <c r="DR650" s="72">
        <v>0</v>
      </c>
      <c r="DS650" s="72">
        <v>0</v>
      </c>
      <c r="DT650" s="72">
        <v>0</v>
      </c>
      <c r="DU650" s="72">
        <v>0</v>
      </c>
      <c r="DV650" s="72">
        <v>0</v>
      </c>
      <c r="DW650" s="72">
        <v>0</v>
      </c>
      <c r="DX650" s="72">
        <v>0</v>
      </c>
      <c r="DY650" s="72">
        <v>0</v>
      </c>
      <c r="DZ650" s="72">
        <v>0</v>
      </c>
      <c r="EA650" s="72">
        <v>0</v>
      </c>
      <c r="EB650" s="72">
        <v>0</v>
      </c>
      <c r="EC650" s="72">
        <v>0</v>
      </c>
      <c r="ED650" s="72">
        <v>0</v>
      </c>
      <c r="EE650" s="72">
        <v>0</v>
      </c>
      <c r="EF650" s="72">
        <v>0</v>
      </c>
      <c r="EG650" s="72">
        <v>0</v>
      </c>
      <c r="EH650" s="72">
        <v>0</v>
      </c>
      <c r="EI650" s="72">
        <v>0</v>
      </c>
      <c r="EJ650" s="72">
        <v>0</v>
      </c>
      <c r="EK650" s="72">
        <v>0</v>
      </c>
      <c r="EL650" s="72">
        <v>0</v>
      </c>
    </row>
    <row r="651" spans="1:142" x14ac:dyDescent="0.35">
      <c r="A651" s="59">
        <f>Данные!A651</f>
        <v>5762</v>
      </c>
      <c r="B651" s="59">
        <f>Данные!B651</f>
        <v>2017</v>
      </c>
      <c r="C651" s="59" t="str">
        <f>Данные!C651</f>
        <v>компьютерных технологий и электронного обучения</v>
      </c>
      <c r="D651" s="59" t="str">
        <f>Данные!D651</f>
        <v>Жуков Николай Николаевич</v>
      </c>
      <c r="E651" s="59" t="str">
        <f>Данные!E651</f>
        <v>нет</v>
      </c>
      <c r="F651" s="59" t="str">
        <f>Данные!F651</f>
        <v>ассистент</v>
      </c>
      <c r="G651" s="59">
        <f>Данные!G651</f>
        <v>1</v>
      </c>
      <c r="H651" s="59">
        <f>Данные!H651</f>
        <v>16595</v>
      </c>
      <c r="I651" s="59" t="str">
        <f>Данные!I651</f>
        <v>Модуль "IT- инфраструктура образовательного учреждения". Управление IT- проектами для корпоративного обучения</v>
      </c>
      <c r="J651" s="59">
        <f>Данные!J651</f>
        <v>4</v>
      </c>
      <c r="K651" s="59">
        <f>Данные!K651</f>
        <v>14</v>
      </c>
      <c r="L651" s="59">
        <f>Данные!L651</f>
        <v>0</v>
      </c>
      <c r="M651" s="60">
        <f t="shared" si="90"/>
        <v>1.8</v>
      </c>
      <c r="N651" s="60">
        <f t="shared" ca="1" si="91"/>
        <v>5.3000000000000007</v>
      </c>
      <c r="O651" s="60">
        <f t="shared" ca="1" si="92"/>
        <v>2.5</v>
      </c>
      <c r="P651" s="60">
        <f t="shared" ca="1" si="93"/>
        <v>2.5</v>
      </c>
      <c r="Q651" s="54">
        <f>Данные!Q651</f>
        <v>0</v>
      </c>
      <c r="R651" s="54">
        <f>Данные!R651</f>
        <v>0</v>
      </c>
      <c r="S651" s="54">
        <f>Данные!S651</f>
        <v>0</v>
      </c>
      <c r="T651" s="54">
        <f>Данные!T651</f>
        <v>0</v>
      </c>
      <c r="U651" s="54">
        <f>Данные!U651</f>
        <v>0</v>
      </c>
      <c r="V651" s="54">
        <f>Данные!V651</f>
        <v>0</v>
      </c>
      <c r="W651" s="54">
        <f ca="1">Данные!W651</f>
        <v>10</v>
      </c>
      <c r="X651" s="54" t="str">
        <f ca="1">Данные!X651</f>
        <v>1</v>
      </c>
      <c r="Y651" s="54" t="str">
        <f ca="1">Данные!Y651</f>
        <v>1</v>
      </c>
      <c r="Z651" s="54">
        <f>Данные!Z651</f>
        <v>0</v>
      </c>
      <c r="AA651" s="54" t="str">
        <f>Данные!AA651</f>
        <v>осн</v>
      </c>
      <c r="AB651" s="101">
        <f t="shared" si="94"/>
        <v>900</v>
      </c>
      <c r="AC651" s="101" t="str">
        <f t="shared" si="95"/>
        <v>КЭО (маг)</v>
      </c>
      <c r="AD651" s="101" t="str">
        <f t="shared" si="96"/>
        <v/>
      </c>
      <c r="AE651" s="102">
        <f t="shared" ca="1" si="97"/>
        <v>30.1</v>
      </c>
      <c r="AF651" s="103">
        <f t="shared" ca="1" si="98"/>
        <v>3.3444444444444443E-2</v>
      </c>
      <c r="AG651" s="101"/>
      <c r="AH651" s="10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Q651" s="72">
        <v>0</v>
      </c>
      <c r="BR651" s="72">
        <v>0</v>
      </c>
      <c r="BS651" s="72">
        <v>0</v>
      </c>
      <c r="BT651" s="72">
        <v>0</v>
      </c>
      <c r="BU651" s="72">
        <v>0</v>
      </c>
      <c r="BV651" s="72">
        <v>0</v>
      </c>
      <c r="BW651" s="72">
        <v>0</v>
      </c>
      <c r="BX651" s="72">
        <v>0</v>
      </c>
      <c r="BY651" s="72">
        <v>0</v>
      </c>
      <c r="BZ651" s="72">
        <v>0</v>
      </c>
      <c r="CA651" s="72">
        <v>0</v>
      </c>
      <c r="CB651" s="72">
        <v>0</v>
      </c>
      <c r="CC651" s="72">
        <v>0</v>
      </c>
      <c r="CD651" s="72">
        <v>0</v>
      </c>
      <c r="CE651" s="72">
        <v>0</v>
      </c>
      <c r="CF651" s="72">
        <v>0</v>
      </c>
      <c r="CG651" s="72">
        <v>0</v>
      </c>
      <c r="CH651" s="72">
        <v>0</v>
      </c>
      <c r="CI651" s="72">
        <v>0</v>
      </c>
      <c r="CJ651" s="72">
        <v>0</v>
      </c>
      <c r="CK651" s="72">
        <v>0</v>
      </c>
      <c r="CL651" s="72">
        <v>0</v>
      </c>
      <c r="CM651" s="72">
        <v>0</v>
      </c>
      <c r="CN651" s="72">
        <v>0</v>
      </c>
      <c r="CO651" s="72">
        <v>0</v>
      </c>
      <c r="CP651" s="72">
        <v>0</v>
      </c>
      <c r="CQ651" s="72">
        <v>0</v>
      </c>
      <c r="CR651" s="72">
        <v>0</v>
      </c>
      <c r="CS651" s="72">
        <v>0</v>
      </c>
      <c r="CT651" s="72">
        <v>0</v>
      </c>
      <c r="CU651" s="72">
        <v>0</v>
      </c>
      <c r="CV651" s="72">
        <v>0</v>
      </c>
      <c r="CW651" s="72">
        <v>0</v>
      </c>
      <c r="CX651" s="72">
        <v>0</v>
      </c>
      <c r="CY651" s="72">
        <v>0</v>
      </c>
      <c r="CZ651" s="72">
        <v>0</v>
      </c>
      <c r="DA651" s="72">
        <v>0</v>
      </c>
      <c r="DB651" s="72">
        <v>0</v>
      </c>
      <c r="DC651" s="72">
        <v>0</v>
      </c>
      <c r="DD651" s="72">
        <v>0</v>
      </c>
      <c r="DE651" s="72">
        <v>0</v>
      </c>
      <c r="DF651" s="72">
        <v>0</v>
      </c>
      <c r="DG651" s="72">
        <v>0</v>
      </c>
      <c r="DH651" s="72">
        <v>0</v>
      </c>
      <c r="DI651" s="72">
        <v>0</v>
      </c>
      <c r="DJ651" s="72">
        <v>0</v>
      </c>
      <c r="DK651" s="72">
        <v>0</v>
      </c>
      <c r="DL651" s="72">
        <v>0</v>
      </c>
      <c r="DM651" s="72">
        <v>0</v>
      </c>
      <c r="DN651" s="72">
        <v>0</v>
      </c>
      <c r="DO651" s="72">
        <v>0</v>
      </c>
      <c r="DP651" s="72">
        <v>0</v>
      </c>
      <c r="DQ651" s="72">
        <v>0</v>
      </c>
      <c r="DR651" s="72">
        <v>0</v>
      </c>
      <c r="DS651" s="72">
        <v>0</v>
      </c>
      <c r="DT651" s="72">
        <v>0</v>
      </c>
      <c r="DU651" s="72">
        <v>0</v>
      </c>
      <c r="DV651" s="72">
        <v>0</v>
      </c>
      <c r="DW651" s="72">
        <v>0</v>
      </c>
      <c r="DX651" s="72">
        <v>0</v>
      </c>
      <c r="DY651" s="72">
        <v>0</v>
      </c>
      <c r="DZ651" s="72">
        <v>0</v>
      </c>
      <c r="EA651" s="72">
        <v>0</v>
      </c>
      <c r="EB651" s="72">
        <v>0</v>
      </c>
      <c r="EC651" s="72">
        <v>0</v>
      </c>
      <c r="ED651" s="72">
        <v>0</v>
      </c>
      <c r="EE651" s="72">
        <v>0</v>
      </c>
      <c r="EF651" s="72">
        <v>0</v>
      </c>
      <c r="EG651" s="72">
        <v>0</v>
      </c>
      <c r="EH651" s="72">
        <v>0</v>
      </c>
      <c r="EI651" s="72">
        <v>0</v>
      </c>
      <c r="EJ651" s="72">
        <v>0</v>
      </c>
      <c r="EK651" s="72">
        <v>0</v>
      </c>
      <c r="EL651" s="72">
        <v>0</v>
      </c>
    </row>
    <row r="652" spans="1:142" x14ac:dyDescent="0.35">
      <c r="A652" s="59">
        <f>Данные!A652</f>
        <v>5762</v>
      </c>
      <c r="B652" s="59">
        <f>Данные!B652</f>
        <v>2017</v>
      </c>
      <c r="C652" s="59" t="str">
        <f>Данные!C652</f>
        <v>компьютерных технологий и электронного обучения</v>
      </c>
      <c r="D652" s="59" t="str">
        <f>Данные!D652</f>
        <v>Жуков Николай Николаевич</v>
      </c>
      <c r="E652" s="59" t="str">
        <f>Данные!E652</f>
        <v>нет</v>
      </c>
      <c r="F652" s="59" t="str">
        <f>Данные!F652</f>
        <v>ассистент</v>
      </c>
      <c r="G652" s="59">
        <f>Данные!G652</f>
        <v>1</v>
      </c>
      <c r="H652" s="59">
        <f>Данные!H652</f>
        <v>16595</v>
      </c>
      <c r="I652" s="59" t="str">
        <f>Данные!I652</f>
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</c>
      <c r="J652" s="59">
        <f>Данные!J652</f>
        <v>0</v>
      </c>
      <c r="K652" s="59">
        <f>Данные!K652</f>
        <v>22</v>
      </c>
      <c r="L652" s="59">
        <f>Данные!L652</f>
        <v>0</v>
      </c>
      <c r="M652" s="60">
        <f t="shared" si="90"/>
        <v>2.2000000000000002</v>
      </c>
      <c r="N652" s="60">
        <f t="shared" ca="1" si="91"/>
        <v>5.3000000000000007</v>
      </c>
      <c r="O652" s="60">
        <f t="shared" ca="1" si="92"/>
        <v>2.5</v>
      </c>
      <c r="P652" s="60">
        <f t="shared" ca="1" si="93"/>
        <v>2.5</v>
      </c>
      <c r="Q652" s="54">
        <f>Данные!Q652</f>
        <v>0</v>
      </c>
      <c r="R652" s="54">
        <f>Данные!R652</f>
        <v>0</v>
      </c>
      <c r="S652" s="54">
        <f>Данные!S652</f>
        <v>0</v>
      </c>
      <c r="T652" s="54">
        <f>Данные!T652</f>
        <v>0</v>
      </c>
      <c r="U652" s="54">
        <f>Данные!U652</f>
        <v>0</v>
      </c>
      <c r="V652" s="54">
        <f>Данные!V652</f>
        <v>0</v>
      </c>
      <c r="W652" s="54">
        <f ca="1">Данные!W652</f>
        <v>10</v>
      </c>
      <c r="X652" s="54" t="str">
        <f ca="1">Данные!X652</f>
        <v>1</v>
      </c>
      <c r="Y652" s="54" t="str">
        <f ca="1">Данные!Y652</f>
        <v>1</v>
      </c>
      <c r="Z652" s="54">
        <f>Данные!Z652</f>
        <v>0</v>
      </c>
      <c r="AA652" s="54" t="str">
        <f>Данные!AA652</f>
        <v>осн</v>
      </c>
      <c r="AB652" s="101">
        <f t="shared" si="94"/>
        <v>900</v>
      </c>
      <c r="AC652" s="101" t="str">
        <f t="shared" si="95"/>
        <v>КЭО (маг)</v>
      </c>
      <c r="AD652" s="101" t="str">
        <f t="shared" si="96"/>
        <v/>
      </c>
      <c r="AE652" s="102">
        <f t="shared" ca="1" si="97"/>
        <v>34.5</v>
      </c>
      <c r="AF652" s="103">
        <f t="shared" ca="1" si="98"/>
        <v>3.833333333333333E-2</v>
      </c>
      <c r="AG652" s="101"/>
      <c r="AH652" s="101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Q652" s="72">
        <v>0</v>
      </c>
      <c r="BR652" s="72">
        <v>0</v>
      </c>
      <c r="BS652" s="72">
        <v>0</v>
      </c>
      <c r="BT652" s="72">
        <v>0</v>
      </c>
      <c r="BU652" s="72">
        <v>0</v>
      </c>
      <c r="BV652" s="72">
        <v>0</v>
      </c>
      <c r="BW652" s="72">
        <v>0</v>
      </c>
      <c r="BX652" s="72">
        <v>0</v>
      </c>
      <c r="BY652" s="72">
        <v>0</v>
      </c>
      <c r="BZ652" s="72">
        <v>0</v>
      </c>
      <c r="CA652" s="72">
        <v>0</v>
      </c>
      <c r="CB652" s="72">
        <v>0</v>
      </c>
      <c r="CC652" s="72">
        <v>0</v>
      </c>
      <c r="CD652" s="72">
        <v>0</v>
      </c>
      <c r="CE652" s="72">
        <v>0</v>
      </c>
      <c r="CF652" s="72">
        <v>0</v>
      </c>
      <c r="CG652" s="72">
        <v>0</v>
      </c>
      <c r="CH652" s="72">
        <v>0</v>
      </c>
      <c r="CI652" s="72">
        <v>0</v>
      </c>
      <c r="CJ652" s="72">
        <v>0</v>
      </c>
      <c r="CK652" s="72">
        <v>0</v>
      </c>
      <c r="CL652" s="72">
        <v>0</v>
      </c>
      <c r="CM652" s="72">
        <v>0</v>
      </c>
      <c r="CN652" s="72">
        <v>0</v>
      </c>
      <c r="CO652" s="72">
        <v>0</v>
      </c>
      <c r="CP652" s="72">
        <v>0</v>
      </c>
      <c r="CQ652" s="72">
        <v>0</v>
      </c>
      <c r="CR652" s="72">
        <v>0</v>
      </c>
      <c r="CS652" s="72">
        <v>0</v>
      </c>
      <c r="CT652" s="72">
        <v>0</v>
      </c>
      <c r="CU652" s="72">
        <v>0</v>
      </c>
      <c r="CV652" s="72">
        <v>0</v>
      </c>
      <c r="CW652" s="72">
        <v>0</v>
      </c>
      <c r="CX652" s="72">
        <v>0</v>
      </c>
      <c r="CY652" s="72">
        <v>0</v>
      </c>
      <c r="CZ652" s="72">
        <v>0</v>
      </c>
      <c r="DA652" s="72">
        <v>0</v>
      </c>
      <c r="DB652" s="72">
        <v>0</v>
      </c>
      <c r="DC652" s="72">
        <v>0</v>
      </c>
      <c r="DD652" s="72">
        <v>0</v>
      </c>
      <c r="DE652" s="72">
        <v>0</v>
      </c>
      <c r="DF652" s="72">
        <v>0</v>
      </c>
      <c r="DG652" s="72">
        <v>0</v>
      </c>
      <c r="DH652" s="72">
        <v>0</v>
      </c>
      <c r="DI652" s="72">
        <v>0</v>
      </c>
      <c r="DJ652" s="72">
        <v>0</v>
      </c>
      <c r="DK652" s="72">
        <v>0</v>
      </c>
      <c r="DL652" s="72">
        <v>0</v>
      </c>
      <c r="DM652" s="72">
        <v>0</v>
      </c>
      <c r="DN652" s="72">
        <v>0</v>
      </c>
      <c r="DO652" s="72">
        <v>0</v>
      </c>
      <c r="DP652" s="72">
        <v>0</v>
      </c>
      <c r="DQ652" s="72">
        <v>0</v>
      </c>
      <c r="DR652" s="72">
        <v>0</v>
      </c>
      <c r="DS652" s="72">
        <v>0</v>
      </c>
      <c r="DT652" s="72">
        <v>0</v>
      </c>
      <c r="DU652" s="72">
        <v>0</v>
      </c>
      <c r="DV652" s="72">
        <v>0</v>
      </c>
      <c r="DW652" s="72">
        <v>0</v>
      </c>
      <c r="DX652" s="72">
        <v>0</v>
      </c>
      <c r="DY652" s="72">
        <v>0</v>
      </c>
      <c r="DZ652" s="72">
        <v>0</v>
      </c>
      <c r="EA652" s="72">
        <v>0</v>
      </c>
      <c r="EB652" s="72">
        <v>0</v>
      </c>
      <c r="EC652" s="72">
        <v>0</v>
      </c>
      <c r="ED652" s="72">
        <v>0</v>
      </c>
      <c r="EE652" s="72">
        <v>0</v>
      </c>
      <c r="EF652" s="72">
        <v>0</v>
      </c>
      <c r="EG652" s="72">
        <v>0</v>
      </c>
      <c r="EH652" s="72">
        <v>0</v>
      </c>
      <c r="EI652" s="72">
        <v>0</v>
      </c>
      <c r="EJ652" s="72">
        <v>0</v>
      </c>
      <c r="EK652" s="72">
        <v>0</v>
      </c>
      <c r="EL652" s="72">
        <v>0</v>
      </c>
    </row>
    <row r="653" spans="1:142" x14ac:dyDescent="0.35">
      <c r="A653" s="59">
        <f>Данные!A653</f>
        <v>5762</v>
      </c>
      <c r="B653" s="59">
        <f>Данные!B653</f>
        <v>2017</v>
      </c>
      <c r="C653" s="59" t="str">
        <f>Данные!C653</f>
        <v>компьютерных технологий и электронного обучения</v>
      </c>
      <c r="D653" s="59" t="str">
        <f>Данные!D653</f>
        <v>Жуков Николай Николаевич</v>
      </c>
      <c r="E653" s="59" t="str">
        <f>Данные!E653</f>
        <v>нет</v>
      </c>
      <c r="F653" s="59" t="str">
        <f>Данные!F653</f>
        <v>ассистент</v>
      </c>
      <c r="G653" s="59">
        <f>Данные!G653</f>
        <v>1</v>
      </c>
      <c r="H653" s="59">
        <f>Данные!H653</f>
        <v>16595</v>
      </c>
      <c r="I653" s="59" t="str">
        <f>Данные!I653</f>
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</c>
      <c r="J653" s="59">
        <f>Данные!J653</f>
        <v>0</v>
      </c>
      <c r="K653" s="59">
        <f>Данные!K653</f>
        <v>22</v>
      </c>
      <c r="L653" s="59">
        <f>Данные!L653</f>
        <v>0</v>
      </c>
      <c r="M653" s="60">
        <f t="shared" si="90"/>
        <v>2.2000000000000002</v>
      </c>
      <c r="N653" s="60">
        <f t="shared" ca="1" si="91"/>
        <v>5.3000000000000007</v>
      </c>
      <c r="O653" s="60">
        <f t="shared" ca="1" si="92"/>
        <v>2.5</v>
      </c>
      <c r="P653" s="60">
        <f t="shared" ca="1" si="93"/>
        <v>2.5</v>
      </c>
      <c r="Q653" s="54">
        <f>Данные!Q653</f>
        <v>0</v>
      </c>
      <c r="R653" s="54">
        <f>Данные!R653</f>
        <v>0</v>
      </c>
      <c r="S653" s="54">
        <f>Данные!S653</f>
        <v>0</v>
      </c>
      <c r="T653" s="54">
        <f>Данные!T653</f>
        <v>0</v>
      </c>
      <c r="U653" s="54">
        <f>Данные!U653</f>
        <v>0</v>
      </c>
      <c r="V653" s="54">
        <f>Данные!V653</f>
        <v>0</v>
      </c>
      <c r="W653" s="54">
        <f ca="1">Данные!W653</f>
        <v>10</v>
      </c>
      <c r="X653" s="54" t="str">
        <f ca="1">Данные!X653</f>
        <v>1</v>
      </c>
      <c r="Y653" s="54" t="str">
        <f ca="1">Данные!Y653</f>
        <v>1</v>
      </c>
      <c r="Z653" s="54">
        <f>Данные!Z653</f>
        <v>0</v>
      </c>
      <c r="AA653" s="54" t="str">
        <f>Данные!AA653</f>
        <v>доп</v>
      </c>
      <c r="AB653" s="101">
        <f t="shared" si="94"/>
        <v>900</v>
      </c>
      <c r="AC653" s="101" t="str">
        <f t="shared" si="95"/>
        <v>КЭО (маг)</v>
      </c>
      <c r="AD653" s="101" t="str">
        <f t="shared" si="96"/>
        <v/>
      </c>
      <c r="AE653" s="102">
        <f t="shared" ca="1" si="97"/>
        <v>34.5</v>
      </c>
      <c r="AF653" s="103">
        <f t="shared" ca="1" si="98"/>
        <v>3.833333333333333E-2</v>
      </c>
      <c r="AG653" s="101"/>
      <c r="AH653" s="101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Q653" s="72">
        <v>0</v>
      </c>
      <c r="BR653" s="72">
        <v>0</v>
      </c>
      <c r="BS653" s="72">
        <v>0</v>
      </c>
      <c r="BT653" s="72">
        <v>0</v>
      </c>
      <c r="BU653" s="72">
        <v>0</v>
      </c>
      <c r="BV653" s="72">
        <v>0</v>
      </c>
      <c r="BW653" s="72">
        <v>0</v>
      </c>
      <c r="BX653" s="72">
        <v>0</v>
      </c>
      <c r="BY653" s="72">
        <v>0</v>
      </c>
      <c r="BZ653" s="72">
        <v>0</v>
      </c>
      <c r="CA653" s="72">
        <v>0</v>
      </c>
      <c r="CB653" s="72">
        <v>0</v>
      </c>
      <c r="CC653" s="72">
        <v>0</v>
      </c>
      <c r="CD653" s="72">
        <v>0</v>
      </c>
      <c r="CE653" s="72">
        <v>0</v>
      </c>
      <c r="CF653" s="72">
        <v>0</v>
      </c>
      <c r="CG653" s="72">
        <v>0</v>
      </c>
      <c r="CH653" s="72">
        <v>0</v>
      </c>
      <c r="CI653" s="72">
        <v>0</v>
      </c>
      <c r="CJ653" s="72">
        <v>0</v>
      </c>
      <c r="CK653" s="72">
        <v>0</v>
      </c>
      <c r="CL653" s="72">
        <v>0</v>
      </c>
      <c r="CM653" s="72">
        <v>0</v>
      </c>
      <c r="CN653" s="72">
        <v>0</v>
      </c>
      <c r="CO653" s="72">
        <v>0</v>
      </c>
      <c r="CP653" s="72">
        <v>0</v>
      </c>
      <c r="CQ653" s="72">
        <v>0</v>
      </c>
      <c r="CR653" s="72">
        <v>0</v>
      </c>
      <c r="CS653" s="72">
        <v>0</v>
      </c>
      <c r="CT653" s="72">
        <v>0</v>
      </c>
      <c r="CU653" s="72">
        <v>0</v>
      </c>
      <c r="CV653" s="72">
        <v>0</v>
      </c>
      <c r="CW653" s="72">
        <v>0</v>
      </c>
      <c r="CX653" s="72">
        <v>0</v>
      </c>
      <c r="CY653" s="72">
        <v>0</v>
      </c>
      <c r="CZ653" s="72">
        <v>0</v>
      </c>
      <c r="DA653" s="72">
        <v>0</v>
      </c>
      <c r="DB653" s="72">
        <v>0</v>
      </c>
      <c r="DC653" s="72">
        <v>0</v>
      </c>
      <c r="DD653" s="72">
        <v>0</v>
      </c>
      <c r="DE653" s="72">
        <v>0</v>
      </c>
      <c r="DF653" s="72">
        <v>0</v>
      </c>
      <c r="DG653" s="72">
        <v>0</v>
      </c>
      <c r="DH653" s="72">
        <v>0</v>
      </c>
      <c r="DI653" s="72">
        <v>0</v>
      </c>
      <c r="DJ653" s="72">
        <v>0</v>
      </c>
      <c r="DK653" s="72">
        <v>0</v>
      </c>
      <c r="DL653" s="72">
        <v>0</v>
      </c>
      <c r="DM653" s="72">
        <v>0</v>
      </c>
      <c r="DN653" s="72">
        <v>0</v>
      </c>
      <c r="DO653" s="72">
        <v>0</v>
      </c>
      <c r="DP653" s="72">
        <v>0</v>
      </c>
      <c r="DQ653" s="72">
        <v>0</v>
      </c>
      <c r="DR653" s="72">
        <v>0</v>
      </c>
      <c r="DS653" s="72">
        <v>0</v>
      </c>
      <c r="DT653" s="72">
        <v>0</v>
      </c>
      <c r="DU653" s="72">
        <v>0</v>
      </c>
      <c r="DV653" s="72">
        <v>0</v>
      </c>
      <c r="DW653" s="72">
        <v>0</v>
      </c>
      <c r="DX653" s="72">
        <v>0</v>
      </c>
      <c r="DY653" s="72">
        <v>0</v>
      </c>
      <c r="DZ653" s="72">
        <v>0</v>
      </c>
      <c r="EA653" s="72">
        <v>0</v>
      </c>
      <c r="EB653" s="72">
        <v>0</v>
      </c>
      <c r="EC653" s="72">
        <v>0</v>
      </c>
      <c r="ED653" s="72">
        <v>0</v>
      </c>
      <c r="EE653" s="72">
        <v>0</v>
      </c>
      <c r="EF653" s="72">
        <v>0</v>
      </c>
      <c r="EG653" s="72">
        <v>0</v>
      </c>
      <c r="EH653" s="72">
        <v>0</v>
      </c>
      <c r="EI653" s="72">
        <v>0</v>
      </c>
      <c r="EJ653" s="72">
        <v>0</v>
      </c>
      <c r="EK653" s="72">
        <v>0</v>
      </c>
      <c r="EL653" s="72">
        <v>0</v>
      </c>
    </row>
    <row r="654" spans="1:142" x14ac:dyDescent="0.35">
      <c r="A654" s="59">
        <f>Данные!A654</f>
        <v>5762</v>
      </c>
      <c r="B654" s="59">
        <f>Данные!B654</f>
        <v>2017</v>
      </c>
      <c r="C654" s="59" t="str">
        <f>Данные!C654</f>
        <v>компьютерных технологий и электронного обучения</v>
      </c>
      <c r="D654" s="59" t="str">
        <f>Данные!D654</f>
        <v>Жуков Николай Николаевич</v>
      </c>
      <c r="E654" s="59" t="str">
        <f>Данные!E654</f>
        <v>нет</v>
      </c>
      <c r="F654" s="59" t="str">
        <f>Данные!F654</f>
        <v>ассистент</v>
      </c>
      <c r="G654" s="59">
        <f>Данные!G654</f>
        <v>1</v>
      </c>
      <c r="H654" s="59">
        <f>Данные!H654</f>
        <v>16595</v>
      </c>
      <c r="I654" s="59" t="str">
        <f>Данные!I654</f>
        <v>Модуль "Инновационные методы и технологии корпоративного электронного обучения ". Мобильное корпоративное обучение</v>
      </c>
      <c r="J654" s="59">
        <f>Данные!J654</f>
        <v>0</v>
      </c>
      <c r="K654" s="59">
        <f>Данные!K654</f>
        <v>12</v>
      </c>
      <c r="L654" s="59">
        <f>Данные!L654</f>
        <v>0</v>
      </c>
      <c r="M654" s="60">
        <f t="shared" si="90"/>
        <v>1.2</v>
      </c>
      <c r="N654" s="60">
        <f t="shared" ca="1" si="91"/>
        <v>5.3000000000000007</v>
      </c>
      <c r="O654" s="60">
        <f t="shared" ca="1" si="92"/>
        <v>2.5</v>
      </c>
      <c r="P654" s="60">
        <f t="shared" ca="1" si="93"/>
        <v>2.5</v>
      </c>
      <c r="Q654" s="54">
        <f>Данные!Q654</f>
        <v>0</v>
      </c>
      <c r="R654" s="54">
        <f>Данные!R654</f>
        <v>0</v>
      </c>
      <c r="S654" s="54">
        <f>Данные!S654</f>
        <v>0</v>
      </c>
      <c r="T654" s="54">
        <f>Данные!T654</f>
        <v>0</v>
      </c>
      <c r="U654" s="54">
        <f>Данные!U654</f>
        <v>0</v>
      </c>
      <c r="V654" s="54">
        <f>Данные!V654</f>
        <v>0</v>
      </c>
      <c r="W654" s="54">
        <f ca="1">Данные!W654</f>
        <v>10</v>
      </c>
      <c r="X654" s="54" t="str">
        <f ca="1">Данные!X654</f>
        <v>1</v>
      </c>
      <c r="Y654" s="54" t="str">
        <f ca="1">Данные!Y654</f>
        <v>1</v>
      </c>
      <c r="Z654" s="54">
        <f>Данные!Z654</f>
        <v>0</v>
      </c>
      <c r="AA654" s="54" t="str">
        <f>Данные!AA654</f>
        <v>осн</v>
      </c>
      <c r="AB654" s="101">
        <f t="shared" si="94"/>
        <v>900</v>
      </c>
      <c r="AC654" s="101" t="str">
        <f t="shared" si="95"/>
        <v>КЭО (маг)</v>
      </c>
      <c r="AD654" s="101" t="str">
        <f t="shared" si="96"/>
        <v/>
      </c>
      <c r="AE654" s="102">
        <f t="shared" ca="1" si="97"/>
        <v>23.5</v>
      </c>
      <c r="AF654" s="103">
        <f t="shared" ca="1" si="98"/>
        <v>2.6111111111111113E-2</v>
      </c>
      <c r="AG654" s="101"/>
      <c r="AH654" s="101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Q654" s="72">
        <v>0</v>
      </c>
      <c r="BR654" s="72">
        <v>0</v>
      </c>
      <c r="BS654" s="72">
        <v>0</v>
      </c>
      <c r="BT654" s="72">
        <v>0</v>
      </c>
      <c r="BU654" s="72">
        <v>0</v>
      </c>
      <c r="BV654" s="72">
        <v>0</v>
      </c>
      <c r="BW654" s="72">
        <v>0</v>
      </c>
      <c r="BX654" s="72">
        <v>0</v>
      </c>
      <c r="BY654" s="72">
        <v>0</v>
      </c>
      <c r="BZ654" s="72">
        <v>0</v>
      </c>
      <c r="CA654" s="72">
        <v>0</v>
      </c>
      <c r="CB654" s="72">
        <v>0</v>
      </c>
      <c r="CC654" s="72">
        <v>0</v>
      </c>
      <c r="CD654" s="72">
        <v>0</v>
      </c>
      <c r="CE654" s="72">
        <v>0</v>
      </c>
      <c r="CF654" s="72">
        <v>0</v>
      </c>
      <c r="CG654" s="72">
        <v>0</v>
      </c>
      <c r="CH654" s="72">
        <v>0</v>
      </c>
      <c r="CI654" s="72">
        <v>0</v>
      </c>
      <c r="CJ654" s="72">
        <v>0</v>
      </c>
      <c r="CK654" s="72">
        <v>0</v>
      </c>
      <c r="CL654" s="72">
        <v>0</v>
      </c>
      <c r="CM654" s="72">
        <v>0</v>
      </c>
      <c r="CN654" s="72">
        <v>0</v>
      </c>
      <c r="CO654" s="72">
        <v>0</v>
      </c>
      <c r="CP654" s="72">
        <v>0</v>
      </c>
      <c r="CQ654" s="72">
        <v>0</v>
      </c>
      <c r="CR654" s="72">
        <v>0</v>
      </c>
      <c r="CS654" s="72">
        <v>0</v>
      </c>
      <c r="CT654" s="72">
        <v>0</v>
      </c>
      <c r="CU654" s="72">
        <v>0</v>
      </c>
      <c r="CV654" s="72">
        <v>0</v>
      </c>
      <c r="CW654" s="72">
        <v>0</v>
      </c>
      <c r="CX654" s="72">
        <v>0</v>
      </c>
      <c r="CY654" s="72">
        <v>0</v>
      </c>
      <c r="CZ654" s="72">
        <v>0</v>
      </c>
      <c r="DA654" s="72">
        <v>0</v>
      </c>
      <c r="DB654" s="72">
        <v>0</v>
      </c>
      <c r="DC654" s="72">
        <v>0</v>
      </c>
      <c r="DD654" s="72">
        <v>0</v>
      </c>
      <c r="DE654" s="72">
        <v>0</v>
      </c>
      <c r="DF654" s="72">
        <v>0</v>
      </c>
      <c r="DG654" s="72">
        <v>0</v>
      </c>
      <c r="DH654" s="72">
        <v>0</v>
      </c>
      <c r="DI654" s="72">
        <v>0</v>
      </c>
      <c r="DJ654" s="72">
        <v>0</v>
      </c>
      <c r="DK654" s="72">
        <v>0</v>
      </c>
      <c r="DL654" s="72">
        <v>0</v>
      </c>
      <c r="DM654" s="72">
        <v>0</v>
      </c>
      <c r="DN654" s="72">
        <v>0</v>
      </c>
      <c r="DO654" s="72">
        <v>0</v>
      </c>
      <c r="DP654" s="72">
        <v>0</v>
      </c>
      <c r="DQ654" s="72">
        <v>0</v>
      </c>
      <c r="DR654" s="72">
        <v>0</v>
      </c>
      <c r="DS654" s="72">
        <v>0</v>
      </c>
      <c r="DT654" s="72">
        <v>0</v>
      </c>
      <c r="DU654" s="72">
        <v>0</v>
      </c>
      <c r="DV654" s="72">
        <v>0</v>
      </c>
      <c r="DW654" s="72">
        <v>0</v>
      </c>
      <c r="DX654" s="72">
        <v>0</v>
      </c>
      <c r="DY654" s="72">
        <v>0</v>
      </c>
      <c r="DZ654" s="72">
        <v>0</v>
      </c>
      <c r="EA654" s="72">
        <v>0</v>
      </c>
      <c r="EB654" s="72">
        <v>0</v>
      </c>
      <c r="EC654" s="72">
        <v>0</v>
      </c>
      <c r="ED654" s="72">
        <v>0</v>
      </c>
      <c r="EE654" s="72">
        <v>0</v>
      </c>
      <c r="EF654" s="72">
        <v>0</v>
      </c>
      <c r="EG654" s="72">
        <v>0</v>
      </c>
      <c r="EH654" s="72">
        <v>0</v>
      </c>
      <c r="EI654" s="72">
        <v>0</v>
      </c>
      <c r="EJ654" s="72">
        <v>0</v>
      </c>
      <c r="EK654" s="72">
        <v>0</v>
      </c>
      <c r="EL654" s="72">
        <v>0</v>
      </c>
    </row>
    <row r="655" spans="1:142" x14ac:dyDescent="0.35">
      <c r="A655" s="59">
        <f>Данные!A655</f>
        <v>5762</v>
      </c>
      <c r="B655" s="59">
        <f>Данные!B655</f>
        <v>2017</v>
      </c>
      <c r="C655" s="59" t="str">
        <f>Данные!C655</f>
        <v>компьютерных технологий и электронного обучения</v>
      </c>
      <c r="D655" s="59" t="str">
        <f>Данные!D655</f>
        <v>Жуков Николай Николаевич</v>
      </c>
      <c r="E655" s="59" t="str">
        <f>Данные!E655</f>
        <v>нет</v>
      </c>
      <c r="F655" s="59" t="str">
        <f>Данные!F655</f>
        <v>ассистент</v>
      </c>
      <c r="G655" s="59">
        <f>Данные!G655</f>
        <v>1</v>
      </c>
      <c r="H655" s="59">
        <f>Данные!H655</f>
        <v>16595</v>
      </c>
      <c r="I655" s="59" t="str">
        <f>Данные!I655</f>
        <v>Модуль "Прикладные информационные технологии в образовательном процессе". E-learning решения управления знаниями в образовательных учреждениях</v>
      </c>
      <c r="J655" s="59">
        <f>Данные!J655</f>
        <v>2</v>
      </c>
      <c r="K655" s="59">
        <f>Данные!K655</f>
        <v>16</v>
      </c>
      <c r="L655" s="59">
        <f>Данные!L655</f>
        <v>0</v>
      </c>
      <c r="M655" s="60">
        <f t="shared" si="90"/>
        <v>1.8</v>
      </c>
      <c r="N655" s="60">
        <f t="shared" ca="1" si="91"/>
        <v>5.3000000000000007</v>
      </c>
      <c r="O655" s="60">
        <f t="shared" ca="1" si="92"/>
        <v>2.5</v>
      </c>
      <c r="P655" s="60">
        <f t="shared" ca="1" si="93"/>
        <v>2.5</v>
      </c>
      <c r="Q655" s="54">
        <f>Данные!Q655</f>
        <v>0</v>
      </c>
      <c r="R655" s="54">
        <f>Данные!R655</f>
        <v>0</v>
      </c>
      <c r="S655" s="54">
        <f>Данные!S655</f>
        <v>0</v>
      </c>
      <c r="T655" s="54">
        <f>Данные!T655</f>
        <v>0</v>
      </c>
      <c r="U655" s="54">
        <f>Данные!U655</f>
        <v>0</v>
      </c>
      <c r="V655" s="54">
        <f>Данные!V655</f>
        <v>0</v>
      </c>
      <c r="W655" s="54">
        <f ca="1">Данные!W655</f>
        <v>10</v>
      </c>
      <c r="X655" s="54" t="str">
        <f ca="1">Данные!X655</f>
        <v>1</v>
      </c>
      <c r="Y655" s="54" t="str">
        <f ca="1">Данные!Y655</f>
        <v>1</v>
      </c>
      <c r="Z655" s="54">
        <f>Данные!Z655</f>
        <v>0</v>
      </c>
      <c r="AA655" s="54" t="str">
        <f>Данные!AA655</f>
        <v>осн</v>
      </c>
      <c r="AB655" s="101">
        <f t="shared" si="94"/>
        <v>900</v>
      </c>
      <c r="AC655" s="101" t="str">
        <f t="shared" si="95"/>
        <v>КЭО (маг)</v>
      </c>
      <c r="AD655" s="101" t="str">
        <f t="shared" si="96"/>
        <v/>
      </c>
      <c r="AE655" s="102">
        <f t="shared" ca="1" si="97"/>
        <v>30.1</v>
      </c>
      <c r="AF655" s="103">
        <f t="shared" ca="1" si="98"/>
        <v>3.3444444444444443E-2</v>
      </c>
      <c r="AG655" s="101"/>
      <c r="AH655" s="101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Q655" s="72">
        <v>0</v>
      </c>
      <c r="BR655" s="72">
        <v>0</v>
      </c>
      <c r="BS655" s="72">
        <v>0</v>
      </c>
      <c r="BT655" s="72">
        <v>0</v>
      </c>
      <c r="BU655" s="72">
        <v>0</v>
      </c>
      <c r="BV655" s="72">
        <v>0</v>
      </c>
      <c r="BW655" s="72">
        <v>0</v>
      </c>
      <c r="BX655" s="72">
        <v>0</v>
      </c>
      <c r="BY655" s="72">
        <v>0</v>
      </c>
      <c r="BZ655" s="72">
        <v>0</v>
      </c>
      <c r="CA655" s="72">
        <v>0</v>
      </c>
      <c r="CB655" s="72">
        <v>0</v>
      </c>
      <c r="CC655" s="72">
        <v>0</v>
      </c>
      <c r="CD655" s="72">
        <v>0</v>
      </c>
      <c r="CE655" s="72">
        <v>0</v>
      </c>
      <c r="CF655" s="72">
        <v>0</v>
      </c>
      <c r="CG655" s="72">
        <v>0</v>
      </c>
      <c r="CH655" s="72">
        <v>0</v>
      </c>
      <c r="CI655" s="72">
        <v>0</v>
      </c>
      <c r="CJ655" s="72">
        <v>0</v>
      </c>
      <c r="CK655" s="72">
        <v>0</v>
      </c>
      <c r="CL655" s="72">
        <v>0</v>
      </c>
      <c r="CM655" s="72">
        <v>0</v>
      </c>
      <c r="CN655" s="72">
        <v>0</v>
      </c>
      <c r="CO655" s="72">
        <v>0</v>
      </c>
      <c r="CP655" s="72">
        <v>0</v>
      </c>
      <c r="CQ655" s="72">
        <v>0</v>
      </c>
      <c r="CR655" s="72">
        <v>0</v>
      </c>
      <c r="CS655" s="72">
        <v>0</v>
      </c>
      <c r="CT655" s="72">
        <v>0</v>
      </c>
      <c r="CU655" s="72">
        <v>0</v>
      </c>
      <c r="CV655" s="72">
        <v>0</v>
      </c>
      <c r="CW655" s="72">
        <v>0</v>
      </c>
      <c r="CX655" s="72">
        <v>0</v>
      </c>
      <c r="CY655" s="72">
        <v>0</v>
      </c>
      <c r="CZ655" s="72">
        <v>0</v>
      </c>
      <c r="DA655" s="72">
        <v>0</v>
      </c>
      <c r="DB655" s="72">
        <v>0</v>
      </c>
      <c r="DC655" s="72">
        <v>0</v>
      </c>
      <c r="DD655" s="72">
        <v>0</v>
      </c>
      <c r="DE655" s="72">
        <v>0</v>
      </c>
      <c r="DF655" s="72">
        <v>0</v>
      </c>
      <c r="DG655" s="72">
        <v>0</v>
      </c>
      <c r="DH655" s="72">
        <v>0</v>
      </c>
      <c r="DI655" s="72">
        <v>0</v>
      </c>
      <c r="DJ655" s="72">
        <v>0</v>
      </c>
      <c r="DK655" s="72">
        <v>0</v>
      </c>
      <c r="DL655" s="72">
        <v>0</v>
      </c>
      <c r="DM655" s="72">
        <v>0</v>
      </c>
      <c r="DN655" s="72">
        <v>0</v>
      </c>
      <c r="DO655" s="72">
        <v>0</v>
      </c>
      <c r="DP655" s="72">
        <v>0</v>
      </c>
      <c r="DQ655" s="72">
        <v>0</v>
      </c>
      <c r="DR655" s="72">
        <v>0</v>
      </c>
      <c r="DS655" s="72">
        <v>0</v>
      </c>
      <c r="DT655" s="72">
        <v>0</v>
      </c>
      <c r="DU655" s="72">
        <v>0</v>
      </c>
      <c r="DV655" s="72">
        <v>0</v>
      </c>
      <c r="DW655" s="72">
        <v>0</v>
      </c>
      <c r="DX655" s="72">
        <v>0</v>
      </c>
      <c r="DY655" s="72">
        <v>0</v>
      </c>
      <c r="DZ655" s="72">
        <v>0</v>
      </c>
      <c r="EA655" s="72">
        <v>0</v>
      </c>
      <c r="EB655" s="72">
        <v>0</v>
      </c>
      <c r="EC655" s="72">
        <v>0</v>
      </c>
      <c r="ED655" s="72">
        <v>0</v>
      </c>
      <c r="EE655" s="72">
        <v>0</v>
      </c>
      <c r="EF655" s="72">
        <v>0</v>
      </c>
      <c r="EG655" s="72">
        <v>0</v>
      </c>
      <c r="EH655" s="72">
        <v>0</v>
      </c>
      <c r="EI655" s="72">
        <v>0</v>
      </c>
      <c r="EJ655" s="72">
        <v>0</v>
      </c>
      <c r="EK655" s="72">
        <v>0</v>
      </c>
      <c r="EL655" s="72">
        <v>0</v>
      </c>
    </row>
    <row r="656" spans="1:142" x14ac:dyDescent="0.35">
      <c r="A656" s="59">
        <f>Данные!A656</f>
        <v>5762</v>
      </c>
      <c r="B656" s="59">
        <f>Данные!B656</f>
        <v>2017</v>
      </c>
      <c r="C656" s="59" t="str">
        <f>Данные!C656</f>
        <v>компьютерных технологий и электронного обучения</v>
      </c>
      <c r="D656" s="59" t="str">
        <f>Данные!D656</f>
        <v>Жуков Николай Николаевич</v>
      </c>
      <c r="E656" s="59" t="str">
        <f>Данные!E656</f>
        <v>нет</v>
      </c>
      <c r="F656" s="59" t="str">
        <f>Данные!F656</f>
        <v>ассистент</v>
      </c>
      <c r="G656" s="59">
        <f>Данные!G656</f>
        <v>1</v>
      </c>
      <c r="H656" s="59">
        <f>Данные!H656</f>
        <v>16595</v>
      </c>
      <c r="I656" s="59" t="str">
        <f>Данные!I656</f>
        <v>Модуль "Теория и практика корпоративного электронного обучения". Методы и инструменты корпоративного электронного обучения</v>
      </c>
      <c r="J656" s="59">
        <f>Данные!J656</f>
        <v>0</v>
      </c>
      <c r="K656" s="59">
        <f>Данные!K656</f>
        <v>22</v>
      </c>
      <c r="L656" s="59">
        <f>Данные!L656</f>
        <v>0</v>
      </c>
      <c r="M656" s="60">
        <f t="shared" si="90"/>
        <v>2.2000000000000002</v>
      </c>
      <c r="N656" s="60">
        <f t="shared" ca="1" si="91"/>
        <v>5.3000000000000007</v>
      </c>
      <c r="O656" s="60">
        <f t="shared" ca="1" si="92"/>
        <v>2.5</v>
      </c>
      <c r="P656" s="60">
        <f t="shared" ca="1" si="93"/>
        <v>2.5</v>
      </c>
      <c r="Q656" s="54">
        <f>Данные!Q656</f>
        <v>0</v>
      </c>
      <c r="R656" s="54">
        <f>Данные!R656</f>
        <v>0</v>
      </c>
      <c r="S656" s="54">
        <f>Данные!S656</f>
        <v>0</v>
      </c>
      <c r="T656" s="54">
        <f>Данные!T656</f>
        <v>0</v>
      </c>
      <c r="U656" s="54">
        <f>Данные!U656</f>
        <v>0</v>
      </c>
      <c r="V656" s="54">
        <f>Данные!V656</f>
        <v>0</v>
      </c>
      <c r="W656" s="54">
        <f ca="1">Данные!W656</f>
        <v>10</v>
      </c>
      <c r="X656" s="54" t="str">
        <f ca="1">Данные!X656</f>
        <v>1</v>
      </c>
      <c r="Y656" s="54" t="str">
        <f ca="1">Данные!Y656</f>
        <v>1</v>
      </c>
      <c r="Z656" s="54">
        <f>Данные!Z656</f>
        <v>0</v>
      </c>
      <c r="AA656" s="54" t="str">
        <f>Данные!AA656</f>
        <v>осн</v>
      </c>
      <c r="AB656" s="101">
        <f t="shared" si="94"/>
        <v>900</v>
      </c>
      <c r="AC656" s="101" t="str">
        <f t="shared" si="95"/>
        <v>КЭО (маг)</v>
      </c>
      <c r="AD656" s="101" t="str">
        <f t="shared" si="96"/>
        <v/>
      </c>
      <c r="AE656" s="102">
        <f t="shared" ca="1" si="97"/>
        <v>34.5</v>
      </c>
      <c r="AF656" s="103">
        <f t="shared" ca="1" si="98"/>
        <v>3.833333333333333E-2</v>
      </c>
      <c r="AG656" s="101"/>
      <c r="AH656" s="101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Q656" s="72">
        <v>0</v>
      </c>
      <c r="BR656" s="72">
        <v>0</v>
      </c>
      <c r="BS656" s="72">
        <v>0</v>
      </c>
      <c r="BT656" s="72">
        <v>0</v>
      </c>
      <c r="BU656" s="72">
        <v>0</v>
      </c>
      <c r="BV656" s="72">
        <v>0</v>
      </c>
      <c r="BW656" s="72">
        <v>0</v>
      </c>
      <c r="BX656" s="72">
        <v>0</v>
      </c>
      <c r="BY656" s="72">
        <v>0</v>
      </c>
      <c r="BZ656" s="72">
        <v>0</v>
      </c>
      <c r="CA656" s="72">
        <v>0</v>
      </c>
      <c r="CB656" s="72">
        <v>0</v>
      </c>
      <c r="CC656" s="72">
        <v>0</v>
      </c>
      <c r="CD656" s="72">
        <v>0</v>
      </c>
      <c r="CE656" s="72">
        <v>0</v>
      </c>
      <c r="CF656" s="72">
        <v>0</v>
      </c>
      <c r="CG656" s="72">
        <v>0</v>
      </c>
      <c r="CH656" s="72">
        <v>0</v>
      </c>
      <c r="CI656" s="72">
        <v>0</v>
      </c>
      <c r="CJ656" s="72">
        <v>0</v>
      </c>
      <c r="CK656" s="72">
        <v>0</v>
      </c>
      <c r="CL656" s="72">
        <v>0</v>
      </c>
      <c r="CM656" s="72">
        <v>0</v>
      </c>
      <c r="CN656" s="72">
        <v>0</v>
      </c>
      <c r="CO656" s="72">
        <v>0</v>
      </c>
      <c r="CP656" s="72">
        <v>0</v>
      </c>
      <c r="CQ656" s="72">
        <v>0</v>
      </c>
      <c r="CR656" s="72">
        <v>0</v>
      </c>
      <c r="CS656" s="72">
        <v>0</v>
      </c>
      <c r="CT656" s="72">
        <v>0</v>
      </c>
      <c r="CU656" s="72">
        <v>0</v>
      </c>
      <c r="CV656" s="72">
        <v>0</v>
      </c>
      <c r="CW656" s="72">
        <v>0</v>
      </c>
      <c r="CX656" s="72">
        <v>0</v>
      </c>
      <c r="CY656" s="72">
        <v>0</v>
      </c>
      <c r="CZ656" s="72">
        <v>0</v>
      </c>
      <c r="DA656" s="72">
        <v>0</v>
      </c>
      <c r="DB656" s="72">
        <v>0</v>
      </c>
      <c r="DC656" s="72">
        <v>0</v>
      </c>
      <c r="DD656" s="72">
        <v>0</v>
      </c>
      <c r="DE656" s="72">
        <v>0</v>
      </c>
      <c r="DF656" s="72">
        <v>0</v>
      </c>
      <c r="DG656" s="72">
        <v>0</v>
      </c>
      <c r="DH656" s="72">
        <v>0</v>
      </c>
      <c r="DI656" s="72">
        <v>0</v>
      </c>
      <c r="DJ656" s="72">
        <v>0</v>
      </c>
      <c r="DK656" s="72">
        <v>0</v>
      </c>
      <c r="DL656" s="72">
        <v>0</v>
      </c>
      <c r="DM656" s="72">
        <v>0</v>
      </c>
      <c r="DN656" s="72">
        <v>0</v>
      </c>
      <c r="DO656" s="72">
        <v>0</v>
      </c>
      <c r="DP656" s="72">
        <v>0</v>
      </c>
      <c r="DQ656" s="72">
        <v>0</v>
      </c>
      <c r="DR656" s="72">
        <v>0</v>
      </c>
      <c r="DS656" s="72">
        <v>0</v>
      </c>
      <c r="DT656" s="72">
        <v>0</v>
      </c>
      <c r="DU656" s="72">
        <v>0</v>
      </c>
      <c r="DV656" s="72">
        <v>0</v>
      </c>
      <c r="DW656" s="72">
        <v>0</v>
      </c>
      <c r="DX656" s="72">
        <v>0</v>
      </c>
      <c r="DY656" s="72">
        <v>0</v>
      </c>
      <c r="DZ656" s="72">
        <v>0</v>
      </c>
      <c r="EA656" s="72">
        <v>0</v>
      </c>
      <c r="EB656" s="72">
        <v>0</v>
      </c>
      <c r="EC656" s="72">
        <v>0</v>
      </c>
      <c r="ED656" s="72">
        <v>0</v>
      </c>
      <c r="EE656" s="72">
        <v>0</v>
      </c>
      <c r="EF656" s="72">
        <v>0</v>
      </c>
      <c r="EG656" s="72">
        <v>0</v>
      </c>
      <c r="EH656" s="72">
        <v>0</v>
      </c>
      <c r="EI656" s="72">
        <v>0</v>
      </c>
      <c r="EJ656" s="72">
        <v>0</v>
      </c>
      <c r="EK656" s="72">
        <v>0</v>
      </c>
      <c r="EL656" s="72">
        <v>0</v>
      </c>
    </row>
    <row r="657" spans="1:142" x14ac:dyDescent="0.35">
      <c r="A657" s="59">
        <f>Данные!A657</f>
        <v>5762</v>
      </c>
      <c r="B657" s="59">
        <f>Данные!B657</f>
        <v>2017</v>
      </c>
      <c r="C657" s="59" t="str">
        <f>Данные!C657</f>
        <v>компьютерных технологий и электронного обучения</v>
      </c>
      <c r="D657" s="59" t="str">
        <f>Данные!D657</f>
        <v>Иванова Екатерина Алексеевна</v>
      </c>
      <c r="E657" s="59" t="str">
        <f>Данные!E657</f>
        <v>нет</v>
      </c>
      <c r="F657" s="59" t="str">
        <f>Данные!F657</f>
        <v>ассистент</v>
      </c>
      <c r="G657" s="59">
        <f>Данные!G657</f>
        <v>0.5</v>
      </c>
      <c r="H657" s="59">
        <f>Данные!H657</f>
        <v>16595</v>
      </c>
      <c r="I657" s="59" t="str">
        <f>Данные!I657</f>
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</c>
      <c r="J657" s="59">
        <f>Данные!J657</f>
        <v>0</v>
      </c>
      <c r="K657" s="59">
        <f>Данные!K657</f>
        <v>14</v>
      </c>
      <c r="L657" s="59">
        <f>Данные!L657</f>
        <v>0</v>
      </c>
      <c r="M657" s="60">
        <f t="shared" si="90"/>
        <v>1.4</v>
      </c>
      <c r="N657" s="60">
        <f t="shared" ca="1" si="91"/>
        <v>5.3000000000000007</v>
      </c>
      <c r="O657" s="60">
        <f t="shared" ca="1" si="92"/>
        <v>2.5</v>
      </c>
      <c r="P657" s="60">
        <f t="shared" ca="1" si="93"/>
        <v>2.5</v>
      </c>
      <c r="Q657" s="54">
        <f>Данные!Q657</f>
        <v>0</v>
      </c>
      <c r="R657" s="54">
        <f>Данные!R657</f>
        <v>0</v>
      </c>
      <c r="S657" s="54">
        <f>Данные!S657</f>
        <v>0</v>
      </c>
      <c r="T657" s="54">
        <f>Данные!T657</f>
        <v>0</v>
      </c>
      <c r="U657" s="54">
        <f>Данные!U657</f>
        <v>0</v>
      </c>
      <c r="V657" s="54">
        <f>Данные!V657</f>
        <v>0</v>
      </c>
      <c r="W657" s="54">
        <f ca="1">Данные!W657</f>
        <v>10</v>
      </c>
      <c r="X657" s="54" t="str">
        <f ca="1">Данные!X657</f>
        <v>1</v>
      </c>
      <c r="Y657" s="54" t="str">
        <f ca="1">Данные!Y657</f>
        <v>1</v>
      </c>
      <c r="Z657" s="54">
        <f>Данные!Z657</f>
        <v>0</v>
      </c>
      <c r="AA657" s="54" t="str">
        <f>Данные!AA657</f>
        <v>доп</v>
      </c>
      <c r="AB657" s="101">
        <f t="shared" si="94"/>
        <v>900</v>
      </c>
      <c r="AC657" s="101" t="str">
        <f t="shared" si="95"/>
        <v>КЭО (маг)</v>
      </c>
      <c r="AD657" s="101" t="str">
        <f t="shared" si="96"/>
        <v/>
      </c>
      <c r="AE657" s="102">
        <f t="shared" ca="1" si="97"/>
        <v>25.700000000000003</v>
      </c>
      <c r="AF657" s="103">
        <f t="shared" ca="1" si="98"/>
        <v>2.855555555555556E-2</v>
      </c>
      <c r="AG657" s="101"/>
      <c r="AH657" s="101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Q657" s="72">
        <v>0</v>
      </c>
      <c r="BR657" s="72">
        <v>0</v>
      </c>
      <c r="BS657" s="72">
        <v>0</v>
      </c>
      <c r="BT657" s="72">
        <v>0</v>
      </c>
      <c r="BU657" s="72">
        <v>0</v>
      </c>
      <c r="BV657" s="72">
        <v>0</v>
      </c>
      <c r="BW657" s="72">
        <v>0</v>
      </c>
      <c r="BX657" s="72">
        <v>0</v>
      </c>
      <c r="BY657" s="72">
        <v>0</v>
      </c>
      <c r="BZ657" s="72">
        <v>0</v>
      </c>
      <c r="CA657" s="72">
        <v>0</v>
      </c>
      <c r="CB657" s="72">
        <v>0</v>
      </c>
      <c r="CC657" s="72">
        <v>0</v>
      </c>
      <c r="CD657" s="72">
        <v>0</v>
      </c>
      <c r="CE657" s="72">
        <v>0</v>
      </c>
      <c r="CF657" s="72">
        <v>0</v>
      </c>
      <c r="CG657" s="72">
        <v>0</v>
      </c>
      <c r="CH657" s="72">
        <v>0</v>
      </c>
      <c r="CI657" s="72">
        <v>0</v>
      </c>
      <c r="CJ657" s="72">
        <v>0</v>
      </c>
      <c r="CK657" s="72">
        <v>0</v>
      </c>
      <c r="CL657" s="72">
        <v>0</v>
      </c>
      <c r="CM657" s="72">
        <v>0</v>
      </c>
      <c r="CN657" s="72">
        <v>0</v>
      </c>
      <c r="CO657" s="72">
        <v>0</v>
      </c>
      <c r="CP657" s="72">
        <v>0</v>
      </c>
      <c r="CQ657" s="72">
        <v>0</v>
      </c>
      <c r="CR657" s="72">
        <v>0</v>
      </c>
      <c r="CS657" s="72">
        <v>0</v>
      </c>
      <c r="CT657" s="72">
        <v>0</v>
      </c>
      <c r="CU657" s="72">
        <v>0</v>
      </c>
      <c r="CV657" s="72">
        <v>0</v>
      </c>
      <c r="CW657" s="72">
        <v>0</v>
      </c>
      <c r="CX657" s="72">
        <v>0</v>
      </c>
      <c r="CY657" s="72">
        <v>0</v>
      </c>
      <c r="CZ657" s="72">
        <v>0</v>
      </c>
      <c r="DA657" s="72">
        <v>0</v>
      </c>
      <c r="DB657" s="72">
        <v>0</v>
      </c>
      <c r="DC657" s="72">
        <v>0</v>
      </c>
      <c r="DD657" s="72">
        <v>0</v>
      </c>
      <c r="DE657" s="72">
        <v>0</v>
      </c>
      <c r="DF657" s="72">
        <v>0</v>
      </c>
      <c r="DG657" s="72">
        <v>0</v>
      </c>
      <c r="DH657" s="72">
        <v>0</v>
      </c>
      <c r="DI657" s="72">
        <v>0</v>
      </c>
      <c r="DJ657" s="72">
        <v>0</v>
      </c>
      <c r="DK657" s="72">
        <v>0</v>
      </c>
      <c r="DL657" s="72">
        <v>0</v>
      </c>
      <c r="DM657" s="72">
        <v>0</v>
      </c>
      <c r="DN657" s="72">
        <v>0</v>
      </c>
      <c r="DO657" s="72">
        <v>0</v>
      </c>
      <c r="DP657" s="72">
        <v>0</v>
      </c>
      <c r="DQ657" s="72">
        <v>0</v>
      </c>
      <c r="DR657" s="72">
        <v>0</v>
      </c>
      <c r="DS657" s="72">
        <v>0</v>
      </c>
      <c r="DT657" s="72">
        <v>0</v>
      </c>
      <c r="DU657" s="72">
        <v>0</v>
      </c>
      <c r="DV657" s="72">
        <v>0</v>
      </c>
      <c r="DW657" s="72">
        <v>0</v>
      </c>
      <c r="DX657" s="72">
        <v>0</v>
      </c>
      <c r="DY657" s="72">
        <v>0</v>
      </c>
      <c r="DZ657" s="72">
        <v>0</v>
      </c>
      <c r="EA657" s="72">
        <v>0</v>
      </c>
      <c r="EB657" s="72">
        <v>0</v>
      </c>
      <c r="EC657" s="72">
        <v>0</v>
      </c>
      <c r="ED657" s="72">
        <v>0</v>
      </c>
      <c r="EE657" s="72">
        <v>0</v>
      </c>
      <c r="EF657" s="72">
        <v>0</v>
      </c>
      <c r="EG657" s="72">
        <v>0</v>
      </c>
      <c r="EH657" s="72">
        <v>0</v>
      </c>
      <c r="EI657" s="72">
        <v>0</v>
      </c>
      <c r="EJ657" s="72">
        <v>0</v>
      </c>
      <c r="EK657" s="72">
        <v>0</v>
      </c>
      <c r="EL657" s="72">
        <v>0</v>
      </c>
    </row>
    <row r="658" spans="1:142" x14ac:dyDescent="0.35">
      <c r="A658" s="59">
        <f>Данные!A658</f>
        <v>5762</v>
      </c>
      <c r="B658" s="59">
        <f>Данные!B658</f>
        <v>2017</v>
      </c>
      <c r="C658" s="59" t="str">
        <f>Данные!C658</f>
        <v>компьютерных технологий и электронного обучения</v>
      </c>
      <c r="D658" s="59" t="str">
        <f>Данные!D658</f>
        <v>Гончарова Светлана Викторовна</v>
      </c>
      <c r="E658" s="59" t="str">
        <f>Данные!E658</f>
        <v>кандидат педагогических наук</v>
      </c>
      <c r="F658" s="59" t="str">
        <f>Данные!F658</f>
        <v>доцент</v>
      </c>
      <c r="G658" s="59">
        <f>Данные!G658</f>
        <v>1</v>
      </c>
      <c r="H658" s="59">
        <f>Данные!H658</f>
        <v>16595</v>
      </c>
      <c r="I658" s="59" t="str">
        <f>Данные!I658</f>
        <v>Модуль "Прикладные информационные технологии в образовательном процессе". Техника и технологии представления и публикации информации</v>
      </c>
      <c r="J658" s="59">
        <f>Данные!J658</f>
        <v>0</v>
      </c>
      <c r="K658" s="59">
        <f>Данные!K658</f>
        <v>9</v>
      </c>
      <c r="L658" s="59">
        <f>Данные!L658</f>
        <v>0</v>
      </c>
      <c r="M658" s="60">
        <f t="shared" si="90"/>
        <v>0.9</v>
      </c>
      <c r="N658" s="60">
        <f t="shared" ca="1" si="91"/>
        <v>5.3000000000000007</v>
      </c>
      <c r="O658" s="60">
        <f t="shared" ca="1" si="92"/>
        <v>2.5</v>
      </c>
      <c r="P658" s="60">
        <f t="shared" ca="1" si="93"/>
        <v>2.5</v>
      </c>
      <c r="Q658" s="54">
        <f>Данные!Q658</f>
        <v>0</v>
      </c>
      <c r="R658" s="54">
        <f>Данные!R658</f>
        <v>0</v>
      </c>
      <c r="S658" s="54">
        <f>Данные!S658</f>
        <v>0</v>
      </c>
      <c r="T658" s="54">
        <f>Данные!T658</f>
        <v>0</v>
      </c>
      <c r="U658" s="54">
        <f>Данные!U658</f>
        <v>0</v>
      </c>
      <c r="V658" s="54">
        <f>Данные!V658</f>
        <v>0</v>
      </c>
      <c r="W658" s="54">
        <f ca="1">Данные!W658</f>
        <v>10</v>
      </c>
      <c r="X658" s="54" t="str">
        <f ca="1">Данные!X658</f>
        <v>1</v>
      </c>
      <c r="Y658" s="54" t="str">
        <f ca="1">Данные!Y658</f>
        <v>1</v>
      </c>
      <c r="Z658" s="54">
        <f>Данные!Z658</f>
        <v>0</v>
      </c>
      <c r="AA658" s="54" t="str">
        <f>Данные!AA658</f>
        <v>доп</v>
      </c>
      <c r="AB658" s="101">
        <f t="shared" si="94"/>
        <v>800</v>
      </c>
      <c r="AC658" s="101" t="str">
        <f t="shared" si="95"/>
        <v>КЭО (маг)</v>
      </c>
      <c r="AD658" s="101" t="str">
        <f t="shared" si="96"/>
        <v/>
      </c>
      <c r="AE658" s="102">
        <f t="shared" ca="1" si="97"/>
        <v>20.200000000000003</v>
      </c>
      <c r="AF658" s="103">
        <f t="shared" ca="1" si="98"/>
        <v>2.5250000000000005E-2</v>
      </c>
      <c r="AG658" s="101"/>
      <c r="AH658" s="101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Q658" s="72">
        <v>0</v>
      </c>
      <c r="BR658" s="72">
        <v>0</v>
      </c>
      <c r="BS658" s="72">
        <v>0</v>
      </c>
      <c r="BT658" s="72">
        <v>0</v>
      </c>
      <c r="BU658" s="72">
        <v>0</v>
      </c>
      <c r="BV658" s="72">
        <v>0</v>
      </c>
      <c r="BW658" s="72">
        <v>0</v>
      </c>
      <c r="BX658" s="72">
        <v>0</v>
      </c>
      <c r="BY658" s="72">
        <v>0</v>
      </c>
      <c r="BZ658" s="72">
        <v>0</v>
      </c>
      <c r="CA658" s="72">
        <v>0</v>
      </c>
      <c r="CB658" s="72">
        <v>0</v>
      </c>
      <c r="CC658" s="72">
        <v>0</v>
      </c>
      <c r="CD658" s="72">
        <v>0</v>
      </c>
      <c r="CE658" s="72">
        <v>0</v>
      </c>
      <c r="CF658" s="72">
        <v>0</v>
      </c>
      <c r="CG658" s="72">
        <v>0</v>
      </c>
      <c r="CH658" s="72">
        <v>0</v>
      </c>
      <c r="CI658" s="72">
        <v>0</v>
      </c>
      <c r="CJ658" s="72">
        <v>0</v>
      </c>
      <c r="CK658" s="72">
        <v>0</v>
      </c>
      <c r="CL658" s="72">
        <v>0</v>
      </c>
      <c r="CM658" s="72">
        <v>0</v>
      </c>
      <c r="CN658" s="72">
        <v>0</v>
      </c>
      <c r="CO658" s="72">
        <v>0</v>
      </c>
      <c r="CP658" s="72">
        <v>0</v>
      </c>
      <c r="CQ658" s="72">
        <v>0</v>
      </c>
      <c r="CR658" s="72">
        <v>0</v>
      </c>
      <c r="CS658" s="72">
        <v>0</v>
      </c>
      <c r="CT658" s="72">
        <v>0</v>
      </c>
      <c r="CU658" s="72">
        <v>0</v>
      </c>
      <c r="CV658" s="72">
        <v>0</v>
      </c>
      <c r="CW658" s="72">
        <v>0</v>
      </c>
      <c r="CX658" s="72">
        <v>0</v>
      </c>
      <c r="CY658" s="72">
        <v>0</v>
      </c>
      <c r="CZ658" s="72">
        <v>0</v>
      </c>
      <c r="DA658" s="72">
        <v>0</v>
      </c>
      <c r="DB658" s="72">
        <v>0</v>
      </c>
      <c r="DC658" s="72">
        <v>0</v>
      </c>
      <c r="DD658" s="72">
        <v>0</v>
      </c>
      <c r="DE658" s="72">
        <v>0</v>
      </c>
      <c r="DF658" s="72">
        <v>0</v>
      </c>
      <c r="DG658" s="72">
        <v>0</v>
      </c>
      <c r="DH658" s="72">
        <v>0</v>
      </c>
      <c r="DI658" s="72">
        <v>0</v>
      </c>
      <c r="DJ658" s="72">
        <v>0</v>
      </c>
      <c r="DK658" s="72">
        <v>0</v>
      </c>
      <c r="DL658" s="72">
        <v>0</v>
      </c>
      <c r="DM658" s="72">
        <v>0</v>
      </c>
      <c r="DN658" s="72">
        <v>0</v>
      </c>
      <c r="DO658" s="72">
        <v>0</v>
      </c>
      <c r="DP658" s="72">
        <v>0</v>
      </c>
      <c r="DQ658" s="72">
        <v>0</v>
      </c>
      <c r="DR658" s="72">
        <v>0</v>
      </c>
      <c r="DS658" s="72">
        <v>0</v>
      </c>
      <c r="DT658" s="72">
        <v>0</v>
      </c>
      <c r="DU658" s="72">
        <v>0</v>
      </c>
      <c r="DV658" s="72">
        <v>0</v>
      </c>
      <c r="DW658" s="72">
        <v>0</v>
      </c>
      <c r="DX658" s="72">
        <v>0</v>
      </c>
      <c r="DY658" s="72">
        <v>0</v>
      </c>
      <c r="DZ658" s="72">
        <v>0</v>
      </c>
      <c r="EA658" s="72">
        <v>0</v>
      </c>
      <c r="EB658" s="72">
        <v>0</v>
      </c>
      <c r="EC658" s="72">
        <v>0</v>
      </c>
      <c r="ED658" s="72">
        <v>0</v>
      </c>
      <c r="EE658" s="72">
        <v>0</v>
      </c>
      <c r="EF658" s="72">
        <v>0</v>
      </c>
      <c r="EG658" s="72">
        <v>0</v>
      </c>
      <c r="EH658" s="72">
        <v>0</v>
      </c>
      <c r="EI658" s="72">
        <v>0</v>
      </c>
      <c r="EJ658" s="72">
        <v>0</v>
      </c>
      <c r="EK658" s="72">
        <v>0</v>
      </c>
      <c r="EL658" s="72">
        <v>0</v>
      </c>
    </row>
    <row r="659" spans="1:142" x14ac:dyDescent="0.35">
      <c r="A659" s="59">
        <f>Данные!A659</f>
        <v>5762</v>
      </c>
      <c r="B659" s="59">
        <f>Данные!B659</f>
        <v>2017</v>
      </c>
      <c r="C659" s="59" t="str">
        <f>Данные!C659</f>
        <v>компьютерных технологий и электронного обучения</v>
      </c>
      <c r="D659" s="59" t="str">
        <f>Данные!D659</f>
        <v>Карпова Наталья Александровна</v>
      </c>
      <c r="E659" s="59" t="str">
        <f>Данные!E659</f>
        <v>кандидат технических наук</v>
      </c>
      <c r="F659" s="59" t="str">
        <f>Данные!F659</f>
        <v>доцент</v>
      </c>
      <c r="G659" s="59">
        <f>Данные!G659</f>
        <v>1</v>
      </c>
      <c r="H659" s="59">
        <f>Данные!H659</f>
        <v>16595</v>
      </c>
      <c r="I659" s="59" t="str">
        <f>Данные!I659</f>
        <v>Модуль "Профессиональная коммуникация". Информационные технологии в профессиональной деятельности</v>
      </c>
      <c r="J659" s="59">
        <f>Данные!J659</f>
        <v>2</v>
      </c>
      <c r="K659" s="59">
        <f>Данные!K659</f>
        <v>12</v>
      </c>
      <c r="L659" s="59">
        <f>Данные!L659</f>
        <v>12</v>
      </c>
      <c r="M659" s="60">
        <f t="shared" si="90"/>
        <v>2.6</v>
      </c>
      <c r="N659" s="60">
        <f t="shared" ca="1" si="91"/>
        <v>5.3000000000000007</v>
      </c>
      <c r="O659" s="60">
        <f t="shared" ca="1" si="92"/>
        <v>2.5</v>
      </c>
      <c r="P659" s="60">
        <f t="shared" ca="1" si="93"/>
        <v>2.5</v>
      </c>
      <c r="Q659" s="54">
        <f>Данные!Q659</f>
        <v>0</v>
      </c>
      <c r="R659" s="54">
        <f>Данные!R659</f>
        <v>0</v>
      </c>
      <c r="S659" s="54">
        <f>Данные!S659</f>
        <v>0</v>
      </c>
      <c r="T659" s="54">
        <f>Данные!T659</f>
        <v>0</v>
      </c>
      <c r="U659" s="54">
        <f>Данные!U659</f>
        <v>0</v>
      </c>
      <c r="V659" s="54">
        <f>Данные!V659</f>
        <v>0</v>
      </c>
      <c r="W659" s="54">
        <f ca="1">Данные!W659</f>
        <v>10</v>
      </c>
      <c r="X659" s="54" t="str">
        <f ca="1">Данные!X659</f>
        <v>1</v>
      </c>
      <c r="Y659" s="54" t="str">
        <f ca="1">Данные!Y659</f>
        <v>1</v>
      </c>
      <c r="Z659" s="54">
        <f>Данные!Z659</f>
        <v>0</v>
      </c>
      <c r="AA659" s="54" t="str">
        <f>Данные!AA659</f>
        <v>осн</v>
      </c>
      <c r="AB659" s="101">
        <f t="shared" si="94"/>
        <v>800</v>
      </c>
      <c r="AC659" s="101" t="str">
        <f t="shared" si="95"/>
        <v>КЭО (маг)</v>
      </c>
      <c r="AD659" s="101" t="str">
        <f t="shared" si="96"/>
        <v/>
      </c>
      <c r="AE659" s="102">
        <f t="shared" ca="1" si="97"/>
        <v>38.900000000000006</v>
      </c>
      <c r="AF659" s="103">
        <f t="shared" ca="1" si="98"/>
        <v>4.8625000000000008E-2</v>
      </c>
      <c r="AG659" s="101"/>
      <c r="AH659" s="101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Q659" s="72">
        <v>0</v>
      </c>
      <c r="BR659" s="72">
        <v>0</v>
      </c>
      <c r="BS659" s="72">
        <v>0</v>
      </c>
      <c r="BT659" s="72">
        <v>0</v>
      </c>
      <c r="BU659" s="72">
        <v>0</v>
      </c>
      <c r="BV659" s="72">
        <v>0</v>
      </c>
      <c r="BW659" s="72">
        <v>0</v>
      </c>
      <c r="BX659" s="72">
        <v>0</v>
      </c>
      <c r="BY659" s="72">
        <v>0</v>
      </c>
      <c r="BZ659" s="72">
        <v>0</v>
      </c>
      <c r="CA659" s="72">
        <v>0</v>
      </c>
      <c r="CB659" s="72">
        <v>0</v>
      </c>
      <c r="CC659" s="72">
        <v>0</v>
      </c>
      <c r="CD659" s="72">
        <v>0</v>
      </c>
      <c r="CE659" s="72">
        <v>0</v>
      </c>
      <c r="CF659" s="72">
        <v>0</v>
      </c>
      <c r="CG659" s="72">
        <v>0</v>
      </c>
      <c r="CH659" s="72">
        <v>0</v>
      </c>
      <c r="CI659" s="72">
        <v>0</v>
      </c>
      <c r="CJ659" s="72">
        <v>0</v>
      </c>
      <c r="CK659" s="72">
        <v>0</v>
      </c>
      <c r="CL659" s="72">
        <v>0</v>
      </c>
      <c r="CM659" s="72">
        <v>0</v>
      </c>
      <c r="CN659" s="72">
        <v>0</v>
      </c>
      <c r="CO659" s="72">
        <v>0</v>
      </c>
      <c r="CP659" s="72">
        <v>0</v>
      </c>
      <c r="CQ659" s="72">
        <v>0</v>
      </c>
      <c r="CR659" s="72">
        <v>0</v>
      </c>
      <c r="CS659" s="72">
        <v>0</v>
      </c>
      <c r="CT659" s="72">
        <v>0</v>
      </c>
      <c r="CU659" s="72">
        <v>0</v>
      </c>
      <c r="CV659" s="72">
        <v>0</v>
      </c>
      <c r="CW659" s="72">
        <v>0</v>
      </c>
      <c r="CX659" s="72">
        <v>0</v>
      </c>
      <c r="CY659" s="72">
        <v>0</v>
      </c>
      <c r="CZ659" s="72">
        <v>0</v>
      </c>
      <c r="DA659" s="72">
        <v>0</v>
      </c>
      <c r="DB659" s="72">
        <v>0</v>
      </c>
      <c r="DC659" s="72">
        <v>0</v>
      </c>
      <c r="DD659" s="72">
        <v>0</v>
      </c>
      <c r="DE659" s="72">
        <v>0</v>
      </c>
      <c r="DF659" s="72">
        <v>0</v>
      </c>
      <c r="DG659" s="72">
        <v>0</v>
      </c>
      <c r="DH659" s="72">
        <v>0</v>
      </c>
      <c r="DI659" s="72">
        <v>0</v>
      </c>
      <c r="DJ659" s="72">
        <v>0</v>
      </c>
      <c r="DK659" s="72">
        <v>0</v>
      </c>
      <c r="DL659" s="72">
        <v>0</v>
      </c>
      <c r="DM659" s="72">
        <v>0</v>
      </c>
      <c r="DN659" s="72">
        <v>0</v>
      </c>
      <c r="DO659" s="72">
        <v>0</v>
      </c>
      <c r="DP659" s="72">
        <v>0</v>
      </c>
      <c r="DQ659" s="72">
        <v>0</v>
      </c>
      <c r="DR659" s="72">
        <v>0</v>
      </c>
      <c r="DS659" s="72">
        <v>0</v>
      </c>
      <c r="DT659" s="72">
        <v>0</v>
      </c>
      <c r="DU659" s="72">
        <v>0</v>
      </c>
      <c r="DV659" s="72">
        <v>0</v>
      </c>
      <c r="DW659" s="72">
        <v>0</v>
      </c>
      <c r="DX659" s="72">
        <v>0</v>
      </c>
      <c r="DY659" s="72">
        <v>0</v>
      </c>
      <c r="DZ659" s="72">
        <v>0</v>
      </c>
      <c r="EA659" s="72">
        <v>0</v>
      </c>
      <c r="EB659" s="72">
        <v>0</v>
      </c>
      <c r="EC659" s="72">
        <v>0</v>
      </c>
      <c r="ED659" s="72">
        <v>0</v>
      </c>
      <c r="EE659" s="72">
        <v>0</v>
      </c>
      <c r="EF659" s="72">
        <v>0</v>
      </c>
      <c r="EG659" s="72">
        <v>0</v>
      </c>
      <c r="EH659" s="72">
        <v>0</v>
      </c>
      <c r="EI659" s="72">
        <v>0</v>
      </c>
      <c r="EJ659" s="72">
        <v>0</v>
      </c>
      <c r="EK659" s="72">
        <v>0</v>
      </c>
      <c r="EL659" s="72">
        <v>0</v>
      </c>
    </row>
    <row r="660" spans="1:142" x14ac:dyDescent="0.35">
      <c r="A660" s="59">
        <f>Данные!A660</f>
        <v>5762</v>
      </c>
      <c r="B660" s="59">
        <f>Данные!B660</f>
        <v>2017</v>
      </c>
      <c r="C660" s="59" t="str">
        <f>Данные!C660</f>
        <v>компьютерных технологий и электронного обучения</v>
      </c>
      <c r="D660" s="59" t="str">
        <f>Данные!D660</f>
        <v>Карпова Наталья Александровна</v>
      </c>
      <c r="E660" s="59" t="str">
        <f>Данные!E660</f>
        <v>кандидат технических наук</v>
      </c>
      <c r="F660" s="59" t="str">
        <f>Данные!F660</f>
        <v>доцент</v>
      </c>
      <c r="G660" s="59">
        <f>Данные!G660</f>
        <v>1</v>
      </c>
      <c r="H660" s="59">
        <f>Данные!H660</f>
        <v>16595</v>
      </c>
      <c r="I660" s="59" t="str">
        <f>Данные!I660</f>
        <v>Научно-исследовательская работа. Педагогическое образование. Магистерская программа "Корпоративное электронное обучение"</v>
      </c>
      <c r="J660" s="59">
        <f>Данные!J660</f>
        <v>0</v>
      </c>
      <c r="K660" s="59">
        <f>Данные!K660</f>
        <v>0</v>
      </c>
      <c r="L660" s="59">
        <f>Данные!L660</f>
        <v>0</v>
      </c>
      <c r="M660" s="60">
        <f t="shared" si="90"/>
        <v>0</v>
      </c>
      <c r="N660" s="60">
        <f t="shared" ca="1" si="91"/>
        <v>5.3000000000000007</v>
      </c>
      <c r="O660" s="60">
        <f t="shared" ca="1" si="92"/>
        <v>2.5</v>
      </c>
      <c r="P660" s="60">
        <f t="shared" ca="1" si="93"/>
        <v>2.5</v>
      </c>
      <c r="Q660" s="54">
        <f>Данные!Q660</f>
        <v>0</v>
      </c>
      <c r="R660" s="54">
        <f>Данные!R660</f>
        <v>0</v>
      </c>
      <c r="S660" s="54">
        <f>Данные!S660</f>
        <v>0</v>
      </c>
      <c r="T660" s="54">
        <f>Данные!T660</f>
        <v>0</v>
      </c>
      <c r="U660" s="54">
        <f>Данные!U660</f>
        <v>15</v>
      </c>
      <c r="V660" s="54">
        <f>Данные!V660</f>
        <v>0</v>
      </c>
      <c r="W660" s="54">
        <f ca="1">Данные!W660</f>
        <v>10</v>
      </c>
      <c r="X660" s="54" t="str">
        <f ca="1">Данные!X660</f>
        <v>1</v>
      </c>
      <c r="Y660" s="54" t="str">
        <f ca="1">Данные!Y660</f>
        <v>1</v>
      </c>
      <c r="Z660" s="54">
        <f>Данные!Z660</f>
        <v>0</v>
      </c>
      <c r="AA660" s="54" t="str">
        <f>Данные!AA660</f>
        <v>осн</v>
      </c>
      <c r="AB660" s="101">
        <f t="shared" si="94"/>
        <v>800</v>
      </c>
      <c r="AC660" s="101" t="str">
        <f t="shared" si="95"/>
        <v>КЭО (маг)</v>
      </c>
      <c r="AD660" s="101" t="str">
        <f t="shared" si="96"/>
        <v/>
      </c>
      <c r="AE660" s="102">
        <f t="shared" ca="1" si="97"/>
        <v>25.3</v>
      </c>
      <c r="AF660" s="103">
        <f t="shared" ca="1" si="98"/>
        <v>3.1625E-2</v>
      </c>
      <c r="AG660" s="101"/>
      <c r="AH660" s="101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Q660" s="72">
        <v>0</v>
      </c>
      <c r="BR660" s="72">
        <v>0</v>
      </c>
      <c r="BS660" s="72">
        <v>0</v>
      </c>
      <c r="BT660" s="72">
        <v>0</v>
      </c>
      <c r="BU660" s="72">
        <v>0</v>
      </c>
      <c r="BV660" s="72">
        <v>0</v>
      </c>
      <c r="BW660" s="72">
        <v>0</v>
      </c>
      <c r="BX660" s="72">
        <v>0</v>
      </c>
      <c r="BY660" s="72">
        <v>0</v>
      </c>
      <c r="BZ660" s="72">
        <v>0</v>
      </c>
      <c r="CA660" s="72">
        <v>0</v>
      </c>
      <c r="CB660" s="72">
        <v>0</v>
      </c>
      <c r="CC660" s="72">
        <v>0</v>
      </c>
      <c r="CD660" s="72">
        <v>0</v>
      </c>
      <c r="CE660" s="72">
        <v>0</v>
      </c>
      <c r="CF660" s="72">
        <v>0</v>
      </c>
      <c r="CG660" s="72">
        <v>0</v>
      </c>
      <c r="CH660" s="72">
        <v>0</v>
      </c>
      <c r="CI660" s="72">
        <v>0</v>
      </c>
      <c r="CJ660" s="72">
        <v>0</v>
      </c>
      <c r="CK660" s="72">
        <v>0</v>
      </c>
      <c r="CL660" s="72">
        <v>0</v>
      </c>
      <c r="CM660" s="72">
        <v>0</v>
      </c>
      <c r="CN660" s="72">
        <v>0</v>
      </c>
      <c r="CO660" s="72">
        <v>0</v>
      </c>
      <c r="CP660" s="72">
        <v>0</v>
      </c>
      <c r="CQ660" s="72">
        <v>0</v>
      </c>
      <c r="CR660" s="72">
        <v>0</v>
      </c>
      <c r="CS660" s="72">
        <v>0</v>
      </c>
      <c r="CT660" s="72">
        <v>0</v>
      </c>
      <c r="CU660" s="72">
        <v>0</v>
      </c>
      <c r="CV660" s="72">
        <v>0</v>
      </c>
      <c r="CW660" s="72">
        <v>0</v>
      </c>
      <c r="CX660" s="72">
        <v>0</v>
      </c>
      <c r="CY660" s="72">
        <v>0</v>
      </c>
      <c r="CZ660" s="72">
        <v>0</v>
      </c>
      <c r="DA660" s="72">
        <v>0</v>
      </c>
      <c r="DB660" s="72">
        <v>0</v>
      </c>
      <c r="DC660" s="72">
        <v>0</v>
      </c>
      <c r="DD660" s="72">
        <v>0</v>
      </c>
      <c r="DE660" s="72">
        <v>0</v>
      </c>
      <c r="DF660" s="72">
        <v>0</v>
      </c>
      <c r="DG660" s="72">
        <v>0</v>
      </c>
      <c r="DH660" s="72">
        <v>0</v>
      </c>
      <c r="DI660" s="72">
        <v>0</v>
      </c>
      <c r="DJ660" s="72">
        <v>0</v>
      </c>
      <c r="DK660" s="72">
        <v>0</v>
      </c>
      <c r="DL660" s="72">
        <v>0</v>
      </c>
      <c r="DM660" s="72">
        <v>0</v>
      </c>
      <c r="DN660" s="72">
        <v>0</v>
      </c>
      <c r="DO660" s="72">
        <v>0</v>
      </c>
      <c r="DP660" s="72">
        <v>0</v>
      </c>
      <c r="DQ660" s="72">
        <v>0</v>
      </c>
      <c r="DR660" s="72">
        <v>0</v>
      </c>
      <c r="DS660" s="72">
        <v>0</v>
      </c>
      <c r="DT660" s="72">
        <v>0</v>
      </c>
      <c r="DU660" s="72">
        <v>0</v>
      </c>
      <c r="DV660" s="72">
        <v>0</v>
      </c>
      <c r="DW660" s="72">
        <v>0</v>
      </c>
      <c r="DX660" s="72">
        <v>0</v>
      </c>
      <c r="DY660" s="72">
        <v>0</v>
      </c>
      <c r="DZ660" s="72">
        <v>0</v>
      </c>
      <c r="EA660" s="72">
        <v>0</v>
      </c>
      <c r="EB660" s="72">
        <v>0</v>
      </c>
      <c r="EC660" s="72">
        <v>0</v>
      </c>
      <c r="ED660" s="72">
        <v>0</v>
      </c>
      <c r="EE660" s="72">
        <v>0</v>
      </c>
      <c r="EF660" s="72">
        <v>0</v>
      </c>
      <c r="EG660" s="72">
        <v>0</v>
      </c>
      <c r="EH660" s="72">
        <v>0</v>
      </c>
      <c r="EI660" s="72">
        <v>0</v>
      </c>
      <c r="EJ660" s="72">
        <v>0</v>
      </c>
      <c r="EK660" s="72">
        <v>0</v>
      </c>
      <c r="EL660" s="72">
        <v>0</v>
      </c>
    </row>
    <row r="661" spans="1:142" x14ac:dyDescent="0.35">
      <c r="A661" s="59">
        <f>Данные!A661</f>
        <v>5762</v>
      </c>
      <c r="B661" s="59">
        <f>Данные!B661</f>
        <v>2017</v>
      </c>
      <c r="C661" s="59" t="str">
        <f>Данные!C661</f>
        <v>компьютерных технологий и электронного обучения</v>
      </c>
      <c r="D661" s="59" t="str">
        <f>Данные!D661</f>
        <v>Карпова Наталья Александровна</v>
      </c>
      <c r="E661" s="59" t="str">
        <f>Данные!E661</f>
        <v>кандидат технических наук</v>
      </c>
      <c r="F661" s="59" t="str">
        <f>Данные!F661</f>
        <v>доцент</v>
      </c>
      <c r="G661" s="59">
        <f>Данные!G661</f>
        <v>1</v>
      </c>
      <c r="H661" s="59">
        <f>Данные!H661</f>
        <v>16595</v>
      </c>
      <c r="I661" s="59" t="str">
        <f>Данные!I661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61" s="59">
        <f>Данные!J661</f>
        <v>0</v>
      </c>
      <c r="K661" s="59">
        <f>Данные!K661</f>
        <v>0</v>
      </c>
      <c r="L661" s="59">
        <f>Данные!L661</f>
        <v>0</v>
      </c>
      <c r="M661" s="60">
        <f t="shared" si="90"/>
        <v>0</v>
      </c>
      <c r="N661" s="60">
        <f t="shared" ca="1" si="91"/>
        <v>5.3000000000000007</v>
      </c>
      <c r="O661" s="60">
        <f t="shared" ca="1" si="92"/>
        <v>2.5</v>
      </c>
      <c r="P661" s="60">
        <f t="shared" ca="1" si="93"/>
        <v>2.5</v>
      </c>
      <c r="Q661" s="54">
        <f>Данные!Q661</f>
        <v>0</v>
      </c>
      <c r="R661" s="54">
        <f>Данные!R661</f>
        <v>0</v>
      </c>
      <c r="S661" s="54">
        <f>Данные!S661</f>
        <v>0</v>
      </c>
      <c r="T661" s="54">
        <f>Данные!T661</f>
        <v>0</v>
      </c>
      <c r="U661" s="54">
        <f>Данные!U661</f>
        <v>4</v>
      </c>
      <c r="V661" s="54">
        <f>Данные!V661</f>
        <v>0</v>
      </c>
      <c r="W661" s="54">
        <f ca="1">Данные!W661</f>
        <v>10</v>
      </c>
      <c r="X661" s="54" t="str">
        <f ca="1">Данные!X661</f>
        <v>1</v>
      </c>
      <c r="Y661" s="54" t="str">
        <f ca="1">Данные!Y661</f>
        <v>1</v>
      </c>
      <c r="Z661" s="54">
        <f>Данные!Z661</f>
        <v>0</v>
      </c>
      <c r="AA661" s="54" t="str">
        <f>Данные!AA661</f>
        <v>осн</v>
      </c>
      <c r="AB661" s="101">
        <f t="shared" si="94"/>
        <v>800</v>
      </c>
      <c r="AC661" s="101" t="str">
        <f t="shared" si="95"/>
        <v>КЭО (маг)</v>
      </c>
      <c r="AD661" s="101" t="str">
        <f t="shared" si="96"/>
        <v/>
      </c>
      <c r="AE661" s="102">
        <f t="shared" ca="1" si="97"/>
        <v>14.3</v>
      </c>
      <c r="AF661" s="103">
        <f t="shared" ca="1" si="98"/>
        <v>1.7875000000000002E-2</v>
      </c>
      <c r="AG661" s="101"/>
      <c r="AH661" s="10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Q661" s="72">
        <v>0</v>
      </c>
      <c r="BR661" s="72">
        <v>0</v>
      </c>
      <c r="BS661" s="72">
        <v>0</v>
      </c>
      <c r="BT661" s="72">
        <v>0</v>
      </c>
      <c r="BU661" s="72">
        <v>0</v>
      </c>
      <c r="BV661" s="72">
        <v>0</v>
      </c>
      <c r="BW661" s="72">
        <v>0</v>
      </c>
      <c r="BX661" s="72">
        <v>0</v>
      </c>
      <c r="BY661" s="72">
        <v>0</v>
      </c>
      <c r="BZ661" s="72">
        <v>0</v>
      </c>
      <c r="CA661" s="72">
        <v>0</v>
      </c>
      <c r="CB661" s="72">
        <v>0</v>
      </c>
      <c r="CC661" s="72">
        <v>0</v>
      </c>
      <c r="CD661" s="72">
        <v>0</v>
      </c>
      <c r="CE661" s="72">
        <v>0</v>
      </c>
      <c r="CF661" s="72">
        <v>0</v>
      </c>
      <c r="CG661" s="72">
        <v>0</v>
      </c>
      <c r="CH661" s="72">
        <v>0</v>
      </c>
      <c r="CI661" s="72">
        <v>0</v>
      </c>
      <c r="CJ661" s="72">
        <v>0</v>
      </c>
      <c r="CK661" s="72">
        <v>0</v>
      </c>
      <c r="CL661" s="72">
        <v>0</v>
      </c>
      <c r="CM661" s="72">
        <v>0</v>
      </c>
      <c r="CN661" s="72">
        <v>0</v>
      </c>
      <c r="CO661" s="72">
        <v>0</v>
      </c>
      <c r="CP661" s="72">
        <v>0</v>
      </c>
      <c r="CQ661" s="72">
        <v>0</v>
      </c>
      <c r="CR661" s="72">
        <v>0</v>
      </c>
      <c r="CS661" s="72">
        <v>0</v>
      </c>
      <c r="CT661" s="72">
        <v>0</v>
      </c>
      <c r="CU661" s="72">
        <v>0</v>
      </c>
      <c r="CV661" s="72">
        <v>0</v>
      </c>
      <c r="CW661" s="72">
        <v>0</v>
      </c>
      <c r="CX661" s="72">
        <v>0</v>
      </c>
      <c r="CY661" s="72">
        <v>0</v>
      </c>
      <c r="CZ661" s="72">
        <v>0</v>
      </c>
      <c r="DA661" s="72">
        <v>0</v>
      </c>
      <c r="DB661" s="72">
        <v>0</v>
      </c>
      <c r="DC661" s="72">
        <v>0</v>
      </c>
      <c r="DD661" s="72">
        <v>0</v>
      </c>
      <c r="DE661" s="72">
        <v>0</v>
      </c>
      <c r="DF661" s="72">
        <v>0</v>
      </c>
      <c r="DG661" s="72">
        <v>0</v>
      </c>
      <c r="DH661" s="72">
        <v>0</v>
      </c>
      <c r="DI661" s="72">
        <v>0</v>
      </c>
      <c r="DJ661" s="72">
        <v>0</v>
      </c>
      <c r="DK661" s="72">
        <v>0</v>
      </c>
      <c r="DL661" s="72">
        <v>0</v>
      </c>
      <c r="DM661" s="72">
        <v>0</v>
      </c>
      <c r="DN661" s="72">
        <v>0</v>
      </c>
      <c r="DO661" s="72">
        <v>0</v>
      </c>
      <c r="DP661" s="72">
        <v>0</v>
      </c>
      <c r="DQ661" s="72">
        <v>0</v>
      </c>
      <c r="DR661" s="72">
        <v>0</v>
      </c>
      <c r="DS661" s="72">
        <v>0</v>
      </c>
      <c r="DT661" s="72">
        <v>0</v>
      </c>
      <c r="DU661" s="72">
        <v>0</v>
      </c>
      <c r="DV661" s="72">
        <v>0</v>
      </c>
      <c r="DW661" s="72">
        <v>0</v>
      </c>
      <c r="DX661" s="72">
        <v>0</v>
      </c>
      <c r="DY661" s="72">
        <v>0</v>
      </c>
      <c r="DZ661" s="72">
        <v>0</v>
      </c>
      <c r="EA661" s="72">
        <v>0</v>
      </c>
      <c r="EB661" s="72">
        <v>0</v>
      </c>
      <c r="EC661" s="72">
        <v>0</v>
      </c>
      <c r="ED661" s="72">
        <v>0</v>
      </c>
      <c r="EE661" s="72">
        <v>0</v>
      </c>
      <c r="EF661" s="72">
        <v>0</v>
      </c>
      <c r="EG661" s="72">
        <v>0</v>
      </c>
      <c r="EH661" s="72">
        <v>0</v>
      </c>
      <c r="EI661" s="72">
        <v>0</v>
      </c>
      <c r="EJ661" s="72">
        <v>0</v>
      </c>
      <c r="EK661" s="72">
        <v>0</v>
      </c>
      <c r="EL661" s="72">
        <v>0</v>
      </c>
    </row>
    <row r="662" spans="1:142" x14ac:dyDescent="0.35">
      <c r="A662" s="59">
        <f>Данные!A662</f>
        <v>5762</v>
      </c>
      <c r="B662" s="59">
        <f>Данные!B662</f>
        <v>2017</v>
      </c>
      <c r="C662" s="59" t="str">
        <f>Данные!C662</f>
        <v>компьютерных технологий и электронного обучения</v>
      </c>
      <c r="D662" s="59" t="str">
        <f>Данные!D662</f>
        <v>Карпова Наталья Александровна</v>
      </c>
      <c r="E662" s="59" t="str">
        <f>Данные!E662</f>
        <v>кандидат технических наук</v>
      </c>
      <c r="F662" s="59" t="str">
        <f>Данные!F662</f>
        <v>доцент</v>
      </c>
      <c r="G662" s="59">
        <f>Данные!G662</f>
        <v>1</v>
      </c>
      <c r="H662" s="59">
        <f>Данные!H662</f>
        <v>16595</v>
      </c>
      <c r="I662" s="59" t="str">
        <f>Данные!I662</f>
        <v>Руководство ВКР (магистерская диссертация)</v>
      </c>
      <c r="J662" s="59">
        <f>Данные!J662</f>
        <v>0</v>
      </c>
      <c r="K662" s="59">
        <f>Данные!K662</f>
        <v>0</v>
      </c>
      <c r="L662" s="59">
        <f>Данные!L662</f>
        <v>0</v>
      </c>
      <c r="M662" s="60">
        <f t="shared" si="90"/>
        <v>0</v>
      </c>
      <c r="N662" s="60">
        <f t="shared" ca="1" si="91"/>
        <v>5.3000000000000007</v>
      </c>
      <c r="O662" s="60">
        <f t="shared" ca="1" si="92"/>
        <v>2.5</v>
      </c>
      <c r="P662" s="60">
        <f t="shared" ca="1" si="93"/>
        <v>2.5</v>
      </c>
      <c r="Q662" s="54">
        <f>Данные!Q662</f>
        <v>0</v>
      </c>
      <c r="R662" s="54">
        <f>Данные!R662</f>
        <v>0</v>
      </c>
      <c r="S662" s="54">
        <f>Данные!S662</f>
        <v>0</v>
      </c>
      <c r="T662" s="54">
        <f>Данные!T662</f>
        <v>0</v>
      </c>
      <c r="U662" s="54">
        <f>Данные!U662</f>
        <v>0</v>
      </c>
      <c r="V662" s="54">
        <f>Данные!V662</f>
        <v>36</v>
      </c>
      <c r="W662" s="54">
        <f ca="1">Данные!W662</f>
        <v>10</v>
      </c>
      <c r="X662" s="54" t="str">
        <f ca="1">Данные!X662</f>
        <v>1</v>
      </c>
      <c r="Y662" s="54" t="str">
        <f ca="1">Данные!Y662</f>
        <v>1</v>
      </c>
      <c r="Z662" s="54">
        <f>Данные!Z662</f>
        <v>0</v>
      </c>
      <c r="AA662" s="54" t="str">
        <f>Данные!AA662</f>
        <v>осн</v>
      </c>
      <c r="AB662" s="101">
        <f t="shared" si="94"/>
        <v>800</v>
      </c>
      <c r="AC662" s="101" t="str">
        <f t="shared" si="95"/>
        <v>КЭО (маг)</v>
      </c>
      <c r="AD662" s="101" t="str">
        <f t="shared" si="96"/>
        <v/>
      </c>
      <c r="AE662" s="102">
        <f t="shared" ca="1" si="97"/>
        <v>46.3</v>
      </c>
      <c r="AF662" s="103">
        <f t="shared" ca="1" si="98"/>
        <v>5.7874999999999996E-2</v>
      </c>
      <c r="AG662" s="101"/>
      <c r="AH662" s="101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Q662" s="72">
        <v>0</v>
      </c>
      <c r="BR662" s="72">
        <v>0</v>
      </c>
      <c r="BS662" s="72">
        <v>0</v>
      </c>
      <c r="BT662" s="72">
        <v>0</v>
      </c>
      <c r="BU662" s="72">
        <v>0</v>
      </c>
      <c r="BV662" s="72">
        <v>0</v>
      </c>
      <c r="BW662" s="72">
        <v>0</v>
      </c>
      <c r="BX662" s="72">
        <v>0</v>
      </c>
      <c r="BY662" s="72">
        <v>0</v>
      </c>
      <c r="BZ662" s="72">
        <v>0</v>
      </c>
      <c r="CA662" s="72">
        <v>0</v>
      </c>
      <c r="CB662" s="72">
        <v>0</v>
      </c>
      <c r="CC662" s="72">
        <v>0</v>
      </c>
      <c r="CD662" s="72">
        <v>0</v>
      </c>
      <c r="CE662" s="72">
        <v>0</v>
      </c>
      <c r="CF662" s="72">
        <v>0</v>
      </c>
      <c r="CG662" s="72">
        <v>0</v>
      </c>
      <c r="CH662" s="72">
        <v>0</v>
      </c>
      <c r="CI662" s="72">
        <v>0</v>
      </c>
      <c r="CJ662" s="72">
        <v>0</v>
      </c>
      <c r="CK662" s="72">
        <v>0</v>
      </c>
      <c r="CL662" s="72">
        <v>0</v>
      </c>
      <c r="CM662" s="72">
        <v>0</v>
      </c>
      <c r="CN662" s="72">
        <v>0</v>
      </c>
      <c r="CO662" s="72">
        <v>0</v>
      </c>
      <c r="CP662" s="72">
        <v>0</v>
      </c>
      <c r="CQ662" s="72">
        <v>0</v>
      </c>
      <c r="CR662" s="72">
        <v>0</v>
      </c>
      <c r="CS662" s="72">
        <v>0</v>
      </c>
      <c r="CT662" s="72">
        <v>0</v>
      </c>
      <c r="CU662" s="72">
        <v>0</v>
      </c>
      <c r="CV662" s="72">
        <v>0</v>
      </c>
      <c r="CW662" s="72">
        <v>0</v>
      </c>
      <c r="CX662" s="72">
        <v>0</v>
      </c>
      <c r="CY662" s="72">
        <v>0</v>
      </c>
      <c r="CZ662" s="72">
        <v>0</v>
      </c>
      <c r="DA662" s="72">
        <v>0</v>
      </c>
      <c r="DB662" s="72">
        <v>0</v>
      </c>
      <c r="DC662" s="72">
        <v>0</v>
      </c>
      <c r="DD662" s="72">
        <v>0</v>
      </c>
      <c r="DE662" s="72">
        <v>0</v>
      </c>
      <c r="DF662" s="72">
        <v>0</v>
      </c>
      <c r="DG662" s="72">
        <v>0</v>
      </c>
      <c r="DH662" s="72">
        <v>0</v>
      </c>
      <c r="DI662" s="72">
        <v>0</v>
      </c>
      <c r="DJ662" s="72">
        <v>0</v>
      </c>
      <c r="DK662" s="72">
        <v>0</v>
      </c>
      <c r="DL662" s="72">
        <v>0</v>
      </c>
      <c r="DM662" s="72">
        <v>0</v>
      </c>
      <c r="DN662" s="72">
        <v>0</v>
      </c>
      <c r="DO662" s="72">
        <v>0</v>
      </c>
      <c r="DP662" s="72">
        <v>0</v>
      </c>
      <c r="DQ662" s="72">
        <v>0</v>
      </c>
      <c r="DR662" s="72">
        <v>0</v>
      </c>
      <c r="DS662" s="72">
        <v>0</v>
      </c>
      <c r="DT662" s="72">
        <v>0</v>
      </c>
      <c r="DU662" s="72">
        <v>0</v>
      </c>
      <c r="DV662" s="72">
        <v>0</v>
      </c>
      <c r="DW662" s="72">
        <v>0</v>
      </c>
      <c r="DX662" s="72">
        <v>0</v>
      </c>
      <c r="DY662" s="72">
        <v>0</v>
      </c>
      <c r="DZ662" s="72">
        <v>0</v>
      </c>
      <c r="EA662" s="72">
        <v>0</v>
      </c>
      <c r="EB662" s="72">
        <v>0</v>
      </c>
      <c r="EC662" s="72">
        <v>0</v>
      </c>
      <c r="ED662" s="72">
        <v>0</v>
      </c>
      <c r="EE662" s="72">
        <v>0</v>
      </c>
      <c r="EF662" s="72">
        <v>0</v>
      </c>
      <c r="EG662" s="72">
        <v>0</v>
      </c>
      <c r="EH662" s="72">
        <v>0</v>
      </c>
      <c r="EI662" s="72">
        <v>0</v>
      </c>
      <c r="EJ662" s="72">
        <v>0</v>
      </c>
      <c r="EK662" s="72">
        <v>0</v>
      </c>
      <c r="EL662" s="72">
        <v>0</v>
      </c>
    </row>
    <row r="663" spans="1:142" x14ac:dyDescent="0.35">
      <c r="A663" s="59">
        <f>Данные!A663</f>
        <v>5762</v>
      </c>
      <c r="B663" s="59">
        <f>Данные!B663</f>
        <v>2018</v>
      </c>
      <c r="C663" s="59" t="str">
        <f>Данные!C663</f>
        <v>компьютерных технологий и электронного обучения</v>
      </c>
      <c r="D663" s="59" t="str">
        <f>Данные!D663</f>
        <v>Авксентьева Елена Юрьевна</v>
      </c>
      <c r="E663" s="59" t="str">
        <f>Данные!E663</f>
        <v>кандидат педагогических наук</v>
      </c>
      <c r="F663" s="59" t="str">
        <f>Данные!F663</f>
        <v>доцент</v>
      </c>
      <c r="G663" s="59">
        <f>Данные!G663</f>
        <v>1</v>
      </c>
      <c r="H663" s="59">
        <f>Данные!H663</f>
        <v>17248</v>
      </c>
      <c r="I663" s="59" t="str">
        <f>Данные!I663</f>
        <v>Модуль "IT-решения и инструменты в образовании". Дисциплины и курсы по выбору. Анализ данных в педагогических исследованиях</v>
      </c>
      <c r="J663" s="59">
        <f>Данные!J663</f>
        <v>4</v>
      </c>
      <c r="K663" s="59">
        <f>Данные!K663</f>
        <v>22</v>
      </c>
      <c r="L663" s="59">
        <f>Данные!L663</f>
        <v>0</v>
      </c>
      <c r="M663" s="60">
        <f t="shared" si="90"/>
        <v>2.6</v>
      </c>
      <c r="N663" s="60">
        <f t="shared" ca="1" si="91"/>
        <v>5.3000000000000007</v>
      </c>
      <c r="O663" s="60">
        <f t="shared" ca="1" si="92"/>
        <v>2.5</v>
      </c>
      <c r="P663" s="60">
        <f t="shared" ca="1" si="93"/>
        <v>2.5</v>
      </c>
      <c r="Q663" s="54">
        <f>Данные!Q663</f>
        <v>0</v>
      </c>
      <c r="R663" s="54">
        <f>Данные!R663</f>
        <v>0</v>
      </c>
      <c r="S663" s="54">
        <f>Данные!S663</f>
        <v>0</v>
      </c>
      <c r="T663" s="54">
        <f>Данные!T663</f>
        <v>0</v>
      </c>
      <c r="U663" s="54">
        <f>Данные!U663</f>
        <v>0</v>
      </c>
      <c r="V663" s="54">
        <f>Данные!V663</f>
        <v>0</v>
      </c>
      <c r="W663" s="54">
        <f ca="1">Данные!W663</f>
        <v>10</v>
      </c>
      <c r="X663" s="54" t="str">
        <f ca="1">Данные!X663</f>
        <v>1</v>
      </c>
      <c r="Y663" s="54" t="str">
        <f ca="1">Данные!Y663</f>
        <v>1</v>
      </c>
      <c r="Z663" s="54">
        <f>Данные!Z663</f>
        <v>0</v>
      </c>
      <c r="AA663" s="54" t="str">
        <f>Данные!AA663</f>
        <v>осн</v>
      </c>
      <c r="AB663" s="101">
        <f t="shared" si="94"/>
        <v>800</v>
      </c>
      <c r="AC663" s="101" t="str">
        <f t="shared" si="95"/>
        <v>КЭО (маг)</v>
      </c>
      <c r="AD663" s="101" t="str">
        <f t="shared" si="96"/>
        <v/>
      </c>
      <c r="AE663" s="102">
        <f t="shared" ca="1" si="97"/>
        <v>38.900000000000006</v>
      </c>
      <c r="AF663" s="103">
        <f t="shared" ca="1" si="98"/>
        <v>4.8625000000000008E-2</v>
      </c>
      <c r="AG663" s="101"/>
      <c r="AH663" s="101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Q663" s="72">
        <v>0</v>
      </c>
      <c r="BR663" s="72">
        <v>0</v>
      </c>
      <c r="BS663" s="72">
        <v>0</v>
      </c>
      <c r="BT663" s="72">
        <v>0</v>
      </c>
      <c r="BU663" s="72">
        <v>0</v>
      </c>
      <c r="BV663" s="72">
        <v>0</v>
      </c>
      <c r="BW663" s="72">
        <v>0</v>
      </c>
      <c r="BX663" s="72">
        <v>0</v>
      </c>
      <c r="BY663" s="72">
        <v>0</v>
      </c>
      <c r="BZ663" s="72">
        <v>0</v>
      </c>
      <c r="CA663" s="72">
        <v>0</v>
      </c>
      <c r="CB663" s="72">
        <v>0</v>
      </c>
      <c r="CC663" s="72">
        <v>0</v>
      </c>
      <c r="CD663" s="72">
        <v>0</v>
      </c>
      <c r="CE663" s="72">
        <v>0</v>
      </c>
      <c r="CF663" s="72">
        <v>0</v>
      </c>
      <c r="CG663" s="72">
        <v>0</v>
      </c>
      <c r="CH663" s="72">
        <v>0</v>
      </c>
      <c r="CI663" s="72">
        <v>0</v>
      </c>
      <c r="CJ663" s="72">
        <v>0</v>
      </c>
      <c r="CK663" s="72">
        <v>0</v>
      </c>
      <c r="CL663" s="72">
        <v>0</v>
      </c>
      <c r="CM663" s="72">
        <v>0</v>
      </c>
      <c r="CN663" s="72">
        <v>0</v>
      </c>
      <c r="CO663" s="72">
        <v>0</v>
      </c>
      <c r="CP663" s="72">
        <v>0</v>
      </c>
      <c r="CQ663" s="72">
        <v>0</v>
      </c>
      <c r="CR663" s="72">
        <v>0</v>
      </c>
      <c r="CS663" s="72">
        <v>0</v>
      </c>
      <c r="CT663" s="72">
        <v>0</v>
      </c>
      <c r="CU663" s="72">
        <v>0</v>
      </c>
      <c r="CV663" s="72">
        <v>0</v>
      </c>
      <c r="CW663" s="72">
        <v>0</v>
      </c>
      <c r="CX663" s="72">
        <v>0</v>
      </c>
      <c r="CY663" s="72">
        <v>0</v>
      </c>
      <c r="CZ663" s="72">
        <v>0</v>
      </c>
      <c r="DA663" s="72">
        <v>0</v>
      </c>
      <c r="DB663" s="72">
        <v>0</v>
      </c>
      <c r="DC663" s="72">
        <v>0</v>
      </c>
      <c r="DD663" s="72">
        <v>0</v>
      </c>
      <c r="DE663" s="72">
        <v>0</v>
      </c>
      <c r="DF663" s="72">
        <v>0</v>
      </c>
      <c r="DG663" s="72">
        <v>0</v>
      </c>
      <c r="DH663" s="72">
        <v>0</v>
      </c>
      <c r="DI663" s="72">
        <v>0</v>
      </c>
      <c r="DJ663" s="72">
        <v>0</v>
      </c>
      <c r="DK663" s="72">
        <v>0</v>
      </c>
      <c r="DL663" s="72">
        <v>0</v>
      </c>
      <c r="DM663" s="72">
        <v>0</v>
      </c>
      <c r="DN663" s="72">
        <v>0</v>
      </c>
      <c r="DO663" s="72">
        <v>0</v>
      </c>
      <c r="DP663" s="72">
        <v>0</v>
      </c>
      <c r="DQ663" s="72">
        <v>0</v>
      </c>
      <c r="DR663" s="72">
        <v>0</v>
      </c>
      <c r="DS663" s="72">
        <v>0</v>
      </c>
      <c r="DT663" s="72">
        <v>0</v>
      </c>
      <c r="DU663" s="72">
        <v>0</v>
      </c>
      <c r="DV663" s="72">
        <v>0</v>
      </c>
      <c r="DW663" s="72">
        <v>0</v>
      </c>
      <c r="DX663" s="72">
        <v>0</v>
      </c>
      <c r="DY663" s="72">
        <v>0</v>
      </c>
      <c r="DZ663" s="72">
        <v>0</v>
      </c>
      <c r="EA663" s="72">
        <v>0</v>
      </c>
      <c r="EB663" s="72">
        <v>0</v>
      </c>
      <c r="EC663" s="72">
        <v>0</v>
      </c>
      <c r="ED663" s="72">
        <v>0</v>
      </c>
      <c r="EE663" s="72">
        <v>0</v>
      </c>
      <c r="EF663" s="72">
        <v>0</v>
      </c>
      <c r="EG663" s="72">
        <v>0</v>
      </c>
      <c r="EH663" s="72">
        <v>0</v>
      </c>
      <c r="EI663" s="72">
        <v>0</v>
      </c>
      <c r="EJ663" s="72">
        <v>0</v>
      </c>
      <c r="EK663" s="72">
        <v>0</v>
      </c>
      <c r="EL663" s="72">
        <v>0</v>
      </c>
    </row>
    <row r="664" spans="1:142" x14ac:dyDescent="0.35">
      <c r="A664" s="59">
        <f>Данные!A664</f>
        <v>5762</v>
      </c>
      <c r="B664" s="59">
        <f>Данные!B664</f>
        <v>2018</v>
      </c>
      <c r="C664" s="59" t="str">
        <f>Данные!C664</f>
        <v>компьютерных технологий и электронного обучения</v>
      </c>
      <c r="D664" s="59" t="str">
        <f>Данные!D664</f>
        <v>Авксентьева Елена Юрьевна</v>
      </c>
      <c r="E664" s="59" t="str">
        <f>Данные!E664</f>
        <v>кандидат педагогических наук</v>
      </c>
      <c r="F664" s="59" t="str">
        <f>Данные!F664</f>
        <v>доцент</v>
      </c>
      <c r="G664" s="59">
        <f>Данные!G664</f>
        <v>1</v>
      </c>
      <c r="H664" s="59">
        <f>Данные!H664</f>
        <v>17248</v>
      </c>
      <c r="I664" s="59" t="str">
        <f>Данные!I664</f>
        <v>Научно-исследовательская работа. Педагогическое образование. Магистерская программа "Корпоративное электронное обучение"</v>
      </c>
      <c r="J664" s="59">
        <f>Данные!J664</f>
        <v>0</v>
      </c>
      <c r="K664" s="59">
        <f>Данные!K664</f>
        <v>0</v>
      </c>
      <c r="L664" s="59">
        <f>Данные!L664</f>
        <v>0</v>
      </c>
      <c r="M664" s="60">
        <f t="shared" si="90"/>
        <v>0</v>
      </c>
      <c r="N664" s="60">
        <f t="shared" ca="1" si="91"/>
        <v>5.3000000000000007</v>
      </c>
      <c r="O664" s="60">
        <f t="shared" ca="1" si="92"/>
        <v>2.5</v>
      </c>
      <c r="P664" s="60">
        <f t="shared" ca="1" si="93"/>
        <v>2.5</v>
      </c>
      <c r="Q664" s="54">
        <f>Данные!Q664</f>
        <v>0</v>
      </c>
      <c r="R664" s="54">
        <f>Данные!R664</f>
        <v>0</v>
      </c>
      <c r="S664" s="54">
        <f>Данные!S664</f>
        <v>0</v>
      </c>
      <c r="T664" s="54">
        <f>Данные!T664</f>
        <v>0</v>
      </c>
      <c r="U664" s="54">
        <f>Данные!U664</f>
        <v>4</v>
      </c>
      <c r="V664" s="54">
        <f>Данные!V664</f>
        <v>0</v>
      </c>
      <c r="W664" s="54">
        <f ca="1">Данные!W664</f>
        <v>10</v>
      </c>
      <c r="X664" s="54" t="str">
        <f ca="1">Данные!X664</f>
        <v>1</v>
      </c>
      <c r="Y664" s="54" t="str">
        <f ca="1">Данные!Y664</f>
        <v>1</v>
      </c>
      <c r="Z664" s="54">
        <f>Данные!Z664</f>
        <v>0</v>
      </c>
      <c r="AA664" s="54" t="str">
        <f>Данные!AA664</f>
        <v>осн</v>
      </c>
      <c r="AB664" s="101">
        <f t="shared" si="94"/>
        <v>800</v>
      </c>
      <c r="AC664" s="101" t="str">
        <f t="shared" si="95"/>
        <v>КЭО (маг)</v>
      </c>
      <c r="AD664" s="101" t="str">
        <f t="shared" si="96"/>
        <v/>
      </c>
      <c r="AE664" s="102">
        <f t="shared" ca="1" si="97"/>
        <v>14.3</v>
      </c>
      <c r="AF664" s="103">
        <f t="shared" ca="1" si="98"/>
        <v>1.7875000000000002E-2</v>
      </c>
      <c r="AG664" s="101"/>
      <c r="AH664" s="101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Q664" s="72">
        <v>0</v>
      </c>
      <c r="BR664" s="72">
        <v>0</v>
      </c>
      <c r="BS664" s="72">
        <v>0</v>
      </c>
      <c r="BT664" s="72">
        <v>0</v>
      </c>
      <c r="BU664" s="72">
        <v>0</v>
      </c>
      <c r="BV664" s="72">
        <v>0</v>
      </c>
      <c r="BW664" s="72">
        <v>0</v>
      </c>
      <c r="BX664" s="72">
        <v>0</v>
      </c>
      <c r="BY664" s="72">
        <v>0</v>
      </c>
      <c r="BZ664" s="72">
        <v>0</v>
      </c>
      <c r="CA664" s="72">
        <v>0</v>
      </c>
      <c r="CB664" s="72">
        <v>0</v>
      </c>
      <c r="CC664" s="72">
        <v>0</v>
      </c>
      <c r="CD664" s="72">
        <v>0</v>
      </c>
      <c r="CE664" s="72">
        <v>0</v>
      </c>
      <c r="CF664" s="72">
        <v>0</v>
      </c>
      <c r="CG664" s="72">
        <v>0</v>
      </c>
      <c r="CH664" s="72">
        <v>0</v>
      </c>
      <c r="CI664" s="72">
        <v>0</v>
      </c>
      <c r="CJ664" s="72">
        <v>0</v>
      </c>
      <c r="CK664" s="72">
        <v>0</v>
      </c>
      <c r="CL664" s="72">
        <v>0</v>
      </c>
      <c r="CM664" s="72">
        <v>0</v>
      </c>
      <c r="CN664" s="72">
        <v>0</v>
      </c>
      <c r="CO664" s="72">
        <v>0</v>
      </c>
      <c r="CP664" s="72">
        <v>0</v>
      </c>
      <c r="CQ664" s="72">
        <v>0</v>
      </c>
      <c r="CR664" s="72">
        <v>0</v>
      </c>
      <c r="CS664" s="72">
        <v>0</v>
      </c>
      <c r="CT664" s="72">
        <v>0</v>
      </c>
      <c r="CU664" s="72">
        <v>0</v>
      </c>
      <c r="CV664" s="72">
        <v>0</v>
      </c>
      <c r="CW664" s="72">
        <v>0</v>
      </c>
      <c r="CX664" s="72">
        <v>0</v>
      </c>
      <c r="CY664" s="72">
        <v>0</v>
      </c>
      <c r="CZ664" s="72">
        <v>0</v>
      </c>
      <c r="DA664" s="72">
        <v>0</v>
      </c>
      <c r="DB664" s="72">
        <v>0</v>
      </c>
      <c r="DC664" s="72">
        <v>0</v>
      </c>
      <c r="DD664" s="72">
        <v>0</v>
      </c>
      <c r="DE664" s="72">
        <v>0</v>
      </c>
      <c r="DF664" s="72">
        <v>0</v>
      </c>
      <c r="DG664" s="72">
        <v>0</v>
      </c>
      <c r="DH664" s="72">
        <v>0</v>
      </c>
      <c r="DI664" s="72">
        <v>0</v>
      </c>
      <c r="DJ664" s="72">
        <v>0</v>
      </c>
      <c r="DK664" s="72">
        <v>0</v>
      </c>
      <c r="DL664" s="72">
        <v>0</v>
      </c>
      <c r="DM664" s="72">
        <v>0</v>
      </c>
      <c r="DN664" s="72">
        <v>0</v>
      </c>
      <c r="DO664" s="72">
        <v>0</v>
      </c>
      <c r="DP664" s="72">
        <v>0</v>
      </c>
      <c r="DQ664" s="72">
        <v>0</v>
      </c>
      <c r="DR664" s="72">
        <v>0</v>
      </c>
      <c r="DS664" s="72">
        <v>0</v>
      </c>
      <c r="DT664" s="72">
        <v>0</v>
      </c>
      <c r="DU664" s="72">
        <v>0</v>
      </c>
      <c r="DV664" s="72">
        <v>0</v>
      </c>
      <c r="DW664" s="72">
        <v>0</v>
      </c>
      <c r="DX664" s="72">
        <v>0</v>
      </c>
      <c r="DY664" s="72">
        <v>0</v>
      </c>
      <c r="DZ664" s="72">
        <v>0</v>
      </c>
      <c r="EA664" s="72">
        <v>0</v>
      </c>
      <c r="EB664" s="72">
        <v>0</v>
      </c>
      <c r="EC664" s="72">
        <v>0</v>
      </c>
      <c r="ED664" s="72">
        <v>0</v>
      </c>
      <c r="EE664" s="72">
        <v>0</v>
      </c>
      <c r="EF664" s="72">
        <v>0</v>
      </c>
      <c r="EG664" s="72">
        <v>0</v>
      </c>
      <c r="EH664" s="72">
        <v>0</v>
      </c>
      <c r="EI664" s="72">
        <v>0</v>
      </c>
      <c r="EJ664" s="72">
        <v>0</v>
      </c>
      <c r="EK664" s="72">
        <v>0</v>
      </c>
      <c r="EL664" s="72">
        <v>0</v>
      </c>
    </row>
    <row r="665" spans="1:142" x14ac:dyDescent="0.35">
      <c r="A665" s="59">
        <f>Данные!A665</f>
        <v>5762</v>
      </c>
      <c r="B665" s="59">
        <f>Данные!B665</f>
        <v>2018</v>
      </c>
      <c r="C665" s="59" t="str">
        <f>Данные!C665</f>
        <v>компьютерных технологий и электронного обучения</v>
      </c>
      <c r="D665" s="59" t="str">
        <f>Данные!D665</f>
        <v>Авксентьева Елена Юрьевна</v>
      </c>
      <c r="E665" s="59" t="str">
        <f>Данные!E665</f>
        <v>кандидат педагогических наук</v>
      </c>
      <c r="F665" s="59" t="str">
        <f>Данные!F665</f>
        <v>доцент</v>
      </c>
      <c r="G665" s="59">
        <f>Данные!G665</f>
        <v>1</v>
      </c>
      <c r="H665" s="59">
        <f>Данные!H665</f>
        <v>17248</v>
      </c>
      <c r="I665" s="59" t="str">
        <f>Данные!I665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65" s="59">
        <f>Данные!J665</f>
        <v>0</v>
      </c>
      <c r="K665" s="59">
        <f>Данные!K665</f>
        <v>0</v>
      </c>
      <c r="L665" s="59">
        <f>Данные!L665</f>
        <v>0</v>
      </c>
      <c r="M665" s="60">
        <f t="shared" si="90"/>
        <v>0</v>
      </c>
      <c r="N665" s="60">
        <f t="shared" ca="1" si="91"/>
        <v>5.3000000000000007</v>
      </c>
      <c r="O665" s="60">
        <f t="shared" ca="1" si="92"/>
        <v>2.5</v>
      </c>
      <c r="P665" s="60">
        <f t="shared" ca="1" si="93"/>
        <v>2.5</v>
      </c>
      <c r="Q665" s="54">
        <f>Данные!Q665</f>
        <v>0</v>
      </c>
      <c r="R665" s="54">
        <f>Данные!R665</f>
        <v>6</v>
      </c>
      <c r="S665" s="54">
        <f>Данные!S665</f>
        <v>6</v>
      </c>
      <c r="T665" s="54">
        <f>Данные!T665</f>
        <v>0</v>
      </c>
      <c r="U665" s="54">
        <f>Данные!U665</f>
        <v>0</v>
      </c>
      <c r="V665" s="54">
        <f>Данные!V665</f>
        <v>22</v>
      </c>
      <c r="W665" s="54">
        <f ca="1">Данные!W665</f>
        <v>10</v>
      </c>
      <c r="X665" s="54" t="str">
        <f ca="1">Данные!X665</f>
        <v>1</v>
      </c>
      <c r="Y665" s="54" t="str">
        <f ca="1">Данные!Y665</f>
        <v>1</v>
      </c>
      <c r="Z665" s="54">
        <f>Данные!Z665</f>
        <v>0</v>
      </c>
      <c r="AA665" s="54" t="str">
        <f>Данные!AA665</f>
        <v>осн</v>
      </c>
      <c r="AB665" s="101">
        <f t="shared" si="94"/>
        <v>800</v>
      </c>
      <c r="AC665" s="101" t="str">
        <f t="shared" si="95"/>
        <v>КЭО (маг)</v>
      </c>
      <c r="AD665" s="101" t="str">
        <f t="shared" si="96"/>
        <v/>
      </c>
      <c r="AE665" s="102">
        <f t="shared" ca="1" si="97"/>
        <v>44.3</v>
      </c>
      <c r="AF665" s="103">
        <f t="shared" ca="1" si="98"/>
        <v>5.5374999999999994E-2</v>
      </c>
      <c r="AG665" s="101"/>
      <c r="AH665" s="101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Q665" s="72">
        <v>0</v>
      </c>
      <c r="BR665" s="72">
        <v>0</v>
      </c>
      <c r="BS665" s="72">
        <v>0</v>
      </c>
      <c r="BT665" s="72">
        <v>0</v>
      </c>
      <c r="BU665" s="72">
        <v>0</v>
      </c>
      <c r="BV665" s="72">
        <v>0</v>
      </c>
      <c r="BW665" s="72">
        <v>0</v>
      </c>
      <c r="BX665" s="72">
        <v>0</v>
      </c>
      <c r="BY665" s="72">
        <v>0</v>
      </c>
      <c r="BZ665" s="72">
        <v>0</v>
      </c>
      <c r="CA665" s="72">
        <v>0</v>
      </c>
      <c r="CB665" s="72">
        <v>0</v>
      </c>
      <c r="CC665" s="72">
        <v>0</v>
      </c>
      <c r="CD665" s="72">
        <v>0</v>
      </c>
      <c r="CE665" s="72">
        <v>0</v>
      </c>
      <c r="CF665" s="72">
        <v>0</v>
      </c>
      <c r="CG665" s="72">
        <v>0</v>
      </c>
      <c r="CH665" s="72">
        <v>0</v>
      </c>
      <c r="CI665" s="72">
        <v>0</v>
      </c>
      <c r="CJ665" s="72">
        <v>0</v>
      </c>
      <c r="CK665" s="72">
        <v>0</v>
      </c>
      <c r="CL665" s="72">
        <v>0</v>
      </c>
      <c r="CM665" s="72">
        <v>0</v>
      </c>
      <c r="CN665" s="72">
        <v>0</v>
      </c>
      <c r="CO665" s="72">
        <v>0</v>
      </c>
      <c r="CP665" s="72">
        <v>0</v>
      </c>
      <c r="CQ665" s="72">
        <v>0</v>
      </c>
      <c r="CR665" s="72">
        <v>0</v>
      </c>
      <c r="CS665" s="72">
        <v>0</v>
      </c>
      <c r="CT665" s="72">
        <v>0</v>
      </c>
      <c r="CU665" s="72">
        <v>0</v>
      </c>
      <c r="CV665" s="72">
        <v>0</v>
      </c>
      <c r="CW665" s="72">
        <v>0</v>
      </c>
      <c r="CX665" s="72">
        <v>0</v>
      </c>
      <c r="CY665" s="72">
        <v>0</v>
      </c>
      <c r="CZ665" s="72">
        <v>0</v>
      </c>
      <c r="DA665" s="72">
        <v>0</v>
      </c>
      <c r="DB665" s="72">
        <v>0</v>
      </c>
      <c r="DC665" s="72">
        <v>0</v>
      </c>
      <c r="DD665" s="72">
        <v>0</v>
      </c>
      <c r="DE665" s="72">
        <v>0</v>
      </c>
      <c r="DF665" s="72">
        <v>0</v>
      </c>
      <c r="DG665" s="72">
        <v>0</v>
      </c>
      <c r="DH665" s="72">
        <v>0</v>
      </c>
      <c r="DI665" s="72">
        <v>0</v>
      </c>
      <c r="DJ665" s="72">
        <v>0</v>
      </c>
      <c r="DK665" s="72">
        <v>0</v>
      </c>
      <c r="DL665" s="72">
        <v>0</v>
      </c>
      <c r="DM665" s="72">
        <v>0</v>
      </c>
      <c r="DN665" s="72">
        <v>0</v>
      </c>
      <c r="DO665" s="72">
        <v>0</v>
      </c>
      <c r="DP665" s="72">
        <v>0</v>
      </c>
      <c r="DQ665" s="72">
        <v>0</v>
      </c>
      <c r="DR665" s="72">
        <v>0</v>
      </c>
      <c r="DS665" s="72">
        <v>0</v>
      </c>
      <c r="DT665" s="72">
        <v>0</v>
      </c>
      <c r="DU665" s="72">
        <v>0</v>
      </c>
      <c r="DV665" s="72">
        <v>0</v>
      </c>
      <c r="DW665" s="72">
        <v>0</v>
      </c>
      <c r="DX665" s="72">
        <v>0</v>
      </c>
      <c r="DY665" s="72">
        <v>0</v>
      </c>
      <c r="DZ665" s="72">
        <v>0</v>
      </c>
      <c r="EA665" s="72">
        <v>0</v>
      </c>
      <c r="EB665" s="72">
        <v>0</v>
      </c>
      <c r="EC665" s="72">
        <v>0</v>
      </c>
      <c r="ED665" s="72">
        <v>0</v>
      </c>
      <c r="EE665" s="72">
        <v>0</v>
      </c>
      <c r="EF665" s="72">
        <v>0</v>
      </c>
      <c r="EG665" s="72">
        <v>0</v>
      </c>
      <c r="EH665" s="72">
        <v>0</v>
      </c>
      <c r="EI665" s="72">
        <v>0</v>
      </c>
      <c r="EJ665" s="72">
        <v>0</v>
      </c>
      <c r="EK665" s="72">
        <v>0</v>
      </c>
      <c r="EL665" s="72">
        <v>0</v>
      </c>
    </row>
    <row r="666" spans="1:142" x14ac:dyDescent="0.35">
      <c r="A666" s="59">
        <f>Данные!A666</f>
        <v>5762</v>
      </c>
      <c r="B666" s="59">
        <f>Данные!B666</f>
        <v>2018</v>
      </c>
      <c r="C666" s="59" t="str">
        <f>Данные!C666</f>
        <v>компьютерных технологий и электронного обучения</v>
      </c>
      <c r="D666" s="59" t="str">
        <f>Данные!D666</f>
        <v>Авксентьева Елена Юрьевна</v>
      </c>
      <c r="E666" s="59" t="str">
        <f>Данные!E666</f>
        <v>кандидат педагогических наук</v>
      </c>
      <c r="F666" s="59" t="str">
        <f>Данные!F666</f>
        <v>доцент</v>
      </c>
      <c r="G666" s="59">
        <f>Данные!G666</f>
        <v>1</v>
      </c>
      <c r="H666" s="59">
        <f>Данные!H666</f>
        <v>17248</v>
      </c>
      <c r="I666" s="59" t="str">
        <f>Данные!I666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66" s="59">
        <f>Данные!J666</f>
        <v>0</v>
      </c>
      <c r="K666" s="59">
        <f>Данные!K666</f>
        <v>0</v>
      </c>
      <c r="L666" s="59">
        <f>Данные!L666</f>
        <v>0</v>
      </c>
      <c r="M666" s="60">
        <f t="shared" si="90"/>
        <v>0</v>
      </c>
      <c r="N666" s="60">
        <f t="shared" ca="1" si="91"/>
        <v>5.3000000000000007</v>
      </c>
      <c r="O666" s="60">
        <f t="shared" ca="1" si="92"/>
        <v>2.5</v>
      </c>
      <c r="P666" s="60">
        <f t="shared" ca="1" si="93"/>
        <v>2.5</v>
      </c>
      <c r="Q666" s="54">
        <f>Данные!Q666</f>
        <v>0</v>
      </c>
      <c r="R666" s="54">
        <f>Данные!R666</f>
        <v>0</v>
      </c>
      <c r="S666" s="54">
        <f>Данные!S666</f>
        <v>0</v>
      </c>
      <c r="T666" s="54">
        <f>Данные!T666</f>
        <v>0</v>
      </c>
      <c r="U666" s="54">
        <f>Данные!U666</f>
        <v>4</v>
      </c>
      <c r="V666" s="54">
        <f>Данные!V666</f>
        <v>0</v>
      </c>
      <c r="W666" s="54">
        <f ca="1">Данные!W666</f>
        <v>10</v>
      </c>
      <c r="X666" s="54" t="str">
        <f ca="1">Данные!X666</f>
        <v>1</v>
      </c>
      <c r="Y666" s="54" t="str">
        <f ca="1">Данные!Y666</f>
        <v>1</v>
      </c>
      <c r="Z666" s="54">
        <f>Данные!Z666</f>
        <v>0</v>
      </c>
      <c r="AA666" s="54" t="str">
        <f>Данные!AA666</f>
        <v>осн</v>
      </c>
      <c r="AB666" s="101">
        <f t="shared" si="94"/>
        <v>800</v>
      </c>
      <c r="AC666" s="101" t="str">
        <f t="shared" si="95"/>
        <v>КЭО (маг)</v>
      </c>
      <c r="AD666" s="101" t="str">
        <f t="shared" si="96"/>
        <v/>
      </c>
      <c r="AE666" s="102">
        <f t="shared" ca="1" si="97"/>
        <v>14.3</v>
      </c>
      <c r="AF666" s="103">
        <f t="shared" ca="1" si="98"/>
        <v>1.7875000000000002E-2</v>
      </c>
      <c r="AG666" s="101"/>
      <c r="AH666" s="101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Q666" s="72">
        <v>0</v>
      </c>
      <c r="BR666" s="72">
        <v>0</v>
      </c>
      <c r="BS666" s="72">
        <v>0</v>
      </c>
      <c r="BT666" s="72">
        <v>0</v>
      </c>
      <c r="BU666" s="72">
        <v>0</v>
      </c>
      <c r="BV666" s="72">
        <v>0</v>
      </c>
      <c r="BW666" s="72">
        <v>0</v>
      </c>
      <c r="BX666" s="72">
        <v>0</v>
      </c>
      <c r="BY666" s="72">
        <v>0</v>
      </c>
      <c r="BZ666" s="72">
        <v>0</v>
      </c>
      <c r="CA666" s="72">
        <v>0</v>
      </c>
      <c r="CB666" s="72">
        <v>0</v>
      </c>
      <c r="CC666" s="72">
        <v>0</v>
      </c>
      <c r="CD666" s="72">
        <v>0</v>
      </c>
      <c r="CE666" s="72">
        <v>0</v>
      </c>
      <c r="CF666" s="72">
        <v>0</v>
      </c>
      <c r="CG666" s="72">
        <v>0</v>
      </c>
      <c r="CH666" s="72">
        <v>0</v>
      </c>
      <c r="CI666" s="72">
        <v>0</v>
      </c>
      <c r="CJ666" s="72">
        <v>0</v>
      </c>
      <c r="CK666" s="72">
        <v>0</v>
      </c>
      <c r="CL666" s="72">
        <v>0</v>
      </c>
      <c r="CM666" s="72">
        <v>0</v>
      </c>
      <c r="CN666" s="72">
        <v>0</v>
      </c>
      <c r="CO666" s="72">
        <v>0</v>
      </c>
      <c r="CP666" s="72">
        <v>0</v>
      </c>
      <c r="CQ666" s="72">
        <v>0</v>
      </c>
      <c r="CR666" s="72">
        <v>0</v>
      </c>
      <c r="CS666" s="72">
        <v>0</v>
      </c>
      <c r="CT666" s="72">
        <v>0</v>
      </c>
      <c r="CU666" s="72">
        <v>0</v>
      </c>
      <c r="CV666" s="72">
        <v>0</v>
      </c>
      <c r="CW666" s="72">
        <v>0</v>
      </c>
      <c r="CX666" s="72">
        <v>0</v>
      </c>
      <c r="CY666" s="72">
        <v>0</v>
      </c>
      <c r="CZ666" s="72">
        <v>0</v>
      </c>
      <c r="DA666" s="72">
        <v>0</v>
      </c>
      <c r="DB666" s="72">
        <v>0</v>
      </c>
      <c r="DC666" s="72">
        <v>0</v>
      </c>
      <c r="DD666" s="72">
        <v>0</v>
      </c>
      <c r="DE666" s="72">
        <v>0</v>
      </c>
      <c r="DF666" s="72">
        <v>0</v>
      </c>
      <c r="DG666" s="72">
        <v>0</v>
      </c>
      <c r="DH666" s="72">
        <v>0</v>
      </c>
      <c r="DI666" s="72">
        <v>0</v>
      </c>
      <c r="DJ666" s="72">
        <v>0</v>
      </c>
      <c r="DK666" s="72">
        <v>0</v>
      </c>
      <c r="DL666" s="72">
        <v>0</v>
      </c>
      <c r="DM666" s="72">
        <v>0</v>
      </c>
      <c r="DN666" s="72">
        <v>0</v>
      </c>
      <c r="DO666" s="72">
        <v>0</v>
      </c>
      <c r="DP666" s="72">
        <v>0</v>
      </c>
      <c r="DQ666" s="72">
        <v>0</v>
      </c>
      <c r="DR666" s="72">
        <v>0</v>
      </c>
      <c r="DS666" s="72">
        <v>0</v>
      </c>
      <c r="DT666" s="72">
        <v>0</v>
      </c>
      <c r="DU666" s="72">
        <v>0</v>
      </c>
      <c r="DV666" s="72">
        <v>0</v>
      </c>
      <c r="DW666" s="72">
        <v>0</v>
      </c>
      <c r="DX666" s="72">
        <v>0</v>
      </c>
      <c r="DY666" s="72">
        <v>0</v>
      </c>
      <c r="DZ666" s="72">
        <v>0</v>
      </c>
      <c r="EA666" s="72">
        <v>0</v>
      </c>
      <c r="EB666" s="72">
        <v>0</v>
      </c>
      <c r="EC666" s="72">
        <v>0</v>
      </c>
      <c r="ED666" s="72">
        <v>0</v>
      </c>
      <c r="EE666" s="72">
        <v>0</v>
      </c>
      <c r="EF666" s="72">
        <v>0</v>
      </c>
      <c r="EG666" s="72">
        <v>0</v>
      </c>
      <c r="EH666" s="72">
        <v>0</v>
      </c>
      <c r="EI666" s="72">
        <v>0</v>
      </c>
      <c r="EJ666" s="72">
        <v>0</v>
      </c>
      <c r="EK666" s="72">
        <v>0</v>
      </c>
      <c r="EL666" s="72">
        <v>0</v>
      </c>
    </row>
    <row r="667" spans="1:142" x14ac:dyDescent="0.35">
      <c r="A667" s="59">
        <f>Данные!A667</f>
        <v>5762</v>
      </c>
      <c r="B667" s="59">
        <f>Данные!B667</f>
        <v>2018</v>
      </c>
      <c r="C667" s="59" t="str">
        <f>Данные!C667</f>
        <v>компьютерных технологий и электронного обучения</v>
      </c>
      <c r="D667" s="59" t="str">
        <f>Данные!D667</f>
        <v>Авксентьева Елена Юрьевна</v>
      </c>
      <c r="E667" s="59" t="str">
        <f>Данные!E667</f>
        <v>кандидат педагогических наук</v>
      </c>
      <c r="F667" s="59" t="str">
        <f>Данные!F667</f>
        <v>доцент</v>
      </c>
      <c r="G667" s="59">
        <f>Данные!G667</f>
        <v>1</v>
      </c>
      <c r="H667" s="59">
        <f>Данные!H667</f>
        <v>17248</v>
      </c>
      <c r="I667" s="59" t="str">
        <f>Данные!I667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67" s="59">
        <f>Данные!J667</f>
        <v>0</v>
      </c>
      <c r="K667" s="59">
        <f>Данные!K667</f>
        <v>0</v>
      </c>
      <c r="L667" s="59">
        <f>Данные!L667</f>
        <v>0</v>
      </c>
      <c r="M667" s="60">
        <f t="shared" si="90"/>
        <v>0</v>
      </c>
      <c r="N667" s="60">
        <f t="shared" ca="1" si="91"/>
        <v>5.3000000000000007</v>
      </c>
      <c r="O667" s="60">
        <f t="shared" ca="1" si="92"/>
        <v>2.5</v>
      </c>
      <c r="P667" s="60">
        <f t="shared" ca="1" si="93"/>
        <v>2.5</v>
      </c>
      <c r="Q667" s="54">
        <f>Данные!Q667</f>
        <v>0</v>
      </c>
      <c r="R667" s="54">
        <f>Данные!R667</f>
        <v>0</v>
      </c>
      <c r="S667" s="54">
        <f>Данные!S667</f>
        <v>0</v>
      </c>
      <c r="T667" s="54">
        <f>Данные!T667</f>
        <v>0</v>
      </c>
      <c r="U667" s="54">
        <f>Данные!U667</f>
        <v>4</v>
      </c>
      <c r="V667" s="54">
        <f>Данные!V667</f>
        <v>0</v>
      </c>
      <c r="W667" s="54">
        <f ca="1">Данные!W667</f>
        <v>10</v>
      </c>
      <c r="X667" s="54" t="str">
        <f ca="1">Данные!X667</f>
        <v>1</v>
      </c>
      <c r="Y667" s="54" t="str">
        <f ca="1">Данные!Y667</f>
        <v>1</v>
      </c>
      <c r="Z667" s="54">
        <f>Данные!Z667</f>
        <v>0</v>
      </c>
      <c r="AA667" s="54" t="str">
        <f>Данные!AA667</f>
        <v>осн</v>
      </c>
      <c r="AB667" s="101">
        <f t="shared" si="94"/>
        <v>800</v>
      </c>
      <c r="AC667" s="101" t="str">
        <f t="shared" si="95"/>
        <v>КЭО (маг)</v>
      </c>
      <c r="AD667" s="101" t="str">
        <f t="shared" si="96"/>
        <v/>
      </c>
      <c r="AE667" s="102">
        <f t="shared" ca="1" si="97"/>
        <v>14.3</v>
      </c>
      <c r="AF667" s="103">
        <f t="shared" ca="1" si="98"/>
        <v>1.7875000000000002E-2</v>
      </c>
      <c r="AG667" s="101"/>
      <c r="AH667" s="101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Q667" s="72">
        <v>0</v>
      </c>
      <c r="BR667" s="72">
        <v>0</v>
      </c>
      <c r="BS667" s="72">
        <v>0</v>
      </c>
      <c r="BT667" s="72">
        <v>0</v>
      </c>
      <c r="BU667" s="72">
        <v>0</v>
      </c>
      <c r="BV667" s="72">
        <v>0</v>
      </c>
      <c r="BW667" s="72">
        <v>0</v>
      </c>
      <c r="BX667" s="72">
        <v>0</v>
      </c>
      <c r="BY667" s="72">
        <v>0</v>
      </c>
      <c r="BZ667" s="72">
        <v>0</v>
      </c>
      <c r="CA667" s="72">
        <v>0</v>
      </c>
      <c r="CB667" s="72">
        <v>0</v>
      </c>
      <c r="CC667" s="72">
        <v>0</v>
      </c>
      <c r="CD667" s="72">
        <v>0</v>
      </c>
      <c r="CE667" s="72">
        <v>0</v>
      </c>
      <c r="CF667" s="72">
        <v>0</v>
      </c>
      <c r="CG667" s="72">
        <v>0</v>
      </c>
      <c r="CH667" s="72">
        <v>0</v>
      </c>
      <c r="CI667" s="72">
        <v>0</v>
      </c>
      <c r="CJ667" s="72">
        <v>0</v>
      </c>
      <c r="CK667" s="72">
        <v>0</v>
      </c>
      <c r="CL667" s="72">
        <v>0</v>
      </c>
      <c r="CM667" s="72">
        <v>0</v>
      </c>
      <c r="CN667" s="72">
        <v>0</v>
      </c>
      <c r="CO667" s="72">
        <v>0</v>
      </c>
      <c r="CP667" s="72">
        <v>0</v>
      </c>
      <c r="CQ667" s="72">
        <v>0</v>
      </c>
      <c r="CR667" s="72">
        <v>0</v>
      </c>
      <c r="CS667" s="72">
        <v>0</v>
      </c>
      <c r="CT667" s="72">
        <v>0</v>
      </c>
      <c r="CU667" s="72">
        <v>0</v>
      </c>
      <c r="CV667" s="72">
        <v>0</v>
      </c>
      <c r="CW667" s="72">
        <v>0</v>
      </c>
      <c r="CX667" s="72">
        <v>0</v>
      </c>
      <c r="CY667" s="72">
        <v>0</v>
      </c>
      <c r="CZ667" s="72">
        <v>0</v>
      </c>
      <c r="DA667" s="72">
        <v>0</v>
      </c>
      <c r="DB667" s="72">
        <v>0</v>
      </c>
      <c r="DC667" s="72">
        <v>0</v>
      </c>
      <c r="DD667" s="72">
        <v>0</v>
      </c>
      <c r="DE667" s="72">
        <v>0</v>
      </c>
      <c r="DF667" s="72">
        <v>0</v>
      </c>
      <c r="DG667" s="72">
        <v>0</v>
      </c>
      <c r="DH667" s="72">
        <v>0</v>
      </c>
      <c r="DI667" s="72">
        <v>0</v>
      </c>
      <c r="DJ667" s="72">
        <v>0</v>
      </c>
      <c r="DK667" s="72">
        <v>0</v>
      </c>
      <c r="DL667" s="72">
        <v>0</v>
      </c>
      <c r="DM667" s="72">
        <v>0</v>
      </c>
      <c r="DN667" s="72">
        <v>0</v>
      </c>
      <c r="DO667" s="72">
        <v>0</v>
      </c>
      <c r="DP667" s="72">
        <v>0</v>
      </c>
      <c r="DQ667" s="72">
        <v>0</v>
      </c>
      <c r="DR667" s="72">
        <v>0</v>
      </c>
      <c r="DS667" s="72">
        <v>0</v>
      </c>
      <c r="DT667" s="72">
        <v>0</v>
      </c>
      <c r="DU667" s="72">
        <v>0</v>
      </c>
      <c r="DV667" s="72">
        <v>0</v>
      </c>
      <c r="DW667" s="72">
        <v>0</v>
      </c>
      <c r="DX667" s="72">
        <v>0</v>
      </c>
      <c r="DY667" s="72">
        <v>0</v>
      </c>
      <c r="DZ667" s="72">
        <v>0</v>
      </c>
      <c r="EA667" s="72">
        <v>0</v>
      </c>
      <c r="EB667" s="72">
        <v>0</v>
      </c>
      <c r="EC667" s="72">
        <v>0</v>
      </c>
      <c r="ED667" s="72">
        <v>0</v>
      </c>
      <c r="EE667" s="72">
        <v>0</v>
      </c>
      <c r="EF667" s="72">
        <v>0</v>
      </c>
      <c r="EG667" s="72">
        <v>0</v>
      </c>
      <c r="EH667" s="72">
        <v>0</v>
      </c>
      <c r="EI667" s="72">
        <v>0</v>
      </c>
      <c r="EJ667" s="72">
        <v>0</v>
      </c>
      <c r="EK667" s="72">
        <v>0</v>
      </c>
      <c r="EL667" s="72">
        <v>0</v>
      </c>
    </row>
    <row r="668" spans="1:142" x14ac:dyDescent="0.35">
      <c r="A668" s="59">
        <f>Данные!A668</f>
        <v>5762</v>
      </c>
      <c r="B668" s="59">
        <f>Данные!B668</f>
        <v>2018</v>
      </c>
      <c r="C668" s="59" t="str">
        <f>Данные!C668</f>
        <v>компьютерных технологий и электронного обучения</v>
      </c>
      <c r="D668" s="59" t="str">
        <f>Данные!D668</f>
        <v>Авксентьева Елена Юрьевна</v>
      </c>
      <c r="E668" s="59" t="str">
        <f>Данные!E668</f>
        <v>кандидат педагогических наук</v>
      </c>
      <c r="F668" s="59" t="str">
        <f>Данные!F668</f>
        <v>доцент</v>
      </c>
      <c r="G668" s="59">
        <f>Данные!G668</f>
        <v>1</v>
      </c>
      <c r="H668" s="59">
        <f>Данные!H668</f>
        <v>17248</v>
      </c>
      <c r="I668" s="59" t="str">
        <f>Данные!I668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68" s="59">
        <f>Данные!J668</f>
        <v>0</v>
      </c>
      <c r="K668" s="59">
        <f>Данные!K668</f>
        <v>0</v>
      </c>
      <c r="L668" s="59">
        <f>Данные!L668</f>
        <v>0</v>
      </c>
      <c r="M668" s="60">
        <f t="shared" si="90"/>
        <v>0</v>
      </c>
      <c r="N668" s="60">
        <f t="shared" ca="1" si="91"/>
        <v>5.3000000000000007</v>
      </c>
      <c r="O668" s="60">
        <f t="shared" ca="1" si="92"/>
        <v>2.5</v>
      </c>
      <c r="P668" s="60">
        <f t="shared" ca="1" si="93"/>
        <v>2.5</v>
      </c>
      <c r="Q668" s="54">
        <f>Данные!Q668</f>
        <v>0</v>
      </c>
      <c r="R668" s="54">
        <f>Данные!R668</f>
        <v>0</v>
      </c>
      <c r="S668" s="54">
        <f>Данные!S668</f>
        <v>0</v>
      </c>
      <c r="T668" s="54">
        <f>Данные!T668</f>
        <v>0</v>
      </c>
      <c r="U668" s="54">
        <f>Данные!U668</f>
        <v>2</v>
      </c>
      <c r="V668" s="54">
        <f>Данные!V668</f>
        <v>0</v>
      </c>
      <c r="W668" s="54">
        <f ca="1">Данные!W668</f>
        <v>10</v>
      </c>
      <c r="X668" s="54" t="str">
        <f ca="1">Данные!X668</f>
        <v>1</v>
      </c>
      <c r="Y668" s="54" t="str">
        <f ca="1">Данные!Y668</f>
        <v>1</v>
      </c>
      <c r="Z668" s="54">
        <f>Данные!Z668</f>
        <v>0</v>
      </c>
      <c r="AA668" s="54" t="str">
        <f>Данные!AA668</f>
        <v>осн</v>
      </c>
      <c r="AB668" s="101">
        <f t="shared" si="94"/>
        <v>800</v>
      </c>
      <c r="AC668" s="101" t="str">
        <f t="shared" si="95"/>
        <v>КЭО (маг)</v>
      </c>
      <c r="AD668" s="101" t="str">
        <f t="shared" si="96"/>
        <v/>
      </c>
      <c r="AE668" s="102">
        <f t="shared" ca="1" si="97"/>
        <v>12.3</v>
      </c>
      <c r="AF668" s="103">
        <f t="shared" ca="1" si="98"/>
        <v>1.5375000000000002E-2</v>
      </c>
      <c r="AG668" s="101"/>
      <c r="AH668" s="101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Q668" s="72">
        <v>0</v>
      </c>
      <c r="BR668" s="72">
        <v>0</v>
      </c>
      <c r="BS668" s="72">
        <v>0</v>
      </c>
      <c r="BT668" s="72">
        <v>0</v>
      </c>
      <c r="BU668" s="72">
        <v>0</v>
      </c>
      <c r="BV668" s="72">
        <v>0</v>
      </c>
      <c r="BW668" s="72">
        <v>0</v>
      </c>
      <c r="BX668" s="72">
        <v>0</v>
      </c>
      <c r="BY668" s="72">
        <v>0</v>
      </c>
      <c r="BZ668" s="72">
        <v>0</v>
      </c>
      <c r="CA668" s="72">
        <v>0</v>
      </c>
      <c r="CB668" s="72">
        <v>0</v>
      </c>
      <c r="CC668" s="72">
        <v>0</v>
      </c>
      <c r="CD668" s="72">
        <v>0</v>
      </c>
      <c r="CE668" s="72">
        <v>0</v>
      </c>
      <c r="CF668" s="72">
        <v>0</v>
      </c>
      <c r="CG668" s="72">
        <v>0</v>
      </c>
      <c r="CH668" s="72">
        <v>0</v>
      </c>
      <c r="CI668" s="72">
        <v>0</v>
      </c>
      <c r="CJ668" s="72">
        <v>0</v>
      </c>
      <c r="CK668" s="72">
        <v>0</v>
      </c>
      <c r="CL668" s="72">
        <v>0</v>
      </c>
      <c r="CM668" s="72">
        <v>0</v>
      </c>
      <c r="CN668" s="72">
        <v>0</v>
      </c>
      <c r="CO668" s="72">
        <v>0</v>
      </c>
      <c r="CP668" s="72">
        <v>0</v>
      </c>
      <c r="CQ668" s="72">
        <v>0</v>
      </c>
      <c r="CR668" s="72">
        <v>0</v>
      </c>
      <c r="CS668" s="72">
        <v>0</v>
      </c>
      <c r="CT668" s="72">
        <v>0</v>
      </c>
      <c r="CU668" s="72">
        <v>0</v>
      </c>
      <c r="CV668" s="72">
        <v>0</v>
      </c>
      <c r="CW668" s="72">
        <v>0</v>
      </c>
      <c r="CX668" s="72">
        <v>0</v>
      </c>
      <c r="CY668" s="72">
        <v>0</v>
      </c>
      <c r="CZ668" s="72">
        <v>0</v>
      </c>
      <c r="DA668" s="72">
        <v>0</v>
      </c>
      <c r="DB668" s="72">
        <v>0</v>
      </c>
      <c r="DC668" s="72">
        <v>0</v>
      </c>
      <c r="DD668" s="72">
        <v>0</v>
      </c>
      <c r="DE668" s="72">
        <v>0</v>
      </c>
      <c r="DF668" s="72">
        <v>0</v>
      </c>
      <c r="DG668" s="72">
        <v>0</v>
      </c>
      <c r="DH668" s="72">
        <v>0</v>
      </c>
      <c r="DI668" s="72">
        <v>0</v>
      </c>
      <c r="DJ668" s="72">
        <v>0</v>
      </c>
      <c r="DK668" s="72">
        <v>0</v>
      </c>
      <c r="DL668" s="72">
        <v>0</v>
      </c>
      <c r="DM668" s="72">
        <v>0</v>
      </c>
      <c r="DN668" s="72">
        <v>0</v>
      </c>
      <c r="DO668" s="72">
        <v>0</v>
      </c>
      <c r="DP668" s="72">
        <v>0</v>
      </c>
      <c r="DQ668" s="72">
        <v>0</v>
      </c>
      <c r="DR668" s="72">
        <v>0</v>
      </c>
      <c r="DS668" s="72">
        <v>0</v>
      </c>
      <c r="DT668" s="72">
        <v>0</v>
      </c>
      <c r="DU668" s="72">
        <v>0</v>
      </c>
      <c r="DV668" s="72">
        <v>0</v>
      </c>
      <c r="DW668" s="72">
        <v>0</v>
      </c>
      <c r="DX668" s="72">
        <v>0</v>
      </c>
      <c r="DY668" s="72">
        <v>0</v>
      </c>
      <c r="DZ668" s="72">
        <v>0</v>
      </c>
      <c r="EA668" s="72">
        <v>0</v>
      </c>
      <c r="EB668" s="72">
        <v>0</v>
      </c>
      <c r="EC668" s="72">
        <v>0</v>
      </c>
      <c r="ED668" s="72">
        <v>0</v>
      </c>
      <c r="EE668" s="72">
        <v>0</v>
      </c>
      <c r="EF668" s="72">
        <v>0</v>
      </c>
      <c r="EG668" s="72">
        <v>0</v>
      </c>
      <c r="EH668" s="72">
        <v>0</v>
      </c>
      <c r="EI668" s="72">
        <v>0</v>
      </c>
      <c r="EJ668" s="72">
        <v>0</v>
      </c>
      <c r="EK668" s="72">
        <v>0</v>
      </c>
      <c r="EL668" s="72">
        <v>0</v>
      </c>
    </row>
    <row r="669" spans="1:142" x14ac:dyDescent="0.35">
      <c r="A669" s="59">
        <f>Данные!A669</f>
        <v>5762</v>
      </c>
      <c r="B669" s="59">
        <f>Данные!B669</f>
        <v>2018</v>
      </c>
      <c r="C669" s="59" t="str">
        <f>Данные!C669</f>
        <v>компьютерных технологий и электронного обучения</v>
      </c>
      <c r="D669" s="59" t="str">
        <f>Данные!D669</f>
        <v>Аксютин Павел Александрович</v>
      </c>
      <c r="E669" s="59" t="str">
        <f>Данные!E669</f>
        <v>нет</v>
      </c>
      <c r="F669" s="59" t="str">
        <f>Данные!F669</f>
        <v>ассистент</v>
      </c>
      <c r="G669" s="59">
        <f>Данные!G669</f>
        <v>0.25</v>
      </c>
      <c r="H669" s="59">
        <f>Данные!H669</f>
        <v>17248</v>
      </c>
      <c r="I669" s="59" t="str">
        <f>Данные!I669</f>
        <v>Модуль "SMART-обучение". Инженерия знаний</v>
      </c>
      <c r="J669" s="59">
        <f>Данные!J669</f>
        <v>0</v>
      </c>
      <c r="K669" s="59">
        <f>Данные!K669</f>
        <v>14</v>
      </c>
      <c r="L669" s="59">
        <f>Данные!L669</f>
        <v>0</v>
      </c>
      <c r="M669" s="60">
        <f t="shared" si="90"/>
        <v>1.4</v>
      </c>
      <c r="N669" s="60">
        <f t="shared" ca="1" si="91"/>
        <v>5.3000000000000007</v>
      </c>
      <c r="O669" s="60">
        <f t="shared" ca="1" si="92"/>
        <v>2.5</v>
      </c>
      <c r="P669" s="60">
        <f t="shared" ca="1" si="93"/>
        <v>2.5</v>
      </c>
      <c r="Q669" s="54">
        <f>Данные!Q669</f>
        <v>0</v>
      </c>
      <c r="R669" s="54">
        <f>Данные!R669</f>
        <v>0</v>
      </c>
      <c r="S669" s="54">
        <f>Данные!S669</f>
        <v>0</v>
      </c>
      <c r="T669" s="54">
        <f>Данные!T669</f>
        <v>0</v>
      </c>
      <c r="U669" s="54">
        <f>Данные!U669</f>
        <v>0</v>
      </c>
      <c r="V669" s="54">
        <f>Данные!V669</f>
        <v>0</v>
      </c>
      <c r="W669" s="54">
        <f ca="1">Данные!W669</f>
        <v>10</v>
      </c>
      <c r="X669" s="54" t="str">
        <f ca="1">Данные!X669</f>
        <v>1</v>
      </c>
      <c r="Y669" s="54" t="str">
        <f ca="1">Данные!Y669</f>
        <v>1</v>
      </c>
      <c r="Z669" s="54">
        <f>Данные!Z669</f>
        <v>0</v>
      </c>
      <c r="AA669" s="54" t="str">
        <f>Данные!AA669</f>
        <v>осн</v>
      </c>
      <c r="AB669" s="101">
        <f t="shared" si="94"/>
        <v>900</v>
      </c>
      <c r="AC669" s="101" t="str">
        <f t="shared" si="95"/>
        <v>КЭО (маг)</v>
      </c>
      <c r="AD669" s="101" t="str">
        <f t="shared" si="96"/>
        <v/>
      </c>
      <c r="AE669" s="102">
        <f t="shared" ca="1" si="97"/>
        <v>25.700000000000003</v>
      </c>
      <c r="AF669" s="103">
        <f t="shared" ca="1" si="98"/>
        <v>2.855555555555556E-2</v>
      </c>
      <c r="AG669" s="101"/>
      <c r="AH669" s="101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Q669" s="72">
        <v>0</v>
      </c>
      <c r="BR669" s="72">
        <v>0</v>
      </c>
      <c r="BS669" s="72">
        <v>0</v>
      </c>
      <c r="BT669" s="72">
        <v>0</v>
      </c>
      <c r="BU669" s="72">
        <v>0</v>
      </c>
      <c r="BV669" s="72">
        <v>0</v>
      </c>
      <c r="BW669" s="72">
        <v>0</v>
      </c>
      <c r="BX669" s="72">
        <v>0</v>
      </c>
      <c r="BY669" s="72">
        <v>0</v>
      </c>
      <c r="BZ669" s="72">
        <v>0</v>
      </c>
      <c r="CA669" s="72">
        <v>0</v>
      </c>
      <c r="CB669" s="72">
        <v>0</v>
      </c>
      <c r="CC669" s="72">
        <v>0</v>
      </c>
      <c r="CD669" s="72">
        <v>0</v>
      </c>
      <c r="CE669" s="72">
        <v>0</v>
      </c>
      <c r="CF669" s="72">
        <v>0</v>
      </c>
      <c r="CG669" s="72">
        <v>0</v>
      </c>
      <c r="CH669" s="72">
        <v>0</v>
      </c>
      <c r="CI669" s="72">
        <v>0</v>
      </c>
      <c r="CJ669" s="72">
        <v>0</v>
      </c>
      <c r="CK669" s="72">
        <v>0</v>
      </c>
      <c r="CL669" s="72">
        <v>0</v>
      </c>
      <c r="CM669" s="72">
        <v>0</v>
      </c>
      <c r="CN669" s="72">
        <v>0</v>
      </c>
      <c r="CO669" s="72">
        <v>0</v>
      </c>
      <c r="CP669" s="72">
        <v>0</v>
      </c>
      <c r="CQ669" s="72">
        <v>0</v>
      </c>
      <c r="CR669" s="72">
        <v>0</v>
      </c>
      <c r="CS669" s="72">
        <v>0</v>
      </c>
      <c r="CT669" s="72">
        <v>0</v>
      </c>
      <c r="CU669" s="72">
        <v>0</v>
      </c>
      <c r="CV669" s="72">
        <v>0</v>
      </c>
      <c r="CW669" s="72">
        <v>0</v>
      </c>
      <c r="CX669" s="72">
        <v>0</v>
      </c>
      <c r="CY669" s="72">
        <v>0</v>
      </c>
      <c r="CZ669" s="72">
        <v>0</v>
      </c>
      <c r="DA669" s="72">
        <v>0</v>
      </c>
      <c r="DB669" s="72">
        <v>0</v>
      </c>
      <c r="DC669" s="72">
        <v>0</v>
      </c>
      <c r="DD669" s="72">
        <v>0</v>
      </c>
      <c r="DE669" s="72">
        <v>0</v>
      </c>
      <c r="DF669" s="72">
        <v>0</v>
      </c>
      <c r="DG669" s="72">
        <v>0</v>
      </c>
      <c r="DH669" s="72">
        <v>0</v>
      </c>
      <c r="DI669" s="72">
        <v>0</v>
      </c>
      <c r="DJ669" s="72">
        <v>0</v>
      </c>
      <c r="DK669" s="72">
        <v>0</v>
      </c>
      <c r="DL669" s="72">
        <v>0</v>
      </c>
      <c r="DM669" s="72">
        <v>0</v>
      </c>
      <c r="DN669" s="72">
        <v>0</v>
      </c>
      <c r="DO669" s="72">
        <v>0</v>
      </c>
      <c r="DP669" s="72">
        <v>0</v>
      </c>
      <c r="DQ669" s="72">
        <v>0</v>
      </c>
      <c r="DR669" s="72">
        <v>0</v>
      </c>
      <c r="DS669" s="72">
        <v>0</v>
      </c>
      <c r="DT669" s="72">
        <v>0</v>
      </c>
      <c r="DU669" s="72">
        <v>0</v>
      </c>
      <c r="DV669" s="72">
        <v>0</v>
      </c>
      <c r="DW669" s="72">
        <v>0</v>
      </c>
      <c r="DX669" s="72">
        <v>0</v>
      </c>
      <c r="DY669" s="72">
        <v>0</v>
      </c>
      <c r="DZ669" s="72">
        <v>0</v>
      </c>
      <c r="EA669" s="72">
        <v>0</v>
      </c>
      <c r="EB669" s="72">
        <v>0</v>
      </c>
      <c r="EC669" s="72">
        <v>0</v>
      </c>
      <c r="ED669" s="72">
        <v>0</v>
      </c>
      <c r="EE669" s="72">
        <v>0</v>
      </c>
      <c r="EF669" s="72">
        <v>0</v>
      </c>
      <c r="EG669" s="72">
        <v>0</v>
      </c>
      <c r="EH669" s="72">
        <v>0</v>
      </c>
      <c r="EI669" s="72">
        <v>0</v>
      </c>
      <c r="EJ669" s="72">
        <v>0</v>
      </c>
      <c r="EK669" s="72">
        <v>0</v>
      </c>
      <c r="EL669" s="72">
        <v>0</v>
      </c>
    </row>
    <row r="670" spans="1:142" x14ac:dyDescent="0.35">
      <c r="A670" s="59">
        <f>Данные!A670</f>
        <v>5762</v>
      </c>
      <c r="B670" s="59">
        <f>Данные!B670</f>
        <v>2018</v>
      </c>
      <c r="C670" s="59" t="str">
        <f>Данные!C670</f>
        <v>компьютерных технологий и электронного обучения</v>
      </c>
      <c r="D670" s="59" t="str">
        <f>Данные!D670</f>
        <v>Атаян Ануш Михайловна</v>
      </c>
      <c r="E670" s="59" t="str">
        <f>Данные!E670</f>
        <v>кандидат педагогических наук</v>
      </c>
      <c r="F670" s="59" t="str">
        <f>Данные!F670</f>
        <v>доцент</v>
      </c>
      <c r="G670" s="59">
        <f>Данные!G670</f>
        <v>1</v>
      </c>
      <c r="H670" s="59">
        <f>Данные!H670</f>
        <v>17248</v>
      </c>
      <c r="I670" s="59" t="str">
        <f>Данные!I670</f>
        <v>Модуль "IT-решения и инструменты в образовании". Дисциплины и курсы по выбору. Электронный документооборот образовательного учреждения</v>
      </c>
      <c r="J670" s="59">
        <f>Данные!J670</f>
        <v>0</v>
      </c>
      <c r="K670" s="59">
        <f>Данные!K670</f>
        <v>9</v>
      </c>
      <c r="L670" s="59">
        <f>Данные!L670</f>
        <v>0</v>
      </c>
      <c r="M670" s="60">
        <f t="shared" si="90"/>
        <v>0.9</v>
      </c>
      <c r="N670" s="60">
        <f t="shared" ca="1" si="91"/>
        <v>5.3000000000000007</v>
      </c>
      <c r="O670" s="60">
        <f t="shared" ca="1" si="92"/>
        <v>2.5</v>
      </c>
      <c r="P670" s="60">
        <f t="shared" ca="1" si="93"/>
        <v>2.5</v>
      </c>
      <c r="Q670" s="54">
        <f>Данные!Q670</f>
        <v>0</v>
      </c>
      <c r="R670" s="54">
        <f>Данные!R670</f>
        <v>0</v>
      </c>
      <c r="S670" s="54">
        <f>Данные!S670</f>
        <v>0</v>
      </c>
      <c r="T670" s="54">
        <f>Данные!T670</f>
        <v>0</v>
      </c>
      <c r="U670" s="54">
        <f>Данные!U670</f>
        <v>0</v>
      </c>
      <c r="V670" s="54">
        <f>Данные!V670</f>
        <v>0</v>
      </c>
      <c r="W670" s="54">
        <f ca="1">Данные!W670</f>
        <v>10</v>
      </c>
      <c r="X670" s="54" t="str">
        <f ca="1">Данные!X670</f>
        <v>1</v>
      </c>
      <c r="Y670" s="54" t="str">
        <f ca="1">Данные!Y670</f>
        <v>1</v>
      </c>
      <c r="Z670" s="54">
        <f>Данные!Z670</f>
        <v>0</v>
      </c>
      <c r="AA670" s="54" t="str">
        <f>Данные!AA670</f>
        <v>осн</v>
      </c>
      <c r="AB670" s="101">
        <f t="shared" si="94"/>
        <v>800</v>
      </c>
      <c r="AC670" s="101" t="str">
        <f t="shared" si="95"/>
        <v>КЭО (маг)</v>
      </c>
      <c r="AD670" s="101" t="str">
        <f t="shared" si="96"/>
        <v/>
      </c>
      <c r="AE670" s="102">
        <f t="shared" ca="1" si="97"/>
        <v>20.200000000000003</v>
      </c>
      <c r="AF670" s="103">
        <f t="shared" ca="1" si="98"/>
        <v>2.5250000000000005E-2</v>
      </c>
      <c r="AG670" s="101"/>
      <c r="AH670" s="101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Q670" s="72">
        <v>0</v>
      </c>
      <c r="BR670" s="72">
        <v>0</v>
      </c>
      <c r="BS670" s="72">
        <v>0</v>
      </c>
      <c r="BT670" s="72">
        <v>0</v>
      </c>
      <c r="BU670" s="72">
        <v>0</v>
      </c>
      <c r="BV670" s="72">
        <v>0</v>
      </c>
      <c r="BW670" s="72">
        <v>0</v>
      </c>
      <c r="BX670" s="72">
        <v>0</v>
      </c>
      <c r="BY670" s="72">
        <v>0</v>
      </c>
      <c r="BZ670" s="72">
        <v>0</v>
      </c>
      <c r="CA670" s="72">
        <v>0</v>
      </c>
      <c r="CB670" s="72">
        <v>0</v>
      </c>
      <c r="CC670" s="72">
        <v>0</v>
      </c>
      <c r="CD670" s="72">
        <v>0</v>
      </c>
      <c r="CE670" s="72">
        <v>0</v>
      </c>
      <c r="CF670" s="72">
        <v>0</v>
      </c>
      <c r="CG670" s="72">
        <v>0</v>
      </c>
      <c r="CH670" s="72">
        <v>0</v>
      </c>
      <c r="CI670" s="72">
        <v>0</v>
      </c>
      <c r="CJ670" s="72">
        <v>0</v>
      </c>
      <c r="CK670" s="72">
        <v>0</v>
      </c>
      <c r="CL670" s="72">
        <v>0</v>
      </c>
      <c r="CM670" s="72">
        <v>0</v>
      </c>
      <c r="CN670" s="72">
        <v>0</v>
      </c>
      <c r="CO670" s="72">
        <v>0</v>
      </c>
      <c r="CP670" s="72">
        <v>0</v>
      </c>
      <c r="CQ670" s="72">
        <v>0</v>
      </c>
      <c r="CR670" s="72">
        <v>0</v>
      </c>
      <c r="CS670" s="72">
        <v>0</v>
      </c>
      <c r="CT670" s="72">
        <v>0</v>
      </c>
      <c r="CU670" s="72">
        <v>0</v>
      </c>
      <c r="CV670" s="72">
        <v>0</v>
      </c>
      <c r="CW670" s="72">
        <v>0</v>
      </c>
      <c r="CX670" s="72">
        <v>0</v>
      </c>
      <c r="CY670" s="72">
        <v>0</v>
      </c>
      <c r="CZ670" s="72">
        <v>0</v>
      </c>
      <c r="DA670" s="72">
        <v>0</v>
      </c>
      <c r="DB670" s="72">
        <v>0</v>
      </c>
      <c r="DC670" s="72">
        <v>0</v>
      </c>
      <c r="DD670" s="72">
        <v>0</v>
      </c>
      <c r="DE670" s="72">
        <v>0</v>
      </c>
      <c r="DF670" s="72">
        <v>0</v>
      </c>
      <c r="DG670" s="72">
        <v>0</v>
      </c>
      <c r="DH670" s="72">
        <v>0</v>
      </c>
      <c r="DI670" s="72">
        <v>0</v>
      </c>
      <c r="DJ670" s="72">
        <v>0</v>
      </c>
      <c r="DK670" s="72">
        <v>0</v>
      </c>
      <c r="DL670" s="72">
        <v>0</v>
      </c>
      <c r="DM670" s="72">
        <v>0</v>
      </c>
      <c r="DN670" s="72">
        <v>0</v>
      </c>
      <c r="DO670" s="72">
        <v>0</v>
      </c>
      <c r="DP670" s="72">
        <v>0</v>
      </c>
      <c r="DQ670" s="72">
        <v>0</v>
      </c>
      <c r="DR670" s="72">
        <v>0</v>
      </c>
      <c r="DS670" s="72">
        <v>0</v>
      </c>
      <c r="DT670" s="72">
        <v>0</v>
      </c>
      <c r="DU670" s="72">
        <v>0</v>
      </c>
      <c r="DV670" s="72">
        <v>0</v>
      </c>
      <c r="DW670" s="72">
        <v>0</v>
      </c>
      <c r="DX670" s="72">
        <v>0</v>
      </c>
      <c r="DY670" s="72">
        <v>0</v>
      </c>
      <c r="DZ670" s="72">
        <v>0</v>
      </c>
      <c r="EA670" s="72">
        <v>0</v>
      </c>
      <c r="EB670" s="72">
        <v>0</v>
      </c>
      <c r="EC670" s="72">
        <v>0</v>
      </c>
      <c r="ED670" s="72">
        <v>0</v>
      </c>
      <c r="EE670" s="72">
        <v>0</v>
      </c>
      <c r="EF670" s="72">
        <v>0</v>
      </c>
      <c r="EG670" s="72">
        <v>0</v>
      </c>
      <c r="EH670" s="72">
        <v>0</v>
      </c>
      <c r="EI670" s="72">
        <v>0</v>
      </c>
      <c r="EJ670" s="72">
        <v>0</v>
      </c>
      <c r="EK670" s="72">
        <v>0</v>
      </c>
      <c r="EL670" s="72">
        <v>0</v>
      </c>
    </row>
    <row r="671" spans="1:142" x14ac:dyDescent="0.35">
      <c r="A671" s="59">
        <f>Данные!A671</f>
        <v>5762</v>
      </c>
      <c r="B671" s="59">
        <f>Данные!B671</f>
        <v>2018</v>
      </c>
      <c r="C671" s="59" t="str">
        <f>Данные!C671</f>
        <v>компьютерных технологий и электронного обучения</v>
      </c>
      <c r="D671" s="59" t="str">
        <f>Данные!D671</f>
        <v>Власова Елена Зотиковна</v>
      </c>
      <c r="E671" s="59" t="str">
        <f>Данные!E671</f>
        <v>доктор педагогических наук</v>
      </c>
      <c r="F671" s="59" t="str">
        <f>Данные!F671</f>
        <v>заведующий кафедрой</v>
      </c>
      <c r="G671" s="59">
        <f>Данные!G671</f>
        <v>1</v>
      </c>
      <c r="H671" s="59">
        <f>Данные!H671</f>
        <v>17248</v>
      </c>
      <c r="I671" s="59" t="str">
        <f>Данные!I671</f>
        <v>Модуль "SMART-обучение"</v>
      </c>
      <c r="J671" s="59">
        <f>Данные!J671</f>
        <v>0</v>
      </c>
      <c r="K671" s="59">
        <f>Данные!K671</f>
        <v>0</v>
      </c>
      <c r="L671" s="59">
        <f>Данные!L671</f>
        <v>0</v>
      </c>
      <c r="M671" s="60">
        <f t="shared" si="90"/>
        <v>0</v>
      </c>
      <c r="N671" s="60">
        <f t="shared" ca="1" si="91"/>
        <v>5.3000000000000007</v>
      </c>
      <c r="O671" s="60">
        <f t="shared" ca="1" si="92"/>
        <v>2.5</v>
      </c>
      <c r="P671" s="60">
        <f t="shared" ca="1" si="93"/>
        <v>2.5</v>
      </c>
      <c r="Q671" s="54">
        <f>Данные!Q671</f>
        <v>0</v>
      </c>
      <c r="R671" s="54">
        <f>Данные!R671</f>
        <v>0</v>
      </c>
      <c r="S671" s="54">
        <f>Данные!S671</f>
        <v>0</v>
      </c>
      <c r="T671" s="54">
        <f>Данные!T671</f>
        <v>0</v>
      </c>
      <c r="U671" s="54">
        <f>Данные!U671</f>
        <v>0</v>
      </c>
      <c r="V671" s="54">
        <f>Данные!V671</f>
        <v>0</v>
      </c>
      <c r="W671" s="54">
        <f ca="1">Данные!W671</f>
        <v>10</v>
      </c>
      <c r="X671" s="54" t="str">
        <f ca="1">Данные!X671</f>
        <v>1</v>
      </c>
      <c r="Y671" s="54" t="str">
        <f ca="1">Данные!Y671</f>
        <v>1</v>
      </c>
      <c r="Z671" s="54">
        <f>Данные!Z671</f>
        <v>0</v>
      </c>
      <c r="AA671" s="54" t="str">
        <f>Данные!AA671</f>
        <v>доп</v>
      </c>
      <c r="AB671" s="101">
        <f t="shared" si="94"/>
        <v>700</v>
      </c>
      <c r="AC671" s="101" t="str">
        <f t="shared" si="95"/>
        <v>КЭО (маг)</v>
      </c>
      <c r="AD671" s="101" t="str">
        <f t="shared" si="96"/>
        <v/>
      </c>
      <c r="AE671" s="102">
        <f t="shared" ca="1" si="97"/>
        <v>10.3</v>
      </c>
      <c r="AF671" s="103">
        <f t="shared" ca="1" si="98"/>
        <v>1.4714285714285714E-2</v>
      </c>
      <c r="AG671" s="101"/>
      <c r="AH671" s="10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Q671" s="72">
        <v>0</v>
      </c>
      <c r="BR671" s="72">
        <v>0</v>
      </c>
      <c r="BS671" s="72">
        <v>0</v>
      </c>
      <c r="BT671" s="72">
        <v>0</v>
      </c>
      <c r="BU671" s="72">
        <v>0</v>
      </c>
      <c r="BV671" s="72">
        <v>0</v>
      </c>
      <c r="BW671" s="72">
        <v>0</v>
      </c>
      <c r="BX671" s="72">
        <v>0</v>
      </c>
      <c r="BY671" s="72">
        <v>0</v>
      </c>
      <c r="BZ671" s="72">
        <v>0</v>
      </c>
      <c r="CA671" s="72">
        <v>0</v>
      </c>
      <c r="CB671" s="72">
        <v>0</v>
      </c>
      <c r="CC671" s="72">
        <v>0</v>
      </c>
      <c r="CD671" s="72">
        <v>0</v>
      </c>
      <c r="CE671" s="72">
        <v>0</v>
      </c>
      <c r="CF671" s="72">
        <v>0</v>
      </c>
      <c r="CG671" s="72">
        <v>0</v>
      </c>
      <c r="CH671" s="72">
        <v>0</v>
      </c>
      <c r="CI671" s="72">
        <v>0</v>
      </c>
      <c r="CJ671" s="72">
        <v>0</v>
      </c>
      <c r="CK671" s="72">
        <v>0</v>
      </c>
      <c r="CL671" s="72">
        <v>0</v>
      </c>
      <c r="CM671" s="72">
        <v>0</v>
      </c>
      <c r="CN671" s="72">
        <v>0</v>
      </c>
      <c r="CO671" s="72">
        <v>0</v>
      </c>
      <c r="CP671" s="72">
        <v>0</v>
      </c>
      <c r="CQ671" s="72">
        <v>0</v>
      </c>
      <c r="CR671" s="72">
        <v>0</v>
      </c>
      <c r="CS671" s="72">
        <v>0</v>
      </c>
      <c r="CT671" s="72">
        <v>0</v>
      </c>
      <c r="CU671" s="72">
        <v>0</v>
      </c>
      <c r="CV671" s="72">
        <v>0</v>
      </c>
      <c r="CW671" s="72">
        <v>0</v>
      </c>
      <c r="CX671" s="72">
        <v>0</v>
      </c>
      <c r="CY671" s="72">
        <v>0</v>
      </c>
      <c r="CZ671" s="72">
        <v>0</v>
      </c>
      <c r="DA671" s="72">
        <v>0</v>
      </c>
      <c r="DB671" s="72">
        <v>0</v>
      </c>
      <c r="DC671" s="72">
        <v>0</v>
      </c>
      <c r="DD671" s="72">
        <v>0</v>
      </c>
      <c r="DE671" s="72">
        <v>0</v>
      </c>
      <c r="DF671" s="72">
        <v>0</v>
      </c>
      <c r="DG671" s="72">
        <v>0</v>
      </c>
      <c r="DH671" s="72">
        <v>0</v>
      </c>
      <c r="DI671" s="72">
        <v>0</v>
      </c>
      <c r="DJ671" s="72">
        <v>0</v>
      </c>
      <c r="DK671" s="72">
        <v>0</v>
      </c>
      <c r="DL671" s="72">
        <v>0</v>
      </c>
      <c r="DM671" s="72">
        <v>0</v>
      </c>
      <c r="DN671" s="72">
        <v>0</v>
      </c>
      <c r="DO671" s="72">
        <v>0</v>
      </c>
      <c r="DP671" s="72">
        <v>0</v>
      </c>
      <c r="DQ671" s="72">
        <v>0</v>
      </c>
      <c r="DR671" s="72">
        <v>0</v>
      </c>
      <c r="DS671" s="72">
        <v>0</v>
      </c>
      <c r="DT671" s="72">
        <v>0</v>
      </c>
      <c r="DU671" s="72">
        <v>0</v>
      </c>
      <c r="DV671" s="72">
        <v>0</v>
      </c>
      <c r="DW671" s="72">
        <v>0</v>
      </c>
      <c r="DX671" s="72">
        <v>0</v>
      </c>
      <c r="DY671" s="72">
        <v>0</v>
      </c>
      <c r="DZ671" s="72">
        <v>0</v>
      </c>
      <c r="EA671" s="72">
        <v>0</v>
      </c>
      <c r="EB671" s="72">
        <v>0</v>
      </c>
      <c r="EC671" s="72">
        <v>0</v>
      </c>
      <c r="ED671" s="72">
        <v>0</v>
      </c>
      <c r="EE671" s="72">
        <v>0</v>
      </c>
      <c r="EF671" s="72">
        <v>0</v>
      </c>
      <c r="EG671" s="72">
        <v>0</v>
      </c>
      <c r="EH671" s="72">
        <v>0</v>
      </c>
      <c r="EI671" s="72">
        <v>0</v>
      </c>
      <c r="EJ671" s="72">
        <v>0</v>
      </c>
      <c r="EK671" s="72">
        <v>0</v>
      </c>
      <c r="EL671" s="72">
        <v>0</v>
      </c>
    </row>
    <row r="672" spans="1:142" x14ac:dyDescent="0.35">
      <c r="A672" s="59">
        <f>Данные!A672</f>
        <v>5762</v>
      </c>
      <c r="B672" s="59">
        <f>Данные!B672</f>
        <v>2018</v>
      </c>
      <c r="C672" s="59" t="str">
        <f>Данные!C672</f>
        <v>компьютерных технологий и электронного обучения</v>
      </c>
      <c r="D672" s="59" t="str">
        <f>Данные!D672</f>
        <v>Власова Елена Зотиковна</v>
      </c>
      <c r="E672" s="59" t="str">
        <f>Данные!E672</f>
        <v>доктор педагогических наук</v>
      </c>
      <c r="F672" s="59" t="str">
        <f>Данные!F672</f>
        <v>заведующий кафедрой</v>
      </c>
      <c r="G672" s="59">
        <f>Данные!G672</f>
        <v>1</v>
      </c>
      <c r="H672" s="59">
        <f>Данные!H672</f>
        <v>17248</v>
      </c>
      <c r="I672" s="59" t="str">
        <f>Данные!I672</f>
        <v>Модуль "SMART-обучение". Инженерия знаний</v>
      </c>
      <c r="J672" s="59">
        <f>Данные!J672</f>
        <v>4</v>
      </c>
      <c r="K672" s="59">
        <f>Данные!K672</f>
        <v>0</v>
      </c>
      <c r="L672" s="59">
        <f>Данные!L672</f>
        <v>0</v>
      </c>
      <c r="M672" s="60">
        <f t="shared" si="90"/>
        <v>0.4</v>
      </c>
      <c r="N672" s="60">
        <f t="shared" ca="1" si="91"/>
        <v>5.3000000000000007</v>
      </c>
      <c r="O672" s="60">
        <f t="shared" ca="1" si="92"/>
        <v>2.5</v>
      </c>
      <c r="P672" s="60">
        <f t="shared" ca="1" si="93"/>
        <v>2.5</v>
      </c>
      <c r="Q672" s="54">
        <f>Данные!Q672</f>
        <v>0</v>
      </c>
      <c r="R672" s="54">
        <f>Данные!R672</f>
        <v>0</v>
      </c>
      <c r="S672" s="54">
        <f>Данные!S672</f>
        <v>0</v>
      </c>
      <c r="T672" s="54">
        <f>Данные!T672</f>
        <v>0</v>
      </c>
      <c r="U672" s="54">
        <f>Данные!U672</f>
        <v>0</v>
      </c>
      <c r="V672" s="54">
        <f>Данные!V672</f>
        <v>0</v>
      </c>
      <c r="W672" s="54">
        <f ca="1">Данные!W672</f>
        <v>10</v>
      </c>
      <c r="X672" s="54" t="str">
        <f ca="1">Данные!X672</f>
        <v>1</v>
      </c>
      <c r="Y672" s="54" t="str">
        <f ca="1">Данные!Y672</f>
        <v>1</v>
      </c>
      <c r="Z672" s="54">
        <f>Данные!Z672</f>
        <v>0</v>
      </c>
      <c r="AA672" s="54" t="str">
        <f>Данные!AA672</f>
        <v>осн</v>
      </c>
      <c r="AB672" s="101">
        <f t="shared" si="94"/>
        <v>700</v>
      </c>
      <c r="AC672" s="101" t="str">
        <f t="shared" si="95"/>
        <v>КЭО (маг)</v>
      </c>
      <c r="AD672" s="101" t="str">
        <f t="shared" si="96"/>
        <v/>
      </c>
      <c r="AE672" s="102">
        <f t="shared" ca="1" si="97"/>
        <v>14.700000000000001</v>
      </c>
      <c r="AF672" s="103">
        <f t="shared" ca="1" si="98"/>
        <v>2.1000000000000001E-2</v>
      </c>
      <c r="AG672" s="101"/>
      <c r="AH672" s="101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Q672" s="72">
        <v>0</v>
      </c>
      <c r="BR672" s="72">
        <v>0</v>
      </c>
      <c r="BS672" s="72">
        <v>0</v>
      </c>
      <c r="BT672" s="72">
        <v>0</v>
      </c>
      <c r="BU672" s="72">
        <v>0</v>
      </c>
      <c r="BV672" s="72">
        <v>0</v>
      </c>
      <c r="BW672" s="72">
        <v>0</v>
      </c>
      <c r="BX672" s="72">
        <v>0</v>
      </c>
      <c r="BY672" s="72">
        <v>0</v>
      </c>
      <c r="BZ672" s="72">
        <v>0</v>
      </c>
      <c r="CA672" s="72">
        <v>0</v>
      </c>
      <c r="CB672" s="72">
        <v>0</v>
      </c>
      <c r="CC672" s="72">
        <v>0</v>
      </c>
      <c r="CD672" s="72">
        <v>0</v>
      </c>
      <c r="CE672" s="72">
        <v>0</v>
      </c>
      <c r="CF672" s="72">
        <v>0</v>
      </c>
      <c r="CG672" s="72">
        <v>0</v>
      </c>
      <c r="CH672" s="72">
        <v>0</v>
      </c>
      <c r="CI672" s="72">
        <v>0</v>
      </c>
      <c r="CJ672" s="72">
        <v>0</v>
      </c>
      <c r="CK672" s="72">
        <v>0</v>
      </c>
      <c r="CL672" s="72">
        <v>0</v>
      </c>
      <c r="CM672" s="72">
        <v>0</v>
      </c>
      <c r="CN672" s="72">
        <v>0</v>
      </c>
      <c r="CO672" s="72">
        <v>0</v>
      </c>
      <c r="CP672" s="72">
        <v>0</v>
      </c>
      <c r="CQ672" s="72">
        <v>0</v>
      </c>
      <c r="CR672" s="72">
        <v>0</v>
      </c>
      <c r="CS672" s="72">
        <v>0</v>
      </c>
      <c r="CT672" s="72">
        <v>0</v>
      </c>
      <c r="CU672" s="72">
        <v>0</v>
      </c>
      <c r="CV672" s="72">
        <v>0</v>
      </c>
      <c r="CW672" s="72">
        <v>0</v>
      </c>
      <c r="CX672" s="72">
        <v>0</v>
      </c>
      <c r="CY672" s="72">
        <v>0</v>
      </c>
      <c r="CZ672" s="72">
        <v>0</v>
      </c>
      <c r="DA672" s="72">
        <v>0</v>
      </c>
      <c r="DB672" s="72">
        <v>0</v>
      </c>
      <c r="DC672" s="72">
        <v>0</v>
      </c>
      <c r="DD672" s="72">
        <v>0</v>
      </c>
      <c r="DE672" s="72">
        <v>0</v>
      </c>
      <c r="DF672" s="72">
        <v>0</v>
      </c>
      <c r="DG672" s="72">
        <v>0</v>
      </c>
      <c r="DH672" s="72">
        <v>0</v>
      </c>
      <c r="DI672" s="72">
        <v>0</v>
      </c>
      <c r="DJ672" s="72">
        <v>0</v>
      </c>
      <c r="DK672" s="72">
        <v>0</v>
      </c>
      <c r="DL672" s="72">
        <v>0</v>
      </c>
      <c r="DM672" s="72">
        <v>0</v>
      </c>
      <c r="DN672" s="72">
        <v>0</v>
      </c>
      <c r="DO672" s="72">
        <v>0</v>
      </c>
      <c r="DP672" s="72">
        <v>0</v>
      </c>
      <c r="DQ672" s="72">
        <v>0</v>
      </c>
      <c r="DR672" s="72">
        <v>0</v>
      </c>
      <c r="DS672" s="72">
        <v>0</v>
      </c>
      <c r="DT672" s="72">
        <v>0</v>
      </c>
      <c r="DU672" s="72">
        <v>0</v>
      </c>
      <c r="DV672" s="72">
        <v>0</v>
      </c>
      <c r="DW672" s="72">
        <v>0</v>
      </c>
      <c r="DX672" s="72">
        <v>0</v>
      </c>
      <c r="DY672" s="72">
        <v>0</v>
      </c>
      <c r="DZ672" s="72">
        <v>0</v>
      </c>
      <c r="EA672" s="72">
        <v>0</v>
      </c>
      <c r="EB672" s="72">
        <v>0</v>
      </c>
      <c r="EC672" s="72">
        <v>0</v>
      </c>
      <c r="ED672" s="72">
        <v>0</v>
      </c>
      <c r="EE672" s="72">
        <v>0</v>
      </c>
      <c r="EF672" s="72">
        <v>0</v>
      </c>
      <c r="EG672" s="72">
        <v>0</v>
      </c>
      <c r="EH672" s="72">
        <v>0</v>
      </c>
      <c r="EI672" s="72">
        <v>0</v>
      </c>
      <c r="EJ672" s="72">
        <v>0</v>
      </c>
      <c r="EK672" s="72">
        <v>0</v>
      </c>
      <c r="EL672" s="72">
        <v>0</v>
      </c>
    </row>
    <row r="673" spans="1:142" x14ac:dyDescent="0.35">
      <c r="A673" s="59">
        <f>Данные!A673</f>
        <v>5762</v>
      </c>
      <c r="B673" s="59">
        <f>Данные!B673</f>
        <v>2018</v>
      </c>
      <c r="C673" s="59" t="str">
        <f>Данные!C673</f>
        <v>компьютерных технологий и электронного обучения</v>
      </c>
      <c r="D673" s="59" t="str">
        <f>Данные!D673</f>
        <v>Власова Елена Зотиковна</v>
      </c>
      <c r="E673" s="59" t="str">
        <f>Данные!E673</f>
        <v>доктор педагогических наук</v>
      </c>
      <c r="F673" s="59" t="str">
        <f>Данные!F673</f>
        <v>заведующий кафедрой</v>
      </c>
      <c r="G673" s="59">
        <f>Данные!G673</f>
        <v>1</v>
      </c>
      <c r="H673" s="59">
        <f>Данные!H673</f>
        <v>17248</v>
      </c>
      <c r="I673" s="59" t="str">
        <f>Данные!I673</f>
        <v>Научно-исследовательская работа. Педагогическое образование. Магистерская программа "Корпоративное электронное обучение"</v>
      </c>
      <c r="J673" s="59">
        <f>Данные!J673</f>
        <v>0</v>
      </c>
      <c r="K673" s="59">
        <f>Данные!K673</f>
        <v>0</v>
      </c>
      <c r="L673" s="59">
        <f>Данные!L673</f>
        <v>0</v>
      </c>
      <c r="M673" s="60">
        <f t="shared" si="90"/>
        <v>0</v>
      </c>
      <c r="N673" s="60">
        <f t="shared" ca="1" si="91"/>
        <v>5.3000000000000007</v>
      </c>
      <c r="O673" s="60">
        <f t="shared" ca="1" si="92"/>
        <v>2.5</v>
      </c>
      <c r="P673" s="60">
        <f t="shared" ca="1" si="93"/>
        <v>2.5</v>
      </c>
      <c r="Q673" s="54">
        <f>Данные!Q673</f>
        <v>0</v>
      </c>
      <c r="R673" s="54">
        <f>Данные!R673</f>
        <v>0</v>
      </c>
      <c r="S673" s="54">
        <f>Данные!S673</f>
        <v>0</v>
      </c>
      <c r="T673" s="54">
        <f>Данные!T673</f>
        <v>0</v>
      </c>
      <c r="U673" s="54">
        <f>Данные!U673</f>
        <v>12</v>
      </c>
      <c r="V673" s="54">
        <f>Данные!V673</f>
        <v>0</v>
      </c>
      <c r="W673" s="54">
        <f ca="1">Данные!W673</f>
        <v>10</v>
      </c>
      <c r="X673" s="54" t="str">
        <f ca="1">Данные!X673</f>
        <v>1</v>
      </c>
      <c r="Y673" s="54" t="str">
        <f ca="1">Данные!Y673</f>
        <v>1</v>
      </c>
      <c r="Z673" s="54">
        <f>Данные!Z673</f>
        <v>0</v>
      </c>
      <c r="AA673" s="54" t="str">
        <f>Данные!AA673</f>
        <v>осн</v>
      </c>
      <c r="AB673" s="101">
        <f t="shared" si="94"/>
        <v>700</v>
      </c>
      <c r="AC673" s="101" t="str">
        <f t="shared" si="95"/>
        <v>КЭО (маг)</v>
      </c>
      <c r="AD673" s="101" t="str">
        <f t="shared" si="96"/>
        <v/>
      </c>
      <c r="AE673" s="102">
        <f t="shared" ca="1" si="97"/>
        <v>22.3</v>
      </c>
      <c r="AF673" s="103">
        <f t="shared" ca="1" si="98"/>
        <v>3.1857142857142855E-2</v>
      </c>
      <c r="AG673" s="101"/>
      <c r="AH673" s="101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Q673" s="72">
        <v>0</v>
      </c>
      <c r="BR673" s="72">
        <v>0</v>
      </c>
      <c r="BS673" s="72">
        <v>0</v>
      </c>
      <c r="BT673" s="72">
        <v>0</v>
      </c>
      <c r="BU673" s="72">
        <v>0</v>
      </c>
      <c r="BV673" s="72">
        <v>0</v>
      </c>
      <c r="BW673" s="72">
        <v>0</v>
      </c>
      <c r="BX673" s="72">
        <v>0</v>
      </c>
      <c r="BY673" s="72">
        <v>0</v>
      </c>
      <c r="BZ673" s="72">
        <v>0</v>
      </c>
      <c r="CA673" s="72">
        <v>0</v>
      </c>
      <c r="CB673" s="72">
        <v>0</v>
      </c>
      <c r="CC673" s="72">
        <v>0</v>
      </c>
      <c r="CD673" s="72">
        <v>0</v>
      </c>
      <c r="CE673" s="72">
        <v>0</v>
      </c>
      <c r="CF673" s="72">
        <v>0</v>
      </c>
      <c r="CG673" s="72">
        <v>0</v>
      </c>
      <c r="CH673" s="72">
        <v>0</v>
      </c>
      <c r="CI673" s="72">
        <v>0</v>
      </c>
      <c r="CJ673" s="72">
        <v>0</v>
      </c>
      <c r="CK673" s="72">
        <v>0</v>
      </c>
      <c r="CL673" s="72">
        <v>0</v>
      </c>
      <c r="CM673" s="72">
        <v>0</v>
      </c>
      <c r="CN673" s="72">
        <v>0</v>
      </c>
      <c r="CO673" s="72">
        <v>0</v>
      </c>
      <c r="CP673" s="72">
        <v>0</v>
      </c>
      <c r="CQ673" s="72">
        <v>0</v>
      </c>
      <c r="CR673" s="72">
        <v>0</v>
      </c>
      <c r="CS673" s="72">
        <v>0</v>
      </c>
      <c r="CT673" s="72">
        <v>0</v>
      </c>
      <c r="CU673" s="72">
        <v>0</v>
      </c>
      <c r="CV673" s="72">
        <v>0</v>
      </c>
      <c r="CW673" s="72">
        <v>0</v>
      </c>
      <c r="CX673" s="72">
        <v>0</v>
      </c>
      <c r="CY673" s="72">
        <v>0</v>
      </c>
      <c r="CZ673" s="72">
        <v>0</v>
      </c>
      <c r="DA673" s="72">
        <v>0</v>
      </c>
      <c r="DB673" s="72">
        <v>0</v>
      </c>
      <c r="DC673" s="72">
        <v>0</v>
      </c>
      <c r="DD673" s="72">
        <v>0</v>
      </c>
      <c r="DE673" s="72">
        <v>0</v>
      </c>
      <c r="DF673" s="72">
        <v>0</v>
      </c>
      <c r="DG673" s="72">
        <v>0</v>
      </c>
      <c r="DH673" s="72">
        <v>0</v>
      </c>
      <c r="DI673" s="72">
        <v>0</v>
      </c>
      <c r="DJ673" s="72">
        <v>0</v>
      </c>
      <c r="DK673" s="72">
        <v>0</v>
      </c>
      <c r="DL673" s="72">
        <v>0</v>
      </c>
      <c r="DM673" s="72">
        <v>0</v>
      </c>
      <c r="DN673" s="72">
        <v>0</v>
      </c>
      <c r="DO673" s="72">
        <v>0</v>
      </c>
      <c r="DP673" s="72">
        <v>0</v>
      </c>
      <c r="DQ673" s="72">
        <v>0</v>
      </c>
      <c r="DR673" s="72">
        <v>0</v>
      </c>
      <c r="DS673" s="72">
        <v>0</v>
      </c>
      <c r="DT673" s="72">
        <v>0</v>
      </c>
      <c r="DU673" s="72">
        <v>0</v>
      </c>
      <c r="DV673" s="72">
        <v>0</v>
      </c>
      <c r="DW673" s="72">
        <v>0</v>
      </c>
      <c r="DX673" s="72">
        <v>0</v>
      </c>
      <c r="DY673" s="72">
        <v>0</v>
      </c>
      <c r="DZ673" s="72">
        <v>0</v>
      </c>
      <c r="EA673" s="72">
        <v>0</v>
      </c>
      <c r="EB673" s="72">
        <v>0</v>
      </c>
      <c r="EC673" s="72">
        <v>0</v>
      </c>
      <c r="ED673" s="72">
        <v>0</v>
      </c>
      <c r="EE673" s="72">
        <v>0</v>
      </c>
      <c r="EF673" s="72">
        <v>0</v>
      </c>
      <c r="EG673" s="72">
        <v>0</v>
      </c>
      <c r="EH673" s="72">
        <v>0</v>
      </c>
      <c r="EI673" s="72">
        <v>0</v>
      </c>
      <c r="EJ673" s="72">
        <v>0</v>
      </c>
      <c r="EK673" s="72">
        <v>0</v>
      </c>
      <c r="EL673" s="72">
        <v>0</v>
      </c>
    </row>
    <row r="674" spans="1:142" x14ac:dyDescent="0.35">
      <c r="A674" s="59">
        <f>Данные!A674</f>
        <v>5762</v>
      </c>
      <c r="B674" s="59">
        <f>Данные!B674</f>
        <v>2018</v>
      </c>
      <c r="C674" s="59" t="str">
        <f>Данные!C674</f>
        <v>компьютерных технологий и электронного обучения</v>
      </c>
      <c r="D674" s="59" t="str">
        <f>Данные!D674</f>
        <v>Власова Елена Зотиковна</v>
      </c>
      <c r="E674" s="59" t="str">
        <f>Данные!E674</f>
        <v>доктор педагогических наук</v>
      </c>
      <c r="F674" s="59" t="str">
        <f>Данные!F674</f>
        <v>заведующий кафедрой</v>
      </c>
      <c r="G674" s="59">
        <f>Данные!G674</f>
        <v>1</v>
      </c>
      <c r="H674" s="59">
        <f>Данные!H674</f>
        <v>17248</v>
      </c>
      <c r="I674" s="59" t="str">
        <f>Данные!I674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74" s="59">
        <f>Данные!J674</f>
        <v>0</v>
      </c>
      <c r="K674" s="59">
        <f>Данные!K674</f>
        <v>0</v>
      </c>
      <c r="L674" s="59">
        <f>Данные!L674</f>
        <v>0</v>
      </c>
      <c r="M674" s="60">
        <f t="shared" si="90"/>
        <v>0</v>
      </c>
      <c r="N674" s="60">
        <f t="shared" ca="1" si="91"/>
        <v>5.3000000000000007</v>
      </c>
      <c r="O674" s="60">
        <f t="shared" ca="1" si="92"/>
        <v>2.5</v>
      </c>
      <c r="P674" s="60">
        <f t="shared" ca="1" si="93"/>
        <v>2.5</v>
      </c>
      <c r="Q674" s="54">
        <f>Данные!Q674</f>
        <v>0</v>
      </c>
      <c r="R674" s="54">
        <f>Данные!R674</f>
        <v>8</v>
      </c>
      <c r="S674" s="54">
        <f>Данные!S674</f>
        <v>8</v>
      </c>
      <c r="T674" s="54">
        <f>Данные!T674</f>
        <v>0</v>
      </c>
      <c r="U674" s="54">
        <f>Данные!U674</f>
        <v>0</v>
      </c>
      <c r="V674" s="54">
        <f>Данные!V674</f>
        <v>66</v>
      </c>
      <c r="W674" s="54">
        <f ca="1">Данные!W674</f>
        <v>10</v>
      </c>
      <c r="X674" s="54" t="str">
        <f ca="1">Данные!X674</f>
        <v>1</v>
      </c>
      <c r="Y674" s="54" t="str">
        <f ca="1">Данные!Y674</f>
        <v>1</v>
      </c>
      <c r="Z674" s="54">
        <f>Данные!Z674</f>
        <v>0</v>
      </c>
      <c r="AA674" s="54">
        <f>Данные!AA674</f>
        <v>0</v>
      </c>
      <c r="AB674" s="101">
        <f t="shared" si="94"/>
        <v>700</v>
      </c>
      <c r="AC674" s="101" t="str">
        <f t="shared" si="95"/>
        <v>КЭО (маг)</v>
      </c>
      <c r="AD674" s="101" t="str">
        <f t="shared" si="96"/>
        <v/>
      </c>
      <c r="AE674" s="102">
        <f t="shared" ca="1" si="97"/>
        <v>92.3</v>
      </c>
      <c r="AF674" s="103">
        <f t="shared" ca="1" si="98"/>
        <v>0.13185714285714284</v>
      </c>
      <c r="AG674" s="101"/>
      <c r="AH674" s="101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Q674" s="72">
        <v>0</v>
      </c>
      <c r="BR674" s="72">
        <v>0</v>
      </c>
      <c r="BS674" s="72">
        <v>0</v>
      </c>
      <c r="BT674" s="72">
        <v>0</v>
      </c>
      <c r="BU674" s="72">
        <v>0</v>
      </c>
      <c r="BV674" s="72">
        <v>0</v>
      </c>
      <c r="BW674" s="72">
        <v>0</v>
      </c>
      <c r="BX674" s="72">
        <v>0</v>
      </c>
      <c r="BY674" s="72">
        <v>0</v>
      </c>
      <c r="BZ674" s="72">
        <v>0</v>
      </c>
      <c r="CA674" s="72">
        <v>0</v>
      </c>
      <c r="CB674" s="72">
        <v>0</v>
      </c>
      <c r="CC674" s="72">
        <v>0</v>
      </c>
      <c r="CD674" s="72">
        <v>0</v>
      </c>
      <c r="CE674" s="72">
        <v>0</v>
      </c>
      <c r="CF674" s="72">
        <v>0</v>
      </c>
      <c r="CG674" s="72">
        <v>0</v>
      </c>
      <c r="CH674" s="72">
        <v>0</v>
      </c>
      <c r="CI674" s="72">
        <v>0</v>
      </c>
      <c r="CJ674" s="72">
        <v>0</v>
      </c>
      <c r="CK674" s="72">
        <v>0</v>
      </c>
      <c r="CL674" s="72">
        <v>0</v>
      </c>
      <c r="CM674" s="72">
        <v>0</v>
      </c>
      <c r="CN674" s="72">
        <v>0</v>
      </c>
      <c r="CO674" s="72">
        <v>0</v>
      </c>
      <c r="CP674" s="72">
        <v>0</v>
      </c>
      <c r="CQ674" s="72">
        <v>0</v>
      </c>
      <c r="CR674" s="72">
        <v>0</v>
      </c>
      <c r="CS674" s="72">
        <v>0</v>
      </c>
      <c r="CT674" s="72">
        <v>0</v>
      </c>
      <c r="CU674" s="72">
        <v>0</v>
      </c>
      <c r="CV674" s="72">
        <v>0</v>
      </c>
      <c r="CW674" s="72">
        <v>0</v>
      </c>
      <c r="CX674" s="72">
        <v>0</v>
      </c>
      <c r="CY674" s="72">
        <v>0</v>
      </c>
      <c r="CZ674" s="72">
        <v>0</v>
      </c>
      <c r="DA674" s="72">
        <v>0</v>
      </c>
      <c r="DB674" s="72">
        <v>0</v>
      </c>
      <c r="DC674" s="72">
        <v>0</v>
      </c>
      <c r="DD674" s="72">
        <v>0</v>
      </c>
      <c r="DE674" s="72">
        <v>0</v>
      </c>
      <c r="DF674" s="72">
        <v>0</v>
      </c>
      <c r="DG674" s="72">
        <v>0</v>
      </c>
      <c r="DH674" s="72">
        <v>0</v>
      </c>
      <c r="DI674" s="72">
        <v>0</v>
      </c>
      <c r="DJ674" s="72">
        <v>0</v>
      </c>
      <c r="DK674" s="72">
        <v>0</v>
      </c>
      <c r="DL674" s="72">
        <v>0</v>
      </c>
      <c r="DM674" s="72">
        <v>0</v>
      </c>
      <c r="DN674" s="72">
        <v>0</v>
      </c>
      <c r="DO674" s="72">
        <v>0</v>
      </c>
      <c r="DP674" s="72">
        <v>0</v>
      </c>
      <c r="DQ674" s="72">
        <v>0</v>
      </c>
      <c r="DR674" s="72">
        <v>0</v>
      </c>
      <c r="DS674" s="72">
        <v>0</v>
      </c>
      <c r="DT674" s="72">
        <v>0</v>
      </c>
      <c r="DU674" s="72">
        <v>0</v>
      </c>
      <c r="DV674" s="72">
        <v>0</v>
      </c>
      <c r="DW674" s="72">
        <v>0</v>
      </c>
      <c r="DX674" s="72">
        <v>0</v>
      </c>
      <c r="DY674" s="72">
        <v>0</v>
      </c>
      <c r="DZ674" s="72">
        <v>0</v>
      </c>
      <c r="EA674" s="72">
        <v>0</v>
      </c>
      <c r="EB674" s="72">
        <v>0</v>
      </c>
      <c r="EC674" s="72">
        <v>0</v>
      </c>
      <c r="ED674" s="72">
        <v>0</v>
      </c>
      <c r="EE674" s="72">
        <v>0</v>
      </c>
      <c r="EF674" s="72">
        <v>0</v>
      </c>
      <c r="EG674" s="72">
        <v>0</v>
      </c>
      <c r="EH674" s="72">
        <v>0</v>
      </c>
      <c r="EI674" s="72">
        <v>0</v>
      </c>
      <c r="EJ674" s="72">
        <v>0</v>
      </c>
      <c r="EK674" s="72">
        <v>0</v>
      </c>
      <c r="EL674" s="72">
        <v>0</v>
      </c>
    </row>
    <row r="675" spans="1:142" x14ac:dyDescent="0.35">
      <c r="A675" s="59">
        <f>Данные!A675</f>
        <v>5762</v>
      </c>
      <c r="B675" s="59">
        <f>Данные!B675</f>
        <v>2018</v>
      </c>
      <c r="C675" s="59" t="str">
        <f>Данные!C675</f>
        <v>компьютерных технологий и электронного обучения</v>
      </c>
      <c r="D675" s="59" t="str">
        <f>Данные!D675</f>
        <v>Власова Елена Зотиковна</v>
      </c>
      <c r="E675" s="59" t="str">
        <f>Данные!E675</f>
        <v>доктор педагогических наук</v>
      </c>
      <c r="F675" s="59" t="str">
        <f>Данные!F675</f>
        <v>заведующий кафедрой</v>
      </c>
      <c r="G675" s="59">
        <f>Данные!G675</f>
        <v>1</v>
      </c>
      <c r="H675" s="59">
        <f>Данные!H675</f>
        <v>17248</v>
      </c>
      <c r="I675" s="59" t="str">
        <f>Данные!I675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75" s="59">
        <f>Данные!J675</f>
        <v>0</v>
      </c>
      <c r="K675" s="59">
        <f>Данные!K675</f>
        <v>0</v>
      </c>
      <c r="L675" s="59">
        <f>Данные!L675</f>
        <v>0</v>
      </c>
      <c r="M675" s="60">
        <f t="shared" si="90"/>
        <v>0</v>
      </c>
      <c r="N675" s="60">
        <f t="shared" ca="1" si="91"/>
        <v>5.3000000000000007</v>
      </c>
      <c r="O675" s="60">
        <f t="shared" ca="1" si="92"/>
        <v>2.5</v>
      </c>
      <c r="P675" s="60">
        <f t="shared" ca="1" si="93"/>
        <v>2.5</v>
      </c>
      <c r="Q675" s="54">
        <f>Данные!Q675</f>
        <v>0</v>
      </c>
      <c r="R675" s="54">
        <f>Данные!R675</f>
        <v>0</v>
      </c>
      <c r="S675" s="54">
        <f>Данные!S675</f>
        <v>0</v>
      </c>
      <c r="T675" s="54">
        <f>Данные!T675</f>
        <v>0</v>
      </c>
      <c r="U675" s="54">
        <f>Данные!U675</f>
        <v>12</v>
      </c>
      <c r="V675" s="54">
        <f>Данные!V675</f>
        <v>0</v>
      </c>
      <c r="W675" s="54">
        <f ca="1">Данные!W675</f>
        <v>10</v>
      </c>
      <c r="X675" s="54" t="str">
        <f ca="1">Данные!X675</f>
        <v>1</v>
      </c>
      <c r="Y675" s="54" t="str">
        <f ca="1">Данные!Y675</f>
        <v>1</v>
      </c>
      <c r="Z675" s="54">
        <f>Данные!Z675</f>
        <v>0</v>
      </c>
      <c r="AA675" s="54" t="str">
        <f>Данные!AA675</f>
        <v>осн</v>
      </c>
      <c r="AB675" s="101">
        <f t="shared" si="94"/>
        <v>700</v>
      </c>
      <c r="AC675" s="101" t="str">
        <f t="shared" si="95"/>
        <v>КЭО (маг)</v>
      </c>
      <c r="AD675" s="101" t="str">
        <f t="shared" si="96"/>
        <v/>
      </c>
      <c r="AE675" s="102">
        <f t="shared" ca="1" si="97"/>
        <v>22.3</v>
      </c>
      <c r="AF675" s="103">
        <f t="shared" ca="1" si="98"/>
        <v>3.1857142857142855E-2</v>
      </c>
      <c r="AG675" s="101"/>
      <c r="AH675" s="101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Q675" s="72">
        <v>0</v>
      </c>
      <c r="BR675" s="72">
        <v>0</v>
      </c>
      <c r="BS675" s="72">
        <v>0</v>
      </c>
      <c r="BT675" s="72">
        <v>0</v>
      </c>
      <c r="BU675" s="72">
        <v>0</v>
      </c>
      <c r="BV675" s="72">
        <v>0</v>
      </c>
      <c r="BW675" s="72">
        <v>0</v>
      </c>
      <c r="BX675" s="72">
        <v>0</v>
      </c>
      <c r="BY675" s="72">
        <v>0</v>
      </c>
      <c r="BZ675" s="72">
        <v>0</v>
      </c>
      <c r="CA675" s="72">
        <v>0</v>
      </c>
      <c r="CB675" s="72">
        <v>0</v>
      </c>
      <c r="CC675" s="72">
        <v>0</v>
      </c>
      <c r="CD675" s="72">
        <v>0</v>
      </c>
      <c r="CE675" s="72">
        <v>0</v>
      </c>
      <c r="CF675" s="72">
        <v>0</v>
      </c>
      <c r="CG675" s="72">
        <v>0</v>
      </c>
      <c r="CH675" s="72">
        <v>0</v>
      </c>
      <c r="CI675" s="72">
        <v>0</v>
      </c>
      <c r="CJ675" s="72">
        <v>0</v>
      </c>
      <c r="CK675" s="72">
        <v>0</v>
      </c>
      <c r="CL675" s="72">
        <v>0</v>
      </c>
      <c r="CM675" s="72">
        <v>0</v>
      </c>
      <c r="CN675" s="72">
        <v>0</v>
      </c>
      <c r="CO675" s="72">
        <v>0</v>
      </c>
      <c r="CP675" s="72">
        <v>0</v>
      </c>
      <c r="CQ675" s="72">
        <v>0</v>
      </c>
      <c r="CR675" s="72">
        <v>0</v>
      </c>
      <c r="CS675" s="72">
        <v>0</v>
      </c>
      <c r="CT675" s="72">
        <v>0</v>
      </c>
      <c r="CU675" s="72">
        <v>0</v>
      </c>
      <c r="CV675" s="72">
        <v>0</v>
      </c>
      <c r="CW675" s="72">
        <v>0</v>
      </c>
      <c r="CX675" s="72">
        <v>0</v>
      </c>
      <c r="CY675" s="72">
        <v>0</v>
      </c>
      <c r="CZ675" s="72">
        <v>0</v>
      </c>
      <c r="DA675" s="72">
        <v>0</v>
      </c>
      <c r="DB675" s="72">
        <v>0</v>
      </c>
      <c r="DC675" s="72">
        <v>0</v>
      </c>
      <c r="DD675" s="72">
        <v>0</v>
      </c>
      <c r="DE675" s="72">
        <v>0</v>
      </c>
      <c r="DF675" s="72">
        <v>0</v>
      </c>
      <c r="DG675" s="72">
        <v>0</v>
      </c>
      <c r="DH675" s="72">
        <v>0</v>
      </c>
      <c r="DI675" s="72">
        <v>0</v>
      </c>
      <c r="DJ675" s="72">
        <v>0</v>
      </c>
      <c r="DK675" s="72">
        <v>0</v>
      </c>
      <c r="DL675" s="72">
        <v>0</v>
      </c>
      <c r="DM675" s="72">
        <v>0</v>
      </c>
      <c r="DN675" s="72">
        <v>0</v>
      </c>
      <c r="DO675" s="72">
        <v>0</v>
      </c>
      <c r="DP675" s="72">
        <v>0</v>
      </c>
      <c r="DQ675" s="72">
        <v>0</v>
      </c>
      <c r="DR675" s="72">
        <v>0</v>
      </c>
      <c r="DS675" s="72">
        <v>0</v>
      </c>
      <c r="DT675" s="72">
        <v>0</v>
      </c>
      <c r="DU675" s="72">
        <v>0</v>
      </c>
      <c r="DV675" s="72">
        <v>0</v>
      </c>
      <c r="DW675" s="72">
        <v>0</v>
      </c>
      <c r="DX675" s="72">
        <v>0</v>
      </c>
      <c r="DY675" s="72">
        <v>0</v>
      </c>
      <c r="DZ675" s="72">
        <v>0</v>
      </c>
      <c r="EA675" s="72">
        <v>0</v>
      </c>
      <c r="EB675" s="72">
        <v>0</v>
      </c>
      <c r="EC675" s="72">
        <v>0</v>
      </c>
      <c r="ED675" s="72">
        <v>0</v>
      </c>
      <c r="EE675" s="72">
        <v>0</v>
      </c>
      <c r="EF675" s="72">
        <v>0</v>
      </c>
      <c r="EG675" s="72">
        <v>0</v>
      </c>
      <c r="EH675" s="72">
        <v>0</v>
      </c>
      <c r="EI675" s="72">
        <v>0</v>
      </c>
      <c r="EJ675" s="72">
        <v>0</v>
      </c>
      <c r="EK675" s="72">
        <v>0</v>
      </c>
      <c r="EL675" s="72">
        <v>0</v>
      </c>
    </row>
    <row r="676" spans="1:142" x14ac:dyDescent="0.35">
      <c r="A676" s="59">
        <f>Данные!A676</f>
        <v>5762</v>
      </c>
      <c r="B676" s="59">
        <f>Данные!B676</f>
        <v>2018</v>
      </c>
      <c r="C676" s="59" t="str">
        <f>Данные!C676</f>
        <v>компьютерных технологий и электронного обучения</v>
      </c>
      <c r="D676" s="59" t="str">
        <f>Данные!D676</f>
        <v>Власова Елена Зотиковна</v>
      </c>
      <c r="E676" s="59" t="str">
        <f>Данные!E676</f>
        <v>доктор педагогических наук</v>
      </c>
      <c r="F676" s="59" t="str">
        <f>Данные!F676</f>
        <v>заведующий кафедрой</v>
      </c>
      <c r="G676" s="59">
        <f>Данные!G676</f>
        <v>1</v>
      </c>
      <c r="H676" s="59">
        <f>Данные!H676</f>
        <v>17248</v>
      </c>
      <c r="I676" s="59" t="str">
        <f>Данные!I676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76" s="59">
        <f>Данные!J676</f>
        <v>0</v>
      </c>
      <c r="K676" s="59">
        <f>Данные!K676</f>
        <v>0</v>
      </c>
      <c r="L676" s="59">
        <f>Данные!L676</f>
        <v>0</v>
      </c>
      <c r="M676" s="60">
        <f t="shared" si="90"/>
        <v>0</v>
      </c>
      <c r="N676" s="60">
        <f t="shared" ca="1" si="91"/>
        <v>5.3000000000000007</v>
      </c>
      <c r="O676" s="60">
        <f t="shared" ca="1" si="92"/>
        <v>2.5</v>
      </c>
      <c r="P676" s="60">
        <f t="shared" ca="1" si="93"/>
        <v>2.5</v>
      </c>
      <c r="Q676" s="54">
        <f>Данные!Q676</f>
        <v>0</v>
      </c>
      <c r="R676" s="54">
        <f>Данные!R676</f>
        <v>0</v>
      </c>
      <c r="S676" s="54">
        <f>Данные!S676</f>
        <v>0</v>
      </c>
      <c r="T676" s="54">
        <f>Данные!T676</f>
        <v>0</v>
      </c>
      <c r="U676" s="54">
        <f>Данные!U676</f>
        <v>12</v>
      </c>
      <c r="V676" s="54">
        <f>Данные!V676</f>
        <v>0</v>
      </c>
      <c r="W676" s="54">
        <f ca="1">Данные!W676</f>
        <v>10</v>
      </c>
      <c r="X676" s="54" t="str">
        <f ca="1">Данные!X676</f>
        <v>1</v>
      </c>
      <c r="Y676" s="54" t="str">
        <f ca="1">Данные!Y676</f>
        <v>1</v>
      </c>
      <c r="Z676" s="54">
        <f>Данные!Z676</f>
        <v>0</v>
      </c>
      <c r="AA676" s="54" t="str">
        <f>Данные!AA676</f>
        <v>осн</v>
      </c>
      <c r="AB676" s="101">
        <f t="shared" si="94"/>
        <v>700</v>
      </c>
      <c r="AC676" s="101" t="str">
        <f t="shared" si="95"/>
        <v>КЭО (маг)</v>
      </c>
      <c r="AD676" s="101" t="str">
        <f t="shared" si="96"/>
        <v/>
      </c>
      <c r="AE676" s="102">
        <f t="shared" ca="1" si="97"/>
        <v>22.3</v>
      </c>
      <c r="AF676" s="103">
        <f t="shared" ca="1" si="98"/>
        <v>3.1857142857142855E-2</v>
      </c>
      <c r="AG676" s="101"/>
      <c r="AH676" s="101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Q676" s="72">
        <v>0</v>
      </c>
      <c r="BR676" s="72">
        <v>0</v>
      </c>
      <c r="BS676" s="72">
        <v>0</v>
      </c>
      <c r="BT676" s="72">
        <v>0</v>
      </c>
      <c r="BU676" s="72">
        <v>0</v>
      </c>
      <c r="BV676" s="72">
        <v>0</v>
      </c>
      <c r="BW676" s="72">
        <v>0</v>
      </c>
      <c r="BX676" s="72">
        <v>0</v>
      </c>
      <c r="BY676" s="72">
        <v>0</v>
      </c>
      <c r="BZ676" s="72">
        <v>0</v>
      </c>
      <c r="CA676" s="72">
        <v>0</v>
      </c>
      <c r="CB676" s="72">
        <v>0</v>
      </c>
      <c r="CC676" s="72">
        <v>0</v>
      </c>
      <c r="CD676" s="72">
        <v>0</v>
      </c>
      <c r="CE676" s="72">
        <v>0</v>
      </c>
      <c r="CF676" s="72">
        <v>0</v>
      </c>
      <c r="CG676" s="72">
        <v>0</v>
      </c>
      <c r="CH676" s="72">
        <v>0</v>
      </c>
      <c r="CI676" s="72">
        <v>0</v>
      </c>
      <c r="CJ676" s="72">
        <v>0</v>
      </c>
      <c r="CK676" s="72">
        <v>0</v>
      </c>
      <c r="CL676" s="72">
        <v>0</v>
      </c>
      <c r="CM676" s="72">
        <v>0</v>
      </c>
      <c r="CN676" s="72">
        <v>0</v>
      </c>
      <c r="CO676" s="72">
        <v>0</v>
      </c>
      <c r="CP676" s="72">
        <v>0</v>
      </c>
      <c r="CQ676" s="72">
        <v>0</v>
      </c>
      <c r="CR676" s="72">
        <v>0</v>
      </c>
      <c r="CS676" s="72">
        <v>0</v>
      </c>
      <c r="CT676" s="72">
        <v>0</v>
      </c>
      <c r="CU676" s="72">
        <v>0</v>
      </c>
      <c r="CV676" s="72">
        <v>0</v>
      </c>
      <c r="CW676" s="72">
        <v>0</v>
      </c>
      <c r="CX676" s="72">
        <v>0</v>
      </c>
      <c r="CY676" s="72">
        <v>0</v>
      </c>
      <c r="CZ676" s="72">
        <v>0</v>
      </c>
      <c r="DA676" s="72">
        <v>0</v>
      </c>
      <c r="DB676" s="72">
        <v>0</v>
      </c>
      <c r="DC676" s="72">
        <v>0</v>
      </c>
      <c r="DD676" s="72">
        <v>0</v>
      </c>
      <c r="DE676" s="72">
        <v>0</v>
      </c>
      <c r="DF676" s="72">
        <v>0</v>
      </c>
      <c r="DG676" s="72">
        <v>0</v>
      </c>
      <c r="DH676" s="72">
        <v>0</v>
      </c>
      <c r="DI676" s="72">
        <v>0</v>
      </c>
      <c r="DJ676" s="72">
        <v>0</v>
      </c>
      <c r="DK676" s="72">
        <v>0</v>
      </c>
      <c r="DL676" s="72">
        <v>0</v>
      </c>
      <c r="DM676" s="72">
        <v>0</v>
      </c>
      <c r="DN676" s="72">
        <v>0</v>
      </c>
      <c r="DO676" s="72">
        <v>0</v>
      </c>
      <c r="DP676" s="72">
        <v>0</v>
      </c>
      <c r="DQ676" s="72">
        <v>0</v>
      </c>
      <c r="DR676" s="72">
        <v>0</v>
      </c>
      <c r="DS676" s="72">
        <v>0</v>
      </c>
      <c r="DT676" s="72">
        <v>0</v>
      </c>
      <c r="DU676" s="72">
        <v>0</v>
      </c>
      <c r="DV676" s="72">
        <v>0</v>
      </c>
      <c r="DW676" s="72">
        <v>0</v>
      </c>
      <c r="DX676" s="72">
        <v>0</v>
      </c>
      <c r="DY676" s="72">
        <v>0</v>
      </c>
      <c r="DZ676" s="72">
        <v>0</v>
      </c>
      <c r="EA676" s="72">
        <v>0</v>
      </c>
      <c r="EB676" s="72">
        <v>0</v>
      </c>
      <c r="EC676" s="72">
        <v>0</v>
      </c>
      <c r="ED676" s="72">
        <v>0</v>
      </c>
      <c r="EE676" s="72">
        <v>0</v>
      </c>
      <c r="EF676" s="72">
        <v>0</v>
      </c>
      <c r="EG676" s="72">
        <v>0</v>
      </c>
      <c r="EH676" s="72">
        <v>0</v>
      </c>
      <c r="EI676" s="72">
        <v>0</v>
      </c>
      <c r="EJ676" s="72">
        <v>0</v>
      </c>
      <c r="EK676" s="72">
        <v>0</v>
      </c>
      <c r="EL676" s="72">
        <v>0</v>
      </c>
    </row>
    <row r="677" spans="1:142" x14ac:dyDescent="0.35">
      <c r="A677" s="59">
        <f>Данные!A677</f>
        <v>5762</v>
      </c>
      <c r="B677" s="59">
        <f>Данные!B677</f>
        <v>2018</v>
      </c>
      <c r="C677" s="59" t="str">
        <f>Данные!C677</f>
        <v>компьютерных технологий и электронного обучения</v>
      </c>
      <c r="D677" s="59" t="str">
        <f>Данные!D677</f>
        <v>Власова Елена Зотиковна</v>
      </c>
      <c r="E677" s="59" t="str">
        <f>Данные!E677</f>
        <v>доктор педагогических наук</v>
      </c>
      <c r="F677" s="59" t="str">
        <f>Данные!F677</f>
        <v>заведующий кафедрой</v>
      </c>
      <c r="G677" s="59">
        <f>Данные!G677</f>
        <v>1</v>
      </c>
      <c r="H677" s="59">
        <f>Данные!H677</f>
        <v>17248</v>
      </c>
      <c r="I677" s="59" t="str">
        <f>Данные!I677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77" s="59">
        <f>Данные!J677</f>
        <v>0</v>
      </c>
      <c r="K677" s="59">
        <f>Данные!K677</f>
        <v>0</v>
      </c>
      <c r="L677" s="59">
        <f>Данные!L677</f>
        <v>0</v>
      </c>
      <c r="M677" s="60">
        <f t="shared" si="90"/>
        <v>0</v>
      </c>
      <c r="N677" s="60">
        <f t="shared" ca="1" si="91"/>
        <v>5.3000000000000007</v>
      </c>
      <c r="O677" s="60">
        <f t="shared" ca="1" si="92"/>
        <v>2.5</v>
      </c>
      <c r="P677" s="60">
        <f t="shared" ca="1" si="93"/>
        <v>2.5</v>
      </c>
      <c r="Q677" s="54">
        <f>Данные!Q677</f>
        <v>0</v>
      </c>
      <c r="R677" s="54">
        <f>Данные!R677</f>
        <v>0</v>
      </c>
      <c r="S677" s="54">
        <f>Данные!S677</f>
        <v>0</v>
      </c>
      <c r="T677" s="54">
        <f>Данные!T677</f>
        <v>0</v>
      </c>
      <c r="U677" s="54">
        <f>Данные!U677</f>
        <v>6</v>
      </c>
      <c r="V677" s="54">
        <f>Данные!V677</f>
        <v>0</v>
      </c>
      <c r="W677" s="54">
        <f ca="1">Данные!W677</f>
        <v>10</v>
      </c>
      <c r="X677" s="54" t="str">
        <f ca="1">Данные!X677</f>
        <v>1</v>
      </c>
      <c r="Y677" s="54" t="str">
        <f ca="1">Данные!Y677</f>
        <v>1</v>
      </c>
      <c r="Z677" s="54">
        <f>Данные!Z677</f>
        <v>0</v>
      </c>
      <c r="AA677" s="54" t="str">
        <f>Данные!AA677</f>
        <v>осн</v>
      </c>
      <c r="AB677" s="101">
        <f t="shared" si="94"/>
        <v>700</v>
      </c>
      <c r="AC677" s="101" t="str">
        <f t="shared" si="95"/>
        <v>КЭО (маг)</v>
      </c>
      <c r="AD677" s="101" t="str">
        <f t="shared" si="96"/>
        <v/>
      </c>
      <c r="AE677" s="102">
        <f t="shared" ca="1" si="97"/>
        <v>16.3</v>
      </c>
      <c r="AF677" s="103">
        <f t="shared" ca="1" si="98"/>
        <v>2.3285714285714288E-2</v>
      </c>
      <c r="AG677" s="101"/>
      <c r="AH677" s="101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Q677" s="72">
        <v>0</v>
      </c>
      <c r="BR677" s="72">
        <v>0</v>
      </c>
      <c r="BS677" s="72">
        <v>0</v>
      </c>
      <c r="BT677" s="72">
        <v>0</v>
      </c>
      <c r="BU677" s="72">
        <v>0</v>
      </c>
      <c r="BV677" s="72">
        <v>0</v>
      </c>
      <c r="BW677" s="72">
        <v>0</v>
      </c>
      <c r="BX677" s="72">
        <v>0</v>
      </c>
      <c r="BY677" s="72">
        <v>0</v>
      </c>
      <c r="BZ677" s="72">
        <v>0</v>
      </c>
      <c r="CA677" s="72">
        <v>0</v>
      </c>
      <c r="CB677" s="72">
        <v>0</v>
      </c>
      <c r="CC677" s="72">
        <v>0</v>
      </c>
      <c r="CD677" s="72">
        <v>0</v>
      </c>
      <c r="CE677" s="72">
        <v>0</v>
      </c>
      <c r="CF677" s="72">
        <v>0</v>
      </c>
      <c r="CG677" s="72">
        <v>0</v>
      </c>
      <c r="CH677" s="72">
        <v>0</v>
      </c>
      <c r="CI677" s="72">
        <v>0</v>
      </c>
      <c r="CJ677" s="72">
        <v>0</v>
      </c>
      <c r="CK677" s="72">
        <v>0</v>
      </c>
      <c r="CL677" s="72">
        <v>0</v>
      </c>
      <c r="CM677" s="72">
        <v>0</v>
      </c>
      <c r="CN677" s="72">
        <v>0</v>
      </c>
      <c r="CO677" s="72">
        <v>0</v>
      </c>
      <c r="CP677" s="72">
        <v>0</v>
      </c>
      <c r="CQ677" s="72">
        <v>0</v>
      </c>
      <c r="CR677" s="72">
        <v>0</v>
      </c>
      <c r="CS677" s="72">
        <v>0</v>
      </c>
      <c r="CT677" s="72">
        <v>0</v>
      </c>
      <c r="CU677" s="72">
        <v>0</v>
      </c>
      <c r="CV677" s="72">
        <v>0</v>
      </c>
      <c r="CW677" s="72">
        <v>0</v>
      </c>
      <c r="CX677" s="72">
        <v>0</v>
      </c>
      <c r="CY677" s="72">
        <v>0</v>
      </c>
      <c r="CZ677" s="72">
        <v>0</v>
      </c>
      <c r="DA677" s="72">
        <v>0</v>
      </c>
      <c r="DB677" s="72">
        <v>0</v>
      </c>
      <c r="DC677" s="72">
        <v>0</v>
      </c>
      <c r="DD677" s="72">
        <v>0</v>
      </c>
      <c r="DE677" s="72">
        <v>0</v>
      </c>
      <c r="DF677" s="72">
        <v>0</v>
      </c>
      <c r="DG677" s="72">
        <v>0</v>
      </c>
      <c r="DH677" s="72">
        <v>0</v>
      </c>
      <c r="DI677" s="72">
        <v>0</v>
      </c>
      <c r="DJ677" s="72">
        <v>0</v>
      </c>
      <c r="DK677" s="72">
        <v>0</v>
      </c>
      <c r="DL677" s="72">
        <v>0</v>
      </c>
      <c r="DM677" s="72">
        <v>0</v>
      </c>
      <c r="DN677" s="72">
        <v>0</v>
      </c>
      <c r="DO677" s="72">
        <v>0</v>
      </c>
      <c r="DP677" s="72">
        <v>0</v>
      </c>
      <c r="DQ677" s="72">
        <v>0</v>
      </c>
      <c r="DR677" s="72">
        <v>0</v>
      </c>
      <c r="DS677" s="72">
        <v>0</v>
      </c>
      <c r="DT677" s="72">
        <v>0</v>
      </c>
      <c r="DU677" s="72">
        <v>0</v>
      </c>
      <c r="DV677" s="72">
        <v>0</v>
      </c>
      <c r="DW677" s="72">
        <v>0</v>
      </c>
      <c r="DX677" s="72">
        <v>0</v>
      </c>
      <c r="DY677" s="72">
        <v>0</v>
      </c>
      <c r="DZ677" s="72">
        <v>0</v>
      </c>
      <c r="EA677" s="72">
        <v>0</v>
      </c>
      <c r="EB677" s="72">
        <v>0</v>
      </c>
      <c r="EC677" s="72">
        <v>0</v>
      </c>
      <c r="ED677" s="72">
        <v>0</v>
      </c>
      <c r="EE677" s="72">
        <v>0</v>
      </c>
      <c r="EF677" s="72">
        <v>0</v>
      </c>
      <c r="EG677" s="72">
        <v>0</v>
      </c>
      <c r="EH677" s="72">
        <v>0</v>
      </c>
      <c r="EI677" s="72">
        <v>0</v>
      </c>
      <c r="EJ677" s="72">
        <v>0</v>
      </c>
      <c r="EK677" s="72">
        <v>0</v>
      </c>
      <c r="EL677" s="72">
        <v>0</v>
      </c>
    </row>
    <row r="678" spans="1:142" x14ac:dyDescent="0.35">
      <c r="A678" s="59">
        <f>Данные!A678</f>
        <v>5762</v>
      </c>
      <c r="B678" s="59">
        <f>Данные!B678</f>
        <v>2018</v>
      </c>
      <c r="C678" s="59" t="str">
        <f>Данные!C678</f>
        <v>компьютерных технологий и электронного обучения</v>
      </c>
      <c r="D678" s="59" t="str">
        <f>Данные!D678</f>
        <v>Гончарова Светлана Викторовна</v>
      </c>
      <c r="E678" s="59" t="str">
        <f>Данные!E678</f>
        <v>кандидат педагогических наук</v>
      </c>
      <c r="F678" s="59" t="str">
        <f>Данные!F678</f>
        <v>доцент</v>
      </c>
      <c r="G678" s="59">
        <f>Данные!G678</f>
        <v>1</v>
      </c>
      <c r="H678" s="59">
        <f>Данные!H678</f>
        <v>17248</v>
      </c>
      <c r="I678" s="59" t="str">
        <f>Данные!I678</f>
        <v>Модуль "Интеллектуальные информационные технологии в образовании". Дистанционные образовательные технологии</v>
      </c>
      <c r="J678" s="59">
        <f>Данные!J678</f>
        <v>4</v>
      </c>
      <c r="K678" s="59">
        <f>Данные!K678</f>
        <v>0</v>
      </c>
      <c r="L678" s="59">
        <f>Данные!L678</f>
        <v>0</v>
      </c>
      <c r="M678" s="60">
        <f t="shared" si="90"/>
        <v>0.4</v>
      </c>
      <c r="N678" s="60">
        <f t="shared" ca="1" si="91"/>
        <v>5.3000000000000007</v>
      </c>
      <c r="O678" s="60">
        <f t="shared" ca="1" si="92"/>
        <v>2.5</v>
      </c>
      <c r="P678" s="60">
        <f t="shared" ca="1" si="93"/>
        <v>2.5</v>
      </c>
      <c r="Q678" s="54">
        <f>Данные!Q678</f>
        <v>0</v>
      </c>
      <c r="R678" s="54">
        <f>Данные!R678</f>
        <v>0</v>
      </c>
      <c r="S678" s="54">
        <f>Данные!S678</f>
        <v>0</v>
      </c>
      <c r="T678" s="54">
        <f>Данные!T678</f>
        <v>0</v>
      </c>
      <c r="U678" s="54">
        <f>Данные!U678</f>
        <v>0</v>
      </c>
      <c r="V678" s="54">
        <f>Данные!V678</f>
        <v>0</v>
      </c>
      <c r="W678" s="54">
        <f ca="1">Данные!W678</f>
        <v>10</v>
      </c>
      <c r="X678" s="54" t="str">
        <f ca="1">Данные!X678</f>
        <v>1</v>
      </c>
      <c r="Y678" s="54" t="str">
        <f ca="1">Данные!Y678</f>
        <v>1</v>
      </c>
      <c r="Z678" s="54">
        <f>Данные!Z678</f>
        <v>0</v>
      </c>
      <c r="AA678" s="54" t="str">
        <f>Данные!AA678</f>
        <v>осн</v>
      </c>
      <c r="AB678" s="101">
        <f t="shared" si="94"/>
        <v>800</v>
      </c>
      <c r="AC678" s="101" t="str">
        <f t="shared" si="95"/>
        <v>КЭО (маг)</v>
      </c>
      <c r="AD678" s="101" t="str">
        <f t="shared" si="96"/>
        <v/>
      </c>
      <c r="AE678" s="102">
        <f t="shared" ca="1" si="97"/>
        <v>14.700000000000001</v>
      </c>
      <c r="AF678" s="103">
        <f t="shared" ca="1" si="98"/>
        <v>1.8375000000000002E-2</v>
      </c>
      <c r="AG678" s="101"/>
      <c r="AH678" s="101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Q678" s="72">
        <v>0</v>
      </c>
      <c r="BR678" s="72">
        <v>0</v>
      </c>
      <c r="BS678" s="72">
        <v>0</v>
      </c>
      <c r="BT678" s="72">
        <v>0</v>
      </c>
      <c r="BU678" s="72">
        <v>0</v>
      </c>
      <c r="BV678" s="72">
        <v>0</v>
      </c>
      <c r="BW678" s="72">
        <v>0</v>
      </c>
      <c r="BX678" s="72">
        <v>0</v>
      </c>
      <c r="BY678" s="72">
        <v>0</v>
      </c>
      <c r="BZ678" s="72">
        <v>0</v>
      </c>
      <c r="CA678" s="72">
        <v>0</v>
      </c>
      <c r="CB678" s="72">
        <v>0</v>
      </c>
      <c r="CC678" s="72">
        <v>0</v>
      </c>
      <c r="CD678" s="72">
        <v>0</v>
      </c>
      <c r="CE678" s="72">
        <v>0</v>
      </c>
      <c r="CF678" s="72">
        <v>0</v>
      </c>
      <c r="CG678" s="72">
        <v>0</v>
      </c>
      <c r="CH678" s="72">
        <v>0</v>
      </c>
      <c r="CI678" s="72">
        <v>0</v>
      </c>
      <c r="CJ678" s="72">
        <v>0</v>
      </c>
      <c r="CK678" s="72">
        <v>0</v>
      </c>
      <c r="CL678" s="72">
        <v>0</v>
      </c>
      <c r="CM678" s="72">
        <v>0</v>
      </c>
      <c r="CN678" s="72">
        <v>0</v>
      </c>
      <c r="CO678" s="72">
        <v>0</v>
      </c>
      <c r="CP678" s="72">
        <v>0</v>
      </c>
      <c r="CQ678" s="72">
        <v>0</v>
      </c>
      <c r="CR678" s="72">
        <v>0</v>
      </c>
      <c r="CS678" s="72">
        <v>0</v>
      </c>
      <c r="CT678" s="72">
        <v>0</v>
      </c>
      <c r="CU678" s="72">
        <v>0</v>
      </c>
      <c r="CV678" s="72">
        <v>0</v>
      </c>
      <c r="CW678" s="72">
        <v>0</v>
      </c>
      <c r="CX678" s="72">
        <v>0</v>
      </c>
      <c r="CY678" s="72">
        <v>0</v>
      </c>
      <c r="CZ678" s="72">
        <v>0</v>
      </c>
      <c r="DA678" s="72">
        <v>0</v>
      </c>
      <c r="DB678" s="72">
        <v>0</v>
      </c>
      <c r="DC678" s="72">
        <v>0</v>
      </c>
      <c r="DD678" s="72">
        <v>0</v>
      </c>
      <c r="DE678" s="72">
        <v>0</v>
      </c>
      <c r="DF678" s="72">
        <v>0</v>
      </c>
      <c r="DG678" s="72">
        <v>0</v>
      </c>
      <c r="DH678" s="72">
        <v>0</v>
      </c>
      <c r="DI678" s="72">
        <v>0</v>
      </c>
      <c r="DJ678" s="72">
        <v>0</v>
      </c>
      <c r="DK678" s="72">
        <v>0</v>
      </c>
      <c r="DL678" s="72">
        <v>0</v>
      </c>
      <c r="DM678" s="72">
        <v>0</v>
      </c>
      <c r="DN678" s="72">
        <v>0</v>
      </c>
      <c r="DO678" s="72">
        <v>0</v>
      </c>
      <c r="DP678" s="72">
        <v>0</v>
      </c>
      <c r="DQ678" s="72">
        <v>0</v>
      </c>
      <c r="DR678" s="72">
        <v>0</v>
      </c>
      <c r="DS678" s="72">
        <v>0</v>
      </c>
      <c r="DT678" s="72">
        <v>0</v>
      </c>
      <c r="DU678" s="72">
        <v>0</v>
      </c>
      <c r="DV678" s="72">
        <v>0</v>
      </c>
      <c r="DW678" s="72">
        <v>0</v>
      </c>
      <c r="DX678" s="72">
        <v>0</v>
      </c>
      <c r="DY678" s="72">
        <v>0</v>
      </c>
      <c r="DZ678" s="72">
        <v>0</v>
      </c>
      <c r="EA678" s="72">
        <v>0</v>
      </c>
      <c r="EB678" s="72">
        <v>0</v>
      </c>
      <c r="EC678" s="72">
        <v>0</v>
      </c>
      <c r="ED678" s="72">
        <v>0</v>
      </c>
      <c r="EE678" s="72">
        <v>0</v>
      </c>
      <c r="EF678" s="72">
        <v>0</v>
      </c>
      <c r="EG678" s="72">
        <v>0</v>
      </c>
      <c r="EH678" s="72">
        <v>0</v>
      </c>
      <c r="EI678" s="72">
        <v>0</v>
      </c>
      <c r="EJ678" s="72">
        <v>0</v>
      </c>
      <c r="EK678" s="72">
        <v>0</v>
      </c>
      <c r="EL678" s="72">
        <v>0</v>
      </c>
    </row>
    <row r="679" spans="1:142" x14ac:dyDescent="0.35">
      <c r="A679" s="59">
        <f>Данные!A679</f>
        <v>5762</v>
      </c>
      <c r="B679" s="59">
        <f>Данные!B679</f>
        <v>2018</v>
      </c>
      <c r="C679" s="59" t="str">
        <f>Данные!C679</f>
        <v>компьютерных технологий и электронного обучения</v>
      </c>
      <c r="D679" s="59" t="str">
        <f>Данные!D679</f>
        <v>Гончарова Светлана Викторовна</v>
      </c>
      <c r="E679" s="59" t="str">
        <f>Данные!E679</f>
        <v>кандидат педагогических наук</v>
      </c>
      <c r="F679" s="59" t="str">
        <f>Данные!F679</f>
        <v>доцент</v>
      </c>
      <c r="G679" s="59">
        <f>Данные!G679</f>
        <v>1</v>
      </c>
      <c r="H679" s="59">
        <f>Данные!H679</f>
        <v>17248</v>
      </c>
      <c r="I679" s="59" t="str">
        <f>Данные!I679</f>
        <v>Научно-исследовательская работа. Педагогическое образование. Магистерская программа "Корпоративное электронное обучение"</v>
      </c>
      <c r="J679" s="59">
        <f>Данные!J679</f>
        <v>0</v>
      </c>
      <c r="K679" s="59">
        <f>Данные!K679</f>
        <v>0</v>
      </c>
      <c r="L679" s="59">
        <f>Данные!L679</f>
        <v>0</v>
      </c>
      <c r="M679" s="60">
        <f t="shared" si="90"/>
        <v>0</v>
      </c>
      <c r="N679" s="60">
        <f t="shared" ca="1" si="91"/>
        <v>5.3000000000000007</v>
      </c>
      <c r="O679" s="60">
        <f t="shared" ca="1" si="92"/>
        <v>2.5</v>
      </c>
      <c r="P679" s="60">
        <f t="shared" ca="1" si="93"/>
        <v>2.5</v>
      </c>
      <c r="Q679" s="54">
        <f>Данные!Q679</f>
        <v>0</v>
      </c>
      <c r="R679" s="54">
        <f>Данные!R679</f>
        <v>0</v>
      </c>
      <c r="S679" s="54">
        <f>Данные!S679</f>
        <v>0</v>
      </c>
      <c r="T679" s="54">
        <f>Данные!T679</f>
        <v>0</v>
      </c>
      <c r="U679" s="54">
        <f>Данные!U679</f>
        <v>4</v>
      </c>
      <c r="V679" s="54">
        <f>Данные!V679</f>
        <v>0</v>
      </c>
      <c r="W679" s="54">
        <f ca="1">Данные!W679</f>
        <v>10</v>
      </c>
      <c r="X679" s="54" t="str">
        <f ca="1">Данные!X679</f>
        <v>1</v>
      </c>
      <c r="Y679" s="54" t="str">
        <f ca="1">Данные!Y679</f>
        <v>1</v>
      </c>
      <c r="Z679" s="54">
        <f>Данные!Z679</f>
        <v>0</v>
      </c>
      <c r="AA679" s="54" t="str">
        <f>Данные!AA679</f>
        <v>осн</v>
      </c>
      <c r="AB679" s="101">
        <f t="shared" si="94"/>
        <v>800</v>
      </c>
      <c r="AC679" s="101" t="str">
        <f t="shared" si="95"/>
        <v>КЭО (маг)</v>
      </c>
      <c r="AD679" s="101" t="str">
        <f t="shared" si="96"/>
        <v/>
      </c>
      <c r="AE679" s="102">
        <f t="shared" ca="1" si="97"/>
        <v>14.3</v>
      </c>
      <c r="AF679" s="103">
        <f t="shared" ca="1" si="98"/>
        <v>1.7875000000000002E-2</v>
      </c>
      <c r="AG679" s="101"/>
      <c r="AH679" s="101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Q679" s="72">
        <v>0</v>
      </c>
      <c r="BR679" s="72">
        <v>0</v>
      </c>
      <c r="BS679" s="72">
        <v>0</v>
      </c>
      <c r="BT679" s="72">
        <v>0</v>
      </c>
      <c r="BU679" s="72">
        <v>0</v>
      </c>
      <c r="BV679" s="72">
        <v>0</v>
      </c>
      <c r="BW679" s="72">
        <v>0</v>
      </c>
      <c r="BX679" s="72">
        <v>0</v>
      </c>
      <c r="BY679" s="72">
        <v>0</v>
      </c>
      <c r="BZ679" s="72">
        <v>0</v>
      </c>
      <c r="CA679" s="72">
        <v>0</v>
      </c>
      <c r="CB679" s="72">
        <v>0</v>
      </c>
      <c r="CC679" s="72">
        <v>0</v>
      </c>
      <c r="CD679" s="72">
        <v>0</v>
      </c>
      <c r="CE679" s="72">
        <v>0</v>
      </c>
      <c r="CF679" s="72">
        <v>0</v>
      </c>
      <c r="CG679" s="72">
        <v>0</v>
      </c>
      <c r="CH679" s="72">
        <v>0</v>
      </c>
      <c r="CI679" s="72">
        <v>0</v>
      </c>
      <c r="CJ679" s="72">
        <v>0</v>
      </c>
      <c r="CK679" s="72">
        <v>0</v>
      </c>
      <c r="CL679" s="72">
        <v>0</v>
      </c>
      <c r="CM679" s="72">
        <v>0</v>
      </c>
      <c r="CN679" s="72">
        <v>0</v>
      </c>
      <c r="CO679" s="72">
        <v>0</v>
      </c>
      <c r="CP679" s="72">
        <v>0</v>
      </c>
      <c r="CQ679" s="72">
        <v>0</v>
      </c>
      <c r="CR679" s="72">
        <v>0</v>
      </c>
      <c r="CS679" s="72">
        <v>0</v>
      </c>
      <c r="CT679" s="72">
        <v>0</v>
      </c>
      <c r="CU679" s="72">
        <v>0</v>
      </c>
      <c r="CV679" s="72">
        <v>0</v>
      </c>
      <c r="CW679" s="72">
        <v>0</v>
      </c>
      <c r="CX679" s="72">
        <v>0</v>
      </c>
      <c r="CY679" s="72">
        <v>0</v>
      </c>
      <c r="CZ679" s="72">
        <v>0</v>
      </c>
      <c r="DA679" s="72">
        <v>0</v>
      </c>
      <c r="DB679" s="72">
        <v>0</v>
      </c>
      <c r="DC679" s="72">
        <v>0</v>
      </c>
      <c r="DD679" s="72">
        <v>0</v>
      </c>
      <c r="DE679" s="72">
        <v>0</v>
      </c>
      <c r="DF679" s="72">
        <v>0</v>
      </c>
      <c r="DG679" s="72">
        <v>0</v>
      </c>
      <c r="DH679" s="72">
        <v>0</v>
      </c>
      <c r="DI679" s="72">
        <v>0</v>
      </c>
      <c r="DJ679" s="72">
        <v>0</v>
      </c>
      <c r="DK679" s="72">
        <v>0</v>
      </c>
      <c r="DL679" s="72">
        <v>0</v>
      </c>
      <c r="DM679" s="72">
        <v>0</v>
      </c>
      <c r="DN679" s="72">
        <v>0</v>
      </c>
      <c r="DO679" s="72">
        <v>0</v>
      </c>
      <c r="DP679" s="72">
        <v>0</v>
      </c>
      <c r="DQ679" s="72">
        <v>0</v>
      </c>
      <c r="DR679" s="72">
        <v>0</v>
      </c>
      <c r="DS679" s="72">
        <v>0</v>
      </c>
      <c r="DT679" s="72">
        <v>0</v>
      </c>
      <c r="DU679" s="72">
        <v>0</v>
      </c>
      <c r="DV679" s="72">
        <v>0</v>
      </c>
      <c r="DW679" s="72">
        <v>0</v>
      </c>
      <c r="DX679" s="72">
        <v>0</v>
      </c>
      <c r="DY679" s="72">
        <v>0</v>
      </c>
      <c r="DZ679" s="72">
        <v>0</v>
      </c>
      <c r="EA679" s="72">
        <v>0</v>
      </c>
      <c r="EB679" s="72">
        <v>0</v>
      </c>
      <c r="EC679" s="72">
        <v>0</v>
      </c>
      <c r="ED679" s="72">
        <v>0</v>
      </c>
      <c r="EE679" s="72">
        <v>0</v>
      </c>
      <c r="EF679" s="72">
        <v>0</v>
      </c>
      <c r="EG679" s="72">
        <v>0</v>
      </c>
      <c r="EH679" s="72">
        <v>0</v>
      </c>
      <c r="EI679" s="72">
        <v>0</v>
      </c>
      <c r="EJ679" s="72">
        <v>0</v>
      </c>
      <c r="EK679" s="72">
        <v>0</v>
      </c>
      <c r="EL679" s="72">
        <v>0</v>
      </c>
    </row>
    <row r="680" spans="1:142" x14ac:dyDescent="0.35">
      <c r="A680" s="59">
        <f>Данные!A680</f>
        <v>5762</v>
      </c>
      <c r="B680" s="59">
        <f>Данные!B680</f>
        <v>2018</v>
      </c>
      <c r="C680" s="59" t="str">
        <f>Данные!C680</f>
        <v>компьютерных технологий и электронного обучения</v>
      </c>
      <c r="D680" s="59" t="str">
        <f>Данные!D680</f>
        <v>Гончарова Светлана Викторовна</v>
      </c>
      <c r="E680" s="59" t="str">
        <f>Данные!E680</f>
        <v>кандидат педагогических наук</v>
      </c>
      <c r="F680" s="59" t="str">
        <f>Данные!F680</f>
        <v>доцент</v>
      </c>
      <c r="G680" s="59">
        <f>Данные!G680</f>
        <v>1</v>
      </c>
      <c r="H680" s="59">
        <f>Данные!H680</f>
        <v>17248</v>
      </c>
      <c r="I680" s="59" t="str">
        <f>Данные!I680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80" s="59">
        <f>Данные!J680</f>
        <v>0</v>
      </c>
      <c r="K680" s="59">
        <f>Данные!K680</f>
        <v>0</v>
      </c>
      <c r="L680" s="59">
        <f>Данные!L680</f>
        <v>0</v>
      </c>
      <c r="M680" s="60">
        <f t="shared" si="90"/>
        <v>0</v>
      </c>
      <c r="N680" s="60">
        <f t="shared" ca="1" si="91"/>
        <v>5.3000000000000007</v>
      </c>
      <c r="O680" s="60">
        <f t="shared" ca="1" si="92"/>
        <v>2.5</v>
      </c>
      <c r="P680" s="60">
        <f t="shared" ca="1" si="93"/>
        <v>2.5</v>
      </c>
      <c r="Q680" s="54">
        <f>Данные!Q680</f>
        <v>0</v>
      </c>
      <c r="R680" s="54">
        <f>Данные!R680</f>
        <v>0</v>
      </c>
      <c r="S680" s="54">
        <f>Данные!S680</f>
        <v>0</v>
      </c>
      <c r="T680" s="54">
        <f>Данные!T680</f>
        <v>0</v>
      </c>
      <c r="U680" s="54">
        <f>Данные!U680</f>
        <v>0</v>
      </c>
      <c r="V680" s="54">
        <f>Данные!V680</f>
        <v>22</v>
      </c>
      <c r="W680" s="54">
        <f ca="1">Данные!W680</f>
        <v>10</v>
      </c>
      <c r="X680" s="54" t="str">
        <f ca="1">Данные!X680</f>
        <v>1</v>
      </c>
      <c r="Y680" s="54" t="str">
        <f ca="1">Данные!Y680</f>
        <v>1</v>
      </c>
      <c r="Z680" s="54">
        <f>Данные!Z680</f>
        <v>0</v>
      </c>
      <c r="AA680" s="54" t="str">
        <f>Данные!AA680</f>
        <v>осн</v>
      </c>
      <c r="AB680" s="101">
        <f t="shared" si="94"/>
        <v>800</v>
      </c>
      <c r="AC680" s="101" t="str">
        <f t="shared" si="95"/>
        <v>КЭО (маг)</v>
      </c>
      <c r="AD680" s="101" t="str">
        <f t="shared" si="96"/>
        <v/>
      </c>
      <c r="AE680" s="102">
        <f t="shared" ca="1" si="97"/>
        <v>32.299999999999997</v>
      </c>
      <c r="AF680" s="103">
        <f t="shared" ca="1" si="98"/>
        <v>4.0374999999999994E-2</v>
      </c>
      <c r="AG680" s="101"/>
      <c r="AH680" s="101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Q680" s="72">
        <v>0</v>
      </c>
      <c r="BR680" s="72">
        <v>0</v>
      </c>
      <c r="BS680" s="72">
        <v>0</v>
      </c>
      <c r="BT680" s="72">
        <v>0</v>
      </c>
      <c r="BU680" s="72">
        <v>0</v>
      </c>
      <c r="BV680" s="72">
        <v>0</v>
      </c>
      <c r="BW680" s="72">
        <v>0</v>
      </c>
      <c r="BX680" s="72">
        <v>0</v>
      </c>
      <c r="BY680" s="72">
        <v>0</v>
      </c>
      <c r="BZ680" s="72">
        <v>0</v>
      </c>
      <c r="CA680" s="72">
        <v>0</v>
      </c>
      <c r="CB680" s="72">
        <v>0</v>
      </c>
      <c r="CC680" s="72">
        <v>0</v>
      </c>
      <c r="CD680" s="72">
        <v>0</v>
      </c>
      <c r="CE680" s="72">
        <v>0</v>
      </c>
      <c r="CF680" s="72">
        <v>0</v>
      </c>
      <c r="CG680" s="72">
        <v>0</v>
      </c>
      <c r="CH680" s="72">
        <v>0</v>
      </c>
      <c r="CI680" s="72">
        <v>0</v>
      </c>
      <c r="CJ680" s="72">
        <v>0</v>
      </c>
      <c r="CK680" s="72">
        <v>0</v>
      </c>
      <c r="CL680" s="72">
        <v>0</v>
      </c>
      <c r="CM680" s="72">
        <v>0</v>
      </c>
      <c r="CN680" s="72">
        <v>0</v>
      </c>
      <c r="CO680" s="72">
        <v>0</v>
      </c>
      <c r="CP680" s="72">
        <v>0</v>
      </c>
      <c r="CQ680" s="72">
        <v>0</v>
      </c>
      <c r="CR680" s="72">
        <v>0</v>
      </c>
      <c r="CS680" s="72">
        <v>0</v>
      </c>
      <c r="CT680" s="72">
        <v>0</v>
      </c>
      <c r="CU680" s="72">
        <v>0</v>
      </c>
      <c r="CV680" s="72">
        <v>0</v>
      </c>
      <c r="CW680" s="72">
        <v>0</v>
      </c>
      <c r="CX680" s="72">
        <v>0</v>
      </c>
      <c r="CY680" s="72">
        <v>0</v>
      </c>
      <c r="CZ680" s="72">
        <v>0</v>
      </c>
      <c r="DA680" s="72">
        <v>0</v>
      </c>
      <c r="DB680" s="72">
        <v>0</v>
      </c>
      <c r="DC680" s="72">
        <v>0</v>
      </c>
      <c r="DD680" s="72">
        <v>0</v>
      </c>
      <c r="DE680" s="72">
        <v>0</v>
      </c>
      <c r="DF680" s="72">
        <v>0</v>
      </c>
      <c r="DG680" s="72">
        <v>0</v>
      </c>
      <c r="DH680" s="72">
        <v>0</v>
      </c>
      <c r="DI680" s="72">
        <v>0</v>
      </c>
      <c r="DJ680" s="72">
        <v>0</v>
      </c>
      <c r="DK680" s="72">
        <v>0</v>
      </c>
      <c r="DL680" s="72">
        <v>0</v>
      </c>
      <c r="DM680" s="72">
        <v>0</v>
      </c>
      <c r="DN680" s="72">
        <v>0</v>
      </c>
      <c r="DO680" s="72">
        <v>0</v>
      </c>
      <c r="DP680" s="72">
        <v>0</v>
      </c>
      <c r="DQ680" s="72">
        <v>0</v>
      </c>
      <c r="DR680" s="72">
        <v>0</v>
      </c>
      <c r="DS680" s="72">
        <v>0</v>
      </c>
      <c r="DT680" s="72">
        <v>0</v>
      </c>
      <c r="DU680" s="72">
        <v>0</v>
      </c>
      <c r="DV680" s="72">
        <v>0</v>
      </c>
      <c r="DW680" s="72">
        <v>0</v>
      </c>
      <c r="DX680" s="72">
        <v>0</v>
      </c>
      <c r="DY680" s="72">
        <v>0</v>
      </c>
      <c r="DZ680" s="72">
        <v>0</v>
      </c>
      <c r="EA680" s="72">
        <v>0</v>
      </c>
      <c r="EB680" s="72">
        <v>0</v>
      </c>
      <c r="EC680" s="72">
        <v>0</v>
      </c>
      <c r="ED680" s="72">
        <v>0</v>
      </c>
      <c r="EE680" s="72">
        <v>0</v>
      </c>
      <c r="EF680" s="72">
        <v>0</v>
      </c>
      <c r="EG680" s="72">
        <v>0</v>
      </c>
      <c r="EH680" s="72">
        <v>0</v>
      </c>
      <c r="EI680" s="72">
        <v>0</v>
      </c>
      <c r="EJ680" s="72">
        <v>0</v>
      </c>
      <c r="EK680" s="72">
        <v>0</v>
      </c>
      <c r="EL680" s="72">
        <v>0</v>
      </c>
    </row>
    <row r="681" spans="1:142" x14ac:dyDescent="0.35">
      <c r="A681" s="59">
        <f>Данные!A681</f>
        <v>5762</v>
      </c>
      <c r="B681" s="59">
        <f>Данные!B681</f>
        <v>2018</v>
      </c>
      <c r="C681" s="59" t="str">
        <f>Данные!C681</f>
        <v>компьютерных технологий и электронного обучения</v>
      </c>
      <c r="D681" s="59" t="str">
        <f>Данные!D681</f>
        <v>Гончарова Светлана Викторовна</v>
      </c>
      <c r="E681" s="59" t="str">
        <f>Данные!E681</f>
        <v>кандидат педагогических наук</v>
      </c>
      <c r="F681" s="59" t="str">
        <f>Данные!F681</f>
        <v>доцент</v>
      </c>
      <c r="G681" s="59">
        <f>Данные!G681</f>
        <v>1</v>
      </c>
      <c r="H681" s="59">
        <f>Данные!H681</f>
        <v>17248</v>
      </c>
      <c r="I681" s="59" t="str">
        <f>Данные!I681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81" s="59">
        <f>Данные!J681</f>
        <v>0</v>
      </c>
      <c r="K681" s="59">
        <f>Данные!K681</f>
        <v>0</v>
      </c>
      <c r="L681" s="59">
        <f>Данные!L681</f>
        <v>0</v>
      </c>
      <c r="M681" s="60">
        <f t="shared" si="90"/>
        <v>0</v>
      </c>
      <c r="N681" s="60">
        <f t="shared" ca="1" si="91"/>
        <v>5.3000000000000007</v>
      </c>
      <c r="O681" s="60">
        <f t="shared" ca="1" si="92"/>
        <v>2.5</v>
      </c>
      <c r="P681" s="60">
        <f t="shared" ca="1" si="93"/>
        <v>2.5</v>
      </c>
      <c r="Q681" s="54">
        <f>Данные!Q681</f>
        <v>0</v>
      </c>
      <c r="R681" s="54">
        <f>Данные!R681</f>
        <v>0</v>
      </c>
      <c r="S681" s="54">
        <f>Данные!S681</f>
        <v>0</v>
      </c>
      <c r="T681" s="54">
        <f>Данные!T681</f>
        <v>0</v>
      </c>
      <c r="U681" s="54">
        <f>Данные!U681</f>
        <v>4</v>
      </c>
      <c r="V681" s="54">
        <f>Данные!V681</f>
        <v>0</v>
      </c>
      <c r="W681" s="54">
        <f ca="1">Данные!W681</f>
        <v>10</v>
      </c>
      <c r="X681" s="54" t="str">
        <f ca="1">Данные!X681</f>
        <v>1</v>
      </c>
      <c r="Y681" s="54" t="str">
        <f ca="1">Данные!Y681</f>
        <v>1</v>
      </c>
      <c r="Z681" s="54">
        <f>Данные!Z681</f>
        <v>0</v>
      </c>
      <c r="AA681" s="54" t="str">
        <f>Данные!AA681</f>
        <v>осн</v>
      </c>
      <c r="AB681" s="101">
        <f t="shared" si="94"/>
        <v>800</v>
      </c>
      <c r="AC681" s="101" t="str">
        <f t="shared" si="95"/>
        <v>КЭО (маг)</v>
      </c>
      <c r="AD681" s="101" t="str">
        <f t="shared" si="96"/>
        <v/>
      </c>
      <c r="AE681" s="102">
        <f t="shared" ca="1" si="97"/>
        <v>14.3</v>
      </c>
      <c r="AF681" s="103">
        <f t="shared" ca="1" si="98"/>
        <v>1.7875000000000002E-2</v>
      </c>
      <c r="AG681" s="101"/>
      <c r="AH681" s="10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Q681" s="72">
        <v>0</v>
      </c>
      <c r="BR681" s="72">
        <v>0</v>
      </c>
      <c r="BS681" s="72">
        <v>0</v>
      </c>
      <c r="BT681" s="72">
        <v>0</v>
      </c>
      <c r="BU681" s="72">
        <v>0</v>
      </c>
      <c r="BV681" s="72">
        <v>0</v>
      </c>
      <c r="BW681" s="72">
        <v>0</v>
      </c>
      <c r="BX681" s="72">
        <v>0</v>
      </c>
      <c r="BY681" s="72">
        <v>0</v>
      </c>
      <c r="BZ681" s="72">
        <v>0</v>
      </c>
      <c r="CA681" s="72">
        <v>0</v>
      </c>
      <c r="CB681" s="72">
        <v>0</v>
      </c>
      <c r="CC681" s="72">
        <v>0</v>
      </c>
      <c r="CD681" s="72">
        <v>0</v>
      </c>
      <c r="CE681" s="72">
        <v>0</v>
      </c>
      <c r="CF681" s="72">
        <v>0</v>
      </c>
      <c r="CG681" s="72">
        <v>0</v>
      </c>
      <c r="CH681" s="72">
        <v>0</v>
      </c>
      <c r="CI681" s="72">
        <v>0</v>
      </c>
      <c r="CJ681" s="72">
        <v>0</v>
      </c>
      <c r="CK681" s="72">
        <v>0</v>
      </c>
      <c r="CL681" s="72">
        <v>0</v>
      </c>
      <c r="CM681" s="72">
        <v>0</v>
      </c>
      <c r="CN681" s="72">
        <v>0</v>
      </c>
      <c r="CO681" s="72">
        <v>0</v>
      </c>
      <c r="CP681" s="72">
        <v>0</v>
      </c>
      <c r="CQ681" s="72">
        <v>0</v>
      </c>
      <c r="CR681" s="72">
        <v>0</v>
      </c>
      <c r="CS681" s="72">
        <v>0</v>
      </c>
      <c r="CT681" s="72">
        <v>0</v>
      </c>
      <c r="CU681" s="72">
        <v>0</v>
      </c>
      <c r="CV681" s="72">
        <v>0</v>
      </c>
      <c r="CW681" s="72">
        <v>0</v>
      </c>
      <c r="CX681" s="72">
        <v>0</v>
      </c>
      <c r="CY681" s="72">
        <v>0</v>
      </c>
      <c r="CZ681" s="72">
        <v>0</v>
      </c>
      <c r="DA681" s="72">
        <v>0</v>
      </c>
      <c r="DB681" s="72">
        <v>0</v>
      </c>
      <c r="DC681" s="72">
        <v>0</v>
      </c>
      <c r="DD681" s="72">
        <v>0</v>
      </c>
      <c r="DE681" s="72">
        <v>0</v>
      </c>
      <c r="DF681" s="72">
        <v>0</v>
      </c>
      <c r="DG681" s="72">
        <v>0</v>
      </c>
      <c r="DH681" s="72">
        <v>0</v>
      </c>
      <c r="DI681" s="72">
        <v>0</v>
      </c>
      <c r="DJ681" s="72">
        <v>0</v>
      </c>
      <c r="DK681" s="72">
        <v>0</v>
      </c>
      <c r="DL681" s="72">
        <v>0</v>
      </c>
      <c r="DM681" s="72">
        <v>0</v>
      </c>
      <c r="DN681" s="72">
        <v>0</v>
      </c>
      <c r="DO681" s="72">
        <v>0</v>
      </c>
      <c r="DP681" s="72">
        <v>0</v>
      </c>
      <c r="DQ681" s="72">
        <v>0</v>
      </c>
      <c r="DR681" s="72">
        <v>0</v>
      </c>
      <c r="DS681" s="72">
        <v>0</v>
      </c>
      <c r="DT681" s="72">
        <v>0</v>
      </c>
      <c r="DU681" s="72">
        <v>0</v>
      </c>
      <c r="DV681" s="72">
        <v>0</v>
      </c>
      <c r="DW681" s="72">
        <v>0</v>
      </c>
      <c r="DX681" s="72">
        <v>0</v>
      </c>
      <c r="DY681" s="72">
        <v>0</v>
      </c>
      <c r="DZ681" s="72">
        <v>0</v>
      </c>
      <c r="EA681" s="72">
        <v>0</v>
      </c>
      <c r="EB681" s="72">
        <v>0</v>
      </c>
      <c r="EC681" s="72">
        <v>0</v>
      </c>
      <c r="ED681" s="72">
        <v>0</v>
      </c>
      <c r="EE681" s="72">
        <v>0</v>
      </c>
      <c r="EF681" s="72">
        <v>0</v>
      </c>
      <c r="EG681" s="72">
        <v>0</v>
      </c>
      <c r="EH681" s="72">
        <v>0</v>
      </c>
      <c r="EI681" s="72">
        <v>0</v>
      </c>
      <c r="EJ681" s="72">
        <v>0</v>
      </c>
      <c r="EK681" s="72">
        <v>0</v>
      </c>
      <c r="EL681" s="72">
        <v>0</v>
      </c>
    </row>
    <row r="682" spans="1:142" x14ac:dyDescent="0.35">
      <c r="A682" s="59">
        <f>Данные!A682</f>
        <v>5762</v>
      </c>
      <c r="B682" s="59">
        <f>Данные!B682</f>
        <v>2018</v>
      </c>
      <c r="C682" s="59" t="str">
        <f>Данные!C682</f>
        <v>компьютерных технологий и электронного обучения</v>
      </c>
      <c r="D682" s="59" t="str">
        <f>Данные!D682</f>
        <v>Гончарова Светлана Викторовна</v>
      </c>
      <c r="E682" s="59" t="str">
        <f>Данные!E682</f>
        <v>кандидат педагогических наук</v>
      </c>
      <c r="F682" s="59" t="str">
        <f>Данные!F682</f>
        <v>доцент</v>
      </c>
      <c r="G682" s="59">
        <f>Данные!G682</f>
        <v>1</v>
      </c>
      <c r="H682" s="59">
        <f>Данные!H682</f>
        <v>17248</v>
      </c>
      <c r="I682" s="59" t="str">
        <f>Данные!I682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82" s="59">
        <f>Данные!J682</f>
        <v>0</v>
      </c>
      <c r="K682" s="59">
        <f>Данные!K682</f>
        <v>0</v>
      </c>
      <c r="L682" s="59">
        <f>Данные!L682</f>
        <v>0</v>
      </c>
      <c r="M682" s="60">
        <f t="shared" si="90"/>
        <v>0</v>
      </c>
      <c r="N682" s="60">
        <f t="shared" ca="1" si="91"/>
        <v>5.3000000000000007</v>
      </c>
      <c r="O682" s="60">
        <f t="shared" ca="1" si="92"/>
        <v>2.5</v>
      </c>
      <c r="P682" s="60">
        <f t="shared" ca="1" si="93"/>
        <v>2.5</v>
      </c>
      <c r="Q682" s="54">
        <f>Данные!Q682</f>
        <v>0</v>
      </c>
      <c r="R682" s="54">
        <f>Данные!R682</f>
        <v>0</v>
      </c>
      <c r="S682" s="54">
        <f>Данные!S682</f>
        <v>0</v>
      </c>
      <c r="T682" s="54">
        <f>Данные!T682</f>
        <v>0</v>
      </c>
      <c r="U682" s="54">
        <f>Данные!U682</f>
        <v>4</v>
      </c>
      <c r="V682" s="54">
        <f>Данные!V682</f>
        <v>0</v>
      </c>
      <c r="W682" s="54">
        <f ca="1">Данные!W682</f>
        <v>10</v>
      </c>
      <c r="X682" s="54" t="str">
        <f ca="1">Данные!X682</f>
        <v>1</v>
      </c>
      <c r="Y682" s="54" t="str">
        <f ca="1">Данные!Y682</f>
        <v>1</v>
      </c>
      <c r="Z682" s="54">
        <f>Данные!Z682</f>
        <v>0</v>
      </c>
      <c r="AA682" s="54" t="str">
        <f>Данные!AA682</f>
        <v>осн</v>
      </c>
      <c r="AB682" s="101">
        <f t="shared" si="94"/>
        <v>800</v>
      </c>
      <c r="AC682" s="101" t="str">
        <f t="shared" si="95"/>
        <v>КЭО (маг)</v>
      </c>
      <c r="AD682" s="101" t="str">
        <f t="shared" si="96"/>
        <v/>
      </c>
      <c r="AE682" s="102">
        <f t="shared" ca="1" si="97"/>
        <v>14.3</v>
      </c>
      <c r="AF682" s="103">
        <f t="shared" ca="1" si="98"/>
        <v>1.7875000000000002E-2</v>
      </c>
      <c r="AG682" s="101"/>
      <c r="AH682" s="101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Q682" s="72">
        <v>0</v>
      </c>
      <c r="BR682" s="72">
        <v>0</v>
      </c>
      <c r="BS682" s="72">
        <v>0</v>
      </c>
      <c r="BT682" s="72">
        <v>0</v>
      </c>
      <c r="BU682" s="72">
        <v>0</v>
      </c>
      <c r="BV682" s="72">
        <v>0</v>
      </c>
      <c r="BW682" s="72">
        <v>0</v>
      </c>
      <c r="BX682" s="72">
        <v>0</v>
      </c>
      <c r="BY682" s="72">
        <v>0</v>
      </c>
      <c r="BZ682" s="72">
        <v>0</v>
      </c>
      <c r="CA682" s="72">
        <v>0</v>
      </c>
      <c r="CB682" s="72">
        <v>0</v>
      </c>
      <c r="CC682" s="72">
        <v>0</v>
      </c>
      <c r="CD682" s="72">
        <v>0</v>
      </c>
      <c r="CE682" s="72">
        <v>0</v>
      </c>
      <c r="CF682" s="72">
        <v>0</v>
      </c>
      <c r="CG682" s="72">
        <v>0</v>
      </c>
      <c r="CH682" s="72">
        <v>0</v>
      </c>
      <c r="CI682" s="72">
        <v>0</v>
      </c>
      <c r="CJ682" s="72">
        <v>0</v>
      </c>
      <c r="CK682" s="72">
        <v>0</v>
      </c>
      <c r="CL682" s="72">
        <v>0</v>
      </c>
      <c r="CM682" s="72">
        <v>0</v>
      </c>
      <c r="CN682" s="72">
        <v>0</v>
      </c>
      <c r="CO682" s="72">
        <v>0</v>
      </c>
      <c r="CP682" s="72">
        <v>0</v>
      </c>
      <c r="CQ682" s="72">
        <v>0</v>
      </c>
      <c r="CR682" s="72">
        <v>0</v>
      </c>
      <c r="CS682" s="72">
        <v>0</v>
      </c>
      <c r="CT682" s="72">
        <v>0</v>
      </c>
      <c r="CU682" s="72">
        <v>0</v>
      </c>
      <c r="CV682" s="72">
        <v>0</v>
      </c>
      <c r="CW682" s="72">
        <v>0</v>
      </c>
      <c r="CX682" s="72">
        <v>0</v>
      </c>
      <c r="CY682" s="72">
        <v>0</v>
      </c>
      <c r="CZ682" s="72">
        <v>0</v>
      </c>
      <c r="DA682" s="72">
        <v>0</v>
      </c>
      <c r="DB682" s="72">
        <v>0</v>
      </c>
      <c r="DC682" s="72">
        <v>0</v>
      </c>
      <c r="DD682" s="72">
        <v>0</v>
      </c>
      <c r="DE682" s="72">
        <v>0</v>
      </c>
      <c r="DF682" s="72">
        <v>0</v>
      </c>
      <c r="DG682" s="72">
        <v>0</v>
      </c>
      <c r="DH682" s="72">
        <v>0</v>
      </c>
      <c r="DI682" s="72">
        <v>0</v>
      </c>
      <c r="DJ682" s="72">
        <v>0</v>
      </c>
      <c r="DK682" s="72">
        <v>0</v>
      </c>
      <c r="DL682" s="72">
        <v>0</v>
      </c>
      <c r="DM682" s="72">
        <v>0</v>
      </c>
      <c r="DN682" s="72">
        <v>0</v>
      </c>
      <c r="DO682" s="72">
        <v>0</v>
      </c>
      <c r="DP682" s="72">
        <v>0</v>
      </c>
      <c r="DQ682" s="72">
        <v>0</v>
      </c>
      <c r="DR682" s="72">
        <v>0</v>
      </c>
      <c r="DS682" s="72">
        <v>0</v>
      </c>
      <c r="DT682" s="72">
        <v>0</v>
      </c>
      <c r="DU682" s="72">
        <v>0</v>
      </c>
      <c r="DV682" s="72">
        <v>0</v>
      </c>
      <c r="DW682" s="72">
        <v>0</v>
      </c>
      <c r="DX682" s="72">
        <v>0</v>
      </c>
      <c r="DY682" s="72">
        <v>0</v>
      </c>
      <c r="DZ682" s="72">
        <v>0</v>
      </c>
      <c r="EA682" s="72">
        <v>0</v>
      </c>
      <c r="EB682" s="72">
        <v>0</v>
      </c>
      <c r="EC682" s="72">
        <v>0</v>
      </c>
      <c r="ED682" s="72">
        <v>0</v>
      </c>
      <c r="EE682" s="72">
        <v>0</v>
      </c>
      <c r="EF682" s="72">
        <v>0</v>
      </c>
      <c r="EG682" s="72">
        <v>0</v>
      </c>
      <c r="EH682" s="72">
        <v>0</v>
      </c>
      <c r="EI682" s="72">
        <v>0</v>
      </c>
      <c r="EJ682" s="72">
        <v>0</v>
      </c>
      <c r="EK682" s="72">
        <v>0</v>
      </c>
      <c r="EL682" s="72">
        <v>0</v>
      </c>
    </row>
    <row r="683" spans="1:142" x14ac:dyDescent="0.35">
      <c r="A683" s="59">
        <f>Данные!A683</f>
        <v>5762</v>
      </c>
      <c r="B683" s="59">
        <f>Данные!B683</f>
        <v>2018</v>
      </c>
      <c r="C683" s="59" t="str">
        <f>Данные!C683</f>
        <v>компьютерных технологий и электронного обучения</v>
      </c>
      <c r="D683" s="59" t="str">
        <f>Данные!D683</f>
        <v>Гончарова Светлана Викторовна</v>
      </c>
      <c r="E683" s="59" t="str">
        <f>Данные!E683</f>
        <v>кандидат педагогических наук</v>
      </c>
      <c r="F683" s="59" t="str">
        <f>Данные!F683</f>
        <v>доцент</v>
      </c>
      <c r="G683" s="59">
        <f>Данные!G683</f>
        <v>1</v>
      </c>
      <c r="H683" s="59">
        <f>Данные!H683</f>
        <v>17248</v>
      </c>
      <c r="I683" s="59" t="str">
        <f>Данные!I683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83" s="59">
        <f>Данные!J683</f>
        <v>0</v>
      </c>
      <c r="K683" s="59">
        <f>Данные!K683</f>
        <v>0</v>
      </c>
      <c r="L683" s="59">
        <f>Данные!L683</f>
        <v>0</v>
      </c>
      <c r="M683" s="60">
        <f t="shared" si="90"/>
        <v>0</v>
      </c>
      <c r="N683" s="60">
        <f t="shared" ca="1" si="91"/>
        <v>5.3000000000000007</v>
      </c>
      <c r="O683" s="60">
        <f t="shared" ca="1" si="92"/>
        <v>2.5</v>
      </c>
      <c r="P683" s="60">
        <f t="shared" ca="1" si="93"/>
        <v>2.5</v>
      </c>
      <c r="Q683" s="54">
        <f>Данные!Q683</f>
        <v>0</v>
      </c>
      <c r="R683" s="54">
        <f>Данные!R683</f>
        <v>0</v>
      </c>
      <c r="S683" s="54">
        <f>Данные!S683</f>
        <v>0</v>
      </c>
      <c r="T683" s="54">
        <f>Данные!T683</f>
        <v>0</v>
      </c>
      <c r="U683" s="54">
        <f>Данные!U683</f>
        <v>2</v>
      </c>
      <c r="V683" s="54">
        <f>Данные!V683</f>
        <v>0</v>
      </c>
      <c r="W683" s="54">
        <f ca="1">Данные!W683</f>
        <v>10</v>
      </c>
      <c r="X683" s="54" t="str">
        <f ca="1">Данные!X683</f>
        <v>1</v>
      </c>
      <c r="Y683" s="54" t="str">
        <f ca="1">Данные!Y683</f>
        <v>1</v>
      </c>
      <c r="Z683" s="54">
        <f>Данные!Z683</f>
        <v>0</v>
      </c>
      <c r="AA683" s="54" t="str">
        <f>Данные!AA683</f>
        <v>осн</v>
      </c>
      <c r="AB683" s="101">
        <f t="shared" si="94"/>
        <v>800</v>
      </c>
      <c r="AC683" s="101" t="str">
        <f t="shared" si="95"/>
        <v>КЭО (маг)</v>
      </c>
      <c r="AD683" s="101" t="str">
        <f t="shared" si="96"/>
        <v/>
      </c>
      <c r="AE683" s="102">
        <f t="shared" ca="1" si="97"/>
        <v>12.3</v>
      </c>
      <c r="AF683" s="103">
        <f t="shared" ca="1" si="98"/>
        <v>1.5375000000000002E-2</v>
      </c>
      <c r="AG683" s="101"/>
      <c r="AH683" s="101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Q683" s="72">
        <v>0</v>
      </c>
      <c r="BR683" s="72">
        <v>0</v>
      </c>
      <c r="BS683" s="72">
        <v>0</v>
      </c>
      <c r="BT683" s="72">
        <v>0</v>
      </c>
      <c r="BU683" s="72">
        <v>0</v>
      </c>
      <c r="BV683" s="72">
        <v>0</v>
      </c>
      <c r="BW683" s="72">
        <v>0</v>
      </c>
      <c r="BX683" s="72">
        <v>0</v>
      </c>
      <c r="BY683" s="72">
        <v>0</v>
      </c>
      <c r="BZ683" s="72">
        <v>0</v>
      </c>
      <c r="CA683" s="72">
        <v>0</v>
      </c>
      <c r="CB683" s="72">
        <v>0</v>
      </c>
      <c r="CC683" s="72">
        <v>0</v>
      </c>
      <c r="CD683" s="72">
        <v>0</v>
      </c>
      <c r="CE683" s="72">
        <v>0</v>
      </c>
      <c r="CF683" s="72">
        <v>0</v>
      </c>
      <c r="CG683" s="72">
        <v>0</v>
      </c>
      <c r="CH683" s="72">
        <v>0</v>
      </c>
      <c r="CI683" s="72">
        <v>0</v>
      </c>
      <c r="CJ683" s="72">
        <v>0</v>
      </c>
      <c r="CK683" s="72">
        <v>0</v>
      </c>
      <c r="CL683" s="72">
        <v>0</v>
      </c>
      <c r="CM683" s="72">
        <v>0</v>
      </c>
      <c r="CN683" s="72">
        <v>0</v>
      </c>
      <c r="CO683" s="72">
        <v>0</v>
      </c>
      <c r="CP683" s="72">
        <v>0</v>
      </c>
      <c r="CQ683" s="72">
        <v>0</v>
      </c>
      <c r="CR683" s="72">
        <v>0</v>
      </c>
      <c r="CS683" s="72">
        <v>0</v>
      </c>
      <c r="CT683" s="72">
        <v>0</v>
      </c>
      <c r="CU683" s="72">
        <v>0</v>
      </c>
      <c r="CV683" s="72">
        <v>0</v>
      </c>
      <c r="CW683" s="72">
        <v>0</v>
      </c>
      <c r="CX683" s="72">
        <v>0</v>
      </c>
      <c r="CY683" s="72">
        <v>0</v>
      </c>
      <c r="CZ683" s="72">
        <v>0</v>
      </c>
      <c r="DA683" s="72">
        <v>0</v>
      </c>
      <c r="DB683" s="72">
        <v>0</v>
      </c>
      <c r="DC683" s="72">
        <v>0</v>
      </c>
      <c r="DD683" s="72">
        <v>0</v>
      </c>
      <c r="DE683" s="72">
        <v>0</v>
      </c>
      <c r="DF683" s="72">
        <v>0</v>
      </c>
      <c r="DG683" s="72">
        <v>0</v>
      </c>
      <c r="DH683" s="72">
        <v>0</v>
      </c>
      <c r="DI683" s="72">
        <v>0</v>
      </c>
      <c r="DJ683" s="72">
        <v>0</v>
      </c>
      <c r="DK683" s="72">
        <v>0</v>
      </c>
      <c r="DL683" s="72">
        <v>0</v>
      </c>
      <c r="DM683" s="72">
        <v>0</v>
      </c>
      <c r="DN683" s="72">
        <v>0</v>
      </c>
      <c r="DO683" s="72">
        <v>0</v>
      </c>
      <c r="DP683" s="72">
        <v>0</v>
      </c>
      <c r="DQ683" s="72">
        <v>0</v>
      </c>
      <c r="DR683" s="72">
        <v>0</v>
      </c>
      <c r="DS683" s="72">
        <v>0</v>
      </c>
      <c r="DT683" s="72">
        <v>0</v>
      </c>
      <c r="DU683" s="72">
        <v>0</v>
      </c>
      <c r="DV683" s="72">
        <v>0</v>
      </c>
      <c r="DW683" s="72">
        <v>0</v>
      </c>
      <c r="DX683" s="72">
        <v>0</v>
      </c>
      <c r="DY683" s="72">
        <v>0</v>
      </c>
      <c r="DZ683" s="72">
        <v>0</v>
      </c>
      <c r="EA683" s="72">
        <v>0</v>
      </c>
      <c r="EB683" s="72">
        <v>0</v>
      </c>
      <c r="EC683" s="72">
        <v>0</v>
      </c>
      <c r="ED683" s="72">
        <v>0</v>
      </c>
      <c r="EE683" s="72">
        <v>0</v>
      </c>
      <c r="EF683" s="72">
        <v>0</v>
      </c>
      <c r="EG683" s="72">
        <v>0</v>
      </c>
      <c r="EH683" s="72">
        <v>0</v>
      </c>
      <c r="EI683" s="72">
        <v>0</v>
      </c>
      <c r="EJ683" s="72">
        <v>0</v>
      </c>
      <c r="EK683" s="72">
        <v>0</v>
      </c>
      <c r="EL683" s="72">
        <v>0</v>
      </c>
    </row>
    <row r="684" spans="1:142" x14ac:dyDescent="0.35">
      <c r="A684" s="59">
        <f>Данные!A684</f>
        <v>5762</v>
      </c>
      <c r="B684" s="59">
        <f>Данные!B684</f>
        <v>2018</v>
      </c>
      <c r="C684" s="59" t="str">
        <f>Данные!C684</f>
        <v>компьютерных технологий и электронного обучения</v>
      </c>
      <c r="D684" s="59" t="str">
        <f>Данные!D684</f>
        <v>Государев Илья Борисович</v>
      </c>
      <c r="E684" s="59" t="str">
        <f>Данные!E684</f>
        <v>кандидат педагогических наук</v>
      </c>
      <c r="F684" s="59" t="str">
        <f>Данные!F684</f>
        <v>доцент</v>
      </c>
      <c r="G684" s="59">
        <f>Данные!G684</f>
        <v>1</v>
      </c>
      <c r="H684" s="59">
        <f>Данные!H684</f>
        <v>17248</v>
      </c>
      <c r="I684" s="59" t="str">
        <f>Данные!I684</f>
        <v>Модуль "SMART-обучение". Дисциплины и курсы по выбору. Методология и технологии SMART-обучения</v>
      </c>
      <c r="J684" s="59">
        <f>Данные!J684</f>
        <v>4</v>
      </c>
      <c r="K684" s="59">
        <f>Данные!K684</f>
        <v>0</v>
      </c>
      <c r="L684" s="59">
        <f>Данные!L684</f>
        <v>0</v>
      </c>
      <c r="M684" s="60">
        <f t="shared" si="90"/>
        <v>0.4</v>
      </c>
      <c r="N684" s="60">
        <f t="shared" ca="1" si="91"/>
        <v>5.3000000000000007</v>
      </c>
      <c r="O684" s="60">
        <f t="shared" ca="1" si="92"/>
        <v>2.5</v>
      </c>
      <c r="P684" s="60">
        <f t="shared" ca="1" si="93"/>
        <v>2.5</v>
      </c>
      <c r="Q684" s="54">
        <f>Данные!Q684</f>
        <v>0</v>
      </c>
      <c r="R684" s="54">
        <f>Данные!R684</f>
        <v>0</v>
      </c>
      <c r="S684" s="54">
        <f>Данные!S684</f>
        <v>0</v>
      </c>
      <c r="T684" s="54">
        <f>Данные!T684</f>
        <v>0</v>
      </c>
      <c r="U684" s="54">
        <f>Данные!U684</f>
        <v>0</v>
      </c>
      <c r="V684" s="54">
        <f>Данные!V684</f>
        <v>0</v>
      </c>
      <c r="W684" s="54">
        <f ca="1">Данные!W684</f>
        <v>10</v>
      </c>
      <c r="X684" s="54" t="str">
        <f ca="1">Данные!X684</f>
        <v>1</v>
      </c>
      <c r="Y684" s="54" t="str">
        <f ca="1">Данные!Y684</f>
        <v>1</v>
      </c>
      <c r="Z684" s="54">
        <f>Данные!Z684</f>
        <v>0</v>
      </c>
      <c r="AA684" s="54" t="str">
        <f>Данные!AA684</f>
        <v>осн</v>
      </c>
      <c r="AB684" s="101">
        <f t="shared" si="94"/>
        <v>800</v>
      </c>
      <c r="AC684" s="101" t="str">
        <f t="shared" si="95"/>
        <v>КЭО (маг)</v>
      </c>
      <c r="AD684" s="101" t="str">
        <f t="shared" si="96"/>
        <v/>
      </c>
      <c r="AE684" s="102">
        <f t="shared" ca="1" si="97"/>
        <v>14.700000000000001</v>
      </c>
      <c r="AF684" s="103">
        <f t="shared" ca="1" si="98"/>
        <v>1.8375000000000002E-2</v>
      </c>
      <c r="AG684" s="101"/>
      <c r="AH684" s="101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Q684" s="72">
        <v>0</v>
      </c>
      <c r="BR684" s="72">
        <v>0</v>
      </c>
      <c r="BS684" s="72">
        <v>0</v>
      </c>
      <c r="BT684" s="72">
        <v>0</v>
      </c>
      <c r="BU684" s="72">
        <v>0</v>
      </c>
      <c r="BV684" s="72">
        <v>0</v>
      </c>
      <c r="BW684" s="72">
        <v>0</v>
      </c>
      <c r="BX684" s="72">
        <v>0</v>
      </c>
      <c r="BY684" s="72">
        <v>0</v>
      </c>
      <c r="BZ684" s="72">
        <v>0</v>
      </c>
      <c r="CA684" s="72">
        <v>0</v>
      </c>
      <c r="CB684" s="72">
        <v>0</v>
      </c>
      <c r="CC684" s="72">
        <v>0</v>
      </c>
      <c r="CD684" s="72">
        <v>0</v>
      </c>
      <c r="CE684" s="72">
        <v>0</v>
      </c>
      <c r="CF684" s="72">
        <v>0</v>
      </c>
      <c r="CG684" s="72">
        <v>0</v>
      </c>
      <c r="CH684" s="72">
        <v>0</v>
      </c>
      <c r="CI684" s="72">
        <v>0</v>
      </c>
      <c r="CJ684" s="72">
        <v>0</v>
      </c>
      <c r="CK684" s="72">
        <v>0</v>
      </c>
      <c r="CL684" s="72">
        <v>0</v>
      </c>
      <c r="CM684" s="72">
        <v>0</v>
      </c>
      <c r="CN684" s="72">
        <v>0</v>
      </c>
      <c r="CO684" s="72">
        <v>0</v>
      </c>
      <c r="CP684" s="72">
        <v>0</v>
      </c>
      <c r="CQ684" s="72">
        <v>0</v>
      </c>
      <c r="CR684" s="72">
        <v>0</v>
      </c>
      <c r="CS684" s="72">
        <v>0</v>
      </c>
      <c r="CT684" s="72">
        <v>0</v>
      </c>
      <c r="CU684" s="72">
        <v>0</v>
      </c>
      <c r="CV684" s="72">
        <v>0</v>
      </c>
      <c r="CW684" s="72">
        <v>0</v>
      </c>
      <c r="CX684" s="72">
        <v>0</v>
      </c>
      <c r="CY684" s="72">
        <v>0</v>
      </c>
      <c r="CZ684" s="72">
        <v>0</v>
      </c>
      <c r="DA684" s="72">
        <v>0</v>
      </c>
      <c r="DB684" s="72">
        <v>0</v>
      </c>
      <c r="DC684" s="72">
        <v>0</v>
      </c>
      <c r="DD684" s="72">
        <v>0</v>
      </c>
      <c r="DE684" s="72">
        <v>0</v>
      </c>
      <c r="DF684" s="72">
        <v>0</v>
      </c>
      <c r="DG684" s="72">
        <v>0</v>
      </c>
      <c r="DH684" s="72">
        <v>0</v>
      </c>
      <c r="DI684" s="72">
        <v>0</v>
      </c>
      <c r="DJ684" s="72">
        <v>0</v>
      </c>
      <c r="DK684" s="72">
        <v>0</v>
      </c>
      <c r="DL684" s="72">
        <v>0</v>
      </c>
      <c r="DM684" s="72">
        <v>0</v>
      </c>
      <c r="DN684" s="72">
        <v>0</v>
      </c>
      <c r="DO684" s="72">
        <v>0</v>
      </c>
      <c r="DP684" s="72">
        <v>0</v>
      </c>
      <c r="DQ684" s="72">
        <v>0</v>
      </c>
      <c r="DR684" s="72">
        <v>0</v>
      </c>
      <c r="DS684" s="72">
        <v>0</v>
      </c>
      <c r="DT684" s="72">
        <v>0</v>
      </c>
      <c r="DU684" s="72">
        <v>0</v>
      </c>
      <c r="DV684" s="72">
        <v>0</v>
      </c>
      <c r="DW684" s="72">
        <v>0</v>
      </c>
      <c r="DX684" s="72">
        <v>0</v>
      </c>
      <c r="DY684" s="72">
        <v>0</v>
      </c>
      <c r="DZ684" s="72">
        <v>0</v>
      </c>
      <c r="EA684" s="72">
        <v>0</v>
      </c>
      <c r="EB684" s="72">
        <v>0</v>
      </c>
      <c r="EC684" s="72">
        <v>0</v>
      </c>
      <c r="ED684" s="72">
        <v>0</v>
      </c>
      <c r="EE684" s="72">
        <v>0</v>
      </c>
      <c r="EF684" s="72">
        <v>0</v>
      </c>
      <c r="EG684" s="72">
        <v>0</v>
      </c>
      <c r="EH684" s="72">
        <v>0</v>
      </c>
      <c r="EI684" s="72">
        <v>0</v>
      </c>
      <c r="EJ684" s="72">
        <v>0</v>
      </c>
      <c r="EK684" s="72">
        <v>0</v>
      </c>
      <c r="EL684" s="72">
        <v>0</v>
      </c>
    </row>
    <row r="685" spans="1:142" x14ac:dyDescent="0.35">
      <c r="A685" s="59">
        <f>Данные!A685</f>
        <v>5762</v>
      </c>
      <c r="B685" s="59">
        <f>Данные!B685</f>
        <v>2018</v>
      </c>
      <c r="C685" s="59" t="str">
        <f>Данные!C685</f>
        <v>компьютерных технологий и электронного обучения</v>
      </c>
      <c r="D685" s="59" t="str">
        <f>Данные!D685</f>
        <v>Государев Илья Борисович</v>
      </c>
      <c r="E685" s="59" t="str">
        <f>Данные!E685</f>
        <v>кандидат педагогических наук</v>
      </c>
      <c r="F685" s="59" t="str">
        <f>Данные!F685</f>
        <v>доцент</v>
      </c>
      <c r="G685" s="59">
        <f>Данные!G685</f>
        <v>1</v>
      </c>
      <c r="H685" s="59">
        <f>Данные!H685</f>
        <v>17248</v>
      </c>
      <c r="I685" s="59" t="str">
        <f>Данные!I685</f>
        <v>Модуль "Интеллектуальные информационные технологии в образовании". Информационные технологии в изучении иностранных языков</v>
      </c>
      <c r="J685" s="59">
        <f>Данные!J685</f>
        <v>4</v>
      </c>
      <c r="K685" s="59">
        <f>Данные!K685</f>
        <v>14</v>
      </c>
      <c r="L685" s="59">
        <f>Данные!L685</f>
        <v>0</v>
      </c>
      <c r="M685" s="60">
        <f t="shared" si="90"/>
        <v>1.8</v>
      </c>
      <c r="N685" s="60">
        <f t="shared" ca="1" si="91"/>
        <v>5.3000000000000007</v>
      </c>
      <c r="O685" s="60">
        <f t="shared" ca="1" si="92"/>
        <v>2.5</v>
      </c>
      <c r="P685" s="60">
        <f t="shared" ca="1" si="93"/>
        <v>2.5</v>
      </c>
      <c r="Q685" s="54">
        <f>Данные!Q685</f>
        <v>0</v>
      </c>
      <c r="R685" s="54">
        <f>Данные!R685</f>
        <v>0</v>
      </c>
      <c r="S685" s="54">
        <f>Данные!S685</f>
        <v>0</v>
      </c>
      <c r="T685" s="54">
        <f>Данные!T685</f>
        <v>0</v>
      </c>
      <c r="U685" s="54">
        <f>Данные!U685</f>
        <v>0</v>
      </c>
      <c r="V685" s="54">
        <f>Данные!V685</f>
        <v>0</v>
      </c>
      <c r="W685" s="54">
        <f ca="1">Данные!W685</f>
        <v>10</v>
      </c>
      <c r="X685" s="54" t="str">
        <f ca="1">Данные!X685</f>
        <v>1</v>
      </c>
      <c r="Y685" s="54" t="str">
        <f ca="1">Данные!Y685</f>
        <v>1</v>
      </c>
      <c r="Z685" s="54">
        <f>Данные!Z685</f>
        <v>0</v>
      </c>
      <c r="AA685" s="54">
        <f>Данные!AA685</f>
        <v>0</v>
      </c>
      <c r="AB685" s="101">
        <f t="shared" si="94"/>
        <v>800</v>
      </c>
      <c r="AC685" s="101" t="str">
        <f t="shared" si="95"/>
        <v>КЭО (маг)</v>
      </c>
      <c r="AD685" s="101" t="str">
        <f t="shared" si="96"/>
        <v/>
      </c>
      <c r="AE685" s="102">
        <f t="shared" ca="1" si="97"/>
        <v>30.1</v>
      </c>
      <c r="AF685" s="103">
        <f t="shared" ca="1" si="98"/>
        <v>3.7624999999999999E-2</v>
      </c>
      <c r="AG685" s="101"/>
      <c r="AH685" s="101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Q685" s="72">
        <v>0</v>
      </c>
      <c r="BR685" s="72">
        <v>0</v>
      </c>
      <c r="BS685" s="72">
        <v>0</v>
      </c>
      <c r="BT685" s="72">
        <v>0</v>
      </c>
      <c r="BU685" s="72">
        <v>0</v>
      </c>
      <c r="BV685" s="72">
        <v>0</v>
      </c>
      <c r="BW685" s="72">
        <v>0</v>
      </c>
      <c r="BX685" s="72">
        <v>0</v>
      </c>
      <c r="BY685" s="72">
        <v>0</v>
      </c>
      <c r="BZ685" s="72">
        <v>0</v>
      </c>
      <c r="CA685" s="72">
        <v>0</v>
      </c>
      <c r="CB685" s="72">
        <v>0</v>
      </c>
      <c r="CC685" s="72">
        <v>0</v>
      </c>
      <c r="CD685" s="72">
        <v>0</v>
      </c>
      <c r="CE685" s="72">
        <v>0</v>
      </c>
      <c r="CF685" s="72">
        <v>0</v>
      </c>
      <c r="CG685" s="72">
        <v>0</v>
      </c>
      <c r="CH685" s="72">
        <v>0</v>
      </c>
      <c r="CI685" s="72">
        <v>0</v>
      </c>
      <c r="CJ685" s="72">
        <v>0</v>
      </c>
      <c r="CK685" s="72">
        <v>0</v>
      </c>
      <c r="CL685" s="72">
        <v>0</v>
      </c>
      <c r="CM685" s="72">
        <v>0</v>
      </c>
      <c r="CN685" s="72">
        <v>0</v>
      </c>
      <c r="CO685" s="72">
        <v>0</v>
      </c>
      <c r="CP685" s="72">
        <v>0</v>
      </c>
      <c r="CQ685" s="72">
        <v>0</v>
      </c>
      <c r="CR685" s="72">
        <v>0</v>
      </c>
      <c r="CS685" s="72">
        <v>0</v>
      </c>
      <c r="CT685" s="72">
        <v>0</v>
      </c>
      <c r="CU685" s="72">
        <v>0</v>
      </c>
      <c r="CV685" s="72">
        <v>0</v>
      </c>
      <c r="CW685" s="72">
        <v>0</v>
      </c>
      <c r="CX685" s="72">
        <v>0</v>
      </c>
      <c r="CY685" s="72">
        <v>0</v>
      </c>
      <c r="CZ685" s="72">
        <v>0</v>
      </c>
      <c r="DA685" s="72">
        <v>0</v>
      </c>
      <c r="DB685" s="72">
        <v>0</v>
      </c>
      <c r="DC685" s="72">
        <v>0</v>
      </c>
      <c r="DD685" s="72">
        <v>0</v>
      </c>
      <c r="DE685" s="72">
        <v>0</v>
      </c>
      <c r="DF685" s="72">
        <v>0</v>
      </c>
      <c r="DG685" s="72">
        <v>0</v>
      </c>
      <c r="DH685" s="72">
        <v>0</v>
      </c>
      <c r="DI685" s="72">
        <v>0</v>
      </c>
      <c r="DJ685" s="72">
        <v>0</v>
      </c>
      <c r="DK685" s="72">
        <v>0</v>
      </c>
      <c r="DL685" s="72">
        <v>0</v>
      </c>
      <c r="DM685" s="72">
        <v>0</v>
      </c>
      <c r="DN685" s="72">
        <v>0</v>
      </c>
      <c r="DO685" s="72">
        <v>0</v>
      </c>
      <c r="DP685" s="72">
        <v>0</v>
      </c>
      <c r="DQ685" s="72">
        <v>0</v>
      </c>
      <c r="DR685" s="72">
        <v>0</v>
      </c>
      <c r="DS685" s="72">
        <v>0</v>
      </c>
      <c r="DT685" s="72">
        <v>0</v>
      </c>
      <c r="DU685" s="72">
        <v>0</v>
      </c>
      <c r="DV685" s="72">
        <v>0</v>
      </c>
      <c r="DW685" s="72">
        <v>0</v>
      </c>
      <c r="DX685" s="72">
        <v>0</v>
      </c>
      <c r="DY685" s="72">
        <v>0</v>
      </c>
      <c r="DZ685" s="72">
        <v>0</v>
      </c>
      <c r="EA685" s="72">
        <v>0</v>
      </c>
      <c r="EB685" s="72">
        <v>0</v>
      </c>
      <c r="EC685" s="72">
        <v>0</v>
      </c>
      <c r="ED685" s="72">
        <v>0</v>
      </c>
      <c r="EE685" s="72">
        <v>0</v>
      </c>
      <c r="EF685" s="72">
        <v>0</v>
      </c>
      <c r="EG685" s="72">
        <v>0</v>
      </c>
      <c r="EH685" s="72">
        <v>0</v>
      </c>
      <c r="EI685" s="72">
        <v>0</v>
      </c>
      <c r="EJ685" s="72">
        <v>0</v>
      </c>
      <c r="EK685" s="72">
        <v>0</v>
      </c>
      <c r="EL685" s="72">
        <v>0</v>
      </c>
    </row>
    <row r="686" spans="1:142" x14ac:dyDescent="0.35">
      <c r="A686" s="59">
        <f>Данные!A686</f>
        <v>5762</v>
      </c>
      <c r="B686" s="59">
        <f>Данные!B686</f>
        <v>2018</v>
      </c>
      <c r="C686" s="59" t="str">
        <f>Данные!C686</f>
        <v>компьютерных технологий и электронного обучения</v>
      </c>
      <c r="D686" s="59" t="str">
        <f>Данные!D686</f>
        <v>Государев Илья Борисович</v>
      </c>
      <c r="E686" s="59" t="str">
        <f>Данные!E686</f>
        <v>кандидат педагогических наук</v>
      </c>
      <c r="F686" s="59" t="str">
        <f>Данные!F686</f>
        <v>доцент</v>
      </c>
      <c r="G686" s="59">
        <f>Данные!G686</f>
        <v>1</v>
      </c>
      <c r="H686" s="59">
        <f>Данные!H686</f>
        <v>17248</v>
      </c>
      <c r="I686" s="59" t="str">
        <f>Данные!I686</f>
        <v>Научно-исследовательская работа. Педагогическое образование. Магистерская программа "Корпоративное электронное обучение"</v>
      </c>
      <c r="J686" s="59">
        <f>Данные!J686</f>
        <v>0</v>
      </c>
      <c r="K686" s="59">
        <f>Данные!K686</f>
        <v>0</v>
      </c>
      <c r="L686" s="59">
        <f>Данные!L686</f>
        <v>0</v>
      </c>
      <c r="M686" s="60">
        <f t="shared" si="90"/>
        <v>0</v>
      </c>
      <c r="N686" s="60">
        <f t="shared" ca="1" si="91"/>
        <v>5.3000000000000007</v>
      </c>
      <c r="O686" s="60">
        <f t="shared" ca="1" si="92"/>
        <v>2.5</v>
      </c>
      <c r="P686" s="60">
        <f t="shared" ca="1" si="93"/>
        <v>2.5</v>
      </c>
      <c r="Q686" s="54">
        <f>Данные!Q686</f>
        <v>0</v>
      </c>
      <c r="R686" s="54">
        <f>Данные!R686</f>
        <v>0</v>
      </c>
      <c r="S686" s="54">
        <f>Данные!S686</f>
        <v>0</v>
      </c>
      <c r="T686" s="54">
        <f>Данные!T686</f>
        <v>0</v>
      </c>
      <c r="U686" s="54">
        <f>Данные!U686</f>
        <v>4</v>
      </c>
      <c r="V686" s="54">
        <f>Данные!V686</f>
        <v>0</v>
      </c>
      <c r="W686" s="54">
        <f ca="1">Данные!W686</f>
        <v>10</v>
      </c>
      <c r="X686" s="54" t="str">
        <f ca="1">Данные!X686</f>
        <v>1</v>
      </c>
      <c r="Y686" s="54" t="str">
        <f ca="1">Данные!Y686</f>
        <v>1</v>
      </c>
      <c r="Z686" s="54">
        <f>Данные!Z686</f>
        <v>0</v>
      </c>
      <c r="AA686" s="54" t="str">
        <f>Данные!AA686</f>
        <v>осн</v>
      </c>
      <c r="AB686" s="101">
        <f t="shared" si="94"/>
        <v>800</v>
      </c>
      <c r="AC686" s="101" t="str">
        <f t="shared" si="95"/>
        <v>КЭО (маг)</v>
      </c>
      <c r="AD686" s="101" t="str">
        <f t="shared" si="96"/>
        <v/>
      </c>
      <c r="AE686" s="102">
        <f t="shared" ca="1" si="97"/>
        <v>14.3</v>
      </c>
      <c r="AF686" s="103">
        <f t="shared" ca="1" si="98"/>
        <v>1.7875000000000002E-2</v>
      </c>
      <c r="AG686" s="101"/>
      <c r="AH686" s="101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Q686" s="72">
        <v>0</v>
      </c>
      <c r="BR686" s="72">
        <v>0</v>
      </c>
      <c r="BS686" s="72">
        <v>0</v>
      </c>
      <c r="BT686" s="72">
        <v>0</v>
      </c>
      <c r="BU686" s="72">
        <v>0</v>
      </c>
      <c r="BV686" s="72">
        <v>0</v>
      </c>
      <c r="BW686" s="72">
        <v>0</v>
      </c>
      <c r="BX686" s="72">
        <v>0</v>
      </c>
      <c r="BY686" s="72">
        <v>0</v>
      </c>
      <c r="BZ686" s="72">
        <v>0</v>
      </c>
      <c r="CA686" s="72">
        <v>0</v>
      </c>
      <c r="CB686" s="72">
        <v>0</v>
      </c>
      <c r="CC686" s="72">
        <v>0</v>
      </c>
      <c r="CD686" s="72">
        <v>0</v>
      </c>
      <c r="CE686" s="72">
        <v>0</v>
      </c>
      <c r="CF686" s="72">
        <v>0</v>
      </c>
      <c r="CG686" s="72">
        <v>0</v>
      </c>
      <c r="CH686" s="72">
        <v>0</v>
      </c>
      <c r="CI686" s="72">
        <v>0</v>
      </c>
      <c r="CJ686" s="72">
        <v>0</v>
      </c>
      <c r="CK686" s="72">
        <v>0</v>
      </c>
      <c r="CL686" s="72">
        <v>0</v>
      </c>
      <c r="CM686" s="72">
        <v>0</v>
      </c>
      <c r="CN686" s="72">
        <v>0</v>
      </c>
      <c r="CO686" s="72">
        <v>0</v>
      </c>
      <c r="CP686" s="72">
        <v>0</v>
      </c>
      <c r="CQ686" s="72">
        <v>0</v>
      </c>
      <c r="CR686" s="72">
        <v>0</v>
      </c>
      <c r="CS686" s="72">
        <v>0</v>
      </c>
      <c r="CT686" s="72">
        <v>0</v>
      </c>
      <c r="CU686" s="72">
        <v>0</v>
      </c>
      <c r="CV686" s="72">
        <v>0</v>
      </c>
      <c r="CW686" s="72">
        <v>0</v>
      </c>
      <c r="CX686" s="72">
        <v>0</v>
      </c>
      <c r="CY686" s="72">
        <v>0</v>
      </c>
      <c r="CZ686" s="72">
        <v>0</v>
      </c>
      <c r="DA686" s="72">
        <v>0</v>
      </c>
      <c r="DB686" s="72">
        <v>0</v>
      </c>
      <c r="DC686" s="72">
        <v>0</v>
      </c>
      <c r="DD686" s="72">
        <v>0</v>
      </c>
      <c r="DE686" s="72">
        <v>0</v>
      </c>
      <c r="DF686" s="72">
        <v>0</v>
      </c>
      <c r="DG686" s="72">
        <v>0</v>
      </c>
      <c r="DH686" s="72">
        <v>0</v>
      </c>
      <c r="DI686" s="72">
        <v>0</v>
      </c>
      <c r="DJ686" s="72">
        <v>0</v>
      </c>
      <c r="DK686" s="72">
        <v>0</v>
      </c>
      <c r="DL686" s="72">
        <v>0</v>
      </c>
      <c r="DM686" s="72">
        <v>0</v>
      </c>
      <c r="DN686" s="72">
        <v>0</v>
      </c>
      <c r="DO686" s="72">
        <v>0</v>
      </c>
      <c r="DP686" s="72">
        <v>0</v>
      </c>
      <c r="DQ686" s="72">
        <v>0</v>
      </c>
      <c r="DR686" s="72">
        <v>0</v>
      </c>
      <c r="DS686" s="72">
        <v>0</v>
      </c>
      <c r="DT686" s="72">
        <v>0</v>
      </c>
      <c r="DU686" s="72">
        <v>0</v>
      </c>
      <c r="DV686" s="72">
        <v>0</v>
      </c>
      <c r="DW686" s="72">
        <v>0</v>
      </c>
      <c r="DX686" s="72">
        <v>0</v>
      </c>
      <c r="DY686" s="72">
        <v>0</v>
      </c>
      <c r="DZ686" s="72">
        <v>0</v>
      </c>
      <c r="EA686" s="72">
        <v>0</v>
      </c>
      <c r="EB686" s="72">
        <v>0</v>
      </c>
      <c r="EC686" s="72">
        <v>0</v>
      </c>
      <c r="ED686" s="72">
        <v>0</v>
      </c>
      <c r="EE686" s="72">
        <v>0</v>
      </c>
      <c r="EF686" s="72">
        <v>0</v>
      </c>
      <c r="EG686" s="72">
        <v>0</v>
      </c>
      <c r="EH686" s="72">
        <v>0</v>
      </c>
      <c r="EI686" s="72">
        <v>0</v>
      </c>
      <c r="EJ686" s="72">
        <v>0</v>
      </c>
      <c r="EK686" s="72">
        <v>0</v>
      </c>
      <c r="EL686" s="72">
        <v>0</v>
      </c>
    </row>
    <row r="687" spans="1:142" x14ac:dyDescent="0.35">
      <c r="A687" s="59">
        <f>Данные!A687</f>
        <v>5762</v>
      </c>
      <c r="B687" s="59">
        <f>Данные!B687</f>
        <v>2018</v>
      </c>
      <c r="C687" s="59" t="str">
        <f>Данные!C687</f>
        <v>компьютерных технологий и электронного обучения</v>
      </c>
      <c r="D687" s="59" t="str">
        <f>Данные!D687</f>
        <v>Государев Илья Борисович</v>
      </c>
      <c r="E687" s="59" t="str">
        <f>Данные!E687</f>
        <v>кандидат педагогических наук</v>
      </c>
      <c r="F687" s="59" t="str">
        <f>Данные!F687</f>
        <v>доцент</v>
      </c>
      <c r="G687" s="59">
        <f>Данные!G687</f>
        <v>1</v>
      </c>
      <c r="H687" s="59">
        <f>Данные!H687</f>
        <v>17248</v>
      </c>
      <c r="I687" s="59" t="str">
        <f>Данные!I687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87" s="59">
        <f>Данные!J687</f>
        <v>0</v>
      </c>
      <c r="K687" s="59">
        <f>Данные!K687</f>
        <v>0</v>
      </c>
      <c r="L687" s="59">
        <f>Данные!L687</f>
        <v>0</v>
      </c>
      <c r="M687" s="60">
        <f t="shared" si="90"/>
        <v>0</v>
      </c>
      <c r="N687" s="60">
        <f t="shared" ca="1" si="91"/>
        <v>5.3000000000000007</v>
      </c>
      <c r="O687" s="60">
        <f t="shared" ca="1" si="92"/>
        <v>2.5</v>
      </c>
      <c r="P687" s="60">
        <f t="shared" ca="1" si="93"/>
        <v>2.5</v>
      </c>
      <c r="Q687" s="54">
        <f>Данные!Q687</f>
        <v>0</v>
      </c>
      <c r="R687" s="54">
        <f>Данные!R687</f>
        <v>6</v>
      </c>
      <c r="S687" s="54">
        <f>Данные!S687</f>
        <v>6</v>
      </c>
      <c r="T687" s="54">
        <f>Данные!T687</f>
        <v>0</v>
      </c>
      <c r="U687" s="54">
        <f>Данные!U687</f>
        <v>0</v>
      </c>
      <c r="V687" s="54">
        <f>Данные!V687</f>
        <v>34</v>
      </c>
      <c r="W687" s="54">
        <f ca="1">Данные!W687</f>
        <v>10</v>
      </c>
      <c r="X687" s="54" t="str">
        <f ca="1">Данные!X687</f>
        <v>1</v>
      </c>
      <c r="Y687" s="54" t="str">
        <f ca="1">Данные!Y687</f>
        <v>1</v>
      </c>
      <c r="Z687" s="54">
        <f>Данные!Z687</f>
        <v>0</v>
      </c>
      <c r="AA687" s="54" t="str">
        <f>Данные!AA687</f>
        <v>осн</v>
      </c>
      <c r="AB687" s="101">
        <f t="shared" si="94"/>
        <v>800</v>
      </c>
      <c r="AC687" s="101" t="str">
        <f t="shared" si="95"/>
        <v>КЭО (маг)</v>
      </c>
      <c r="AD687" s="101" t="str">
        <f t="shared" si="96"/>
        <v/>
      </c>
      <c r="AE687" s="102">
        <f t="shared" ca="1" si="97"/>
        <v>56.3</v>
      </c>
      <c r="AF687" s="103">
        <f t="shared" ca="1" si="98"/>
        <v>7.0374999999999993E-2</v>
      </c>
      <c r="AG687" s="101"/>
      <c r="AH687" s="101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Q687" s="72">
        <v>0</v>
      </c>
      <c r="BR687" s="72">
        <v>0</v>
      </c>
      <c r="BS687" s="72">
        <v>0</v>
      </c>
      <c r="BT687" s="72">
        <v>0</v>
      </c>
      <c r="BU687" s="72">
        <v>0</v>
      </c>
      <c r="BV687" s="72">
        <v>0</v>
      </c>
      <c r="BW687" s="72">
        <v>0</v>
      </c>
      <c r="BX687" s="72">
        <v>0</v>
      </c>
      <c r="BY687" s="72">
        <v>0</v>
      </c>
      <c r="BZ687" s="72">
        <v>0</v>
      </c>
      <c r="CA687" s="72">
        <v>0</v>
      </c>
      <c r="CB687" s="72">
        <v>0</v>
      </c>
      <c r="CC687" s="72">
        <v>0</v>
      </c>
      <c r="CD687" s="72">
        <v>0</v>
      </c>
      <c r="CE687" s="72">
        <v>0</v>
      </c>
      <c r="CF687" s="72">
        <v>0</v>
      </c>
      <c r="CG687" s="72">
        <v>0</v>
      </c>
      <c r="CH687" s="72">
        <v>0</v>
      </c>
      <c r="CI687" s="72">
        <v>0</v>
      </c>
      <c r="CJ687" s="72">
        <v>0</v>
      </c>
      <c r="CK687" s="72">
        <v>0</v>
      </c>
      <c r="CL687" s="72">
        <v>0</v>
      </c>
      <c r="CM687" s="72">
        <v>0</v>
      </c>
      <c r="CN687" s="72">
        <v>0</v>
      </c>
      <c r="CO687" s="72">
        <v>0</v>
      </c>
      <c r="CP687" s="72">
        <v>0</v>
      </c>
      <c r="CQ687" s="72">
        <v>0</v>
      </c>
      <c r="CR687" s="72">
        <v>0</v>
      </c>
      <c r="CS687" s="72">
        <v>0</v>
      </c>
      <c r="CT687" s="72">
        <v>0</v>
      </c>
      <c r="CU687" s="72">
        <v>0</v>
      </c>
      <c r="CV687" s="72">
        <v>0</v>
      </c>
      <c r="CW687" s="72">
        <v>0</v>
      </c>
      <c r="CX687" s="72">
        <v>0</v>
      </c>
      <c r="CY687" s="72">
        <v>0</v>
      </c>
      <c r="CZ687" s="72">
        <v>0</v>
      </c>
      <c r="DA687" s="72">
        <v>0</v>
      </c>
      <c r="DB687" s="72">
        <v>0</v>
      </c>
      <c r="DC687" s="72">
        <v>0</v>
      </c>
      <c r="DD687" s="72">
        <v>0</v>
      </c>
      <c r="DE687" s="72">
        <v>0</v>
      </c>
      <c r="DF687" s="72">
        <v>0</v>
      </c>
      <c r="DG687" s="72">
        <v>0</v>
      </c>
      <c r="DH687" s="72">
        <v>0</v>
      </c>
      <c r="DI687" s="72">
        <v>0</v>
      </c>
      <c r="DJ687" s="72">
        <v>0</v>
      </c>
      <c r="DK687" s="72">
        <v>0</v>
      </c>
      <c r="DL687" s="72">
        <v>0</v>
      </c>
      <c r="DM687" s="72">
        <v>0</v>
      </c>
      <c r="DN687" s="72">
        <v>0</v>
      </c>
      <c r="DO687" s="72">
        <v>0</v>
      </c>
      <c r="DP687" s="72">
        <v>0</v>
      </c>
      <c r="DQ687" s="72">
        <v>0</v>
      </c>
      <c r="DR687" s="72">
        <v>0</v>
      </c>
      <c r="DS687" s="72">
        <v>0</v>
      </c>
      <c r="DT687" s="72">
        <v>0</v>
      </c>
      <c r="DU687" s="72">
        <v>0</v>
      </c>
      <c r="DV687" s="72">
        <v>0</v>
      </c>
      <c r="DW687" s="72">
        <v>0</v>
      </c>
      <c r="DX687" s="72">
        <v>0</v>
      </c>
      <c r="DY687" s="72">
        <v>0</v>
      </c>
      <c r="DZ687" s="72">
        <v>0</v>
      </c>
      <c r="EA687" s="72">
        <v>0</v>
      </c>
      <c r="EB687" s="72">
        <v>0</v>
      </c>
      <c r="EC687" s="72">
        <v>0</v>
      </c>
      <c r="ED687" s="72">
        <v>0</v>
      </c>
      <c r="EE687" s="72">
        <v>0</v>
      </c>
      <c r="EF687" s="72">
        <v>0</v>
      </c>
      <c r="EG687" s="72">
        <v>0</v>
      </c>
      <c r="EH687" s="72">
        <v>0</v>
      </c>
      <c r="EI687" s="72">
        <v>0</v>
      </c>
      <c r="EJ687" s="72">
        <v>0</v>
      </c>
      <c r="EK687" s="72">
        <v>0</v>
      </c>
      <c r="EL687" s="72">
        <v>0</v>
      </c>
    </row>
    <row r="688" spans="1:142" x14ac:dyDescent="0.35">
      <c r="A688" s="59">
        <f>Данные!A688</f>
        <v>5762</v>
      </c>
      <c r="B688" s="59">
        <f>Данные!B688</f>
        <v>2018</v>
      </c>
      <c r="C688" s="59" t="str">
        <f>Данные!C688</f>
        <v>компьютерных технологий и электронного обучения</v>
      </c>
      <c r="D688" s="59" t="str">
        <f>Данные!D688</f>
        <v>Государев Илья Борисович</v>
      </c>
      <c r="E688" s="59" t="str">
        <f>Данные!E688</f>
        <v>кандидат педагогических наук</v>
      </c>
      <c r="F688" s="59" t="str">
        <f>Данные!F688</f>
        <v>доцент</v>
      </c>
      <c r="G688" s="59">
        <f>Данные!G688</f>
        <v>1</v>
      </c>
      <c r="H688" s="59">
        <f>Данные!H688</f>
        <v>17248</v>
      </c>
      <c r="I688" s="59" t="str">
        <f>Данные!I688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88" s="59">
        <f>Данные!J688</f>
        <v>0</v>
      </c>
      <c r="K688" s="59">
        <f>Данные!K688</f>
        <v>0</v>
      </c>
      <c r="L688" s="59">
        <f>Данные!L688</f>
        <v>0</v>
      </c>
      <c r="M688" s="60">
        <f t="shared" si="90"/>
        <v>0</v>
      </c>
      <c r="N688" s="60">
        <f t="shared" ca="1" si="91"/>
        <v>5.3000000000000007</v>
      </c>
      <c r="O688" s="60">
        <f t="shared" ca="1" si="92"/>
        <v>2.5</v>
      </c>
      <c r="P688" s="60">
        <f t="shared" ca="1" si="93"/>
        <v>2.5</v>
      </c>
      <c r="Q688" s="54">
        <f>Данные!Q688</f>
        <v>0</v>
      </c>
      <c r="R688" s="54">
        <f>Данные!R688</f>
        <v>0</v>
      </c>
      <c r="S688" s="54">
        <f>Данные!S688</f>
        <v>0</v>
      </c>
      <c r="T688" s="54">
        <f>Данные!T688</f>
        <v>0</v>
      </c>
      <c r="U688" s="54">
        <f>Данные!U688</f>
        <v>4</v>
      </c>
      <c r="V688" s="54">
        <f>Данные!V688</f>
        <v>0</v>
      </c>
      <c r="W688" s="54">
        <f ca="1">Данные!W688</f>
        <v>10</v>
      </c>
      <c r="X688" s="54" t="str">
        <f ca="1">Данные!X688</f>
        <v>1</v>
      </c>
      <c r="Y688" s="54" t="str">
        <f ca="1">Данные!Y688</f>
        <v>1</v>
      </c>
      <c r="Z688" s="54">
        <f>Данные!Z688</f>
        <v>0</v>
      </c>
      <c r="AA688" s="54" t="str">
        <f>Данные!AA688</f>
        <v>осн</v>
      </c>
      <c r="AB688" s="101">
        <f t="shared" si="94"/>
        <v>800</v>
      </c>
      <c r="AC688" s="101" t="str">
        <f t="shared" si="95"/>
        <v>КЭО (маг)</v>
      </c>
      <c r="AD688" s="101" t="str">
        <f t="shared" si="96"/>
        <v/>
      </c>
      <c r="AE688" s="102">
        <f t="shared" ca="1" si="97"/>
        <v>14.3</v>
      </c>
      <c r="AF688" s="103">
        <f t="shared" ca="1" si="98"/>
        <v>1.7875000000000002E-2</v>
      </c>
      <c r="AG688" s="101"/>
      <c r="AH688" s="101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Q688" s="72">
        <v>0</v>
      </c>
      <c r="BR688" s="72">
        <v>0</v>
      </c>
      <c r="BS688" s="72">
        <v>0</v>
      </c>
      <c r="BT688" s="72">
        <v>0</v>
      </c>
      <c r="BU688" s="72">
        <v>0</v>
      </c>
      <c r="BV688" s="72">
        <v>0</v>
      </c>
      <c r="BW688" s="72">
        <v>0</v>
      </c>
      <c r="BX688" s="72">
        <v>0</v>
      </c>
      <c r="BY688" s="72">
        <v>0</v>
      </c>
      <c r="BZ688" s="72">
        <v>0</v>
      </c>
      <c r="CA688" s="72">
        <v>0</v>
      </c>
      <c r="CB688" s="72">
        <v>0</v>
      </c>
      <c r="CC688" s="72">
        <v>0</v>
      </c>
      <c r="CD688" s="72">
        <v>0</v>
      </c>
      <c r="CE688" s="72">
        <v>0</v>
      </c>
      <c r="CF688" s="72">
        <v>0</v>
      </c>
      <c r="CG688" s="72">
        <v>0</v>
      </c>
      <c r="CH688" s="72">
        <v>0</v>
      </c>
      <c r="CI688" s="72">
        <v>0</v>
      </c>
      <c r="CJ688" s="72">
        <v>0</v>
      </c>
      <c r="CK688" s="72">
        <v>0</v>
      </c>
      <c r="CL688" s="72">
        <v>0</v>
      </c>
      <c r="CM688" s="72">
        <v>0</v>
      </c>
      <c r="CN688" s="72">
        <v>0</v>
      </c>
      <c r="CO688" s="72">
        <v>0</v>
      </c>
      <c r="CP688" s="72">
        <v>0</v>
      </c>
      <c r="CQ688" s="72">
        <v>0</v>
      </c>
      <c r="CR688" s="72">
        <v>0</v>
      </c>
      <c r="CS688" s="72">
        <v>0</v>
      </c>
      <c r="CT688" s="72">
        <v>0</v>
      </c>
      <c r="CU688" s="72">
        <v>0</v>
      </c>
      <c r="CV688" s="72">
        <v>0</v>
      </c>
      <c r="CW688" s="72">
        <v>0</v>
      </c>
      <c r="CX688" s="72">
        <v>0</v>
      </c>
      <c r="CY688" s="72">
        <v>0</v>
      </c>
      <c r="CZ688" s="72">
        <v>0</v>
      </c>
      <c r="DA688" s="72">
        <v>0</v>
      </c>
      <c r="DB688" s="72">
        <v>0</v>
      </c>
      <c r="DC688" s="72">
        <v>0</v>
      </c>
      <c r="DD688" s="72">
        <v>0</v>
      </c>
      <c r="DE688" s="72">
        <v>0</v>
      </c>
      <c r="DF688" s="72">
        <v>0</v>
      </c>
      <c r="DG688" s="72">
        <v>0</v>
      </c>
      <c r="DH688" s="72">
        <v>0</v>
      </c>
      <c r="DI688" s="72">
        <v>0</v>
      </c>
      <c r="DJ688" s="72">
        <v>0</v>
      </c>
      <c r="DK688" s="72">
        <v>0</v>
      </c>
      <c r="DL688" s="72">
        <v>0</v>
      </c>
      <c r="DM688" s="72">
        <v>0</v>
      </c>
      <c r="DN688" s="72">
        <v>0</v>
      </c>
      <c r="DO688" s="72">
        <v>0</v>
      </c>
      <c r="DP688" s="72">
        <v>0</v>
      </c>
      <c r="DQ688" s="72">
        <v>0</v>
      </c>
      <c r="DR688" s="72">
        <v>0</v>
      </c>
      <c r="DS688" s="72">
        <v>0</v>
      </c>
      <c r="DT688" s="72">
        <v>0</v>
      </c>
      <c r="DU688" s="72">
        <v>0</v>
      </c>
      <c r="DV688" s="72">
        <v>0</v>
      </c>
      <c r="DW688" s="72">
        <v>0</v>
      </c>
      <c r="DX688" s="72">
        <v>0</v>
      </c>
      <c r="DY688" s="72">
        <v>0</v>
      </c>
      <c r="DZ688" s="72">
        <v>0</v>
      </c>
      <c r="EA688" s="72">
        <v>0</v>
      </c>
      <c r="EB688" s="72">
        <v>0</v>
      </c>
      <c r="EC688" s="72">
        <v>0</v>
      </c>
      <c r="ED688" s="72">
        <v>0</v>
      </c>
      <c r="EE688" s="72">
        <v>0</v>
      </c>
      <c r="EF688" s="72">
        <v>0</v>
      </c>
      <c r="EG688" s="72">
        <v>0</v>
      </c>
      <c r="EH688" s="72">
        <v>0</v>
      </c>
      <c r="EI688" s="72">
        <v>0</v>
      </c>
      <c r="EJ688" s="72">
        <v>0</v>
      </c>
      <c r="EK688" s="72">
        <v>0</v>
      </c>
      <c r="EL688" s="72">
        <v>0</v>
      </c>
    </row>
    <row r="689" spans="1:142" x14ac:dyDescent="0.35">
      <c r="A689" s="59">
        <f>Данные!A689</f>
        <v>5762</v>
      </c>
      <c r="B689" s="59">
        <f>Данные!B689</f>
        <v>2018</v>
      </c>
      <c r="C689" s="59" t="str">
        <f>Данные!C689</f>
        <v>компьютерных технологий и электронного обучения</v>
      </c>
      <c r="D689" s="59" t="str">
        <f>Данные!D689</f>
        <v>Государев Илья Борисович</v>
      </c>
      <c r="E689" s="59" t="str">
        <f>Данные!E689</f>
        <v>кандидат педагогических наук</v>
      </c>
      <c r="F689" s="59" t="str">
        <f>Данные!F689</f>
        <v>доцент</v>
      </c>
      <c r="G689" s="59">
        <f>Данные!G689</f>
        <v>1</v>
      </c>
      <c r="H689" s="59">
        <f>Данные!H689</f>
        <v>17248</v>
      </c>
      <c r="I689" s="59" t="str">
        <f>Данные!I689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89" s="59">
        <f>Данные!J689</f>
        <v>0</v>
      </c>
      <c r="K689" s="59">
        <f>Данные!K689</f>
        <v>0</v>
      </c>
      <c r="L689" s="59">
        <f>Данные!L689</f>
        <v>0</v>
      </c>
      <c r="M689" s="60">
        <f t="shared" si="90"/>
        <v>0</v>
      </c>
      <c r="N689" s="60">
        <f t="shared" ca="1" si="91"/>
        <v>5.3000000000000007</v>
      </c>
      <c r="O689" s="60">
        <f t="shared" ca="1" si="92"/>
        <v>2.5</v>
      </c>
      <c r="P689" s="60">
        <f t="shared" ca="1" si="93"/>
        <v>2.5</v>
      </c>
      <c r="Q689" s="54">
        <f>Данные!Q689</f>
        <v>0</v>
      </c>
      <c r="R689" s="54">
        <f>Данные!R689</f>
        <v>0</v>
      </c>
      <c r="S689" s="54">
        <f>Данные!S689</f>
        <v>0</v>
      </c>
      <c r="T689" s="54">
        <f>Данные!T689</f>
        <v>0</v>
      </c>
      <c r="U689" s="54">
        <f>Данные!U689</f>
        <v>4</v>
      </c>
      <c r="V689" s="54">
        <f>Данные!V689</f>
        <v>0</v>
      </c>
      <c r="W689" s="54">
        <f ca="1">Данные!W689</f>
        <v>10</v>
      </c>
      <c r="X689" s="54" t="str">
        <f ca="1">Данные!X689</f>
        <v>1</v>
      </c>
      <c r="Y689" s="54" t="str">
        <f ca="1">Данные!Y689</f>
        <v>1</v>
      </c>
      <c r="Z689" s="54">
        <f>Данные!Z689</f>
        <v>0</v>
      </c>
      <c r="AA689" s="54" t="str">
        <f>Данные!AA689</f>
        <v>доп</v>
      </c>
      <c r="AB689" s="101">
        <f t="shared" si="94"/>
        <v>800</v>
      </c>
      <c r="AC689" s="101" t="str">
        <f t="shared" si="95"/>
        <v>КЭО (маг)</v>
      </c>
      <c r="AD689" s="101" t="str">
        <f t="shared" si="96"/>
        <v/>
      </c>
      <c r="AE689" s="102">
        <f t="shared" ca="1" si="97"/>
        <v>14.3</v>
      </c>
      <c r="AF689" s="103">
        <f t="shared" ca="1" si="98"/>
        <v>1.7875000000000002E-2</v>
      </c>
      <c r="AG689" s="101"/>
      <c r="AH689" s="101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Q689" s="72">
        <v>0</v>
      </c>
      <c r="BR689" s="72">
        <v>0</v>
      </c>
      <c r="BS689" s="72">
        <v>0</v>
      </c>
      <c r="BT689" s="72">
        <v>0</v>
      </c>
      <c r="BU689" s="72">
        <v>0</v>
      </c>
      <c r="BV689" s="72">
        <v>0</v>
      </c>
      <c r="BW689" s="72">
        <v>0</v>
      </c>
      <c r="BX689" s="72">
        <v>0</v>
      </c>
      <c r="BY689" s="72">
        <v>0</v>
      </c>
      <c r="BZ689" s="72">
        <v>0</v>
      </c>
      <c r="CA689" s="72">
        <v>0</v>
      </c>
      <c r="CB689" s="72">
        <v>0</v>
      </c>
      <c r="CC689" s="72">
        <v>0</v>
      </c>
      <c r="CD689" s="72">
        <v>0</v>
      </c>
      <c r="CE689" s="72">
        <v>0</v>
      </c>
      <c r="CF689" s="72">
        <v>0</v>
      </c>
      <c r="CG689" s="72">
        <v>0</v>
      </c>
      <c r="CH689" s="72">
        <v>0</v>
      </c>
      <c r="CI689" s="72">
        <v>0</v>
      </c>
      <c r="CJ689" s="72">
        <v>0</v>
      </c>
      <c r="CK689" s="72">
        <v>0</v>
      </c>
      <c r="CL689" s="72">
        <v>0</v>
      </c>
      <c r="CM689" s="72">
        <v>0</v>
      </c>
      <c r="CN689" s="72">
        <v>0</v>
      </c>
      <c r="CO689" s="72">
        <v>0</v>
      </c>
      <c r="CP689" s="72">
        <v>0</v>
      </c>
      <c r="CQ689" s="72">
        <v>0</v>
      </c>
      <c r="CR689" s="72">
        <v>0</v>
      </c>
      <c r="CS689" s="72">
        <v>0</v>
      </c>
      <c r="CT689" s="72">
        <v>0</v>
      </c>
      <c r="CU689" s="72">
        <v>0</v>
      </c>
      <c r="CV689" s="72">
        <v>0</v>
      </c>
      <c r="CW689" s="72">
        <v>0</v>
      </c>
      <c r="CX689" s="72">
        <v>0</v>
      </c>
      <c r="CY689" s="72">
        <v>0</v>
      </c>
      <c r="CZ689" s="72">
        <v>0</v>
      </c>
      <c r="DA689" s="72">
        <v>0</v>
      </c>
      <c r="DB689" s="72">
        <v>0</v>
      </c>
      <c r="DC689" s="72">
        <v>0</v>
      </c>
      <c r="DD689" s="72">
        <v>0</v>
      </c>
      <c r="DE689" s="72">
        <v>0</v>
      </c>
      <c r="DF689" s="72">
        <v>0</v>
      </c>
      <c r="DG689" s="72">
        <v>0</v>
      </c>
      <c r="DH689" s="72">
        <v>0</v>
      </c>
      <c r="DI689" s="72">
        <v>0</v>
      </c>
      <c r="DJ689" s="72">
        <v>0</v>
      </c>
      <c r="DK689" s="72">
        <v>0</v>
      </c>
      <c r="DL689" s="72">
        <v>0</v>
      </c>
      <c r="DM689" s="72">
        <v>0</v>
      </c>
      <c r="DN689" s="72">
        <v>0</v>
      </c>
      <c r="DO689" s="72">
        <v>0</v>
      </c>
      <c r="DP689" s="72">
        <v>0</v>
      </c>
      <c r="DQ689" s="72">
        <v>0</v>
      </c>
      <c r="DR689" s="72">
        <v>0</v>
      </c>
      <c r="DS689" s="72">
        <v>0</v>
      </c>
      <c r="DT689" s="72">
        <v>0</v>
      </c>
      <c r="DU689" s="72">
        <v>0</v>
      </c>
      <c r="DV689" s="72">
        <v>0</v>
      </c>
      <c r="DW689" s="72">
        <v>0</v>
      </c>
      <c r="DX689" s="72">
        <v>0</v>
      </c>
      <c r="DY689" s="72">
        <v>0</v>
      </c>
      <c r="DZ689" s="72">
        <v>0</v>
      </c>
      <c r="EA689" s="72">
        <v>0</v>
      </c>
      <c r="EB689" s="72">
        <v>0</v>
      </c>
      <c r="EC689" s="72">
        <v>0</v>
      </c>
      <c r="ED689" s="72">
        <v>0</v>
      </c>
      <c r="EE689" s="72">
        <v>0</v>
      </c>
      <c r="EF689" s="72">
        <v>0</v>
      </c>
      <c r="EG689" s="72">
        <v>0</v>
      </c>
      <c r="EH689" s="72">
        <v>0</v>
      </c>
      <c r="EI689" s="72">
        <v>0</v>
      </c>
      <c r="EJ689" s="72">
        <v>0</v>
      </c>
      <c r="EK689" s="72">
        <v>0</v>
      </c>
      <c r="EL689" s="72">
        <v>0</v>
      </c>
    </row>
    <row r="690" spans="1:142" x14ac:dyDescent="0.35">
      <c r="A690" s="59">
        <f>Данные!A690</f>
        <v>5762</v>
      </c>
      <c r="B690" s="59">
        <f>Данные!B690</f>
        <v>2018</v>
      </c>
      <c r="C690" s="59" t="str">
        <f>Данные!C690</f>
        <v>компьютерных технологий и электронного обучения</v>
      </c>
      <c r="D690" s="59" t="str">
        <f>Данные!D690</f>
        <v>Государев Илья Борисович</v>
      </c>
      <c r="E690" s="59" t="str">
        <f>Данные!E690</f>
        <v>кандидат педагогических наук</v>
      </c>
      <c r="F690" s="59" t="str">
        <f>Данные!F690</f>
        <v>доцент</v>
      </c>
      <c r="G690" s="59">
        <f>Данные!G690</f>
        <v>1</v>
      </c>
      <c r="H690" s="59">
        <f>Данные!H690</f>
        <v>17248</v>
      </c>
      <c r="I690" s="59" t="str">
        <f>Данные!I690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90" s="59">
        <f>Данные!J690</f>
        <v>0</v>
      </c>
      <c r="K690" s="59">
        <f>Данные!K690</f>
        <v>0</v>
      </c>
      <c r="L690" s="59">
        <f>Данные!L690</f>
        <v>0</v>
      </c>
      <c r="M690" s="60">
        <f t="shared" si="90"/>
        <v>0</v>
      </c>
      <c r="N690" s="60">
        <f t="shared" ca="1" si="91"/>
        <v>5.3000000000000007</v>
      </c>
      <c r="O690" s="60">
        <f t="shared" ca="1" si="92"/>
        <v>2.5</v>
      </c>
      <c r="P690" s="60">
        <f t="shared" ca="1" si="93"/>
        <v>2.5</v>
      </c>
      <c r="Q690" s="54">
        <f>Данные!Q690</f>
        <v>0</v>
      </c>
      <c r="R690" s="54">
        <f>Данные!R690</f>
        <v>0</v>
      </c>
      <c r="S690" s="54">
        <f>Данные!S690</f>
        <v>0</v>
      </c>
      <c r="T690" s="54">
        <f>Данные!T690</f>
        <v>0</v>
      </c>
      <c r="U690" s="54">
        <f>Данные!U690</f>
        <v>4</v>
      </c>
      <c r="V690" s="54">
        <f>Данные!V690</f>
        <v>0</v>
      </c>
      <c r="W690" s="54">
        <f ca="1">Данные!W690</f>
        <v>10</v>
      </c>
      <c r="X690" s="54" t="str">
        <f ca="1">Данные!X690</f>
        <v>1</v>
      </c>
      <c r="Y690" s="54" t="str">
        <f ca="1">Данные!Y690</f>
        <v>1</v>
      </c>
      <c r="Z690" s="54">
        <f>Данные!Z690</f>
        <v>0</v>
      </c>
      <c r="AA690" s="54" t="str">
        <f>Данные!AA690</f>
        <v>осн</v>
      </c>
      <c r="AB690" s="101">
        <f t="shared" si="94"/>
        <v>800</v>
      </c>
      <c r="AC690" s="101" t="str">
        <f t="shared" si="95"/>
        <v>КЭО (маг)</v>
      </c>
      <c r="AD690" s="101" t="str">
        <f t="shared" si="96"/>
        <v/>
      </c>
      <c r="AE690" s="102">
        <f t="shared" ca="1" si="97"/>
        <v>14.3</v>
      </c>
      <c r="AF690" s="103">
        <f t="shared" ca="1" si="98"/>
        <v>1.7875000000000002E-2</v>
      </c>
      <c r="AG690" s="101"/>
      <c r="AH690" s="101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Q690" s="72">
        <v>0</v>
      </c>
      <c r="BR690" s="72">
        <v>0</v>
      </c>
      <c r="BS690" s="72">
        <v>0</v>
      </c>
      <c r="BT690" s="72">
        <v>0</v>
      </c>
      <c r="BU690" s="72">
        <v>0</v>
      </c>
      <c r="BV690" s="72">
        <v>0</v>
      </c>
      <c r="BW690" s="72">
        <v>0</v>
      </c>
      <c r="BX690" s="72">
        <v>0</v>
      </c>
      <c r="BY690" s="72">
        <v>0</v>
      </c>
      <c r="BZ690" s="72">
        <v>0</v>
      </c>
      <c r="CA690" s="72">
        <v>0</v>
      </c>
      <c r="CB690" s="72">
        <v>0</v>
      </c>
      <c r="CC690" s="72">
        <v>0</v>
      </c>
      <c r="CD690" s="72">
        <v>0</v>
      </c>
      <c r="CE690" s="72">
        <v>0</v>
      </c>
      <c r="CF690" s="72">
        <v>0</v>
      </c>
      <c r="CG690" s="72">
        <v>0</v>
      </c>
      <c r="CH690" s="72">
        <v>0</v>
      </c>
      <c r="CI690" s="72">
        <v>0</v>
      </c>
      <c r="CJ690" s="72">
        <v>0</v>
      </c>
      <c r="CK690" s="72">
        <v>0</v>
      </c>
      <c r="CL690" s="72">
        <v>0</v>
      </c>
      <c r="CM690" s="72">
        <v>0</v>
      </c>
      <c r="CN690" s="72">
        <v>0</v>
      </c>
      <c r="CO690" s="72">
        <v>0</v>
      </c>
      <c r="CP690" s="72">
        <v>0</v>
      </c>
      <c r="CQ690" s="72">
        <v>0</v>
      </c>
      <c r="CR690" s="72">
        <v>0</v>
      </c>
      <c r="CS690" s="72">
        <v>0</v>
      </c>
      <c r="CT690" s="72">
        <v>0</v>
      </c>
      <c r="CU690" s="72">
        <v>0</v>
      </c>
      <c r="CV690" s="72">
        <v>0</v>
      </c>
      <c r="CW690" s="72">
        <v>0</v>
      </c>
      <c r="CX690" s="72">
        <v>0</v>
      </c>
      <c r="CY690" s="72">
        <v>0</v>
      </c>
      <c r="CZ690" s="72">
        <v>0</v>
      </c>
      <c r="DA690" s="72">
        <v>0</v>
      </c>
      <c r="DB690" s="72">
        <v>0</v>
      </c>
      <c r="DC690" s="72">
        <v>0</v>
      </c>
      <c r="DD690" s="72">
        <v>0</v>
      </c>
      <c r="DE690" s="72">
        <v>0</v>
      </c>
      <c r="DF690" s="72">
        <v>0</v>
      </c>
      <c r="DG690" s="72">
        <v>0</v>
      </c>
      <c r="DH690" s="72">
        <v>0</v>
      </c>
      <c r="DI690" s="72">
        <v>0</v>
      </c>
      <c r="DJ690" s="72">
        <v>0</v>
      </c>
      <c r="DK690" s="72">
        <v>0</v>
      </c>
      <c r="DL690" s="72">
        <v>0</v>
      </c>
      <c r="DM690" s="72">
        <v>0</v>
      </c>
      <c r="DN690" s="72">
        <v>0</v>
      </c>
      <c r="DO690" s="72">
        <v>0</v>
      </c>
      <c r="DP690" s="72">
        <v>0</v>
      </c>
      <c r="DQ690" s="72">
        <v>0</v>
      </c>
      <c r="DR690" s="72">
        <v>0</v>
      </c>
      <c r="DS690" s="72">
        <v>0</v>
      </c>
      <c r="DT690" s="72">
        <v>0</v>
      </c>
      <c r="DU690" s="72">
        <v>0</v>
      </c>
      <c r="DV690" s="72">
        <v>0</v>
      </c>
      <c r="DW690" s="72">
        <v>0</v>
      </c>
      <c r="DX690" s="72">
        <v>0</v>
      </c>
      <c r="DY690" s="72">
        <v>0</v>
      </c>
      <c r="DZ690" s="72">
        <v>0</v>
      </c>
      <c r="EA690" s="72">
        <v>0</v>
      </c>
      <c r="EB690" s="72">
        <v>0</v>
      </c>
      <c r="EC690" s="72">
        <v>0</v>
      </c>
      <c r="ED690" s="72">
        <v>0</v>
      </c>
      <c r="EE690" s="72">
        <v>0</v>
      </c>
      <c r="EF690" s="72">
        <v>0</v>
      </c>
      <c r="EG690" s="72">
        <v>0</v>
      </c>
      <c r="EH690" s="72">
        <v>0</v>
      </c>
      <c r="EI690" s="72">
        <v>0</v>
      </c>
      <c r="EJ690" s="72">
        <v>0</v>
      </c>
      <c r="EK690" s="72">
        <v>0</v>
      </c>
      <c r="EL690" s="72">
        <v>0</v>
      </c>
    </row>
    <row r="691" spans="1:142" x14ac:dyDescent="0.35">
      <c r="A691" s="59">
        <f>Данные!A691</f>
        <v>5762</v>
      </c>
      <c r="B691" s="59">
        <f>Данные!B691</f>
        <v>2018</v>
      </c>
      <c r="C691" s="59" t="str">
        <f>Данные!C691</f>
        <v>компьютерных технологий и электронного обучения</v>
      </c>
      <c r="D691" s="59" t="str">
        <f>Данные!D691</f>
        <v>Государев Илья Борисович</v>
      </c>
      <c r="E691" s="59" t="str">
        <f>Данные!E691</f>
        <v>кандидат педагогических наук</v>
      </c>
      <c r="F691" s="59" t="str">
        <f>Данные!F691</f>
        <v>доцент</v>
      </c>
      <c r="G691" s="59">
        <f>Данные!G691</f>
        <v>1</v>
      </c>
      <c r="H691" s="59">
        <f>Данные!H691</f>
        <v>17248</v>
      </c>
      <c r="I691" s="59" t="str">
        <f>Данные!I691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91" s="59">
        <f>Данные!J691</f>
        <v>0</v>
      </c>
      <c r="K691" s="59">
        <f>Данные!K691</f>
        <v>0</v>
      </c>
      <c r="L691" s="59">
        <f>Данные!L691</f>
        <v>0</v>
      </c>
      <c r="M691" s="60">
        <f t="shared" si="90"/>
        <v>0</v>
      </c>
      <c r="N691" s="60">
        <f t="shared" ca="1" si="91"/>
        <v>5.3000000000000007</v>
      </c>
      <c r="O691" s="60">
        <f t="shared" ca="1" si="92"/>
        <v>2.5</v>
      </c>
      <c r="P691" s="60">
        <f t="shared" ca="1" si="93"/>
        <v>2.5</v>
      </c>
      <c r="Q691" s="54">
        <f>Данные!Q691</f>
        <v>0</v>
      </c>
      <c r="R691" s="54">
        <f>Данные!R691</f>
        <v>0</v>
      </c>
      <c r="S691" s="54">
        <f>Данные!S691</f>
        <v>0</v>
      </c>
      <c r="T691" s="54">
        <f>Данные!T691</f>
        <v>0</v>
      </c>
      <c r="U691" s="54">
        <f>Данные!U691</f>
        <v>2</v>
      </c>
      <c r="V691" s="54">
        <f>Данные!V691</f>
        <v>0</v>
      </c>
      <c r="W691" s="54">
        <f ca="1">Данные!W691</f>
        <v>10</v>
      </c>
      <c r="X691" s="54" t="str">
        <f ca="1">Данные!X691</f>
        <v>1</v>
      </c>
      <c r="Y691" s="54" t="str">
        <f ca="1">Данные!Y691</f>
        <v>1</v>
      </c>
      <c r="Z691" s="54">
        <f>Данные!Z691</f>
        <v>0</v>
      </c>
      <c r="AA691" s="54" t="str">
        <f>Данные!AA691</f>
        <v>осн</v>
      </c>
      <c r="AB691" s="101">
        <f t="shared" si="94"/>
        <v>800</v>
      </c>
      <c r="AC691" s="101" t="str">
        <f t="shared" si="95"/>
        <v>КЭО (маг)</v>
      </c>
      <c r="AD691" s="101" t="str">
        <f t="shared" si="96"/>
        <v/>
      </c>
      <c r="AE691" s="102">
        <f t="shared" ca="1" si="97"/>
        <v>12.3</v>
      </c>
      <c r="AF691" s="103">
        <f t="shared" ca="1" si="98"/>
        <v>1.5375000000000002E-2</v>
      </c>
      <c r="AG691" s="101"/>
      <c r="AH691" s="10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Q691" s="72">
        <v>0</v>
      </c>
      <c r="BR691" s="72">
        <v>0</v>
      </c>
      <c r="BS691" s="72">
        <v>0</v>
      </c>
      <c r="BT691" s="72">
        <v>0</v>
      </c>
      <c r="BU691" s="72">
        <v>0</v>
      </c>
      <c r="BV691" s="72">
        <v>0</v>
      </c>
      <c r="BW691" s="72">
        <v>0</v>
      </c>
      <c r="BX691" s="72">
        <v>0</v>
      </c>
      <c r="BY691" s="72">
        <v>0</v>
      </c>
      <c r="BZ691" s="72">
        <v>0</v>
      </c>
      <c r="CA691" s="72">
        <v>0</v>
      </c>
      <c r="CB691" s="72">
        <v>0</v>
      </c>
      <c r="CC691" s="72">
        <v>0</v>
      </c>
      <c r="CD691" s="72">
        <v>0</v>
      </c>
      <c r="CE691" s="72">
        <v>0</v>
      </c>
      <c r="CF691" s="72">
        <v>0</v>
      </c>
      <c r="CG691" s="72">
        <v>0</v>
      </c>
      <c r="CH691" s="72">
        <v>0</v>
      </c>
      <c r="CI691" s="72">
        <v>0</v>
      </c>
      <c r="CJ691" s="72">
        <v>0</v>
      </c>
      <c r="CK691" s="72">
        <v>0</v>
      </c>
      <c r="CL691" s="72">
        <v>0</v>
      </c>
      <c r="CM691" s="72">
        <v>0</v>
      </c>
      <c r="CN691" s="72">
        <v>0</v>
      </c>
      <c r="CO691" s="72">
        <v>0</v>
      </c>
      <c r="CP691" s="72">
        <v>0</v>
      </c>
      <c r="CQ691" s="72">
        <v>0</v>
      </c>
      <c r="CR691" s="72">
        <v>0</v>
      </c>
      <c r="CS691" s="72">
        <v>0</v>
      </c>
      <c r="CT691" s="72">
        <v>0</v>
      </c>
      <c r="CU691" s="72">
        <v>0</v>
      </c>
      <c r="CV691" s="72">
        <v>0</v>
      </c>
      <c r="CW691" s="72">
        <v>0</v>
      </c>
      <c r="CX691" s="72">
        <v>0</v>
      </c>
      <c r="CY691" s="72">
        <v>0</v>
      </c>
      <c r="CZ691" s="72">
        <v>0</v>
      </c>
      <c r="DA691" s="72">
        <v>0</v>
      </c>
      <c r="DB691" s="72">
        <v>0</v>
      </c>
      <c r="DC691" s="72">
        <v>0</v>
      </c>
      <c r="DD691" s="72">
        <v>0</v>
      </c>
      <c r="DE691" s="72">
        <v>0</v>
      </c>
      <c r="DF691" s="72">
        <v>0</v>
      </c>
      <c r="DG691" s="72">
        <v>0</v>
      </c>
      <c r="DH691" s="72">
        <v>0</v>
      </c>
      <c r="DI691" s="72">
        <v>0</v>
      </c>
      <c r="DJ691" s="72">
        <v>0</v>
      </c>
      <c r="DK691" s="72">
        <v>0</v>
      </c>
      <c r="DL691" s="72">
        <v>0</v>
      </c>
      <c r="DM691" s="72">
        <v>0</v>
      </c>
      <c r="DN691" s="72">
        <v>0</v>
      </c>
      <c r="DO691" s="72">
        <v>0</v>
      </c>
      <c r="DP691" s="72">
        <v>0</v>
      </c>
      <c r="DQ691" s="72">
        <v>0</v>
      </c>
      <c r="DR691" s="72">
        <v>0</v>
      </c>
      <c r="DS691" s="72">
        <v>0</v>
      </c>
      <c r="DT691" s="72">
        <v>0</v>
      </c>
      <c r="DU691" s="72">
        <v>0</v>
      </c>
      <c r="DV691" s="72">
        <v>0</v>
      </c>
      <c r="DW691" s="72">
        <v>0</v>
      </c>
      <c r="DX691" s="72">
        <v>0</v>
      </c>
      <c r="DY691" s="72">
        <v>0</v>
      </c>
      <c r="DZ691" s="72">
        <v>0</v>
      </c>
      <c r="EA691" s="72">
        <v>0</v>
      </c>
      <c r="EB691" s="72">
        <v>0</v>
      </c>
      <c r="EC691" s="72">
        <v>0</v>
      </c>
      <c r="ED691" s="72">
        <v>0</v>
      </c>
      <c r="EE691" s="72">
        <v>0</v>
      </c>
      <c r="EF691" s="72">
        <v>0</v>
      </c>
      <c r="EG691" s="72">
        <v>0</v>
      </c>
      <c r="EH691" s="72">
        <v>0</v>
      </c>
      <c r="EI691" s="72">
        <v>0</v>
      </c>
      <c r="EJ691" s="72">
        <v>0</v>
      </c>
      <c r="EK691" s="72">
        <v>0</v>
      </c>
      <c r="EL691" s="72">
        <v>0</v>
      </c>
    </row>
    <row r="692" spans="1:142" x14ac:dyDescent="0.35">
      <c r="A692" s="59">
        <f>Данные!A692</f>
        <v>5762</v>
      </c>
      <c r="B692" s="59">
        <f>Данные!B692</f>
        <v>2018</v>
      </c>
      <c r="C692" s="59" t="str">
        <f>Данные!C692</f>
        <v>компьютерных технологий и электронного обучения</v>
      </c>
      <c r="D692" s="59" t="str">
        <f>Данные!D692</f>
        <v>Кравченко Наталия Николаевна</v>
      </c>
      <c r="E692" s="59" t="str">
        <f>Данные!E692</f>
        <v>кандидат педагогических наук</v>
      </c>
      <c r="F692" s="59" t="str">
        <f>Данные!F692</f>
        <v>внешний</v>
      </c>
      <c r="G692" s="59">
        <f>Данные!G692</f>
        <v>1</v>
      </c>
      <c r="H692" s="59">
        <f>Данные!H692</f>
        <v>17248</v>
      </c>
      <c r="I692" s="59" t="str">
        <f>Данные!I692</f>
        <v>Модуль "IT- инфраструктура образовательного учреждения". Дисциплины и курсы по выбору. Инжиниринг и реинжиниринг образовательного процесса</v>
      </c>
      <c r="J692" s="59">
        <f>Данные!J692</f>
        <v>4</v>
      </c>
      <c r="K692" s="59">
        <f>Данные!K692</f>
        <v>14</v>
      </c>
      <c r="L692" s="59">
        <f>Данные!L692</f>
        <v>0</v>
      </c>
      <c r="M692" s="60">
        <f t="shared" si="90"/>
        <v>1.8</v>
      </c>
      <c r="N692" s="60">
        <f t="shared" ca="1" si="91"/>
        <v>5.3000000000000007</v>
      </c>
      <c r="O692" s="60">
        <f t="shared" ca="1" si="92"/>
        <v>2.5</v>
      </c>
      <c r="P692" s="60">
        <f t="shared" ca="1" si="93"/>
        <v>2.5</v>
      </c>
      <c r="Q692" s="54">
        <f>Данные!Q692</f>
        <v>0</v>
      </c>
      <c r="R692" s="54">
        <f>Данные!R692</f>
        <v>0</v>
      </c>
      <c r="S692" s="54">
        <f>Данные!S692</f>
        <v>0</v>
      </c>
      <c r="T692" s="54">
        <f>Данные!T692</f>
        <v>0</v>
      </c>
      <c r="U692" s="54">
        <f>Данные!U692</f>
        <v>0</v>
      </c>
      <c r="V692" s="54">
        <f>Данные!V692</f>
        <v>0</v>
      </c>
      <c r="W692" s="54">
        <f ca="1">Данные!W692</f>
        <v>10</v>
      </c>
      <c r="X692" s="54" t="str">
        <f ca="1">Данные!X692</f>
        <v>1</v>
      </c>
      <c r="Y692" s="54" t="str">
        <f ca="1">Данные!Y692</f>
        <v>1</v>
      </c>
      <c r="Z692" s="54">
        <f>Данные!Z692</f>
        <v>0</v>
      </c>
      <c r="AA692" s="54" t="str">
        <f>Данные!AA692</f>
        <v>осн</v>
      </c>
      <c r="AB692" s="101">
        <f t="shared" si="94"/>
        <v>900</v>
      </c>
      <c r="AC692" s="101" t="str">
        <f t="shared" si="95"/>
        <v>КЭО (маг)</v>
      </c>
      <c r="AD692" s="101" t="str">
        <f t="shared" si="96"/>
        <v/>
      </c>
      <c r="AE692" s="102">
        <f t="shared" ca="1" si="97"/>
        <v>30.1</v>
      </c>
      <c r="AF692" s="103">
        <f t="shared" ca="1" si="98"/>
        <v>3.3444444444444443E-2</v>
      </c>
      <c r="AG692" s="101"/>
      <c r="AH692" s="101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Q692" s="72">
        <v>0</v>
      </c>
      <c r="BR692" s="72">
        <v>0</v>
      </c>
      <c r="BS692" s="72">
        <v>0</v>
      </c>
      <c r="BT692" s="72">
        <v>0</v>
      </c>
      <c r="BU692" s="72">
        <v>0</v>
      </c>
      <c r="BV692" s="72">
        <v>0</v>
      </c>
      <c r="BW692" s="72">
        <v>0</v>
      </c>
      <c r="BX692" s="72">
        <v>0</v>
      </c>
      <c r="BY692" s="72">
        <v>0</v>
      </c>
      <c r="BZ692" s="72">
        <v>0</v>
      </c>
      <c r="CA692" s="72">
        <v>0</v>
      </c>
      <c r="CB692" s="72">
        <v>0</v>
      </c>
      <c r="CC692" s="72">
        <v>0</v>
      </c>
      <c r="CD692" s="72">
        <v>0</v>
      </c>
      <c r="CE692" s="72">
        <v>0</v>
      </c>
      <c r="CF692" s="72">
        <v>0</v>
      </c>
      <c r="CG692" s="72">
        <v>0</v>
      </c>
      <c r="CH692" s="72">
        <v>0</v>
      </c>
      <c r="CI692" s="72">
        <v>0</v>
      </c>
      <c r="CJ692" s="72">
        <v>0</v>
      </c>
      <c r="CK692" s="72">
        <v>0</v>
      </c>
      <c r="CL692" s="72">
        <v>0</v>
      </c>
      <c r="CM692" s="72">
        <v>0</v>
      </c>
      <c r="CN692" s="72">
        <v>0</v>
      </c>
      <c r="CO692" s="72">
        <v>0</v>
      </c>
      <c r="CP692" s="72">
        <v>0</v>
      </c>
      <c r="CQ692" s="72">
        <v>0</v>
      </c>
      <c r="CR692" s="72">
        <v>0</v>
      </c>
      <c r="CS692" s="72">
        <v>0</v>
      </c>
      <c r="CT692" s="72">
        <v>0</v>
      </c>
      <c r="CU692" s="72">
        <v>0</v>
      </c>
      <c r="CV692" s="72">
        <v>0</v>
      </c>
      <c r="CW692" s="72">
        <v>0</v>
      </c>
      <c r="CX692" s="72">
        <v>0</v>
      </c>
      <c r="CY692" s="72">
        <v>0</v>
      </c>
      <c r="CZ692" s="72">
        <v>0</v>
      </c>
      <c r="DA692" s="72">
        <v>0</v>
      </c>
      <c r="DB692" s="72">
        <v>0</v>
      </c>
      <c r="DC692" s="72">
        <v>0</v>
      </c>
      <c r="DD692" s="72">
        <v>0</v>
      </c>
      <c r="DE692" s="72">
        <v>0</v>
      </c>
      <c r="DF692" s="72">
        <v>0</v>
      </c>
      <c r="DG692" s="72">
        <v>0</v>
      </c>
      <c r="DH692" s="72">
        <v>0</v>
      </c>
      <c r="DI692" s="72">
        <v>0</v>
      </c>
      <c r="DJ692" s="72">
        <v>0</v>
      </c>
      <c r="DK692" s="72">
        <v>0</v>
      </c>
      <c r="DL692" s="72">
        <v>0</v>
      </c>
      <c r="DM692" s="72">
        <v>0</v>
      </c>
      <c r="DN692" s="72">
        <v>0</v>
      </c>
      <c r="DO692" s="72">
        <v>0</v>
      </c>
      <c r="DP692" s="72">
        <v>0</v>
      </c>
      <c r="DQ692" s="72">
        <v>0</v>
      </c>
      <c r="DR692" s="72">
        <v>0</v>
      </c>
      <c r="DS692" s="72">
        <v>0</v>
      </c>
      <c r="DT692" s="72">
        <v>0</v>
      </c>
      <c r="DU692" s="72">
        <v>0</v>
      </c>
      <c r="DV692" s="72">
        <v>0</v>
      </c>
      <c r="DW692" s="72">
        <v>0</v>
      </c>
      <c r="DX692" s="72">
        <v>0</v>
      </c>
      <c r="DY692" s="72">
        <v>0</v>
      </c>
      <c r="DZ692" s="72">
        <v>0</v>
      </c>
      <c r="EA692" s="72">
        <v>0</v>
      </c>
      <c r="EB692" s="72">
        <v>0</v>
      </c>
      <c r="EC692" s="72">
        <v>0</v>
      </c>
      <c r="ED692" s="72">
        <v>0</v>
      </c>
      <c r="EE692" s="72">
        <v>0</v>
      </c>
      <c r="EF692" s="72">
        <v>0</v>
      </c>
      <c r="EG692" s="72">
        <v>0</v>
      </c>
      <c r="EH692" s="72">
        <v>0</v>
      </c>
      <c r="EI692" s="72">
        <v>0</v>
      </c>
      <c r="EJ692" s="72">
        <v>0</v>
      </c>
      <c r="EK692" s="72">
        <v>0</v>
      </c>
      <c r="EL692" s="72">
        <v>0</v>
      </c>
    </row>
    <row r="693" spans="1:142" x14ac:dyDescent="0.35">
      <c r="A693" s="59">
        <f>Данные!A693</f>
        <v>5762</v>
      </c>
      <c r="B693" s="59">
        <f>Данные!B693</f>
        <v>2018</v>
      </c>
      <c r="C693" s="59" t="str">
        <f>Данные!C693</f>
        <v>компьютерных технологий и электронного обучения</v>
      </c>
      <c r="D693" s="59" t="str">
        <f>Данные!D693</f>
        <v>Готская Ирина Борисовна</v>
      </c>
      <c r="E693" s="59" t="str">
        <f>Данные!E693</f>
        <v>доктор педагогических наук</v>
      </c>
      <c r="F693" s="59" t="str">
        <f>Данные!F693</f>
        <v>профессор</v>
      </c>
      <c r="G693" s="59">
        <f>Данные!G693</f>
        <v>0.75</v>
      </c>
      <c r="H693" s="59">
        <f>Данные!H693</f>
        <v>17248</v>
      </c>
      <c r="I693" s="59" t="str">
        <f>Данные!I693</f>
        <v>Модуль "IT- инфраструктура образовательного учреждения". Дисциплины и курсы по выбору. Инжиниринг и реинжиниринг образовательного процесса</v>
      </c>
      <c r="J693" s="59">
        <f>Данные!J693</f>
        <v>0</v>
      </c>
      <c r="K693" s="59">
        <f>Данные!K693</f>
        <v>0</v>
      </c>
      <c r="L693" s="59">
        <f>Данные!L693</f>
        <v>0</v>
      </c>
      <c r="M693" s="60">
        <f t="shared" si="90"/>
        <v>0</v>
      </c>
      <c r="N693" s="60">
        <f t="shared" ca="1" si="91"/>
        <v>5.3000000000000007</v>
      </c>
      <c r="O693" s="60">
        <f t="shared" ca="1" si="92"/>
        <v>2.5</v>
      </c>
      <c r="P693" s="60">
        <f t="shared" ca="1" si="93"/>
        <v>2.5</v>
      </c>
      <c r="Q693" s="54">
        <f>Данные!Q693</f>
        <v>0</v>
      </c>
      <c r="R693" s="54">
        <f>Данные!R693</f>
        <v>0</v>
      </c>
      <c r="S693" s="54">
        <f>Данные!S693</f>
        <v>0</v>
      </c>
      <c r="T693" s="54">
        <f>Данные!T693</f>
        <v>0</v>
      </c>
      <c r="U693" s="54">
        <f>Данные!U693</f>
        <v>0</v>
      </c>
      <c r="V693" s="54">
        <f>Данные!V693</f>
        <v>0</v>
      </c>
      <c r="W693" s="54">
        <f ca="1">Данные!W693</f>
        <v>10</v>
      </c>
      <c r="X693" s="54" t="str">
        <f ca="1">Данные!X693</f>
        <v>1</v>
      </c>
      <c r="Y693" s="54" t="str">
        <f ca="1">Данные!Y693</f>
        <v>1</v>
      </c>
      <c r="Z693" s="54">
        <f>Данные!Z693</f>
        <v>0</v>
      </c>
      <c r="AA693" s="54" t="str">
        <f>Данные!AA693</f>
        <v>осн</v>
      </c>
      <c r="AB693" s="101">
        <f t="shared" si="94"/>
        <v>750</v>
      </c>
      <c r="AC693" s="101" t="str">
        <f t="shared" si="95"/>
        <v>КЭО (маг)</v>
      </c>
      <c r="AD693" s="101" t="str">
        <f t="shared" si="96"/>
        <v/>
      </c>
      <c r="AE693" s="102">
        <f t="shared" ca="1" si="97"/>
        <v>10.3</v>
      </c>
      <c r="AF693" s="103">
        <f t="shared" ca="1" si="98"/>
        <v>1.3733333333333334E-2</v>
      </c>
      <c r="AG693" s="101"/>
      <c r="AH693" s="101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Q693" s="72">
        <v>0</v>
      </c>
      <c r="BR693" s="72">
        <v>0</v>
      </c>
      <c r="BS693" s="72">
        <v>0</v>
      </c>
      <c r="BT693" s="72">
        <v>0</v>
      </c>
      <c r="BU693" s="72">
        <v>0</v>
      </c>
      <c r="BV693" s="72">
        <v>0</v>
      </c>
      <c r="BW693" s="72">
        <v>0</v>
      </c>
      <c r="BX693" s="72">
        <v>0</v>
      </c>
      <c r="BY693" s="72">
        <v>0</v>
      </c>
      <c r="BZ693" s="72">
        <v>0</v>
      </c>
      <c r="CA693" s="72">
        <v>0</v>
      </c>
      <c r="CB693" s="72">
        <v>0</v>
      </c>
      <c r="CC693" s="72">
        <v>0</v>
      </c>
      <c r="CD693" s="72">
        <v>0</v>
      </c>
      <c r="CE693" s="72">
        <v>0</v>
      </c>
      <c r="CF693" s="72">
        <v>0</v>
      </c>
      <c r="CG693" s="72">
        <v>0</v>
      </c>
      <c r="CH693" s="72">
        <v>0</v>
      </c>
      <c r="CI693" s="72">
        <v>0</v>
      </c>
      <c r="CJ693" s="72">
        <v>0</v>
      </c>
      <c r="CK693" s="72">
        <v>0</v>
      </c>
      <c r="CL693" s="72">
        <v>0</v>
      </c>
      <c r="CM693" s="72">
        <v>0</v>
      </c>
      <c r="CN693" s="72">
        <v>0</v>
      </c>
      <c r="CO693" s="72">
        <v>0</v>
      </c>
      <c r="CP693" s="72">
        <v>0</v>
      </c>
      <c r="CQ693" s="72">
        <v>0</v>
      </c>
      <c r="CR693" s="72">
        <v>0</v>
      </c>
      <c r="CS693" s="72">
        <v>0</v>
      </c>
      <c r="CT693" s="72">
        <v>0</v>
      </c>
      <c r="CU693" s="72">
        <v>0</v>
      </c>
      <c r="CV693" s="72">
        <v>0</v>
      </c>
      <c r="CW693" s="72">
        <v>0</v>
      </c>
      <c r="CX693" s="72">
        <v>0</v>
      </c>
      <c r="CY693" s="72">
        <v>0</v>
      </c>
      <c r="CZ693" s="72">
        <v>0</v>
      </c>
      <c r="DA693" s="72">
        <v>0</v>
      </c>
      <c r="DB693" s="72">
        <v>0</v>
      </c>
      <c r="DC693" s="72">
        <v>0</v>
      </c>
      <c r="DD693" s="72">
        <v>0</v>
      </c>
      <c r="DE693" s="72">
        <v>0</v>
      </c>
      <c r="DF693" s="72">
        <v>0</v>
      </c>
      <c r="DG693" s="72">
        <v>0</v>
      </c>
      <c r="DH693" s="72">
        <v>0</v>
      </c>
      <c r="DI693" s="72">
        <v>0</v>
      </c>
      <c r="DJ693" s="72">
        <v>0</v>
      </c>
      <c r="DK693" s="72">
        <v>0</v>
      </c>
      <c r="DL693" s="72">
        <v>0</v>
      </c>
      <c r="DM693" s="72">
        <v>0</v>
      </c>
      <c r="DN693" s="72">
        <v>0</v>
      </c>
      <c r="DO693" s="72">
        <v>0</v>
      </c>
      <c r="DP693" s="72">
        <v>0</v>
      </c>
      <c r="DQ693" s="72">
        <v>0</v>
      </c>
      <c r="DR693" s="72">
        <v>0</v>
      </c>
      <c r="DS693" s="72">
        <v>0</v>
      </c>
      <c r="DT693" s="72">
        <v>0</v>
      </c>
      <c r="DU693" s="72">
        <v>0</v>
      </c>
      <c r="DV693" s="72">
        <v>0</v>
      </c>
      <c r="DW693" s="72">
        <v>0</v>
      </c>
      <c r="DX693" s="72">
        <v>0</v>
      </c>
      <c r="DY693" s="72">
        <v>0</v>
      </c>
      <c r="DZ693" s="72">
        <v>0</v>
      </c>
      <c r="EA693" s="72">
        <v>0</v>
      </c>
      <c r="EB693" s="72">
        <v>0</v>
      </c>
      <c r="EC693" s="72">
        <v>0</v>
      </c>
      <c r="ED693" s="72">
        <v>0</v>
      </c>
      <c r="EE693" s="72">
        <v>0</v>
      </c>
      <c r="EF693" s="72">
        <v>0</v>
      </c>
      <c r="EG693" s="72">
        <v>0</v>
      </c>
      <c r="EH693" s="72">
        <v>0</v>
      </c>
      <c r="EI693" s="72">
        <v>0</v>
      </c>
      <c r="EJ693" s="72">
        <v>0</v>
      </c>
      <c r="EK693" s="72">
        <v>0</v>
      </c>
      <c r="EL693" s="72">
        <v>0</v>
      </c>
    </row>
    <row r="694" spans="1:142" x14ac:dyDescent="0.35">
      <c r="A694" s="59">
        <f>Данные!A694</f>
        <v>5762</v>
      </c>
      <c r="B694" s="59">
        <f>Данные!B694</f>
        <v>2018</v>
      </c>
      <c r="C694" s="59" t="str">
        <f>Данные!C694</f>
        <v>компьютерных технологий и электронного обучения</v>
      </c>
      <c r="D694" s="59" t="str">
        <f>Данные!D694</f>
        <v>Готская Ирина Борисовна</v>
      </c>
      <c r="E694" s="59" t="str">
        <f>Данные!E694</f>
        <v>доктор педагогических наук</v>
      </c>
      <c r="F694" s="59" t="str">
        <f>Данные!F694</f>
        <v>профессор</v>
      </c>
      <c r="G694" s="59">
        <f>Данные!G694</f>
        <v>0.75</v>
      </c>
      <c r="H694" s="59">
        <f>Данные!H694</f>
        <v>17248</v>
      </c>
      <c r="I694" s="59" t="str">
        <f>Данные!I694</f>
        <v>Модуль "Теория и практика корпоративного электронного обучения". Менеджмент качества корпоративного электронного обучения</v>
      </c>
      <c r="J694" s="59">
        <f>Данные!J694</f>
        <v>0</v>
      </c>
      <c r="K694" s="59">
        <f>Данные!K694</f>
        <v>9</v>
      </c>
      <c r="L694" s="59">
        <f>Данные!L694</f>
        <v>0</v>
      </c>
      <c r="M694" s="60">
        <f t="shared" si="90"/>
        <v>0.9</v>
      </c>
      <c r="N694" s="60">
        <f t="shared" ca="1" si="91"/>
        <v>5.3000000000000007</v>
      </c>
      <c r="O694" s="60">
        <f t="shared" ca="1" si="92"/>
        <v>2.5</v>
      </c>
      <c r="P694" s="60">
        <f t="shared" ca="1" si="93"/>
        <v>2.5</v>
      </c>
      <c r="Q694" s="54">
        <f>Данные!Q694</f>
        <v>0</v>
      </c>
      <c r="R694" s="54">
        <f>Данные!R694</f>
        <v>0</v>
      </c>
      <c r="S694" s="54">
        <f>Данные!S694</f>
        <v>0</v>
      </c>
      <c r="T694" s="54">
        <f>Данные!T694</f>
        <v>0</v>
      </c>
      <c r="U694" s="54">
        <f>Данные!U694</f>
        <v>0</v>
      </c>
      <c r="V694" s="54">
        <f>Данные!V694</f>
        <v>0</v>
      </c>
      <c r="W694" s="54">
        <f ca="1">Данные!W694</f>
        <v>10</v>
      </c>
      <c r="X694" s="54" t="str">
        <f ca="1">Данные!X694</f>
        <v>1</v>
      </c>
      <c r="Y694" s="54" t="str">
        <f ca="1">Данные!Y694</f>
        <v>1</v>
      </c>
      <c r="Z694" s="54">
        <f>Данные!Z694</f>
        <v>0</v>
      </c>
      <c r="AA694" s="54" t="str">
        <f>Данные!AA694</f>
        <v>осн</v>
      </c>
      <c r="AB694" s="101">
        <f t="shared" si="94"/>
        <v>750</v>
      </c>
      <c r="AC694" s="101" t="str">
        <f t="shared" si="95"/>
        <v>КЭО (маг)</v>
      </c>
      <c r="AD694" s="101" t="str">
        <f t="shared" si="96"/>
        <v/>
      </c>
      <c r="AE694" s="102">
        <f t="shared" ca="1" si="97"/>
        <v>20.200000000000003</v>
      </c>
      <c r="AF694" s="103">
        <f t="shared" ca="1" si="98"/>
        <v>2.6933333333333337E-2</v>
      </c>
      <c r="AG694" s="101"/>
      <c r="AH694" s="101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Q694" s="72">
        <v>0</v>
      </c>
      <c r="BR694" s="72">
        <v>0</v>
      </c>
      <c r="BS694" s="72">
        <v>0</v>
      </c>
      <c r="BT694" s="72">
        <v>0</v>
      </c>
      <c r="BU694" s="72">
        <v>0</v>
      </c>
      <c r="BV694" s="72">
        <v>0</v>
      </c>
      <c r="BW694" s="72">
        <v>0</v>
      </c>
      <c r="BX694" s="72">
        <v>0</v>
      </c>
      <c r="BY694" s="72">
        <v>0</v>
      </c>
      <c r="BZ694" s="72">
        <v>0</v>
      </c>
      <c r="CA694" s="72">
        <v>0</v>
      </c>
      <c r="CB694" s="72">
        <v>0</v>
      </c>
      <c r="CC694" s="72">
        <v>0</v>
      </c>
      <c r="CD694" s="72">
        <v>0</v>
      </c>
      <c r="CE694" s="72">
        <v>0</v>
      </c>
      <c r="CF694" s="72">
        <v>0</v>
      </c>
      <c r="CG694" s="72">
        <v>0</v>
      </c>
      <c r="CH694" s="72">
        <v>0</v>
      </c>
      <c r="CI694" s="72">
        <v>0</v>
      </c>
      <c r="CJ694" s="72">
        <v>0</v>
      </c>
      <c r="CK694" s="72">
        <v>0</v>
      </c>
      <c r="CL694" s="72">
        <v>0</v>
      </c>
      <c r="CM694" s="72">
        <v>0</v>
      </c>
      <c r="CN694" s="72">
        <v>0</v>
      </c>
      <c r="CO694" s="72">
        <v>0</v>
      </c>
      <c r="CP694" s="72">
        <v>0</v>
      </c>
      <c r="CQ694" s="72">
        <v>0</v>
      </c>
      <c r="CR694" s="72">
        <v>0</v>
      </c>
      <c r="CS694" s="72">
        <v>0</v>
      </c>
      <c r="CT694" s="72">
        <v>0</v>
      </c>
      <c r="CU694" s="72">
        <v>0</v>
      </c>
      <c r="CV694" s="72">
        <v>0</v>
      </c>
      <c r="CW694" s="72">
        <v>0</v>
      </c>
      <c r="CX694" s="72">
        <v>0</v>
      </c>
      <c r="CY694" s="72">
        <v>0</v>
      </c>
      <c r="CZ694" s="72">
        <v>0</v>
      </c>
      <c r="DA694" s="72">
        <v>0</v>
      </c>
      <c r="DB694" s="72">
        <v>0</v>
      </c>
      <c r="DC694" s="72">
        <v>0</v>
      </c>
      <c r="DD694" s="72">
        <v>0</v>
      </c>
      <c r="DE694" s="72">
        <v>0</v>
      </c>
      <c r="DF694" s="72">
        <v>0</v>
      </c>
      <c r="DG694" s="72">
        <v>0</v>
      </c>
      <c r="DH694" s="72">
        <v>0</v>
      </c>
      <c r="DI694" s="72">
        <v>0</v>
      </c>
      <c r="DJ694" s="72">
        <v>0</v>
      </c>
      <c r="DK694" s="72">
        <v>0</v>
      </c>
      <c r="DL694" s="72">
        <v>0</v>
      </c>
      <c r="DM694" s="72">
        <v>0</v>
      </c>
      <c r="DN694" s="72">
        <v>0</v>
      </c>
      <c r="DO694" s="72">
        <v>0</v>
      </c>
      <c r="DP694" s="72">
        <v>0</v>
      </c>
      <c r="DQ694" s="72">
        <v>0</v>
      </c>
      <c r="DR694" s="72">
        <v>0</v>
      </c>
      <c r="DS694" s="72">
        <v>0</v>
      </c>
      <c r="DT694" s="72">
        <v>0</v>
      </c>
      <c r="DU694" s="72">
        <v>0</v>
      </c>
      <c r="DV694" s="72">
        <v>0</v>
      </c>
      <c r="DW694" s="72">
        <v>0</v>
      </c>
      <c r="DX694" s="72">
        <v>0</v>
      </c>
      <c r="DY694" s="72">
        <v>0</v>
      </c>
      <c r="DZ694" s="72">
        <v>0</v>
      </c>
      <c r="EA694" s="72">
        <v>0</v>
      </c>
      <c r="EB694" s="72">
        <v>0</v>
      </c>
      <c r="EC694" s="72">
        <v>0</v>
      </c>
      <c r="ED694" s="72">
        <v>0</v>
      </c>
      <c r="EE694" s="72">
        <v>0</v>
      </c>
      <c r="EF694" s="72">
        <v>0</v>
      </c>
      <c r="EG694" s="72">
        <v>0</v>
      </c>
      <c r="EH694" s="72">
        <v>0</v>
      </c>
      <c r="EI694" s="72">
        <v>0</v>
      </c>
      <c r="EJ694" s="72">
        <v>0</v>
      </c>
      <c r="EK694" s="72">
        <v>0</v>
      </c>
      <c r="EL694" s="72">
        <v>0</v>
      </c>
    </row>
    <row r="695" spans="1:142" x14ac:dyDescent="0.35">
      <c r="A695" s="59">
        <f>Данные!A695</f>
        <v>5762</v>
      </c>
      <c r="B695" s="59">
        <f>Данные!B695</f>
        <v>2018</v>
      </c>
      <c r="C695" s="59" t="str">
        <f>Данные!C695</f>
        <v>компьютерных технологий и электронного обучения</v>
      </c>
      <c r="D695" s="59" t="str">
        <f>Данные!D695</f>
        <v>Готская Ирина Борисовна</v>
      </c>
      <c r="E695" s="59" t="str">
        <f>Данные!E695</f>
        <v>доктор педагогических наук</v>
      </c>
      <c r="F695" s="59" t="str">
        <f>Данные!F695</f>
        <v>профессор</v>
      </c>
      <c r="G695" s="59">
        <f>Данные!G695</f>
        <v>0.75</v>
      </c>
      <c r="H695" s="59">
        <f>Данные!H695</f>
        <v>17248</v>
      </c>
      <c r="I695" s="59" t="str">
        <f>Данные!I695</f>
        <v>Научно-исследовательская работа. Педагогическое образование. Магистерская программа "Корпоративное электронное обучение"</v>
      </c>
      <c r="J695" s="59">
        <f>Данные!J695</f>
        <v>0</v>
      </c>
      <c r="K695" s="59">
        <f>Данные!K695</f>
        <v>0</v>
      </c>
      <c r="L695" s="59">
        <f>Данные!L695</f>
        <v>0</v>
      </c>
      <c r="M695" s="60">
        <f t="shared" si="90"/>
        <v>0</v>
      </c>
      <c r="N695" s="60">
        <f t="shared" ca="1" si="91"/>
        <v>5.3000000000000007</v>
      </c>
      <c r="O695" s="60">
        <f t="shared" ca="1" si="92"/>
        <v>2.5</v>
      </c>
      <c r="P695" s="60">
        <f t="shared" ca="1" si="93"/>
        <v>2.5</v>
      </c>
      <c r="Q695" s="54">
        <f>Данные!Q695</f>
        <v>0</v>
      </c>
      <c r="R695" s="54">
        <f>Данные!R695</f>
        <v>0</v>
      </c>
      <c r="S695" s="54">
        <f>Данные!S695</f>
        <v>0</v>
      </c>
      <c r="T695" s="54">
        <f>Данные!T695</f>
        <v>0</v>
      </c>
      <c r="U695" s="54">
        <f>Данные!U695</f>
        <v>8</v>
      </c>
      <c r="V695" s="54">
        <f>Данные!V695</f>
        <v>0</v>
      </c>
      <c r="W695" s="54">
        <f ca="1">Данные!W695</f>
        <v>10</v>
      </c>
      <c r="X695" s="54" t="str">
        <f ca="1">Данные!X695</f>
        <v>1</v>
      </c>
      <c r="Y695" s="54" t="str">
        <f ca="1">Данные!Y695</f>
        <v>1</v>
      </c>
      <c r="Z695" s="54">
        <f>Данные!Z695</f>
        <v>0</v>
      </c>
      <c r="AA695" s="54" t="str">
        <f>Данные!AA695</f>
        <v>доп</v>
      </c>
      <c r="AB695" s="101">
        <f t="shared" si="94"/>
        <v>750</v>
      </c>
      <c r="AC695" s="101" t="str">
        <f t="shared" si="95"/>
        <v>КЭО (маг)</v>
      </c>
      <c r="AD695" s="101" t="str">
        <f t="shared" si="96"/>
        <v/>
      </c>
      <c r="AE695" s="102">
        <f t="shared" ca="1" si="97"/>
        <v>18.3</v>
      </c>
      <c r="AF695" s="103">
        <f t="shared" ca="1" si="98"/>
        <v>2.4400000000000002E-2</v>
      </c>
      <c r="AG695" s="101"/>
      <c r="AH695" s="101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Q695" s="72">
        <v>0</v>
      </c>
      <c r="BR695" s="72">
        <v>0</v>
      </c>
      <c r="BS695" s="72">
        <v>0</v>
      </c>
      <c r="BT695" s="72">
        <v>0</v>
      </c>
      <c r="BU695" s="72">
        <v>0</v>
      </c>
      <c r="BV695" s="72">
        <v>0</v>
      </c>
      <c r="BW695" s="72">
        <v>0</v>
      </c>
      <c r="BX695" s="72">
        <v>0</v>
      </c>
      <c r="BY695" s="72">
        <v>0</v>
      </c>
      <c r="BZ695" s="72">
        <v>0</v>
      </c>
      <c r="CA695" s="72">
        <v>0</v>
      </c>
      <c r="CB695" s="72">
        <v>0</v>
      </c>
      <c r="CC695" s="72">
        <v>0</v>
      </c>
      <c r="CD695" s="72">
        <v>0</v>
      </c>
      <c r="CE695" s="72">
        <v>0</v>
      </c>
      <c r="CF695" s="72">
        <v>0</v>
      </c>
      <c r="CG695" s="72">
        <v>0</v>
      </c>
      <c r="CH695" s="72">
        <v>0</v>
      </c>
      <c r="CI695" s="72">
        <v>0</v>
      </c>
      <c r="CJ695" s="72">
        <v>0</v>
      </c>
      <c r="CK695" s="72">
        <v>0</v>
      </c>
      <c r="CL695" s="72">
        <v>0</v>
      </c>
      <c r="CM695" s="72">
        <v>0</v>
      </c>
      <c r="CN695" s="72">
        <v>0</v>
      </c>
      <c r="CO695" s="72">
        <v>0</v>
      </c>
      <c r="CP695" s="72">
        <v>0</v>
      </c>
      <c r="CQ695" s="72">
        <v>0</v>
      </c>
      <c r="CR695" s="72">
        <v>0</v>
      </c>
      <c r="CS695" s="72">
        <v>0</v>
      </c>
      <c r="CT695" s="72">
        <v>0</v>
      </c>
      <c r="CU695" s="72">
        <v>0</v>
      </c>
      <c r="CV695" s="72">
        <v>0</v>
      </c>
      <c r="CW695" s="72">
        <v>0</v>
      </c>
      <c r="CX695" s="72">
        <v>0</v>
      </c>
      <c r="CY695" s="72">
        <v>0</v>
      </c>
      <c r="CZ695" s="72">
        <v>0</v>
      </c>
      <c r="DA695" s="72">
        <v>0</v>
      </c>
      <c r="DB695" s="72">
        <v>0</v>
      </c>
      <c r="DC695" s="72">
        <v>0</v>
      </c>
      <c r="DD695" s="72">
        <v>0</v>
      </c>
      <c r="DE695" s="72">
        <v>0</v>
      </c>
      <c r="DF695" s="72">
        <v>0</v>
      </c>
      <c r="DG695" s="72">
        <v>0</v>
      </c>
      <c r="DH695" s="72">
        <v>0</v>
      </c>
      <c r="DI695" s="72">
        <v>0</v>
      </c>
      <c r="DJ695" s="72">
        <v>0</v>
      </c>
      <c r="DK695" s="72">
        <v>0</v>
      </c>
      <c r="DL695" s="72">
        <v>0</v>
      </c>
      <c r="DM695" s="72">
        <v>0</v>
      </c>
      <c r="DN695" s="72">
        <v>0</v>
      </c>
      <c r="DO695" s="72">
        <v>0</v>
      </c>
      <c r="DP695" s="72">
        <v>0</v>
      </c>
      <c r="DQ695" s="72">
        <v>0</v>
      </c>
      <c r="DR695" s="72">
        <v>0</v>
      </c>
      <c r="DS695" s="72">
        <v>0</v>
      </c>
      <c r="DT695" s="72">
        <v>0</v>
      </c>
      <c r="DU695" s="72">
        <v>0</v>
      </c>
      <c r="DV695" s="72">
        <v>0</v>
      </c>
      <c r="DW695" s="72">
        <v>0</v>
      </c>
      <c r="DX695" s="72">
        <v>0</v>
      </c>
      <c r="DY695" s="72">
        <v>0</v>
      </c>
      <c r="DZ695" s="72">
        <v>0</v>
      </c>
      <c r="EA695" s="72">
        <v>0</v>
      </c>
      <c r="EB695" s="72">
        <v>0</v>
      </c>
      <c r="EC695" s="72">
        <v>0</v>
      </c>
      <c r="ED695" s="72">
        <v>0</v>
      </c>
      <c r="EE695" s="72">
        <v>0</v>
      </c>
      <c r="EF695" s="72">
        <v>0</v>
      </c>
      <c r="EG695" s="72">
        <v>0</v>
      </c>
      <c r="EH695" s="72">
        <v>0</v>
      </c>
      <c r="EI695" s="72">
        <v>0</v>
      </c>
      <c r="EJ695" s="72">
        <v>0</v>
      </c>
      <c r="EK695" s="72">
        <v>0</v>
      </c>
      <c r="EL695" s="72">
        <v>0</v>
      </c>
    </row>
    <row r="696" spans="1:142" x14ac:dyDescent="0.35">
      <c r="A696" s="59">
        <f>Данные!A696</f>
        <v>5762</v>
      </c>
      <c r="B696" s="59">
        <f>Данные!B696</f>
        <v>2018</v>
      </c>
      <c r="C696" s="59" t="str">
        <f>Данные!C696</f>
        <v>компьютерных технологий и электронного обучения</v>
      </c>
      <c r="D696" s="59" t="str">
        <f>Данные!D696</f>
        <v>Готская Ирина Борисовна</v>
      </c>
      <c r="E696" s="59" t="str">
        <f>Данные!E696</f>
        <v>доктор педагогических наук</v>
      </c>
      <c r="F696" s="59" t="str">
        <f>Данные!F696</f>
        <v>профессор</v>
      </c>
      <c r="G696" s="59">
        <f>Данные!G696</f>
        <v>0.75</v>
      </c>
      <c r="H696" s="59">
        <f>Данные!H696</f>
        <v>17248</v>
      </c>
      <c r="I696" s="59" t="str">
        <f>Данные!I696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96" s="59">
        <f>Данные!J696</f>
        <v>0</v>
      </c>
      <c r="K696" s="59">
        <f>Данные!K696</f>
        <v>0</v>
      </c>
      <c r="L696" s="59">
        <f>Данные!L696</f>
        <v>0</v>
      </c>
      <c r="M696" s="60">
        <f t="shared" si="90"/>
        <v>0</v>
      </c>
      <c r="N696" s="60">
        <f t="shared" ca="1" si="91"/>
        <v>5.3000000000000007</v>
      </c>
      <c r="O696" s="60">
        <f t="shared" ca="1" si="92"/>
        <v>2.5</v>
      </c>
      <c r="P696" s="60">
        <f t="shared" ca="1" si="93"/>
        <v>2.5</v>
      </c>
      <c r="Q696" s="54">
        <f>Данные!Q696</f>
        <v>0</v>
      </c>
      <c r="R696" s="54">
        <f>Данные!R696</f>
        <v>0</v>
      </c>
      <c r="S696" s="54">
        <f>Данные!S696</f>
        <v>0</v>
      </c>
      <c r="T696" s="54">
        <f>Данные!T696</f>
        <v>0</v>
      </c>
      <c r="U696" s="54">
        <f>Данные!U696</f>
        <v>0</v>
      </c>
      <c r="V696" s="54">
        <f>Данные!V696</f>
        <v>44</v>
      </c>
      <c r="W696" s="54">
        <f ca="1">Данные!W696</f>
        <v>10</v>
      </c>
      <c r="X696" s="54" t="str">
        <f ca="1">Данные!X696</f>
        <v>1</v>
      </c>
      <c r="Y696" s="54" t="str">
        <f ca="1">Данные!Y696</f>
        <v>1</v>
      </c>
      <c r="Z696" s="54">
        <f>Данные!Z696</f>
        <v>0</v>
      </c>
      <c r="AA696" s="54" t="str">
        <f>Данные!AA696</f>
        <v>осн</v>
      </c>
      <c r="AB696" s="101">
        <f t="shared" si="94"/>
        <v>750</v>
      </c>
      <c r="AC696" s="101" t="str">
        <f t="shared" si="95"/>
        <v>КЭО (маг)</v>
      </c>
      <c r="AD696" s="101" t="str">
        <f t="shared" si="96"/>
        <v/>
      </c>
      <c r="AE696" s="102">
        <f t="shared" ca="1" si="97"/>
        <v>54.3</v>
      </c>
      <c r="AF696" s="103">
        <f t="shared" ca="1" si="98"/>
        <v>7.2399999999999992E-2</v>
      </c>
      <c r="AG696" s="101"/>
      <c r="AH696" s="101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Q696" s="72">
        <v>0</v>
      </c>
      <c r="BR696" s="72">
        <v>0</v>
      </c>
      <c r="BS696" s="72">
        <v>0</v>
      </c>
      <c r="BT696" s="72">
        <v>0</v>
      </c>
      <c r="BU696" s="72">
        <v>0</v>
      </c>
      <c r="BV696" s="72">
        <v>0</v>
      </c>
      <c r="BW696" s="72">
        <v>0</v>
      </c>
      <c r="BX696" s="72">
        <v>0</v>
      </c>
      <c r="BY696" s="72">
        <v>0</v>
      </c>
      <c r="BZ696" s="72">
        <v>0</v>
      </c>
      <c r="CA696" s="72">
        <v>0</v>
      </c>
      <c r="CB696" s="72">
        <v>0</v>
      </c>
      <c r="CC696" s="72">
        <v>0</v>
      </c>
      <c r="CD696" s="72">
        <v>0</v>
      </c>
      <c r="CE696" s="72">
        <v>0</v>
      </c>
      <c r="CF696" s="72">
        <v>0</v>
      </c>
      <c r="CG696" s="72">
        <v>0</v>
      </c>
      <c r="CH696" s="72">
        <v>0</v>
      </c>
      <c r="CI696" s="72">
        <v>0</v>
      </c>
      <c r="CJ696" s="72">
        <v>0</v>
      </c>
      <c r="CK696" s="72">
        <v>0</v>
      </c>
      <c r="CL696" s="72">
        <v>0</v>
      </c>
      <c r="CM696" s="72">
        <v>0</v>
      </c>
      <c r="CN696" s="72">
        <v>0</v>
      </c>
      <c r="CO696" s="72">
        <v>0</v>
      </c>
      <c r="CP696" s="72">
        <v>0</v>
      </c>
      <c r="CQ696" s="72">
        <v>0</v>
      </c>
      <c r="CR696" s="72">
        <v>0</v>
      </c>
      <c r="CS696" s="72">
        <v>0</v>
      </c>
      <c r="CT696" s="72">
        <v>0</v>
      </c>
      <c r="CU696" s="72">
        <v>0</v>
      </c>
      <c r="CV696" s="72">
        <v>0</v>
      </c>
      <c r="CW696" s="72">
        <v>0</v>
      </c>
      <c r="CX696" s="72">
        <v>0</v>
      </c>
      <c r="CY696" s="72">
        <v>0</v>
      </c>
      <c r="CZ696" s="72">
        <v>0</v>
      </c>
      <c r="DA696" s="72">
        <v>0</v>
      </c>
      <c r="DB696" s="72">
        <v>0</v>
      </c>
      <c r="DC696" s="72">
        <v>0</v>
      </c>
      <c r="DD696" s="72">
        <v>0</v>
      </c>
      <c r="DE696" s="72">
        <v>0</v>
      </c>
      <c r="DF696" s="72">
        <v>0</v>
      </c>
      <c r="DG696" s="72">
        <v>0</v>
      </c>
      <c r="DH696" s="72">
        <v>0</v>
      </c>
      <c r="DI696" s="72">
        <v>0</v>
      </c>
      <c r="DJ696" s="72">
        <v>0</v>
      </c>
      <c r="DK696" s="72">
        <v>0</v>
      </c>
      <c r="DL696" s="72">
        <v>0</v>
      </c>
      <c r="DM696" s="72">
        <v>0</v>
      </c>
      <c r="DN696" s="72">
        <v>0</v>
      </c>
      <c r="DO696" s="72">
        <v>0</v>
      </c>
      <c r="DP696" s="72">
        <v>0</v>
      </c>
      <c r="DQ696" s="72">
        <v>0</v>
      </c>
      <c r="DR696" s="72">
        <v>0</v>
      </c>
      <c r="DS696" s="72">
        <v>0</v>
      </c>
      <c r="DT696" s="72">
        <v>0</v>
      </c>
      <c r="DU696" s="72">
        <v>0</v>
      </c>
      <c r="DV696" s="72">
        <v>0</v>
      </c>
      <c r="DW696" s="72">
        <v>0</v>
      </c>
      <c r="DX696" s="72">
        <v>0</v>
      </c>
      <c r="DY696" s="72">
        <v>0</v>
      </c>
      <c r="DZ696" s="72">
        <v>0</v>
      </c>
      <c r="EA696" s="72">
        <v>0</v>
      </c>
      <c r="EB696" s="72">
        <v>0</v>
      </c>
      <c r="EC696" s="72">
        <v>0</v>
      </c>
      <c r="ED696" s="72">
        <v>0</v>
      </c>
      <c r="EE696" s="72">
        <v>0</v>
      </c>
      <c r="EF696" s="72">
        <v>0</v>
      </c>
      <c r="EG696" s="72">
        <v>0</v>
      </c>
      <c r="EH696" s="72">
        <v>0</v>
      </c>
      <c r="EI696" s="72">
        <v>0</v>
      </c>
      <c r="EJ696" s="72">
        <v>0</v>
      </c>
      <c r="EK696" s="72">
        <v>0</v>
      </c>
      <c r="EL696" s="72">
        <v>0</v>
      </c>
    </row>
    <row r="697" spans="1:142" x14ac:dyDescent="0.35">
      <c r="A697" s="59">
        <f>Данные!A697</f>
        <v>5762</v>
      </c>
      <c r="B697" s="59">
        <f>Данные!B697</f>
        <v>2018</v>
      </c>
      <c r="C697" s="59" t="str">
        <f>Данные!C697</f>
        <v>компьютерных технологий и электронного обучения</v>
      </c>
      <c r="D697" s="59" t="str">
        <f>Данные!D697</f>
        <v>Готская Ирина Борисовна</v>
      </c>
      <c r="E697" s="59" t="str">
        <f>Данные!E697</f>
        <v>доктор педагогических наук</v>
      </c>
      <c r="F697" s="59" t="str">
        <f>Данные!F697</f>
        <v>профессор</v>
      </c>
      <c r="G697" s="59">
        <f>Данные!G697</f>
        <v>0.75</v>
      </c>
      <c r="H697" s="59">
        <f>Данные!H697</f>
        <v>17248</v>
      </c>
      <c r="I697" s="59" t="str">
        <f>Данные!I697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97" s="59">
        <f>Данные!J697</f>
        <v>0</v>
      </c>
      <c r="K697" s="59">
        <f>Данные!K697</f>
        <v>0</v>
      </c>
      <c r="L697" s="59">
        <f>Данные!L697</f>
        <v>0</v>
      </c>
      <c r="M697" s="60">
        <f t="shared" si="90"/>
        <v>0</v>
      </c>
      <c r="N697" s="60">
        <f t="shared" ca="1" si="91"/>
        <v>5.3000000000000007</v>
      </c>
      <c r="O697" s="60">
        <f t="shared" ca="1" si="92"/>
        <v>2.5</v>
      </c>
      <c r="P697" s="60">
        <f t="shared" ca="1" si="93"/>
        <v>2.5</v>
      </c>
      <c r="Q697" s="54">
        <f>Данные!Q697</f>
        <v>0</v>
      </c>
      <c r="R697" s="54">
        <f>Данные!R697</f>
        <v>0</v>
      </c>
      <c r="S697" s="54">
        <f>Данные!S697</f>
        <v>0</v>
      </c>
      <c r="T697" s="54">
        <f>Данные!T697</f>
        <v>0</v>
      </c>
      <c r="U697" s="54">
        <f>Данные!U697</f>
        <v>8</v>
      </c>
      <c r="V697" s="54">
        <f>Данные!V697</f>
        <v>0</v>
      </c>
      <c r="W697" s="54">
        <f ca="1">Данные!W697</f>
        <v>10</v>
      </c>
      <c r="X697" s="54" t="str">
        <f ca="1">Данные!X697</f>
        <v>1</v>
      </c>
      <c r="Y697" s="54" t="str">
        <f ca="1">Данные!Y697</f>
        <v>1</v>
      </c>
      <c r="Z697" s="54">
        <f>Данные!Z697</f>
        <v>0</v>
      </c>
      <c r="AA697" s="54" t="str">
        <f>Данные!AA697</f>
        <v>доп</v>
      </c>
      <c r="AB697" s="101">
        <f t="shared" si="94"/>
        <v>750</v>
      </c>
      <c r="AC697" s="101" t="str">
        <f t="shared" si="95"/>
        <v>КЭО (маг)</v>
      </c>
      <c r="AD697" s="101" t="str">
        <f t="shared" si="96"/>
        <v/>
      </c>
      <c r="AE697" s="102">
        <f t="shared" ca="1" si="97"/>
        <v>18.3</v>
      </c>
      <c r="AF697" s="103">
        <f t="shared" ca="1" si="98"/>
        <v>2.4400000000000002E-2</v>
      </c>
      <c r="AG697" s="101"/>
      <c r="AH697" s="101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Q697" s="72">
        <v>0</v>
      </c>
      <c r="BR697" s="72">
        <v>0</v>
      </c>
      <c r="BS697" s="72">
        <v>0</v>
      </c>
      <c r="BT697" s="72">
        <v>0</v>
      </c>
      <c r="BU697" s="72">
        <v>0</v>
      </c>
      <c r="BV697" s="72">
        <v>0</v>
      </c>
      <c r="BW697" s="72">
        <v>0</v>
      </c>
      <c r="BX697" s="72">
        <v>0</v>
      </c>
      <c r="BY697" s="72">
        <v>0</v>
      </c>
      <c r="BZ697" s="72">
        <v>0</v>
      </c>
      <c r="CA697" s="72">
        <v>0</v>
      </c>
      <c r="CB697" s="72">
        <v>0</v>
      </c>
      <c r="CC697" s="72">
        <v>0</v>
      </c>
      <c r="CD697" s="72">
        <v>0</v>
      </c>
      <c r="CE697" s="72">
        <v>0</v>
      </c>
      <c r="CF697" s="72">
        <v>0</v>
      </c>
      <c r="CG697" s="72">
        <v>0</v>
      </c>
      <c r="CH697" s="72">
        <v>0</v>
      </c>
      <c r="CI697" s="72">
        <v>0</v>
      </c>
      <c r="CJ697" s="72">
        <v>0</v>
      </c>
      <c r="CK697" s="72">
        <v>0</v>
      </c>
      <c r="CL697" s="72">
        <v>0</v>
      </c>
      <c r="CM697" s="72">
        <v>0</v>
      </c>
      <c r="CN697" s="72">
        <v>0</v>
      </c>
      <c r="CO697" s="72">
        <v>0</v>
      </c>
      <c r="CP697" s="72">
        <v>0</v>
      </c>
      <c r="CQ697" s="72">
        <v>0</v>
      </c>
      <c r="CR697" s="72">
        <v>0</v>
      </c>
      <c r="CS697" s="72">
        <v>0</v>
      </c>
      <c r="CT697" s="72">
        <v>0</v>
      </c>
      <c r="CU697" s="72">
        <v>0</v>
      </c>
      <c r="CV697" s="72">
        <v>0</v>
      </c>
      <c r="CW697" s="72">
        <v>0</v>
      </c>
      <c r="CX697" s="72">
        <v>0</v>
      </c>
      <c r="CY697" s="72">
        <v>0</v>
      </c>
      <c r="CZ697" s="72">
        <v>0</v>
      </c>
      <c r="DA697" s="72">
        <v>0</v>
      </c>
      <c r="DB697" s="72">
        <v>0</v>
      </c>
      <c r="DC697" s="72">
        <v>0</v>
      </c>
      <c r="DD697" s="72">
        <v>0</v>
      </c>
      <c r="DE697" s="72">
        <v>0</v>
      </c>
      <c r="DF697" s="72">
        <v>0</v>
      </c>
      <c r="DG697" s="72">
        <v>0</v>
      </c>
      <c r="DH697" s="72">
        <v>0</v>
      </c>
      <c r="DI697" s="72">
        <v>0</v>
      </c>
      <c r="DJ697" s="72">
        <v>0</v>
      </c>
      <c r="DK697" s="72">
        <v>0</v>
      </c>
      <c r="DL697" s="72">
        <v>0</v>
      </c>
      <c r="DM697" s="72">
        <v>0</v>
      </c>
      <c r="DN697" s="72">
        <v>0</v>
      </c>
      <c r="DO697" s="72">
        <v>0</v>
      </c>
      <c r="DP697" s="72">
        <v>0</v>
      </c>
      <c r="DQ697" s="72">
        <v>0</v>
      </c>
      <c r="DR697" s="72">
        <v>0</v>
      </c>
      <c r="DS697" s="72">
        <v>0</v>
      </c>
      <c r="DT697" s="72">
        <v>0</v>
      </c>
      <c r="DU697" s="72">
        <v>0</v>
      </c>
      <c r="DV697" s="72">
        <v>0</v>
      </c>
      <c r="DW697" s="72">
        <v>0</v>
      </c>
      <c r="DX697" s="72">
        <v>0</v>
      </c>
      <c r="DY697" s="72">
        <v>0</v>
      </c>
      <c r="DZ697" s="72">
        <v>0</v>
      </c>
      <c r="EA697" s="72">
        <v>0</v>
      </c>
      <c r="EB697" s="72">
        <v>0</v>
      </c>
      <c r="EC697" s="72">
        <v>0</v>
      </c>
      <c r="ED697" s="72">
        <v>0</v>
      </c>
      <c r="EE697" s="72">
        <v>0</v>
      </c>
      <c r="EF697" s="72">
        <v>0</v>
      </c>
      <c r="EG697" s="72">
        <v>0</v>
      </c>
      <c r="EH697" s="72">
        <v>0</v>
      </c>
      <c r="EI697" s="72">
        <v>0</v>
      </c>
      <c r="EJ697" s="72">
        <v>0</v>
      </c>
      <c r="EK697" s="72">
        <v>0</v>
      </c>
      <c r="EL697" s="72">
        <v>0</v>
      </c>
    </row>
    <row r="698" spans="1:142" x14ac:dyDescent="0.35">
      <c r="A698" s="59">
        <f>Данные!A698</f>
        <v>5762</v>
      </c>
      <c r="B698" s="59">
        <f>Данные!B698</f>
        <v>2018</v>
      </c>
      <c r="C698" s="59" t="str">
        <f>Данные!C698</f>
        <v>компьютерных технологий и электронного обучения</v>
      </c>
      <c r="D698" s="59" t="str">
        <f>Данные!D698</f>
        <v>Готская Ирина Борисовна</v>
      </c>
      <c r="E698" s="59" t="str">
        <f>Данные!E698</f>
        <v>доктор педагогических наук</v>
      </c>
      <c r="F698" s="59" t="str">
        <f>Данные!F698</f>
        <v>профессор</v>
      </c>
      <c r="G698" s="59">
        <f>Данные!G698</f>
        <v>0.75</v>
      </c>
      <c r="H698" s="59">
        <f>Данные!H698</f>
        <v>17248</v>
      </c>
      <c r="I698" s="59" t="str">
        <f>Данные!I698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98" s="59">
        <f>Данные!J698</f>
        <v>0</v>
      </c>
      <c r="K698" s="59">
        <f>Данные!K698</f>
        <v>0</v>
      </c>
      <c r="L698" s="59">
        <f>Данные!L698</f>
        <v>0</v>
      </c>
      <c r="M698" s="60">
        <f t="shared" si="90"/>
        <v>0</v>
      </c>
      <c r="N698" s="60">
        <f t="shared" ca="1" si="91"/>
        <v>5.3000000000000007</v>
      </c>
      <c r="O698" s="60">
        <f t="shared" ca="1" si="92"/>
        <v>2.5</v>
      </c>
      <c r="P698" s="60">
        <f t="shared" ca="1" si="93"/>
        <v>2.5</v>
      </c>
      <c r="Q698" s="54">
        <f>Данные!Q698</f>
        <v>0</v>
      </c>
      <c r="R698" s="54">
        <f>Данные!R698</f>
        <v>0</v>
      </c>
      <c r="S698" s="54">
        <f>Данные!S698</f>
        <v>0</v>
      </c>
      <c r="T698" s="54">
        <f>Данные!T698</f>
        <v>0</v>
      </c>
      <c r="U698" s="54">
        <f>Данные!U698</f>
        <v>8</v>
      </c>
      <c r="V698" s="54">
        <f>Данные!V698</f>
        <v>0</v>
      </c>
      <c r="W698" s="54">
        <f ca="1">Данные!W698</f>
        <v>10</v>
      </c>
      <c r="X698" s="54" t="str">
        <f ca="1">Данные!X698</f>
        <v>1</v>
      </c>
      <c r="Y698" s="54" t="str">
        <f ca="1">Данные!Y698</f>
        <v>1</v>
      </c>
      <c r="Z698" s="54">
        <f>Данные!Z698</f>
        <v>0</v>
      </c>
      <c r="AA698" s="54" t="str">
        <f>Данные!AA698</f>
        <v>доп</v>
      </c>
      <c r="AB698" s="101">
        <f t="shared" si="94"/>
        <v>750</v>
      </c>
      <c r="AC698" s="101" t="str">
        <f t="shared" si="95"/>
        <v>КЭО (маг)</v>
      </c>
      <c r="AD698" s="101" t="str">
        <f t="shared" si="96"/>
        <v/>
      </c>
      <c r="AE698" s="102">
        <f t="shared" ca="1" si="97"/>
        <v>18.3</v>
      </c>
      <c r="AF698" s="103">
        <f t="shared" ca="1" si="98"/>
        <v>2.4400000000000002E-2</v>
      </c>
      <c r="AG698" s="101"/>
      <c r="AH698" s="101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Q698" s="72">
        <v>0</v>
      </c>
      <c r="BR698" s="72">
        <v>0</v>
      </c>
      <c r="BS698" s="72">
        <v>0</v>
      </c>
      <c r="BT698" s="72">
        <v>0</v>
      </c>
      <c r="BU698" s="72">
        <v>0</v>
      </c>
      <c r="BV698" s="72">
        <v>0</v>
      </c>
      <c r="BW698" s="72">
        <v>0</v>
      </c>
      <c r="BX698" s="72">
        <v>0</v>
      </c>
      <c r="BY698" s="72">
        <v>0</v>
      </c>
      <c r="BZ698" s="72">
        <v>0</v>
      </c>
      <c r="CA698" s="72">
        <v>0</v>
      </c>
      <c r="CB698" s="72">
        <v>0</v>
      </c>
      <c r="CC698" s="72">
        <v>0</v>
      </c>
      <c r="CD698" s="72">
        <v>0</v>
      </c>
      <c r="CE698" s="72">
        <v>0</v>
      </c>
      <c r="CF698" s="72">
        <v>0</v>
      </c>
      <c r="CG698" s="72">
        <v>0</v>
      </c>
      <c r="CH698" s="72">
        <v>0</v>
      </c>
      <c r="CI698" s="72">
        <v>0</v>
      </c>
      <c r="CJ698" s="72">
        <v>0</v>
      </c>
      <c r="CK698" s="72">
        <v>0</v>
      </c>
      <c r="CL698" s="72">
        <v>0</v>
      </c>
      <c r="CM698" s="72">
        <v>0</v>
      </c>
      <c r="CN698" s="72">
        <v>0</v>
      </c>
      <c r="CO698" s="72">
        <v>0</v>
      </c>
      <c r="CP698" s="72">
        <v>0</v>
      </c>
      <c r="CQ698" s="72">
        <v>0</v>
      </c>
      <c r="CR698" s="72">
        <v>0</v>
      </c>
      <c r="CS698" s="72">
        <v>0</v>
      </c>
      <c r="CT698" s="72">
        <v>0</v>
      </c>
      <c r="CU698" s="72">
        <v>0</v>
      </c>
      <c r="CV698" s="72">
        <v>0</v>
      </c>
      <c r="CW698" s="72">
        <v>0</v>
      </c>
      <c r="CX698" s="72">
        <v>0</v>
      </c>
      <c r="CY698" s="72">
        <v>0</v>
      </c>
      <c r="CZ698" s="72">
        <v>0</v>
      </c>
      <c r="DA698" s="72">
        <v>0</v>
      </c>
      <c r="DB698" s="72">
        <v>0</v>
      </c>
      <c r="DC698" s="72">
        <v>0</v>
      </c>
      <c r="DD698" s="72">
        <v>0</v>
      </c>
      <c r="DE698" s="72">
        <v>0</v>
      </c>
      <c r="DF698" s="72">
        <v>0</v>
      </c>
      <c r="DG698" s="72">
        <v>0</v>
      </c>
      <c r="DH698" s="72">
        <v>0</v>
      </c>
      <c r="DI698" s="72">
        <v>0</v>
      </c>
      <c r="DJ698" s="72">
        <v>0</v>
      </c>
      <c r="DK698" s="72">
        <v>0</v>
      </c>
      <c r="DL698" s="72">
        <v>0</v>
      </c>
      <c r="DM698" s="72">
        <v>0</v>
      </c>
      <c r="DN698" s="72">
        <v>0</v>
      </c>
      <c r="DO698" s="72">
        <v>0</v>
      </c>
      <c r="DP698" s="72">
        <v>0</v>
      </c>
      <c r="DQ698" s="72">
        <v>0</v>
      </c>
      <c r="DR698" s="72">
        <v>0</v>
      </c>
      <c r="DS698" s="72">
        <v>0</v>
      </c>
      <c r="DT698" s="72">
        <v>0</v>
      </c>
      <c r="DU698" s="72">
        <v>0</v>
      </c>
      <c r="DV698" s="72">
        <v>0</v>
      </c>
      <c r="DW698" s="72">
        <v>0</v>
      </c>
      <c r="DX698" s="72">
        <v>0</v>
      </c>
      <c r="DY698" s="72">
        <v>0</v>
      </c>
      <c r="DZ698" s="72">
        <v>0</v>
      </c>
      <c r="EA698" s="72">
        <v>0</v>
      </c>
      <c r="EB698" s="72">
        <v>0</v>
      </c>
      <c r="EC698" s="72">
        <v>0</v>
      </c>
      <c r="ED698" s="72">
        <v>0</v>
      </c>
      <c r="EE698" s="72">
        <v>0</v>
      </c>
      <c r="EF698" s="72">
        <v>0</v>
      </c>
      <c r="EG698" s="72">
        <v>0</v>
      </c>
      <c r="EH698" s="72">
        <v>0</v>
      </c>
      <c r="EI698" s="72">
        <v>0</v>
      </c>
      <c r="EJ698" s="72">
        <v>0</v>
      </c>
      <c r="EK698" s="72">
        <v>0</v>
      </c>
      <c r="EL698" s="72">
        <v>0</v>
      </c>
    </row>
    <row r="699" spans="1:142" x14ac:dyDescent="0.35">
      <c r="A699" s="59">
        <f>Данные!A699</f>
        <v>5762</v>
      </c>
      <c r="B699" s="59">
        <f>Данные!B699</f>
        <v>2018</v>
      </c>
      <c r="C699" s="59" t="str">
        <f>Данные!C699</f>
        <v>компьютерных технологий и электронного обучения</v>
      </c>
      <c r="D699" s="59" t="str">
        <f>Данные!D699</f>
        <v>Готская Ирина Борисовна</v>
      </c>
      <c r="E699" s="59" t="str">
        <f>Данные!E699</f>
        <v>доктор педагогических наук</v>
      </c>
      <c r="F699" s="59" t="str">
        <f>Данные!F699</f>
        <v>профессор</v>
      </c>
      <c r="G699" s="59">
        <f>Данные!G699</f>
        <v>0.75</v>
      </c>
      <c r="H699" s="59">
        <f>Данные!H699</f>
        <v>17248</v>
      </c>
      <c r="I699" s="59" t="str">
        <f>Данные!I699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99" s="59">
        <f>Данные!J699</f>
        <v>0</v>
      </c>
      <c r="K699" s="59">
        <f>Данные!K699</f>
        <v>0</v>
      </c>
      <c r="L699" s="59">
        <f>Данные!L699</f>
        <v>0</v>
      </c>
      <c r="M699" s="60">
        <f t="shared" si="90"/>
        <v>0</v>
      </c>
      <c r="N699" s="60">
        <f t="shared" ca="1" si="91"/>
        <v>5.3000000000000007</v>
      </c>
      <c r="O699" s="60">
        <f t="shared" ca="1" si="92"/>
        <v>2.5</v>
      </c>
      <c r="P699" s="60">
        <f t="shared" ca="1" si="93"/>
        <v>2.5</v>
      </c>
      <c r="Q699" s="54">
        <f>Данные!Q699</f>
        <v>0</v>
      </c>
      <c r="R699" s="54">
        <f>Данные!R699</f>
        <v>0</v>
      </c>
      <c r="S699" s="54">
        <f>Данные!S699</f>
        <v>0</v>
      </c>
      <c r="T699" s="54">
        <f>Данные!T699</f>
        <v>0</v>
      </c>
      <c r="U699" s="54">
        <f>Данные!U699</f>
        <v>4</v>
      </c>
      <c r="V699" s="54">
        <f>Данные!V699</f>
        <v>0</v>
      </c>
      <c r="W699" s="54">
        <f ca="1">Данные!W699</f>
        <v>10</v>
      </c>
      <c r="X699" s="54" t="str">
        <f ca="1">Данные!X699</f>
        <v>1</v>
      </c>
      <c r="Y699" s="54" t="str">
        <f ca="1">Данные!Y699</f>
        <v>1</v>
      </c>
      <c r="Z699" s="54">
        <f>Данные!Z699</f>
        <v>0</v>
      </c>
      <c r="AA699" s="54" t="str">
        <f>Данные!AA699</f>
        <v>доп</v>
      </c>
      <c r="AB699" s="101">
        <f t="shared" si="94"/>
        <v>750</v>
      </c>
      <c r="AC699" s="101" t="str">
        <f t="shared" si="95"/>
        <v>КЭО (маг)</v>
      </c>
      <c r="AD699" s="101" t="str">
        <f t="shared" si="96"/>
        <v/>
      </c>
      <c r="AE699" s="102">
        <f t="shared" ca="1" si="97"/>
        <v>14.3</v>
      </c>
      <c r="AF699" s="103">
        <f t="shared" ca="1" si="98"/>
        <v>1.9066666666666669E-2</v>
      </c>
      <c r="AG699" s="101"/>
      <c r="AH699" s="101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Q699" s="72">
        <v>0</v>
      </c>
      <c r="BR699" s="72">
        <v>0</v>
      </c>
      <c r="BS699" s="72">
        <v>0</v>
      </c>
      <c r="BT699" s="72">
        <v>0</v>
      </c>
      <c r="BU699" s="72">
        <v>0</v>
      </c>
      <c r="BV699" s="72">
        <v>0</v>
      </c>
      <c r="BW699" s="72">
        <v>0</v>
      </c>
      <c r="BX699" s="72">
        <v>0</v>
      </c>
      <c r="BY699" s="72">
        <v>0</v>
      </c>
      <c r="BZ699" s="72">
        <v>0</v>
      </c>
      <c r="CA699" s="72">
        <v>0</v>
      </c>
      <c r="CB699" s="72">
        <v>0</v>
      </c>
      <c r="CC699" s="72">
        <v>0</v>
      </c>
      <c r="CD699" s="72">
        <v>0</v>
      </c>
      <c r="CE699" s="72">
        <v>0</v>
      </c>
      <c r="CF699" s="72">
        <v>0</v>
      </c>
      <c r="CG699" s="72">
        <v>0</v>
      </c>
      <c r="CH699" s="72">
        <v>0</v>
      </c>
      <c r="CI699" s="72">
        <v>0</v>
      </c>
      <c r="CJ699" s="72">
        <v>0</v>
      </c>
      <c r="CK699" s="72">
        <v>0</v>
      </c>
      <c r="CL699" s="72">
        <v>0</v>
      </c>
      <c r="CM699" s="72">
        <v>0</v>
      </c>
      <c r="CN699" s="72">
        <v>0</v>
      </c>
      <c r="CO699" s="72">
        <v>0</v>
      </c>
      <c r="CP699" s="72">
        <v>0</v>
      </c>
      <c r="CQ699" s="72">
        <v>0</v>
      </c>
      <c r="CR699" s="72">
        <v>0</v>
      </c>
      <c r="CS699" s="72">
        <v>0</v>
      </c>
      <c r="CT699" s="72">
        <v>0</v>
      </c>
      <c r="CU699" s="72">
        <v>0</v>
      </c>
      <c r="CV699" s="72">
        <v>0</v>
      </c>
      <c r="CW699" s="72">
        <v>0</v>
      </c>
      <c r="CX699" s="72">
        <v>0</v>
      </c>
      <c r="CY699" s="72">
        <v>0</v>
      </c>
      <c r="CZ699" s="72">
        <v>0</v>
      </c>
      <c r="DA699" s="72">
        <v>0</v>
      </c>
      <c r="DB699" s="72">
        <v>0</v>
      </c>
      <c r="DC699" s="72">
        <v>0</v>
      </c>
      <c r="DD699" s="72">
        <v>0</v>
      </c>
      <c r="DE699" s="72">
        <v>0</v>
      </c>
      <c r="DF699" s="72">
        <v>0</v>
      </c>
      <c r="DG699" s="72">
        <v>0</v>
      </c>
      <c r="DH699" s="72">
        <v>0</v>
      </c>
      <c r="DI699" s="72">
        <v>0</v>
      </c>
      <c r="DJ699" s="72">
        <v>0</v>
      </c>
      <c r="DK699" s="72">
        <v>0</v>
      </c>
      <c r="DL699" s="72">
        <v>0</v>
      </c>
      <c r="DM699" s="72">
        <v>0</v>
      </c>
      <c r="DN699" s="72">
        <v>0</v>
      </c>
      <c r="DO699" s="72">
        <v>0</v>
      </c>
      <c r="DP699" s="72">
        <v>0</v>
      </c>
      <c r="DQ699" s="72">
        <v>0</v>
      </c>
      <c r="DR699" s="72">
        <v>0</v>
      </c>
      <c r="DS699" s="72">
        <v>0</v>
      </c>
      <c r="DT699" s="72">
        <v>0</v>
      </c>
      <c r="DU699" s="72">
        <v>0</v>
      </c>
      <c r="DV699" s="72">
        <v>0</v>
      </c>
      <c r="DW699" s="72">
        <v>0</v>
      </c>
      <c r="DX699" s="72">
        <v>0</v>
      </c>
      <c r="DY699" s="72">
        <v>0</v>
      </c>
      <c r="DZ699" s="72">
        <v>0</v>
      </c>
      <c r="EA699" s="72">
        <v>0</v>
      </c>
      <c r="EB699" s="72">
        <v>0</v>
      </c>
      <c r="EC699" s="72">
        <v>0</v>
      </c>
      <c r="ED699" s="72">
        <v>0</v>
      </c>
      <c r="EE699" s="72">
        <v>0</v>
      </c>
      <c r="EF699" s="72">
        <v>0</v>
      </c>
      <c r="EG699" s="72">
        <v>0</v>
      </c>
      <c r="EH699" s="72">
        <v>0</v>
      </c>
      <c r="EI699" s="72">
        <v>0</v>
      </c>
      <c r="EJ699" s="72">
        <v>0</v>
      </c>
      <c r="EK699" s="72">
        <v>0</v>
      </c>
      <c r="EL699" s="72">
        <v>0</v>
      </c>
    </row>
    <row r="700" spans="1:142" x14ac:dyDescent="0.35">
      <c r="A700" s="59">
        <f>Данные!A700</f>
        <v>5762</v>
      </c>
      <c r="B700" s="59">
        <f>Данные!B700</f>
        <v>2018</v>
      </c>
      <c r="C700" s="59" t="str">
        <f>Данные!C700</f>
        <v>компьютерных технологий и электронного обучения</v>
      </c>
      <c r="D700" s="59" t="str">
        <f>Данные!D700</f>
        <v>Жуков Николай Николаевич</v>
      </c>
      <c r="E700" s="59" t="str">
        <f>Данные!E700</f>
        <v>нет</v>
      </c>
      <c r="F700" s="59" t="str">
        <f>Данные!F700</f>
        <v>ассистент</v>
      </c>
      <c r="G700" s="59">
        <f>Данные!G700</f>
        <v>1</v>
      </c>
      <c r="H700" s="59">
        <f>Данные!H700</f>
        <v>17248</v>
      </c>
      <c r="I700" s="59" t="str">
        <f>Данные!I700</f>
        <v>Модуль "SMART-обучение". Дисциплины и курсы по выбору. Методология и технологии SMART-обучения</v>
      </c>
      <c r="J700" s="59">
        <f>Данные!J700</f>
        <v>0</v>
      </c>
      <c r="K700" s="59">
        <f>Данные!K700</f>
        <v>20</v>
      </c>
      <c r="L700" s="59">
        <f>Данные!L700</f>
        <v>0</v>
      </c>
      <c r="M700" s="60">
        <f t="shared" si="90"/>
        <v>2</v>
      </c>
      <c r="N700" s="60">
        <f t="shared" ca="1" si="91"/>
        <v>5.3000000000000007</v>
      </c>
      <c r="O700" s="60">
        <f t="shared" ca="1" si="92"/>
        <v>2.5</v>
      </c>
      <c r="P700" s="60">
        <f t="shared" ca="1" si="93"/>
        <v>2.5</v>
      </c>
      <c r="Q700" s="54">
        <f>Данные!Q700</f>
        <v>0</v>
      </c>
      <c r="R700" s="54">
        <f>Данные!R700</f>
        <v>0</v>
      </c>
      <c r="S700" s="54">
        <f>Данные!S700</f>
        <v>0</v>
      </c>
      <c r="T700" s="54">
        <f>Данные!T700</f>
        <v>0</v>
      </c>
      <c r="U700" s="54">
        <f>Данные!U700</f>
        <v>0</v>
      </c>
      <c r="V700" s="54">
        <f>Данные!V700</f>
        <v>0</v>
      </c>
      <c r="W700" s="54">
        <f ca="1">Данные!W700</f>
        <v>10</v>
      </c>
      <c r="X700" s="54" t="str">
        <f ca="1">Данные!X700</f>
        <v>1</v>
      </c>
      <c r="Y700" s="54" t="str">
        <f ca="1">Данные!Y700</f>
        <v>1</v>
      </c>
      <c r="Z700" s="54">
        <f>Данные!Z700</f>
        <v>0</v>
      </c>
      <c r="AA700" s="54" t="str">
        <f>Данные!AA700</f>
        <v>осн</v>
      </c>
      <c r="AB700" s="101">
        <f t="shared" si="94"/>
        <v>900</v>
      </c>
      <c r="AC700" s="101" t="str">
        <f t="shared" si="95"/>
        <v>КЭО (маг)</v>
      </c>
      <c r="AD700" s="101" t="str">
        <f t="shared" si="96"/>
        <v/>
      </c>
      <c r="AE700" s="102">
        <f t="shared" ca="1" si="97"/>
        <v>32.299999999999997</v>
      </c>
      <c r="AF700" s="103">
        <f t="shared" ca="1" si="98"/>
        <v>3.5888888888888887E-2</v>
      </c>
      <c r="AG700" s="101"/>
      <c r="AH700" s="101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Q700" s="72">
        <v>0</v>
      </c>
      <c r="BR700" s="72">
        <v>0</v>
      </c>
      <c r="BS700" s="72">
        <v>0</v>
      </c>
      <c r="BT700" s="72">
        <v>0</v>
      </c>
      <c r="BU700" s="72">
        <v>0</v>
      </c>
      <c r="BV700" s="72">
        <v>0</v>
      </c>
      <c r="BW700" s="72">
        <v>0</v>
      </c>
      <c r="BX700" s="72">
        <v>0</v>
      </c>
      <c r="BY700" s="72">
        <v>0</v>
      </c>
      <c r="BZ700" s="72">
        <v>0</v>
      </c>
      <c r="CA700" s="72">
        <v>0</v>
      </c>
      <c r="CB700" s="72">
        <v>0</v>
      </c>
      <c r="CC700" s="72">
        <v>0</v>
      </c>
      <c r="CD700" s="72">
        <v>0</v>
      </c>
      <c r="CE700" s="72">
        <v>0</v>
      </c>
      <c r="CF700" s="72">
        <v>0</v>
      </c>
      <c r="CG700" s="72">
        <v>0</v>
      </c>
      <c r="CH700" s="72">
        <v>0</v>
      </c>
      <c r="CI700" s="72">
        <v>0</v>
      </c>
      <c r="CJ700" s="72">
        <v>0</v>
      </c>
      <c r="CK700" s="72">
        <v>0</v>
      </c>
      <c r="CL700" s="72">
        <v>0</v>
      </c>
      <c r="CM700" s="72">
        <v>0</v>
      </c>
      <c r="CN700" s="72">
        <v>0</v>
      </c>
      <c r="CO700" s="72">
        <v>0</v>
      </c>
      <c r="CP700" s="72">
        <v>0</v>
      </c>
      <c r="CQ700" s="72">
        <v>0</v>
      </c>
      <c r="CR700" s="72">
        <v>0</v>
      </c>
      <c r="CS700" s="72">
        <v>0</v>
      </c>
      <c r="CT700" s="72">
        <v>0</v>
      </c>
      <c r="CU700" s="72">
        <v>0</v>
      </c>
      <c r="CV700" s="72">
        <v>0</v>
      </c>
      <c r="CW700" s="72">
        <v>0</v>
      </c>
      <c r="CX700" s="72">
        <v>0</v>
      </c>
      <c r="CY700" s="72">
        <v>0</v>
      </c>
      <c r="CZ700" s="72">
        <v>0</v>
      </c>
      <c r="DA700" s="72">
        <v>0</v>
      </c>
      <c r="DB700" s="72">
        <v>0</v>
      </c>
      <c r="DC700" s="72">
        <v>0</v>
      </c>
      <c r="DD700" s="72">
        <v>0</v>
      </c>
      <c r="DE700" s="72">
        <v>0</v>
      </c>
      <c r="DF700" s="72">
        <v>0</v>
      </c>
      <c r="DG700" s="72">
        <v>0</v>
      </c>
      <c r="DH700" s="72">
        <v>0</v>
      </c>
      <c r="DI700" s="72">
        <v>0</v>
      </c>
      <c r="DJ700" s="72">
        <v>0</v>
      </c>
      <c r="DK700" s="72">
        <v>0</v>
      </c>
      <c r="DL700" s="72">
        <v>0</v>
      </c>
      <c r="DM700" s="72">
        <v>0</v>
      </c>
      <c r="DN700" s="72">
        <v>0</v>
      </c>
      <c r="DO700" s="72">
        <v>0</v>
      </c>
      <c r="DP700" s="72">
        <v>0</v>
      </c>
      <c r="DQ700" s="72">
        <v>0</v>
      </c>
      <c r="DR700" s="72">
        <v>0</v>
      </c>
      <c r="DS700" s="72">
        <v>0</v>
      </c>
      <c r="DT700" s="72">
        <v>0</v>
      </c>
      <c r="DU700" s="72">
        <v>0</v>
      </c>
      <c r="DV700" s="72">
        <v>0</v>
      </c>
      <c r="DW700" s="72">
        <v>0</v>
      </c>
      <c r="DX700" s="72">
        <v>0</v>
      </c>
      <c r="DY700" s="72">
        <v>0</v>
      </c>
      <c r="DZ700" s="72">
        <v>0</v>
      </c>
      <c r="EA700" s="72">
        <v>0</v>
      </c>
      <c r="EB700" s="72">
        <v>0</v>
      </c>
      <c r="EC700" s="72">
        <v>0</v>
      </c>
      <c r="ED700" s="72">
        <v>0</v>
      </c>
      <c r="EE700" s="72">
        <v>0</v>
      </c>
      <c r="EF700" s="72">
        <v>0</v>
      </c>
      <c r="EG700" s="72">
        <v>0</v>
      </c>
      <c r="EH700" s="72">
        <v>0</v>
      </c>
      <c r="EI700" s="72">
        <v>0</v>
      </c>
      <c r="EJ700" s="72">
        <v>0</v>
      </c>
      <c r="EK700" s="72">
        <v>0</v>
      </c>
      <c r="EL700" s="72">
        <v>0</v>
      </c>
    </row>
    <row r="701" spans="1:142" x14ac:dyDescent="0.35">
      <c r="A701" s="59">
        <f>Данные!A701</f>
        <v>5762</v>
      </c>
      <c r="B701" s="59">
        <f>Данные!B701</f>
        <v>2018</v>
      </c>
      <c r="C701" s="59" t="str">
        <f>Данные!C701</f>
        <v>компьютерных технологий и электронного обучения</v>
      </c>
      <c r="D701" s="59" t="str">
        <f>Данные!D701</f>
        <v>Жуков Николай Николаевич</v>
      </c>
      <c r="E701" s="59" t="str">
        <f>Данные!E701</f>
        <v>нет</v>
      </c>
      <c r="F701" s="59" t="str">
        <f>Данные!F701</f>
        <v>ассистент</v>
      </c>
      <c r="G701" s="59">
        <f>Данные!G701</f>
        <v>1</v>
      </c>
      <c r="H701" s="59">
        <f>Данные!H701</f>
        <v>17248</v>
      </c>
      <c r="I701" s="59" t="str">
        <f>Данные!I701</f>
        <v>Модуль "Интеллектуальные информационные технологии в образовании". E-learning решения управления знаниями</v>
      </c>
      <c r="J701" s="59">
        <f>Данные!J701</f>
        <v>0</v>
      </c>
      <c r="K701" s="59">
        <f>Данные!K701</f>
        <v>9</v>
      </c>
      <c r="L701" s="59">
        <f>Данные!L701</f>
        <v>0</v>
      </c>
      <c r="M701" s="60">
        <f t="shared" si="90"/>
        <v>0.9</v>
      </c>
      <c r="N701" s="60">
        <f t="shared" ca="1" si="91"/>
        <v>5.3000000000000007</v>
      </c>
      <c r="O701" s="60">
        <f t="shared" ca="1" si="92"/>
        <v>2.5</v>
      </c>
      <c r="P701" s="60">
        <f t="shared" ca="1" si="93"/>
        <v>2.5</v>
      </c>
      <c r="Q701" s="54">
        <f>Данные!Q701</f>
        <v>0</v>
      </c>
      <c r="R701" s="54">
        <f>Данные!R701</f>
        <v>0</v>
      </c>
      <c r="S701" s="54">
        <f>Данные!S701</f>
        <v>0</v>
      </c>
      <c r="T701" s="54">
        <f>Данные!T701</f>
        <v>0</v>
      </c>
      <c r="U701" s="54">
        <f>Данные!U701</f>
        <v>0</v>
      </c>
      <c r="V701" s="54">
        <f>Данные!V701</f>
        <v>0</v>
      </c>
      <c r="W701" s="54">
        <f ca="1">Данные!W701</f>
        <v>10</v>
      </c>
      <c r="X701" s="54" t="str">
        <f ca="1">Данные!X701</f>
        <v>1</v>
      </c>
      <c r="Y701" s="54" t="str">
        <f ca="1">Данные!Y701</f>
        <v>1</v>
      </c>
      <c r="Z701" s="54">
        <f>Данные!Z701</f>
        <v>0</v>
      </c>
      <c r="AA701" s="54" t="str">
        <f>Данные!AA701</f>
        <v>осн</v>
      </c>
      <c r="AB701" s="101">
        <f t="shared" si="94"/>
        <v>900</v>
      </c>
      <c r="AC701" s="101" t="str">
        <f t="shared" si="95"/>
        <v>КЭО (маг)</v>
      </c>
      <c r="AD701" s="101" t="str">
        <f t="shared" si="96"/>
        <v/>
      </c>
      <c r="AE701" s="102">
        <f t="shared" ca="1" si="97"/>
        <v>20.200000000000003</v>
      </c>
      <c r="AF701" s="103">
        <f t="shared" ca="1" si="98"/>
        <v>2.2444444444444447E-2</v>
      </c>
      <c r="AG701" s="101"/>
      <c r="AH701" s="1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Q701" s="72">
        <v>0</v>
      </c>
      <c r="BR701" s="72">
        <v>0</v>
      </c>
      <c r="BS701" s="72">
        <v>0</v>
      </c>
      <c r="BT701" s="72">
        <v>0</v>
      </c>
      <c r="BU701" s="72">
        <v>0</v>
      </c>
      <c r="BV701" s="72">
        <v>0</v>
      </c>
      <c r="BW701" s="72">
        <v>0</v>
      </c>
      <c r="BX701" s="72">
        <v>0</v>
      </c>
      <c r="BY701" s="72">
        <v>0</v>
      </c>
      <c r="BZ701" s="72">
        <v>0</v>
      </c>
      <c r="CA701" s="72">
        <v>0</v>
      </c>
      <c r="CB701" s="72">
        <v>0</v>
      </c>
      <c r="CC701" s="72">
        <v>0</v>
      </c>
      <c r="CD701" s="72">
        <v>0</v>
      </c>
      <c r="CE701" s="72">
        <v>0</v>
      </c>
      <c r="CF701" s="72">
        <v>0</v>
      </c>
      <c r="CG701" s="72">
        <v>0</v>
      </c>
      <c r="CH701" s="72">
        <v>0</v>
      </c>
      <c r="CI701" s="72">
        <v>0</v>
      </c>
      <c r="CJ701" s="72">
        <v>0</v>
      </c>
      <c r="CK701" s="72">
        <v>0</v>
      </c>
      <c r="CL701" s="72">
        <v>0</v>
      </c>
      <c r="CM701" s="72">
        <v>0</v>
      </c>
      <c r="CN701" s="72">
        <v>0</v>
      </c>
      <c r="CO701" s="72">
        <v>0</v>
      </c>
      <c r="CP701" s="72">
        <v>0</v>
      </c>
      <c r="CQ701" s="72">
        <v>0</v>
      </c>
      <c r="CR701" s="72">
        <v>0</v>
      </c>
      <c r="CS701" s="72">
        <v>0</v>
      </c>
      <c r="CT701" s="72">
        <v>0</v>
      </c>
      <c r="CU701" s="72">
        <v>0</v>
      </c>
      <c r="CV701" s="72">
        <v>0</v>
      </c>
      <c r="CW701" s="72">
        <v>0</v>
      </c>
      <c r="CX701" s="72">
        <v>0</v>
      </c>
      <c r="CY701" s="72">
        <v>0</v>
      </c>
      <c r="CZ701" s="72">
        <v>0</v>
      </c>
      <c r="DA701" s="72">
        <v>0</v>
      </c>
      <c r="DB701" s="72">
        <v>0</v>
      </c>
      <c r="DC701" s="72">
        <v>0</v>
      </c>
      <c r="DD701" s="72">
        <v>0</v>
      </c>
      <c r="DE701" s="72">
        <v>0</v>
      </c>
      <c r="DF701" s="72">
        <v>0</v>
      </c>
      <c r="DG701" s="72">
        <v>0</v>
      </c>
      <c r="DH701" s="72">
        <v>0</v>
      </c>
      <c r="DI701" s="72">
        <v>0</v>
      </c>
      <c r="DJ701" s="72">
        <v>0</v>
      </c>
      <c r="DK701" s="72">
        <v>0</v>
      </c>
      <c r="DL701" s="72">
        <v>0</v>
      </c>
      <c r="DM701" s="72">
        <v>0</v>
      </c>
      <c r="DN701" s="72">
        <v>0</v>
      </c>
      <c r="DO701" s="72">
        <v>0</v>
      </c>
      <c r="DP701" s="72">
        <v>0</v>
      </c>
      <c r="DQ701" s="72">
        <v>0</v>
      </c>
      <c r="DR701" s="72">
        <v>0</v>
      </c>
      <c r="DS701" s="72">
        <v>0</v>
      </c>
      <c r="DT701" s="72">
        <v>0</v>
      </c>
      <c r="DU701" s="72">
        <v>0</v>
      </c>
      <c r="DV701" s="72">
        <v>0</v>
      </c>
      <c r="DW701" s="72">
        <v>0</v>
      </c>
      <c r="DX701" s="72">
        <v>0</v>
      </c>
      <c r="DY701" s="72">
        <v>0</v>
      </c>
      <c r="DZ701" s="72">
        <v>0</v>
      </c>
      <c r="EA701" s="72">
        <v>0</v>
      </c>
      <c r="EB701" s="72">
        <v>0</v>
      </c>
      <c r="EC701" s="72">
        <v>0</v>
      </c>
      <c r="ED701" s="72">
        <v>0</v>
      </c>
      <c r="EE701" s="72">
        <v>0</v>
      </c>
      <c r="EF701" s="72">
        <v>0</v>
      </c>
      <c r="EG701" s="72">
        <v>0</v>
      </c>
      <c r="EH701" s="72">
        <v>0</v>
      </c>
      <c r="EI701" s="72">
        <v>0</v>
      </c>
      <c r="EJ701" s="72">
        <v>0</v>
      </c>
      <c r="EK701" s="72">
        <v>0</v>
      </c>
      <c r="EL701" s="72">
        <v>0</v>
      </c>
    </row>
    <row r="702" spans="1:142" x14ac:dyDescent="0.35">
      <c r="A702" s="59">
        <f>Данные!A702</f>
        <v>5762</v>
      </c>
      <c r="B702" s="59">
        <f>Данные!B702</f>
        <v>2018</v>
      </c>
      <c r="C702" s="59" t="str">
        <f>Данные!C702</f>
        <v>компьютерных технологий и электронного обучения</v>
      </c>
      <c r="D702" s="59" t="str">
        <f>Данные!D702</f>
        <v>Жуков Николай Николаевич</v>
      </c>
      <c r="E702" s="59" t="str">
        <f>Данные!E702</f>
        <v>нет</v>
      </c>
      <c r="F702" s="59" t="str">
        <f>Данные!F702</f>
        <v>ассистент</v>
      </c>
      <c r="G702" s="59">
        <f>Данные!G702</f>
        <v>1</v>
      </c>
      <c r="H702" s="59">
        <f>Данные!H702</f>
        <v>17248</v>
      </c>
      <c r="I702" s="59" t="str">
        <f>Данные!I702</f>
        <v>Модуль "Интеллектуальные информационные технологии в образовании". Дистанционные образовательные технологии</v>
      </c>
      <c r="J702" s="59">
        <f>Данные!J702</f>
        <v>0</v>
      </c>
      <c r="K702" s="59">
        <f>Данные!K702</f>
        <v>14</v>
      </c>
      <c r="L702" s="59">
        <f>Данные!L702</f>
        <v>0</v>
      </c>
      <c r="M702" s="60">
        <f t="shared" si="90"/>
        <v>1.4</v>
      </c>
      <c r="N702" s="60">
        <f t="shared" ca="1" si="91"/>
        <v>5.3000000000000007</v>
      </c>
      <c r="O702" s="60">
        <f t="shared" ca="1" si="92"/>
        <v>2.5</v>
      </c>
      <c r="P702" s="60">
        <f t="shared" ca="1" si="93"/>
        <v>2.5</v>
      </c>
      <c r="Q702" s="54">
        <f>Данные!Q702</f>
        <v>0</v>
      </c>
      <c r="R702" s="54">
        <f>Данные!R702</f>
        <v>0</v>
      </c>
      <c r="S702" s="54">
        <f>Данные!S702</f>
        <v>0</v>
      </c>
      <c r="T702" s="54">
        <f>Данные!T702</f>
        <v>0</v>
      </c>
      <c r="U702" s="54">
        <f>Данные!U702</f>
        <v>0</v>
      </c>
      <c r="V702" s="54">
        <f>Данные!V702</f>
        <v>0</v>
      </c>
      <c r="W702" s="54">
        <f ca="1">Данные!W702</f>
        <v>10</v>
      </c>
      <c r="X702" s="54" t="str">
        <f ca="1">Данные!X702</f>
        <v>1</v>
      </c>
      <c r="Y702" s="54" t="str">
        <f ca="1">Данные!Y702</f>
        <v>1</v>
      </c>
      <c r="Z702" s="54">
        <f>Данные!Z702</f>
        <v>0</v>
      </c>
      <c r="AA702" s="54" t="str">
        <f>Данные!AA702</f>
        <v>осн</v>
      </c>
      <c r="AB702" s="101">
        <f t="shared" si="94"/>
        <v>900</v>
      </c>
      <c r="AC702" s="101" t="str">
        <f t="shared" si="95"/>
        <v>КЭО (маг)</v>
      </c>
      <c r="AD702" s="101" t="str">
        <f t="shared" si="96"/>
        <v/>
      </c>
      <c r="AE702" s="102">
        <f t="shared" ca="1" si="97"/>
        <v>25.700000000000003</v>
      </c>
      <c r="AF702" s="103">
        <f t="shared" ca="1" si="98"/>
        <v>2.855555555555556E-2</v>
      </c>
      <c r="AG702" s="101"/>
      <c r="AH702" s="101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Q702" s="72">
        <v>0</v>
      </c>
      <c r="BR702" s="72">
        <v>0</v>
      </c>
      <c r="BS702" s="72">
        <v>0</v>
      </c>
      <c r="BT702" s="72">
        <v>0</v>
      </c>
      <c r="BU702" s="72">
        <v>0</v>
      </c>
      <c r="BV702" s="72">
        <v>0</v>
      </c>
      <c r="BW702" s="72">
        <v>0</v>
      </c>
      <c r="BX702" s="72">
        <v>0</v>
      </c>
      <c r="BY702" s="72">
        <v>0</v>
      </c>
      <c r="BZ702" s="72">
        <v>0</v>
      </c>
      <c r="CA702" s="72">
        <v>0</v>
      </c>
      <c r="CB702" s="72">
        <v>0</v>
      </c>
      <c r="CC702" s="72">
        <v>0</v>
      </c>
      <c r="CD702" s="72">
        <v>0</v>
      </c>
      <c r="CE702" s="72">
        <v>0</v>
      </c>
      <c r="CF702" s="72">
        <v>0</v>
      </c>
      <c r="CG702" s="72">
        <v>0</v>
      </c>
      <c r="CH702" s="72">
        <v>0</v>
      </c>
      <c r="CI702" s="72">
        <v>0</v>
      </c>
      <c r="CJ702" s="72">
        <v>0</v>
      </c>
      <c r="CK702" s="72">
        <v>0</v>
      </c>
      <c r="CL702" s="72">
        <v>0</v>
      </c>
      <c r="CM702" s="72">
        <v>0</v>
      </c>
      <c r="CN702" s="72">
        <v>0</v>
      </c>
      <c r="CO702" s="72">
        <v>0</v>
      </c>
      <c r="CP702" s="72">
        <v>0</v>
      </c>
      <c r="CQ702" s="72">
        <v>0</v>
      </c>
      <c r="CR702" s="72">
        <v>0</v>
      </c>
      <c r="CS702" s="72">
        <v>0</v>
      </c>
      <c r="CT702" s="72">
        <v>0</v>
      </c>
      <c r="CU702" s="72">
        <v>0</v>
      </c>
      <c r="CV702" s="72">
        <v>0</v>
      </c>
      <c r="CW702" s="72">
        <v>0</v>
      </c>
      <c r="CX702" s="72">
        <v>0</v>
      </c>
      <c r="CY702" s="72">
        <v>0</v>
      </c>
      <c r="CZ702" s="72">
        <v>0</v>
      </c>
      <c r="DA702" s="72">
        <v>0</v>
      </c>
      <c r="DB702" s="72">
        <v>0</v>
      </c>
      <c r="DC702" s="72">
        <v>0</v>
      </c>
      <c r="DD702" s="72">
        <v>0</v>
      </c>
      <c r="DE702" s="72">
        <v>0</v>
      </c>
      <c r="DF702" s="72">
        <v>0</v>
      </c>
      <c r="DG702" s="72">
        <v>0</v>
      </c>
      <c r="DH702" s="72">
        <v>0</v>
      </c>
      <c r="DI702" s="72">
        <v>0</v>
      </c>
      <c r="DJ702" s="72">
        <v>0</v>
      </c>
      <c r="DK702" s="72">
        <v>0</v>
      </c>
      <c r="DL702" s="72">
        <v>0</v>
      </c>
      <c r="DM702" s="72">
        <v>0</v>
      </c>
      <c r="DN702" s="72">
        <v>0</v>
      </c>
      <c r="DO702" s="72">
        <v>0</v>
      </c>
      <c r="DP702" s="72">
        <v>0</v>
      </c>
      <c r="DQ702" s="72">
        <v>0</v>
      </c>
      <c r="DR702" s="72">
        <v>0</v>
      </c>
      <c r="DS702" s="72">
        <v>0</v>
      </c>
      <c r="DT702" s="72">
        <v>0</v>
      </c>
      <c r="DU702" s="72">
        <v>0</v>
      </c>
      <c r="DV702" s="72">
        <v>0</v>
      </c>
      <c r="DW702" s="72">
        <v>0</v>
      </c>
      <c r="DX702" s="72">
        <v>0</v>
      </c>
      <c r="DY702" s="72">
        <v>0</v>
      </c>
      <c r="DZ702" s="72">
        <v>0</v>
      </c>
      <c r="EA702" s="72">
        <v>0</v>
      </c>
      <c r="EB702" s="72">
        <v>0</v>
      </c>
      <c r="EC702" s="72">
        <v>0</v>
      </c>
      <c r="ED702" s="72">
        <v>0</v>
      </c>
      <c r="EE702" s="72">
        <v>0</v>
      </c>
      <c r="EF702" s="72">
        <v>0</v>
      </c>
      <c r="EG702" s="72">
        <v>0</v>
      </c>
      <c r="EH702" s="72">
        <v>0</v>
      </c>
      <c r="EI702" s="72">
        <v>0</v>
      </c>
      <c r="EJ702" s="72">
        <v>0</v>
      </c>
      <c r="EK702" s="72">
        <v>0</v>
      </c>
      <c r="EL702" s="72">
        <v>0</v>
      </c>
    </row>
    <row r="703" spans="1:142" x14ac:dyDescent="0.35">
      <c r="A703" s="59">
        <f>Данные!A703</f>
        <v>5762</v>
      </c>
      <c r="B703" s="59">
        <f>Данные!B703</f>
        <v>2018</v>
      </c>
      <c r="C703" s="59" t="str">
        <f>Данные!C703</f>
        <v>компьютерных технологий и электронного обучения</v>
      </c>
      <c r="D703" s="59" t="str">
        <f>Данные!D703</f>
        <v>Николаева Наталья Викторовна</v>
      </c>
      <c r="E703" s="59" t="str">
        <f>Данные!E703</f>
        <v>кандидат психологических наук</v>
      </c>
      <c r="F703" s="59" t="str">
        <f>Данные!F703</f>
        <v>внешний</v>
      </c>
      <c r="G703" s="59">
        <f>Данные!G703</f>
        <v>1</v>
      </c>
      <c r="H703" s="59">
        <f>Данные!H703</f>
        <v>17248</v>
      </c>
      <c r="I703" s="59" t="str">
        <f>Данные!I703</f>
        <v>Научно-исследовательская работа. Педагогическое образование. Магистерская программа "Корпоративное электронное обучение"</v>
      </c>
      <c r="J703" s="59">
        <f>Данные!J703</f>
        <v>0</v>
      </c>
      <c r="K703" s="59">
        <f>Данные!K703</f>
        <v>0</v>
      </c>
      <c r="L703" s="59">
        <f>Данные!L703</f>
        <v>0</v>
      </c>
      <c r="M703" s="60">
        <f t="shared" si="90"/>
        <v>0</v>
      </c>
      <c r="N703" s="60">
        <f t="shared" ca="1" si="91"/>
        <v>5.3000000000000007</v>
      </c>
      <c r="O703" s="60">
        <f t="shared" ca="1" si="92"/>
        <v>2.5</v>
      </c>
      <c r="P703" s="60">
        <f t="shared" ca="1" si="93"/>
        <v>2.5</v>
      </c>
      <c r="Q703" s="54">
        <f>Данные!Q703</f>
        <v>0</v>
      </c>
      <c r="R703" s="54">
        <f>Данные!R703</f>
        <v>0</v>
      </c>
      <c r="S703" s="54">
        <f>Данные!S703</f>
        <v>0</v>
      </c>
      <c r="T703" s="54">
        <f>Данные!T703</f>
        <v>0</v>
      </c>
      <c r="U703" s="54">
        <f>Данные!U703</f>
        <v>35</v>
      </c>
      <c r="V703" s="54">
        <f>Данные!V703</f>
        <v>0</v>
      </c>
      <c r="W703" s="54">
        <f ca="1">Данные!W703</f>
        <v>10</v>
      </c>
      <c r="X703" s="54" t="str">
        <f ca="1">Данные!X703</f>
        <v>1</v>
      </c>
      <c r="Y703" s="54" t="str">
        <f ca="1">Данные!Y703</f>
        <v>1</v>
      </c>
      <c r="Z703" s="54">
        <f>Данные!Z703</f>
        <v>0</v>
      </c>
      <c r="AA703" s="54" t="str">
        <f>Данные!AA703</f>
        <v>осн</v>
      </c>
      <c r="AB703" s="101">
        <f t="shared" si="94"/>
        <v>900</v>
      </c>
      <c r="AC703" s="101" t="str">
        <f t="shared" si="95"/>
        <v>КЭО (маг)</v>
      </c>
      <c r="AD703" s="101" t="str">
        <f t="shared" si="96"/>
        <v/>
      </c>
      <c r="AE703" s="102">
        <f t="shared" ca="1" si="97"/>
        <v>45.3</v>
      </c>
      <c r="AF703" s="103">
        <f t="shared" ca="1" si="98"/>
        <v>5.0333333333333327E-2</v>
      </c>
      <c r="AG703" s="101"/>
      <c r="AH703" s="101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Q703" s="72">
        <v>0</v>
      </c>
      <c r="BR703" s="72">
        <v>0</v>
      </c>
      <c r="BS703" s="72">
        <v>0</v>
      </c>
      <c r="BT703" s="72">
        <v>0</v>
      </c>
      <c r="BU703" s="72">
        <v>0</v>
      </c>
      <c r="BV703" s="72">
        <v>0</v>
      </c>
      <c r="BW703" s="72">
        <v>0</v>
      </c>
      <c r="BX703" s="72">
        <v>0</v>
      </c>
      <c r="BY703" s="72">
        <v>0</v>
      </c>
      <c r="BZ703" s="72">
        <v>0</v>
      </c>
      <c r="CA703" s="72">
        <v>0</v>
      </c>
      <c r="CB703" s="72">
        <v>0</v>
      </c>
      <c r="CC703" s="72">
        <v>0</v>
      </c>
      <c r="CD703" s="72">
        <v>0</v>
      </c>
      <c r="CE703" s="72">
        <v>0</v>
      </c>
      <c r="CF703" s="72">
        <v>0</v>
      </c>
      <c r="CG703" s="72">
        <v>0</v>
      </c>
      <c r="CH703" s="72">
        <v>0</v>
      </c>
      <c r="CI703" s="72">
        <v>0</v>
      </c>
      <c r="CJ703" s="72">
        <v>0</v>
      </c>
      <c r="CK703" s="72">
        <v>0</v>
      </c>
      <c r="CL703" s="72">
        <v>0</v>
      </c>
      <c r="CM703" s="72">
        <v>0</v>
      </c>
      <c r="CN703" s="72">
        <v>0</v>
      </c>
      <c r="CO703" s="72">
        <v>0</v>
      </c>
      <c r="CP703" s="72">
        <v>0</v>
      </c>
      <c r="CQ703" s="72">
        <v>0</v>
      </c>
      <c r="CR703" s="72">
        <v>0</v>
      </c>
      <c r="CS703" s="72">
        <v>0</v>
      </c>
      <c r="CT703" s="72">
        <v>0</v>
      </c>
      <c r="CU703" s="72">
        <v>0</v>
      </c>
      <c r="CV703" s="72">
        <v>0</v>
      </c>
      <c r="CW703" s="72">
        <v>0</v>
      </c>
      <c r="CX703" s="72">
        <v>0</v>
      </c>
      <c r="CY703" s="72">
        <v>0</v>
      </c>
      <c r="CZ703" s="72">
        <v>0</v>
      </c>
      <c r="DA703" s="72">
        <v>0</v>
      </c>
      <c r="DB703" s="72">
        <v>0</v>
      </c>
      <c r="DC703" s="72">
        <v>0</v>
      </c>
      <c r="DD703" s="72">
        <v>0</v>
      </c>
      <c r="DE703" s="72">
        <v>0</v>
      </c>
      <c r="DF703" s="72">
        <v>0</v>
      </c>
      <c r="DG703" s="72">
        <v>0</v>
      </c>
      <c r="DH703" s="72">
        <v>0</v>
      </c>
      <c r="DI703" s="72">
        <v>0</v>
      </c>
      <c r="DJ703" s="72">
        <v>0</v>
      </c>
      <c r="DK703" s="72">
        <v>0</v>
      </c>
      <c r="DL703" s="72">
        <v>0</v>
      </c>
      <c r="DM703" s="72">
        <v>0</v>
      </c>
      <c r="DN703" s="72">
        <v>0</v>
      </c>
      <c r="DO703" s="72">
        <v>0</v>
      </c>
      <c r="DP703" s="72">
        <v>0</v>
      </c>
      <c r="DQ703" s="72">
        <v>0</v>
      </c>
      <c r="DR703" s="72">
        <v>0</v>
      </c>
      <c r="DS703" s="72">
        <v>0</v>
      </c>
      <c r="DT703" s="72">
        <v>0</v>
      </c>
      <c r="DU703" s="72">
        <v>0</v>
      </c>
      <c r="DV703" s="72">
        <v>0</v>
      </c>
      <c r="DW703" s="72">
        <v>0</v>
      </c>
      <c r="DX703" s="72">
        <v>0</v>
      </c>
      <c r="DY703" s="72">
        <v>0</v>
      </c>
      <c r="DZ703" s="72">
        <v>0</v>
      </c>
      <c r="EA703" s="72">
        <v>0</v>
      </c>
      <c r="EB703" s="72">
        <v>0</v>
      </c>
      <c r="EC703" s="72">
        <v>0</v>
      </c>
      <c r="ED703" s="72">
        <v>0</v>
      </c>
      <c r="EE703" s="72">
        <v>0</v>
      </c>
      <c r="EF703" s="72">
        <v>0</v>
      </c>
      <c r="EG703" s="72">
        <v>0</v>
      </c>
      <c r="EH703" s="72">
        <v>0</v>
      </c>
      <c r="EI703" s="72">
        <v>0</v>
      </c>
      <c r="EJ703" s="72">
        <v>0</v>
      </c>
      <c r="EK703" s="72">
        <v>0</v>
      </c>
      <c r="EL703" s="72">
        <v>0</v>
      </c>
    </row>
    <row r="704" spans="1:142" x14ac:dyDescent="0.35">
      <c r="A704" s="59">
        <f>Данные!A704</f>
        <v>5762</v>
      </c>
      <c r="B704" s="59">
        <f>Данные!B704</f>
        <v>2018</v>
      </c>
      <c r="C704" s="59" t="str">
        <f>Данные!C704</f>
        <v>компьютерных технологий и электронного обучения</v>
      </c>
      <c r="D704" s="59" t="str">
        <f>Данные!D704</f>
        <v>Карпова Наталья Александровна</v>
      </c>
      <c r="E704" s="59" t="str">
        <f>Данные!E704</f>
        <v>кандидат технических наук</v>
      </c>
      <c r="F704" s="59" t="str">
        <f>Данные!F704</f>
        <v>доцент</v>
      </c>
      <c r="G704" s="59">
        <f>Данные!G704</f>
        <v>0.75</v>
      </c>
      <c r="H704" s="59">
        <f>Данные!H704</f>
        <v>17248</v>
      </c>
      <c r="I704" s="59" t="str">
        <f>Данные!I704</f>
        <v>Научно-исследовательская работа. Педагогическое образование. Магистерская программа "Корпоративное электронное обучение"</v>
      </c>
      <c r="J704" s="59">
        <f>Данные!J704</f>
        <v>0</v>
      </c>
      <c r="K704" s="59">
        <f>Данные!K704</f>
        <v>0</v>
      </c>
      <c r="L704" s="59">
        <f>Данные!L704</f>
        <v>0</v>
      </c>
      <c r="M704" s="60">
        <f t="shared" si="90"/>
        <v>0</v>
      </c>
      <c r="N704" s="60">
        <f t="shared" ca="1" si="91"/>
        <v>5.3000000000000007</v>
      </c>
      <c r="O704" s="60">
        <f t="shared" ca="1" si="92"/>
        <v>2.5</v>
      </c>
      <c r="P704" s="60">
        <f t="shared" ca="1" si="93"/>
        <v>2.5</v>
      </c>
      <c r="Q704" s="54">
        <f>Данные!Q704</f>
        <v>0</v>
      </c>
      <c r="R704" s="54">
        <f>Данные!R704</f>
        <v>0</v>
      </c>
      <c r="S704" s="54">
        <f>Данные!S704</f>
        <v>0</v>
      </c>
      <c r="T704" s="54">
        <f>Данные!T704</f>
        <v>0</v>
      </c>
      <c r="U704" s="54">
        <f>Данные!U704</f>
        <v>8</v>
      </c>
      <c r="V704" s="54">
        <f>Данные!V704</f>
        <v>0</v>
      </c>
      <c r="W704" s="54">
        <f ca="1">Данные!W704</f>
        <v>10</v>
      </c>
      <c r="X704" s="54" t="str">
        <f ca="1">Данные!X704</f>
        <v>1</v>
      </c>
      <c r="Y704" s="54" t="str">
        <f ca="1">Данные!Y704</f>
        <v>1</v>
      </c>
      <c r="Z704" s="54">
        <f>Данные!Z704</f>
        <v>0</v>
      </c>
      <c r="AA704" s="54" t="str">
        <f>Данные!AA704</f>
        <v>осн</v>
      </c>
      <c r="AB704" s="101">
        <f t="shared" si="94"/>
        <v>800</v>
      </c>
      <c r="AC704" s="101" t="str">
        <f t="shared" si="95"/>
        <v>КЭО (маг)</v>
      </c>
      <c r="AD704" s="101" t="str">
        <f t="shared" si="96"/>
        <v/>
      </c>
      <c r="AE704" s="102">
        <f t="shared" ca="1" si="97"/>
        <v>18.3</v>
      </c>
      <c r="AF704" s="103">
        <f t="shared" ca="1" si="98"/>
        <v>2.2875E-2</v>
      </c>
      <c r="AG704" s="101"/>
      <c r="AH704" s="101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Q704" s="72">
        <v>0</v>
      </c>
      <c r="BR704" s="72">
        <v>0</v>
      </c>
      <c r="BS704" s="72">
        <v>0</v>
      </c>
      <c r="BT704" s="72">
        <v>0</v>
      </c>
      <c r="BU704" s="72">
        <v>0</v>
      </c>
      <c r="BV704" s="72">
        <v>0</v>
      </c>
      <c r="BW704" s="72">
        <v>0</v>
      </c>
      <c r="BX704" s="72">
        <v>0</v>
      </c>
      <c r="BY704" s="72">
        <v>0</v>
      </c>
      <c r="BZ704" s="72">
        <v>0</v>
      </c>
      <c r="CA704" s="72">
        <v>0</v>
      </c>
      <c r="CB704" s="72">
        <v>0</v>
      </c>
      <c r="CC704" s="72">
        <v>0</v>
      </c>
      <c r="CD704" s="72">
        <v>0</v>
      </c>
      <c r="CE704" s="72">
        <v>0</v>
      </c>
      <c r="CF704" s="72">
        <v>0</v>
      </c>
      <c r="CG704" s="72">
        <v>0</v>
      </c>
      <c r="CH704" s="72">
        <v>0</v>
      </c>
      <c r="CI704" s="72">
        <v>0</v>
      </c>
      <c r="CJ704" s="72">
        <v>0</v>
      </c>
      <c r="CK704" s="72">
        <v>0</v>
      </c>
      <c r="CL704" s="72">
        <v>0</v>
      </c>
      <c r="CM704" s="72">
        <v>0</v>
      </c>
      <c r="CN704" s="72">
        <v>0</v>
      </c>
      <c r="CO704" s="72">
        <v>0</v>
      </c>
      <c r="CP704" s="72">
        <v>0</v>
      </c>
      <c r="CQ704" s="72">
        <v>0</v>
      </c>
      <c r="CR704" s="72">
        <v>0</v>
      </c>
      <c r="CS704" s="72">
        <v>0</v>
      </c>
      <c r="CT704" s="72">
        <v>0</v>
      </c>
      <c r="CU704" s="72">
        <v>0</v>
      </c>
      <c r="CV704" s="72">
        <v>0</v>
      </c>
      <c r="CW704" s="72">
        <v>0</v>
      </c>
      <c r="CX704" s="72">
        <v>0</v>
      </c>
      <c r="CY704" s="72">
        <v>0</v>
      </c>
      <c r="CZ704" s="72">
        <v>0</v>
      </c>
      <c r="DA704" s="72">
        <v>0</v>
      </c>
      <c r="DB704" s="72">
        <v>0</v>
      </c>
      <c r="DC704" s="72">
        <v>0</v>
      </c>
      <c r="DD704" s="72">
        <v>0</v>
      </c>
      <c r="DE704" s="72">
        <v>0</v>
      </c>
      <c r="DF704" s="72">
        <v>0</v>
      </c>
      <c r="DG704" s="72">
        <v>0</v>
      </c>
      <c r="DH704" s="72">
        <v>0</v>
      </c>
      <c r="DI704" s="72">
        <v>0</v>
      </c>
      <c r="DJ704" s="72">
        <v>0</v>
      </c>
      <c r="DK704" s="72">
        <v>0</v>
      </c>
      <c r="DL704" s="72">
        <v>0</v>
      </c>
      <c r="DM704" s="72">
        <v>0</v>
      </c>
      <c r="DN704" s="72">
        <v>0</v>
      </c>
      <c r="DO704" s="72">
        <v>0</v>
      </c>
      <c r="DP704" s="72">
        <v>0</v>
      </c>
      <c r="DQ704" s="72">
        <v>0</v>
      </c>
      <c r="DR704" s="72">
        <v>0</v>
      </c>
      <c r="DS704" s="72">
        <v>0</v>
      </c>
      <c r="DT704" s="72">
        <v>0</v>
      </c>
      <c r="DU704" s="72">
        <v>0</v>
      </c>
      <c r="DV704" s="72">
        <v>0</v>
      </c>
      <c r="DW704" s="72">
        <v>0</v>
      </c>
      <c r="DX704" s="72">
        <v>0</v>
      </c>
      <c r="DY704" s="72">
        <v>0</v>
      </c>
      <c r="DZ704" s="72">
        <v>0</v>
      </c>
      <c r="EA704" s="72">
        <v>0</v>
      </c>
      <c r="EB704" s="72">
        <v>0</v>
      </c>
      <c r="EC704" s="72">
        <v>0</v>
      </c>
      <c r="ED704" s="72">
        <v>0</v>
      </c>
      <c r="EE704" s="72">
        <v>0</v>
      </c>
      <c r="EF704" s="72">
        <v>0</v>
      </c>
      <c r="EG704" s="72">
        <v>0</v>
      </c>
      <c r="EH704" s="72">
        <v>0</v>
      </c>
      <c r="EI704" s="72">
        <v>0</v>
      </c>
      <c r="EJ704" s="72">
        <v>0</v>
      </c>
      <c r="EK704" s="72">
        <v>0</v>
      </c>
      <c r="EL704" s="72">
        <v>0</v>
      </c>
    </row>
    <row r="705" spans="1:142" x14ac:dyDescent="0.35">
      <c r="A705" s="59">
        <f>Данные!A705</f>
        <v>5762</v>
      </c>
      <c r="B705" s="59">
        <f>Данные!B705</f>
        <v>2018</v>
      </c>
      <c r="C705" s="59" t="str">
        <f>Данные!C705</f>
        <v>компьютерных технологий и электронного обучения</v>
      </c>
      <c r="D705" s="59" t="str">
        <f>Данные!D705</f>
        <v>Карпова Наталья Александровна</v>
      </c>
      <c r="E705" s="59" t="str">
        <f>Данные!E705</f>
        <v>кандидат технических наук</v>
      </c>
      <c r="F705" s="59" t="str">
        <f>Данные!F705</f>
        <v>доцент</v>
      </c>
      <c r="G705" s="59">
        <f>Данные!G705</f>
        <v>0.75</v>
      </c>
      <c r="H705" s="59">
        <f>Данные!H705</f>
        <v>17248</v>
      </c>
      <c r="I705" s="59" t="str">
        <f>Данные!I705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05" s="59">
        <f>Данные!J705</f>
        <v>0</v>
      </c>
      <c r="K705" s="59">
        <f>Данные!K705</f>
        <v>0</v>
      </c>
      <c r="L705" s="59">
        <f>Данные!L705</f>
        <v>0</v>
      </c>
      <c r="M705" s="60">
        <f t="shared" si="90"/>
        <v>0</v>
      </c>
      <c r="N705" s="60">
        <f t="shared" ca="1" si="91"/>
        <v>5.3000000000000007</v>
      </c>
      <c r="O705" s="60">
        <f t="shared" ca="1" si="92"/>
        <v>2.5</v>
      </c>
      <c r="P705" s="60">
        <f t="shared" ca="1" si="93"/>
        <v>2.5</v>
      </c>
      <c r="Q705" s="54">
        <f>Данные!Q705</f>
        <v>0</v>
      </c>
      <c r="R705" s="54">
        <f>Данные!R705</f>
        <v>0</v>
      </c>
      <c r="S705" s="54">
        <f>Данные!S705</f>
        <v>0</v>
      </c>
      <c r="T705" s="54">
        <f>Данные!T705</f>
        <v>0</v>
      </c>
      <c r="U705" s="54">
        <f>Данные!U705</f>
        <v>0</v>
      </c>
      <c r="V705" s="54">
        <f>Данные!V705</f>
        <v>44</v>
      </c>
      <c r="W705" s="54">
        <f ca="1">Данные!W705</f>
        <v>10</v>
      </c>
      <c r="X705" s="54" t="str">
        <f ca="1">Данные!X705</f>
        <v>1</v>
      </c>
      <c r="Y705" s="54" t="str">
        <f ca="1">Данные!Y705</f>
        <v>1</v>
      </c>
      <c r="Z705" s="54">
        <f>Данные!Z705</f>
        <v>0</v>
      </c>
      <c r="AA705" s="54" t="str">
        <f>Данные!AA705</f>
        <v>осн</v>
      </c>
      <c r="AB705" s="101">
        <f t="shared" si="94"/>
        <v>800</v>
      </c>
      <c r="AC705" s="101" t="str">
        <f t="shared" si="95"/>
        <v>КЭО (маг)</v>
      </c>
      <c r="AD705" s="101" t="str">
        <f t="shared" si="96"/>
        <v/>
      </c>
      <c r="AE705" s="102">
        <f t="shared" ca="1" si="97"/>
        <v>54.3</v>
      </c>
      <c r="AF705" s="103">
        <f t="shared" ca="1" si="98"/>
        <v>6.7874999999999991E-2</v>
      </c>
      <c r="AG705" s="101"/>
      <c r="AH705" s="101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Q705" s="72">
        <v>0</v>
      </c>
      <c r="BR705" s="72">
        <v>0</v>
      </c>
      <c r="BS705" s="72">
        <v>0</v>
      </c>
      <c r="BT705" s="72">
        <v>0</v>
      </c>
      <c r="BU705" s="72">
        <v>0</v>
      </c>
      <c r="BV705" s="72">
        <v>0</v>
      </c>
      <c r="BW705" s="72">
        <v>0</v>
      </c>
      <c r="BX705" s="72">
        <v>0</v>
      </c>
      <c r="BY705" s="72">
        <v>0</v>
      </c>
      <c r="BZ705" s="72">
        <v>0</v>
      </c>
      <c r="CA705" s="72">
        <v>0</v>
      </c>
      <c r="CB705" s="72">
        <v>0</v>
      </c>
      <c r="CC705" s="72">
        <v>0</v>
      </c>
      <c r="CD705" s="72">
        <v>0</v>
      </c>
      <c r="CE705" s="72">
        <v>0</v>
      </c>
      <c r="CF705" s="72">
        <v>0</v>
      </c>
      <c r="CG705" s="72">
        <v>0</v>
      </c>
      <c r="CH705" s="72">
        <v>0</v>
      </c>
      <c r="CI705" s="72">
        <v>0</v>
      </c>
      <c r="CJ705" s="72">
        <v>0</v>
      </c>
      <c r="CK705" s="72">
        <v>0</v>
      </c>
      <c r="CL705" s="72">
        <v>0</v>
      </c>
      <c r="CM705" s="72">
        <v>0</v>
      </c>
      <c r="CN705" s="72">
        <v>0</v>
      </c>
      <c r="CO705" s="72">
        <v>0</v>
      </c>
      <c r="CP705" s="72">
        <v>0</v>
      </c>
      <c r="CQ705" s="72">
        <v>0</v>
      </c>
      <c r="CR705" s="72">
        <v>0</v>
      </c>
      <c r="CS705" s="72">
        <v>0</v>
      </c>
      <c r="CT705" s="72">
        <v>0</v>
      </c>
      <c r="CU705" s="72">
        <v>0</v>
      </c>
      <c r="CV705" s="72">
        <v>0</v>
      </c>
      <c r="CW705" s="72">
        <v>0</v>
      </c>
      <c r="CX705" s="72">
        <v>0</v>
      </c>
      <c r="CY705" s="72">
        <v>0</v>
      </c>
      <c r="CZ705" s="72">
        <v>0</v>
      </c>
      <c r="DA705" s="72">
        <v>0</v>
      </c>
      <c r="DB705" s="72">
        <v>0</v>
      </c>
      <c r="DC705" s="72">
        <v>0</v>
      </c>
      <c r="DD705" s="72">
        <v>0</v>
      </c>
      <c r="DE705" s="72">
        <v>0</v>
      </c>
      <c r="DF705" s="72">
        <v>0</v>
      </c>
      <c r="DG705" s="72">
        <v>0</v>
      </c>
      <c r="DH705" s="72">
        <v>0</v>
      </c>
      <c r="DI705" s="72">
        <v>0</v>
      </c>
      <c r="DJ705" s="72">
        <v>0</v>
      </c>
      <c r="DK705" s="72">
        <v>0</v>
      </c>
      <c r="DL705" s="72">
        <v>0</v>
      </c>
      <c r="DM705" s="72">
        <v>0</v>
      </c>
      <c r="DN705" s="72">
        <v>0</v>
      </c>
      <c r="DO705" s="72">
        <v>0</v>
      </c>
      <c r="DP705" s="72">
        <v>0</v>
      </c>
      <c r="DQ705" s="72">
        <v>0</v>
      </c>
      <c r="DR705" s="72">
        <v>0</v>
      </c>
      <c r="DS705" s="72">
        <v>0</v>
      </c>
      <c r="DT705" s="72">
        <v>0</v>
      </c>
      <c r="DU705" s="72">
        <v>0</v>
      </c>
      <c r="DV705" s="72">
        <v>0</v>
      </c>
      <c r="DW705" s="72">
        <v>0</v>
      </c>
      <c r="DX705" s="72">
        <v>0</v>
      </c>
      <c r="DY705" s="72">
        <v>0</v>
      </c>
      <c r="DZ705" s="72">
        <v>0</v>
      </c>
      <c r="EA705" s="72">
        <v>0</v>
      </c>
      <c r="EB705" s="72">
        <v>0</v>
      </c>
      <c r="EC705" s="72">
        <v>0</v>
      </c>
      <c r="ED705" s="72">
        <v>0</v>
      </c>
      <c r="EE705" s="72">
        <v>0</v>
      </c>
      <c r="EF705" s="72">
        <v>0</v>
      </c>
      <c r="EG705" s="72">
        <v>0</v>
      </c>
      <c r="EH705" s="72">
        <v>0</v>
      </c>
      <c r="EI705" s="72">
        <v>0</v>
      </c>
      <c r="EJ705" s="72">
        <v>0</v>
      </c>
      <c r="EK705" s="72">
        <v>0</v>
      </c>
      <c r="EL705" s="72">
        <v>0</v>
      </c>
    </row>
    <row r="706" spans="1:142" x14ac:dyDescent="0.35">
      <c r="A706" s="59">
        <f>Данные!A706</f>
        <v>5762</v>
      </c>
      <c r="B706" s="59">
        <f>Данные!B706</f>
        <v>2018</v>
      </c>
      <c r="C706" s="59" t="str">
        <f>Данные!C706</f>
        <v>компьютерных технологий и электронного обучения</v>
      </c>
      <c r="D706" s="59" t="str">
        <f>Данные!D706</f>
        <v>Карпова Наталья Александровна</v>
      </c>
      <c r="E706" s="59" t="str">
        <f>Данные!E706</f>
        <v>кандидат технических наук</v>
      </c>
      <c r="F706" s="59" t="str">
        <f>Данные!F706</f>
        <v>доцент</v>
      </c>
      <c r="G706" s="59">
        <f>Данные!G706</f>
        <v>0.75</v>
      </c>
      <c r="H706" s="59">
        <f>Данные!H706</f>
        <v>17248</v>
      </c>
      <c r="I706" s="59" t="str">
        <f>Данные!I706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06" s="59">
        <f>Данные!J706</f>
        <v>0</v>
      </c>
      <c r="K706" s="59">
        <f>Данные!K706</f>
        <v>0</v>
      </c>
      <c r="L706" s="59">
        <f>Данные!L706</f>
        <v>0</v>
      </c>
      <c r="M706" s="60">
        <f t="shared" si="90"/>
        <v>0</v>
      </c>
      <c r="N706" s="60">
        <f t="shared" ca="1" si="91"/>
        <v>5.3000000000000007</v>
      </c>
      <c r="O706" s="60">
        <f t="shared" ca="1" si="92"/>
        <v>2.5</v>
      </c>
      <c r="P706" s="60">
        <f t="shared" ca="1" si="93"/>
        <v>2.5</v>
      </c>
      <c r="Q706" s="54">
        <f>Данные!Q706</f>
        <v>0</v>
      </c>
      <c r="R706" s="54">
        <f>Данные!R706</f>
        <v>0</v>
      </c>
      <c r="S706" s="54">
        <f>Данные!S706</f>
        <v>0</v>
      </c>
      <c r="T706" s="54">
        <f>Данные!T706</f>
        <v>0</v>
      </c>
      <c r="U706" s="54">
        <f>Данные!U706</f>
        <v>8</v>
      </c>
      <c r="V706" s="54">
        <f>Данные!V706</f>
        <v>0</v>
      </c>
      <c r="W706" s="54">
        <f ca="1">Данные!W706</f>
        <v>10</v>
      </c>
      <c r="X706" s="54" t="str">
        <f ca="1">Данные!X706</f>
        <v>1</v>
      </c>
      <c r="Y706" s="54" t="str">
        <f ca="1">Данные!Y706</f>
        <v>1</v>
      </c>
      <c r="Z706" s="54">
        <f>Данные!Z706</f>
        <v>0</v>
      </c>
      <c r="AA706" s="54" t="str">
        <f>Данные!AA706</f>
        <v>доп</v>
      </c>
      <c r="AB706" s="101">
        <f t="shared" si="94"/>
        <v>800</v>
      </c>
      <c r="AC706" s="101" t="str">
        <f t="shared" si="95"/>
        <v>КЭО (маг)</v>
      </c>
      <c r="AD706" s="101" t="str">
        <f t="shared" si="96"/>
        <v/>
      </c>
      <c r="AE706" s="102">
        <f t="shared" ca="1" si="97"/>
        <v>18.3</v>
      </c>
      <c r="AF706" s="103">
        <f t="shared" ca="1" si="98"/>
        <v>2.2875E-2</v>
      </c>
      <c r="AG706" s="101"/>
      <c r="AH706" s="101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Q706" s="72">
        <v>0</v>
      </c>
      <c r="BR706" s="72">
        <v>0</v>
      </c>
      <c r="BS706" s="72">
        <v>0</v>
      </c>
      <c r="BT706" s="72">
        <v>0</v>
      </c>
      <c r="BU706" s="72">
        <v>0</v>
      </c>
      <c r="BV706" s="72">
        <v>0</v>
      </c>
      <c r="BW706" s="72">
        <v>0</v>
      </c>
      <c r="BX706" s="72">
        <v>0</v>
      </c>
      <c r="BY706" s="72">
        <v>0</v>
      </c>
      <c r="BZ706" s="72">
        <v>0</v>
      </c>
      <c r="CA706" s="72">
        <v>0</v>
      </c>
      <c r="CB706" s="72">
        <v>0</v>
      </c>
      <c r="CC706" s="72">
        <v>0</v>
      </c>
      <c r="CD706" s="72">
        <v>0</v>
      </c>
      <c r="CE706" s="72">
        <v>0</v>
      </c>
      <c r="CF706" s="72">
        <v>0</v>
      </c>
      <c r="CG706" s="72">
        <v>0</v>
      </c>
      <c r="CH706" s="72">
        <v>0</v>
      </c>
      <c r="CI706" s="72">
        <v>0</v>
      </c>
      <c r="CJ706" s="72">
        <v>0</v>
      </c>
      <c r="CK706" s="72">
        <v>0</v>
      </c>
      <c r="CL706" s="72">
        <v>0</v>
      </c>
      <c r="CM706" s="72">
        <v>0</v>
      </c>
      <c r="CN706" s="72">
        <v>0</v>
      </c>
      <c r="CO706" s="72">
        <v>0</v>
      </c>
      <c r="CP706" s="72">
        <v>0</v>
      </c>
      <c r="CQ706" s="72">
        <v>0</v>
      </c>
      <c r="CR706" s="72">
        <v>0</v>
      </c>
      <c r="CS706" s="72">
        <v>0</v>
      </c>
      <c r="CT706" s="72">
        <v>0</v>
      </c>
      <c r="CU706" s="72">
        <v>0</v>
      </c>
      <c r="CV706" s="72">
        <v>0</v>
      </c>
      <c r="CW706" s="72">
        <v>0</v>
      </c>
      <c r="CX706" s="72">
        <v>0</v>
      </c>
      <c r="CY706" s="72">
        <v>0</v>
      </c>
      <c r="CZ706" s="72">
        <v>0</v>
      </c>
      <c r="DA706" s="72">
        <v>0</v>
      </c>
      <c r="DB706" s="72">
        <v>0</v>
      </c>
      <c r="DC706" s="72">
        <v>0</v>
      </c>
      <c r="DD706" s="72">
        <v>0</v>
      </c>
      <c r="DE706" s="72">
        <v>0</v>
      </c>
      <c r="DF706" s="72">
        <v>0</v>
      </c>
      <c r="DG706" s="72">
        <v>0</v>
      </c>
      <c r="DH706" s="72">
        <v>0</v>
      </c>
      <c r="DI706" s="72">
        <v>0</v>
      </c>
      <c r="DJ706" s="72">
        <v>0</v>
      </c>
      <c r="DK706" s="72">
        <v>0</v>
      </c>
      <c r="DL706" s="72">
        <v>0</v>
      </c>
      <c r="DM706" s="72">
        <v>0</v>
      </c>
      <c r="DN706" s="72">
        <v>0</v>
      </c>
      <c r="DO706" s="72">
        <v>0</v>
      </c>
      <c r="DP706" s="72">
        <v>0</v>
      </c>
      <c r="DQ706" s="72">
        <v>0</v>
      </c>
      <c r="DR706" s="72">
        <v>0</v>
      </c>
      <c r="DS706" s="72">
        <v>0</v>
      </c>
      <c r="DT706" s="72">
        <v>0</v>
      </c>
      <c r="DU706" s="72">
        <v>0</v>
      </c>
      <c r="DV706" s="72">
        <v>0</v>
      </c>
      <c r="DW706" s="72">
        <v>0</v>
      </c>
      <c r="DX706" s="72">
        <v>0</v>
      </c>
      <c r="DY706" s="72">
        <v>0</v>
      </c>
      <c r="DZ706" s="72">
        <v>0</v>
      </c>
      <c r="EA706" s="72">
        <v>0</v>
      </c>
      <c r="EB706" s="72">
        <v>0</v>
      </c>
      <c r="EC706" s="72">
        <v>0</v>
      </c>
      <c r="ED706" s="72">
        <v>0</v>
      </c>
      <c r="EE706" s="72">
        <v>0</v>
      </c>
      <c r="EF706" s="72">
        <v>0</v>
      </c>
      <c r="EG706" s="72">
        <v>0</v>
      </c>
      <c r="EH706" s="72">
        <v>0</v>
      </c>
      <c r="EI706" s="72">
        <v>0</v>
      </c>
      <c r="EJ706" s="72">
        <v>0</v>
      </c>
      <c r="EK706" s="72">
        <v>0</v>
      </c>
      <c r="EL706" s="72">
        <v>0</v>
      </c>
    </row>
    <row r="707" spans="1:142" x14ac:dyDescent="0.35">
      <c r="A707" s="59">
        <f>Данные!A707</f>
        <v>5762</v>
      </c>
      <c r="B707" s="59">
        <f>Данные!B707</f>
        <v>2018</v>
      </c>
      <c r="C707" s="59" t="str">
        <f>Данные!C707</f>
        <v>компьютерных технологий и электронного обучения</v>
      </c>
      <c r="D707" s="59" t="str">
        <f>Данные!D707</f>
        <v>Карпова Наталья Александровна</v>
      </c>
      <c r="E707" s="59" t="str">
        <f>Данные!E707</f>
        <v>кандидат технических наук</v>
      </c>
      <c r="F707" s="59" t="str">
        <f>Данные!F707</f>
        <v>доцент</v>
      </c>
      <c r="G707" s="59">
        <f>Данные!G707</f>
        <v>0.75</v>
      </c>
      <c r="H707" s="59">
        <f>Данные!H707</f>
        <v>17248</v>
      </c>
      <c r="I707" s="59" t="str">
        <f>Данные!I707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07" s="59">
        <f>Данные!J707</f>
        <v>0</v>
      </c>
      <c r="K707" s="59">
        <f>Данные!K707</f>
        <v>0</v>
      </c>
      <c r="L707" s="59">
        <f>Данные!L707</f>
        <v>0</v>
      </c>
      <c r="M707" s="60">
        <f t="shared" si="90"/>
        <v>0</v>
      </c>
      <c r="N707" s="60">
        <f t="shared" ca="1" si="91"/>
        <v>5.3000000000000007</v>
      </c>
      <c r="O707" s="60">
        <f t="shared" ca="1" si="92"/>
        <v>2.5</v>
      </c>
      <c r="P707" s="60">
        <f t="shared" ca="1" si="93"/>
        <v>2.5</v>
      </c>
      <c r="Q707" s="54">
        <f>Данные!Q707</f>
        <v>0</v>
      </c>
      <c r="R707" s="54">
        <f>Данные!R707</f>
        <v>0</v>
      </c>
      <c r="S707" s="54">
        <f>Данные!S707</f>
        <v>0</v>
      </c>
      <c r="T707" s="54">
        <f>Данные!T707</f>
        <v>0</v>
      </c>
      <c r="U707" s="54">
        <f>Данные!U707</f>
        <v>4</v>
      </c>
      <c r="V707" s="54">
        <f>Данные!V707</f>
        <v>0</v>
      </c>
      <c r="W707" s="54">
        <f ca="1">Данные!W707</f>
        <v>10</v>
      </c>
      <c r="X707" s="54" t="str">
        <f ca="1">Данные!X707</f>
        <v>1</v>
      </c>
      <c r="Y707" s="54" t="str">
        <f ca="1">Данные!Y707</f>
        <v>1</v>
      </c>
      <c r="Z707" s="54">
        <f>Данные!Z707</f>
        <v>0</v>
      </c>
      <c r="AA707" s="54" t="str">
        <f>Данные!AA707</f>
        <v>доп</v>
      </c>
      <c r="AB707" s="101">
        <f t="shared" si="94"/>
        <v>800</v>
      </c>
      <c r="AC707" s="101" t="str">
        <f t="shared" si="95"/>
        <v>КЭО (маг)</v>
      </c>
      <c r="AD707" s="101" t="str">
        <f t="shared" si="96"/>
        <v/>
      </c>
      <c r="AE707" s="102">
        <f t="shared" ca="1" si="97"/>
        <v>14.3</v>
      </c>
      <c r="AF707" s="103">
        <f t="shared" ca="1" si="98"/>
        <v>1.7875000000000002E-2</v>
      </c>
      <c r="AG707" s="101"/>
      <c r="AH707" s="101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Q707" s="72">
        <v>0</v>
      </c>
      <c r="BR707" s="72">
        <v>0</v>
      </c>
      <c r="BS707" s="72">
        <v>0</v>
      </c>
      <c r="BT707" s="72">
        <v>0</v>
      </c>
      <c r="BU707" s="72">
        <v>0</v>
      </c>
      <c r="BV707" s="72">
        <v>0</v>
      </c>
      <c r="BW707" s="72">
        <v>0</v>
      </c>
      <c r="BX707" s="72">
        <v>0</v>
      </c>
      <c r="BY707" s="72">
        <v>0</v>
      </c>
      <c r="BZ707" s="72">
        <v>0</v>
      </c>
      <c r="CA707" s="72">
        <v>0</v>
      </c>
      <c r="CB707" s="72">
        <v>0</v>
      </c>
      <c r="CC707" s="72">
        <v>0</v>
      </c>
      <c r="CD707" s="72">
        <v>0</v>
      </c>
      <c r="CE707" s="72">
        <v>0</v>
      </c>
      <c r="CF707" s="72">
        <v>0</v>
      </c>
      <c r="CG707" s="72">
        <v>0</v>
      </c>
      <c r="CH707" s="72">
        <v>0</v>
      </c>
      <c r="CI707" s="72">
        <v>0</v>
      </c>
      <c r="CJ707" s="72">
        <v>0</v>
      </c>
      <c r="CK707" s="72">
        <v>0</v>
      </c>
      <c r="CL707" s="72">
        <v>0</v>
      </c>
      <c r="CM707" s="72">
        <v>0</v>
      </c>
      <c r="CN707" s="72">
        <v>0</v>
      </c>
      <c r="CO707" s="72">
        <v>0</v>
      </c>
      <c r="CP707" s="72">
        <v>0</v>
      </c>
      <c r="CQ707" s="72">
        <v>0</v>
      </c>
      <c r="CR707" s="72">
        <v>0</v>
      </c>
      <c r="CS707" s="72">
        <v>0</v>
      </c>
      <c r="CT707" s="72">
        <v>0</v>
      </c>
      <c r="CU707" s="72">
        <v>0</v>
      </c>
      <c r="CV707" s="72">
        <v>0</v>
      </c>
      <c r="CW707" s="72">
        <v>0</v>
      </c>
      <c r="CX707" s="72">
        <v>0</v>
      </c>
      <c r="CY707" s="72">
        <v>0</v>
      </c>
      <c r="CZ707" s="72">
        <v>0</v>
      </c>
      <c r="DA707" s="72">
        <v>0</v>
      </c>
      <c r="DB707" s="72">
        <v>0</v>
      </c>
      <c r="DC707" s="72">
        <v>0</v>
      </c>
      <c r="DD707" s="72">
        <v>0</v>
      </c>
      <c r="DE707" s="72">
        <v>0</v>
      </c>
      <c r="DF707" s="72">
        <v>0</v>
      </c>
      <c r="DG707" s="72">
        <v>0</v>
      </c>
      <c r="DH707" s="72">
        <v>0</v>
      </c>
      <c r="DI707" s="72">
        <v>0</v>
      </c>
      <c r="DJ707" s="72">
        <v>0</v>
      </c>
      <c r="DK707" s="72">
        <v>0</v>
      </c>
      <c r="DL707" s="72">
        <v>0</v>
      </c>
      <c r="DM707" s="72">
        <v>0</v>
      </c>
      <c r="DN707" s="72">
        <v>0</v>
      </c>
      <c r="DO707" s="72">
        <v>0</v>
      </c>
      <c r="DP707" s="72">
        <v>0</v>
      </c>
      <c r="DQ707" s="72">
        <v>0</v>
      </c>
      <c r="DR707" s="72">
        <v>0</v>
      </c>
      <c r="DS707" s="72">
        <v>0</v>
      </c>
      <c r="DT707" s="72">
        <v>0</v>
      </c>
      <c r="DU707" s="72">
        <v>0</v>
      </c>
      <c r="DV707" s="72">
        <v>0</v>
      </c>
      <c r="DW707" s="72">
        <v>0</v>
      </c>
      <c r="DX707" s="72">
        <v>0</v>
      </c>
      <c r="DY707" s="72">
        <v>0</v>
      </c>
      <c r="DZ707" s="72">
        <v>0</v>
      </c>
      <c r="EA707" s="72">
        <v>0</v>
      </c>
      <c r="EB707" s="72">
        <v>0</v>
      </c>
      <c r="EC707" s="72">
        <v>0</v>
      </c>
      <c r="ED707" s="72">
        <v>0</v>
      </c>
      <c r="EE707" s="72">
        <v>0</v>
      </c>
      <c r="EF707" s="72">
        <v>0</v>
      </c>
      <c r="EG707" s="72">
        <v>0</v>
      </c>
      <c r="EH707" s="72">
        <v>0</v>
      </c>
      <c r="EI707" s="72">
        <v>0</v>
      </c>
      <c r="EJ707" s="72">
        <v>0</v>
      </c>
      <c r="EK707" s="72">
        <v>0</v>
      </c>
      <c r="EL707" s="72">
        <v>0</v>
      </c>
    </row>
    <row r="708" spans="1:142" x14ac:dyDescent="0.35">
      <c r="A708" s="59">
        <f>Данные!A708</f>
        <v>5762</v>
      </c>
      <c r="B708" s="59">
        <f>Данные!B708</f>
        <v>2018</v>
      </c>
      <c r="C708" s="59" t="str">
        <f>Данные!C708</f>
        <v>компьютерных технологий и электронного обучения</v>
      </c>
      <c r="D708" s="59" t="str">
        <f>Данные!D708</f>
        <v>Карпова Наталья Александровна</v>
      </c>
      <c r="E708" s="59" t="str">
        <f>Данные!E708</f>
        <v>кандидат технических наук</v>
      </c>
      <c r="F708" s="59" t="str">
        <f>Данные!F708</f>
        <v>доцент</v>
      </c>
      <c r="G708" s="59">
        <f>Данные!G708</f>
        <v>0.75</v>
      </c>
      <c r="H708" s="59">
        <f>Данные!H708</f>
        <v>17248</v>
      </c>
      <c r="I708" s="59" t="str">
        <f>Данные!I708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08" s="59">
        <f>Данные!J708</f>
        <v>0</v>
      </c>
      <c r="K708" s="59">
        <f>Данные!K708</f>
        <v>0</v>
      </c>
      <c r="L708" s="59">
        <f>Данные!L708</f>
        <v>0</v>
      </c>
      <c r="M708" s="60">
        <f t="shared" ref="M708:M771" si="99">SUM(J708:L708)/10</f>
        <v>0</v>
      </c>
      <c r="N708" s="60">
        <f t="shared" ref="N708:N771" ca="1" si="100">2+(0.33*W708)</f>
        <v>5.3000000000000007</v>
      </c>
      <c r="O708" s="60">
        <f t="shared" ref="O708:O771" ca="1" si="101">0.25*W708</f>
        <v>2.5</v>
      </c>
      <c r="P708" s="60">
        <f t="shared" ref="P708:P771" ca="1" si="102">0.25*W708</f>
        <v>2.5</v>
      </c>
      <c r="Q708" s="54">
        <f>Данные!Q708</f>
        <v>0</v>
      </c>
      <c r="R708" s="54">
        <f>Данные!R708</f>
        <v>0</v>
      </c>
      <c r="S708" s="54">
        <f>Данные!S708</f>
        <v>0</v>
      </c>
      <c r="T708" s="54">
        <f>Данные!T708</f>
        <v>0</v>
      </c>
      <c r="U708" s="54">
        <f>Данные!U708</f>
        <v>4</v>
      </c>
      <c r="V708" s="54">
        <f>Данные!V708</f>
        <v>0</v>
      </c>
      <c r="W708" s="54">
        <f ca="1">Данные!W708</f>
        <v>10</v>
      </c>
      <c r="X708" s="54" t="str">
        <f ca="1">Данные!X708</f>
        <v>1</v>
      </c>
      <c r="Y708" s="54" t="str">
        <f ca="1">Данные!Y708</f>
        <v>1</v>
      </c>
      <c r="Z708" s="54">
        <f>Данные!Z708</f>
        <v>0</v>
      </c>
      <c r="AA708" s="54" t="str">
        <f>Данные!AA708</f>
        <v>доп</v>
      </c>
      <c r="AB708" s="101">
        <f t="shared" ref="AB708:AB771" si="103">VLOOKUP(F708, $BN$3:$BO$15, 2, 0)</f>
        <v>800</v>
      </c>
      <c r="AC708" s="101" t="str">
        <f t="shared" ref="AC708:AC771" si="104">IF(IFERROR(MATCH(H708, $AK$4:$BL$4, 0), 0)&gt;=1, "ИВТ (бак)", IF(IFERROR(MATCH(H708, $AK$5:$BL$5, 0), 0)&gt;=1, "КЭО (маг)", ""))</f>
        <v>КЭО (маг)</v>
      </c>
      <c r="AD708" s="101" t="str">
        <f t="shared" ref="AD708:AD771" si="105">IF(IFERROR(MATCH(H708, $AK$4:$AN$4, 0), 0)=1, "2015–2016", IF(IFERROR(MATCH(H708, $AO$4:$AR$4, 0), 0)=1, "2016–2017", IF(IFERROR(MATCH(H708, $AS$4:$AV$4, 0), 0)=1, "2017–2018", IF(IFERROR(MATCH(H708, $AW$4:$AZ$4, 0), 0)=1, "2018–2019", IF(IFERROR(MATCH(H708, $BA$4:$BD$4, 0), 0)=1, "2019–2020", IF(IFERROR(MATCH(H708, $BE$4:$BH$4, 0), 0)=1, "2020–2021", IF(IFERROR(MATCH(H708, $BI$4:$BL$4, 0), 0)=1, "2021–2022", "")))))))</f>
        <v/>
      </c>
      <c r="AE708" s="102">
        <f t="shared" ref="AE708:AE771" ca="1" si="106">SUM(J708:V708)</f>
        <v>14.3</v>
      </c>
      <c r="AF708" s="103">
        <f t="shared" ca="1" si="98"/>
        <v>1.7875000000000002E-2</v>
      </c>
      <c r="AG708" s="101"/>
      <c r="AH708" s="101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Q708" s="72">
        <v>0</v>
      </c>
      <c r="BR708" s="72">
        <v>0</v>
      </c>
      <c r="BS708" s="72">
        <v>0</v>
      </c>
      <c r="BT708" s="72">
        <v>0</v>
      </c>
      <c r="BU708" s="72">
        <v>0</v>
      </c>
      <c r="BV708" s="72">
        <v>0</v>
      </c>
      <c r="BW708" s="72">
        <v>0</v>
      </c>
      <c r="BX708" s="72">
        <v>0</v>
      </c>
      <c r="BY708" s="72">
        <v>0</v>
      </c>
      <c r="BZ708" s="72">
        <v>0</v>
      </c>
      <c r="CA708" s="72">
        <v>0</v>
      </c>
      <c r="CB708" s="72">
        <v>0</v>
      </c>
      <c r="CC708" s="72">
        <v>0</v>
      </c>
      <c r="CD708" s="72">
        <v>0</v>
      </c>
      <c r="CE708" s="72">
        <v>0</v>
      </c>
      <c r="CF708" s="72">
        <v>0</v>
      </c>
      <c r="CG708" s="72">
        <v>0</v>
      </c>
      <c r="CH708" s="72">
        <v>0</v>
      </c>
      <c r="CI708" s="72">
        <v>0</v>
      </c>
      <c r="CJ708" s="72">
        <v>0</v>
      </c>
      <c r="CK708" s="72">
        <v>0</v>
      </c>
      <c r="CL708" s="72">
        <v>0</v>
      </c>
      <c r="CM708" s="72">
        <v>0</v>
      </c>
      <c r="CN708" s="72">
        <v>0</v>
      </c>
      <c r="CO708" s="72">
        <v>0</v>
      </c>
      <c r="CP708" s="72">
        <v>0</v>
      </c>
      <c r="CQ708" s="72">
        <v>0</v>
      </c>
      <c r="CR708" s="72">
        <v>0</v>
      </c>
      <c r="CS708" s="72">
        <v>0</v>
      </c>
      <c r="CT708" s="72">
        <v>0</v>
      </c>
      <c r="CU708" s="72">
        <v>0</v>
      </c>
      <c r="CV708" s="72">
        <v>0</v>
      </c>
      <c r="CW708" s="72">
        <v>0</v>
      </c>
      <c r="CX708" s="72">
        <v>0</v>
      </c>
      <c r="CY708" s="72">
        <v>0</v>
      </c>
      <c r="CZ708" s="72">
        <v>0</v>
      </c>
      <c r="DA708" s="72">
        <v>0</v>
      </c>
      <c r="DB708" s="72">
        <v>0</v>
      </c>
      <c r="DC708" s="72">
        <v>0</v>
      </c>
      <c r="DD708" s="72">
        <v>0</v>
      </c>
      <c r="DE708" s="72">
        <v>0</v>
      </c>
      <c r="DF708" s="72">
        <v>0</v>
      </c>
      <c r="DG708" s="72">
        <v>0</v>
      </c>
      <c r="DH708" s="72">
        <v>0</v>
      </c>
      <c r="DI708" s="72">
        <v>0</v>
      </c>
      <c r="DJ708" s="72">
        <v>0</v>
      </c>
      <c r="DK708" s="72">
        <v>0</v>
      </c>
      <c r="DL708" s="72">
        <v>0</v>
      </c>
      <c r="DM708" s="72">
        <v>0</v>
      </c>
      <c r="DN708" s="72">
        <v>0</v>
      </c>
      <c r="DO708" s="72">
        <v>0</v>
      </c>
      <c r="DP708" s="72">
        <v>0</v>
      </c>
      <c r="DQ708" s="72">
        <v>0</v>
      </c>
      <c r="DR708" s="72">
        <v>0</v>
      </c>
      <c r="DS708" s="72">
        <v>0</v>
      </c>
      <c r="DT708" s="72">
        <v>0</v>
      </c>
      <c r="DU708" s="72">
        <v>0</v>
      </c>
      <c r="DV708" s="72">
        <v>0</v>
      </c>
      <c r="DW708" s="72">
        <v>0</v>
      </c>
      <c r="DX708" s="72">
        <v>0</v>
      </c>
      <c r="DY708" s="72">
        <v>0</v>
      </c>
      <c r="DZ708" s="72">
        <v>0</v>
      </c>
      <c r="EA708" s="72">
        <v>0</v>
      </c>
      <c r="EB708" s="72">
        <v>0</v>
      </c>
      <c r="EC708" s="72">
        <v>0</v>
      </c>
      <c r="ED708" s="72">
        <v>0</v>
      </c>
      <c r="EE708" s="72">
        <v>0</v>
      </c>
      <c r="EF708" s="72">
        <v>0</v>
      </c>
      <c r="EG708" s="72">
        <v>0</v>
      </c>
      <c r="EH708" s="72">
        <v>0</v>
      </c>
      <c r="EI708" s="72">
        <v>0</v>
      </c>
      <c r="EJ708" s="72">
        <v>0</v>
      </c>
      <c r="EK708" s="72">
        <v>0</v>
      </c>
      <c r="EL708" s="72">
        <v>0</v>
      </c>
    </row>
    <row r="709" spans="1:142" x14ac:dyDescent="0.35">
      <c r="A709" s="59">
        <f>Данные!A709</f>
        <v>5762</v>
      </c>
      <c r="B709" s="59">
        <f>Данные!B709</f>
        <v>2018</v>
      </c>
      <c r="C709" s="59" t="str">
        <f>Данные!C709</f>
        <v>компьютерных технологий и электронного обучения</v>
      </c>
      <c r="D709" s="59" t="str">
        <f>Данные!D709</f>
        <v>Акимов Станислав Сергеевич</v>
      </c>
      <c r="E709" s="59" t="str">
        <f>Данные!E709</f>
        <v>кандидат педагогических наук</v>
      </c>
      <c r="F709" s="59" t="str">
        <f>Данные!F709</f>
        <v>внешний</v>
      </c>
      <c r="G709" s="59">
        <f>Данные!G709</f>
        <v>1</v>
      </c>
      <c r="H709" s="59">
        <f>Данные!H709</f>
        <v>17248</v>
      </c>
      <c r="I709" s="59" t="str">
        <f>Данные!I709</f>
        <v>Модуль "IT-решения и инструменты в образовании". Дисциплины и курсы по выбору. Прикладные информационные технологии</v>
      </c>
      <c r="J709" s="59">
        <f>Данные!J709</f>
        <v>4</v>
      </c>
      <c r="K709" s="59">
        <f>Данные!K709</f>
        <v>14</v>
      </c>
      <c r="L709" s="59">
        <f>Данные!L709</f>
        <v>0</v>
      </c>
      <c r="M709" s="60">
        <f t="shared" si="99"/>
        <v>1.8</v>
      </c>
      <c r="N709" s="60">
        <f t="shared" ca="1" si="100"/>
        <v>5.3000000000000007</v>
      </c>
      <c r="O709" s="60">
        <f t="shared" ca="1" si="101"/>
        <v>2.5</v>
      </c>
      <c r="P709" s="60">
        <f t="shared" ca="1" si="102"/>
        <v>2.5</v>
      </c>
      <c r="Q709" s="54">
        <f>Данные!Q709</f>
        <v>0</v>
      </c>
      <c r="R709" s="54">
        <f>Данные!R709</f>
        <v>0</v>
      </c>
      <c r="S709" s="54">
        <f>Данные!S709</f>
        <v>0</v>
      </c>
      <c r="T709" s="54">
        <f>Данные!T709</f>
        <v>0</v>
      </c>
      <c r="U709" s="54">
        <f>Данные!U709</f>
        <v>0</v>
      </c>
      <c r="V709" s="54">
        <f>Данные!V709</f>
        <v>0</v>
      </c>
      <c r="W709" s="54">
        <f ca="1">Данные!W709</f>
        <v>10</v>
      </c>
      <c r="X709" s="54" t="str">
        <f ca="1">Данные!X709</f>
        <v>1</v>
      </c>
      <c r="Y709" s="54" t="str">
        <f ca="1">Данные!Y709</f>
        <v>1</v>
      </c>
      <c r="Z709" s="54">
        <f>Данные!Z709</f>
        <v>0</v>
      </c>
      <c r="AA709" s="54" t="str">
        <f>Данные!AA709</f>
        <v>доп</v>
      </c>
      <c r="AB709" s="101">
        <f t="shared" si="103"/>
        <v>900</v>
      </c>
      <c r="AC709" s="101" t="str">
        <f t="shared" si="104"/>
        <v>КЭО (маг)</v>
      </c>
      <c r="AD709" s="101" t="str">
        <f t="shared" si="105"/>
        <v/>
      </c>
      <c r="AE709" s="102">
        <f t="shared" ca="1" si="106"/>
        <v>30.1</v>
      </c>
      <c r="AF709" s="103">
        <f t="shared" ref="AF709:AF772" ca="1" si="107">AE709/AB709</f>
        <v>3.3444444444444443E-2</v>
      </c>
      <c r="AG709" s="101"/>
      <c r="AH709" s="101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Q709" s="72">
        <v>0</v>
      </c>
      <c r="BR709" s="72">
        <v>0</v>
      </c>
      <c r="BS709" s="72">
        <v>0</v>
      </c>
      <c r="BT709" s="72">
        <v>0</v>
      </c>
      <c r="BU709" s="72">
        <v>0</v>
      </c>
      <c r="BV709" s="72">
        <v>0</v>
      </c>
      <c r="BW709" s="72">
        <v>0</v>
      </c>
      <c r="BX709" s="72">
        <v>0</v>
      </c>
      <c r="BY709" s="72">
        <v>0</v>
      </c>
      <c r="BZ709" s="72">
        <v>0</v>
      </c>
      <c r="CA709" s="72">
        <v>0</v>
      </c>
      <c r="CB709" s="72">
        <v>0</v>
      </c>
      <c r="CC709" s="72">
        <v>0</v>
      </c>
      <c r="CD709" s="72">
        <v>0</v>
      </c>
      <c r="CE709" s="72">
        <v>0</v>
      </c>
      <c r="CF709" s="72">
        <v>0</v>
      </c>
      <c r="CG709" s="72">
        <v>0</v>
      </c>
      <c r="CH709" s="72">
        <v>0</v>
      </c>
      <c r="CI709" s="72">
        <v>0</v>
      </c>
      <c r="CJ709" s="72">
        <v>0</v>
      </c>
      <c r="CK709" s="72">
        <v>0</v>
      </c>
      <c r="CL709" s="72">
        <v>0</v>
      </c>
      <c r="CM709" s="72">
        <v>0</v>
      </c>
      <c r="CN709" s="72">
        <v>0</v>
      </c>
      <c r="CO709" s="72">
        <v>0</v>
      </c>
      <c r="CP709" s="72">
        <v>0</v>
      </c>
      <c r="CQ709" s="72">
        <v>0</v>
      </c>
      <c r="CR709" s="72">
        <v>0</v>
      </c>
      <c r="CS709" s="72">
        <v>0</v>
      </c>
      <c r="CT709" s="72">
        <v>0</v>
      </c>
      <c r="CU709" s="72">
        <v>0</v>
      </c>
      <c r="CV709" s="72">
        <v>0</v>
      </c>
      <c r="CW709" s="72">
        <v>0</v>
      </c>
      <c r="CX709" s="72">
        <v>0</v>
      </c>
      <c r="CY709" s="72">
        <v>0</v>
      </c>
      <c r="CZ709" s="72">
        <v>0</v>
      </c>
      <c r="DA709" s="72">
        <v>0</v>
      </c>
      <c r="DB709" s="72">
        <v>0</v>
      </c>
      <c r="DC709" s="72">
        <v>0</v>
      </c>
      <c r="DD709" s="72">
        <v>0</v>
      </c>
      <c r="DE709" s="72">
        <v>0</v>
      </c>
      <c r="DF709" s="72">
        <v>0</v>
      </c>
      <c r="DG709" s="72">
        <v>0</v>
      </c>
      <c r="DH709" s="72">
        <v>0</v>
      </c>
      <c r="DI709" s="72">
        <v>0</v>
      </c>
      <c r="DJ709" s="72">
        <v>0</v>
      </c>
      <c r="DK709" s="72">
        <v>0</v>
      </c>
      <c r="DL709" s="72">
        <v>0</v>
      </c>
      <c r="DM709" s="72">
        <v>0</v>
      </c>
      <c r="DN709" s="72">
        <v>0</v>
      </c>
      <c r="DO709" s="72">
        <v>0</v>
      </c>
      <c r="DP709" s="72">
        <v>0</v>
      </c>
      <c r="DQ709" s="72">
        <v>0</v>
      </c>
      <c r="DR709" s="72">
        <v>0</v>
      </c>
      <c r="DS709" s="72">
        <v>0</v>
      </c>
      <c r="DT709" s="72">
        <v>0</v>
      </c>
      <c r="DU709" s="72">
        <v>0</v>
      </c>
      <c r="DV709" s="72">
        <v>0</v>
      </c>
      <c r="DW709" s="72">
        <v>0</v>
      </c>
      <c r="DX709" s="72">
        <v>0</v>
      </c>
      <c r="DY709" s="72">
        <v>0</v>
      </c>
      <c r="DZ709" s="72">
        <v>0</v>
      </c>
      <c r="EA709" s="72">
        <v>0</v>
      </c>
      <c r="EB709" s="72">
        <v>0</v>
      </c>
      <c r="EC709" s="72">
        <v>0</v>
      </c>
      <c r="ED709" s="72">
        <v>0</v>
      </c>
      <c r="EE709" s="72">
        <v>0</v>
      </c>
      <c r="EF709" s="72">
        <v>0</v>
      </c>
      <c r="EG709" s="72">
        <v>0</v>
      </c>
      <c r="EH709" s="72">
        <v>0</v>
      </c>
      <c r="EI709" s="72">
        <v>0</v>
      </c>
      <c r="EJ709" s="72">
        <v>0</v>
      </c>
      <c r="EK709" s="72">
        <v>0</v>
      </c>
      <c r="EL709" s="72">
        <v>0</v>
      </c>
    </row>
    <row r="710" spans="1:142" x14ac:dyDescent="0.35">
      <c r="A710" s="59">
        <f>Данные!A710</f>
        <v>5763</v>
      </c>
      <c r="B710" s="59">
        <f>Данные!B710</f>
        <v>2017</v>
      </c>
      <c r="C710" s="59" t="str">
        <f>Данные!C710</f>
        <v>компьютерных технологий и электронного обучения</v>
      </c>
      <c r="D710" s="59" t="str">
        <f>Данные!D710</f>
        <v>Ильина Татьяна Сергеевна</v>
      </c>
      <c r="E710" s="59" t="str">
        <f>Данные!E710</f>
        <v>нет</v>
      </c>
      <c r="F710" s="59" t="str">
        <f>Данные!F710</f>
        <v>старший преподаватель</v>
      </c>
      <c r="G710" s="59">
        <f>Данные!G710</f>
        <v>1</v>
      </c>
      <c r="H710" s="59">
        <f>Данные!H710</f>
        <v>16485</v>
      </c>
      <c r="I710" s="59" t="str">
        <f>Данные!I710</f>
        <v>Модуль "Профессиональная коммуникация". Информационные технологии в профессиональной деятельности</v>
      </c>
      <c r="J710" s="59">
        <f>Данные!J710</f>
        <v>2</v>
      </c>
      <c r="K710" s="59">
        <f>Данные!K710</f>
        <v>12</v>
      </c>
      <c r="L710" s="59">
        <f>Данные!L710</f>
        <v>24</v>
      </c>
      <c r="M710" s="60">
        <f t="shared" si="99"/>
        <v>3.8</v>
      </c>
      <c r="N710" s="60">
        <f t="shared" ca="1" si="100"/>
        <v>5.96</v>
      </c>
      <c r="O710" s="60">
        <f t="shared" ca="1" si="101"/>
        <v>3</v>
      </c>
      <c r="P710" s="60">
        <f t="shared" ca="1" si="102"/>
        <v>3</v>
      </c>
      <c r="Q710" s="54">
        <f>Данные!Q710</f>
        <v>0</v>
      </c>
      <c r="R710" s="54">
        <f>Данные!R710</f>
        <v>0</v>
      </c>
      <c r="S710" s="54">
        <f>Данные!S710</f>
        <v>0</v>
      </c>
      <c r="T710" s="54">
        <f>Данные!T710</f>
        <v>0</v>
      </c>
      <c r="U710" s="54">
        <f>Данные!U710</f>
        <v>0</v>
      </c>
      <c r="V710" s="54">
        <f>Данные!V710</f>
        <v>0</v>
      </c>
      <c r="W710" s="54">
        <f ca="1">Данные!W710</f>
        <v>12</v>
      </c>
      <c r="X710" s="54" t="str">
        <f ca="1">Данные!X710</f>
        <v>1</v>
      </c>
      <c r="Y710" s="54" t="str">
        <f ca="1">Данные!Y710</f>
        <v>1</v>
      </c>
      <c r="Z710" s="54">
        <f>Данные!Z710</f>
        <v>0</v>
      </c>
      <c r="AA710" s="54" t="str">
        <f>Данные!AA710</f>
        <v>осн</v>
      </c>
      <c r="AB710" s="101">
        <f t="shared" si="103"/>
        <v>850</v>
      </c>
      <c r="AC710" s="101" t="str">
        <f t="shared" si="104"/>
        <v/>
      </c>
      <c r="AD710" s="101" t="str">
        <f t="shared" si="105"/>
        <v/>
      </c>
      <c r="AE710" s="102">
        <f t="shared" ca="1" si="106"/>
        <v>53.76</v>
      </c>
      <c r="AF710" s="103">
        <f t="shared" ca="1" si="107"/>
        <v>6.3247058823529406E-2</v>
      </c>
      <c r="AG710" s="101"/>
      <c r="AH710" s="101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Q710" s="72">
        <v>0</v>
      </c>
      <c r="BR710" s="72">
        <v>0</v>
      </c>
      <c r="BS710" s="72">
        <v>0</v>
      </c>
      <c r="BT710" s="72">
        <v>0</v>
      </c>
      <c r="BU710" s="72">
        <v>0</v>
      </c>
      <c r="BV710" s="72">
        <v>0</v>
      </c>
      <c r="BW710" s="72">
        <v>0</v>
      </c>
      <c r="BX710" s="72">
        <v>0</v>
      </c>
      <c r="BY710" s="72">
        <v>0</v>
      </c>
      <c r="BZ710" s="72">
        <v>0</v>
      </c>
      <c r="CA710" s="72">
        <v>0</v>
      </c>
      <c r="CB710" s="72">
        <v>0</v>
      </c>
      <c r="CC710" s="72">
        <v>0</v>
      </c>
      <c r="CD710" s="72">
        <v>0</v>
      </c>
      <c r="CE710" s="72">
        <v>0</v>
      </c>
      <c r="CF710" s="72">
        <v>0</v>
      </c>
      <c r="CG710" s="72">
        <v>0</v>
      </c>
      <c r="CH710" s="72">
        <v>0</v>
      </c>
      <c r="CI710" s="72">
        <v>0</v>
      </c>
      <c r="CJ710" s="72">
        <v>0</v>
      </c>
      <c r="CK710" s="72">
        <v>0</v>
      </c>
      <c r="CL710" s="72">
        <v>0</v>
      </c>
      <c r="CM710" s="72">
        <v>0</v>
      </c>
      <c r="CN710" s="72">
        <v>0</v>
      </c>
      <c r="CO710" s="72">
        <v>0</v>
      </c>
      <c r="CP710" s="72">
        <v>0</v>
      </c>
      <c r="CQ710" s="72">
        <v>0</v>
      </c>
      <c r="CR710" s="72">
        <v>0</v>
      </c>
      <c r="CS710" s="72">
        <v>0</v>
      </c>
      <c r="CT710" s="72">
        <v>0</v>
      </c>
      <c r="CU710" s="72">
        <v>0</v>
      </c>
      <c r="CV710" s="72">
        <v>0</v>
      </c>
      <c r="CW710" s="72">
        <v>0</v>
      </c>
      <c r="CX710" s="72">
        <v>0</v>
      </c>
      <c r="CY710" s="72">
        <v>0</v>
      </c>
      <c r="CZ710" s="72">
        <v>0</v>
      </c>
      <c r="DA710" s="72">
        <v>0</v>
      </c>
      <c r="DB710" s="72">
        <v>0</v>
      </c>
      <c r="DC710" s="72">
        <v>0</v>
      </c>
      <c r="DD710" s="72">
        <v>0</v>
      </c>
      <c r="DE710" s="72">
        <v>0</v>
      </c>
      <c r="DF710" s="72">
        <v>0</v>
      </c>
      <c r="DG710" s="72">
        <v>0</v>
      </c>
      <c r="DH710" s="72">
        <v>0</v>
      </c>
      <c r="DI710" s="72">
        <v>0</v>
      </c>
      <c r="DJ710" s="72">
        <v>0</v>
      </c>
      <c r="DK710" s="72">
        <v>0</v>
      </c>
      <c r="DL710" s="72">
        <v>0</v>
      </c>
      <c r="DM710" s="72">
        <v>0</v>
      </c>
      <c r="DN710" s="72">
        <v>0</v>
      </c>
      <c r="DO710" s="72">
        <v>0</v>
      </c>
      <c r="DP710" s="72">
        <v>0</v>
      </c>
      <c r="DQ710" s="72">
        <v>0</v>
      </c>
      <c r="DR710" s="72">
        <v>0</v>
      </c>
      <c r="DS710" s="72">
        <v>0</v>
      </c>
      <c r="DT710" s="72">
        <v>0</v>
      </c>
      <c r="DU710" s="72">
        <v>0</v>
      </c>
      <c r="DV710" s="72">
        <v>0</v>
      </c>
      <c r="DW710" s="72">
        <v>0</v>
      </c>
      <c r="DX710" s="72">
        <v>0</v>
      </c>
      <c r="DY710" s="72">
        <v>0</v>
      </c>
      <c r="DZ710" s="72">
        <v>0</v>
      </c>
      <c r="EA710" s="72">
        <v>0</v>
      </c>
      <c r="EB710" s="72">
        <v>0</v>
      </c>
      <c r="EC710" s="72">
        <v>0</v>
      </c>
      <c r="ED710" s="72">
        <v>0</v>
      </c>
      <c r="EE710" s="72">
        <v>0</v>
      </c>
      <c r="EF710" s="72">
        <v>0</v>
      </c>
      <c r="EG710" s="72">
        <v>0</v>
      </c>
      <c r="EH710" s="72">
        <v>0</v>
      </c>
      <c r="EI710" s="72">
        <v>0</v>
      </c>
      <c r="EJ710" s="72">
        <v>0</v>
      </c>
      <c r="EK710" s="72">
        <v>0</v>
      </c>
      <c r="EL710" s="72">
        <v>0</v>
      </c>
    </row>
    <row r="711" spans="1:142" x14ac:dyDescent="0.35">
      <c r="A711" s="59">
        <f>Данные!A711</f>
        <v>6369</v>
      </c>
      <c r="B711" s="59">
        <f>Данные!B711</f>
        <v>2018</v>
      </c>
      <c r="C711" s="59" t="str">
        <f>Данные!C711</f>
        <v>компьютерных технологий и электронного обучения</v>
      </c>
      <c r="D711" s="59" t="str">
        <f>Данные!D711</f>
        <v>Государев Илья Борисович</v>
      </c>
      <c r="E711" s="59" t="str">
        <f>Данные!E711</f>
        <v>кандидат педагогических наук</v>
      </c>
      <c r="F711" s="59" t="str">
        <f>Данные!F711</f>
        <v>доцент</v>
      </c>
      <c r="G711" s="59">
        <f>Данные!G711</f>
        <v>1</v>
      </c>
      <c r="H711" s="59">
        <f>Данные!H711</f>
        <v>17047</v>
      </c>
      <c r="I711" s="59" t="str">
        <f>Данные!I711</f>
        <v>Модуль "Профессиональная коммуникация". Информационные технологии в профессиональной деятельности</v>
      </c>
      <c r="J711" s="59">
        <f>Данные!J711</f>
        <v>0</v>
      </c>
      <c r="K711" s="59">
        <f>Данные!K711</f>
        <v>6</v>
      </c>
      <c r="L711" s="59">
        <f>Данные!L711</f>
        <v>0</v>
      </c>
      <c r="M711" s="60">
        <f t="shared" si="99"/>
        <v>0.6</v>
      </c>
      <c r="N711" s="60">
        <f t="shared" ca="1" si="100"/>
        <v>6.62</v>
      </c>
      <c r="O711" s="60">
        <f t="shared" ca="1" si="101"/>
        <v>3.5</v>
      </c>
      <c r="P711" s="60">
        <f t="shared" ca="1" si="102"/>
        <v>3.5</v>
      </c>
      <c r="Q711" s="54">
        <f>Данные!Q711</f>
        <v>0</v>
      </c>
      <c r="R711" s="54">
        <f>Данные!R711</f>
        <v>0</v>
      </c>
      <c r="S711" s="54">
        <f>Данные!S711</f>
        <v>0</v>
      </c>
      <c r="T711" s="54">
        <f>Данные!T711</f>
        <v>0</v>
      </c>
      <c r="U711" s="54">
        <f>Данные!U711</f>
        <v>0</v>
      </c>
      <c r="V711" s="54">
        <f>Данные!V711</f>
        <v>0</v>
      </c>
      <c r="W711" s="54">
        <f ca="1">Данные!W711</f>
        <v>14</v>
      </c>
      <c r="X711" s="54" t="str">
        <f ca="1">Данные!X711</f>
        <v>1</v>
      </c>
      <c r="Y711" s="54" t="str">
        <f ca="1">Данные!Y711</f>
        <v>1</v>
      </c>
      <c r="Z711" s="54">
        <f>Данные!Z711</f>
        <v>0</v>
      </c>
      <c r="AA711" s="54" t="str">
        <f>Данные!AA711</f>
        <v>доп</v>
      </c>
      <c r="AB711" s="101">
        <f t="shared" si="103"/>
        <v>800</v>
      </c>
      <c r="AC711" s="101" t="str">
        <f t="shared" si="104"/>
        <v/>
      </c>
      <c r="AD711" s="101" t="str">
        <f t="shared" si="105"/>
        <v/>
      </c>
      <c r="AE711" s="102">
        <f t="shared" ca="1" si="106"/>
        <v>20.22</v>
      </c>
      <c r="AF711" s="103">
        <f t="shared" ca="1" si="107"/>
        <v>2.5274999999999999E-2</v>
      </c>
      <c r="AG711" s="101"/>
      <c r="AH711" s="10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Q711" s="72">
        <v>0</v>
      </c>
      <c r="BR711" s="72">
        <v>0</v>
      </c>
      <c r="BS711" s="72">
        <v>0</v>
      </c>
      <c r="BT711" s="72">
        <v>0</v>
      </c>
      <c r="BU711" s="72">
        <v>0</v>
      </c>
      <c r="BV711" s="72">
        <v>0</v>
      </c>
      <c r="BW711" s="72">
        <v>0</v>
      </c>
      <c r="BX711" s="72">
        <v>0</v>
      </c>
      <c r="BY711" s="72">
        <v>0</v>
      </c>
      <c r="BZ711" s="72">
        <v>0</v>
      </c>
      <c r="CA711" s="72">
        <v>0</v>
      </c>
      <c r="CB711" s="72">
        <v>0</v>
      </c>
      <c r="CC711" s="72">
        <v>0</v>
      </c>
      <c r="CD711" s="72">
        <v>0</v>
      </c>
      <c r="CE711" s="72">
        <v>0</v>
      </c>
      <c r="CF711" s="72">
        <v>0</v>
      </c>
      <c r="CG711" s="72">
        <v>0</v>
      </c>
      <c r="CH711" s="72">
        <v>0</v>
      </c>
      <c r="CI711" s="72">
        <v>0</v>
      </c>
      <c r="CJ711" s="72">
        <v>0</v>
      </c>
      <c r="CK711" s="72">
        <v>0</v>
      </c>
      <c r="CL711" s="72">
        <v>0</v>
      </c>
      <c r="CM711" s="72">
        <v>0</v>
      </c>
      <c r="CN711" s="72">
        <v>0</v>
      </c>
      <c r="CO711" s="72">
        <v>0</v>
      </c>
      <c r="CP711" s="72">
        <v>0</v>
      </c>
      <c r="CQ711" s="72">
        <v>0</v>
      </c>
      <c r="CR711" s="72">
        <v>0</v>
      </c>
      <c r="CS711" s="72">
        <v>0</v>
      </c>
      <c r="CT711" s="72">
        <v>0</v>
      </c>
      <c r="CU711" s="72">
        <v>0</v>
      </c>
      <c r="CV711" s="72">
        <v>0</v>
      </c>
      <c r="CW711" s="72">
        <v>0</v>
      </c>
      <c r="CX711" s="72">
        <v>0</v>
      </c>
      <c r="CY711" s="72">
        <v>0</v>
      </c>
      <c r="CZ711" s="72">
        <v>0</v>
      </c>
      <c r="DA711" s="72">
        <v>0</v>
      </c>
      <c r="DB711" s="72">
        <v>0</v>
      </c>
      <c r="DC711" s="72">
        <v>0</v>
      </c>
      <c r="DD711" s="72">
        <v>0</v>
      </c>
      <c r="DE711" s="72">
        <v>0</v>
      </c>
      <c r="DF711" s="72">
        <v>0</v>
      </c>
      <c r="DG711" s="72">
        <v>0</v>
      </c>
      <c r="DH711" s="72">
        <v>0</v>
      </c>
      <c r="DI711" s="72">
        <v>0</v>
      </c>
      <c r="DJ711" s="72">
        <v>0</v>
      </c>
      <c r="DK711" s="72">
        <v>0</v>
      </c>
      <c r="DL711" s="72">
        <v>0</v>
      </c>
      <c r="DM711" s="72">
        <v>0</v>
      </c>
      <c r="DN711" s="72">
        <v>0</v>
      </c>
      <c r="DO711" s="72">
        <v>0</v>
      </c>
      <c r="DP711" s="72">
        <v>0</v>
      </c>
      <c r="DQ711" s="72">
        <v>0</v>
      </c>
      <c r="DR711" s="72">
        <v>0</v>
      </c>
      <c r="DS711" s="72">
        <v>0</v>
      </c>
      <c r="DT711" s="72">
        <v>0</v>
      </c>
      <c r="DU711" s="72">
        <v>0</v>
      </c>
      <c r="DV711" s="72">
        <v>0</v>
      </c>
      <c r="DW711" s="72">
        <v>0</v>
      </c>
      <c r="DX711" s="72">
        <v>0</v>
      </c>
      <c r="DY711" s="72">
        <v>0</v>
      </c>
      <c r="DZ711" s="72">
        <v>0</v>
      </c>
      <c r="EA711" s="72">
        <v>0</v>
      </c>
      <c r="EB711" s="72">
        <v>0</v>
      </c>
      <c r="EC711" s="72">
        <v>0</v>
      </c>
      <c r="ED711" s="72">
        <v>0</v>
      </c>
      <c r="EE711" s="72">
        <v>0</v>
      </c>
      <c r="EF711" s="72">
        <v>0</v>
      </c>
      <c r="EG711" s="72">
        <v>0</v>
      </c>
      <c r="EH711" s="72">
        <v>0</v>
      </c>
      <c r="EI711" s="72">
        <v>0</v>
      </c>
      <c r="EJ711" s="72">
        <v>0</v>
      </c>
      <c r="EK711" s="72">
        <v>0</v>
      </c>
      <c r="EL711" s="72">
        <v>0</v>
      </c>
    </row>
    <row r="712" spans="1:142" x14ac:dyDescent="0.35">
      <c r="A712" s="59">
        <f>Данные!A712</f>
        <v>6369</v>
      </c>
      <c r="B712" s="59">
        <f>Данные!B712</f>
        <v>2018</v>
      </c>
      <c r="C712" s="59" t="str">
        <f>Данные!C712</f>
        <v>компьютерных технологий и электронного обучения</v>
      </c>
      <c r="D712" s="59" t="str">
        <f>Данные!D712</f>
        <v>Готская Ирина Борисовна</v>
      </c>
      <c r="E712" s="59" t="str">
        <f>Данные!E712</f>
        <v>доктор педагогических наук</v>
      </c>
      <c r="F712" s="59" t="str">
        <f>Данные!F712</f>
        <v>профессор</v>
      </c>
      <c r="G712" s="59">
        <f>Данные!G712</f>
        <v>0.75</v>
      </c>
      <c r="H712" s="59">
        <f>Данные!H712</f>
        <v>17047</v>
      </c>
      <c r="I712" s="59" t="str">
        <f>Данные!I712</f>
        <v>Модуль "Профессиональная коммуникация". Информационные технологии в профессиональной деятельности</v>
      </c>
      <c r="J712" s="59">
        <f>Данные!J712</f>
        <v>2</v>
      </c>
      <c r="K712" s="59">
        <f>Данные!K712</f>
        <v>0</v>
      </c>
      <c r="L712" s="59">
        <f>Данные!L712</f>
        <v>0</v>
      </c>
      <c r="M712" s="60">
        <f t="shared" si="99"/>
        <v>0.2</v>
      </c>
      <c r="N712" s="60">
        <f t="shared" ca="1" si="100"/>
        <v>6.62</v>
      </c>
      <c r="O712" s="60">
        <f t="shared" ca="1" si="101"/>
        <v>3.5</v>
      </c>
      <c r="P712" s="60">
        <f t="shared" ca="1" si="102"/>
        <v>3.5</v>
      </c>
      <c r="Q712" s="54">
        <f>Данные!Q712</f>
        <v>0</v>
      </c>
      <c r="R712" s="54">
        <f>Данные!R712</f>
        <v>0</v>
      </c>
      <c r="S712" s="54">
        <f>Данные!S712</f>
        <v>0</v>
      </c>
      <c r="T712" s="54">
        <f>Данные!T712</f>
        <v>0</v>
      </c>
      <c r="U712" s="54">
        <f>Данные!U712</f>
        <v>0</v>
      </c>
      <c r="V712" s="54">
        <f>Данные!V712</f>
        <v>0</v>
      </c>
      <c r="W712" s="54">
        <f ca="1">Данные!W712</f>
        <v>14</v>
      </c>
      <c r="X712" s="54" t="str">
        <f ca="1">Данные!X712</f>
        <v>1</v>
      </c>
      <c r="Y712" s="54" t="str">
        <f ca="1">Данные!Y712</f>
        <v>1</v>
      </c>
      <c r="Z712" s="54">
        <f>Данные!Z712</f>
        <v>0</v>
      </c>
      <c r="AA712" s="54" t="str">
        <f>Данные!AA712</f>
        <v>осн</v>
      </c>
      <c r="AB712" s="101">
        <f t="shared" si="103"/>
        <v>750</v>
      </c>
      <c r="AC712" s="101" t="str">
        <f t="shared" si="104"/>
        <v/>
      </c>
      <c r="AD712" s="101" t="str">
        <f t="shared" si="105"/>
        <v/>
      </c>
      <c r="AE712" s="102">
        <f t="shared" ca="1" si="106"/>
        <v>15.82</v>
      </c>
      <c r="AF712" s="103">
        <f t="shared" ca="1" si="107"/>
        <v>2.1093333333333332E-2</v>
      </c>
      <c r="AG712" s="101"/>
      <c r="AH712" s="101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Q712" s="72">
        <v>0</v>
      </c>
      <c r="BR712" s="72">
        <v>0</v>
      </c>
      <c r="BS712" s="72">
        <v>0</v>
      </c>
      <c r="BT712" s="72">
        <v>0</v>
      </c>
      <c r="BU712" s="72">
        <v>0</v>
      </c>
      <c r="BV712" s="72">
        <v>0</v>
      </c>
      <c r="BW712" s="72">
        <v>0</v>
      </c>
      <c r="BX712" s="72">
        <v>0</v>
      </c>
      <c r="BY712" s="72">
        <v>0</v>
      </c>
      <c r="BZ712" s="72">
        <v>0</v>
      </c>
      <c r="CA712" s="72">
        <v>0</v>
      </c>
      <c r="CB712" s="72">
        <v>0</v>
      </c>
      <c r="CC712" s="72">
        <v>0</v>
      </c>
      <c r="CD712" s="72">
        <v>0</v>
      </c>
      <c r="CE712" s="72">
        <v>0</v>
      </c>
      <c r="CF712" s="72">
        <v>0</v>
      </c>
      <c r="CG712" s="72">
        <v>0</v>
      </c>
      <c r="CH712" s="72">
        <v>0</v>
      </c>
      <c r="CI712" s="72">
        <v>0</v>
      </c>
      <c r="CJ712" s="72">
        <v>0</v>
      </c>
      <c r="CK712" s="72">
        <v>0</v>
      </c>
      <c r="CL712" s="72">
        <v>0</v>
      </c>
      <c r="CM712" s="72">
        <v>0</v>
      </c>
      <c r="CN712" s="72">
        <v>0</v>
      </c>
      <c r="CO712" s="72">
        <v>0</v>
      </c>
      <c r="CP712" s="72">
        <v>0</v>
      </c>
      <c r="CQ712" s="72">
        <v>0</v>
      </c>
      <c r="CR712" s="72">
        <v>0</v>
      </c>
      <c r="CS712" s="72">
        <v>0</v>
      </c>
      <c r="CT712" s="72">
        <v>0</v>
      </c>
      <c r="CU712" s="72">
        <v>0</v>
      </c>
      <c r="CV712" s="72">
        <v>0</v>
      </c>
      <c r="CW712" s="72">
        <v>0</v>
      </c>
      <c r="CX712" s="72">
        <v>0</v>
      </c>
      <c r="CY712" s="72">
        <v>0</v>
      </c>
      <c r="CZ712" s="72">
        <v>0</v>
      </c>
      <c r="DA712" s="72">
        <v>0</v>
      </c>
      <c r="DB712" s="72">
        <v>0</v>
      </c>
      <c r="DC712" s="72">
        <v>0</v>
      </c>
      <c r="DD712" s="72">
        <v>0</v>
      </c>
      <c r="DE712" s="72">
        <v>0</v>
      </c>
      <c r="DF712" s="72">
        <v>0</v>
      </c>
      <c r="DG712" s="72">
        <v>0</v>
      </c>
      <c r="DH712" s="72">
        <v>0</v>
      </c>
      <c r="DI712" s="72">
        <v>0</v>
      </c>
      <c r="DJ712" s="72">
        <v>0</v>
      </c>
      <c r="DK712" s="72">
        <v>0</v>
      </c>
      <c r="DL712" s="72">
        <v>0</v>
      </c>
      <c r="DM712" s="72">
        <v>0</v>
      </c>
      <c r="DN712" s="72">
        <v>0</v>
      </c>
      <c r="DO712" s="72">
        <v>0</v>
      </c>
      <c r="DP712" s="72">
        <v>0</v>
      </c>
      <c r="DQ712" s="72">
        <v>0</v>
      </c>
      <c r="DR712" s="72">
        <v>0</v>
      </c>
      <c r="DS712" s="72">
        <v>0</v>
      </c>
      <c r="DT712" s="72">
        <v>0</v>
      </c>
      <c r="DU712" s="72">
        <v>0</v>
      </c>
      <c r="DV712" s="72">
        <v>0</v>
      </c>
      <c r="DW712" s="72">
        <v>0</v>
      </c>
      <c r="DX712" s="72">
        <v>0</v>
      </c>
      <c r="DY712" s="72">
        <v>0</v>
      </c>
      <c r="DZ712" s="72">
        <v>0</v>
      </c>
      <c r="EA712" s="72">
        <v>0</v>
      </c>
      <c r="EB712" s="72">
        <v>0</v>
      </c>
      <c r="EC712" s="72">
        <v>0</v>
      </c>
      <c r="ED712" s="72">
        <v>0</v>
      </c>
      <c r="EE712" s="72">
        <v>0</v>
      </c>
      <c r="EF712" s="72">
        <v>0</v>
      </c>
      <c r="EG712" s="72">
        <v>0</v>
      </c>
      <c r="EH712" s="72">
        <v>0</v>
      </c>
      <c r="EI712" s="72">
        <v>0</v>
      </c>
      <c r="EJ712" s="72">
        <v>0</v>
      </c>
      <c r="EK712" s="72">
        <v>0</v>
      </c>
      <c r="EL712" s="72">
        <v>0</v>
      </c>
    </row>
    <row r="713" spans="1:142" x14ac:dyDescent="0.35">
      <c r="A713" s="59">
        <f>Данные!A713</f>
        <v>6369</v>
      </c>
      <c r="B713" s="59">
        <f>Данные!B713</f>
        <v>2018</v>
      </c>
      <c r="C713" s="59" t="str">
        <f>Данные!C713</f>
        <v>компьютерных технологий и электронного обучения</v>
      </c>
      <c r="D713" s="59" t="str">
        <f>Данные!D713</f>
        <v>Жуков Николай Николаевич</v>
      </c>
      <c r="E713" s="59" t="str">
        <f>Данные!E713</f>
        <v>нет</v>
      </c>
      <c r="F713" s="59" t="str">
        <f>Данные!F713</f>
        <v>ассистент</v>
      </c>
      <c r="G713" s="59">
        <f>Данные!G713</f>
        <v>1</v>
      </c>
      <c r="H713" s="59">
        <f>Данные!H713</f>
        <v>17047</v>
      </c>
      <c r="I713" s="59" t="str">
        <f>Данные!I713</f>
        <v>Модуль "Профессиональная коммуникация". Информационные технологии в профессиональной деятельности</v>
      </c>
      <c r="J713" s="59">
        <f>Данные!J713</f>
        <v>0</v>
      </c>
      <c r="K713" s="59">
        <f>Данные!K713</f>
        <v>0</v>
      </c>
      <c r="L713" s="59">
        <f>Данные!L713</f>
        <v>24</v>
      </c>
      <c r="M713" s="60">
        <f t="shared" si="99"/>
        <v>2.4</v>
      </c>
      <c r="N713" s="60">
        <f t="shared" ca="1" si="100"/>
        <v>6.62</v>
      </c>
      <c r="O713" s="60">
        <f t="shared" ca="1" si="101"/>
        <v>3.5</v>
      </c>
      <c r="P713" s="60">
        <f t="shared" ca="1" si="102"/>
        <v>3.5</v>
      </c>
      <c r="Q713" s="54">
        <f>Данные!Q713</f>
        <v>0</v>
      </c>
      <c r="R713" s="54">
        <f>Данные!R713</f>
        <v>0</v>
      </c>
      <c r="S713" s="54">
        <f>Данные!S713</f>
        <v>0</v>
      </c>
      <c r="T713" s="54">
        <f>Данные!T713</f>
        <v>0</v>
      </c>
      <c r="U713" s="54">
        <f>Данные!U713</f>
        <v>0</v>
      </c>
      <c r="V713" s="54">
        <f>Данные!V713</f>
        <v>0</v>
      </c>
      <c r="W713" s="54">
        <f ca="1">Данные!W713</f>
        <v>14</v>
      </c>
      <c r="X713" s="54" t="str">
        <f ca="1">Данные!X713</f>
        <v>1</v>
      </c>
      <c r="Y713" s="54" t="str">
        <f ca="1">Данные!Y713</f>
        <v>1</v>
      </c>
      <c r="Z713" s="54">
        <f>Данные!Z713</f>
        <v>0</v>
      </c>
      <c r="AA713" s="54" t="str">
        <f>Данные!AA713</f>
        <v>осн</v>
      </c>
      <c r="AB713" s="101">
        <f t="shared" si="103"/>
        <v>900</v>
      </c>
      <c r="AC713" s="101" t="str">
        <f t="shared" si="104"/>
        <v/>
      </c>
      <c r="AD713" s="101" t="str">
        <f t="shared" si="105"/>
        <v/>
      </c>
      <c r="AE713" s="102">
        <f t="shared" ca="1" si="106"/>
        <v>40.019999999999996</v>
      </c>
      <c r="AF713" s="103">
        <f t="shared" ca="1" si="107"/>
        <v>4.4466666666666661E-2</v>
      </c>
      <c r="AG713" s="101"/>
      <c r="AH713" s="101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Q713" s="72">
        <v>0</v>
      </c>
      <c r="BR713" s="72">
        <v>0</v>
      </c>
      <c r="BS713" s="72">
        <v>0</v>
      </c>
      <c r="BT713" s="72">
        <v>0</v>
      </c>
      <c r="BU713" s="72">
        <v>0</v>
      </c>
      <c r="BV713" s="72">
        <v>0</v>
      </c>
      <c r="BW713" s="72">
        <v>0</v>
      </c>
      <c r="BX713" s="72">
        <v>0</v>
      </c>
      <c r="BY713" s="72">
        <v>0</v>
      </c>
      <c r="BZ713" s="72">
        <v>0</v>
      </c>
      <c r="CA713" s="72">
        <v>0</v>
      </c>
      <c r="CB713" s="72">
        <v>0</v>
      </c>
      <c r="CC713" s="72">
        <v>0</v>
      </c>
      <c r="CD713" s="72">
        <v>0</v>
      </c>
      <c r="CE713" s="72">
        <v>0</v>
      </c>
      <c r="CF713" s="72">
        <v>0</v>
      </c>
      <c r="CG713" s="72">
        <v>0</v>
      </c>
      <c r="CH713" s="72">
        <v>0</v>
      </c>
      <c r="CI713" s="72">
        <v>0</v>
      </c>
      <c r="CJ713" s="72">
        <v>0</v>
      </c>
      <c r="CK713" s="72">
        <v>0</v>
      </c>
      <c r="CL713" s="72">
        <v>0</v>
      </c>
      <c r="CM713" s="72">
        <v>0</v>
      </c>
      <c r="CN713" s="72">
        <v>0</v>
      </c>
      <c r="CO713" s="72">
        <v>0</v>
      </c>
      <c r="CP713" s="72">
        <v>0</v>
      </c>
      <c r="CQ713" s="72">
        <v>0</v>
      </c>
      <c r="CR713" s="72">
        <v>0</v>
      </c>
      <c r="CS713" s="72">
        <v>0</v>
      </c>
      <c r="CT713" s="72">
        <v>0</v>
      </c>
      <c r="CU713" s="72">
        <v>0</v>
      </c>
      <c r="CV713" s="72">
        <v>0</v>
      </c>
      <c r="CW713" s="72">
        <v>0</v>
      </c>
      <c r="CX713" s="72">
        <v>0</v>
      </c>
      <c r="CY713" s="72">
        <v>0</v>
      </c>
      <c r="CZ713" s="72">
        <v>0</v>
      </c>
      <c r="DA713" s="72">
        <v>0</v>
      </c>
      <c r="DB713" s="72">
        <v>0</v>
      </c>
      <c r="DC713" s="72">
        <v>0</v>
      </c>
      <c r="DD713" s="72">
        <v>0</v>
      </c>
      <c r="DE713" s="72">
        <v>0</v>
      </c>
      <c r="DF713" s="72">
        <v>0</v>
      </c>
      <c r="DG713" s="72">
        <v>0</v>
      </c>
      <c r="DH713" s="72">
        <v>0</v>
      </c>
      <c r="DI713" s="72">
        <v>0</v>
      </c>
      <c r="DJ713" s="72">
        <v>0</v>
      </c>
      <c r="DK713" s="72">
        <v>0</v>
      </c>
      <c r="DL713" s="72">
        <v>0</v>
      </c>
      <c r="DM713" s="72">
        <v>0</v>
      </c>
      <c r="DN713" s="72">
        <v>0</v>
      </c>
      <c r="DO713" s="72">
        <v>0</v>
      </c>
      <c r="DP713" s="72">
        <v>0</v>
      </c>
      <c r="DQ713" s="72">
        <v>0</v>
      </c>
      <c r="DR713" s="72">
        <v>0</v>
      </c>
      <c r="DS713" s="72">
        <v>0</v>
      </c>
      <c r="DT713" s="72">
        <v>0</v>
      </c>
      <c r="DU713" s="72">
        <v>0</v>
      </c>
      <c r="DV713" s="72">
        <v>0</v>
      </c>
      <c r="DW713" s="72">
        <v>0</v>
      </c>
      <c r="DX713" s="72">
        <v>0</v>
      </c>
      <c r="DY713" s="72">
        <v>0</v>
      </c>
      <c r="DZ713" s="72">
        <v>0</v>
      </c>
      <c r="EA713" s="72">
        <v>0</v>
      </c>
      <c r="EB713" s="72">
        <v>0</v>
      </c>
      <c r="EC713" s="72">
        <v>0</v>
      </c>
      <c r="ED713" s="72">
        <v>0</v>
      </c>
      <c r="EE713" s="72">
        <v>0</v>
      </c>
      <c r="EF713" s="72">
        <v>0</v>
      </c>
      <c r="EG713" s="72">
        <v>0</v>
      </c>
      <c r="EH713" s="72">
        <v>0</v>
      </c>
      <c r="EI713" s="72">
        <v>0</v>
      </c>
      <c r="EJ713" s="72">
        <v>0</v>
      </c>
      <c r="EK713" s="72">
        <v>0</v>
      </c>
      <c r="EL713" s="72">
        <v>0</v>
      </c>
    </row>
    <row r="714" spans="1:142" x14ac:dyDescent="0.35">
      <c r="A714" s="59">
        <f>Данные!A714</f>
        <v>6369</v>
      </c>
      <c r="B714" s="59">
        <f>Данные!B714</f>
        <v>2018</v>
      </c>
      <c r="C714" s="59" t="str">
        <f>Данные!C714</f>
        <v>компьютерных технологий и электронного обучения</v>
      </c>
      <c r="D714" s="59" t="str">
        <f>Данные!D714</f>
        <v>Жуков Николай Николаевич</v>
      </c>
      <c r="E714" s="59" t="str">
        <f>Данные!E714</f>
        <v>нет</v>
      </c>
      <c r="F714" s="59" t="str">
        <f>Данные!F714</f>
        <v>ассистент</v>
      </c>
      <c r="G714" s="59">
        <f>Данные!G714</f>
        <v>1</v>
      </c>
      <c r="H714" s="59">
        <f>Данные!H714</f>
        <v>17047</v>
      </c>
      <c r="I714" s="59" t="str">
        <f>Данные!I714</f>
        <v>Модуль "Профессиональная коммуникация". Информационные технологии в профессиональной деятельности</v>
      </c>
      <c r="J714" s="59">
        <f>Данные!J714</f>
        <v>0</v>
      </c>
      <c r="K714" s="59">
        <f>Данные!K714</f>
        <v>6</v>
      </c>
      <c r="L714" s="59">
        <f>Данные!L714</f>
        <v>0</v>
      </c>
      <c r="M714" s="60">
        <f t="shared" si="99"/>
        <v>0.6</v>
      </c>
      <c r="N714" s="60">
        <f t="shared" ca="1" si="100"/>
        <v>6.62</v>
      </c>
      <c r="O714" s="60">
        <f t="shared" ca="1" si="101"/>
        <v>3.5</v>
      </c>
      <c r="P714" s="60">
        <f t="shared" ca="1" si="102"/>
        <v>3.5</v>
      </c>
      <c r="Q714" s="54">
        <f>Данные!Q714</f>
        <v>0</v>
      </c>
      <c r="R714" s="54">
        <f>Данные!R714</f>
        <v>0</v>
      </c>
      <c r="S714" s="54">
        <f>Данные!S714</f>
        <v>0</v>
      </c>
      <c r="T714" s="54">
        <f>Данные!T714</f>
        <v>0</v>
      </c>
      <c r="U714" s="54">
        <f>Данные!U714</f>
        <v>0</v>
      </c>
      <c r="V714" s="54">
        <f>Данные!V714</f>
        <v>0</v>
      </c>
      <c r="W714" s="54">
        <f ca="1">Данные!W714</f>
        <v>14</v>
      </c>
      <c r="X714" s="54" t="str">
        <f ca="1">Данные!X714</f>
        <v>1</v>
      </c>
      <c r="Y714" s="54" t="str">
        <f ca="1">Данные!Y714</f>
        <v>1</v>
      </c>
      <c r="Z714" s="54">
        <f>Данные!Z714</f>
        <v>0</v>
      </c>
      <c r="AA714" s="54" t="str">
        <f>Данные!AA714</f>
        <v>осн</v>
      </c>
      <c r="AB714" s="101">
        <f t="shared" si="103"/>
        <v>900</v>
      </c>
      <c r="AC714" s="101" t="str">
        <f t="shared" si="104"/>
        <v/>
      </c>
      <c r="AD714" s="101" t="str">
        <f t="shared" si="105"/>
        <v/>
      </c>
      <c r="AE714" s="102">
        <f t="shared" ca="1" si="106"/>
        <v>20.22</v>
      </c>
      <c r="AF714" s="103">
        <f t="shared" ca="1" si="107"/>
        <v>2.2466666666666666E-2</v>
      </c>
      <c r="AG714" s="101"/>
      <c r="AH714" s="101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Q714" s="72">
        <v>0</v>
      </c>
      <c r="BR714" s="72">
        <v>0</v>
      </c>
      <c r="BS714" s="72">
        <v>0</v>
      </c>
      <c r="BT714" s="72">
        <v>0</v>
      </c>
      <c r="BU714" s="72">
        <v>0</v>
      </c>
      <c r="BV714" s="72">
        <v>0</v>
      </c>
      <c r="BW714" s="72">
        <v>0</v>
      </c>
      <c r="BX714" s="72">
        <v>0</v>
      </c>
      <c r="BY714" s="72">
        <v>0</v>
      </c>
      <c r="BZ714" s="72">
        <v>0</v>
      </c>
      <c r="CA714" s="72">
        <v>0</v>
      </c>
      <c r="CB714" s="72">
        <v>0</v>
      </c>
      <c r="CC714" s="72">
        <v>0</v>
      </c>
      <c r="CD714" s="72">
        <v>0</v>
      </c>
      <c r="CE714" s="72">
        <v>0</v>
      </c>
      <c r="CF714" s="72">
        <v>0</v>
      </c>
      <c r="CG714" s="72">
        <v>0</v>
      </c>
      <c r="CH714" s="72">
        <v>0</v>
      </c>
      <c r="CI714" s="72">
        <v>0</v>
      </c>
      <c r="CJ714" s="72">
        <v>0</v>
      </c>
      <c r="CK714" s="72">
        <v>0</v>
      </c>
      <c r="CL714" s="72">
        <v>0</v>
      </c>
      <c r="CM714" s="72">
        <v>0</v>
      </c>
      <c r="CN714" s="72">
        <v>0</v>
      </c>
      <c r="CO714" s="72">
        <v>0</v>
      </c>
      <c r="CP714" s="72">
        <v>0</v>
      </c>
      <c r="CQ714" s="72">
        <v>0</v>
      </c>
      <c r="CR714" s="72">
        <v>0</v>
      </c>
      <c r="CS714" s="72">
        <v>0</v>
      </c>
      <c r="CT714" s="72">
        <v>0</v>
      </c>
      <c r="CU714" s="72">
        <v>0</v>
      </c>
      <c r="CV714" s="72">
        <v>0</v>
      </c>
      <c r="CW714" s="72">
        <v>0</v>
      </c>
      <c r="CX714" s="72">
        <v>0</v>
      </c>
      <c r="CY714" s="72">
        <v>0</v>
      </c>
      <c r="CZ714" s="72">
        <v>0</v>
      </c>
      <c r="DA714" s="72">
        <v>0</v>
      </c>
      <c r="DB714" s="72">
        <v>0</v>
      </c>
      <c r="DC714" s="72">
        <v>0</v>
      </c>
      <c r="DD714" s="72">
        <v>0</v>
      </c>
      <c r="DE714" s="72">
        <v>0</v>
      </c>
      <c r="DF714" s="72">
        <v>0</v>
      </c>
      <c r="DG714" s="72">
        <v>0</v>
      </c>
      <c r="DH714" s="72">
        <v>0</v>
      </c>
      <c r="DI714" s="72">
        <v>0</v>
      </c>
      <c r="DJ714" s="72">
        <v>0</v>
      </c>
      <c r="DK714" s="72">
        <v>0</v>
      </c>
      <c r="DL714" s="72">
        <v>0</v>
      </c>
      <c r="DM714" s="72">
        <v>0</v>
      </c>
      <c r="DN714" s="72">
        <v>0</v>
      </c>
      <c r="DO714" s="72">
        <v>0</v>
      </c>
      <c r="DP714" s="72">
        <v>0</v>
      </c>
      <c r="DQ714" s="72">
        <v>0</v>
      </c>
      <c r="DR714" s="72">
        <v>0</v>
      </c>
      <c r="DS714" s="72">
        <v>0</v>
      </c>
      <c r="DT714" s="72">
        <v>0</v>
      </c>
      <c r="DU714" s="72">
        <v>0</v>
      </c>
      <c r="DV714" s="72">
        <v>0</v>
      </c>
      <c r="DW714" s="72">
        <v>0</v>
      </c>
      <c r="DX714" s="72">
        <v>0</v>
      </c>
      <c r="DY714" s="72">
        <v>0</v>
      </c>
      <c r="DZ714" s="72">
        <v>0</v>
      </c>
      <c r="EA714" s="72">
        <v>0</v>
      </c>
      <c r="EB714" s="72">
        <v>0</v>
      </c>
      <c r="EC714" s="72">
        <v>0</v>
      </c>
      <c r="ED714" s="72">
        <v>0</v>
      </c>
      <c r="EE714" s="72">
        <v>0</v>
      </c>
      <c r="EF714" s="72">
        <v>0</v>
      </c>
      <c r="EG714" s="72">
        <v>0</v>
      </c>
      <c r="EH714" s="72">
        <v>0</v>
      </c>
      <c r="EI714" s="72">
        <v>0</v>
      </c>
      <c r="EJ714" s="72">
        <v>0</v>
      </c>
      <c r="EK714" s="72">
        <v>0</v>
      </c>
      <c r="EL714" s="72">
        <v>0</v>
      </c>
    </row>
    <row r="715" spans="1:142" x14ac:dyDescent="0.35">
      <c r="A715" s="59">
        <f>Данные!A715</f>
        <v>6370</v>
      </c>
      <c r="B715" s="59">
        <f>Данные!B715</f>
        <v>2018</v>
      </c>
      <c r="C715" s="59" t="str">
        <f>Данные!C715</f>
        <v>компьютерных технологий и электронного обучения</v>
      </c>
      <c r="D715" s="59" t="str">
        <f>Данные!D715</f>
        <v>Абрамян Геннадий Владимирович</v>
      </c>
      <c r="E715" s="59" t="str">
        <f>Данные!E715</f>
        <v>доктор педагогических наук</v>
      </c>
      <c r="F715" s="59" t="str">
        <f>Данные!F715</f>
        <v>профессор</v>
      </c>
      <c r="G715" s="59">
        <f>Данные!G715</f>
        <v>1</v>
      </c>
      <c r="H715" s="59">
        <f>Данные!H715</f>
        <v>17048</v>
      </c>
      <c r="I715" s="59" t="str">
        <f>Данные!I715</f>
        <v>Научно-исследовательская работа. Педагогическое образование. Магистерская программа "Корпоративное электронное обучение"</v>
      </c>
      <c r="J715" s="59">
        <f>Данные!J715</f>
        <v>0</v>
      </c>
      <c r="K715" s="59">
        <f>Данные!K715</f>
        <v>0</v>
      </c>
      <c r="L715" s="59">
        <f>Данные!L715</f>
        <v>0</v>
      </c>
      <c r="M715" s="60">
        <f t="shared" si="99"/>
        <v>0</v>
      </c>
      <c r="N715" s="60">
        <f t="shared" ca="1" si="100"/>
        <v>5.3000000000000007</v>
      </c>
      <c r="O715" s="60">
        <f t="shared" ca="1" si="101"/>
        <v>2.5</v>
      </c>
      <c r="P715" s="60">
        <f t="shared" ca="1" si="102"/>
        <v>2.5</v>
      </c>
      <c r="Q715" s="54">
        <f>Данные!Q715</f>
        <v>0</v>
      </c>
      <c r="R715" s="54">
        <f>Данные!R715</f>
        <v>0</v>
      </c>
      <c r="S715" s="54">
        <f>Данные!S715</f>
        <v>0</v>
      </c>
      <c r="T715" s="54">
        <f>Данные!T715</f>
        <v>0</v>
      </c>
      <c r="U715" s="54">
        <f>Данные!U715</f>
        <v>8</v>
      </c>
      <c r="V715" s="54">
        <f>Данные!V715</f>
        <v>0</v>
      </c>
      <c r="W715" s="54">
        <f ca="1">Данные!W715</f>
        <v>10</v>
      </c>
      <c r="X715" s="54" t="str">
        <f ca="1">Данные!X715</f>
        <v>1</v>
      </c>
      <c r="Y715" s="54" t="str">
        <f ca="1">Данные!Y715</f>
        <v>1</v>
      </c>
      <c r="Z715" s="54">
        <f>Данные!Z715</f>
        <v>0</v>
      </c>
      <c r="AA715" s="54" t="str">
        <f>Данные!AA715</f>
        <v>осн</v>
      </c>
      <c r="AB715" s="101">
        <f t="shared" si="103"/>
        <v>750</v>
      </c>
      <c r="AC715" s="101" t="str">
        <f t="shared" si="104"/>
        <v>КЭО (маг)</v>
      </c>
      <c r="AD715" s="101" t="str">
        <f t="shared" si="105"/>
        <v/>
      </c>
      <c r="AE715" s="102">
        <f t="shared" ca="1" si="106"/>
        <v>18.3</v>
      </c>
      <c r="AF715" s="103">
        <f t="shared" ca="1" si="107"/>
        <v>2.4400000000000002E-2</v>
      </c>
      <c r="AG715" s="101"/>
      <c r="AH715" s="101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Q715" s="72">
        <v>0</v>
      </c>
      <c r="BR715" s="72">
        <v>0</v>
      </c>
      <c r="BS715" s="72">
        <v>0</v>
      </c>
      <c r="BT715" s="72">
        <v>0</v>
      </c>
      <c r="BU715" s="72">
        <v>0</v>
      </c>
      <c r="BV715" s="72">
        <v>0</v>
      </c>
      <c r="BW715" s="72">
        <v>0</v>
      </c>
      <c r="BX715" s="72">
        <v>0</v>
      </c>
      <c r="BY715" s="72">
        <v>0</v>
      </c>
      <c r="BZ715" s="72">
        <v>0</v>
      </c>
      <c r="CA715" s="72">
        <v>0</v>
      </c>
      <c r="CB715" s="72">
        <v>0</v>
      </c>
      <c r="CC715" s="72">
        <v>0</v>
      </c>
      <c r="CD715" s="72">
        <v>0</v>
      </c>
      <c r="CE715" s="72">
        <v>0</v>
      </c>
      <c r="CF715" s="72">
        <v>0</v>
      </c>
      <c r="CG715" s="72">
        <v>0</v>
      </c>
      <c r="CH715" s="72">
        <v>0</v>
      </c>
      <c r="CI715" s="72">
        <v>0</v>
      </c>
      <c r="CJ715" s="72">
        <v>0</v>
      </c>
      <c r="CK715" s="72">
        <v>0</v>
      </c>
      <c r="CL715" s="72">
        <v>0</v>
      </c>
      <c r="CM715" s="72">
        <v>0</v>
      </c>
      <c r="CN715" s="72">
        <v>0</v>
      </c>
      <c r="CO715" s="72">
        <v>0</v>
      </c>
      <c r="CP715" s="72">
        <v>0</v>
      </c>
      <c r="CQ715" s="72">
        <v>0</v>
      </c>
      <c r="CR715" s="72">
        <v>0</v>
      </c>
      <c r="CS715" s="72">
        <v>0</v>
      </c>
      <c r="CT715" s="72">
        <v>0</v>
      </c>
      <c r="CU715" s="72">
        <v>0</v>
      </c>
      <c r="CV715" s="72">
        <v>0</v>
      </c>
      <c r="CW715" s="72">
        <v>0</v>
      </c>
      <c r="CX715" s="72">
        <v>0</v>
      </c>
      <c r="CY715" s="72">
        <v>0</v>
      </c>
      <c r="CZ715" s="72">
        <v>0</v>
      </c>
      <c r="DA715" s="72">
        <v>0</v>
      </c>
      <c r="DB715" s="72">
        <v>0</v>
      </c>
      <c r="DC715" s="72">
        <v>0</v>
      </c>
      <c r="DD715" s="72">
        <v>0</v>
      </c>
      <c r="DE715" s="72">
        <v>0</v>
      </c>
      <c r="DF715" s="72">
        <v>0</v>
      </c>
      <c r="DG715" s="72">
        <v>0</v>
      </c>
      <c r="DH715" s="72">
        <v>0</v>
      </c>
      <c r="DI715" s="72">
        <v>0</v>
      </c>
      <c r="DJ715" s="72">
        <v>0</v>
      </c>
      <c r="DK715" s="72">
        <v>0</v>
      </c>
      <c r="DL715" s="72">
        <v>0</v>
      </c>
      <c r="DM715" s="72">
        <v>0</v>
      </c>
      <c r="DN715" s="72">
        <v>0</v>
      </c>
      <c r="DO715" s="72">
        <v>0</v>
      </c>
      <c r="DP715" s="72">
        <v>0</v>
      </c>
      <c r="DQ715" s="72">
        <v>0</v>
      </c>
      <c r="DR715" s="72">
        <v>0</v>
      </c>
      <c r="DS715" s="72">
        <v>0</v>
      </c>
      <c r="DT715" s="72">
        <v>0</v>
      </c>
      <c r="DU715" s="72">
        <v>0</v>
      </c>
      <c r="DV715" s="72">
        <v>0</v>
      </c>
      <c r="DW715" s="72">
        <v>0</v>
      </c>
      <c r="DX715" s="72">
        <v>0</v>
      </c>
      <c r="DY715" s="72">
        <v>0</v>
      </c>
      <c r="DZ715" s="72">
        <v>0</v>
      </c>
      <c r="EA715" s="72">
        <v>0</v>
      </c>
      <c r="EB715" s="72">
        <v>0</v>
      </c>
      <c r="EC715" s="72">
        <v>0</v>
      </c>
      <c r="ED715" s="72">
        <v>0</v>
      </c>
      <c r="EE715" s="72">
        <v>0</v>
      </c>
      <c r="EF715" s="72">
        <v>0</v>
      </c>
      <c r="EG715" s="72">
        <v>0</v>
      </c>
      <c r="EH715" s="72">
        <v>0</v>
      </c>
      <c r="EI715" s="72">
        <v>0</v>
      </c>
      <c r="EJ715" s="72">
        <v>0</v>
      </c>
      <c r="EK715" s="72">
        <v>0</v>
      </c>
      <c r="EL715" s="72">
        <v>0</v>
      </c>
    </row>
    <row r="716" spans="1:142" x14ac:dyDescent="0.35">
      <c r="A716" s="59">
        <f>Данные!A716</f>
        <v>6370</v>
      </c>
      <c r="B716" s="59">
        <f>Данные!B716</f>
        <v>2018</v>
      </c>
      <c r="C716" s="59" t="str">
        <f>Данные!C716</f>
        <v>компьютерных технологий и электронного обучения</v>
      </c>
      <c r="D716" s="59" t="str">
        <f>Данные!D716</f>
        <v>Абрамян Геннадий Владимирович</v>
      </c>
      <c r="E716" s="59" t="str">
        <f>Данные!E716</f>
        <v>доктор педагогических наук</v>
      </c>
      <c r="F716" s="59" t="str">
        <f>Данные!F716</f>
        <v>профессор</v>
      </c>
      <c r="G716" s="59">
        <f>Данные!G716</f>
        <v>1</v>
      </c>
      <c r="H716" s="59">
        <f>Данные!H716</f>
        <v>17048</v>
      </c>
      <c r="I716" s="59" t="str">
        <f>Данные!I716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16" s="59">
        <f>Данные!J716</f>
        <v>0</v>
      </c>
      <c r="K716" s="59">
        <f>Данные!K716</f>
        <v>0</v>
      </c>
      <c r="L716" s="59">
        <f>Данные!L716</f>
        <v>0</v>
      </c>
      <c r="M716" s="60">
        <f t="shared" si="99"/>
        <v>0</v>
      </c>
      <c r="N716" s="60">
        <f t="shared" ca="1" si="100"/>
        <v>5.3000000000000007</v>
      </c>
      <c r="O716" s="60">
        <f t="shared" ca="1" si="101"/>
        <v>2.5</v>
      </c>
      <c r="P716" s="60">
        <f t="shared" ca="1" si="102"/>
        <v>2.5</v>
      </c>
      <c r="Q716" s="54">
        <f>Данные!Q716</f>
        <v>0</v>
      </c>
      <c r="R716" s="54">
        <f>Данные!R716</f>
        <v>0</v>
      </c>
      <c r="S716" s="54">
        <f>Данные!S716</f>
        <v>0</v>
      </c>
      <c r="T716" s="54">
        <f>Данные!T716</f>
        <v>0</v>
      </c>
      <c r="U716" s="54">
        <f>Данные!U716</f>
        <v>5</v>
      </c>
      <c r="V716" s="54">
        <f>Данные!V716</f>
        <v>0</v>
      </c>
      <c r="W716" s="54">
        <f ca="1">Данные!W716</f>
        <v>10</v>
      </c>
      <c r="X716" s="54" t="str">
        <f ca="1">Данные!X716</f>
        <v>1</v>
      </c>
      <c r="Y716" s="54" t="str">
        <f ca="1">Данные!Y716</f>
        <v>1</v>
      </c>
      <c r="Z716" s="54">
        <f>Данные!Z716</f>
        <v>0</v>
      </c>
      <c r="AA716" s="54" t="str">
        <f>Данные!AA716</f>
        <v>доп</v>
      </c>
      <c r="AB716" s="101">
        <f t="shared" si="103"/>
        <v>750</v>
      </c>
      <c r="AC716" s="101" t="str">
        <f t="shared" si="104"/>
        <v>КЭО (маг)</v>
      </c>
      <c r="AD716" s="101" t="str">
        <f t="shared" si="105"/>
        <v/>
      </c>
      <c r="AE716" s="102">
        <f t="shared" ca="1" si="106"/>
        <v>15.3</v>
      </c>
      <c r="AF716" s="103">
        <f t="shared" ca="1" si="107"/>
        <v>2.0400000000000001E-2</v>
      </c>
      <c r="AG716" s="101"/>
      <c r="AH716" s="101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Q716" s="72">
        <v>0</v>
      </c>
      <c r="BR716" s="72">
        <v>0</v>
      </c>
      <c r="BS716" s="72">
        <v>0</v>
      </c>
      <c r="BT716" s="72">
        <v>0</v>
      </c>
      <c r="BU716" s="72">
        <v>0</v>
      </c>
      <c r="BV716" s="72">
        <v>0</v>
      </c>
      <c r="BW716" s="72">
        <v>0</v>
      </c>
      <c r="BX716" s="72">
        <v>0</v>
      </c>
      <c r="BY716" s="72">
        <v>0</v>
      </c>
      <c r="BZ716" s="72">
        <v>0</v>
      </c>
      <c r="CA716" s="72">
        <v>0</v>
      </c>
      <c r="CB716" s="72">
        <v>0</v>
      </c>
      <c r="CC716" s="72">
        <v>0</v>
      </c>
      <c r="CD716" s="72">
        <v>0</v>
      </c>
      <c r="CE716" s="72">
        <v>0</v>
      </c>
      <c r="CF716" s="72">
        <v>0</v>
      </c>
      <c r="CG716" s="72">
        <v>0</v>
      </c>
      <c r="CH716" s="72">
        <v>0</v>
      </c>
      <c r="CI716" s="72">
        <v>0</v>
      </c>
      <c r="CJ716" s="72">
        <v>0</v>
      </c>
      <c r="CK716" s="72">
        <v>0</v>
      </c>
      <c r="CL716" s="72">
        <v>0</v>
      </c>
      <c r="CM716" s="72">
        <v>0</v>
      </c>
      <c r="CN716" s="72">
        <v>0</v>
      </c>
      <c r="CO716" s="72">
        <v>0</v>
      </c>
      <c r="CP716" s="72">
        <v>0</v>
      </c>
      <c r="CQ716" s="72">
        <v>0</v>
      </c>
      <c r="CR716" s="72">
        <v>0</v>
      </c>
      <c r="CS716" s="72">
        <v>0</v>
      </c>
      <c r="CT716" s="72">
        <v>0</v>
      </c>
      <c r="CU716" s="72">
        <v>0</v>
      </c>
      <c r="CV716" s="72">
        <v>0</v>
      </c>
      <c r="CW716" s="72">
        <v>0</v>
      </c>
      <c r="CX716" s="72">
        <v>0</v>
      </c>
      <c r="CY716" s="72">
        <v>0</v>
      </c>
      <c r="CZ716" s="72">
        <v>0</v>
      </c>
      <c r="DA716" s="72">
        <v>0</v>
      </c>
      <c r="DB716" s="72">
        <v>0</v>
      </c>
      <c r="DC716" s="72">
        <v>0</v>
      </c>
      <c r="DD716" s="72">
        <v>0</v>
      </c>
      <c r="DE716" s="72">
        <v>0</v>
      </c>
      <c r="DF716" s="72">
        <v>0</v>
      </c>
      <c r="DG716" s="72">
        <v>0</v>
      </c>
      <c r="DH716" s="72">
        <v>0</v>
      </c>
      <c r="DI716" s="72">
        <v>0</v>
      </c>
      <c r="DJ716" s="72">
        <v>0</v>
      </c>
      <c r="DK716" s="72">
        <v>0</v>
      </c>
      <c r="DL716" s="72">
        <v>0</v>
      </c>
      <c r="DM716" s="72">
        <v>0</v>
      </c>
      <c r="DN716" s="72">
        <v>0</v>
      </c>
      <c r="DO716" s="72">
        <v>0</v>
      </c>
      <c r="DP716" s="72">
        <v>0</v>
      </c>
      <c r="DQ716" s="72">
        <v>0</v>
      </c>
      <c r="DR716" s="72">
        <v>0</v>
      </c>
      <c r="DS716" s="72">
        <v>0</v>
      </c>
      <c r="DT716" s="72">
        <v>0</v>
      </c>
      <c r="DU716" s="72">
        <v>0</v>
      </c>
      <c r="DV716" s="72">
        <v>0</v>
      </c>
      <c r="DW716" s="72">
        <v>0</v>
      </c>
      <c r="DX716" s="72">
        <v>0</v>
      </c>
      <c r="DY716" s="72">
        <v>0</v>
      </c>
      <c r="DZ716" s="72">
        <v>0</v>
      </c>
      <c r="EA716" s="72">
        <v>0</v>
      </c>
      <c r="EB716" s="72">
        <v>0</v>
      </c>
      <c r="EC716" s="72">
        <v>0</v>
      </c>
      <c r="ED716" s="72">
        <v>0</v>
      </c>
      <c r="EE716" s="72">
        <v>0</v>
      </c>
      <c r="EF716" s="72">
        <v>0</v>
      </c>
      <c r="EG716" s="72">
        <v>0</v>
      </c>
      <c r="EH716" s="72">
        <v>0</v>
      </c>
      <c r="EI716" s="72">
        <v>0</v>
      </c>
      <c r="EJ716" s="72">
        <v>0</v>
      </c>
      <c r="EK716" s="72">
        <v>0</v>
      </c>
      <c r="EL716" s="72">
        <v>0</v>
      </c>
    </row>
    <row r="717" spans="1:142" x14ac:dyDescent="0.35">
      <c r="A717" s="59">
        <f>Данные!A717</f>
        <v>6370</v>
      </c>
      <c r="B717" s="59">
        <f>Данные!B717</f>
        <v>2018</v>
      </c>
      <c r="C717" s="59" t="str">
        <f>Данные!C717</f>
        <v>компьютерных технологий и электронного обучения</v>
      </c>
      <c r="D717" s="59" t="str">
        <f>Данные!D717</f>
        <v>Абрамян Геннадий Владимирович</v>
      </c>
      <c r="E717" s="59" t="str">
        <f>Данные!E717</f>
        <v>доктор педагогических наук</v>
      </c>
      <c r="F717" s="59" t="str">
        <f>Данные!F717</f>
        <v>профессор</v>
      </c>
      <c r="G717" s="59">
        <f>Данные!G717</f>
        <v>1</v>
      </c>
      <c r="H717" s="59">
        <f>Данные!H717</f>
        <v>17048</v>
      </c>
      <c r="I717" s="59" t="str">
        <f>Данные!I717</f>
        <v>Руководство ВКР (магистерская диссертация)</v>
      </c>
      <c r="J717" s="59">
        <f>Данные!J717</f>
        <v>0</v>
      </c>
      <c r="K717" s="59">
        <f>Данные!K717</f>
        <v>0</v>
      </c>
      <c r="L717" s="59">
        <f>Данные!L717</f>
        <v>0</v>
      </c>
      <c r="M717" s="60">
        <f t="shared" si="99"/>
        <v>0</v>
      </c>
      <c r="N717" s="60">
        <f t="shared" ca="1" si="100"/>
        <v>5.3000000000000007</v>
      </c>
      <c r="O717" s="60">
        <f t="shared" ca="1" si="101"/>
        <v>2.5</v>
      </c>
      <c r="P717" s="60">
        <f t="shared" ca="1" si="102"/>
        <v>2.5</v>
      </c>
      <c r="Q717" s="54">
        <f>Данные!Q717</f>
        <v>0</v>
      </c>
      <c r="R717" s="54">
        <f>Данные!R717</f>
        <v>0</v>
      </c>
      <c r="S717" s="54">
        <f>Данные!S717</f>
        <v>0</v>
      </c>
      <c r="T717" s="54">
        <f>Данные!T717</f>
        <v>0</v>
      </c>
      <c r="U717" s="54">
        <f>Данные!U717</f>
        <v>0</v>
      </c>
      <c r="V717" s="54">
        <f>Данные!V717</f>
        <v>18</v>
      </c>
      <c r="W717" s="54">
        <f ca="1">Данные!W717</f>
        <v>10</v>
      </c>
      <c r="X717" s="54" t="str">
        <f ca="1">Данные!X717</f>
        <v>1</v>
      </c>
      <c r="Y717" s="54" t="str">
        <f ca="1">Данные!Y717</f>
        <v>1</v>
      </c>
      <c r="Z717" s="54">
        <f>Данные!Z717</f>
        <v>0</v>
      </c>
      <c r="AA717" s="54" t="str">
        <f>Данные!AA717</f>
        <v>осн</v>
      </c>
      <c r="AB717" s="101">
        <f t="shared" si="103"/>
        <v>750</v>
      </c>
      <c r="AC717" s="101" t="str">
        <f t="shared" si="104"/>
        <v>КЭО (маг)</v>
      </c>
      <c r="AD717" s="101" t="str">
        <f t="shared" si="105"/>
        <v/>
      </c>
      <c r="AE717" s="102">
        <f t="shared" ca="1" si="106"/>
        <v>28.3</v>
      </c>
      <c r="AF717" s="103">
        <f t="shared" ca="1" si="107"/>
        <v>3.7733333333333334E-2</v>
      </c>
      <c r="AG717" s="101"/>
      <c r="AH717" s="101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Q717" s="72">
        <v>0</v>
      </c>
      <c r="BR717" s="72">
        <v>0</v>
      </c>
      <c r="BS717" s="72">
        <v>0</v>
      </c>
      <c r="BT717" s="72">
        <v>0</v>
      </c>
      <c r="BU717" s="72">
        <v>0</v>
      </c>
      <c r="BV717" s="72">
        <v>0</v>
      </c>
      <c r="BW717" s="72">
        <v>0</v>
      </c>
      <c r="BX717" s="72">
        <v>0</v>
      </c>
      <c r="BY717" s="72">
        <v>0</v>
      </c>
      <c r="BZ717" s="72">
        <v>0</v>
      </c>
      <c r="CA717" s="72">
        <v>0</v>
      </c>
      <c r="CB717" s="72">
        <v>0</v>
      </c>
      <c r="CC717" s="72">
        <v>0</v>
      </c>
      <c r="CD717" s="72">
        <v>0</v>
      </c>
      <c r="CE717" s="72">
        <v>0</v>
      </c>
      <c r="CF717" s="72">
        <v>0</v>
      </c>
      <c r="CG717" s="72">
        <v>0</v>
      </c>
      <c r="CH717" s="72">
        <v>0</v>
      </c>
      <c r="CI717" s="72">
        <v>0</v>
      </c>
      <c r="CJ717" s="72">
        <v>0</v>
      </c>
      <c r="CK717" s="72">
        <v>0</v>
      </c>
      <c r="CL717" s="72">
        <v>0</v>
      </c>
      <c r="CM717" s="72">
        <v>0</v>
      </c>
      <c r="CN717" s="72">
        <v>0</v>
      </c>
      <c r="CO717" s="72">
        <v>0</v>
      </c>
      <c r="CP717" s="72">
        <v>0</v>
      </c>
      <c r="CQ717" s="72">
        <v>0</v>
      </c>
      <c r="CR717" s="72">
        <v>0</v>
      </c>
      <c r="CS717" s="72">
        <v>0</v>
      </c>
      <c r="CT717" s="72">
        <v>0</v>
      </c>
      <c r="CU717" s="72">
        <v>0</v>
      </c>
      <c r="CV717" s="72">
        <v>0</v>
      </c>
      <c r="CW717" s="72">
        <v>0</v>
      </c>
      <c r="CX717" s="72">
        <v>0</v>
      </c>
      <c r="CY717" s="72">
        <v>0</v>
      </c>
      <c r="CZ717" s="72">
        <v>0</v>
      </c>
      <c r="DA717" s="72">
        <v>0</v>
      </c>
      <c r="DB717" s="72">
        <v>0</v>
      </c>
      <c r="DC717" s="72">
        <v>0</v>
      </c>
      <c r="DD717" s="72">
        <v>0</v>
      </c>
      <c r="DE717" s="72">
        <v>0</v>
      </c>
      <c r="DF717" s="72">
        <v>0</v>
      </c>
      <c r="DG717" s="72">
        <v>0</v>
      </c>
      <c r="DH717" s="72">
        <v>0</v>
      </c>
      <c r="DI717" s="72">
        <v>0</v>
      </c>
      <c r="DJ717" s="72">
        <v>0</v>
      </c>
      <c r="DK717" s="72">
        <v>0</v>
      </c>
      <c r="DL717" s="72">
        <v>0</v>
      </c>
      <c r="DM717" s="72">
        <v>0</v>
      </c>
      <c r="DN717" s="72">
        <v>0</v>
      </c>
      <c r="DO717" s="72">
        <v>0</v>
      </c>
      <c r="DP717" s="72">
        <v>0</v>
      </c>
      <c r="DQ717" s="72">
        <v>0</v>
      </c>
      <c r="DR717" s="72">
        <v>0</v>
      </c>
      <c r="DS717" s="72">
        <v>0</v>
      </c>
      <c r="DT717" s="72">
        <v>0</v>
      </c>
      <c r="DU717" s="72">
        <v>0</v>
      </c>
      <c r="DV717" s="72">
        <v>0</v>
      </c>
      <c r="DW717" s="72">
        <v>0</v>
      </c>
      <c r="DX717" s="72">
        <v>0</v>
      </c>
      <c r="DY717" s="72">
        <v>0</v>
      </c>
      <c r="DZ717" s="72">
        <v>0</v>
      </c>
      <c r="EA717" s="72">
        <v>0</v>
      </c>
      <c r="EB717" s="72">
        <v>0</v>
      </c>
      <c r="EC717" s="72">
        <v>0</v>
      </c>
      <c r="ED717" s="72">
        <v>0</v>
      </c>
      <c r="EE717" s="72">
        <v>0</v>
      </c>
      <c r="EF717" s="72">
        <v>0</v>
      </c>
      <c r="EG717" s="72">
        <v>0</v>
      </c>
      <c r="EH717" s="72">
        <v>0</v>
      </c>
      <c r="EI717" s="72">
        <v>0</v>
      </c>
      <c r="EJ717" s="72">
        <v>0</v>
      </c>
      <c r="EK717" s="72">
        <v>0</v>
      </c>
      <c r="EL717" s="72">
        <v>0</v>
      </c>
    </row>
    <row r="718" spans="1:142" x14ac:dyDescent="0.35">
      <c r="A718" s="59">
        <f>Данные!A718</f>
        <v>6370</v>
      </c>
      <c r="B718" s="59">
        <f>Данные!B718</f>
        <v>2018</v>
      </c>
      <c r="C718" s="59" t="str">
        <f>Данные!C718</f>
        <v>компьютерных технологий и электронного обучения</v>
      </c>
      <c r="D718" s="59" t="str">
        <f>Данные!D718</f>
        <v>Авксентьева Елена Юрьевна</v>
      </c>
      <c r="E718" s="59" t="str">
        <f>Данные!E718</f>
        <v>кандидат педагогических наук</v>
      </c>
      <c r="F718" s="59" t="str">
        <f>Данные!F718</f>
        <v>доцент</v>
      </c>
      <c r="G718" s="59">
        <f>Данные!G718</f>
        <v>1</v>
      </c>
      <c r="H718" s="59">
        <f>Данные!H718</f>
        <v>17048</v>
      </c>
      <c r="I718" s="59" t="str">
        <f>Данные!I718</f>
        <v>Научно-исследовательская работа. Педагогическое образование. Магистерская программа "Корпоративное электронное обучение"</v>
      </c>
      <c r="J718" s="59">
        <f>Данные!J718</f>
        <v>0</v>
      </c>
      <c r="K718" s="59">
        <f>Данные!K718</f>
        <v>0</v>
      </c>
      <c r="L718" s="59">
        <f>Данные!L718</f>
        <v>0</v>
      </c>
      <c r="M718" s="60">
        <f t="shared" si="99"/>
        <v>0</v>
      </c>
      <c r="N718" s="60">
        <f t="shared" ca="1" si="100"/>
        <v>5.3000000000000007</v>
      </c>
      <c r="O718" s="60">
        <f t="shared" ca="1" si="101"/>
        <v>2.5</v>
      </c>
      <c r="P718" s="60">
        <f t="shared" ca="1" si="102"/>
        <v>2.5</v>
      </c>
      <c r="Q718" s="54">
        <f>Данные!Q718</f>
        <v>0</v>
      </c>
      <c r="R718" s="54">
        <f>Данные!R718</f>
        <v>0</v>
      </c>
      <c r="S718" s="54">
        <f>Данные!S718</f>
        <v>0</v>
      </c>
      <c r="T718" s="54">
        <f>Данные!T718</f>
        <v>0</v>
      </c>
      <c r="U718" s="54">
        <f>Данные!U718</f>
        <v>15</v>
      </c>
      <c r="V718" s="54">
        <f>Данные!V718</f>
        <v>0</v>
      </c>
      <c r="W718" s="54">
        <f ca="1">Данные!W718</f>
        <v>10</v>
      </c>
      <c r="X718" s="54" t="str">
        <f ca="1">Данные!X718</f>
        <v>1</v>
      </c>
      <c r="Y718" s="54" t="str">
        <f ca="1">Данные!Y718</f>
        <v>1</v>
      </c>
      <c r="Z718" s="54">
        <f>Данные!Z718</f>
        <v>0</v>
      </c>
      <c r="AA718" s="54" t="str">
        <f>Данные!AA718</f>
        <v>осн</v>
      </c>
      <c r="AB718" s="101">
        <f t="shared" si="103"/>
        <v>800</v>
      </c>
      <c r="AC718" s="101" t="str">
        <f t="shared" si="104"/>
        <v>КЭО (маг)</v>
      </c>
      <c r="AD718" s="101" t="str">
        <f t="shared" si="105"/>
        <v/>
      </c>
      <c r="AE718" s="102">
        <f t="shared" ca="1" si="106"/>
        <v>25.3</v>
      </c>
      <c r="AF718" s="103">
        <f t="shared" ca="1" si="107"/>
        <v>3.1625E-2</v>
      </c>
      <c r="AG718" s="101"/>
      <c r="AH718" s="101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Q718" s="72">
        <v>0</v>
      </c>
      <c r="BR718" s="72">
        <v>0</v>
      </c>
      <c r="BS718" s="72">
        <v>0</v>
      </c>
      <c r="BT718" s="72">
        <v>0</v>
      </c>
      <c r="BU718" s="72">
        <v>0</v>
      </c>
      <c r="BV718" s="72">
        <v>0</v>
      </c>
      <c r="BW718" s="72">
        <v>0</v>
      </c>
      <c r="BX718" s="72">
        <v>0</v>
      </c>
      <c r="BY718" s="72">
        <v>0</v>
      </c>
      <c r="BZ718" s="72">
        <v>0</v>
      </c>
      <c r="CA718" s="72">
        <v>0</v>
      </c>
      <c r="CB718" s="72">
        <v>0</v>
      </c>
      <c r="CC718" s="72">
        <v>0</v>
      </c>
      <c r="CD718" s="72">
        <v>0</v>
      </c>
      <c r="CE718" s="72">
        <v>0</v>
      </c>
      <c r="CF718" s="72">
        <v>0</v>
      </c>
      <c r="CG718" s="72">
        <v>0</v>
      </c>
      <c r="CH718" s="72">
        <v>0</v>
      </c>
      <c r="CI718" s="72">
        <v>0</v>
      </c>
      <c r="CJ718" s="72">
        <v>0</v>
      </c>
      <c r="CK718" s="72">
        <v>0</v>
      </c>
      <c r="CL718" s="72">
        <v>0</v>
      </c>
      <c r="CM718" s="72">
        <v>0</v>
      </c>
      <c r="CN718" s="72">
        <v>0</v>
      </c>
      <c r="CO718" s="72">
        <v>0</v>
      </c>
      <c r="CP718" s="72">
        <v>0</v>
      </c>
      <c r="CQ718" s="72">
        <v>0</v>
      </c>
      <c r="CR718" s="72">
        <v>0</v>
      </c>
      <c r="CS718" s="72">
        <v>0</v>
      </c>
      <c r="CT718" s="72">
        <v>0</v>
      </c>
      <c r="CU718" s="72">
        <v>0</v>
      </c>
      <c r="CV718" s="72">
        <v>0</v>
      </c>
      <c r="CW718" s="72">
        <v>0</v>
      </c>
      <c r="CX718" s="72">
        <v>0</v>
      </c>
      <c r="CY718" s="72">
        <v>0</v>
      </c>
      <c r="CZ718" s="72">
        <v>0</v>
      </c>
      <c r="DA718" s="72">
        <v>0</v>
      </c>
      <c r="DB718" s="72">
        <v>0</v>
      </c>
      <c r="DC718" s="72">
        <v>0</v>
      </c>
      <c r="DD718" s="72">
        <v>0</v>
      </c>
      <c r="DE718" s="72">
        <v>0</v>
      </c>
      <c r="DF718" s="72">
        <v>0</v>
      </c>
      <c r="DG718" s="72">
        <v>0</v>
      </c>
      <c r="DH718" s="72">
        <v>0</v>
      </c>
      <c r="DI718" s="72">
        <v>0</v>
      </c>
      <c r="DJ718" s="72">
        <v>0</v>
      </c>
      <c r="DK718" s="72">
        <v>0</v>
      </c>
      <c r="DL718" s="72">
        <v>0</v>
      </c>
      <c r="DM718" s="72">
        <v>0</v>
      </c>
      <c r="DN718" s="72">
        <v>0</v>
      </c>
      <c r="DO718" s="72">
        <v>0</v>
      </c>
      <c r="DP718" s="72">
        <v>0</v>
      </c>
      <c r="DQ718" s="72">
        <v>0</v>
      </c>
      <c r="DR718" s="72">
        <v>0</v>
      </c>
      <c r="DS718" s="72">
        <v>0</v>
      </c>
      <c r="DT718" s="72">
        <v>0</v>
      </c>
      <c r="DU718" s="72">
        <v>0</v>
      </c>
      <c r="DV718" s="72">
        <v>0</v>
      </c>
      <c r="DW718" s="72">
        <v>0</v>
      </c>
      <c r="DX718" s="72">
        <v>0</v>
      </c>
      <c r="DY718" s="72">
        <v>0</v>
      </c>
      <c r="DZ718" s="72">
        <v>0</v>
      </c>
      <c r="EA718" s="72">
        <v>0</v>
      </c>
      <c r="EB718" s="72">
        <v>0</v>
      </c>
      <c r="EC718" s="72">
        <v>0</v>
      </c>
      <c r="ED718" s="72">
        <v>0</v>
      </c>
      <c r="EE718" s="72">
        <v>0</v>
      </c>
      <c r="EF718" s="72">
        <v>0</v>
      </c>
      <c r="EG718" s="72">
        <v>0</v>
      </c>
      <c r="EH718" s="72">
        <v>0</v>
      </c>
      <c r="EI718" s="72">
        <v>0</v>
      </c>
      <c r="EJ718" s="72">
        <v>0</v>
      </c>
      <c r="EK718" s="72">
        <v>0</v>
      </c>
      <c r="EL718" s="72">
        <v>0</v>
      </c>
    </row>
    <row r="719" spans="1:142" x14ac:dyDescent="0.35">
      <c r="A719" s="59">
        <f>Данные!A719</f>
        <v>6370</v>
      </c>
      <c r="B719" s="59">
        <f>Данные!B719</f>
        <v>2018</v>
      </c>
      <c r="C719" s="59" t="str">
        <f>Данные!C719</f>
        <v>компьютерных технологий и электронного обучения</v>
      </c>
      <c r="D719" s="59" t="str">
        <f>Данные!D719</f>
        <v>Авксентьева Елена Юрьевна</v>
      </c>
      <c r="E719" s="59" t="str">
        <f>Данные!E719</f>
        <v>кандидат педагогических наук</v>
      </c>
      <c r="F719" s="59" t="str">
        <f>Данные!F719</f>
        <v>доцент</v>
      </c>
      <c r="G719" s="59">
        <f>Данные!G719</f>
        <v>1</v>
      </c>
      <c r="H719" s="59">
        <f>Данные!H719</f>
        <v>17048</v>
      </c>
      <c r="I719" s="59" t="str">
        <f>Данные!I719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19" s="59">
        <f>Данные!J719</f>
        <v>0</v>
      </c>
      <c r="K719" s="59">
        <f>Данные!K719</f>
        <v>0</v>
      </c>
      <c r="L719" s="59">
        <f>Данные!L719</f>
        <v>0</v>
      </c>
      <c r="M719" s="60">
        <f t="shared" si="99"/>
        <v>0</v>
      </c>
      <c r="N719" s="60">
        <f t="shared" ca="1" si="100"/>
        <v>5.3000000000000007</v>
      </c>
      <c r="O719" s="60">
        <f t="shared" ca="1" si="101"/>
        <v>2.5</v>
      </c>
      <c r="P719" s="60">
        <f t="shared" ca="1" si="102"/>
        <v>2.5</v>
      </c>
      <c r="Q719" s="54">
        <f>Данные!Q719</f>
        <v>0</v>
      </c>
      <c r="R719" s="54">
        <f>Данные!R719</f>
        <v>0</v>
      </c>
      <c r="S719" s="54">
        <f>Данные!S719</f>
        <v>0</v>
      </c>
      <c r="T719" s="54">
        <f>Данные!T719</f>
        <v>0</v>
      </c>
      <c r="U719" s="54">
        <f>Данные!U719</f>
        <v>10</v>
      </c>
      <c r="V719" s="54">
        <f>Данные!V719</f>
        <v>0</v>
      </c>
      <c r="W719" s="54">
        <f ca="1">Данные!W719</f>
        <v>10</v>
      </c>
      <c r="X719" s="54" t="str">
        <f ca="1">Данные!X719</f>
        <v>1</v>
      </c>
      <c r="Y719" s="54" t="str">
        <f ca="1">Данные!Y719</f>
        <v>1</v>
      </c>
      <c r="Z719" s="54">
        <f>Данные!Z719</f>
        <v>0</v>
      </c>
      <c r="AA719" s="54" t="str">
        <f>Данные!AA719</f>
        <v>осн</v>
      </c>
      <c r="AB719" s="101">
        <f t="shared" si="103"/>
        <v>800</v>
      </c>
      <c r="AC719" s="101" t="str">
        <f t="shared" si="104"/>
        <v>КЭО (маг)</v>
      </c>
      <c r="AD719" s="101" t="str">
        <f t="shared" si="105"/>
        <v/>
      </c>
      <c r="AE719" s="102">
        <f t="shared" ca="1" si="106"/>
        <v>20.3</v>
      </c>
      <c r="AF719" s="103">
        <f t="shared" ca="1" si="107"/>
        <v>2.5375000000000002E-2</v>
      </c>
      <c r="AG719" s="101"/>
      <c r="AH719" s="101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Q719" s="72">
        <v>0</v>
      </c>
      <c r="BR719" s="72">
        <v>0</v>
      </c>
      <c r="BS719" s="72">
        <v>0</v>
      </c>
      <c r="BT719" s="72">
        <v>0</v>
      </c>
      <c r="BU719" s="72">
        <v>0</v>
      </c>
      <c r="BV719" s="72">
        <v>0</v>
      </c>
      <c r="BW719" s="72">
        <v>0</v>
      </c>
      <c r="BX719" s="72">
        <v>0</v>
      </c>
      <c r="BY719" s="72">
        <v>0</v>
      </c>
      <c r="BZ719" s="72">
        <v>0</v>
      </c>
      <c r="CA719" s="72">
        <v>0</v>
      </c>
      <c r="CB719" s="72">
        <v>0</v>
      </c>
      <c r="CC719" s="72">
        <v>0</v>
      </c>
      <c r="CD719" s="72">
        <v>0</v>
      </c>
      <c r="CE719" s="72">
        <v>0</v>
      </c>
      <c r="CF719" s="72">
        <v>0</v>
      </c>
      <c r="CG719" s="72">
        <v>0</v>
      </c>
      <c r="CH719" s="72">
        <v>0</v>
      </c>
      <c r="CI719" s="72">
        <v>0</v>
      </c>
      <c r="CJ719" s="72">
        <v>0</v>
      </c>
      <c r="CK719" s="72">
        <v>0</v>
      </c>
      <c r="CL719" s="72">
        <v>0</v>
      </c>
      <c r="CM719" s="72">
        <v>0</v>
      </c>
      <c r="CN719" s="72">
        <v>0</v>
      </c>
      <c r="CO719" s="72">
        <v>0</v>
      </c>
      <c r="CP719" s="72">
        <v>0</v>
      </c>
      <c r="CQ719" s="72">
        <v>0</v>
      </c>
      <c r="CR719" s="72">
        <v>0</v>
      </c>
      <c r="CS719" s="72">
        <v>0</v>
      </c>
      <c r="CT719" s="72">
        <v>0</v>
      </c>
      <c r="CU719" s="72">
        <v>0</v>
      </c>
      <c r="CV719" s="72">
        <v>0</v>
      </c>
      <c r="CW719" s="72">
        <v>0</v>
      </c>
      <c r="CX719" s="72">
        <v>0</v>
      </c>
      <c r="CY719" s="72">
        <v>0</v>
      </c>
      <c r="CZ719" s="72">
        <v>0</v>
      </c>
      <c r="DA719" s="72">
        <v>0</v>
      </c>
      <c r="DB719" s="72">
        <v>0</v>
      </c>
      <c r="DC719" s="72">
        <v>0</v>
      </c>
      <c r="DD719" s="72">
        <v>0</v>
      </c>
      <c r="DE719" s="72">
        <v>0</v>
      </c>
      <c r="DF719" s="72">
        <v>0</v>
      </c>
      <c r="DG719" s="72">
        <v>0</v>
      </c>
      <c r="DH719" s="72">
        <v>0</v>
      </c>
      <c r="DI719" s="72">
        <v>0</v>
      </c>
      <c r="DJ719" s="72">
        <v>0</v>
      </c>
      <c r="DK719" s="72">
        <v>0</v>
      </c>
      <c r="DL719" s="72">
        <v>0</v>
      </c>
      <c r="DM719" s="72">
        <v>0</v>
      </c>
      <c r="DN719" s="72">
        <v>0</v>
      </c>
      <c r="DO719" s="72">
        <v>0</v>
      </c>
      <c r="DP719" s="72">
        <v>0</v>
      </c>
      <c r="DQ719" s="72">
        <v>0</v>
      </c>
      <c r="DR719" s="72">
        <v>0</v>
      </c>
      <c r="DS719" s="72">
        <v>0</v>
      </c>
      <c r="DT719" s="72">
        <v>0</v>
      </c>
      <c r="DU719" s="72">
        <v>0</v>
      </c>
      <c r="DV719" s="72">
        <v>0</v>
      </c>
      <c r="DW719" s="72">
        <v>0</v>
      </c>
      <c r="DX719" s="72">
        <v>0</v>
      </c>
      <c r="DY719" s="72">
        <v>0</v>
      </c>
      <c r="DZ719" s="72">
        <v>0</v>
      </c>
      <c r="EA719" s="72">
        <v>0</v>
      </c>
      <c r="EB719" s="72">
        <v>0</v>
      </c>
      <c r="EC719" s="72">
        <v>0</v>
      </c>
      <c r="ED719" s="72">
        <v>0</v>
      </c>
      <c r="EE719" s="72">
        <v>0</v>
      </c>
      <c r="EF719" s="72">
        <v>0</v>
      </c>
      <c r="EG719" s="72">
        <v>0</v>
      </c>
      <c r="EH719" s="72">
        <v>0</v>
      </c>
      <c r="EI719" s="72">
        <v>0</v>
      </c>
      <c r="EJ719" s="72">
        <v>0</v>
      </c>
      <c r="EK719" s="72">
        <v>0</v>
      </c>
      <c r="EL719" s="72">
        <v>0</v>
      </c>
    </row>
    <row r="720" spans="1:142" x14ac:dyDescent="0.35">
      <c r="A720" s="59">
        <f>Данные!A720</f>
        <v>6370</v>
      </c>
      <c r="B720" s="59">
        <f>Данные!B720</f>
        <v>2018</v>
      </c>
      <c r="C720" s="59" t="str">
        <f>Данные!C720</f>
        <v>компьютерных технологий и электронного обучения</v>
      </c>
      <c r="D720" s="59" t="str">
        <f>Данные!D720</f>
        <v>Авксентьева Елена Юрьевна</v>
      </c>
      <c r="E720" s="59" t="str">
        <f>Данные!E720</f>
        <v>кандидат педагогических наук</v>
      </c>
      <c r="F720" s="59" t="str">
        <f>Данные!F720</f>
        <v>доцент</v>
      </c>
      <c r="G720" s="59">
        <f>Данные!G720</f>
        <v>1</v>
      </c>
      <c r="H720" s="59">
        <f>Данные!H720</f>
        <v>17048</v>
      </c>
      <c r="I720" s="59" t="str">
        <f>Данные!I720</f>
        <v>Руководство ВКР (магистерская диссертация)</v>
      </c>
      <c r="J720" s="59">
        <f>Данные!J720</f>
        <v>0</v>
      </c>
      <c r="K720" s="59">
        <f>Данные!K720</f>
        <v>0</v>
      </c>
      <c r="L720" s="59">
        <f>Данные!L720</f>
        <v>0</v>
      </c>
      <c r="M720" s="60">
        <f t="shared" si="99"/>
        <v>0</v>
      </c>
      <c r="N720" s="60">
        <f t="shared" ca="1" si="100"/>
        <v>5.3000000000000007</v>
      </c>
      <c r="O720" s="60">
        <f t="shared" ca="1" si="101"/>
        <v>2.5</v>
      </c>
      <c r="P720" s="60">
        <f t="shared" ca="1" si="102"/>
        <v>2.5</v>
      </c>
      <c r="Q720" s="54">
        <f>Данные!Q720</f>
        <v>0</v>
      </c>
      <c r="R720" s="54">
        <f>Данные!R720</f>
        <v>0</v>
      </c>
      <c r="S720" s="54">
        <f>Данные!S720</f>
        <v>0</v>
      </c>
      <c r="T720" s="54">
        <f>Данные!T720</f>
        <v>0</v>
      </c>
      <c r="U720" s="54">
        <f>Данные!U720</f>
        <v>0</v>
      </c>
      <c r="V720" s="54">
        <f>Данные!V720</f>
        <v>36</v>
      </c>
      <c r="W720" s="54">
        <f ca="1">Данные!W720</f>
        <v>10</v>
      </c>
      <c r="X720" s="54" t="str">
        <f ca="1">Данные!X720</f>
        <v>1</v>
      </c>
      <c r="Y720" s="54" t="str">
        <f ca="1">Данные!Y720</f>
        <v>1</v>
      </c>
      <c r="Z720" s="54">
        <f>Данные!Z720</f>
        <v>0</v>
      </c>
      <c r="AA720" s="54" t="str">
        <f>Данные!AA720</f>
        <v>осн</v>
      </c>
      <c r="AB720" s="101">
        <f t="shared" si="103"/>
        <v>800</v>
      </c>
      <c r="AC720" s="101" t="str">
        <f t="shared" si="104"/>
        <v>КЭО (маг)</v>
      </c>
      <c r="AD720" s="101" t="str">
        <f t="shared" si="105"/>
        <v/>
      </c>
      <c r="AE720" s="102">
        <f t="shared" ca="1" si="106"/>
        <v>46.3</v>
      </c>
      <c r="AF720" s="103">
        <f t="shared" ca="1" si="107"/>
        <v>5.7874999999999996E-2</v>
      </c>
      <c r="AG720" s="101"/>
      <c r="AH720" s="101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Q720" s="72">
        <v>0</v>
      </c>
      <c r="BR720" s="72">
        <v>0</v>
      </c>
      <c r="BS720" s="72">
        <v>0</v>
      </c>
      <c r="BT720" s="72">
        <v>0</v>
      </c>
      <c r="BU720" s="72">
        <v>0</v>
      </c>
      <c r="BV720" s="72">
        <v>0</v>
      </c>
      <c r="BW720" s="72">
        <v>0</v>
      </c>
      <c r="BX720" s="72">
        <v>0</v>
      </c>
      <c r="BY720" s="72">
        <v>0</v>
      </c>
      <c r="BZ720" s="72">
        <v>0</v>
      </c>
      <c r="CA720" s="72">
        <v>0</v>
      </c>
      <c r="CB720" s="72">
        <v>0</v>
      </c>
      <c r="CC720" s="72">
        <v>0</v>
      </c>
      <c r="CD720" s="72">
        <v>0</v>
      </c>
      <c r="CE720" s="72">
        <v>0</v>
      </c>
      <c r="CF720" s="72">
        <v>0</v>
      </c>
      <c r="CG720" s="72">
        <v>0</v>
      </c>
      <c r="CH720" s="72">
        <v>0</v>
      </c>
      <c r="CI720" s="72">
        <v>0</v>
      </c>
      <c r="CJ720" s="72">
        <v>0</v>
      </c>
      <c r="CK720" s="72">
        <v>0</v>
      </c>
      <c r="CL720" s="72">
        <v>0</v>
      </c>
      <c r="CM720" s="72">
        <v>0</v>
      </c>
      <c r="CN720" s="72">
        <v>0</v>
      </c>
      <c r="CO720" s="72">
        <v>0</v>
      </c>
      <c r="CP720" s="72">
        <v>0</v>
      </c>
      <c r="CQ720" s="72">
        <v>0</v>
      </c>
      <c r="CR720" s="72">
        <v>0</v>
      </c>
      <c r="CS720" s="72">
        <v>0</v>
      </c>
      <c r="CT720" s="72">
        <v>0</v>
      </c>
      <c r="CU720" s="72">
        <v>0</v>
      </c>
      <c r="CV720" s="72">
        <v>0</v>
      </c>
      <c r="CW720" s="72">
        <v>0</v>
      </c>
      <c r="CX720" s="72">
        <v>0</v>
      </c>
      <c r="CY720" s="72">
        <v>0</v>
      </c>
      <c r="CZ720" s="72">
        <v>0</v>
      </c>
      <c r="DA720" s="72">
        <v>0</v>
      </c>
      <c r="DB720" s="72">
        <v>0</v>
      </c>
      <c r="DC720" s="72">
        <v>0</v>
      </c>
      <c r="DD720" s="72">
        <v>0</v>
      </c>
      <c r="DE720" s="72">
        <v>0</v>
      </c>
      <c r="DF720" s="72">
        <v>0</v>
      </c>
      <c r="DG720" s="72">
        <v>0</v>
      </c>
      <c r="DH720" s="72">
        <v>0</v>
      </c>
      <c r="DI720" s="72">
        <v>0</v>
      </c>
      <c r="DJ720" s="72">
        <v>0</v>
      </c>
      <c r="DK720" s="72">
        <v>0</v>
      </c>
      <c r="DL720" s="72">
        <v>0</v>
      </c>
      <c r="DM720" s="72">
        <v>0</v>
      </c>
      <c r="DN720" s="72">
        <v>0</v>
      </c>
      <c r="DO720" s="72">
        <v>0</v>
      </c>
      <c r="DP720" s="72">
        <v>0</v>
      </c>
      <c r="DQ720" s="72">
        <v>0</v>
      </c>
      <c r="DR720" s="72">
        <v>0</v>
      </c>
      <c r="DS720" s="72">
        <v>0</v>
      </c>
      <c r="DT720" s="72">
        <v>0</v>
      </c>
      <c r="DU720" s="72">
        <v>0</v>
      </c>
      <c r="DV720" s="72">
        <v>0</v>
      </c>
      <c r="DW720" s="72">
        <v>0</v>
      </c>
      <c r="DX720" s="72">
        <v>0</v>
      </c>
      <c r="DY720" s="72">
        <v>0</v>
      </c>
      <c r="DZ720" s="72">
        <v>0</v>
      </c>
      <c r="EA720" s="72">
        <v>0</v>
      </c>
      <c r="EB720" s="72">
        <v>0</v>
      </c>
      <c r="EC720" s="72">
        <v>0</v>
      </c>
      <c r="ED720" s="72">
        <v>0</v>
      </c>
      <c r="EE720" s="72">
        <v>0</v>
      </c>
      <c r="EF720" s="72">
        <v>0</v>
      </c>
      <c r="EG720" s="72">
        <v>0</v>
      </c>
      <c r="EH720" s="72">
        <v>0</v>
      </c>
      <c r="EI720" s="72">
        <v>0</v>
      </c>
      <c r="EJ720" s="72">
        <v>0</v>
      </c>
      <c r="EK720" s="72">
        <v>0</v>
      </c>
      <c r="EL720" s="72">
        <v>0</v>
      </c>
    </row>
    <row r="721" spans="1:142" x14ac:dyDescent="0.35">
      <c r="A721" s="59">
        <f>Данные!A721</f>
        <v>6370</v>
      </c>
      <c r="B721" s="59">
        <f>Данные!B721</f>
        <v>2018</v>
      </c>
      <c r="C721" s="59" t="str">
        <f>Данные!C721</f>
        <v>компьютерных технологий и электронного обучения</v>
      </c>
      <c r="D721" s="59" t="str">
        <f>Данные!D721</f>
        <v>Аксютин Павел Александрович</v>
      </c>
      <c r="E721" s="59" t="str">
        <f>Данные!E721</f>
        <v>нет</v>
      </c>
      <c r="F721" s="59" t="str">
        <f>Данные!F721</f>
        <v>ассистент</v>
      </c>
      <c r="G721" s="59">
        <f>Данные!G721</f>
        <v>0.25</v>
      </c>
      <c r="H721" s="59">
        <f>Данные!H721</f>
        <v>17048</v>
      </c>
      <c r="I721" s="59" t="str">
        <f>Данные!I721</f>
        <v>Модуль "Профессиональная коммуникация". Информационные технологии в профессиональной деятельности</v>
      </c>
      <c r="J721" s="59">
        <f>Данные!J721</f>
        <v>0</v>
      </c>
      <c r="K721" s="59">
        <f>Данные!K721</f>
        <v>12</v>
      </c>
      <c r="L721" s="59">
        <f>Данные!L721</f>
        <v>12</v>
      </c>
      <c r="M721" s="60">
        <f t="shared" si="99"/>
        <v>2.4</v>
      </c>
      <c r="N721" s="60">
        <f t="shared" ca="1" si="100"/>
        <v>5.3000000000000007</v>
      </c>
      <c r="O721" s="60">
        <f t="shared" ca="1" si="101"/>
        <v>2.5</v>
      </c>
      <c r="P721" s="60">
        <f t="shared" ca="1" si="102"/>
        <v>2.5</v>
      </c>
      <c r="Q721" s="54">
        <f>Данные!Q721</f>
        <v>0</v>
      </c>
      <c r="R721" s="54">
        <f>Данные!R721</f>
        <v>0</v>
      </c>
      <c r="S721" s="54">
        <f>Данные!S721</f>
        <v>0</v>
      </c>
      <c r="T721" s="54">
        <f>Данные!T721</f>
        <v>0</v>
      </c>
      <c r="U721" s="54">
        <f>Данные!U721</f>
        <v>0</v>
      </c>
      <c r="V721" s="54">
        <f>Данные!V721</f>
        <v>0</v>
      </c>
      <c r="W721" s="54">
        <f ca="1">Данные!W721</f>
        <v>10</v>
      </c>
      <c r="X721" s="54" t="str">
        <f ca="1">Данные!X721</f>
        <v>1</v>
      </c>
      <c r="Y721" s="54" t="str">
        <f ca="1">Данные!Y721</f>
        <v>1</v>
      </c>
      <c r="Z721" s="54">
        <f>Данные!Z721</f>
        <v>0</v>
      </c>
      <c r="AA721" s="54" t="str">
        <f>Данные!AA721</f>
        <v>доп</v>
      </c>
      <c r="AB721" s="101">
        <f t="shared" si="103"/>
        <v>900</v>
      </c>
      <c r="AC721" s="101" t="str">
        <f t="shared" si="104"/>
        <v>КЭО (маг)</v>
      </c>
      <c r="AD721" s="101" t="str">
        <f t="shared" si="105"/>
        <v/>
      </c>
      <c r="AE721" s="102">
        <f t="shared" ca="1" si="106"/>
        <v>36.700000000000003</v>
      </c>
      <c r="AF721" s="103">
        <f t="shared" ca="1" si="107"/>
        <v>4.0777777777777781E-2</v>
      </c>
      <c r="AG721" s="101"/>
      <c r="AH721" s="10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Q721" s="72">
        <v>0</v>
      </c>
      <c r="BR721" s="72">
        <v>0</v>
      </c>
      <c r="BS721" s="72">
        <v>0</v>
      </c>
      <c r="BT721" s="72">
        <v>0</v>
      </c>
      <c r="BU721" s="72">
        <v>0</v>
      </c>
      <c r="BV721" s="72">
        <v>0</v>
      </c>
      <c r="BW721" s="72">
        <v>0</v>
      </c>
      <c r="BX721" s="72">
        <v>0</v>
      </c>
      <c r="BY721" s="72">
        <v>0</v>
      </c>
      <c r="BZ721" s="72">
        <v>0</v>
      </c>
      <c r="CA721" s="72">
        <v>0</v>
      </c>
      <c r="CB721" s="72">
        <v>0</v>
      </c>
      <c r="CC721" s="72">
        <v>0</v>
      </c>
      <c r="CD721" s="72">
        <v>0</v>
      </c>
      <c r="CE721" s="72">
        <v>0</v>
      </c>
      <c r="CF721" s="72">
        <v>0</v>
      </c>
      <c r="CG721" s="72">
        <v>0</v>
      </c>
      <c r="CH721" s="72">
        <v>0</v>
      </c>
      <c r="CI721" s="72">
        <v>0</v>
      </c>
      <c r="CJ721" s="72">
        <v>0</v>
      </c>
      <c r="CK721" s="72">
        <v>0</v>
      </c>
      <c r="CL721" s="72">
        <v>0</v>
      </c>
      <c r="CM721" s="72">
        <v>0</v>
      </c>
      <c r="CN721" s="72">
        <v>0</v>
      </c>
      <c r="CO721" s="72">
        <v>0</v>
      </c>
      <c r="CP721" s="72">
        <v>0</v>
      </c>
      <c r="CQ721" s="72">
        <v>0</v>
      </c>
      <c r="CR721" s="72">
        <v>0</v>
      </c>
      <c r="CS721" s="72">
        <v>0</v>
      </c>
      <c r="CT721" s="72">
        <v>0</v>
      </c>
      <c r="CU721" s="72">
        <v>0</v>
      </c>
      <c r="CV721" s="72">
        <v>0</v>
      </c>
      <c r="CW721" s="72">
        <v>0</v>
      </c>
      <c r="CX721" s="72">
        <v>0</v>
      </c>
      <c r="CY721" s="72">
        <v>0</v>
      </c>
      <c r="CZ721" s="72">
        <v>0</v>
      </c>
      <c r="DA721" s="72">
        <v>0</v>
      </c>
      <c r="DB721" s="72">
        <v>0</v>
      </c>
      <c r="DC721" s="72">
        <v>0</v>
      </c>
      <c r="DD721" s="72">
        <v>0</v>
      </c>
      <c r="DE721" s="72">
        <v>0</v>
      </c>
      <c r="DF721" s="72">
        <v>0</v>
      </c>
      <c r="DG721" s="72">
        <v>0</v>
      </c>
      <c r="DH721" s="72">
        <v>0</v>
      </c>
      <c r="DI721" s="72">
        <v>0</v>
      </c>
      <c r="DJ721" s="72">
        <v>0</v>
      </c>
      <c r="DK721" s="72">
        <v>0</v>
      </c>
      <c r="DL721" s="72">
        <v>0</v>
      </c>
      <c r="DM721" s="72">
        <v>0</v>
      </c>
      <c r="DN721" s="72">
        <v>0</v>
      </c>
      <c r="DO721" s="72">
        <v>0</v>
      </c>
      <c r="DP721" s="72">
        <v>0</v>
      </c>
      <c r="DQ721" s="72">
        <v>0</v>
      </c>
      <c r="DR721" s="72">
        <v>0</v>
      </c>
      <c r="DS721" s="72">
        <v>0</v>
      </c>
      <c r="DT721" s="72">
        <v>0</v>
      </c>
      <c r="DU721" s="72">
        <v>0</v>
      </c>
      <c r="DV721" s="72">
        <v>0</v>
      </c>
      <c r="DW721" s="72">
        <v>0</v>
      </c>
      <c r="DX721" s="72">
        <v>0</v>
      </c>
      <c r="DY721" s="72">
        <v>0</v>
      </c>
      <c r="DZ721" s="72">
        <v>0</v>
      </c>
      <c r="EA721" s="72">
        <v>0</v>
      </c>
      <c r="EB721" s="72">
        <v>0</v>
      </c>
      <c r="EC721" s="72">
        <v>0</v>
      </c>
      <c r="ED721" s="72">
        <v>0</v>
      </c>
      <c r="EE721" s="72">
        <v>0</v>
      </c>
      <c r="EF721" s="72">
        <v>0</v>
      </c>
      <c r="EG721" s="72">
        <v>0</v>
      </c>
      <c r="EH721" s="72">
        <v>0</v>
      </c>
      <c r="EI721" s="72">
        <v>0</v>
      </c>
      <c r="EJ721" s="72">
        <v>0</v>
      </c>
      <c r="EK721" s="72">
        <v>0</v>
      </c>
      <c r="EL721" s="72">
        <v>0</v>
      </c>
    </row>
    <row r="722" spans="1:142" x14ac:dyDescent="0.35">
      <c r="A722" s="59">
        <f>Данные!A722</f>
        <v>6370</v>
      </c>
      <c r="B722" s="59">
        <f>Данные!B722</f>
        <v>2018</v>
      </c>
      <c r="C722" s="59" t="str">
        <f>Данные!C722</f>
        <v>компьютерных технологий и электронного обучения</v>
      </c>
      <c r="D722" s="59" t="str">
        <f>Данные!D722</f>
        <v>Аксютин Павел Александрович</v>
      </c>
      <c r="E722" s="59" t="str">
        <f>Данные!E722</f>
        <v>нет</v>
      </c>
      <c r="F722" s="59" t="str">
        <f>Данные!F722</f>
        <v>ассистент</v>
      </c>
      <c r="G722" s="59">
        <f>Данные!G722</f>
        <v>0.25</v>
      </c>
      <c r="H722" s="59">
        <f>Данные!H722</f>
        <v>17048</v>
      </c>
      <c r="I722" s="59" t="str">
        <f>Данные!I722</f>
        <v>Модуль "Теория и практика корпоративного электронного обучения". Организация и модели корпоративного обучения</v>
      </c>
      <c r="J722" s="59">
        <f>Данные!J722</f>
        <v>0</v>
      </c>
      <c r="K722" s="59">
        <f>Данные!K722</f>
        <v>6</v>
      </c>
      <c r="L722" s="59">
        <f>Данные!L722</f>
        <v>0</v>
      </c>
      <c r="M722" s="60">
        <f t="shared" si="99"/>
        <v>0.6</v>
      </c>
      <c r="N722" s="60">
        <f t="shared" ca="1" si="100"/>
        <v>5.3000000000000007</v>
      </c>
      <c r="O722" s="60">
        <f t="shared" ca="1" si="101"/>
        <v>2.5</v>
      </c>
      <c r="P722" s="60">
        <f t="shared" ca="1" si="102"/>
        <v>2.5</v>
      </c>
      <c r="Q722" s="54">
        <f>Данные!Q722</f>
        <v>0</v>
      </c>
      <c r="R722" s="54">
        <f>Данные!R722</f>
        <v>0</v>
      </c>
      <c r="S722" s="54">
        <f>Данные!S722</f>
        <v>0</v>
      </c>
      <c r="T722" s="54">
        <f>Данные!T722</f>
        <v>0</v>
      </c>
      <c r="U722" s="54">
        <f>Данные!U722</f>
        <v>0</v>
      </c>
      <c r="V722" s="54">
        <f>Данные!V722</f>
        <v>0</v>
      </c>
      <c r="W722" s="54">
        <f ca="1">Данные!W722</f>
        <v>10</v>
      </c>
      <c r="X722" s="54" t="str">
        <f ca="1">Данные!X722</f>
        <v>1</v>
      </c>
      <c r="Y722" s="54" t="str">
        <f ca="1">Данные!Y722</f>
        <v>1</v>
      </c>
      <c r="Z722" s="54">
        <f>Данные!Z722</f>
        <v>0</v>
      </c>
      <c r="AA722" s="54" t="str">
        <f>Данные!AA722</f>
        <v>осн</v>
      </c>
      <c r="AB722" s="101">
        <f t="shared" si="103"/>
        <v>900</v>
      </c>
      <c r="AC722" s="101" t="str">
        <f t="shared" si="104"/>
        <v>КЭО (маг)</v>
      </c>
      <c r="AD722" s="101" t="str">
        <f t="shared" si="105"/>
        <v/>
      </c>
      <c r="AE722" s="102">
        <f t="shared" ca="1" si="106"/>
        <v>16.899999999999999</v>
      </c>
      <c r="AF722" s="103">
        <f t="shared" ca="1" si="107"/>
        <v>1.8777777777777775E-2</v>
      </c>
      <c r="AG722" s="101"/>
      <c r="AH722" s="101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Q722" s="72">
        <v>0</v>
      </c>
      <c r="BR722" s="72">
        <v>0</v>
      </c>
      <c r="BS722" s="72">
        <v>0</v>
      </c>
      <c r="BT722" s="72">
        <v>0</v>
      </c>
      <c r="BU722" s="72">
        <v>0</v>
      </c>
      <c r="BV722" s="72">
        <v>0</v>
      </c>
      <c r="BW722" s="72">
        <v>0</v>
      </c>
      <c r="BX722" s="72">
        <v>0</v>
      </c>
      <c r="BY722" s="72">
        <v>0</v>
      </c>
      <c r="BZ722" s="72">
        <v>0</v>
      </c>
      <c r="CA722" s="72">
        <v>0</v>
      </c>
      <c r="CB722" s="72">
        <v>0</v>
      </c>
      <c r="CC722" s="72">
        <v>0</v>
      </c>
      <c r="CD722" s="72">
        <v>0</v>
      </c>
      <c r="CE722" s="72">
        <v>0</v>
      </c>
      <c r="CF722" s="72">
        <v>0</v>
      </c>
      <c r="CG722" s="72">
        <v>0</v>
      </c>
      <c r="CH722" s="72">
        <v>0</v>
      </c>
      <c r="CI722" s="72">
        <v>0</v>
      </c>
      <c r="CJ722" s="72">
        <v>0</v>
      </c>
      <c r="CK722" s="72">
        <v>0</v>
      </c>
      <c r="CL722" s="72">
        <v>0</v>
      </c>
      <c r="CM722" s="72">
        <v>0</v>
      </c>
      <c r="CN722" s="72">
        <v>0</v>
      </c>
      <c r="CO722" s="72">
        <v>0</v>
      </c>
      <c r="CP722" s="72">
        <v>0</v>
      </c>
      <c r="CQ722" s="72">
        <v>0</v>
      </c>
      <c r="CR722" s="72">
        <v>0</v>
      </c>
      <c r="CS722" s="72">
        <v>0</v>
      </c>
      <c r="CT722" s="72">
        <v>0</v>
      </c>
      <c r="CU722" s="72">
        <v>0</v>
      </c>
      <c r="CV722" s="72">
        <v>0</v>
      </c>
      <c r="CW722" s="72">
        <v>0</v>
      </c>
      <c r="CX722" s="72">
        <v>0</v>
      </c>
      <c r="CY722" s="72">
        <v>0</v>
      </c>
      <c r="CZ722" s="72">
        <v>0</v>
      </c>
      <c r="DA722" s="72">
        <v>0</v>
      </c>
      <c r="DB722" s="72">
        <v>0</v>
      </c>
      <c r="DC722" s="72">
        <v>0</v>
      </c>
      <c r="DD722" s="72">
        <v>0</v>
      </c>
      <c r="DE722" s="72">
        <v>0</v>
      </c>
      <c r="DF722" s="72">
        <v>0</v>
      </c>
      <c r="DG722" s="72">
        <v>0</v>
      </c>
      <c r="DH722" s="72">
        <v>0</v>
      </c>
      <c r="DI722" s="72">
        <v>0</v>
      </c>
      <c r="DJ722" s="72">
        <v>0</v>
      </c>
      <c r="DK722" s="72">
        <v>0</v>
      </c>
      <c r="DL722" s="72">
        <v>0</v>
      </c>
      <c r="DM722" s="72">
        <v>0</v>
      </c>
      <c r="DN722" s="72">
        <v>0</v>
      </c>
      <c r="DO722" s="72">
        <v>0</v>
      </c>
      <c r="DP722" s="72">
        <v>0</v>
      </c>
      <c r="DQ722" s="72">
        <v>0</v>
      </c>
      <c r="DR722" s="72">
        <v>0</v>
      </c>
      <c r="DS722" s="72">
        <v>0</v>
      </c>
      <c r="DT722" s="72">
        <v>0</v>
      </c>
      <c r="DU722" s="72">
        <v>0</v>
      </c>
      <c r="DV722" s="72">
        <v>0</v>
      </c>
      <c r="DW722" s="72">
        <v>0</v>
      </c>
      <c r="DX722" s="72">
        <v>0</v>
      </c>
      <c r="DY722" s="72">
        <v>0</v>
      </c>
      <c r="DZ722" s="72">
        <v>0</v>
      </c>
      <c r="EA722" s="72">
        <v>0</v>
      </c>
      <c r="EB722" s="72">
        <v>0</v>
      </c>
      <c r="EC722" s="72">
        <v>0</v>
      </c>
      <c r="ED722" s="72">
        <v>0</v>
      </c>
      <c r="EE722" s="72">
        <v>0</v>
      </c>
      <c r="EF722" s="72">
        <v>0</v>
      </c>
      <c r="EG722" s="72">
        <v>0</v>
      </c>
      <c r="EH722" s="72">
        <v>0</v>
      </c>
      <c r="EI722" s="72">
        <v>0</v>
      </c>
      <c r="EJ722" s="72">
        <v>0</v>
      </c>
      <c r="EK722" s="72">
        <v>0</v>
      </c>
      <c r="EL722" s="72">
        <v>0</v>
      </c>
    </row>
    <row r="723" spans="1:142" x14ac:dyDescent="0.35">
      <c r="A723" s="59">
        <f>Данные!A723</f>
        <v>6370</v>
      </c>
      <c r="B723" s="59">
        <f>Данные!B723</f>
        <v>2018</v>
      </c>
      <c r="C723" s="59" t="str">
        <f>Данные!C723</f>
        <v>компьютерных технологий и электронного обучения</v>
      </c>
      <c r="D723" s="59" t="str">
        <f>Данные!D723</f>
        <v>Атаян Ануш Михайловна</v>
      </c>
      <c r="E723" s="59" t="str">
        <f>Данные!E723</f>
        <v>кандидат педагогических наук</v>
      </c>
      <c r="F723" s="59" t="str">
        <f>Данные!F723</f>
        <v>доцент</v>
      </c>
      <c r="G723" s="59">
        <f>Данные!G723</f>
        <v>1</v>
      </c>
      <c r="H723" s="59">
        <f>Данные!H723</f>
        <v>17048</v>
      </c>
      <c r="I723" s="59" t="str">
        <f>Данные!I723</f>
        <v>Научно-исследовательская работа. Педагогическое образование. Магистерская программа "Корпоративное электронное обучение"</v>
      </c>
      <c r="J723" s="59">
        <f>Данные!J723</f>
        <v>0</v>
      </c>
      <c r="K723" s="59">
        <f>Данные!K723</f>
        <v>0</v>
      </c>
      <c r="L723" s="59">
        <f>Данные!L723</f>
        <v>0</v>
      </c>
      <c r="M723" s="60">
        <f t="shared" si="99"/>
        <v>0</v>
      </c>
      <c r="N723" s="60">
        <f t="shared" ca="1" si="100"/>
        <v>5.3000000000000007</v>
      </c>
      <c r="O723" s="60">
        <f t="shared" ca="1" si="101"/>
        <v>2.5</v>
      </c>
      <c r="P723" s="60">
        <f t="shared" ca="1" si="102"/>
        <v>2.5</v>
      </c>
      <c r="Q723" s="54">
        <f>Данные!Q723</f>
        <v>0</v>
      </c>
      <c r="R723" s="54">
        <f>Данные!R723</f>
        <v>0</v>
      </c>
      <c r="S723" s="54">
        <f>Данные!S723</f>
        <v>0</v>
      </c>
      <c r="T723" s="54">
        <f>Данные!T723</f>
        <v>0</v>
      </c>
      <c r="U723" s="54">
        <f>Данные!U723</f>
        <v>8</v>
      </c>
      <c r="V723" s="54">
        <f>Данные!V723</f>
        <v>0</v>
      </c>
      <c r="W723" s="54">
        <f ca="1">Данные!W723</f>
        <v>10</v>
      </c>
      <c r="X723" s="54" t="str">
        <f ca="1">Данные!X723</f>
        <v>1</v>
      </c>
      <c r="Y723" s="54" t="str">
        <f ca="1">Данные!Y723</f>
        <v>1</v>
      </c>
      <c r="Z723" s="54">
        <f>Данные!Z723</f>
        <v>0</v>
      </c>
      <c r="AA723" s="54" t="str">
        <f>Данные!AA723</f>
        <v>осн</v>
      </c>
      <c r="AB723" s="101">
        <f t="shared" si="103"/>
        <v>800</v>
      </c>
      <c r="AC723" s="101" t="str">
        <f t="shared" si="104"/>
        <v>КЭО (маг)</v>
      </c>
      <c r="AD723" s="101" t="str">
        <f t="shared" si="105"/>
        <v/>
      </c>
      <c r="AE723" s="102">
        <f t="shared" ca="1" si="106"/>
        <v>18.3</v>
      </c>
      <c r="AF723" s="103">
        <f t="shared" ca="1" si="107"/>
        <v>2.2875E-2</v>
      </c>
      <c r="AG723" s="101"/>
      <c r="AH723" s="101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Q723" s="72">
        <v>0</v>
      </c>
      <c r="BR723" s="72">
        <v>0</v>
      </c>
      <c r="BS723" s="72">
        <v>0</v>
      </c>
      <c r="BT723" s="72">
        <v>0</v>
      </c>
      <c r="BU723" s="72">
        <v>0</v>
      </c>
      <c r="BV723" s="72">
        <v>0</v>
      </c>
      <c r="BW723" s="72">
        <v>0</v>
      </c>
      <c r="BX723" s="72">
        <v>0</v>
      </c>
      <c r="BY723" s="72">
        <v>0</v>
      </c>
      <c r="BZ723" s="72">
        <v>0</v>
      </c>
      <c r="CA723" s="72">
        <v>0</v>
      </c>
      <c r="CB723" s="72">
        <v>0</v>
      </c>
      <c r="CC723" s="72">
        <v>0</v>
      </c>
      <c r="CD723" s="72">
        <v>0</v>
      </c>
      <c r="CE723" s="72">
        <v>0</v>
      </c>
      <c r="CF723" s="72">
        <v>0</v>
      </c>
      <c r="CG723" s="72">
        <v>0</v>
      </c>
      <c r="CH723" s="72">
        <v>0</v>
      </c>
      <c r="CI723" s="72">
        <v>0</v>
      </c>
      <c r="CJ723" s="72">
        <v>0</v>
      </c>
      <c r="CK723" s="72">
        <v>0</v>
      </c>
      <c r="CL723" s="72">
        <v>0</v>
      </c>
      <c r="CM723" s="72">
        <v>0</v>
      </c>
      <c r="CN723" s="72">
        <v>0</v>
      </c>
      <c r="CO723" s="72">
        <v>0</v>
      </c>
      <c r="CP723" s="72">
        <v>0</v>
      </c>
      <c r="CQ723" s="72">
        <v>0</v>
      </c>
      <c r="CR723" s="72">
        <v>0</v>
      </c>
      <c r="CS723" s="72">
        <v>0</v>
      </c>
      <c r="CT723" s="72">
        <v>0</v>
      </c>
      <c r="CU723" s="72">
        <v>0</v>
      </c>
      <c r="CV723" s="72">
        <v>0</v>
      </c>
      <c r="CW723" s="72">
        <v>0</v>
      </c>
      <c r="CX723" s="72">
        <v>0</v>
      </c>
      <c r="CY723" s="72">
        <v>0</v>
      </c>
      <c r="CZ723" s="72">
        <v>0</v>
      </c>
      <c r="DA723" s="72">
        <v>0</v>
      </c>
      <c r="DB723" s="72">
        <v>0</v>
      </c>
      <c r="DC723" s="72">
        <v>0</v>
      </c>
      <c r="DD723" s="72">
        <v>0</v>
      </c>
      <c r="DE723" s="72">
        <v>0</v>
      </c>
      <c r="DF723" s="72">
        <v>0</v>
      </c>
      <c r="DG723" s="72">
        <v>0</v>
      </c>
      <c r="DH723" s="72">
        <v>0</v>
      </c>
      <c r="DI723" s="72">
        <v>0</v>
      </c>
      <c r="DJ723" s="72">
        <v>0</v>
      </c>
      <c r="DK723" s="72">
        <v>0</v>
      </c>
      <c r="DL723" s="72">
        <v>0</v>
      </c>
      <c r="DM723" s="72">
        <v>0</v>
      </c>
      <c r="DN723" s="72">
        <v>0</v>
      </c>
      <c r="DO723" s="72">
        <v>0</v>
      </c>
      <c r="DP723" s="72">
        <v>0</v>
      </c>
      <c r="DQ723" s="72">
        <v>0</v>
      </c>
      <c r="DR723" s="72">
        <v>0</v>
      </c>
      <c r="DS723" s="72">
        <v>0</v>
      </c>
      <c r="DT723" s="72">
        <v>0</v>
      </c>
      <c r="DU723" s="72">
        <v>0</v>
      </c>
      <c r="DV723" s="72">
        <v>0</v>
      </c>
      <c r="DW723" s="72">
        <v>0</v>
      </c>
      <c r="DX723" s="72">
        <v>0</v>
      </c>
      <c r="DY723" s="72">
        <v>0</v>
      </c>
      <c r="DZ723" s="72">
        <v>0</v>
      </c>
      <c r="EA723" s="72">
        <v>0</v>
      </c>
      <c r="EB723" s="72">
        <v>0</v>
      </c>
      <c r="EC723" s="72">
        <v>0</v>
      </c>
      <c r="ED723" s="72">
        <v>0</v>
      </c>
      <c r="EE723" s="72">
        <v>0</v>
      </c>
      <c r="EF723" s="72">
        <v>0</v>
      </c>
      <c r="EG723" s="72">
        <v>0</v>
      </c>
      <c r="EH723" s="72">
        <v>0</v>
      </c>
      <c r="EI723" s="72">
        <v>0</v>
      </c>
      <c r="EJ723" s="72">
        <v>0</v>
      </c>
      <c r="EK723" s="72">
        <v>0</v>
      </c>
      <c r="EL723" s="72">
        <v>0</v>
      </c>
    </row>
    <row r="724" spans="1:142" x14ac:dyDescent="0.35">
      <c r="A724" s="59">
        <f>Данные!A724</f>
        <v>6370</v>
      </c>
      <c r="B724" s="59">
        <f>Данные!B724</f>
        <v>2018</v>
      </c>
      <c r="C724" s="59" t="str">
        <f>Данные!C724</f>
        <v>компьютерных технологий и электронного обучения</v>
      </c>
      <c r="D724" s="59" t="str">
        <f>Данные!D724</f>
        <v>Атаян Ануш Михайловна</v>
      </c>
      <c r="E724" s="59" t="str">
        <f>Данные!E724</f>
        <v>кандидат педагогических наук</v>
      </c>
      <c r="F724" s="59" t="str">
        <f>Данные!F724</f>
        <v>доцент</v>
      </c>
      <c r="G724" s="59">
        <f>Данные!G724</f>
        <v>1</v>
      </c>
      <c r="H724" s="59">
        <f>Данные!H724</f>
        <v>17048</v>
      </c>
      <c r="I724" s="59" t="str">
        <f>Данные!I724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24" s="59">
        <f>Данные!J724</f>
        <v>0</v>
      </c>
      <c r="K724" s="59">
        <f>Данные!K724</f>
        <v>0</v>
      </c>
      <c r="L724" s="59">
        <f>Данные!L724</f>
        <v>0</v>
      </c>
      <c r="M724" s="60">
        <f t="shared" si="99"/>
        <v>0</v>
      </c>
      <c r="N724" s="60">
        <f t="shared" ca="1" si="100"/>
        <v>5.3000000000000007</v>
      </c>
      <c r="O724" s="60">
        <f t="shared" ca="1" si="101"/>
        <v>2.5</v>
      </c>
      <c r="P724" s="60">
        <f t="shared" ca="1" si="102"/>
        <v>2.5</v>
      </c>
      <c r="Q724" s="54">
        <f>Данные!Q724</f>
        <v>0</v>
      </c>
      <c r="R724" s="54">
        <f>Данные!R724</f>
        <v>0</v>
      </c>
      <c r="S724" s="54">
        <f>Данные!S724</f>
        <v>0</v>
      </c>
      <c r="T724" s="54">
        <f>Данные!T724</f>
        <v>0</v>
      </c>
      <c r="U724" s="54">
        <f>Данные!U724</f>
        <v>5</v>
      </c>
      <c r="V724" s="54">
        <f>Данные!V724</f>
        <v>0</v>
      </c>
      <c r="W724" s="54">
        <f ca="1">Данные!W724</f>
        <v>10</v>
      </c>
      <c r="X724" s="54" t="str">
        <f ca="1">Данные!X724</f>
        <v>1</v>
      </c>
      <c r="Y724" s="54" t="str">
        <f ca="1">Данные!Y724</f>
        <v>1</v>
      </c>
      <c r="Z724" s="54">
        <f>Данные!Z724</f>
        <v>0</v>
      </c>
      <c r="AA724" s="54" t="str">
        <f>Данные!AA724</f>
        <v>осн</v>
      </c>
      <c r="AB724" s="101">
        <f t="shared" si="103"/>
        <v>800</v>
      </c>
      <c r="AC724" s="101" t="str">
        <f t="shared" si="104"/>
        <v>КЭО (маг)</v>
      </c>
      <c r="AD724" s="101" t="str">
        <f t="shared" si="105"/>
        <v/>
      </c>
      <c r="AE724" s="102">
        <f t="shared" ca="1" si="106"/>
        <v>15.3</v>
      </c>
      <c r="AF724" s="103">
        <f t="shared" ca="1" si="107"/>
        <v>1.9125E-2</v>
      </c>
      <c r="AG724" s="101"/>
      <c r="AH724" s="101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Q724" s="72">
        <v>0</v>
      </c>
      <c r="BR724" s="72">
        <v>0</v>
      </c>
      <c r="BS724" s="72">
        <v>0</v>
      </c>
      <c r="BT724" s="72">
        <v>0</v>
      </c>
      <c r="BU724" s="72">
        <v>0</v>
      </c>
      <c r="BV724" s="72">
        <v>0</v>
      </c>
      <c r="BW724" s="72">
        <v>0</v>
      </c>
      <c r="BX724" s="72">
        <v>0</v>
      </c>
      <c r="BY724" s="72">
        <v>0</v>
      </c>
      <c r="BZ724" s="72">
        <v>0</v>
      </c>
      <c r="CA724" s="72">
        <v>0</v>
      </c>
      <c r="CB724" s="72">
        <v>0</v>
      </c>
      <c r="CC724" s="72">
        <v>0</v>
      </c>
      <c r="CD724" s="72">
        <v>0</v>
      </c>
      <c r="CE724" s="72">
        <v>0</v>
      </c>
      <c r="CF724" s="72">
        <v>0</v>
      </c>
      <c r="CG724" s="72">
        <v>0</v>
      </c>
      <c r="CH724" s="72">
        <v>0</v>
      </c>
      <c r="CI724" s="72">
        <v>0</v>
      </c>
      <c r="CJ724" s="72">
        <v>0</v>
      </c>
      <c r="CK724" s="72">
        <v>0</v>
      </c>
      <c r="CL724" s="72">
        <v>0</v>
      </c>
      <c r="CM724" s="72">
        <v>0</v>
      </c>
      <c r="CN724" s="72">
        <v>0</v>
      </c>
      <c r="CO724" s="72">
        <v>0</v>
      </c>
      <c r="CP724" s="72">
        <v>0</v>
      </c>
      <c r="CQ724" s="72">
        <v>0</v>
      </c>
      <c r="CR724" s="72">
        <v>0</v>
      </c>
      <c r="CS724" s="72">
        <v>0</v>
      </c>
      <c r="CT724" s="72">
        <v>0</v>
      </c>
      <c r="CU724" s="72">
        <v>0</v>
      </c>
      <c r="CV724" s="72">
        <v>0</v>
      </c>
      <c r="CW724" s="72">
        <v>0</v>
      </c>
      <c r="CX724" s="72">
        <v>0</v>
      </c>
      <c r="CY724" s="72">
        <v>0</v>
      </c>
      <c r="CZ724" s="72">
        <v>0</v>
      </c>
      <c r="DA724" s="72">
        <v>0</v>
      </c>
      <c r="DB724" s="72">
        <v>0</v>
      </c>
      <c r="DC724" s="72">
        <v>0</v>
      </c>
      <c r="DD724" s="72">
        <v>0</v>
      </c>
      <c r="DE724" s="72">
        <v>0</v>
      </c>
      <c r="DF724" s="72">
        <v>0</v>
      </c>
      <c r="DG724" s="72">
        <v>0</v>
      </c>
      <c r="DH724" s="72">
        <v>0</v>
      </c>
      <c r="DI724" s="72">
        <v>0</v>
      </c>
      <c r="DJ724" s="72">
        <v>0</v>
      </c>
      <c r="DK724" s="72">
        <v>0</v>
      </c>
      <c r="DL724" s="72">
        <v>0</v>
      </c>
      <c r="DM724" s="72">
        <v>0</v>
      </c>
      <c r="DN724" s="72">
        <v>0</v>
      </c>
      <c r="DO724" s="72">
        <v>0</v>
      </c>
      <c r="DP724" s="72">
        <v>0</v>
      </c>
      <c r="DQ724" s="72">
        <v>0</v>
      </c>
      <c r="DR724" s="72">
        <v>0</v>
      </c>
      <c r="DS724" s="72">
        <v>0</v>
      </c>
      <c r="DT724" s="72">
        <v>0</v>
      </c>
      <c r="DU724" s="72">
        <v>0</v>
      </c>
      <c r="DV724" s="72">
        <v>0</v>
      </c>
      <c r="DW724" s="72">
        <v>0</v>
      </c>
      <c r="DX724" s="72">
        <v>0</v>
      </c>
      <c r="DY724" s="72">
        <v>0</v>
      </c>
      <c r="DZ724" s="72">
        <v>0</v>
      </c>
      <c r="EA724" s="72">
        <v>0</v>
      </c>
      <c r="EB724" s="72">
        <v>0</v>
      </c>
      <c r="EC724" s="72">
        <v>0</v>
      </c>
      <c r="ED724" s="72">
        <v>0</v>
      </c>
      <c r="EE724" s="72">
        <v>0</v>
      </c>
      <c r="EF724" s="72">
        <v>0</v>
      </c>
      <c r="EG724" s="72">
        <v>0</v>
      </c>
      <c r="EH724" s="72">
        <v>0</v>
      </c>
      <c r="EI724" s="72">
        <v>0</v>
      </c>
      <c r="EJ724" s="72">
        <v>0</v>
      </c>
      <c r="EK724" s="72">
        <v>0</v>
      </c>
      <c r="EL724" s="72">
        <v>0</v>
      </c>
    </row>
    <row r="725" spans="1:142" x14ac:dyDescent="0.35">
      <c r="A725" s="59">
        <f>Данные!A725</f>
        <v>6370</v>
      </c>
      <c r="B725" s="59">
        <f>Данные!B725</f>
        <v>2018</v>
      </c>
      <c r="C725" s="59" t="str">
        <f>Данные!C725</f>
        <v>компьютерных технологий и электронного обучения</v>
      </c>
      <c r="D725" s="59" t="str">
        <f>Данные!D725</f>
        <v>Атаян Ануш Михайловна</v>
      </c>
      <c r="E725" s="59" t="str">
        <f>Данные!E725</f>
        <v>кандидат педагогических наук</v>
      </c>
      <c r="F725" s="59" t="str">
        <f>Данные!F725</f>
        <v>доцент</v>
      </c>
      <c r="G725" s="59">
        <f>Данные!G725</f>
        <v>1</v>
      </c>
      <c r="H725" s="59">
        <f>Данные!H725</f>
        <v>17048</v>
      </c>
      <c r="I725" s="59" t="str">
        <f>Данные!I725</f>
        <v>Руководство ВКР (магистерская диссертация)</v>
      </c>
      <c r="J725" s="59">
        <f>Данные!J725</f>
        <v>0</v>
      </c>
      <c r="K725" s="59">
        <f>Данные!K725</f>
        <v>0</v>
      </c>
      <c r="L725" s="59">
        <f>Данные!L725</f>
        <v>0</v>
      </c>
      <c r="M725" s="60">
        <f t="shared" si="99"/>
        <v>0</v>
      </c>
      <c r="N725" s="60">
        <f t="shared" ca="1" si="100"/>
        <v>5.3000000000000007</v>
      </c>
      <c r="O725" s="60">
        <f t="shared" ca="1" si="101"/>
        <v>2.5</v>
      </c>
      <c r="P725" s="60">
        <f t="shared" ca="1" si="102"/>
        <v>2.5</v>
      </c>
      <c r="Q725" s="54">
        <f>Данные!Q725</f>
        <v>0</v>
      </c>
      <c r="R725" s="54">
        <f>Данные!R725</f>
        <v>0</v>
      </c>
      <c r="S725" s="54">
        <f>Данные!S725</f>
        <v>0</v>
      </c>
      <c r="T725" s="54">
        <f>Данные!T725</f>
        <v>0</v>
      </c>
      <c r="U725" s="54">
        <f>Данные!U725</f>
        <v>0</v>
      </c>
      <c r="V725" s="54">
        <f>Данные!V725</f>
        <v>18</v>
      </c>
      <c r="W725" s="54">
        <f ca="1">Данные!W725</f>
        <v>10</v>
      </c>
      <c r="X725" s="54" t="str">
        <f ca="1">Данные!X725</f>
        <v>1</v>
      </c>
      <c r="Y725" s="54" t="str">
        <f ca="1">Данные!Y725</f>
        <v>1</v>
      </c>
      <c r="Z725" s="54">
        <f>Данные!Z725</f>
        <v>0</v>
      </c>
      <c r="AA725" s="54" t="str">
        <f>Данные!AA725</f>
        <v>осн</v>
      </c>
      <c r="AB725" s="101">
        <f t="shared" si="103"/>
        <v>800</v>
      </c>
      <c r="AC725" s="101" t="str">
        <f t="shared" si="104"/>
        <v>КЭО (маг)</v>
      </c>
      <c r="AD725" s="101" t="str">
        <f t="shared" si="105"/>
        <v/>
      </c>
      <c r="AE725" s="102">
        <f t="shared" ca="1" si="106"/>
        <v>28.3</v>
      </c>
      <c r="AF725" s="103">
        <f t="shared" ca="1" si="107"/>
        <v>3.5375000000000004E-2</v>
      </c>
      <c r="AG725" s="101"/>
      <c r="AH725" s="101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Q725" s="72">
        <v>0</v>
      </c>
      <c r="BR725" s="72">
        <v>0</v>
      </c>
      <c r="BS725" s="72">
        <v>0</v>
      </c>
      <c r="BT725" s="72">
        <v>0</v>
      </c>
      <c r="BU725" s="72">
        <v>0</v>
      </c>
      <c r="BV725" s="72">
        <v>0</v>
      </c>
      <c r="BW725" s="72">
        <v>0</v>
      </c>
      <c r="BX725" s="72">
        <v>0</v>
      </c>
      <c r="BY725" s="72">
        <v>0</v>
      </c>
      <c r="BZ725" s="72">
        <v>0</v>
      </c>
      <c r="CA725" s="72">
        <v>0</v>
      </c>
      <c r="CB725" s="72">
        <v>0</v>
      </c>
      <c r="CC725" s="72">
        <v>0</v>
      </c>
      <c r="CD725" s="72">
        <v>0</v>
      </c>
      <c r="CE725" s="72">
        <v>0</v>
      </c>
      <c r="CF725" s="72">
        <v>0</v>
      </c>
      <c r="CG725" s="72">
        <v>0</v>
      </c>
      <c r="CH725" s="72">
        <v>0</v>
      </c>
      <c r="CI725" s="72">
        <v>0</v>
      </c>
      <c r="CJ725" s="72">
        <v>0</v>
      </c>
      <c r="CK725" s="72">
        <v>0</v>
      </c>
      <c r="CL725" s="72">
        <v>0</v>
      </c>
      <c r="CM725" s="72">
        <v>0</v>
      </c>
      <c r="CN725" s="72">
        <v>0</v>
      </c>
      <c r="CO725" s="72">
        <v>0</v>
      </c>
      <c r="CP725" s="72">
        <v>0</v>
      </c>
      <c r="CQ725" s="72">
        <v>0</v>
      </c>
      <c r="CR725" s="72">
        <v>0</v>
      </c>
      <c r="CS725" s="72">
        <v>0</v>
      </c>
      <c r="CT725" s="72">
        <v>0</v>
      </c>
      <c r="CU725" s="72">
        <v>0</v>
      </c>
      <c r="CV725" s="72">
        <v>0</v>
      </c>
      <c r="CW725" s="72">
        <v>0</v>
      </c>
      <c r="CX725" s="72">
        <v>0</v>
      </c>
      <c r="CY725" s="72">
        <v>0</v>
      </c>
      <c r="CZ725" s="72">
        <v>0</v>
      </c>
      <c r="DA725" s="72">
        <v>0</v>
      </c>
      <c r="DB725" s="72">
        <v>0</v>
      </c>
      <c r="DC725" s="72">
        <v>0</v>
      </c>
      <c r="DD725" s="72">
        <v>0</v>
      </c>
      <c r="DE725" s="72">
        <v>0</v>
      </c>
      <c r="DF725" s="72">
        <v>0</v>
      </c>
      <c r="DG725" s="72">
        <v>0</v>
      </c>
      <c r="DH725" s="72">
        <v>0</v>
      </c>
      <c r="DI725" s="72">
        <v>0</v>
      </c>
      <c r="DJ725" s="72">
        <v>0</v>
      </c>
      <c r="DK725" s="72">
        <v>0</v>
      </c>
      <c r="DL725" s="72">
        <v>0</v>
      </c>
      <c r="DM725" s="72">
        <v>0</v>
      </c>
      <c r="DN725" s="72">
        <v>0</v>
      </c>
      <c r="DO725" s="72">
        <v>0</v>
      </c>
      <c r="DP725" s="72">
        <v>0</v>
      </c>
      <c r="DQ725" s="72">
        <v>0</v>
      </c>
      <c r="DR725" s="72">
        <v>0</v>
      </c>
      <c r="DS725" s="72">
        <v>0</v>
      </c>
      <c r="DT725" s="72">
        <v>0</v>
      </c>
      <c r="DU725" s="72">
        <v>0</v>
      </c>
      <c r="DV725" s="72">
        <v>0</v>
      </c>
      <c r="DW725" s="72">
        <v>0</v>
      </c>
      <c r="DX725" s="72">
        <v>0</v>
      </c>
      <c r="DY725" s="72">
        <v>0</v>
      </c>
      <c r="DZ725" s="72">
        <v>0</v>
      </c>
      <c r="EA725" s="72">
        <v>0</v>
      </c>
      <c r="EB725" s="72">
        <v>0</v>
      </c>
      <c r="EC725" s="72">
        <v>0</v>
      </c>
      <c r="ED725" s="72">
        <v>0</v>
      </c>
      <c r="EE725" s="72">
        <v>0</v>
      </c>
      <c r="EF725" s="72">
        <v>0</v>
      </c>
      <c r="EG725" s="72">
        <v>0</v>
      </c>
      <c r="EH725" s="72">
        <v>0</v>
      </c>
      <c r="EI725" s="72">
        <v>0</v>
      </c>
      <c r="EJ725" s="72">
        <v>0</v>
      </c>
      <c r="EK725" s="72">
        <v>0</v>
      </c>
      <c r="EL725" s="72">
        <v>0</v>
      </c>
    </row>
    <row r="726" spans="1:142" x14ac:dyDescent="0.35">
      <c r="A726" s="59">
        <f>Данные!A726</f>
        <v>6370</v>
      </c>
      <c r="B726" s="59">
        <f>Данные!B726</f>
        <v>2018</v>
      </c>
      <c r="C726" s="59" t="str">
        <f>Данные!C726</f>
        <v>компьютерных технологий и электронного обучения</v>
      </c>
      <c r="D726" s="59" t="str">
        <f>Данные!D726</f>
        <v>Власова Елена Зотиковна</v>
      </c>
      <c r="E726" s="59" t="str">
        <f>Данные!E726</f>
        <v>доктор педагогических наук</v>
      </c>
      <c r="F726" s="59" t="str">
        <f>Данные!F726</f>
        <v>заведующий кафедрой</v>
      </c>
      <c r="G726" s="59">
        <f>Данные!G726</f>
        <v>1</v>
      </c>
      <c r="H726" s="59">
        <f>Данные!H726</f>
        <v>17048</v>
      </c>
      <c r="I726" s="59" t="str">
        <f>Данные!I726</f>
        <v>Модуль "IT- инфраструктура образовательного учреждения". Проектирование и разработка электронных образовательных ресурсов</v>
      </c>
      <c r="J726" s="59">
        <f>Данные!J726</f>
        <v>4</v>
      </c>
      <c r="K726" s="59">
        <f>Данные!K726</f>
        <v>0</v>
      </c>
      <c r="L726" s="59">
        <f>Данные!L726</f>
        <v>0</v>
      </c>
      <c r="M726" s="60">
        <f t="shared" si="99"/>
        <v>0.4</v>
      </c>
      <c r="N726" s="60">
        <f t="shared" ca="1" si="100"/>
        <v>5.3000000000000007</v>
      </c>
      <c r="O726" s="60">
        <f t="shared" ca="1" si="101"/>
        <v>2.5</v>
      </c>
      <c r="P726" s="60">
        <f t="shared" ca="1" si="102"/>
        <v>2.5</v>
      </c>
      <c r="Q726" s="54">
        <f>Данные!Q726</f>
        <v>0</v>
      </c>
      <c r="R726" s="54">
        <f>Данные!R726</f>
        <v>0</v>
      </c>
      <c r="S726" s="54">
        <f>Данные!S726</f>
        <v>0</v>
      </c>
      <c r="T726" s="54">
        <f>Данные!T726</f>
        <v>0</v>
      </c>
      <c r="U726" s="54">
        <f>Данные!U726</f>
        <v>0</v>
      </c>
      <c r="V726" s="54">
        <f>Данные!V726</f>
        <v>0</v>
      </c>
      <c r="W726" s="54">
        <f ca="1">Данные!W726</f>
        <v>10</v>
      </c>
      <c r="X726" s="54" t="str">
        <f ca="1">Данные!X726</f>
        <v>1</v>
      </c>
      <c r="Y726" s="54" t="str">
        <f ca="1">Данные!Y726</f>
        <v>1</v>
      </c>
      <c r="Z726" s="54">
        <f>Данные!Z726</f>
        <v>0</v>
      </c>
      <c r="AA726" s="54" t="str">
        <f>Данные!AA726</f>
        <v>осн</v>
      </c>
      <c r="AB726" s="101">
        <f t="shared" si="103"/>
        <v>700</v>
      </c>
      <c r="AC726" s="101" t="str">
        <f t="shared" si="104"/>
        <v>КЭО (маг)</v>
      </c>
      <c r="AD726" s="101" t="str">
        <f t="shared" si="105"/>
        <v/>
      </c>
      <c r="AE726" s="102">
        <f t="shared" ca="1" si="106"/>
        <v>14.700000000000001</v>
      </c>
      <c r="AF726" s="103">
        <f t="shared" ca="1" si="107"/>
        <v>2.1000000000000001E-2</v>
      </c>
      <c r="AG726" s="101"/>
      <c r="AH726" s="101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Q726" s="72">
        <v>0</v>
      </c>
      <c r="BR726" s="72">
        <v>0</v>
      </c>
      <c r="BS726" s="72">
        <v>0</v>
      </c>
      <c r="BT726" s="72">
        <v>0</v>
      </c>
      <c r="BU726" s="72">
        <v>0</v>
      </c>
      <c r="BV726" s="72">
        <v>0</v>
      </c>
      <c r="BW726" s="72">
        <v>0</v>
      </c>
      <c r="BX726" s="72">
        <v>0</v>
      </c>
      <c r="BY726" s="72">
        <v>0</v>
      </c>
      <c r="BZ726" s="72">
        <v>0</v>
      </c>
      <c r="CA726" s="72">
        <v>0</v>
      </c>
      <c r="CB726" s="72">
        <v>0</v>
      </c>
      <c r="CC726" s="72">
        <v>0</v>
      </c>
      <c r="CD726" s="72">
        <v>0</v>
      </c>
      <c r="CE726" s="72">
        <v>0</v>
      </c>
      <c r="CF726" s="72">
        <v>0</v>
      </c>
      <c r="CG726" s="72">
        <v>0</v>
      </c>
      <c r="CH726" s="72">
        <v>0</v>
      </c>
      <c r="CI726" s="72">
        <v>0</v>
      </c>
      <c r="CJ726" s="72">
        <v>0</v>
      </c>
      <c r="CK726" s="72">
        <v>0</v>
      </c>
      <c r="CL726" s="72">
        <v>0</v>
      </c>
      <c r="CM726" s="72">
        <v>0</v>
      </c>
      <c r="CN726" s="72">
        <v>0</v>
      </c>
      <c r="CO726" s="72">
        <v>0</v>
      </c>
      <c r="CP726" s="72">
        <v>0</v>
      </c>
      <c r="CQ726" s="72">
        <v>0</v>
      </c>
      <c r="CR726" s="72">
        <v>0</v>
      </c>
      <c r="CS726" s="72">
        <v>0</v>
      </c>
      <c r="CT726" s="72">
        <v>0</v>
      </c>
      <c r="CU726" s="72">
        <v>0</v>
      </c>
      <c r="CV726" s="72">
        <v>0</v>
      </c>
      <c r="CW726" s="72">
        <v>0</v>
      </c>
      <c r="CX726" s="72">
        <v>0</v>
      </c>
      <c r="CY726" s="72">
        <v>0</v>
      </c>
      <c r="CZ726" s="72">
        <v>0</v>
      </c>
      <c r="DA726" s="72">
        <v>0</v>
      </c>
      <c r="DB726" s="72">
        <v>0</v>
      </c>
      <c r="DC726" s="72">
        <v>0</v>
      </c>
      <c r="DD726" s="72">
        <v>0</v>
      </c>
      <c r="DE726" s="72">
        <v>0</v>
      </c>
      <c r="DF726" s="72">
        <v>0</v>
      </c>
      <c r="DG726" s="72">
        <v>0</v>
      </c>
      <c r="DH726" s="72">
        <v>0</v>
      </c>
      <c r="DI726" s="72">
        <v>0</v>
      </c>
      <c r="DJ726" s="72">
        <v>0</v>
      </c>
      <c r="DK726" s="72">
        <v>0</v>
      </c>
      <c r="DL726" s="72">
        <v>0</v>
      </c>
      <c r="DM726" s="72">
        <v>0</v>
      </c>
      <c r="DN726" s="72">
        <v>0</v>
      </c>
      <c r="DO726" s="72">
        <v>0</v>
      </c>
      <c r="DP726" s="72">
        <v>0</v>
      </c>
      <c r="DQ726" s="72">
        <v>0</v>
      </c>
      <c r="DR726" s="72">
        <v>0</v>
      </c>
      <c r="DS726" s="72">
        <v>0</v>
      </c>
      <c r="DT726" s="72">
        <v>0</v>
      </c>
      <c r="DU726" s="72">
        <v>0</v>
      </c>
      <c r="DV726" s="72">
        <v>0</v>
      </c>
      <c r="DW726" s="72">
        <v>0</v>
      </c>
      <c r="DX726" s="72">
        <v>0</v>
      </c>
      <c r="DY726" s="72">
        <v>0</v>
      </c>
      <c r="DZ726" s="72">
        <v>0</v>
      </c>
      <c r="EA726" s="72">
        <v>0</v>
      </c>
      <c r="EB726" s="72">
        <v>0</v>
      </c>
      <c r="EC726" s="72">
        <v>0</v>
      </c>
      <c r="ED726" s="72">
        <v>0</v>
      </c>
      <c r="EE726" s="72">
        <v>0</v>
      </c>
      <c r="EF726" s="72">
        <v>0</v>
      </c>
      <c r="EG726" s="72">
        <v>0</v>
      </c>
      <c r="EH726" s="72">
        <v>0</v>
      </c>
      <c r="EI726" s="72">
        <v>0</v>
      </c>
      <c r="EJ726" s="72">
        <v>0</v>
      </c>
      <c r="EK726" s="72">
        <v>0</v>
      </c>
      <c r="EL726" s="72">
        <v>0</v>
      </c>
    </row>
    <row r="727" spans="1:142" x14ac:dyDescent="0.35">
      <c r="A727" s="59">
        <f>Данные!A727</f>
        <v>6370</v>
      </c>
      <c r="B727" s="59">
        <f>Данные!B727</f>
        <v>2018</v>
      </c>
      <c r="C727" s="59" t="str">
        <f>Данные!C727</f>
        <v>компьютерных технологий и электронного обучения</v>
      </c>
      <c r="D727" s="59" t="str">
        <f>Данные!D727</f>
        <v>Власова Елена Зотиковна</v>
      </c>
      <c r="E727" s="59" t="str">
        <f>Данные!E727</f>
        <v>доктор педагогических наук</v>
      </c>
      <c r="F727" s="59" t="str">
        <f>Данные!F727</f>
        <v>заведующий кафедрой</v>
      </c>
      <c r="G727" s="59">
        <f>Данные!G727</f>
        <v>1</v>
      </c>
      <c r="H727" s="59">
        <f>Данные!H727</f>
        <v>17048</v>
      </c>
      <c r="I727" s="59" t="str">
        <f>Данные!I727</f>
        <v>Модуль "IT- инфраструктура образовательного учреждения". Управление IT- проектами для корпоративного обучения</v>
      </c>
      <c r="J727" s="59">
        <f>Данные!J727</f>
        <v>4</v>
      </c>
      <c r="K727" s="59">
        <f>Данные!K727</f>
        <v>0</v>
      </c>
      <c r="L727" s="59">
        <f>Данные!L727</f>
        <v>0</v>
      </c>
      <c r="M727" s="60">
        <f t="shared" si="99"/>
        <v>0.4</v>
      </c>
      <c r="N727" s="60">
        <f t="shared" ca="1" si="100"/>
        <v>5.3000000000000007</v>
      </c>
      <c r="O727" s="60">
        <f t="shared" ca="1" si="101"/>
        <v>2.5</v>
      </c>
      <c r="P727" s="60">
        <f t="shared" ca="1" si="102"/>
        <v>2.5</v>
      </c>
      <c r="Q727" s="54">
        <f>Данные!Q727</f>
        <v>0</v>
      </c>
      <c r="R727" s="54">
        <f>Данные!R727</f>
        <v>0</v>
      </c>
      <c r="S727" s="54">
        <f>Данные!S727</f>
        <v>0</v>
      </c>
      <c r="T727" s="54">
        <f>Данные!T727</f>
        <v>0</v>
      </c>
      <c r="U727" s="54">
        <f>Данные!U727</f>
        <v>0</v>
      </c>
      <c r="V727" s="54">
        <f>Данные!V727</f>
        <v>0</v>
      </c>
      <c r="W727" s="54">
        <f ca="1">Данные!W727</f>
        <v>10</v>
      </c>
      <c r="X727" s="54" t="str">
        <f ca="1">Данные!X727</f>
        <v>1</v>
      </c>
      <c r="Y727" s="54" t="str">
        <f ca="1">Данные!Y727</f>
        <v>1</v>
      </c>
      <c r="Z727" s="54">
        <f>Данные!Z727</f>
        <v>0</v>
      </c>
      <c r="AA727" s="54" t="str">
        <f>Данные!AA727</f>
        <v>доп</v>
      </c>
      <c r="AB727" s="101">
        <f t="shared" si="103"/>
        <v>700</v>
      </c>
      <c r="AC727" s="101" t="str">
        <f t="shared" si="104"/>
        <v>КЭО (маг)</v>
      </c>
      <c r="AD727" s="101" t="str">
        <f t="shared" si="105"/>
        <v/>
      </c>
      <c r="AE727" s="102">
        <f t="shared" ca="1" si="106"/>
        <v>14.700000000000001</v>
      </c>
      <c r="AF727" s="103">
        <f t="shared" ca="1" si="107"/>
        <v>2.1000000000000001E-2</v>
      </c>
      <c r="AG727" s="101"/>
      <c r="AH727" s="101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Q727" s="72">
        <v>0</v>
      </c>
      <c r="BR727" s="72">
        <v>0</v>
      </c>
      <c r="BS727" s="72">
        <v>0</v>
      </c>
      <c r="BT727" s="72">
        <v>0</v>
      </c>
      <c r="BU727" s="72">
        <v>0</v>
      </c>
      <c r="BV727" s="72">
        <v>0</v>
      </c>
      <c r="BW727" s="72">
        <v>0</v>
      </c>
      <c r="BX727" s="72">
        <v>0</v>
      </c>
      <c r="BY727" s="72">
        <v>0</v>
      </c>
      <c r="BZ727" s="72">
        <v>0</v>
      </c>
      <c r="CA727" s="72">
        <v>0</v>
      </c>
      <c r="CB727" s="72">
        <v>0</v>
      </c>
      <c r="CC727" s="72">
        <v>0</v>
      </c>
      <c r="CD727" s="72">
        <v>0</v>
      </c>
      <c r="CE727" s="72">
        <v>0</v>
      </c>
      <c r="CF727" s="72">
        <v>0</v>
      </c>
      <c r="CG727" s="72">
        <v>0</v>
      </c>
      <c r="CH727" s="72">
        <v>0</v>
      </c>
      <c r="CI727" s="72">
        <v>0</v>
      </c>
      <c r="CJ727" s="72">
        <v>0</v>
      </c>
      <c r="CK727" s="72">
        <v>0</v>
      </c>
      <c r="CL727" s="72">
        <v>0</v>
      </c>
      <c r="CM727" s="72">
        <v>0</v>
      </c>
      <c r="CN727" s="72">
        <v>0</v>
      </c>
      <c r="CO727" s="72">
        <v>0</v>
      </c>
      <c r="CP727" s="72">
        <v>0</v>
      </c>
      <c r="CQ727" s="72">
        <v>0</v>
      </c>
      <c r="CR727" s="72">
        <v>0</v>
      </c>
      <c r="CS727" s="72">
        <v>0</v>
      </c>
      <c r="CT727" s="72">
        <v>0</v>
      </c>
      <c r="CU727" s="72">
        <v>0</v>
      </c>
      <c r="CV727" s="72">
        <v>0</v>
      </c>
      <c r="CW727" s="72">
        <v>0</v>
      </c>
      <c r="CX727" s="72">
        <v>0</v>
      </c>
      <c r="CY727" s="72">
        <v>0</v>
      </c>
      <c r="CZ727" s="72">
        <v>0</v>
      </c>
      <c r="DA727" s="72">
        <v>0</v>
      </c>
      <c r="DB727" s="72">
        <v>0</v>
      </c>
      <c r="DC727" s="72">
        <v>0</v>
      </c>
      <c r="DD727" s="72">
        <v>0</v>
      </c>
      <c r="DE727" s="72">
        <v>0</v>
      </c>
      <c r="DF727" s="72">
        <v>0</v>
      </c>
      <c r="DG727" s="72">
        <v>0</v>
      </c>
      <c r="DH727" s="72">
        <v>0</v>
      </c>
      <c r="DI727" s="72">
        <v>0</v>
      </c>
      <c r="DJ727" s="72">
        <v>0</v>
      </c>
      <c r="DK727" s="72">
        <v>0</v>
      </c>
      <c r="DL727" s="72">
        <v>0</v>
      </c>
      <c r="DM727" s="72">
        <v>0</v>
      </c>
      <c r="DN727" s="72">
        <v>0</v>
      </c>
      <c r="DO727" s="72">
        <v>0</v>
      </c>
      <c r="DP727" s="72">
        <v>0</v>
      </c>
      <c r="DQ727" s="72">
        <v>0</v>
      </c>
      <c r="DR727" s="72">
        <v>0</v>
      </c>
      <c r="DS727" s="72">
        <v>0</v>
      </c>
      <c r="DT727" s="72">
        <v>0</v>
      </c>
      <c r="DU727" s="72">
        <v>0</v>
      </c>
      <c r="DV727" s="72">
        <v>0</v>
      </c>
      <c r="DW727" s="72">
        <v>0</v>
      </c>
      <c r="DX727" s="72">
        <v>0</v>
      </c>
      <c r="DY727" s="72">
        <v>0</v>
      </c>
      <c r="DZ727" s="72">
        <v>0</v>
      </c>
      <c r="EA727" s="72">
        <v>0</v>
      </c>
      <c r="EB727" s="72">
        <v>0</v>
      </c>
      <c r="EC727" s="72">
        <v>0</v>
      </c>
      <c r="ED727" s="72">
        <v>0</v>
      </c>
      <c r="EE727" s="72">
        <v>0</v>
      </c>
      <c r="EF727" s="72">
        <v>0</v>
      </c>
      <c r="EG727" s="72">
        <v>0</v>
      </c>
      <c r="EH727" s="72">
        <v>0</v>
      </c>
      <c r="EI727" s="72">
        <v>0</v>
      </c>
      <c r="EJ727" s="72">
        <v>0</v>
      </c>
      <c r="EK727" s="72">
        <v>0</v>
      </c>
      <c r="EL727" s="72">
        <v>0</v>
      </c>
    </row>
    <row r="728" spans="1:142" x14ac:dyDescent="0.35">
      <c r="A728" s="59">
        <f>Данные!A728</f>
        <v>6370</v>
      </c>
      <c r="B728" s="59">
        <f>Данные!B728</f>
        <v>2018</v>
      </c>
      <c r="C728" s="59" t="str">
        <f>Данные!C728</f>
        <v>компьютерных технологий и электронного обучения</v>
      </c>
      <c r="D728" s="59" t="str">
        <f>Данные!D728</f>
        <v>Власова Елена Зотиковна</v>
      </c>
      <c r="E728" s="59" t="str">
        <f>Данные!E728</f>
        <v>доктор педагогических наук</v>
      </c>
      <c r="F728" s="59" t="str">
        <f>Данные!F728</f>
        <v>заведующий кафедрой</v>
      </c>
      <c r="G728" s="59">
        <f>Данные!G728</f>
        <v>1</v>
      </c>
      <c r="H728" s="59">
        <f>Данные!H728</f>
        <v>17048</v>
      </c>
      <c r="I728" s="59" t="str">
        <f>Данные!I728</f>
        <v>Модуль "Прикладные информационные технологии в образовательном процессе"</v>
      </c>
      <c r="J728" s="59">
        <f>Данные!J728</f>
        <v>0</v>
      </c>
      <c r="K728" s="59">
        <f>Данные!K728</f>
        <v>0</v>
      </c>
      <c r="L728" s="59">
        <f>Данные!L728</f>
        <v>0</v>
      </c>
      <c r="M728" s="60">
        <f t="shared" si="99"/>
        <v>0</v>
      </c>
      <c r="N728" s="60">
        <f t="shared" ca="1" si="100"/>
        <v>5.3000000000000007</v>
      </c>
      <c r="O728" s="60">
        <f t="shared" ca="1" si="101"/>
        <v>2.5</v>
      </c>
      <c r="P728" s="60">
        <f t="shared" ca="1" si="102"/>
        <v>2.5</v>
      </c>
      <c r="Q728" s="54">
        <f>Данные!Q728</f>
        <v>0</v>
      </c>
      <c r="R728" s="54">
        <f>Данные!R728</f>
        <v>0</v>
      </c>
      <c r="S728" s="54">
        <f>Данные!S728</f>
        <v>0</v>
      </c>
      <c r="T728" s="54">
        <f>Данные!T728</f>
        <v>0</v>
      </c>
      <c r="U728" s="54">
        <f>Данные!U728</f>
        <v>0</v>
      </c>
      <c r="V728" s="54">
        <f>Данные!V728</f>
        <v>0</v>
      </c>
      <c r="W728" s="54">
        <f ca="1">Данные!W728</f>
        <v>10</v>
      </c>
      <c r="X728" s="54" t="str">
        <f ca="1">Данные!X728</f>
        <v>1</v>
      </c>
      <c r="Y728" s="54" t="str">
        <f ca="1">Данные!Y728</f>
        <v>1</v>
      </c>
      <c r="Z728" s="54">
        <f>Данные!Z728</f>
        <v>0</v>
      </c>
      <c r="AA728" s="54" t="str">
        <f>Данные!AA728</f>
        <v>осн</v>
      </c>
      <c r="AB728" s="101">
        <f t="shared" si="103"/>
        <v>700</v>
      </c>
      <c r="AC728" s="101" t="str">
        <f t="shared" si="104"/>
        <v>КЭО (маг)</v>
      </c>
      <c r="AD728" s="101" t="str">
        <f t="shared" si="105"/>
        <v/>
      </c>
      <c r="AE728" s="102">
        <f t="shared" ca="1" si="106"/>
        <v>10.3</v>
      </c>
      <c r="AF728" s="103">
        <f t="shared" ca="1" si="107"/>
        <v>1.4714285714285714E-2</v>
      </c>
      <c r="AG728" s="101"/>
      <c r="AH728" s="101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Q728" s="72">
        <v>0</v>
      </c>
      <c r="BR728" s="72">
        <v>0</v>
      </c>
      <c r="BS728" s="72">
        <v>0</v>
      </c>
      <c r="BT728" s="72">
        <v>0</v>
      </c>
      <c r="BU728" s="72">
        <v>0</v>
      </c>
      <c r="BV728" s="72">
        <v>0</v>
      </c>
      <c r="BW728" s="72">
        <v>0</v>
      </c>
      <c r="BX728" s="72">
        <v>0</v>
      </c>
      <c r="BY728" s="72">
        <v>0</v>
      </c>
      <c r="BZ728" s="72">
        <v>0</v>
      </c>
      <c r="CA728" s="72">
        <v>0</v>
      </c>
      <c r="CB728" s="72">
        <v>0</v>
      </c>
      <c r="CC728" s="72">
        <v>0</v>
      </c>
      <c r="CD728" s="72">
        <v>0</v>
      </c>
      <c r="CE728" s="72">
        <v>0</v>
      </c>
      <c r="CF728" s="72">
        <v>0</v>
      </c>
      <c r="CG728" s="72">
        <v>0</v>
      </c>
      <c r="CH728" s="72">
        <v>0</v>
      </c>
      <c r="CI728" s="72">
        <v>0</v>
      </c>
      <c r="CJ728" s="72">
        <v>0</v>
      </c>
      <c r="CK728" s="72">
        <v>0</v>
      </c>
      <c r="CL728" s="72">
        <v>0</v>
      </c>
      <c r="CM728" s="72">
        <v>0</v>
      </c>
      <c r="CN728" s="72">
        <v>0</v>
      </c>
      <c r="CO728" s="72">
        <v>0</v>
      </c>
      <c r="CP728" s="72">
        <v>0</v>
      </c>
      <c r="CQ728" s="72">
        <v>0</v>
      </c>
      <c r="CR728" s="72">
        <v>0</v>
      </c>
      <c r="CS728" s="72">
        <v>0</v>
      </c>
      <c r="CT728" s="72">
        <v>0</v>
      </c>
      <c r="CU728" s="72">
        <v>0</v>
      </c>
      <c r="CV728" s="72">
        <v>0</v>
      </c>
      <c r="CW728" s="72">
        <v>0</v>
      </c>
      <c r="CX728" s="72">
        <v>0</v>
      </c>
      <c r="CY728" s="72">
        <v>0</v>
      </c>
      <c r="CZ728" s="72">
        <v>0</v>
      </c>
      <c r="DA728" s="72">
        <v>0</v>
      </c>
      <c r="DB728" s="72">
        <v>0</v>
      </c>
      <c r="DC728" s="72">
        <v>0</v>
      </c>
      <c r="DD728" s="72">
        <v>0</v>
      </c>
      <c r="DE728" s="72">
        <v>0</v>
      </c>
      <c r="DF728" s="72">
        <v>0</v>
      </c>
      <c r="DG728" s="72">
        <v>0</v>
      </c>
      <c r="DH728" s="72">
        <v>0</v>
      </c>
      <c r="DI728" s="72">
        <v>0</v>
      </c>
      <c r="DJ728" s="72">
        <v>0</v>
      </c>
      <c r="DK728" s="72">
        <v>0</v>
      </c>
      <c r="DL728" s="72">
        <v>0</v>
      </c>
      <c r="DM728" s="72">
        <v>0</v>
      </c>
      <c r="DN728" s="72">
        <v>0</v>
      </c>
      <c r="DO728" s="72">
        <v>0</v>
      </c>
      <c r="DP728" s="72">
        <v>0</v>
      </c>
      <c r="DQ728" s="72">
        <v>0</v>
      </c>
      <c r="DR728" s="72">
        <v>0</v>
      </c>
      <c r="DS728" s="72">
        <v>0</v>
      </c>
      <c r="DT728" s="72">
        <v>0</v>
      </c>
      <c r="DU728" s="72">
        <v>0</v>
      </c>
      <c r="DV728" s="72">
        <v>0</v>
      </c>
      <c r="DW728" s="72">
        <v>0</v>
      </c>
      <c r="DX728" s="72">
        <v>0</v>
      </c>
      <c r="DY728" s="72">
        <v>0</v>
      </c>
      <c r="DZ728" s="72">
        <v>0</v>
      </c>
      <c r="EA728" s="72">
        <v>0</v>
      </c>
      <c r="EB728" s="72">
        <v>0</v>
      </c>
      <c r="EC728" s="72">
        <v>0</v>
      </c>
      <c r="ED728" s="72">
        <v>0</v>
      </c>
      <c r="EE728" s="72">
        <v>0</v>
      </c>
      <c r="EF728" s="72">
        <v>0</v>
      </c>
      <c r="EG728" s="72">
        <v>0</v>
      </c>
      <c r="EH728" s="72">
        <v>0</v>
      </c>
      <c r="EI728" s="72">
        <v>0</v>
      </c>
      <c r="EJ728" s="72">
        <v>0</v>
      </c>
      <c r="EK728" s="72">
        <v>0</v>
      </c>
      <c r="EL728" s="72">
        <v>0</v>
      </c>
    </row>
    <row r="729" spans="1:142" x14ac:dyDescent="0.35">
      <c r="A729" s="59">
        <f>Данные!A729</f>
        <v>6370</v>
      </c>
      <c r="B729" s="59">
        <f>Данные!B729</f>
        <v>2018</v>
      </c>
      <c r="C729" s="59" t="str">
        <f>Данные!C729</f>
        <v>компьютерных технологий и электронного обучения</v>
      </c>
      <c r="D729" s="59" t="str">
        <f>Данные!D729</f>
        <v>Власова Елена Зотиковна</v>
      </c>
      <c r="E729" s="59" t="str">
        <f>Данные!E729</f>
        <v>доктор педагогических наук</v>
      </c>
      <c r="F729" s="59" t="str">
        <f>Данные!F729</f>
        <v>заведующий кафедрой</v>
      </c>
      <c r="G729" s="59">
        <f>Данные!G729</f>
        <v>1</v>
      </c>
      <c r="H729" s="59">
        <f>Данные!H729</f>
        <v>17048</v>
      </c>
      <c r="I729" s="59" t="str">
        <f>Данные!I729</f>
        <v>Модуль "Прикладные информационные технологии в образовательном процессе". E-learning решения управления знаниями в образовательных учреждениях</v>
      </c>
      <c r="J729" s="59">
        <f>Данные!J729</f>
        <v>2</v>
      </c>
      <c r="K729" s="59">
        <f>Данные!K729</f>
        <v>0</v>
      </c>
      <c r="L729" s="59">
        <f>Данные!L729</f>
        <v>0</v>
      </c>
      <c r="M729" s="60">
        <f t="shared" si="99"/>
        <v>0.2</v>
      </c>
      <c r="N729" s="60">
        <f t="shared" ca="1" si="100"/>
        <v>5.3000000000000007</v>
      </c>
      <c r="O729" s="60">
        <f t="shared" ca="1" si="101"/>
        <v>2.5</v>
      </c>
      <c r="P729" s="60">
        <f t="shared" ca="1" si="102"/>
        <v>2.5</v>
      </c>
      <c r="Q729" s="54">
        <f>Данные!Q729</f>
        <v>0</v>
      </c>
      <c r="R729" s="54">
        <f>Данные!R729</f>
        <v>0</v>
      </c>
      <c r="S729" s="54">
        <f>Данные!S729</f>
        <v>0</v>
      </c>
      <c r="T729" s="54">
        <f>Данные!T729</f>
        <v>0</v>
      </c>
      <c r="U729" s="54">
        <f>Данные!U729</f>
        <v>0</v>
      </c>
      <c r="V729" s="54">
        <f>Данные!V729</f>
        <v>0</v>
      </c>
      <c r="W729" s="54">
        <f ca="1">Данные!W729</f>
        <v>10</v>
      </c>
      <c r="X729" s="54" t="str">
        <f ca="1">Данные!X729</f>
        <v>1</v>
      </c>
      <c r="Y729" s="54" t="str">
        <f ca="1">Данные!Y729</f>
        <v>1</v>
      </c>
      <c r="Z729" s="54">
        <f>Данные!Z729</f>
        <v>0</v>
      </c>
      <c r="AA729" s="54" t="str">
        <f>Данные!AA729</f>
        <v>доп</v>
      </c>
      <c r="AB729" s="101">
        <f t="shared" si="103"/>
        <v>700</v>
      </c>
      <c r="AC729" s="101" t="str">
        <f t="shared" si="104"/>
        <v>КЭО (маг)</v>
      </c>
      <c r="AD729" s="101" t="str">
        <f t="shared" si="105"/>
        <v/>
      </c>
      <c r="AE729" s="102">
        <f t="shared" ca="1" si="106"/>
        <v>12.5</v>
      </c>
      <c r="AF729" s="103">
        <f t="shared" ca="1" si="107"/>
        <v>1.7857142857142856E-2</v>
      </c>
      <c r="AG729" s="101"/>
      <c r="AH729" s="101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Q729" s="72">
        <v>0</v>
      </c>
      <c r="BR729" s="72">
        <v>0</v>
      </c>
      <c r="BS729" s="72">
        <v>0</v>
      </c>
      <c r="BT729" s="72">
        <v>0</v>
      </c>
      <c r="BU729" s="72">
        <v>0</v>
      </c>
      <c r="BV729" s="72">
        <v>0</v>
      </c>
      <c r="BW729" s="72">
        <v>0</v>
      </c>
      <c r="BX729" s="72">
        <v>0</v>
      </c>
      <c r="BY729" s="72">
        <v>0</v>
      </c>
      <c r="BZ729" s="72">
        <v>0</v>
      </c>
      <c r="CA729" s="72">
        <v>0</v>
      </c>
      <c r="CB729" s="72">
        <v>0</v>
      </c>
      <c r="CC729" s="72">
        <v>0</v>
      </c>
      <c r="CD729" s="72">
        <v>0</v>
      </c>
      <c r="CE729" s="72">
        <v>0</v>
      </c>
      <c r="CF729" s="72">
        <v>0</v>
      </c>
      <c r="CG729" s="72">
        <v>0</v>
      </c>
      <c r="CH729" s="72">
        <v>0</v>
      </c>
      <c r="CI729" s="72">
        <v>0</v>
      </c>
      <c r="CJ729" s="72">
        <v>0</v>
      </c>
      <c r="CK729" s="72">
        <v>0</v>
      </c>
      <c r="CL729" s="72">
        <v>0</v>
      </c>
      <c r="CM729" s="72">
        <v>0</v>
      </c>
      <c r="CN729" s="72">
        <v>0</v>
      </c>
      <c r="CO729" s="72">
        <v>0</v>
      </c>
      <c r="CP729" s="72">
        <v>0</v>
      </c>
      <c r="CQ729" s="72">
        <v>0</v>
      </c>
      <c r="CR729" s="72">
        <v>0</v>
      </c>
      <c r="CS729" s="72">
        <v>0</v>
      </c>
      <c r="CT729" s="72">
        <v>0</v>
      </c>
      <c r="CU729" s="72">
        <v>0</v>
      </c>
      <c r="CV729" s="72">
        <v>0</v>
      </c>
      <c r="CW729" s="72">
        <v>0</v>
      </c>
      <c r="CX729" s="72">
        <v>0</v>
      </c>
      <c r="CY729" s="72">
        <v>0</v>
      </c>
      <c r="CZ729" s="72">
        <v>0</v>
      </c>
      <c r="DA729" s="72">
        <v>0</v>
      </c>
      <c r="DB729" s="72">
        <v>0</v>
      </c>
      <c r="DC729" s="72">
        <v>0</v>
      </c>
      <c r="DD729" s="72">
        <v>0</v>
      </c>
      <c r="DE729" s="72">
        <v>0</v>
      </c>
      <c r="DF729" s="72">
        <v>0</v>
      </c>
      <c r="DG729" s="72">
        <v>0</v>
      </c>
      <c r="DH729" s="72">
        <v>0</v>
      </c>
      <c r="DI729" s="72">
        <v>0</v>
      </c>
      <c r="DJ729" s="72">
        <v>0</v>
      </c>
      <c r="DK729" s="72">
        <v>0</v>
      </c>
      <c r="DL729" s="72">
        <v>0</v>
      </c>
      <c r="DM729" s="72">
        <v>0</v>
      </c>
      <c r="DN729" s="72">
        <v>0</v>
      </c>
      <c r="DO729" s="72">
        <v>0</v>
      </c>
      <c r="DP729" s="72">
        <v>0</v>
      </c>
      <c r="DQ729" s="72">
        <v>0</v>
      </c>
      <c r="DR729" s="72">
        <v>0</v>
      </c>
      <c r="DS729" s="72">
        <v>0</v>
      </c>
      <c r="DT729" s="72">
        <v>0</v>
      </c>
      <c r="DU729" s="72">
        <v>0</v>
      </c>
      <c r="DV729" s="72">
        <v>0</v>
      </c>
      <c r="DW729" s="72">
        <v>0</v>
      </c>
      <c r="DX729" s="72">
        <v>0</v>
      </c>
      <c r="DY729" s="72">
        <v>0</v>
      </c>
      <c r="DZ729" s="72">
        <v>0</v>
      </c>
      <c r="EA729" s="72">
        <v>0</v>
      </c>
      <c r="EB729" s="72">
        <v>0</v>
      </c>
      <c r="EC729" s="72">
        <v>0</v>
      </c>
      <c r="ED729" s="72">
        <v>0</v>
      </c>
      <c r="EE729" s="72">
        <v>0</v>
      </c>
      <c r="EF729" s="72">
        <v>0</v>
      </c>
      <c r="EG729" s="72">
        <v>0</v>
      </c>
      <c r="EH729" s="72">
        <v>0</v>
      </c>
      <c r="EI729" s="72">
        <v>0</v>
      </c>
      <c r="EJ729" s="72">
        <v>0</v>
      </c>
      <c r="EK729" s="72">
        <v>0</v>
      </c>
      <c r="EL729" s="72">
        <v>0</v>
      </c>
    </row>
    <row r="730" spans="1:142" x14ac:dyDescent="0.35">
      <c r="A730" s="59">
        <f>Данные!A730</f>
        <v>6370</v>
      </c>
      <c r="B730" s="59">
        <f>Данные!B730</f>
        <v>2018</v>
      </c>
      <c r="C730" s="59" t="str">
        <f>Данные!C730</f>
        <v>компьютерных технологий и электронного обучения</v>
      </c>
      <c r="D730" s="59" t="str">
        <f>Данные!D730</f>
        <v>Власова Елена Зотиковна</v>
      </c>
      <c r="E730" s="59" t="str">
        <f>Данные!E730</f>
        <v>доктор педагогических наук</v>
      </c>
      <c r="F730" s="59" t="str">
        <f>Данные!F730</f>
        <v>заведующий кафедрой</v>
      </c>
      <c r="G730" s="59">
        <f>Данные!G730</f>
        <v>1</v>
      </c>
      <c r="H730" s="59">
        <f>Данные!H730</f>
        <v>17048</v>
      </c>
      <c r="I730" s="59" t="str">
        <f>Данные!I730</f>
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</c>
      <c r="J730" s="59">
        <f>Данные!J730</f>
        <v>4</v>
      </c>
      <c r="K730" s="59">
        <f>Данные!K730</f>
        <v>0</v>
      </c>
      <c r="L730" s="59">
        <f>Данные!L730</f>
        <v>0</v>
      </c>
      <c r="M730" s="60">
        <f t="shared" si="99"/>
        <v>0.4</v>
      </c>
      <c r="N730" s="60">
        <f t="shared" ca="1" si="100"/>
        <v>5.3000000000000007</v>
      </c>
      <c r="O730" s="60">
        <f t="shared" ca="1" si="101"/>
        <v>2.5</v>
      </c>
      <c r="P730" s="60">
        <f t="shared" ca="1" si="102"/>
        <v>2.5</v>
      </c>
      <c r="Q730" s="54">
        <f>Данные!Q730</f>
        <v>0</v>
      </c>
      <c r="R730" s="54">
        <f>Данные!R730</f>
        <v>0</v>
      </c>
      <c r="S730" s="54">
        <f>Данные!S730</f>
        <v>0</v>
      </c>
      <c r="T730" s="54">
        <f>Данные!T730</f>
        <v>0</v>
      </c>
      <c r="U730" s="54">
        <f>Данные!U730</f>
        <v>0</v>
      </c>
      <c r="V730" s="54">
        <f>Данные!V730</f>
        <v>0</v>
      </c>
      <c r="W730" s="54">
        <f ca="1">Данные!W730</f>
        <v>10</v>
      </c>
      <c r="X730" s="54" t="str">
        <f ca="1">Данные!X730</f>
        <v>1</v>
      </c>
      <c r="Y730" s="54" t="str">
        <f ca="1">Данные!Y730</f>
        <v>1</v>
      </c>
      <c r="Z730" s="54">
        <f>Данные!Z730</f>
        <v>0</v>
      </c>
      <c r="AA730" s="54" t="str">
        <f>Данные!AA730</f>
        <v>доп</v>
      </c>
      <c r="AB730" s="101">
        <f t="shared" si="103"/>
        <v>700</v>
      </c>
      <c r="AC730" s="101" t="str">
        <f t="shared" si="104"/>
        <v>КЭО (маг)</v>
      </c>
      <c r="AD730" s="101" t="str">
        <f t="shared" si="105"/>
        <v/>
      </c>
      <c r="AE730" s="102">
        <f t="shared" ca="1" si="106"/>
        <v>14.700000000000001</v>
      </c>
      <c r="AF730" s="103">
        <f t="shared" ca="1" si="107"/>
        <v>2.1000000000000001E-2</v>
      </c>
      <c r="AG730" s="101"/>
      <c r="AH730" s="101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Q730" s="72">
        <v>0</v>
      </c>
      <c r="BR730" s="72">
        <v>0</v>
      </c>
      <c r="BS730" s="72">
        <v>0</v>
      </c>
      <c r="BT730" s="72">
        <v>0</v>
      </c>
      <c r="BU730" s="72">
        <v>0</v>
      </c>
      <c r="BV730" s="72">
        <v>0</v>
      </c>
      <c r="BW730" s="72">
        <v>0</v>
      </c>
      <c r="BX730" s="72">
        <v>0</v>
      </c>
      <c r="BY730" s="72">
        <v>0</v>
      </c>
      <c r="BZ730" s="72">
        <v>0</v>
      </c>
      <c r="CA730" s="72">
        <v>0</v>
      </c>
      <c r="CB730" s="72">
        <v>0</v>
      </c>
      <c r="CC730" s="72">
        <v>0</v>
      </c>
      <c r="CD730" s="72">
        <v>0</v>
      </c>
      <c r="CE730" s="72">
        <v>0</v>
      </c>
      <c r="CF730" s="72">
        <v>0</v>
      </c>
      <c r="CG730" s="72">
        <v>0</v>
      </c>
      <c r="CH730" s="72">
        <v>0</v>
      </c>
      <c r="CI730" s="72">
        <v>0</v>
      </c>
      <c r="CJ730" s="72">
        <v>0</v>
      </c>
      <c r="CK730" s="72">
        <v>0</v>
      </c>
      <c r="CL730" s="72">
        <v>0</v>
      </c>
      <c r="CM730" s="72">
        <v>0</v>
      </c>
      <c r="CN730" s="72">
        <v>0</v>
      </c>
      <c r="CO730" s="72">
        <v>0</v>
      </c>
      <c r="CP730" s="72">
        <v>0</v>
      </c>
      <c r="CQ730" s="72">
        <v>0</v>
      </c>
      <c r="CR730" s="72">
        <v>0</v>
      </c>
      <c r="CS730" s="72">
        <v>0</v>
      </c>
      <c r="CT730" s="72">
        <v>0</v>
      </c>
      <c r="CU730" s="72">
        <v>0</v>
      </c>
      <c r="CV730" s="72">
        <v>0</v>
      </c>
      <c r="CW730" s="72">
        <v>0</v>
      </c>
      <c r="CX730" s="72">
        <v>0</v>
      </c>
      <c r="CY730" s="72">
        <v>0</v>
      </c>
      <c r="CZ730" s="72">
        <v>0</v>
      </c>
      <c r="DA730" s="72">
        <v>0</v>
      </c>
      <c r="DB730" s="72">
        <v>0</v>
      </c>
      <c r="DC730" s="72">
        <v>0</v>
      </c>
      <c r="DD730" s="72">
        <v>0</v>
      </c>
      <c r="DE730" s="72">
        <v>0</v>
      </c>
      <c r="DF730" s="72">
        <v>0</v>
      </c>
      <c r="DG730" s="72">
        <v>0</v>
      </c>
      <c r="DH730" s="72">
        <v>0</v>
      </c>
      <c r="DI730" s="72">
        <v>0</v>
      </c>
      <c r="DJ730" s="72">
        <v>0</v>
      </c>
      <c r="DK730" s="72">
        <v>0</v>
      </c>
      <c r="DL730" s="72">
        <v>0</v>
      </c>
      <c r="DM730" s="72">
        <v>0</v>
      </c>
      <c r="DN730" s="72">
        <v>0</v>
      </c>
      <c r="DO730" s="72">
        <v>0</v>
      </c>
      <c r="DP730" s="72">
        <v>0</v>
      </c>
      <c r="DQ730" s="72">
        <v>0</v>
      </c>
      <c r="DR730" s="72">
        <v>0</v>
      </c>
      <c r="DS730" s="72">
        <v>0</v>
      </c>
      <c r="DT730" s="72">
        <v>0</v>
      </c>
      <c r="DU730" s="72">
        <v>0</v>
      </c>
      <c r="DV730" s="72">
        <v>0</v>
      </c>
      <c r="DW730" s="72">
        <v>0</v>
      </c>
      <c r="DX730" s="72">
        <v>0</v>
      </c>
      <c r="DY730" s="72">
        <v>0</v>
      </c>
      <c r="DZ730" s="72">
        <v>0</v>
      </c>
      <c r="EA730" s="72">
        <v>0</v>
      </c>
      <c r="EB730" s="72">
        <v>0</v>
      </c>
      <c r="EC730" s="72">
        <v>0</v>
      </c>
      <c r="ED730" s="72">
        <v>0</v>
      </c>
      <c r="EE730" s="72">
        <v>0</v>
      </c>
      <c r="EF730" s="72">
        <v>0</v>
      </c>
      <c r="EG730" s="72">
        <v>0</v>
      </c>
      <c r="EH730" s="72">
        <v>0</v>
      </c>
      <c r="EI730" s="72">
        <v>0</v>
      </c>
      <c r="EJ730" s="72">
        <v>0</v>
      </c>
      <c r="EK730" s="72">
        <v>0</v>
      </c>
      <c r="EL730" s="72">
        <v>0</v>
      </c>
    </row>
    <row r="731" spans="1:142" x14ac:dyDescent="0.35">
      <c r="A731" s="59">
        <f>Данные!A731</f>
        <v>6370</v>
      </c>
      <c r="B731" s="59">
        <f>Данные!B731</f>
        <v>2018</v>
      </c>
      <c r="C731" s="59" t="str">
        <f>Данные!C731</f>
        <v>компьютерных технологий и электронного обучения</v>
      </c>
      <c r="D731" s="59" t="str">
        <f>Данные!D731</f>
        <v>Власова Елена Зотиковна</v>
      </c>
      <c r="E731" s="59" t="str">
        <f>Данные!E731</f>
        <v>доктор педагогических наук</v>
      </c>
      <c r="F731" s="59" t="str">
        <f>Данные!F731</f>
        <v>заведующий кафедрой</v>
      </c>
      <c r="G731" s="59">
        <f>Данные!G731</f>
        <v>1</v>
      </c>
      <c r="H731" s="59">
        <f>Данные!H731</f>
        <v>17048</v>
      </c>
      <c r="I731" s="59" t="str">
        <f>Данные!I731</f>
        <v>Модуль "Теория и практика корпоративного электронного обучения". Организация и модели корпоративного обучения</v>
      </c>
      <c r="J731" s="59">
        <f>Данные!J731</f>
        <v>3</v>
      </c>
      <c r="K731" s="59">
        <f>Данные!K731</f>
        <v>0</v>
      </c>
      <c r="L731" s="59">
        <f>Данные!L731</f>
        <v>0</v>
      </c>
      <c r="M731" s="60">
        <f t="shared" si="99"/>
        <v>0.3</v>
      </c>
      <c r="N731" s="60">
        <f t="shared" ca="1" si="100"/>
        <v>5.3000000000000007</v>
      </c>
      <c r="O731" s="60">
        <f t="shared" ca="1" si="101"/>
        <v>2.5</v>
      </c>
      <c r="P731" s="60">
        <f t="shared" ca="1" si="102"/>
        <v>2.5</v>
      </c>
      <c r="Q731" s="54">
        <f>Данные!Q731</f>
        <v>0</v>
      </c>
      <c r="R731" s="54">
        <f>Данные!R731</f>
        <v>0</v>
      </c>
      <c r="S731" s="54">
        <f>Данные!S731</f>
        <v>0</v>
      </c>
      <c r="T731" s="54">
        <f>Данные!T731</f>
        <v>0</v>
      </c>
      <c r="U731" s="54">
        <f>Данные!U731</f>
        <v>0</v>
      </c>
      <c r="V731" s="54">
        <f>Данные!V731</f>
        <v>0</v>
      </c>
      <c r="W731" s="54">
        <f ca="1">Данные!W731</f>
        <v>10</v>
      </c>
      <c r="X731" s="54" t="str">
        <f ca="1">Данные!X731</f>
        <v>1</v>
      </c>
      <c r="Y731" s="54" t="str">
        <f ca="1">Данные!Y731</f>
        <v>1</v>
      </c>
      <c r="Z731" s="54">
        <f>Данные!Z731</f>
        <v>0</v>
      </c>
      <c r="AA731" s="54" t="str">
        <f>Данные!AA731</f>
        <v>осн</v>
      </c>
      <c r="AB731" s="101">
        <f t="shared" si="103"/>
        <v>700</v>
      </c>
      <c r="AC731" s="101" t="str">
        <f t="shared" si="104"/>
        <v>КЭО (маг)</v>
      </c>
      <c r="AD731" s="101" t="str">
        <f t="shared" si="105"/>
        <v/>
      </c>
      <c r="AE731" s="102">
        <f t="shared" ca="1" si="106"/>
        <v>13.600000000000001</v>
      </c>
      <c r="AF731" s="103">
        <f t="shared" ca="1" si="107"/>
        <v>1.942857142857143E-2</v>
      </c>
      <c r="AG731" s="101"/>
      <c r="AH731" s="10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Q731" s="72">
        <v>0</v>
      </c>
      <c r="BR731" s="72">
        <v>0</v>
      </c>
      <c r="BS731" s="72">
        <v>0</v>
      </c>
      <c r="BT731" s="72">
        <v>0</v>
      </c>
      <c r="BU731" s="72">
        <v>0</v>
      </c>
      <c r="BV731" s="72">
        <v>0</v>
      </c>
      <c r="BW731" s="72">
        <v>0</v>
      </c>
      <c r="BX731" s="72">
        <v>0</v>
      </c>
      <c r="BY731" s="72">
        <v>0</v>
      </c>
      <c r="BZ731" s="72">
        <v>0</v>
      </c>
      <c r="CA731" s="72">
        <v>0</v>
      </c>
      <c r="CB731" s="72">
        <v>0</v>
      </c>
      <c r="CC731" s="72">
        <v>0</v>
      </c>
      <c r="CD731" s="72">
        <v>0</v>
      </c>
      <c r="CE731" s="72">
        <v>0</v>
      </c>
      <c r="CF731" s="72">
        <v>0</v>
      </c>
      <c r="CG731" s="72">
        <v>0</v>
      </c>
      <c r="CH731" s="72">
        <v>0</v>
      </c>
      <c r="CI731" s="72">
        <v>0</v>
      </c>
      <c r="CJ731" s="72">
        <v>0</v>
      </c>
      <c r="CK731" s="72">
        <v>0</v>
      </c>
      <c r="CL731" s="72">
        <v>0</v>
      </c>
      <c r="CM731" s="72">
        <v>0</v>
      </c>
      <c r="CN731" s="72">
        <v>0</v>
      </c>
      <c r="CO731" s="72">
        <v>0</v>
      </c>
      <c r="CP731" s="72">
        <v>0</v>
      </c>
      <c r="CQ731" s="72">
        <v>0</v>
      </c>
      <c r="CR731" s="72">
        <v>0</v>
      </c>
      <c r="CS731" s="72">
        <v>0</v>
      </c>
      <c r="CT731" s="72">
        <v>0</v>
      </c>
      <c r="CU731" s="72">
        <v>0</v>
      </c>
      <c r="CV731" s="72">
        <v>0</v>
      </c>
      <c r="CW731" s="72">
        <v>0</v>
      </c>
      <c r="CX731" s="72">
        <v>0</v>
      </c>
      <c r="CY731" s="72">
        <v>0</v>
      </c>
      <c r="CZ731" s="72">
        <v>0</v>
      </c>
      <c r="DA731" s="72">
        <v>0</v>
      </c>
      <c r="DB731" s="72">
        <v>0</v>
      </c>
      <c r="DC731" s="72">
        <v>0</v>
      </c>
      <c r="DD731" s="72">
        <v>0</v>
      </c>
      <c r="DE731" s="72">
        <v>0</v>
      </c>
      <c r="DF731" s="72">
        <v>0</v>
      </c>
      <c r="DG731" s="72">
        <v>0</v>
      </c>
      <c r="DH731" s="72">
        <v>0</v>
      </c>
      <c r="DI731" s="72">
        <v>0</v>
      </c>
      <c r="DJ731" s="72">
        <v>0</v>
      </c>
      <c r="DK731" s="72">
        <v>0</v>
      </c>
      <c r="DL731" s="72">
        <v>0</v>
      </c>
      <c r="DM731" s="72">
        <v>0</v>
      </c>
      <c r="DN731" s="72">
        <v>0</v>
      </c>
      <c r="DO731" s="72">
        <v>0</v>
      </c>
      <c r="DP731" s="72">
        <v>0</v>
      </c>
      <c r="DQ731" s="72">
        <v>0</v>
      </c>
      <c r="DR731" s="72">
        <v>0</v>
      </c>
      <c r="DS731" s="72">
        <v>0</v>
      </c>
      <c r="DT731" s="72">
        <v>0</v>
      </c>
      <c r="DU731" s="72">
        <v>0</v>
      </c>
      <c r="DV731" s="72">
        <v>0</v>
      </c>
      <c r="DW731" s="72">
        <v>0</v>
      </c>
      <c r="DX731" s="72">
        <v>0</v>
      </c>
      <c r="DY731" s="72">
        <v>0</v>
      </c>
      <c r="DZ731" s="72">
        <v>0</v>
      </c>
      <c r="EA731" s="72">
        <v>0</v>
      </c>
      <c r="EB731" s="72">
        <v>0</v>
      </c>
      <c r="EC731" s="72">
        <v>0</v>
      </c>
      <c r="ED731" s="72">
        <v>0</v>
      </c>
      <c r="EE731" s="72">
        <v>0</v>
      </c>
      <c r="EF731" s="72">
        <v>0</v>
      </c>
      <c r="EG731" s="72">
        <v>0</v>
      </c>
      <c r="EH731" s="72">
        <v>0</v>
      </c>
      <c r="EI731" s="72">
        <v>0</v>
      </c>
      <c r="EJ731" s="72">
        <v>0</v>
      </c>
      <c r="EK731" s="72">
        <v>0</v>
      </c>
      <c r="EL731" s="72">
        <v>0</v>
      </c>
    </row>
    <row r="732" spans="1:142" x14ac:dyDescent="0.35">
      <c r="A732" s="59">
        <f>Данные!A732</f>
        <v>6370</v>
      </c>
      <c r="B732" s="59">
        <f>Данные!B732</f>
        <v>2018</v>
      </c>
      <c r="C732" s="59" t="str">
        <f>Данные!C732</f>
        <v>компьютерных технологий и электронного обучения</v>
      </c>
      <c r="D732" s="59" t="str">
        <f>Данные!D732</f>
        <v>Власова Елена Зотиковна</v>
      </c>
      <c r="E732" s="59" t="str">
        <f>Данные!E732</f>
        <v>доктор педагогических наук</v>
      </c>
      <c r="F732" s="59" t="str">
        <f>Данные!F732</f>
        <v>заведующий кафедрой</v>
      </c>
      <c r="G732" s="59">
        <f>Данные!G732</f>
        <v>1</v>
      </c>
      <c r="H732" s="59">
        <f>Данные!H732</f>
        <v>17048</v>
      </c>
      <c r="I732" s="59" t="str">
        <f>Данные!I732</f>
        <v>Научно-исследовательская работа. Педагогическое образование. Магистерская программа "Корпоративное электронное обучение"</v>
      </c>
      <c r="J732" s="59">
        <f>Данные!J732</f>
        <v>0</v>
      </c>
      <c r="K732" s="59">
        <f>Данные!K732</f>
        <v>0</v>
      </c>
      <c r="L732" s="59">
        <f>Данные!L732</f>
        <v>0</v>
      </c>
      <c r="M732" s="60">
        <f t="shared" si="99"/>
        <v>0</v>
      </c>
      <c r="N732" s="60">
        <f t="shared" ca="1" si="100"/>
        <v>5.3000000000000007</v>
      </c>
      <c r="O732" s="60">
        <f t="shared" ca="1" si="101"/>
        <v>2.5</v>
      </c>
      <c r="P732" s="60">
        <f t="shared" ca="1" si="102"/>
        <v>2.5</v>
      </c>
      <c r="Q732" s="54">
        <f>Данные!Q732</f>
        <v>0</v>
      </c>
      <c r="R732" s="54">
        <f>Данные!R732</f>
        <v>0</v>
      </c>
      <c r="S732" s="54">
        <f>Данные!S732</f>
        <v>0</v>
      </c>
      <c r="T732" s="54">
        <f>Данные!T732</f>
        <v>0</v>
      </c>
      <c r="U732" s="54">
        <f>Данные!U732</f>
        <v>23</v>
      </c>
      <c r="V732" s="54">
        <f>Данные!V732</f>
        <v>0</v>
      </c>
      <c r="W732" s="54">
        <f ca="1">Данные!W732</f>
        <v>10</v>
      </c>
      <c r="X732" s="54" t="str">
        <f ca="1">Данные!X732</f>
        <v>1</v>
      </c>
      <c r="Y732" s="54" t="str">
        <f ca="1">Данные!Y732</f>
        <v>1</v>
      </c>
      <c r="Z732" s="54">
        <f>Данные!Z732</f>
        <v>0</v>
      </c>
      <c r="AA732" s="54" t="str">
        <f>Данные!AA732</f>
        <v>осн</v>
      </c>
      <c r="AB732" s="101">
        <f t="shared" si="103"/>
        <v>700</v>
      </c>
      <c r="AC732" s="101" t="str">
        <f t="shared" si="104"/>
        <v>КЭО (маг)</v>
      </c>
      <c r="AD732" s="101" t="str">
        <f t="shared" si="105"/>
        <v/>
      </c>
      <c r="AE732" s="102">
        <f t="shared" ca="1" si="106"/>
        <v>33.299999999999997</v>
      </c>
      <c r="AF732" s="103">
        <f t="shared" ca="1" si="107"/>
        <v>4.757142857142857E-2</v>
      </c>
      <c r="AG732" s="101"/>
      <c r="AH732" s="101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Q732" s="72">
        <v>0</v>
      </c>
      <c r="BR732" s="72">
        <v>0</v>
      </c>
      <c r="BS732" s="72">
        <v>0</v>
      </c>
      <c r="BT732" s="72">
        <v>0</v>
      </c>
      <c r="BU732" s="72">
        <v>0</v>
      </c>
      <c r="BV732" s="72">
        <v>0</v>
      </c>
      <c r="BW732" s="72">
        <v>0</v>
      </c>
      <c r="BX732" s="72">
        <v>0</v>
      </c>
      <c r="BY732" s="72">
        <v>0</v>
      </c>
      <c r="BZ732" s="72">
        <v>0</v>
      </c>
      <c r="CA732" s="72">
        <v>0</v>
      </c>
      <c r="CB732" s="72">
        <v>0</v>
      </c>
      <c r="CC732" s="72">
        <v>0</v>
      </c>
      <c r="CD732" s="72">
        <v>0</v>
      </c>
      <c r="CE732" s="72">
        <v>0</v>
      </c>
      <c r="CF732" s="72">
        <v>0</v>
      </c>
      <c r="CG732" s="72">
        <v>0</v>
      </c>
      <c r="CH732" s="72">
        <v>0</v>
      </c>
      <c r="CI732" s="72">
        <v>0</v>
      </c>
      <c r="CJ732" s="72">
        <v>0</v>
      </c>
      <c r="CK732" s="72">
        <v>0</v>
      </c>
      <c r="CL732" s="72">
        <v>0</v>
      </c>
      <c r="CM732" s="72">
        <v>0</v>
      </c>
      <c r="CN732" s="72">
        <v>0</v>
      </c>
      <c r="CO732" s="72">
        <v>0</v>
      </c>
      <c r="CP732" s="72">
        <v>0</v>
      </c>
      <c r="CQ732" s="72">
        <v>0</v>
      </c>
      <c r="CR732" s="72">
        <v>0</v>
      </c>
      <c r="CS732" s="72">
        <v>0</v>
      </c>
      <c r="CT732" s="72">
        <v>0</v>
      </c>
      <c r="CU732" s="72">
        <v>0</v>
      </c>
      <c r="CV732" s="72">
        <v>0</v>
      </c>
      <c r="CW732" s="72">
        <v>0</v>
      </c>
      <c r="CX732" s="72">
        <v>0</v>
      </c>
      <c r="CY732" s="72">
        <v>0</v>
      </c>
      <c r="CZ732" s="72">
        <v>0</v>
      </c>
      <c r="DA732" s="72">
        <v>0</v>
      </c>
      <c r="DB732" s="72">
        <v>0</v>
      </c>
      <c r="DC732" s="72">
        <v>0</v>
      </c>
      <c r="DD732" s="72">
        <v>0</v>
      </c>
      <c r="DE732" s="72">
        <v>0</v>
      </c>
      <c r="DF732" s="72">
        <v>0</v>
      </c>
      <c r="DG732" s="72">
        <v>0</v>
      </c>
      <c r="DH732" s="72">
        <v>0</v>
      </c>
      <c r="DI732" s="72">
        <v>0</v>
      </c>
      <c r="DJ732" s="72">
        <v>0</v>
      </c>
      <c r="DK732" s="72">
        <v>0</v>
      </c>
      <c r="DL732" s="72">
        <v>0</v>
      </c>
      <c r="DM732" s="72">
        <v>0</v>
      </c>
      <c r="DN732" s="72">
        <v>0</v>
      </c>
      <c r="DO732" s="72">
        <v>0</v>
      </c>
      <c r="DP732" s="72">
        <v>0</v>
      </c>
      <c r="DQ732" s="72">
        <v>0</v>
      </c>
      <c r="DR732" s="72">
        <v>0</v>
      </c>
      <c r="DS732" s="72">
        <v>0</v>
      </c>
      <c r="DT732" s="72">
        <v>0</v>
      </c>
      <c r="DU732" s="72">
        <v>0</v>
      </c>
      <c r="DV732" s="72">
        <v>0</v>
      </c>
      <c r="DW732" s="72">
        <v>0</v>
      </c>
      <c r="DX732" s="72">
        <v>0</v>
      </c>
      <c r="DY732" s="72">
        <v>0</v>
      </c>
      <c r="DZ732" s="72">
        <v>0</v>
      </c>
      <c r="EA732" s="72">
        <v>0</v>
      </c>
      <c r="EB732" s="72">
        <v>0</v>
      </c>
      <c r="EC732" s="72">
        <v>0</v>
      </c>
      <c r="ED732" s="72">
        <v>0</v>
      </c>
      <c r="EE732" s="72">
        <v>0</v>
      </c>
      <c r="EF732" s="72">
        <v>0</v>
      </c>
      <c r="EG732" s="72">
        <v>0</v>
      </c>
      <c r="EH732" s="72">
        <v>0</v>
      </c>
      <c r="EI732" s="72">
        <v>0</v>
      </c>
      <c r="EJ732" s="72">
        <v>0</v>
      </c>
      <c r="EK732" s="72">
        <v>0</v>
      </c>
      <c r="EL732" s="72">
        <v>0</v>
      </c>
    </row>
    <row r="733" spans="1:142" x14ac:dyDescent="0.35">
      <c r="A733" s="59">
        <f>Данные!A733</f>
        <v>6370</v>
      </c>
      <c r="B733" s="59">
        <f>Данные!B733</f>
        <v>2018</v>
      </c>
      <c r="C733" s="59" t="str">
        <f>Данные!C733</f>
        <v>компьютерных технологий и электронного обучения</v>
      </c>
      <c r="D733" s="59" t="str">
        <f>Данные!D733</f>
        <v>Власова Елена Зотиковна</v>
      </c>
      <c r="E733" s="59" t="str">
        <f>Данные!E733</f>
        <v>доктор педагогических наук</v>
      </c>
      <c r="F733" s="59" t="str">
        <f>Данные!F733</f>
        <v>заведующий кафедрой</v>
      </c>
      <c r="G733" s="59">
        <f>Данные!G733</f>
        <v>1</v>
      </c>
      <c r="H733" s="59">
        <f>Данные!H733</f>
        <v>17048</v>
      </c>
      <c r="I733" s="59" t="str">
        <f>Данные!I733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33" s="59">
        <f>Данные!J733</f>
        <v>0</v>
      </c>
      <c r="K733" s="59">
        <f>Данные!K733</f>
        <v>0</v>
      </c>
      <c r="L733" s="59">
        <f>Данные!L733</f>
        <v>0</v>
      </c>
      <c r="M733" s="60">
        <f t="shared" si="99"/>
        <v>0</v>
      </c>
      <c r="N733" s="60">
        <f t="shared" ca="1" si="100"/>
        <v>5.3000000000000007</v>
      </c>
      <c r="O733" s="60">
        <f t="shared" ca="1" si="101"/>
        <v>2.5</v>
      </c>
      <c r="P733" s="60">
        <f t="shared" ca="1" si="102"/>
        <v>2.5</v>
      </c>
      <c r="Q733" s="54">
        <f>Данные!Q733</f>
        <v>0</v>
      </c>
      <c r="R733" s="54">
        <f>Данные!R733</f>
        <v>0</v>
      </c>
      <c r="S733" s="54">
        <f>Данные!S733</f>
        <v>0</v>
      </c>
      <c r="T733" s="54">
        <f>Данные!T733</f>
        <v>0</v>
      </c>
      <c r="U733" s="54">
        <f>Данные!U733</f>
        <v>15</v>
      </c>
      <c r="V733" s="54">
        <f>Данные!V733</f>
        <v>0</v>
      </c>
      <c r="W733" s="54">
        <f ca="1">Данные!W733</f>
        <v>10</v>
      </c>
      <c r="X733" s="54" t="str">
        <f ca="1">Данные!X733</f>
        <v>1</v>
      </c>
      <c r="Y733" s="54" t="str">
        <f ca="1">Данные!Y733</f>
        <v>1</v>
      </c>
      <c r="Z733" s="54">
        <f>Данные!Z733</f>
        <v>0</v>
      </c>
      <c r="AA733" s="54" t="str">
        <f>Данные!AA733</f>
        <v>осн</v>
      </c>
      <c r="AB733" s="101">
        <f t="shared" si="103"/>
        <v>700</v>
      </c>
      <c r="AC733" s="101" t="str">
        <f t="shared" si="104"/>
        <v>КЭО (маг)</v>
      </c>
      <c r="AD733" s="101" t="str">
        <f t="shared" si="105"/>
        <v/>
      </c>
      <c r="AE733" s="102">
        <f t="shared" ca="1" si="106"/>
        <v>25.3</v>
      </c>
      <c r="AF733" s="103">
        <f t="shared" ca="1" si="107"/>
        <v>3.6142857142857143E-2</v>
      </c>
      <c r="AG733" s="101"/>
      <c r="AH733" s="101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Q733" s="72">
        <v>0</v>
      </c>
      <c r="BR733" s="72">
        <v>0</v>
      </c>
      <c r="BS733" s="72">
        <v>0</v>
      </c>
      <c r="BT733" s="72">
        <v>0</v>
      </c>
      <c r="BU733" s="72">
        <v>0</v>
      </c>
      <c r="BV733" s="72">
        <v>0</v>
      </c>
      <c r="BW733" s="72">
        <v>0</v>
      </c>
      <c r="BX733" s="72">
        <v>0</v>
      </c>
      <c r="BY733" s="72">
        <v>0</v>
      </c>
      <c r="BZ733" s="72">
        <v>0</v>
      </c>
      <c r="CA733" s="72">
        <v>0</v>
      </c>
      <c r="CB733" s="72">
        <v>0</v>
      </c>
      <c r="CC733" s="72">
        <v>0</v>
      </c>
      <c r="CD733" s="72">
        <v>0</v>
      </c>
      <c r="CE733" s="72">
        <v>0</v>
      </c>
      <c r="CF733" s="72">
        <v>0</v>
      </c>
      <c r="CG733" s="72">
        <v>0</v>
      </c>
      <c r="CH733" s="72">
        <v>0</v>
      </c>
      <c r="CI733" s="72">
        <v>0</v>
      </c>
      <c r="CJ733" s="72">
        <v>0</v>
      </c>
      <c r="CK733" s="72">
        <v>0</v>
      </c>
      <c r="CL733" s="72">
        <v>0</v>
      </c>
      <c r="CM733" s="72">
        <v>0</v>
      </c>
      <c r="CN733" s="72">
        <v>0</v>
      </c>
      <c r="CO733" s="72">
        <v>0</v>
      </c>
      <c r="CP733" s="72">
        <v>0</v>
      </c>
      <c r="CQ733" s="72">
        <v>0</v>
      </c>
      <c r="CR733" s="72">
        <v>0</v>
      </c>
      <c r="CS733" s="72">
        <v>0</v>
      </c>
      <c r="CT733" s="72">
        <v>0</v>
      </c>
      <c r="CU733" s="72">
        <v>0</v>
      </c>
      <c r="CV733" s="72">
        <v>0</v>
      </c>
      <c r="CW733" s="72">
        <v>0</v>
      </c>
      <c r="CX733" s="72">
        <v>0</v>
      </c>
      <c r="CY733" s="72">
        <v>0</v>
      </c>
      <c r="CZ733" s="72">
        <v>0</v>
      </c>
      <c r="DA733" s="72">
        <v>0</v>
      </c>
      <c r="DB733" s="72">
        <v>0</v>
      </c>
      <c r="DC733" s="72">
        <v>0</v>
      </c>
      <c r="DD733" s="72">
        <v>0</v>
      </c>
      <c r="DE733" s="72">
        <v>0</v>
      </c>
      <c r="DF733" s="72">
        <v>0</v>
      </c>
      <c r="DG733" s="72">
        <v>0</v>
      </c>
      <c r="DH733" s="72">
        <v>0</v>
      </c>
      <c r="DI733" s="72">
        <v>0</v>
      </c>
      <c r="DJ733" s="72">
        <v>0</v>
      </c>
      <c r="DK733" s="72">
        <v>0</v>
      </c>
      <c r="DL733" s="72">
        <v>0</v>
      </c>
      <c r="DM733" s="72">
        <v>0</v>
      </c>
      <c r="DN733" s="72">
        <v>0</v>
      </c>
      <c r="DO733" s="72">
        <v>0</v>
      </c>
      <c r="DP733" s="72">
        <v>0</v>
      </c>
      <c r="DQ733" s="72">
        <v>0</v>
      </c>
      <c r="DR733" s="72">
        <v>0</v>
      </c>
      <c r="DS733" s="72">
        <v>0</v>
      </c>
      <c r="DT733" s="72">
        <v>0</v>
      </c>
      <c r="DU733" s="72">
        <v>0</v>
      </c>
      <c r="DV733" s="72">
        <v>0</v>
      </c>
      <c r="DW733" s="72">
        <v>0</v>
      </c>
      <c r="DX733" s="72">
        <v>0</v>
      </c>
      <c r="DY733" s="72">
        <v>0</v>
      </c>
      <c r="DZ733" s="72">
        <v>0</v>
      </c>
      <c r="EA733" s="72">
        <v>0</v>
      </c>
      <c r="EB733" s="72">
        <v>0</v>
      </c>
      <c r="EC733" s="72">
        <v>0</v>
      </c>
      <c r="ED733" s="72">
        <v>0</v>
      </c>
      <c r="EE733" s="72">
        <v>0</v>
      </c>
      <c r="EF733" s="72">
        <v>0</v>
      </c>
      <c r="EG733" s="72">
        <v>0</v>
      </c>
      <c r="EH733" s="72">
        <v>0</v>
      </c>
      <c r="EI733" s="72">
        <v>0</v>
      </c>
      <c r="EJ733" s="72">
        <v>0</v>
      </c>
      <c r="EK733" s="72">
        <v>0</v>
      </c>
      <c r="EL733" s="72">
        <v>0</v>
      </c>
    </row>
    <row r="734" spans="1:142" x14ac:dyDescent="0.35">
      <c r="A734" s="59">
        <f>Данные!A734</f>
        <v>6370</v>
      </c>
      <c r="B734" s="59">
        <f>Данные!B734</f>
        <v>2018</v>
      </c>
      <c r="C734" s="59" t="str">
        <f>Данные!C734</f>
        <v>компьютерных технологий и электронного обучения</v>
      </c>
      <c r="D734" s="59" t="str">
        <f>Данные!D734</f>
        <v>Власова Елена Зотиковна</v>
      </c>
      <c r="E734" s="59" t="str">
        <f>Данные!E734</f>
        <v>доктор педагогических наук</v>
      </c>
      <c r="F734" s="59" t="str">
        <f>Данные!F734</f>
        <v>заведующий кафедрой</v>
      </c>
      <c r="G734" s="59">
        <f>Данные!G734</f>
        <v>1</v>
      </c>
      <c r="H734" s="59">
        <f>Данные!H734</f>
        <v>17048</v>
      </c>
      <c r="I734" s="59" t="str">
        <f>Данные!I734</f>
        <v>Руководство ВКР (магистерская диссертация)</v>
      </c>
      <c r="J734" s="59">
        <f>Данные!J734</f>
        <v>0</v>
      </c>
      <c r="K734" s="59">
        <f>Данные!K734</f>
        <v>0</v>
      </c>
      <c r="L734" s="59">
        <f>Данные!L734</f>
        <v>0</v>
      </c>
      <c r="M734" s="60">
        <f t="shared" si="99"/>
        <v>0</v>
      </c>
      <c r="N734" s="60">
        <f t="shared" ca="1" si="100"/>
        <v>5.3000000000000007</v>
      </c>
      <c r="O734" s="60">
        <f t="shared" ca="1" si="101"/>
        <v>2.5</v>
      </c>
      <c r="P734" s="60">
        <f t="shared" ca="1" si="102"/>
        <v>2.5</v>
      </c>
      <c r="Q734" s="54">
        <f>Данные!Q734</f>
        <v>0</v>
      </c>
      <c r="R734" s="54">
        <f>Данные!R734</f>
        <v>0</v>
      </c>
      <c r="S734" s="54">
        <f>Данные!S734</f>
        <v>0</v>
      </c>
      <c r="T734" s="54">
        <f>Данные!T734</f>
        <v>0</v>
      </c>
      <c r="U734" s="54">
        <f>Данные!U734</f>
        <v>0</v>
      </c>
      <c r="V734" s="54">
        <f>Данные!V734</f>
        <v>54</v>
      </c>
      <c r="W734" s="54">
        <f ca="1">Данные!W734</f>
        <v>10</v>
      </c>
      <c r="X734" s="54" t="str">
        <f ca="1">Данные!X734</f>
        <v>1</v>
      </c>
      <c r="Y734" s="54" t="str">
        <f ca="1">Данные!Y734</f>
        <v>1</v>
      </c>
      <c r="Z734" s="54">
        <f>Данные!Z734</f>
        <v>0</v>
      </c>
      <c r="AA734" s="54" t="str">
        <f>Данные!AA734</f>
        <v>осн</v>
      </c>
      <c r="AB734" s="101">
        <f t="shared" si="103"/>
        <v>700</v>
      </c>
      <c r="AC734" s="101" t="str">
        <f t="shared" si="104"/>
        <v>КЭО (маг)</v>
      </c>
      <c r="AD734" s="101" t="str">
        <f t="shared" si="105"/>
        <v/>
      </c>
      <c r="AE734" s="102">
        <f t="shared" ca="1" si="106"/>
        <v>64.3</v>
      </c>
      <c r="AF734" s="103">
        <f t="shared" ca="1" si="107"/>
        <v>9.1857142857142859E-2</v>
      </c>
      <c r="AG734" s="101"/>
      <c r="AH734" s="101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Q734" s="72">
        <v>0</v>
      </c>
      <c r="BR734" s="72">
        <v>0</v>
      </c>
      <c r="BS734" s="72">
        <v>0</v>
      </c>
      <c r="BT734" s="72">
        <v>0</v>
      </c>
      <c r="BU734" s="72">
        <v>0</v>
      </c>
      <c r="BV734" s="72">
        <v>0</v>
      </c>
      <c r="BW734" s="72">
        <v>0</v>
      </c>
      <c r="BX734" s="72">
        <v>0</v>
      </c>
      <c r="BY734" s="72">
        <v>0</v>
      </c>
      <c r="BZ734" s="72">
        <v>0</v>
      </c>
      <c r="CA734" s="72">
        <v>0</v>
      </c>
      <c r="CB734" s="72">
        <v>0</v>
      </c>
      <c r="CC734" s="72">
        <v>0</v>
      </c>
      <c r="CD734" s="72">
        <v>0</v>
      </c>
      <c r="CE734" s="72">
        <v>0</v>
      </c>
      <c r="CF734" s="72">
        <v>0</v>
      </c>
      <c r="CG734" s="72">
        <v>0</v>
      </c>
      <c r="CH734" s="72">
        <v>0</v>
      </c>
      <c r="CI734" s="72">
        <v>0</v>
      </c>
      <c r="CJ734" s="72">
        <v>0</v>
      </c>
      <c r="CK734" s="72">
        <v>0</v>
      </c>
      <c r="CL734" s="72">
        <v>0</v>
      </c>
      <c r="CM734" s="72">
        <v>0</v>
      </c>
      <c r="CN734" s="72">
        <v>0</v>
      </c>
      <c r="CO734" s="72">
        <v>0</v>
      </c>
      <c r="CP734" s="72">
        <v>0</v>
      </c>
      <c r="CQ734" s="72">
        <v>0</v>
      </c>
      <c r="CR734" s="72">
        <v>0</v>
      </c>
      <c r="CS734" s="72">
        <v>0</v>
      </c>
      <c r="CT734" s="72">
        <v>0</v>
      </c>
      <c r="CU734" s="72">
        <v>0</v>
      </c>
      <c r="CV734" s="72">
        <v>0</v>
      </c>
      <c r="CW734" s="72">
        <v>0</v>
      </c>
      <c r="CX734" s="72">
        <v>0</v>
      </c>
      <c r="CY734" s="72">
        <v>0</v>
      </c>
      <c r="CZ734" s="72">
        <v>0</v>
      </c>
      <c r="DA734" s="72">
        <v>0</v>
      </c>
      <c r="DB734" s="72">
        <v>0</v>
      </c>
      <c r="DC734" s="72">
        <v>0</v>
      </c>
      <c r="DD734" s="72">
        <v>0</v>
      </c>
      <c r="DE734" s="72">
        <v>0</v>
      </c>
      <c r="DF734" s="72">
        <v>0</v>
      </c>
      <c r="DG734" s="72">
        <v>0</v>
      </c>
      <c r="DH734" s="72">
        <v>0</v>
      </c>
      <c r="DI734" s="72">
        <v>0</v>
      </c>
      <c r="DJ734" s="72">
        <v>0</v>
      </c>
      <c r="DK734" s="72">
        <v>0</v>
      </c>
      <c r="DL734" s="72">
        <v>0</v>
      </c>
      <c r="DM734" s="72">
        <v>0</v>
      </c>
      <c r="DN734" s="72">
        <v>0</v>
      </c>
      <c r="DO734" s="72">
        <v>0</v>
      </c>
      <c r="DP734" s="72">
        <v>0</v>
      </c>
      <c r="DQ734" s="72">
        <v>0</v>
      </c>
      <c r="DR734" s="72">
        <v>0</v>
      </c>
      <c r="DS734" s="72">
        <v>0</v>
      </c>
      <c r="DT734" s="72">
        <v>0</v>
      </c>
      <c r="DU734" s="72">
        <v>0</v>
      </c>
      <c r="DV734" s="72">
        <v>0</v>
      </c>
      <c r="DW734" s="72">
        <v>0</v>
      </c>
      <c r="DX734" s="72">
        <v>0</v>
      </c>
      <c r="DY734" s="72">
        <v>0</v>
      </c>
      <c r="DZ734" s="72">
        <v>0</v>
      </c>
      <c r="EA734" s="72">
        <v>0</v>
      </c>
      <c r="EB734" s="72">
        <v>0</v>
      </c>
      <c r="EC734" s="72">
        <v>0</v>
      </c>
      <c r="ED734" s="72">
        <v>0</v>
      </c>
      <c r="EE734" s="72">
        <v>0</v>
      </c>
      <c r="EF734" s="72">
        <v>0</v>
      </c>
      <c r="EG734" s="72">
        <v>0</v>
      </c>
      <c r="EH734" s="72">
        <v>0</v>
      </c>
      <c r="EI734" s="72">
        <v>0</v>
      </c>
      <c r="EJ734" s="72">
        <v>0</v>
      </c>
      <c r="EK734" s="72">
        <v>0</v>
      </c>
      <c r="EL734" s="72">
        <v>0</v>
      </c>
    </row>
    <row r="735" spans="1:142" x14ac:dyDescent="0.35">
      <c r="A735" s="59">
        <f>Данные!A735</f>
        <v>6370</v>
      </c>
      <c r="B735" s="59">
        <f>Данные!B735</f>
        <v>2018</v>
      </c>
      <c r="C735" s="59" t="str">
        <f>Данные!C735</f>
        <v>компьютерных технологий и электронного обучения</v>
      </c>
      <c r="D735" s="59" t="str">
        <f>Данные!D735</f>
        <v>Гончарова Светлана Викторовна</v>
      </c>
      <c r="E735" s="59" t="str">
        <f>Данные!E735</f>
        <v>кандидат педагогических наук</v>
      </c>
      <c r="F735" s="59" t="str">
        <f>Данные!F735</f>
        <v>доцент</v>
      </c>
      <c r="G735" s="59">
        <f>Данные!G735</f>
        <v>1</v>
      </c>
      <c r="H735" s="59">
        <f>Данные!H735</f>
        <v>17048</v>
      </c>
      <c r="I735" s="59" t="str">
        <f>Данные!I735</f>
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</c>
      <c r="J735" s="59">
        <f>Данные!J735</f>
        <v>4</v>
      </c>
      <c r="K735" s="59">
        <f>Данные!K735</f>
        <v>0</v>
      </c>
      <c r="L735" s="59">
        <f>Данные!L735</f>
        <v>0</v>
      </c>
      <c r="M735" s="60">
        <f t="shared" si="99"/>
        <v>0.4</v>
      </c>
      <c r="N735" s="60">
        <f t="shared" ca="1" si="100"/>
        <v>5.3000000000000007</v>
      </c>
      <c r="O735" s="60">
        <f t="shared" ca="1" si="101"/>
        <v>2.5</v>
      </c>
      <c r="P735" s="60">
        <f t="shared" ca="1" si="102"/>
        <v>2.5</v>
      </c>
      <c r="Q735" s="54">
        <f>Данные!Q735</f>
        <v>0</v>
      </c>
      <c r="R735" s="54">
        <f>Данные!R735</f>
        <v>0</v>
      </c>
      <c r="S735" s="54">
        <f>Данные!S735</f>
        <v>0</v>
      </c>
      <c r="T735" s="54">
        <f>Данные!T735</f>
        <v>0</v>
      </c>
      <c r="U735" s="54">
        <f>Данные!U735</f>
        <v>0</v>
      </c>
      <c r="V735" s="54">
        <f>Данные!V735</f>
        <v>0</v>
      </c>
      <c r="W735" s="54">
        <f ca="1">Данные!W735</f>
        <v>10</v>
      </c>
      <c r="X735" s="54" t="str">
        <f ca="1">Данные!X735</f>
        <v>1</v>
      </c>
      <c r="Y735" s="54" t="str">
        <f ca="1">Данные!Y735</f>
        <v>1</v>
      </c>
      <c r="Z735" s="54">
        <f>Данные!Z735</f>
        <v>0</v>
      </c>
      <c r="AA735" s="54" t="str">
        <f>Данные!AA735</f>
        <v>осн</v>
      </c>
      <c r="AB735" s="101">
        <f t="shared" si="103"/>
        <v>800</v>
      </c>
      <c r="AC735" s="101" t="str">
        <f t="shared" si="104"/>
        <v>КЭО (маг)</v>
      </c>
      <c r="AD735" s="101" t="str">
        <f t="shared" si="105"/>
        <v/>
      </c>
      <c r="AE735" s="102">
        <f t="shared" ca="1" si="106"/>
        <v>14.700000000000001</v>
      </c>
      <c r="AF735" s="103">
        <f t="shared" ca="1" si="107"/>
        <v>1.8375000000000002E-2</v>
      </c>
      <c r="AG735" s="101"/>
      <c r="AH735" s="101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Q735" s="72">
        <v>0</v>
      </c>
      <c r="BR735" s="72">
        <v>0</v>
      </c>
      <c r="BS735" s="72">
        <v>0</v>
      </c>
      <c r="BT735" s="72">
        <v>0</v>
      </c>
      <c r="BU735" s="72">
        <v>0</v>
      </c>
      <c r="BV735" s="72">
        <v>0</v>
      </c>
      <c r="BW735" s="72">
        <v>0</v>
      </c>
      <c r="BX735" s="72">
        <v>0</v>
      </c>
      <c r="BY735" s="72">
        <v>0</v>
      </c>
      <c r="BZ735" s="72">
        <v>0</v>
      </c>
      <c r="CA735" s="72">
        <v>0</v>
      </c>
      <c r="CB735" s="72">
        <v>0</v>
      </c>
      <c r="CC735" s="72">
        <v>0</v>
      </c>
      <c r="CD735" s="72">
        <v>0</v>
      </c>
      <c r="CE735" s="72">
        <v>0</v>
      </c>
      <c r="CF735" s="72">
        <v>0</v>
      </c>
      <c r="CG735" s="72">
        <v>0</v>
      </c>
      <c r="CH735" s="72">
        <v>0</v>
      </c>
      <c r="CI735" s="72">
        <v>0</v>
      </c>
      <c r="CJ735" s="72">
        <v>0</v>
      </c>
      <c r="CK735" s="72">
        <v>0</v>
      </c>
      <c r="CL735" s="72">
        <v>0</v>
      </c>
      <c r="CM735" s="72">
        <v>0</v>
      </c>
      <c r="CN735" s="72">
        <v>0</v>
      </c>
      <c r="CO735" s="72">
        <v>0</v>
      </c>
      <c r="CP735" s="72">
        <v>0</v>
      </c>
      <c r="CQ735" s="72">
        <v>0</v>
      </c>
      <c r="CR735" s="72">
        <v>0</v>
      </c>
      <c r="CS735" s="72">
        <v>0</v>
      </c>
      <c r="CT735" s="72">
        <v>0</v>
      </c>
      <c r="CU735" s="72">
        <v>0</v>
      </c>
      <c r="CV735" s="72">
        <v>0</v>
      </c>
      <c r="CW735" s="72">
        <v>0</v>
      </c>
      <c r="CX735" s="72">
        <v>0</v>
      </c>
      <c r="CY735" s="72">
        <v>0</v>
      </c>
      <c r="CZ735" s="72">
        <v>0</v>
      </c>
      <c r="DA735" s="72">
        <v>0</v>
      </c>
      <c r="DB735" s="72">
        <v>0</v>
      </c>
      <c r="DC735" s="72">
        <v>0</v>
      </c>
      <c r="DD735" s="72">
        <v>0</v>
      </c>
      <c r="DE735" s="72">
        <v>0</v>
      </c>
      <c r="DF735" s="72">
        <v>0</v>
      </c>
      <c r="DG735" s="72">
        <v>0</v>
      </c>
      <c r="DH735" s="72">
        <v>0</v>
      </c>
      <c r="DI735" s="72">
        <v>0</v>
      </c>
      <c r="DJ735" s="72">
        <v>0</v>
      </c>
      <c r="DK735" s="72">
        <v>0</v>
      </c>
      <c r="DL735" s="72">
        <v>0</v>
      </c>
      <c r="DM735" s="72">
        <v>0</v>
      </c>
      <c r="DN735" s="72">
        <v>0</v>
      </c>
      <c r="DO735" s="72">
        <v>0</v>
      </c>
      <c r="DP735" s="72">
        <v>0</v>
      </c>
      <c r="DQ735" s="72">
        <v>0</v>
      </c>
      <c r="DR735" s="72">
        <v>0</v>
      </c>
      <c r="DS735" s="72">
        <v>0</v>
      </c>
      <c r="DT735" s="72">
        <v>0</v>
      </c>
      <c r="DU735" s="72">
        <v>0</v>
      </c>
      <c r="DV735" s="72">
        <v>0</v>
      </c>
      <c r="DW735" s="72">
        <v>0</v>
      </c>
      <c r="DX735" s="72">
        <v>0</v>
      </c>
      <c r="DY735" s="72">
        <v>0</v>
      </c>
      <c r="DZ735" s="72">
        <v>0</v>
      </c>
      <c r="EA735" s="72">
        <v>0</v>
      </c>
      <c r="EB735" s="72">
        <v>0</v>
      </c>
      <c r="EC735" s="72">
        <v>0</v>
      </c>
      <c r="ED735" s="72">
        <v>0</v>
      </c>
      <c r="EE735" s="72">
        <v>0</v>
      </c>
      <c r="EF735" s="72">
        <v>0</v>
      </c>
      <c r="EG735" s="72">
        <v>0</v>
      </c>
      <c r="EH735" s="72">
        <v>0</v>
      </c>
      <c r="EI735" s="72">
        <v>0</v>
      </c>
      <c r="EJ735" s="72">
        <v>0</v>
      </c>
      <c r="EK735" s="72">
        <v>0</v>
      </c>
      <c r="EL735" s="72">
        <v>0</v>
      </c>
    </row>
    <row r="736" spans="1:142" x14ac:dyDescent="0.35">
      <c r="A736" s="59">
        <f>Данные!A736</f>
        <v>6370</v>
      </c>
      <c r="B736" s="59">
        <f>Данные!B736</f>
        <v>2018</v>
      </c>
      <c r="C736" s="59" t="str">
        <f>Данные!C736</f>
        <v>компьютерных технологий и электронного обучения</v>
      </c>
      <c r="D736" s="59" t="str">
        <f>Данные!D736</f>
        <v>Гончарова Светлана Викторовна</v>
      </c>
      <c r="E736" s="59" t="str">
        <f>Данные!E736</f>
        <v>кандидат педагогических наук</v>
      </c>
      <c r="F736" s="59" t="str">
        <f>Данные!F736</f>
        <v>доцент</v>
      </c>
      <c r="G736" s="59">
        <f>Данные!G736</f>
        <v>1</v>
      </c>
      <c r="H736" s="59">
        <f>Данные!H736</f>
        <v>17048</v>
      </c>
      <c r="I736" s="59" t="str">
        <f>Данные!I736</f>
        <v>Модуль "Профессиональная коммуникация". Информационные технологии в профессиональной деятельности</v>
      </c>
      <c r="J736" s="59">
        <f>Данные!J736</f>
        <v>2</v>
      </c>
      <c r="K736" s="59">
        <f>Данные!K736</f>
        <v>0</v>
      </c>
      <c r="L736" s="59">
        <f>Данные!L736</f>
        <v>0</v>
      </c>
      <c r="M736" s="60">
        <f t="shared" si="99"/>
        <v>0.2</v>
      </c>
      <c r="N736" s="60">
        <f t="shared" ca="1" si="100"/>
        <v>5.3000000000000007</v>
      </c>
      <c r="O736" s="60">
        <f t="shared" ca="1" si="101"/>
        <v>2.5</v>
      </c>
      <c r="P736" s="60">
        <f t="shared" ca="1" si="102"/>
        <v>2.5</v>
      </c>
      <c r="Q736" s="54">
        <f>Данные!Q736</f>
        <v>0</v>
      </c>
      <c r="R736" s="54">
        <f>Данные!R736</f>
        <v>0</v>
      </c>
      <c r="S736" s="54">
        <f>Данные!S736</f>
        <v>0</v>
      </c>
      <c r="T736" s="54">
        <f>Данные!T736</f>
        <v>0</v>
      </c>
      <c r="U736" s="54">
        <f>Данные!U736</f>
        <v>0</v>
      </c>
      <c r="V736" s="54">
        <f>Данные!V736</f>
        <v>0</v>
      </c>
      <c r="W736" s="54">
        <f ca="1">Данные!W736</f>
        <v>10</v>
      </c>
      <c r="X736" s="54" t="str">
        <f ca="1">Данные!X736</f>
        <v>1</v>
      </c>
      <c r="Y736" s="54" t="str">
        <f ca="1">Данные!Y736</f>
        <v>1</v>
      </c>
      <c r="Z736" s="54">
        <f>Данные!Z736</f>
        <v>0</v>
      </c>
      <c r="AA736" s="54" t="str">
        <f>Данные!AA736</f>
        <v>осн</v>
      </c>
      <c r="AB736" s="101">
        <f t="shared" si="103"/>
        <v>800</v>
      </c>
      <c r="AC736" s="101" t="str">
        <f t="shared" si="104"/>
        <v>КЭО (маг)</v>
      </c>
      <c r="AD736" s="101" t="str">
        <f t="shared" si="105"/>
        <v/>
      </c>
      <c r="AE736" s="102">
        <f t="shared" ca="1" si="106"/>
        <v>12.5</v>
      </c>
      <c r="AF736" s="103">
        <f t="shared" ca="1" si="107"/>
        <v>1.5625E-2</v>
      </c>
      <c r="AG736" s="101"/>
      <c r="AH736" s="101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Q736" s="72">
        <v>0</v>
      </c>
      <c r="BR736" s="72">
        <v>0</v>
      </c>
      <c r="BS736" s="72">
        <v>0</v>
      </c>
      <c r="BT736" s="72">
        <v>0</v>
      </c>
      <c r="BU736" s="72">
        <v>0</v>
      </c>
      <c r="BV736" s="72">
        <v>0</v>
      </c>
      <c r="BW736" s="72">
        <v>0</v>
      </c>
      <c r="BX736" s="72">
        <v>0</v>
      </c>
      <c r="BY736" s="72">
        <v>0</v>
      </c>
      <c r="BZ736" s="72">
        <v>0</v>
      </c>
      <c r="CA736" s="72">
        <v>0</v>
      </c>
      <c r="CB736" s="72">
        <v>0</v>
      </c>
      <c r="CC736" s="72">
        <v>0</v>
      </c>
      <c r="CD736" s="72">
        <v>0</v>
      </c>
      <c r="CE736" s="72">
        <v>0</v>
      </c>
      <c r="CF736" s="72">
        <v>0</v>
      </c>
      <c r="CG736" s="72">
        <v>0</v>
      </c>
      <c r="CH736" s="72">
        <v>0</v>
      </c>
      <c r="CI736" s="72">
        <v>0</v>
      </c>
      <c r="CJ736" s="72">
        <v>0</v>
      </c>
      <c r="CK736" s="72">
        <v>0</v>
      </c>
      <c r="CL736" s="72">
        <v>0</v>
      </c>
      <c r="CM736" s="72">
        <v>0</v>
      </c>
      <c r="CN736" s="72">
        <v>0</v>
      </c>
      <c r="CO736" s="72">
        <v>0</v>
      </c>
      <c r="CP736" s="72">
        <v>0</v>
      </c>
      <c r="CQ736" s="72">
        <v>0</v>
      </c>
      <c r="CR736" s="72">
        <v>0</v>
      </c>
      <c r="CS736" s="72">
        <v>0</v>
      </c>
      <c r="CT736" s="72">
        <v>0</v>
      </c>
      <c r="CU736" s="72">
        <v>0</v>
      </c>
      <c r="CV736" s="72">
        <v>0</v>
      </c>
      <c r="CW736" s="72">
        <v>0</v>
      </c>
      <c r="CX736" s="72">
        <v>0</v>
      </c>
      <c r="CY736" s="72">
        <v>0</v>
      </c>
      <c r="CZ736" s="72">
        <v>0</v>
      </c>
      <c r="DA736" s="72">
        <v>0</v>
      </c>
      <c r="DB736" s="72">
        <v>0</v>
      </c>
      <c r="DC736" s="72">
        <v>0</v>
      </c>
      <c r="DD736" s="72">
        <v>0</v>
      </c>
      <c r="DE736" s="72">
        <v>0</v>
      </c>
      <c r="DF736" s="72">
        <v>0</v>
      </c>
      <c r="DG736" s="72">
        <v>0</v>
      </c>
      <c r="DH736" s="72">
        <v>0</v>
      </c>
      <c r="DI736" s="72">
        <v>0</v>
      </c>
      <c r="DJ736" s="72">
        <v>0</v>
      </c>
      <c r="DK736" s="72">
        <v>0</v>
      </c>
      <c r="DL736" s="72">
        <v>0</v>
      </c>
      <c r="DM736" s="72">
        <v>0</v>
      </c>
      <c r="DN736" s="72">
        <v>0</v>
      </c>
      <c r="DO736" s="72">
        <v>0</v>
      </c>
      <c r="DP736" s="72">
        <v>0</v>
      </c>
      <c r="DQ736" s="72">
        <v>0</v>
      </c>
      <c r="DR736" s="72">
        <v>0</v>
      </c>
      <c r="DS736" s="72">
        <v>0</v>
      </c>
      <c r="DT736" s="72">
        <v>0</v>
      </c>
      <c r="DU736" s="72">
        <v>0</v>
      </c>
      <c r="DV736" s="72">
        <v>0</v>
      </c>
      <c r="DW736" s="72">
        <v>0</v>
      </c>
      <c r="DX736" s="72">
        <v>0</v>
      </c>
      <c r="DY736" s="72">
        <v>0</v>
      </c>
      <c r="DZ736" s="72">
        <v>0</v>
      </c>
      <c r="EA736" s="72">
        <v>0</v>
      </c>
      <c r="EB736" s="72">
        <v>0</v>
      </c>
      <c r="EC736" s="72">
        <v>0</v>
      </c>
      <c r="ED736" s="72">
        <v>0</v>
      </c>
      <c r="EE736" s="72">
        <v>0</v>
      </c>
      <c r="EF736" s="72">
        <v>0</v>
      </c>
      <c r="EG736" s="72">
        <v>0</v>
      </c>
      <c r="EH736" s="72">
        <v>0</v>
      </c>
      <c r="EI736" s="72">
        <v>0</v>
      </c>
      <c r="EJ736" s="72">
        <v>0</v>
      </c>
      <c r="EK736" s="72">
        <v>0</v>
      </c>
      <c r="EL736" s="72">
        <v>0</v>
      </c>
    </row>
    <row r="737" spans="1:142" ht="26.25" customHeight="1" x14ac:dyDescent="0.35">
      <c r="A737" s="59">
        <f>Данные!A737</f>
        <v>6370</v>
      </c>
      <c r="B737" s="59">
        <f>Данные!B737</f>
        <v>2018</v>
      </c>
      <c r="C737" s="59" t="str">
        <f>Данные!C737</f>
        <v>компьютерных технологий и электронного обучения</v>
      </c>
      <c r="D737" s="59" t="str">
        <f>Данные!D737</f>
        <v>Гончарова Светлана Викторовна</v>
      </c>
      <c r="E737" s="59" t="str">
        <f>Данные!E737</f>
        <v>кандидат педагогических наук</v>
      </c>
      <c r="F737" s="59" t="str">
        <f>Данные!F737</f>
        <v>доцент</v>
      </c>
      <c r="G737" s="59">
        <f>Данные!G737</f>
        <v>1</v>
      </c>
      <c r="H737" s="59">
        <f>Данные!H737</f>
        <v>17048</v>
      </c>
      <c r="I737" s="59" t="str">
        <f>Данные!I737</f>
        <v>Научно-исследовательская работа. Педагогическое образование. Магистерская программа "Корпоративное электронное обучение"</v>
      </c>
      <c r="J737" s="59">
        <f>Данные!J737</f>
        <v>0</v>
      </c>
      <c r="K737" s="59">
        <f>Данные!K737</f>
        <v>0</v>
      </c>
      <c r="L737" s="59">
        <f>Данные!L737</f>
        <v>0</v>
      </c>
      <c r="M737" s="60">
        <f t="shared" si="99"/>
        <v>0</v>
      </c>
      <c r="N737" s="60">
        <f t="shared" ca="1" si="100"/>
        <v>5.3000000000000007</v>
      </c>
      <c r="O737" s="60">
        <f t="shared" ca="1" si="101"/>
        <v>2.5</v>
      </c>
      <c r="P737" s="60">
        <f t="shared" ca="1" si="102"/>
        <v>2.5</v>
      </c>
      <c r="Q737" s="54">
        <f>Данные!Q737</f>
        <v>0</v>
      </c>
      <c r="R737" s="54">
        <f>Данные!R737</f>
        <v>0</v>
      </c>
      <c r="S737" s="54">
        <f>Данные!S737</f>
        <v>0</v>
      </c>
      <c r="T737" s="54">
        <f>Данные!T737</f>
        <v>0</v>
      </c>
      <c r="U737" s="54">
        <f>Данные!U737</f>
        <v>8</v>
      </c>
      <c r="V737" s="54">
        <f>Данные!V737</f>
        <v>0</v>
      </c>
      <c r="W737" s="54">
        <f ca="1">Данные!W737</f>
        <v>10</v>
      </c>
      <c r="X737" s="54" t="str">
        <f ca="1">Данные!X737</f>
        <v>1</v>
      </c>
      <c r="Y737" s="54" t="str">
        <f ca="1">Данные!Y737</f>
        <v>1</v>
      </c>
      <c r="Z737" s="54">
        <f>Данные!Z737</f>
        <v>0</v>
      </c>
      <c r="AA737" s="54" t="str">
        <f>Данные!AA737</f>
        <v>осн</v>
      </c>
      <c r="AB737" s="101">
        <f t="shared" si="103"/>
        <v>800</v>
      </c>
      <c r="AC737" s="101" t="str">
        <f t="shared" si="104"/>
        <v>КЭО (маг)</v>
      </c>
      <c r="AD737" s="101" t="str">
        <f t="shared" si="105"/>
        <v/>
      </c>
      <c r="AE737" s="102">
        <f t="shared" ca="1" si="106"/>
        <v>18.3</v>
      </c>
      <c r="AF737" s="103">
        <f t="shared" ca="1" si="107"/>
        <v>2.2875E-2</v>
      </c>
      <c r="AG737" s="101"/>
      <c r="AH737" s="101"/>
      <c r="BQ737" s="72">
        <v>0</v>
      </c>
      <c r="BR737" s="72">
        <v>0</v>
      </c>
      <c r="BS737" s="72">
        <v>0</v>
      </c>
      <c r="BT737" s="72">
        <v>0</v>
      </c>
      <c r="BU737" s="72">
        <v>0</v>
      </c>
      <c r="BV737" s="72">
        <v>0</v>
      </c>
      <c r="BW737" s="72">
        <v>0</v>
      </c>
      <c r="BX737" s="72">
        <v>0</v>
      </c>
      <c r="BY737" s="72">
        <v>0</v>
      </c>
      <c r="BZ737" s="72">
        <v>0</v>
      </c>
      <c r="CA737" s="72">
        <v>0</v>
      </c>
      <c r="CB737" s="72">
        <v>0</v>
      </c>
      <c r="CC737" s="72">
        <v>0</v>
      </c>
      <c r="CD737" s="72">
        <v>0</v>
      </c>
      <c r="CE737" s="72">
        <v>0</v>
      </c>
      <c r="CF737" s="72">
        <v>0</v>
      </c>
      <c r="CG737" s="72">
        <v>0</v>
      </c>
      <c r="CH737" s="72">
        <v>0</v>
      </c>
      <c r="CI737" s="72">
        <v>0</v>
      </c>
      <c r="CJ737" s="72">
        <v>0</v>
      </c>
      <c r="CK737" s="72">
        <v>0</v>
      </c>
      <c r="CL737" s="72">
        <v>0</v>
      </c>
      <c r="CM737" s="72">
        <v>0</v>
      </c>
      <c r="CN737" s="72">
        <v>0</v>
      </c>
      <c r="CO737" s="72">
        <v>0</v>
      </c>
      <c r="CP737" s="72">
        <v>0</v>
      </c>
      <c r="CQ737" s="72">
        <v>0</v>
      </c>
      <c r="CR737" s="72">
        <v>0</v>
      </c>
      <c r="CS737" s="72">
        <v>0</v>
      </c>
      <c r="CT737" s="72">
        <v>0</v>
      </c>
      <c r="CU737" s="72">
        <v>0</v>
      </c>
      <c r="CV737" s="72">
        <v>0</v>
      </c>
      <c r="CW737" s="72">
        <v>0</v>
      </c>
      <c r="CX737" s="72">
        <v>0</v>
      </c>
      <c r="CY737" s="72">
        <v>0</v>
      </c>
      <c r="CZ737" s="72">
        <v>0</v>
      </c>
      <c r="DA737" s="72">
        <v>0</v>
      </c>
      <c r="DB737" s="72">
        <v>0</v>
      </c>
      <c r="DC737" s="72">
        <v>0</v>
      </c>
      <c r="DD737" s="72">
        <v>0</v>
      </c>
      <c r="DE737" s="72">
        <v>0</v>
      </c>
      <c r="DF737" s="72">
        <v>0</v>
      </c>
      <c r="DG737" s="72">
        <v>0</v>
      </c>
      <c r="DH737" s="72">
        <v>0</v>
      </c>
      <c r="DI737" s="72">
        <v>0</v>
      </c>
      <c r="DJ737" s="72">
        <v>0</v>
      </c>
      <c r="DK737" s="72">
        <v>0</v>
      </c>
      <c r="DL737" s="72">
        <v>0</v>
      </c>
      <c r="DM737" s="72">
        <v>0</v>
      </c>
      <c r="DN737" s="72">
        <v>0</v>
      </c>
      <c r="DO737" s="72">
        <v>0</v>
      </c>
      <c r="DP737" s="72">
        <v>0</v>
      </c>
      <c r="DQ737" s="72">
        <v>0</v>
      </c>
      <c r="DR737" s="72">
        <v>0</v>
      </c>
      <c r="DS737" s="72">
        <v>0</v>
      </c>
      <c r="DT737" s="72">
        <v>0</v>
      </c>
      <c r="DU737" s="72">
        <v>0</v>
      </c>
      <c r="DV737" s="72">
        <v>0</v>
      </c>
      <c r="DW737" s="72">
        <v>0</v>
      </c>
      <c r="DX737" s="72">
        <v>0</v>
      </c>
      <c r="DY737" s="72">
        <v>0</v>
      </c>
      <c r="DZ737" s="72">
        <v>0</v>
      </c>
      <c r="EA737" s="72">
        <v>0</v>
      </c>
      <c r="EB737" s="72">
        <v>0</v>
      </c>
      <c r="EC737" s="72">
        <v>0</v>
      </c>
      <c r="ED737" s="72">
        <v>0</v>
      </c>
      <c r="EE737" s="72">
        <v>0</v>
      </c>
      <c r="EF737" s="72">
        <v>0</v>
      </c>
      <c r="EG737" s="72">
        <v>0</v>
      </c>
      <c r="EH737" s="72">
        <v>0</v>
      </c>
      <c r="EI737" s="72">
        <v>0</v>
      </c>
      <c r="EJ737" s="72">
        <v>0</v>
      </c>
      <c r="EK737" s="72">
        <v>0</v>
      </c>
      <c r="EL737" s="72">
        <v>0</v>
      </c>
    </row>
    <row r="738" spans="1:142" x14ac:dyDescent="0.35">
      <c r="A738" s="59">
        <f>Данные!A738</f>
        <v>6370</v>
      </c>
      <c r="B738" s="59">
        <f>Данные!B738</f>
        <v>2018</v>
      </c>
      <c r="C738" s="59" t="str">
        <f>Данные!C738</f>
        <v>компьютерных технологий и электронного обучения</v>
      </c>
      <c r="D738" s="59" t="str">
        <f>Данные!D738</f>
        <v>Гончарова Светлана Викторовна</v>
      </c>
      <c r="E738" s="59" t="str">
        <f>Данные!E738</f>
        <v>кандидат педагогических наук</v>
      </c>
      <c r="F738" s="59" t="str">
        <f>Данные!F738</f>
        <v>доцент</v>
      </c>
      <c r="G738" s="59">
        <f>Данные!G738</f>
        <v>1</v>
      </c>
      <c r="H738" s="59">
        <f>Данные!H738</f>
        <v>17048</v>
      </c>
      <c r="I738" s="59" t="str">
        <f>Данные!I738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38" s="59">
        <f>Данные!J738</f>
        <v>0</v>
      </c>
      <c r="K738" s="59">
        <f>Данные!K738</f>
        <v>0</v>
      </c>
      <c r="L738" s="59">
        <f>Данные!L738</f>
        <v>0</v>
      </c>
      <c r="M738" s="60">
        <f t="shared" si="99"/>
        <v>0</v>
      </c>
      <c r="N738" s="60">
        <f t="shared" ca="1" si="100"/>
        <v>5.3000000000000007</v>
      </c>
      <c r="O738" s="60">
        <f t="shared" ca="1" si="101"/>
        <v>2.5</v>
      </c>
      <c r="P738" s="60">
        <f t="shared" ca="1" si="102"/>
        <v>2.5</v>
      </c>
      <c r="Q738" s="54">
        <f>Данные!Q738</f>
        <v>0</v>
      </c>
      <c r="R738" s="54">
        <f>Данные!R738</f>
        <v>0</v>
      </c>
      <c r="S738" s="54">
        <f>Данные!S738</f>
        <v>0</v>
      </c>
      <c r="T738" s="54">
        <f>Данные!T738</f>
        <v>0</v>
      </c>
      <c r="U738" s="54">
        <f>Данные!U738</f>
        <v>5</v>
      </c>
      <c r="V738" s="54">
        <f>Данные!V738</f>
        <v>0</v>
      </c>
      <c r="W738" s="54">
        <f ca="1">Данные!W738</f>
        <v>10</v>
      </c>
      <c r="X738" s="54" t="str">
        <f ca="1">Данные!X738</f>
        <v>1</v>
      </c>
      <c r="Y738" s="54" t="str">
        <f ca="1">Данные!Y738</f>
        <v>1</v>
      </c>
      <c r="Z738" s="54">
        <f>Данные!Z738</f>
        <v>0</v>
      </c>
      <c r="AA738" s="54" t="str">
        <f>Данные!AA738</f>
        <v>осн</v>
      </c>
      <c r="AB738" s="101">
        <f t="shared" si="103"/>
        <v>800</v>
      </c>
      <c r="AC738" s="101" t="str">
        <f t="shared" si="104"/>
        <v>КЭО (маг)</v>
      </c>
      <c r="AD738" s="101" t="str">
        <f t="shared" si="105"/>
        <v/>
      </c>
      <c r="AE738" s="102">
        <f t="shared" ca="1" si="106"/>
        <v>15.3</v>
      </c>
      <c r="AF738" s="103">
        <f t="shared" ca="1" si="107"/>
        <v>1.9125E-2</v>
      </c>
      <c r="AG738" s="101"/>
      <c r="AH738" s="101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Q738" s="72">
        <v>0</v>
      </c>
      <c r="BR738" s="72">
        <v>0</v>
      </c>
      <c r="BS738" s="72">
        <v>0</v>
      </c>
      <c r="BT738" s="72">
        <v>0</v>
      </c>
      <c r="BU738" s="72">
        <v>0</v>
      </c>
      <c r="BV738" s="72">
        <v>0</v>
      </c>
      <c r="BW738" s="72">
        <v>0</v>
      </c>
      <c r="BX738" s="72">
        <v>0</v>
      </c>
      <c r="BY738" s="72">
        <v>0</v>
      </c>
      <c r="BZ738" s="72">
        <v>0</v>
      </c>
      <c r="CA738" s="72">
        <v>0</v>
      </c>
      <c r="CB738" s="72">
        <v>0</v>
      </c>
      <c r="CC738" s="72">
        <v>0</v>
      </c>
      <c r="CD738" s="72">
        <v>0</v>
      </c>
      <c r="CE738" s="72">
        <v>0</v>
      </c>
      <c r="CF738" s="72">
        <v>0</v>
      </c>
      <c r="CG738" s="72">
        <v>0</v>
      </c>
      <c r="CH738" s="72">
        <v>0</v>
      </c>
      <c r="CI738" s="72">
        <v>0</v>
      </c>
      <c r="CJ738" s="72">
        <v>0</v>
      </c>
      <c r="CK738" s="72">
        <v>0</v>
      </c>
      <c r="CL738" s="72">
        <v>0</v>
      </c>
      <c r="CM738" s="72">
        <v>0</v>
      </c>
      <c r="CN738" s="72">
        <v>0</v>
      </c>
      <c r="CO738" s="72">
        <v>0</v>
      </c>
      <c r="CP738" s="72">
        <v>0</v>
      </c>
      <c r="CQ738" s="72">
        <v>0</v>
      </c>
      <c r="CR738" s="72">
        <v>0</v>
      </c>
      <c r="CS738" s="72">
        <v>0</v>
      </c>
      <c r="CT738" s="72">
        <v>0</v>
      </c>
      <c r="CU738" s="72">
        <v>0</v>
      </c>
      <c r="CV738" s="72">
        <v>0</v>
      </c>
      <c r="CW738" s="72">
        <v>0</v>
      </c>
      <c r="CX738" s="72">
        <v>0</v>
      </c>
      <c r="CY738" s="72">
        <v>0</v>
      </c>
      <c r="CZ738" s="72">
        <v>0</v>
      </c>
      <c r="DA738" s="72">
        <v>0</v>
      </c>
      <c r="DB738" s="72">
        <v>0</v>
      </c>
      <c r="DC738" s="72">
        <v>0</v>
      </c>
      <c r="DD738" s="72">
        <v>0</v>
      </c>
      <c r="DE738" s="72">
        <v>0</v>
      </c>
      <c r="DF738" s="72">
        <v>0</v>
      </c>
      <c r="DG738" s="72">
        <v>0</v>
      </c>
      <c r="DH738" s="72">
        <v>0</v>
      </c>
      <c r="DI738" s="72">
        <v>0</v>
      </c>
      <c r="DJ738" s="72">
        <v>0</v>
      </c>
      <c r="DK738" s="72">
        <v>0</v>
      </c>
      <c r="DL738" s="72">
        <v>0</v>
      </c>
      <c r="DM738" s="72">
        <v>0</v>
      </c>
      <c r="DN738" s="72">
        <v>0</v>
      </c>
      <c r="DO738" s="72">
        <v>0</v>
      </c>
      <c r="DP738" s="72">
        <v>0</v>
      </c>
      <c r="DQ738" s="72">
        <v>0</v>
      </c>
      <c r="DR738" s="72">
        <v>0</v>
      </c>
      <c r="DS738" s="72">
        <v>0</v>
      </c>
      <c r="DT738" s="72">
        <v>0</v>
      </c>
      <c r="DU738" s="72">
        <v>0</v>
      </c>
      <c r="DV738" s="72">
        <v>0</v>
      </c>
      <c r="DW738" s="72">
        <v>0</v>
      </c>
      <c r="DX738" s="72">
        <v>0</v>
      </c>
      <c r="DY738" s="72">
        <v>0</v>
      </c>
      <c r="DZ738" s="72">
        <v>0</v>
      </c>
      <c r="EA738" s="72">
        <v>0</v>
      </c>
      <c r="EB738" s="72">
        <v>0</v>
      </c>
      <c r="EC738" s="72">
        <v>0</v>
      </c>
      <c r="ED738" s="72">
        <v>0</v>
      </c>
      <c r="EE738" s="72">
        <v>0</v>
      </c>
      <c r="EF738" s="72">
        <v>0</v>
      </c>
      <c r="EG738" s="72">
        <v>0</v>
      </c>
      <c r="EH738" s="72">
        <v>0</v>
      </c>
      <c r="EI738" s="72">
        <v>0</v>
      </c>
      <c r="EJ738" s="72">
        <v>0</v>
      </c>
      <c r="EK738" s="72">
        <v>0</v>
      </c>
      <c r="EL738" s="72">
        <v>0</v>
      </c>
    </row>
    <row r="739" spans="1:142" x14ac:dyDescent="0.35">
      <c r="A739" s="59">
        <f>Данные!A739</f>
        <v>6370</v>
      </c>
      <c r="B739" s="59">
        <f>Данные!B739</f>
        <v>2018</v>
      </c>
      <c r="C739" s="59" t="str">
        <f>Данные!C739</f>
        <v>компьютерных технологий и электронного обучения</v>
      </c>
      <c r="D739" s="59" t="str">
        <f>Данные!D739</f>
        <v>Гончарова Светлана Викторовна</v>
      </c>
      <c r="E739" s="59" t="str">
        <f>Данные!E739</f>
        <v>кандидат педагогических наук</v>
      </c>
      <c r="F739" s="59" t="str">
        <f>Данные!F739</f>
        <v>доцент</v>
      </c>
      <c r="G739" s="59">
        <f>Данные!G739</f>
        <v>1</v>
      </c>
      <c r="H739" s="59">
        <f>Данные!H739</f>
        <v>17048</v>
      </c>
      <c r="I739" s="59" t="str">
        <f>Данные!I739</f>
        <v>Руководство ВКР (магистерская диссертация)</v>
      </c>
      <c r="J739" s="59">
        <f>Данные!J739</f>
        <v>0</v>
      </c>
      <c r="K739" s="59">
        <f>Данные!K739</f>
        <v>0</v>
      </c>
      <c r="L739" s="59">
        <f>Данные!L739</f>
        <v>0</v>
      </c>
      <c r="M739" s="60">
        <f t="shared" si="99"/>
        <v>0</v>
      </c>
      <c r="N739" s="60">
        <f t="shared" ca="1" si="100"/>
        <v>5.3000000000000007</v>
      </c>
      <c r="O739" s="60">
        <f t="shared" ca="1" si="101"/>
        <v>2.5</v>
      </c>
      <c r="P739" s="60">
        <f t="shared" ca="1" si="102"/>
        <v>2.5</v>
      </c>
      <c r="Q739" s="54">
        <f>Данные!Q739</f>
        <v>0</v>
      </c>
      <c r="R739" s="54">
        <f>Данные!R739</f>
        <v>0</v>
      </c>
      <c r="S739" s="54">
        <f>Данные!S739</f>
        <v>0</v>
      </c>
      <c r="T739" s="54">
        <f>Данные!T739</f>
        <v>0</v>
      </c>
      <c r="U739" s="54">
        <f>Данные!U739</f>
        <v>0</v>
      </c>
      <c r="V739" s="54">
        <f>Данные!V739</f>
        <v>18</v>
      </c>
      <c r="W739" s="54">
        <f ca="1">Данные!W739</f>
        <v>10</v>
      </c>
      <c r="X739" s="54" t="str">
        <f ca="1">Данные!X739</f>
        <v>1</v>
      </c>
      <c r="Y739" s="54" t="str">
        <f ca="1">Данные!Y739</f>
        <v>1</v>
      </c>
      <c r="Z739" s="54">
        <f>Данные!Z739</f>
        <v>0</v>
      </c>
      <c r="AA739" s="54" t="str">
        <f>Данные!AA739</f>
        <v>осн</v>
      </c>
      <c r="AB739" s="101">
        <f t="shared" si="103"/>
        <v>800</v>
      </c>
      <c r="AC739" s="101" t="str">
        <f t="shared" si="104"/>
        <v>КЭО (маг)</v>
      </c>
      <c r="AD739" s="101" t="str">
        <f t="shared" si="105"/>
        <v/>
      </c>
      <c r="AE739" s="102">
        <f t="shared" ca="1" si="106"/>
        <v>28.3</v>
      </c>
      <c r="AF739" s="103">
        <f t="shared" ca="1" si="107"/>
        <v>3.5375000000000004E-2</v>
      </c>
      <c r="AG739" s="101"/>
      <c r="AH739" s="101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Q739" s="72">
        <v>0</v>
      </c>
      <c r="BR739" s="72">
        <v>0</v>
      </c>
      <c r="BS739" s="72">
        <v>0</v>
      </c>
      <c r="BT739" s="72">
        <v>0</v>
      </c>
      <c r="BU739" s="72">
        <v>0</v>
      </c>
      <c r="BV739" s="72">
        <v>0</v>
      </c>
      <c r="BW739" s="72">
        <v>0</v>
      </c>
      <c r="BX739" s="72">
        <v>0</v>
      </c>
      <c r="BY739" s="72">
        <v>0</v>
      </c>
      <c r="BZ739" s="72">
        <v>0</v>
      </c>
      <c r="CA739" s="72">
        <v>0</v>
      </c>
      <c r="CB739" s="72">
        <v>0</v>
      </c>
      <c r="CC739" s="72">
        <v>0</v>
      </c>
      <c r="CD739" s="72">
        <v>0</v>
      </c>
      <c r="CE739" s="72">
        <v>0</v>
      </c>
      <c r="CF739" s="72">
        <v>0</v>
      </c>
      <c r="CG739" s="72">
        <v>0</v>
      </c>
      <c r="CH739" s="72">
        <v>0</v>
      </c>
      <c r="CI739" s="72">
        <v>0</v>
      </c>
      <c r="CJ739" s="72">
        <v>0</v>
      </c>
      <c r="CK739" s="72">
        <v>0</v>
      </c>
      <c r="CL739" s="72">
        <v>0</v>
      </c>
      <c r="CM739" s="72">
        <v>0</v>
      </c>
      <c r="CN739" s="72">
        <v>0</v>
      </c>
      <c r="CO739" s="72">
        <v>0</v>
      </c>
      <c r="CP739" s="72">
        <v>0</v>
      </c>
      <c r="CQ739" s="72">
        <v>0</v>
      </c>
      <c r="CR739" s="72">
        <v>0</v>
      </c>
      <c r="CS739" s="72">
        <v>0</v>
      </c>
      <c r="CT739" s="72">
        <v>0</v>
      </c>
      <c r="CU739" s="72">
        <v>0</v>
      </c>
      <c r="CV739" s="72">
        <v>0</v>
      </c>
      <c r="CW739" s="72">
        <v>0</v>
      </c>
      <c r="CX739" s="72">
        <v>0</v>
      </c>
      <c r="CY739" s="72">
        <v>0</v>
      </c>
      <c r="CZ739" s="72">
        <v>0</v>
      </c>
      <c r="DA739" s="72">
        <v>0</v>
      </c>
      <c r="DB739" s="72">
        <v>0</v>
      </c>
      <c r="DC739" s="72">
        <v>0</v>
      </c>
      <c r="DD739" s="72">
        <v>0</v>
      </c>
      <c r="DE739" s="72">
        <v>0</v>
      </c>
      <c r="DF739" s="72">
        <v>0</v>
      </c>
      <c r="DG739" s="72">
        <v>0</v>
      </c>
      <c r="DH739" s="72">
        <v>0</v>
      </c>
      <c r="DI739" s="72">
        <v>0</v>
      </c>
      <c r="DJ739" s="72">
        <v>0</v>
      </c>
      <c r="DK739" s="72">
        <v>0</v>
      </c>
      <c r="DL739" s="72">
        <v>0</v>
      </c>
      <c r="DM739" s="72">
        <v>0</v>
      </c>
      <c r="DN739" s="72">
        <v>0</v>
      </c>
      <c r="DO739" s="72">
        <v>0</v>
      </c>
      <c r="DP739" s="72">
        <v>0</v>
      </c>
      <c r="DQ739" s="72">
        <v>0</v>
      </c>
      <c r="DR739" s="72">
        <v>0</v>
      </c>
      <c r="DS739" s="72">
        <v>0</v>
      </c>
      <c r="DT739" s="72">
        <v>0</v>
      </c>
      <c r="DU739" s="72">
        <v>0</v>
      </c>
      <c r="DV739" s="72">
        <v>0</v>
      </c>
      <c r="DW739" s="72">
        <v>0</v>
      </c>
      <c r="DX739" s="72">
        <v>0</v>
      </c>
      <c r="DY739" s="72">
        <v>0</v>
      </c>
      <c r="DZ739" s="72">
        <v>0</v>
      </c>
      <c r="EA739" s="72">
        <v>0</v>
      </c>
      <c r="EB739" s="72">
        <v>0</v>
      </c>
      <c r="EC739" s="72">
        <v>0</v>
      </c>
      <c r="ED739" s="72">
        <v>0</v>
      </c>
      <c r="EE739" s="72">
        <v>0</v>
      </c>
      <c r="EF739" s="72">
        <v>0</v>
      </c>
      <c r="EG739" s="72">
        <v>0</v>
      </c>
      <c r="EH739" s="72">
        <v>0</v>
      </c>
      <c r="EI739" s="72">
        <v>0</v>
      </c>
      <c r="EJ739" s="72">
        <v>0</v>
      </c>
      <c r="EK739" s="72">
        <v>0</v>
      </c>
      <c r="EL739" s="72">
        <v>0</v>
      </c>
    </row>
    <row r="740" spans="1:142" x14ac:dyDescent="0.35">
      <c r="A740" s="59">
        <f>Данные!A740</f>
        <v>6370</v>
      </c>
      <c r="B740" s="59">
        <f>Данные!B740</f>
        <v>2018</v>
      </c>
      <c r="C740" s="59" t="str">
        <f>Данные!C740</f>
        <v>компьютерных технологий и электронного обучения</v>
      </c>
      <c r="D740" s="59" t="str">
        <f>Данные!D740</f>
        <v>Государев Илья Борисович</v>
      </c>
      <c r="E740" s="59" t="str">
        <f>Данные!E740</f>
        <v>кандидат педагогических наук</v>
      </c>
      <c r="F740" s="59" t="str">
        <f>Данные!F740</f>
        <v>доцент</v>
      </c>
      <c r="G740" s="59">
        <f>Данные!G740</f>
        <v>1</v>
      </c>
      <c r="H740" s="59">
        <f>Данные!H740</f>
        <v>17048</v>
      </c>
      <c r="I740" s="59" t="str">
        <f>Данные!I740</f>
        <v>Модуль "IT- инфраструктура образовательного учреждения". Web-технологии и web-проектирование</v>
      </c>
      <c r="J740" s="59">
        <f>Данные!J740</f>
        <v>0</v>
      </c>
      <c r="K740" s="59">
        <f>Данные!K740</f>
        <v>9</v>
      </c>
      <c r="L740" s="59">
        <f>Данные!L740</f>
        <v>0</v>
      </c>
      <c r="M740" s="60">
        <f t="shared" si="99"/>
        <v>0.9</v>
      </c>
      <c r="N740" s="60">
        <f t="shared" ca="1" si="100"/>
        <v>5.3000000000000007</v>
      </c>
      <c r="O740" s="60">
        <f t="shared" ca="1" si="101"/>
        <v>2.5</v>
      </c>
      <c r="P740" s="60">
        <f t="shared" ca="1" si="102"/>
        <v>2.5</v>
      </c>
      <c r="Q740" s="54">
        <f>Данные!Q740</f>
        <v>0</v>
      </c>
      <c r="R740" s="54">
        <f>Данные!R740</f>
        <v>0</v>
      </c>
      <c r="S740" s="54">
        <f>Данные!S740</f>
        <v>0</v>
      </c>
      <c r="T740" s="54">
        <f>Данные!T740</f>
        <v>0</v>
      </c>
      <c r="U740" s="54">
        <f>Данные!U740</f>
        <v>0</v>
      </c>
      <c r="V740" s="54">
        <f>Данные!V740</f>
        <v>0</v>
      </c>
      <c r="W740" s="54">
        <f ca="1">Данные!W740</f>
        <v>10</v>
      </c>
      <c r="X740" s="54" t="str">
        <f ca="1">Данные!X740</f>
        <v>1</v>
      </c>
      <c r="Y740" s="54" t="str">
        <f ca="1">Данные!Y740</f>
        <v>1</v>
      </c>
      <c r="Z740" s="54">
        <f>Данные!Z740</f>
        <v>0</v>
      </c>
      <c r="AA740" s="54" t="str">
        <f>Данные!AA740</f>
        <v>осн</v>
      </c>
      <c r="AB740" s="101">
        <f t="shared" si="103"/>
        <v>800</v>
      </c>
      <c r="AC740" s="101" t="str">
        <f t="shared" si="104"/>
        <v>КЭО (маг)</v>
      </c>
      <c r="AD740" s="101" t="str">
        <f t="shared" si="105"/>
        <v/>
      </c>
      <c r="AE740" s="102">
        <f t="shared" ca="1" si="106"/>
        <v>20.200000000000003</v>
      </c>
      <c r="AF740" s="103">
        <f t="shared" ca="1" si="107"/>
        <v>2.5250000000000005E-2</v>
      </c>
      <c r="AG740" s="101"/>
      <c r="AH740" s="101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Q740" s="72">
        <v>0</v>
      </c>
      <c r="BR740" s="72">
        <v>0</v>
      </c>
      <c r="BS740" s="72">
        <v>0</v>
      </c>
      <c r="BT740" s="72">
        <v>0</v>
      </c>
      <c r="BU740" s="72">
        <v>0</v>
      </c>
      <c r="BV740" s="72">
        <v>0</v>
      </c>
      <c r="BW740" s="72">
        <v>0</v>
      </c>
      <c r="BX740" s="72">
        <v>0</v>
      </c>
      <c r="BY740" s="72">
        <v>0</v>
      </c>
      <c r="BZ740" s="72">
        <v>0</v>
      </c>
      <c r="CA740" s="72">
        <v>0</v>
      </c>
      <c r="CB740" s="72">
        <v>0</v>
      </c>
      <c r="CC740" s="72">
        <v>0</v>
      </c>
      <c r="CD740" s="72">
        <v>0</v>
      </c>
      <c r="CE740" s="72">
        <v>0</v>
      </c>
      <c r="CF740" s="72">
        <v>0</v>
      </c>
      <c r="CG740" s="72">
        <v>0</v>
      </c>
      <c r="CH740" s="72">
        <v>0</v>
      </c>
      <c r="CI740" s="72">
        <v>0</v>
      </c>
      <c r="CJ740" s="72">
        <v>0</v>
      </c>
      <c r="CK740" s="72">
        <v>0</v>
      </c>
      <c r="CL740" s="72">
        <v>0</v>
      </c>
      <c r="CM740" s="72">
        <v>0</v>
      </c>
      <c r="CN740" s="72">
        <v>0</v>
      </c>
      <c r="CO740" s="72">
        <v>0</v>
      </c>
      <c r="CP740" s="72">
        <v>0</v>
      </c>
      <c r="CQ740" s="72">
        <v>0</v>
      </c>
      <c r="CR740" s="72">
        <v>0</v>
      </c>
      <c r="CS740" s="72">
        <v>0</v>
      </c>
      <c r="CT740" s="72">
        <v>0</v>
      </c>
      <c r="CU740" s="72">
        <v>0</v>
      </c>
      <c r="CV740" s="72">
        <v>0</v>
      </c>
      <c r="CW740" s="72">
        <v>0</v>
      </c>
      <c r="CX740" s="72">
        <v>0</v>
      </c>
      <c r="CY740" s="72">
        <v>0</v>
      </c>
      <c r="CZ740" s="72">
        <v>0</v>
      </c>
      <c r="DA740" s="72">
        <v>0</v>
      </c>
      <c r="DB740" s="72">
        <v>0</v>
      </c>
      <c r="DC740" s="72">
        <v>0</v>
      </c>
      <c r="DD740" s="72">
        <v>0</v>
      </c>
      <c r="DE740" s="72">
        <v>0</v>
      </c>
      <c r="DF740" s="72">
        <v>0</v>
      </c>
      <c r="DG740" s="72">
        <v>0</v>
      </c>
      <c r="DH740" s="72">
        <v>0</v>
      </c>
      <c r="DI740" s="72">
        <v>0</v>
      </c>
      <c r="DJ740" s="72">
        <v>0</v>
      </c>
      <c r="DK740" s="72">
        <v>0</v>
      </c>
      <c r="DL740" s="72">
        <v>0</v>
      </c>
      <c r="DM740" s="72">
        <v>0</v>
      </c>
      <c r="DN740" s="72">
        <v>0</v>
      </c>
      <c r="DO740" s="72">
        <v>0</v>
      </c>
      <c r="DP740" s="72">
        <v>0</v>
      </c>
      <c r="DQ740" s="72">
        <v>0</v>
      </c>
      <c r="DR740" s="72">
        <v>0</v>
      </c>
      <c r="DS740" s="72">
        <v>0</v>
      </c>
      <c r="DT740" s="72">
        <v>0</v>
      </c>
      <c r="DU740" s="72">
        <v>0</v>
      </c>
      <c r="DV740" s="72">
        <v>0</v>
      </c>
      <c r="DW740" s="72">
        <v>0</v>
      </c>
      <c r="DX740" s="72">
        <v>0</v>
      </c>
      <c r="DY740" s="72">
        <v>0</v>
      </c>
      <c r="DZ740" s="72">
        <v>0</v>
      </c>
      <c r="EA740" s="72">
        <v>0</v>
      </c>
      <c r="EB740" s="72">
        <v>0</v>
      </c>
      <c r="EC740" s="72">
        <v>0</v>
      </c>
      <c r="ED740" s="72">
        <v>0</v>
      </c>
      <c r="EE740" s="72">
        <v>0</v>
      </c>
      <c r="EF740" s="72">
        <v>0</v>
      </c>
      <c r="EG740" s="72">
        <v>0</v>
      </c>
      <c r="EH740" s="72">
        <v>0</v>
      </c>
      <c r="EI740" s="72">
        <v>0</v>
      </c>
      <c r="EJ740" s="72">
        <v>0</v>
      </c>
      <c r="EK740" s="72">
        <v>0</v>
      </c>
      <c r="EL740" s="72">
        <v>0</v>
      </c>
    </row>
    <row r="741" spans="1:142" x14ac:dyDescent="0.35">
      <c r="A741" s="59">
        <f>Данные!A741</f>
        <v>6370</v>
      </c>
      <c r="B741" s="59">
        <f>Данные!B741</f>
        <v>2018</v>
      </c>
      <c r="C741" s="59" t="str">
        <f>Данные!C741</f>
        <v>компьютерных технологий и электронного обучения</v>
      </c>
      <c r="D741" s="59" t="str">
        <f>Данные!D741</f>
        <v>Государев Илья Борисович</v>
      </c>
      <c r="E741" s="59" t="str">
        <f>Данные!E741</f>
        <v>кандидат педагогических наук</v>
      </c>
      <c r="F741" s="59" t="str">
        <f>Данные!F741</f>
        <v>доцент</v>
      </c>
      <c r="G741" s="59">
        <f>Данные!G741</f>
        <v>1</v>
      </c>
      <c r="H741" s="59">
        <f>Данные!H741</f>
        <v>17048</v>
      </c>
      <c r="I741" s="59" t="str">
        <f>Данные!I741</f>
        <v>Модуль "Инновационные методы и технологии корпоративного электронного обучения "</v>
      </c>
      <c r="J741" s="59">
        <f>Данные!J741</f>
        <v>0</v>
      </c>
      <c r="K741" s="59">
        <f>Данные!K741</f>
        <v>0</v>
      </c>
      <c r="L741" s="59">
        <f>Данные!L741</f>
        <v>0</v>
      </c>
      <c r="M741" s="60">
        <f t="shared" si="99"/>
        <v>0</v>
      </c>
      <c r="N741" s="60">
        <f t="shared" ca="1" si="100"/>
        <v>5.3000000000000007</v>
      </c>
      <c r="O741" s="60">
        <f t="shared" ca="1" si="101"/>
        <v>2.5</v>
      </c>
      <c r="P741" s="60">
        <f t="shared" ca="1" si="102"/>
        <v>2.5</v>
      </c>
      <c r="Q741" s="54">
        <f>Данные!Q741</f>
        <v>0</v>
      </c>
      <c r="R741" s="54">
        <f>Данные!R741</f>
        <v>0</v>
      </c>
      <c r="S741" s="54">
        <f>Данные!S741</f>
        <v>0</v>
      </c>
      <c r="T741" s="54">
        <f>Данные!T741</f>
        <v>0</v>
      </c>
      <c r="U741" s="54">
        <f>Данные!U741</f>
        <v>0</v>
      </c>
      <c r="V741" s="54">
        <f>Данные!V741</f>
        <v>0</v>
      </c>
      <c r="W741" s="54">
        <f ca="1">Данные!W741</f>
        <v>10</v>
      </c>
      <c r="X741" s="54" t="str">
        <f ca="1">Данные!X741</f>
        <v>1</v>
      </c>
      <c r="Y741" s="54" t="str">
        <f ca="1">Данные!Y741</f>
        <v>1</v>
      </c>
      <c r="Z741" s="54">
        <f>Данные!Z741</f>
        <v>0</v>
      </c>
      <c r="AA741" s="54" t="str">
        <f>Данные!AA741</f>
        <v>осн</v>
      </c>
      <c r="AB741" s="101">
        <f t="shared" si="103"/>
        <v>800</v>
      </c>
      <c r="AC741" s="101" t="str">
        <f t="shared" si="104"/>
        <v>КЭО (маг)</v>
      </c>
      <c r="AD741" s="101" t="str">
        <f t="shared" si="105"/>
        <v/>
      </c>
      <c r="AE741" s="102">
        <f t="shared" ca="1" si="106"/>
        <v>10.3</v>
      </c>
      <c r="AF741" s="103">
        <f t="shared" ca="1" si="107"/>
        <v>1.2875000000000001E-2</v>
      </c>
      <c r="AG741" s="101"/>
      <c r="AH741" s="101"/>
      <c r="BQ741" s="72">
        <v>0</v>
      </c>
      <c r="BR741" s="72">
        <v>0</v>
      </c>
      <c r="BS741" s="72">
        <v>0</v>
      </c>
      <c r="BT741" s="72">
        <v>0</v>
      </c>
      <c r="BU741" s="72">
        <v>0</v>
      </c>
      <c r="BV741" s="72">
        <v>0</v>
      </c>
      <c r="BW741" s="72">
        <v>0</v>
      </c>
      <c r="BX741" s="72">
        <v>0</v>
      </c>
      <c r="BY741" s="72">
        <v>0</v>
      </c>
      <c r="BZ741" s="72">
        <v>0</v>
      </c>
      <c r="CA741" s="72">
        <v>0</v>
      </c>
      <c r="CB741" s="72">
        <v>0</v>
      </c>
      <c r="CC741" s="72">
        <v>0</v>
      </c>
      <c r="CD741" s="72">
        <v>0</v>
      </c>
      <c r="CE741" s="72">
        <v>0</v>
      </c>
      <c r="CF741" s="72">
        <v>0</v>
      </c>
      <c r="CG741" s="72">
        <v>0</v>
      </c>
      <c r="CH741" s="72">
        <v>0</v>
      </c>
      <c r="CI741" s="72">
        <v>0</v>
      </c>
      <c r="CJ741" s="72">
        <v>0</v>
      </c>
      <c r="CK741" s="72">
        <v>0</v>
      </c>
      <c r="CL741" s="72">
        <v>0</v>
      </c>
      <c r="CM741" s="72">
        <v>0</v>
      </c>
      <c r="CN741" s="72">
        <v>0</v>
      </c>
      <c r="CO741" s="72">
        <v>0</v>
      </c>
      <c r="CP741" s="72">
        <v>0</v>
      </c>
      <c r="CQ741" s="72">
        <v>0</v>
      </c>
      <c r="CR741" s="72">
        <v>0</v>
      </c>
      <c r="CS741" s="72">
        <v>0</v>
      </c>
      <c r="CT741" s="72">
        <v>0</v>
      </c>
      <c r="CU741" s="72">
        <v>0</v>
      </c>
      <c r="CV741" s="72">
        <v>0</v>
      </c>
      <c r="CW741" s="72">
        <v>0</v>
      </c>
      <c r="CX741" s="72">
        <v>0</v>
      </c>
      <c r="CY741" s="72">
        <v>0</v>
      </c>
      <c r="CZ741" s="72">
        <v>0</v>
      </c>
      <c r="DA741" s="72">
        <v>0</v>
      </c>
      <c r="DB741" s="72">
        <v>0</v>
      </c>
      <c r="DC741" s="72">
        <v>0</v>
      </c>
      <c r="DD741" s="72">
        <v>0</v>
      </c>
      <c r="DE741" s="72">
        <v>0</v>
      </c>
      <c r="DF741" s="72">
        <v>0</v>
      </c>
      <c r="DG741" s="72">
        <v>0</v>
      </c>
      <c r="DH741" s="72">
        <v>0</v>
      </c>
      <c r="DI741" s="72">
        <v>0</v>
      </c>
      <c r="DJ741" s="72">
        <v>0</v>
      </c>
      <c r="DK741" s="72">
        <v>0</v>
      </c>
      <c r="DL741" s="72">
        <v>0</v>
      </c>
      <c r="DM741" s="72">
        <v>0</v>
      </c>
      <c r="DN741" s="72">
        <v>0</v>
      </c>
      <c r="DO741" s="72">
        <v>0</v>
      </c>
      <c r="DP741" s="72">
        <v>0</v>
      </c>
      <c r="DQ741" s="72">
        <v>0</v>
      </c>
      <c r="DR741" s="72">
        <v>0</v>
      </c>
      <c r="DS741" s="72">
        <v>0</v>
      </c>
      <c r="DT741" s="72">
        <v>0</v>
      </c>
      <c r="DU741" s="72">
        <v>0</v>
      </c>
      <c r="DV741" s="72">
        <v>0</v>
      </c>
      <c r="DW741" s="72">
        <v>0</v>
      </c>
      <c r="DX741" s="72">
        <v>0</v>
      </c>
      <c r="DY741" s="72">
        <v>0</v>
      </c>
      <c r="DZ741" s="72">
        <v>0</v>
      </c>
      <c r="EA741" s="72">
        <v>0</v>
      </c>
      <c r="EB741" s="72">
        <v>0</v>
      </c>
      <c r="EC741" s="72">
        <v>0</v>
      </c>
      <c r="ED741" s="72">
        <v>0</v>
      </c>
      <c r="EE741" s="72">
        <v>0</v>
      </c>
      <c r="EF741" s="72">
        <v>0</v>
      </c>
      <c r="EG741" s="72">
        <v>0</v>
      </c>
      <c r="EH741" s="72">
        <v>0</v>
      </c>
      <c r="EI741" s="72">
        <v>0</v>
      </c>
      <c r="EJ741" s="72">
        <v>0</v>
      </c>
      <c r="EK741" s="72">
        <v>0</v>
      </c>
      <c r="EL741" s="72">
        <v>0</v>
      </c>
    </row>
    <row r="742" spans="1:142" x14ac:dyDescent="0.35">
      <c r="A742" s="59">
        <f>Данные!A742</f>
        <v>6370</v>
      </c>
      <c r="B742" s="59">
        <f>Данные!B742</f>
        <v>2018</v>
      </c>
      <c r="C742" s="59" t="str">
        <f>Данные!C742</f>
        <v>компьютерных технологий и электронного обучения</v>
      </c>
      <c r="D742" s="59" t="str">
        <f>Данные!D742</f>
        <v>Государев Илья Борисович</v>
      </c>
      <c r="E742" s="59" t="str">
        <f>Данные!E742</f>
        <v>кандидат педагогических наук</v>
      </c>
      <c r="F742" s="59" t="str">
        <f>Данные!F742</f>
        <v>доцент</v>
      </c>
      <c r="G742" s="59">
        <f>Данные!G742</f>
        <v>1</v>
      </c>
      <c r="H742" s="59">
        <f>Данные!H742</f>
        <v>17048</v>
      </c>
      <c r="I742" s="59" t="str">
        <f>Данные!I742</f>
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</c>
      <c r="J742" s="59">
        <f>Данные!J742</f>
        <v>4</v>
      </c>
      <c r="K742" s="59">
        <f>Данные!K742</f>
        <v>0</v>
      </c>
      <c r="L742" s="59">
        <f>Данные!L742</f>
        <v>0</v>
      </c>
      <c r="M742" s="60">
        <f t="shared" si="99"/>
        <v>0.4</v>
      </c>
      <c r="N742" s="60">
        <f t="shared" ca="1" si="100"/>
        <v>5.3000000000000007</v>
      </c>
      <c r="O742" s="60">
        <f t="shared" ca="1" si="101"/>
        <v>2.5</v>
      </c>
      <c r="P742" s="60">
        <f t="shared" ca="1" si="102"/>
        <v>2.5</v>
      </c>
      <c r="Q742" s="54">
        <f>Данные!Q742</f>
        <v>0</v>
      </c>
      <c r="R742" s="54">
        <f>Данные!R742</f>
        <v>0</v>
      </c>
      <c r="S742" s="54">
        <f>Данные!S742</f>
        <v>0</v>
      </c>
      <c r="T742" s="54">
        <f>Данные!T742</f>
        <v>0</v>
      </c>
      <c r="U742" s="54">
        <f>Данные!U742</f>
        <v>0</v>
      </c>
      <c r="V742" s="54">
        <f>Данные!V742</f>
        <v>0</v>
      </c>
      <c r="W742" s="54">
        <f ca="1">Данные!W742</f>
        <v>10</v>
      </c>
      <c r="X742" s="54" t="str">
        <f ca="1">Данные!X742</f>
        <v>1</v>
      </c>
      <c r="Y742" s="54" t="str">
        <f ca="1">Данные!Y742</f>
        <v>1</v>
      </c>
      <c r="Z742" s="54">
        <f>Данные!Z742</f>
        <v>0</v>
      </c>
      <c r="AA742" s="54" t="str">
        <f>Данные!AA742</f>
        <v>осн</v>
      </c>
      <c r="AB742" s="101">
        <f t="shared" si="103"/>
        <v>800</v>
      </c>
      <c r="AC742" s="101" t="str">
        <f t="shared" si="104"/>
        <v>КЭО (маг)</v>
      </c>
      <c r="AD742" s="101" t="str">
        <f t="shared" si="105"/>
        <v/>
      </c>
      <c r="AE742" s="102">
        <f t="shared" ca="1" si="106"/>
        <v>14.700000000000001</v>
      </c>
      <c r="AF742" s="103">
        <f t="shared" ca="1" si="107"/>
        <v>1.8375000000000002E-2</v>
      </c>
      <c r="AG742" s="101"/>
      <c r="AH742" s="101"/>
      <c r="BQ742" s="72">
        <v>0</v>
      </c>
      <c r="BR742" s="72">
        <v>0</v>
      </c>
      <c r="BS742" s="72">
        <v>0</v>
      </c>
      <c r="BT742" s="72">
        <v>0</v>
      </c>
      <c r="BU742" s="72">
        <v>0</v>
      </c>
      <c r="BV742" s="72">
        <v>0</v>
      </c>
      <c r="BW742" s="72">
        <v>0</v>
      </c>
      <c r="BX742" s="72">
        <v>0</v>
      </c>
      <c r="BY742" s="72">
        <v>0</v>
      </c>
      <c r="BZ742" s="72">
        <v>0</v>
      </c>
      <c r="CA742" s="72">
        <v>0</v>
      </c>
      <c r="CB742" s="72">
        <v>0</v>
      </c>
      <c r="CC742" s="72">
        <v>0</v>
      </c>
      <c r="CD742" s="72">
        <v>0</v>
      </c>
      <c r="CE742" s="72">
        <v>0</v>
      </c>
      <c r="CF742" s="72">
        <v>0</v>
      </c>
      <c r="CG742" s="72">
        <v>0</v>
      </c>
      <c r="CH742" s="72">
        <v>0</v>
      </c>
      <c r="CI742" s="72">
        <v>0</v>
      </c>
      <c r="CJ742" s="72">
        <v>0</v>
      </c>
      <c r="CK742" s="72">
        <v>0</v>
      </c>
      <c r="CL742" s="72">
        <v>0</v>
      </c>
      <c r="CM742" s="72">
        <v>0</v>
      </c>
      <c r="CN742" s="72">
        <v>0</v>
      </c>
      <c r="CO742" s="72">
        <v>0</v>
      </c>
      <c r="CP742" s="72">
        <v>0</v>
      </c>
      <c r="CQ742" s="72">
        <v>0</v>
      </c>
      <c r="CR742" s="72">
        <v>0</v>
      </c>
      <c r="CS742" s="72">
        <v>0</v>
      </c>
      <c r="CT742" s="72">
        <v>0</v>
      </c>
      <c r="CU742" s="72">
        <v>0</v>
      </c>
      <c r="CV742" s="72">
        <v>0</v>
      </c>
      <c r="CW742" s="72">
        <v>0</v>
      </c>
      <c r="CX742" s="72">
        <v>0</v>
      </c>
      <c r="CY742" s="72">
        <v>0</v>
      </c>
      <c r="CZ742" s="72">
        <v>0</v>
      </c>
      <c r="DA742" s="72">
        <v>0</v>
      </c>
      <c r="DB742" s="72">
        <v>0</v>
      </c>
      <c r="DC742" s="72">
        <v>0</v>
      </c>
      <c r="DD742" s="72">
        <v>0</v>
      </c>
      <c r="DE742" s="72">
        <v>0</v>
      </c>
      <c r="DF742" s="72">
        <v>0</v>
      </c>
      <c r="DG742" s="72">
        <v>0</v>
      </c>
      <c r="DH742" s="72">
        <v>0</v>
      </c>
      <c r="DI742" s="72">
        <v>0</v>
      </c>
      <c r="DJ742" s="72">
        <v>0</v>
      </c>
      <c r="DK742" s="72">
        <v>0</v>
      </c>
      <c r="DL742" s="72">
        <v>0</v>
      </c>
      <c r="DM742" s="72">
        <v>0</v>
      </c>
      <c r="DN742" s="72">
        <v>0</v>
      </c>
      <c r="DO742" s="72">
        <v>0</v>
      </c>
      <c r="DP742" s="72">
        <v>0</v>
      </c>
      <c r="DQ742" s="72">
        <v>0</v>
      </c>
      <c r="DR742" s="72">
        <v>0</v>
      </c>
      <c r="DS742" s="72">
        <v>0</v>
      </c>
      <c r="DT742" s="72">
        <v>0</v>
      </c>
      <c r="DU742" s="72">
        <v>0</v>
      </c>
      <c r="DV742" s="72">
        <v>0</v>
      </c>
      <c r="DW742" s="72">
        <v>0</v>
      </c>
      <c r="DX742" s="72">
        <v>0</v>
      </c>
      <c r="DY742" s="72">
        <v>0</v>
      </c>
      <c r="DZ742" s="72">
        <v>0</v>
      </c>
      <c r="EA742" s="72">
        <v>0</v>
      </c>
      <c r="EB742" s="72">
        <v>0</v>
      </c>
      <c r="EC742" s="72">
        <v>0</v>
      </c>
      <c r="ED742" s="72">
        <v>0</v>
      </c>
      <c r="EE742" s="72">
        <v>0</v>
      </c>
      <c r="EF742" s="72">
        <v>0</v>
      </c>
      <c r="EG742" s="72">
        <v>0</v>
      </c>
      <c r="EH742" s="72">
        <v>0</v>
      </c>
      <c r="EI742" s="72">
        <v>0</v>
      </c>
      <c r="EJ742" s="72">
        <v>0</v>
      </c>
      <c r="EK742" s="72">
        <v>0</v>
      </c>
      <c r="EL742" s="72">
        <v>0</v>
      </c>
    </row>
    <row r="743" spans="1:142" x14ac:dyDescent="0.35">
      <c r="A743" s="59">
        <f>Данные!A743</f>
        <v>6370</v>
      </c>
      <c r="B743" s="59">
        <f>Данные!B743</f>
        <v>2018</v>
      </c>
      <c r="C743" s="59" t="str">
        <f>Данные!C743</f>
        <v>компьютерных технологий и электронного обучения</v>
      </c>
      <c r="D743" s="59" t="str">
        <f>Данные!D743</f>
        <v>Государев Илья Борисович</v>
      </c>
      <c r="E743" s="59" t="str">
        <f>Данные!E743</f>
        <v>кандидат педагогических наук</v>
      </c>
      <c r="F743" s="59" t="str">
        <f>Данные!F743</f>
        <v>доцент</v>
      </c>
      <c r="G743" s="59">
        <f>Данные!G743</f>
        <v>1</v>
      </c>
      <c r="H743" s="59">
        <f>Данные!H743</f>
        <v>17048</v>
      </c>
      <c r="I743" s="59" t="str">
        <f>Данные!I743</f>
        <v>Модуль "Инновационные методы и технологии корпоративного электронного обучения ". Мобильное корпоративное обучение</v>
      </c>
      <c r="J743" s="59">
        <f>Данные!J743</f>
        <v>6</v>
      </c>
      <c r="K743" s="59">
        <f>Данные!K743</f>
        <v>0</v>
      </c>
      <c r="L743" s="59">
        <f>Данные!L743</f>
        <v>0</v>
      </c>
      <c r="M743" s="60">
        <f t="shared" si="99"/>
        <v>0.6</v>
      </c>
      <c r="N743" s="60">
        <f t="shared" ca="1" si="100"/>
        <v>5.3000000000000007</v>
      </c>
      <c r="O743" s="60">
        <f t="shared" ca="1" si="101"/>
        <v>2.5</v>
      </c>
      <c r="P743" s="60">
        <f t="shared" ca="1" si="102"/>
        <v>2.5</v>
      </c>
      <c r="Q743" s="54">
        <f>Данные!Q743</f>
        <v>0</v>
      </c>
      <c r="R743" s="54">
        <f>Данные!R743</f>
        <v>0</v>
      </c>
      <c r="S743" s="54">
        <f>Данные!S743</f>
        <v>0</v>
      </c>
      <c r="T743" s="54">
        <f>Данные!T743</f>
        <v>0</v>
      </c>
      <c r="U743" s="54">
        <f>Данные!U743</f>
        <v>0</v>
      </c>
      <c r="V743" s="54">
        <f>Данные!V743</f>
        <v>0</v>
      </c>
      <c r="W743" s="54">
        <f ca="1">Данные!W743</f>
        <v>10</v>
      </c>
      <c r="X743" s="54" t="str">
        <f ca="1">Данные!X743</f>
        <v>1</v>
      </c>
      <c r="Y743" s="54" t="str">
        <f ca="1">Данные!Y743</f>
        <v>1</v>
      </c>
      <c r="Z743" s="54">
        <f>Данные!Z743</f>
        <v>0</v>
      </c>
      <c r="AA743" s="54" t="str">
        <f>Данные!AA743</f>
        <v>доп</v>
      </c>
      <c r="AB743" s="101">
        <f t="shared" si="103"/>
        <v>800</v>
      </c>
      <c r="AC743" s="101" t="str">
        <f t="shared" si="104"/>
        <v>КЭО (маг)</v>
      </c>
      <c r="AD743" s="101" t="str">
        <f t="shared" si="105"/>
        <v/>
      </c>
      <c r="AE743" s="102">
        <f t="shared" ca="1" si="106"/>
        <v>16.899999999999999</v>
      </c>
      <c r="AF743" s="103">
        <f t="shared" ca="1" si="107"/>
        <v>2.1124999999999998E-2</v>
      </c>
      <c r="AG743" s="101"/>
      <c r="AH743" s="101"/>
      <c r="BQ743" s="72">
        <v>0</v>
      </c>
      <c r="BR743" s="72">
        <v>0</v>
      </c>
      <c r="BS743" s="72">
        <v>0</v>
      </c>
      <c r="BT743" s="72">
        <v>0</v>
      </c>
      <c r="BU743" s="72">
        <v>0</v>
      </c>
      <c r="BV743" s="72">
        <v>0</v>
      </c>
      <c r="BW743" s="72">
        <v>0</v>
      </c>
      <c r="BX743" s="72">
        <v>0</v>
      </c>
      <c r="BY743" s="72">
        <v>0</v>
      </c>
      <c r="BZ743" s="72">
        <v>0</v>
      </c>
      <c r="CA743" s="72">
        <v>0</v>
      </c>
      <c r="CB743" s="72">
        <v>0</v>
      </c>
      <c r="CC743" s="72">
        <v>0</v>
      </c>
      <c r="CD743" s="72">
        <v>0</v>
      </c>
      <c r="CE743" s="72">
        <v>0</v>
      </c>
      <c r="CF743" s="72">
        <v>0</v>
      </c>
      <c r="CG743" s="72">
        <v>0</v>
      </c>
      <c r="CH743" s="72">
        <v>0</v>
      </c>
      <c r="CI743" s="72">
        <v>0</v>
      </c>
      <c r="CJ743" s="72">
        <v>0</v>
      </c>
      <c r="CK743" s="72">
        <v>0</v>
      </c>
      <c r="CL743" s="72">
        <v>0</v>
      </c>
      <c r="CM743" s="72">
        <v>0</v>
      </c>
      <c r="CN743" s="72">
        <v>0</v>
      </c>
      <c r="CO743" s="72">
        <v>0</v>
      </c>
      <c r="CP743" s="72">
        <v>0</v>
      </c>
      <c r="CQ743" s="72">
        <v>0</v>
      </c>
      <c r="CR743" s="72">
        <v>0</v>
      </c>
      <c r="CS743" s="72">
        <v>0</v>
      </c>
      <c r="CT743" s="72">
        <v>0</v>
      </c>
      <c r="CU743" s="72">
        <v>0</v>
      </c>
      <c r="CV743" s="72">
        <v>0</v>
      </c>
      <c r="CW743" s="72">
        <v>0</v>
      </c>
      <c r="CX743" s="72">
        <v>0</v>
      </c>
      <c r="CY743" s="72">
        <v>0</v>
      </c>
      <c r="CZ743" s="72">
        <v>0</v>
      </c>
      <c r="DA743" s="72">
        <v>0</v>
      </c>
      <c r="DB743" s="72">
        <v>0</v>
      </c>
      <c r="DC743" s="72">
        <v>0</v>
      </c>
      <c r="DD743" s="72">
        <v>0</v>
      </c>
      <c r="DE743" s="72">
        <v>0</v>
      </c>
      <c r="DF743" s="72">
        <v>0</v>
      </c>
      <c r="DG743" s="72">
        <v>0</v>
      </c>
      <c r="DH743" s="72">
        <v>0</v>
      </c>
      <c r="DI743" s="72">
        <v>0</v>
      </c>
      <c r="DJ743" s="72">
        <v>0</v>
      </c>
      <c r="DK743" s="72">
        <v>0</v>
      </c>
      <c r="DL743" s="72">
        <v>0</v>
      </c>
      <c r="DM743" s="72">
        <v>0</v>
      </c>
      <c r="DN743" s="72">
        <v>0</v>
      </c>
      <c r="DO743" s="72">
        <v>0</v>
      </c>
      <c r="DP743" s="72">
        <v>0</v>
      </c>
      <c r="DQ743" s="72">
        <v>0</v>
      </c>
      <c r="DR743" s="72">
        <v>0</v>
      </c>
      <c r="DS743" s="72">
        <v>0</v>
      </c>
      <c r="DT743" s="72">
        <v>0</v>
      </c>
      <c r="DU743" s="72">
        <v>0</v>
      </c>
      <c r="DV743" s="72">
        <v>0</v>
      </c>
      <c r="DW743" s="72">
        <v>0</v>
      </c>
      <c r="DX743" s="72">
        <v>0</v>
      </c>
      <c r="DY743" s="72">
        <v>0</v>
      </c>
      <c r="DZ743" s="72">
        <v>0</v>
      </c>
      <c r="EA743" s="72">
        <v>0</v>
      </c>
      <c r="EB743" s="72">
        <v>0</v>
      </c>
      <c r="EC743" s="72">
        <v>0</v>
      </c>
      <c r="ED743" s="72">
        <v>0</v>
      </c>
      <c r="EE743" s="72">
        <v>0</v>
      </c>
      <c r="EF743" s="72">
        <v>0</v>
      </c>
      <c r="EG743" s="72">
        <v>0</v>
      </c>
      <c r="EH743" s="72">
        <v>0</v>
      </c>
      <c r="EI743" s="72">
        <v>0</v>
      </c>
      <c r="EJ743" s="72">
        <v>0</v>
      </c>
      <c r="EK743" s="72">
        <v>0</v>
      </c>
      <c r="EL743" s="72">
        <v>0</v>
      </c>
    </row>
    <row r="744" spans="1:142" x14ac:dyDescent="0.35">
      <c r="A744" s="59">
        <f>Данные!A744</f>
        <v>6370</v>
      </c>
      <c r="B744" s="59">
        <f>Данные!B744</f>
        <v>2018</v>
      </c>
      <c r="C744" s="59" t="str">
        <f>Данные!C744</f>
        <v>компьютерных технологий и электронного обучения</v>
      </c>
      <c r="D744" s="59" t="str">
        <f>Данные!D744</f>
        <v>Государев Илья Борисович</v>
      </c>
      <c r="E744" s="59" t="str">
        <f>Данные!E744</f>
        <v>кандидат педагогических наук</v>
      </c>
      <c r="F744" s="59" t="str">
        <f>Данные!F744</f>
        <v>доцент</v>
      </c>
      <c r="G744" s="59">
        <f>Данные!G744</f>
        <v>1</v>
      </c>
      <c r="H744" s="59">
        <f>Данные!H744</f>
        <v>17048</v>
      </c>
      <c r="I744" s="59" t="str">
        <f>Данные!I744</f>
        <v>Модуль "Теория и практика корпоративного электронного обучения". Методы и инструменты корпоративного электронного обучения</v>
      </c>
      <c r="J744" s="59">
        <f>Данные!J744</f>
        <v>4</v>
      </c>
      <c r="K744" s="59">
        <f>Данные!K744</f>
        <v>0</v>
      </c>
      <c r="L744" s="59">
        <f>Данные!L744</f>
        <v>0</v>
      </c>
      <c r="M744" s="60">
        <f t="shared" si="99"/>
        <v>0.4</v>
      </c>
      <c r="N744" s="60">
        <f t="shared" ca="1" si="100"/>
        <v>5.3000000000000007</v>
      </c>
      <c r="O744" s="60">
        <f t="shared" ca="1" si="101"/>
        <v>2.5</v>
      </c>
      <c r="P744" s="60">
        <f t="shared" ca="1" si="102"/>
        <v>2.5</v>
      </c>
      <c r="Q744" s="54">
        <f>Данные!Q744</f>
        <v>0</v>
      </c>
      <c r="R744" s="54">
        <f>Данные!R744</f>
        <v>0</v>
      </c>
      <c r="S744" s="54">
        <f>Данные!S744</f>
        <v>0</v>
      </c>
      <c r="T744" s="54">
        <f>Данные!T744</f>
        <v>0</v>
      </c>
      <c r="U744" s="54">
        <f>Данные!U744</f>
        <v>0</v>
      </c>
      <c r="V744" s="54">
        <f>Данные!V744</f>
        <v>0</v>
      </c>
      <c r="W744" s="54">
        <f ca="1">Данные!W744</f>
        <v>10</v>
      </c>
      <c r="X744" s="54" t="str">
        <f ca="1">Данные!X744</f>
        <v>1</v>
      </c>
      <c r="Y744" s="54" t="str">
        <f ca="1">Данные!Y744</f>
        <v>1</v>
      </c>
      <c r="Z744" s="54">
        <f>Данные!Z744</f>
        <v>0</v>
      </c>
      <c r="AA744" s="54" t="str">
        <f>Данные!AA744</f>
        <v>осн</v>
      </c>
      <c r="AB744" s="101">
        <f t="shared" si="103"/>
        <v>800</v>
      </c>
      <c r="AC744" s="101" t="str">
        <f t="shared" si="104"/>
        <v>КЭО (маг)</v>
      </c>
      <c r="AD744" s="101" t="str">
        <f t="shared" si="105"/>
        <v/>
      </c>
      <c r="AE744" s="102">
        <f t="shared" ca="1" si="106"/>
        <v>14.700000000000001</v>
      </c>
      <c r="AF744" s="103">
        <f t="shared" ca="1" si="107"/>
        <v>1.8375000000000002E-2</v>
      </c>
      <c r="AG744" s="101"/>
      <c r="AH744" s="101"/>
      <c r="BQ744" s="72">
        <v>0</v>
      </c>
      <c r="BR744" s="72">
        <v>0</v>
      </c>
      <c r="BS744" s="72">
        <v>0</v>
      </c>
      <c r="BT744" s="72">
        <v>0</v>
      </c>
      <c r="BU744" s="72">
        <v>0</v>
      </c>
      <c r="BV744" s="72">
        <v>0</v>
      </c>
      <c r="BW744" s="72">
        <v>0</v>
      </c>
      <c r="BX744" s="72">
        <v>0</v>
      </c>
      <c r="BY744" s="72">
        <v>0</v>
      </c>
      <c r="BZ744" s="72">
        <v>0</v>
      </c>
      <c r="CA744" s="72">
        <v>0</v>
      </c>
      <c r="CB744" s="72">
        <v>0</v>
      </c>
      <c r="CC744" s="72">
        <v>0</v>
      </c>
      <c r="CD744" s="72">
        <v>0</v>
      </c>
      <c r="CE744" s="72">
        <v>0</v>
      </c>
      <c r="CF744" s="72">
        <v>0</v>
      </c>
      <c r="CG744" s="72">
        <v>0</v>
      </c>
      <c r="CH744" s="72">
        <v>0</v>
      </c>
      <c r="CI744" s="72">
        <v>0</v>
      </c>
      <c r="CJ744" s="72">
        <v>0</v>
      </c>
      <c r="CK744" s="72">
        <v>0</v>
      </c>
      <c r="CL744" s="72">
        <v>0</v>
      </c>
      <c r="CM744" s="72">
        <v>0</v>
      </c>
      <c r="CN744" s="72">
        <v>0</v>
      </c>
      <c r="CO744" s="72">
        <v>0</v>
      </c>
      <c r="CP744" s="72">
        <v>0</v>
      </c>
      <c r="CQ744" s="72">
        <v>0</v>
      </c>
      <c r="CR744" s="72">
        <v>0</v>
      </c>
      <c r="CS744" s="72">
        <v>0</v>
      </c>
      <c r="CT744" s="72">
        <v>0</v>
      </c>
      <c r="CU744" s="72">
        <v>0</v>
      </c>
      <c r="CV744" s="72">
        <v>0</v>
      </c>
      <c r="CW744" s="72">
        <v>0</v>
      </c>
      <c r="CX744" s="72">
        <v>0</v>
      </c>
      <c r="CY744" s="72">
        <v>0</v>
      </c>
      <c r="CZ744" s="72">
        <v>0</v>
      </c>
      <c r="DA744" s="72">
        <v>0</v>
      </c>
      <c r="DB744" s="72">
        <v>0</v>
      </c>
      <c r="DC744" s="72">
        <v>0</v>
      </c>
      <c r="DD744" s="72">
        <v>0</v>
      </c>
      <c r="DE744" s="72">
        <v>0</v>
      </c>
      <c r="DF744" s="72">
        <v>0</v>
      </c>
      <c r="DG744" s="72">
        <v>0</v>
      </c>
      <c r="DH744" s="72">
        <v>0</v>
      </c>
      <c r="DI744" s="72">
        <v>0</v>
      </c>
      <c r="DJ744" s="72">
        <v>0</v>
      </c>
      <c r="DK744" s="72">
        <v>0</v>
      </c>
      <c r="DL744" s="72">
        <v>0</v>
      </c>
      <c r="DM744" s="72">
        <v>0</v>
      </c>
      <c r="DN744" s="72">
        <v>0</v>
      </c>
      <c r="DO744" s="72">
        <v>0</v>
      </c>
      <c r="DP744" s="72">
        <v>0</v>
      </c>
      <c r="DQ744" s="72">
        <v>0</v>
      </c>
      <c r="DR744" s="72">
        <v>0</v>
      </c>
      <c r="DS744" s="72">
        <v>0</v>
      </c>
      <c r="DT744" s="72">
        <v>0</v>
      </c>
      <c r="DU744" s="72">
        <v>0</v>
      </c>
      <c r="DV744" s="72">
        <v>0</v>
      </c>
      <c r="DW744" s="72">
        <v>0</v>
      </c>
      <c r="DX744" s="72">
        <v>0</v>
      </c>
      <c r="DY744" s="72">
        <v>0</v>
      </c>
      <c r="DZ744" s="72">
        <v>0</v>
      </c>
      <c r="EA744" s="72">
        <v>0</v>
      </c>
      <c r="EB744" s="72">
        <v>0</v>
      </c>
      <c r="EC744" s="72">
        <v>0</v>
      </c>
      <c r="ED744" s="72">
        <v>0</v>
      </c>
      <c r="EE744" s="72">
        <v>0</v>
      </c>
      <c r="EF744" s="72">
        <v>0</v>
      </c>
      <c r="EG744" s="72">
        <v>0</v>
      </c>
      <c r="EH744" s="72">
        <v>0</v>
      </c>
      <c r="EI744" s="72">
        <v>0</v>
      </c>
      <c r="EJ744" s="72">
        <v>0</v>
      </c>
      <c r="EK744" s="72">
        <v>0</v>
      </c>
      <c r="EL744" s="72">
        <v>0</v>
      </c>
    </row>
    <row r="745" spans="1:142" x14ac:dyDescent="0.35">
      <c r="A745" s="59">
        <f>Данные!A745</f>
        <v>6370</v>
      </c>
      <c r="B745" s="59">
        <f>Данные!B745</f>
        <v>2018</v>
      </c>
      <c r="C745" s="59" t="str">
        <f>Данные!C745</f>
        <v>компьютерных технологий и электронного обучения</v>
      </c>
      <c r="D745" s="59" t="str">
        <f>Данные!D745</f>
        <v>Государев Илья Борисович</v>
      </c>
      <c r="E745" s="59" t="str">
        <f>Данные!E745</f>
        <v>кандидат педагогических наук</v>
      </c>
      <c r="F745" s="59" t="str">
        <f>Данные!F745</f>
        <v>доцент</v>
      </c>
      <c r="G745" s="59">
        <f>Данные!G745</f>
        <v>1</v>
      </c>
      <c r="H745" s="59">
        <f>Данные!H745</f>
        <v>17048</v>
      </c>
      <c r="I745" s="59" t="str">
        <f>Данные!I745</f>
        <v>Научно-исследовательская работа. Педагогическое образование. Магистерская программа "Корпоративное электронное обучение"</v>
      </c>
      <c r="J745" s="59">
        <f>Данные!J745</f>
        <v>0</v>
      </c>
      <c r="K745" s="59">
        <f>Данные!K745</f>
        <v>0</v>
      </c>
      <c r="L745" s="59">
        <f>Данные!L745</f>
        <v>0</v>
      </c>
      <c r="M745" s="60">
        <f t="shared" si="99"/>
        <v>0</v>
      </c>
      <c r="N745" s="60">
        <f t="shared" ca="1" si="100"/>
        <v>5.3000000000000007</v>
      </c>
      <c r="O745" s="60">
        <f t="shared" ca="1" si="101"/>
        <v>2.5</v>
      </c>
      <c r="P745" s="60">
        <f t="shared" ca="1" si="102"/>
        <v>2.5</v>
      </c>
      <c r="Q745" s="54">
        <f>Данные!Q745</f>
        <v>0</v>
      </c>
      <c r="R745" s="54">
        <f>Данные!R745</f>
        <v>0</v>
      </c>
      <c r="S745" s="54">
        <f>Данные!S745</f>
        <v>0</v>
      </c>
      <c r="T745" s="54">
        <f>Данные!T745</f>
        <v>0</v>
      </c>
      <c r="U745" s="54">
        <f>Данные!U745</f>
        <v>15</v>
      </c>
      <c r="V745" s="54">
        <f>Данные!V745</f>
        <v>0</v>
      </c>
      <c r="W745" s="54">
        <f ca="1">Данные!W745</f>
        <v>10</v>
      </c>
      <c r="X745" s="54" t="str">
        <f ca="1">Данные!X745</f>
        <v>1</v>
      </c>
      <c r="Y745" s="54" t="str">
        <f ca="1">Данные!Y745</f>
        <v>1</v>
      </c>
      <c r="Z745" s="54">
        <f>Данные!Z745</f>
        <v>0</v>
      </c>
      <c r="AA745" s="54" t="str">
        <f>Данные!AA745</f>
        <v>осн</v>
      </c>
      <c r="AB745" s="101">
        <f t="shared" si="103"/>
        <v>800</v>
      </c>
      <c r="AC745" s="101" t="str">
        <f t="shared" si="104"/>
        <v>КЭО (маг)</v>
      </c>
      <c r="AD745" s="101" t="str">
        <f t="shared" si="105"/>
        <v/>
      </c>
      <c r="AE745" s="102">
        <f t="shared" ca="1" si="106"/>
        <v>25.3</v>
      </c>
      <c r="AF745" s="103">
        <f t="shared" ca="1" si="107"/>
        <v>3.1625E-2</v>
      </c>
      <c r="AG745" s="101"/>
      <c r="AH745" s="101"/>
      <c r="BQ745" s="72">
        <v>0</v>
      </c>
      <c r="BR745" s="72">
        <v>0</v>
      </c>
      <c r="BS745" s="72">
        <v>0</v>
      </c>
      <c r="BT745" s="72">
        <v>0</v>
      </c>
      <c r="BU745" s="72">
        <v>0</v>
      </c>
      <c r="BV745" s="72">
        <v>0</v>
      </c>
      <c r="BW745" s="72">
        <v>0</v>
      </c>
      <c r="BX745" s="72">
        <v>0</v>
      </c>
      <c r="BY745" s="72">
        <v>0</v>
      </c>
      <c r="BZ745" s="72">
        <v>0</v>
      </c>
      <c r="CA745" s="72">
        <v>0</v>
      </c>
      <c r="CB745" s="72">
        <v>0</v>
      </c>
      <c r="CC745" s="72">
        <v>0</v>
      </c>
      <c r="CD745" s="72">
        <v>0</v>
      </c>
      <c r="CE745" s="72">
        <v>0</v>
      </c>
      <c r="CF745" s="72">
        <v>0</v>
      </c>
      <c r="CG745" s="72">
        <v>0</v>
      </c>
      <c r="CH745" s="72">
        <v>0</v>
      </c>
      <c r="CI745" s="72">
        <v>0</v>
      </c>
      <c r="CJ745" s="72">
        <v>0</v>
      </c>
      <c r="CK745" s="72">
        <v>0</v>
      </c>
      <c r="CL745" s="72">
        <v>0</v>
      </c>
      <c r="CM745" s="72">
        <v>0</v>
      </c>
      <c r="CN745" s="72">
        <v>0</v>
      </c>
      <c r="CO745" s="72">
        <v>0</v>
      </c>
      <c r="CP745" s="72">
        <v>0</v>
      </c>
      <c r="CQ745" s="72">
        <v>0</v>
      </c>
      <c r="CR745" s="72">
        <v>0</v>
      </c>
      <c r="CS745" s="72">
        <v>0</v>
      </c>
      <c r="CT745" s="72">
        <v>0</v>
      </c>
      <c r="CU745" s="72">
        <v>0</v>
      </c>
      <c r="CV745" s="72">
        <v>0</v>
      </c>
      <c r="CW745" s="72">
        <v>0</v>
      </c>
      <c r="CX745" s="72">
        <v>0</v>
      </c>
      <c r="CY745" s="72">
        <v>0</v>
      </c>
      <c r="CZ745" s="72">
        <v>0</v>
      </c>
      <c r="DA745" s="72">
        <v>0</v>
      </c>
      <c r="DB745" s="72">
        <v>0</v>
      </c>
      <c r="DC745" s="72">
        <v>0</v>
      </c>
      <c r="DD745" s="72">
        <v>0</v>
      </c>
      <c r="DE745" s="72">
        <v>0</v>
      </c>
      <c r="DF745" s="72">
        <v>0</v>
      </c>
      <c r="DG745" s="72">
        <v>0</v>
      </c>
      <c r="DH745" s="72">
        <v>0</v>
      </c>
      <c r="DI745" s="72">
        <v>0</v>
      </c>
      <c r="DJ745" s="72">
        <v>0</v>
      </c>
      <c r="DK745" s="72">
        <v>0</v>
      </c>
      <c r="DL745" s="72">
        <v>0</v>
      </c>
      <c r="DM745" s="72">
        <v>0</v>
      </c>
      <c r="DN745" s="72">
        <v>0</v>
      </c>
      <c r="DO745" s="72">
        <v>0</v>
      </c>
      <c r="DP745" s="72">
        <v>0</v>
      </c>
      <c r="DQ745" s="72">
        <v>0</v>
      </c>
      <c r="DR745" s="72">
        <v>0</v>
      </c>
      <c r="DS745" s="72">
        <v>0</v>
      </c>
      <c r="DT745" s="72">
        <v>0</v>
      </c>
      <c r="DU745" s="72">
        <v>0</v>
      </c>
      <c r="DV745" s="72">
        <v>0</v>
      </c>
      <c r="DW745" s="72">
        <v>0</v>
      </c>
      <c r="DX745" s="72">
        <v>0</v>
      </c>
      <c r="DY745" s="72">
        <v>0</v>
      </c>
      <c r="DZ745" s="72">
        <v>0</v>
      </c>
      <c r="EA745" s="72">
        <v>0</v>
      </c>
      <c r="EB745" s="72">
        <v>0</v>
      </c>
      <c r="EC745" s="72">
        <v>0</v>
      </c>
      <c r="ED745" s="72">
        <v>0</v>
      </c>
      <c r="EE745" s="72">
        <v>0</v>
      </c>
      <c r="EF745" s="72">
        <v>0</v>
      </c>
      <c r="EG745" s="72">
        <v>0</v>
      </c>
      <c r="EH745" s="72">
        <v>0</v>
      </c>
      <c r="EI745" s="72">
        <v>0</v>
      </c>
      <c r="EJ745" s="72">
        <v>0</v>
      </c>
      <c r="EK745" s="72">
        <v>0</v>
      </c>
      <c r="EL745" s="72">
        <v>0</v>
      </c>
    </row>
    <row r="746" spans="1:142" x14ac:dyDescent="0.35">
      <c r="A746" s="59">
        <f>Данные!A746</f>
        <v>6370</v>
      </c>
      <c r="B746" s="59">
        <f>Данные!B746</f>
        <v>2018</v>
      </c>
      <c r="C746" s="59" t="str">
        <f>Данные!C746</f>
        <v>компьютерных технологий и электронного обучения</v>
      </c>
      <c r="D746" s="59" t="str">
        <f>Данные!D746</f>
        <v>Государев Илья Борисович</v>
      </c>
      <c r="E746" s="59" t="str">
        <f>Данные!E746</f>
        <v>кандидат педагогических наук</v>
      </c>
      <c r="F746" s="59" t="str">
        <f>Данные!F746</f>
        <v>доцент</v>
      </c>
      <c r="G746" s="59">
        <f>Данные!G746</f>
        <v>1</v>
      </c>
      <c r="H746" s="59">
        <f>Данные!H746</f>
        <v>17048</v>
      </c>
      <c r="I746" s="59" t="str">
        <f>Данные!I746</f>
        <v>Научно-исследовательская работа. Педагогическое образование. Магистерская программа "Корпоративное электронное обучение"</v>
      </c>
      <c r="J746" s="59">
        <f>Данные!J746</f>
        <v>0</v>
      </c>
      <c r="K746" s="59">
        <f>Данные!K746</f>
        <v>0</v>
      </c>
      <c r="L746" s="59">
        <f>Данные!L746</f>
        <v>0</v>
      </c>
      <c r="M746" s="60">
        <f t="shared" si="99"/>
        <v>0</v>
      </c>
      <c r="N746" s="60">
        <f t="shared" ca="1" si="100"/>
        <v>5.3000000000000007</v>
      </c>
      <c r="O746" s="60">
        <f t="shared" ca="1" si="101"/>
        <v>2.5</v>
      </c>
      <c r="P746" s="60">
        <f t="shared" ca="1" si="102"/>
        <v>2.5</v>
      </c>
      <c r="Q746" s="54">
        <f>Данные!Q746</f>
        <v>0</v>
      </c>
      <c r="R746" s="54">
        <f>Данные!R746</f>
        <v>0</v>
      </c>
      <c r="S746" s="54">
        <f>Данные!S746</f>
        <v>0</v>
      </c>
      <c r="T746" s="54">
        <f>Данные!T746</f>
        <v>0</v>
      </c>
      <c r="U746" s="54">
        <f>Данные!U746</f>
        <v>0</v>
      </c>
      <c r="V746" s="54">
        <f>Данные!V746</f>
        <v>0</v>
      </c>
      <c r="W746" s="54">
        <f ca="1">Данные!W746</f>
        <v>10</v>
      </c>
      <c r="X746" s="54" t="str">
        <f ca="1">Данные!X746</f>
        <v>1</v>
      </c>
      <c r="Y746" s="54" t="str">
        <f ca="1">Данные!Y746</f>
        <v>1</v>
      </c>
      <c r="Z746" s="54">
        <f>Данные!Z746</f>
        <v>0</v>
      </c>
      <c r="AA746" s="54" t="str">
        <f>Данные!AA746</f>
        <v>доп</v>
      </c>
      <c r="AB746" s="101">
        <f t="shared" si="103"/>
        <v>800</v>
      </c>
      <c r="AC746" s="101" t="str">
        <f t="shared" si="104"/>
        <v>КЭО (маг)</v>
      </c>
      <c r="AD746" s="101" t="str">
        <f t="shared" si="105"/>
        <v/>
      </c>
      <c r="AE746" s="102">
        <f t="shared" ca="1" si="106"/>
        <v>10.3</v>
      </c>
      <c r="AF746" s="103">
        <f t="shared" ca="1" si="107"/>
        <v>1.2875000000000001E-2</v>
      </c>
      <c r="AG746" s="101"/>
      <c r="AH746" s="101"/>
      <c r="BQ746" s="72">
        <v>0</v>
      </c>
      <c r="BR746" s="72">
        <v>0</v>
      </c>
      <c r="BS746" s="72">
        <v>0</v>
      </c>
      <c r="BT746" s="72">
        <v>0</v>
      </c>
      <c r="BU746" s="72">
        <v>0</v>
      </c>
      <c r="BV746" s="72">
        <v>0</v>
      </c>
      <c r="BW746" s="72">
        <v>0</v>
      </c>
      <c r="BX746" s="72">
        <v>0</v>
      </c>
      <c r="BY746" s="72">
        <v>0</v>
      </c>
      <c r="BZ746" s="72">
        <v>0</v>
      </c>
      <c r="CA746" s="72">
        <v>0</v>
      </c>
      <c r="CB746" s="72">
        <v>0</v>
      </c>
      <c r="CC746" s="72">
        <v>0</v>
      </c>
      <c r="CD746" s="72">
        <v>0</v>
      </c>
      <c r="CE746" s="72">
        <v>0</v>
      </c>
      <c r="CF746" s="72">
        <v>0</v>
      </c>
      <c r="CG746" s="72">
        <v>0</v>
      </c>
      <c r="CH746" s="72">
        <v>0</v>
      </c>
      <c r="CI746" s="72">
        <v>0</v>
      </c>
      <c r="CJ746" s="72">
        <v>0</v>
      </c>
      <c r="CK746" s="72">
        <v>0</v>
      </c>
      <c r="CL746" s="72">
        <v>0</v>
      </c>
      <c r="CM746" s="72">
        <v>0</v>
      </c>
      <c r="CN746" s="72">
        <v>0</v>
      </c>
      <c r="CO746" s="72">
        <v>0</v>
      </c>
      <c r="CP746" s="72">
        <v>0</v>
      </c>
      <c r="CQ746" s="72">
        <v>0</v>
      </c>
      <c r="CR746" s="72">
        <v>0</v>
      </c>
      <c r="CS746" s="72">
        <v>0</v>
      </c>
      <c r="CT746" s="72">
        <v>0</v>
      </c>
      <c r="CU746" s="72">
        <v>0</v>
      </c>
      <c r="CV746" s="72">
        <v>0</v>
      </c>
      <c r="CW746" s="72">
        <v>0</v>
      </c>
      <c r="CX746" s="72">
        <v>0</v>
      </c>
      <c r="CY746" s="72">
        <v>0</v>
      </c>
      <c r="CZ746" s="72">
        <v>0</v>
      </c>
      <c r="DA746" s="72">
        <v>0</v>
      </c>
      <c r="DB746" s="72">
        <v>0</v>
      </c>
      <c r="DC746" s="72">
        <v>0</v>
      </c>
      <c r="DD746" s="72">
        <v>0</v>
      </c>
      <c r="DE746" s="72">
        <v>0</v>
      </c>
      <c r="DF746" s="72">
        <v>0</v>
      </c>
      <c r="DG746" s="72">
        <v>0</v>
      </c>
      <c r="DH746" s="72">
        <v>0</v>
      </c>
      <c r="DI746" s="72">
        <v>0</v>
      </c>
      <c r="DJ746" s="72">
        <v>0</v>
      </c>
      <c r="DK746" s="72">
        <v>0</v>
      </c>
      <c r="DL746" s="72">
        <v>0</v>
      </c>
      <c r="DM746" s="72">
        <v>0</v>
      </c>
      <c r="DN746" s="72">
        <v>0</v>
      </c>
      <c r="DO746" s="72">
        <v>0</v>
      </c>
      <c r="DP746" s="72">
        <v>0</v>
      </c>
      <c r="DQ746" s="72">
        <v>0</v>
      </c>
      <c r="DR746" s="72">
        <v>0</v>
      </c>
      <c r="DS746" s="72">
        <v>0</v>
      </c>
      <c r="DT746" s="72">
        <v>0</v>
      </c>
      <c r="DU746" s="72">
        <v>0</v>
      </c>
      <c r="DV746" s="72">
        <v>0</v>
      </c>
      <c r="DW746" s="72">
        <v>0</v>
      </c>
      <c r="DX746" s="72">
        <v>0</v>
      </c>
      <c r="DY746" s="72">
        <v>0</v>
      </c>
      <c r="DZ746" s="72">
        <v>0</v>
      </c>
      <c r="EA746" s="72">
        <v>0</v>
      </c>
      <c r="EB746" s="72">
        <v>0</v>
      </c>
      <c r="EC746" s="72">
        <v>0</v>
      </c>
      <c r="ED746" s="72">
        <v>0</v>
      </c>
      <c r="EE746" s="72">
        <v>0</v>
      </c>
      <c r="EF746" s="72">
        <v>0</v>
      </c>
      <c r="EG746" s="72">
        <v>0</v>
      </c>
      <c r="EH746" s="72">
        <v>0</v>
      </c>
      <c r="EI746" s="72">
        <v>0</v>
      </c>
      <c r="EJ746" s="72">
        <v>0</v>
      </c>
      <c r="EK746" s="72">
        <v>0</v>
      </c>
      <c r="EL746" s="72">
        <v>0</v>
      </c>
    </row>
    <row r="747" spans="1:142" x14ac:dyDescent="0.35">
      <c r="A747" s="59">
        <f>Данные!A747</f>
        <v>6370</v>
      </c>
      <c r="B747" s="59">
        <f>Данные!B747</f>
        <v>2018</v>
      </c>
      <c r="C747" s="59" t="str">
        <f>Данные!C747</f>
        <v>компьютерных технологий и электронного обучения</v>
      </c>
      <c r="D747" s="59" t="str">
        <f>Данные!D747</f>
        <v>Государев Илья Борисович</v>
      </c>
      <c r="E747" s="59" t="str">
        <f>Данные!E747</f>
        <v>кандидат педагогических наук</v>
      </c>
      <c r="F747" s="59" t="str">
        <f>Данные!F747</f>
        <v>доцент</v>
      </c>
      <c r="G747" s="59">
        <f>Данные!G747</f>
        <v>1</v>
      </c>
      <c r="H747" s="59">
        <f>Данные!H747</f>
        <v>17048</v>
      </c>
      <c r="I747" s="59" t="str">
        <f>Данные!I747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47" s="59">
        <f>Данные!J747</f>
        <v>0</v>
      </c>
      <c r="K747" s="59">
        <f>Данные!K747</f>
        <v>0</v>
      </c>
      <c r="L747" s="59">
        <f>Данные!L747</f>
        <v>0</v>
      </c>
      <c r="M747" s="60">
        <f t="shared" si="99"/>
        <v>0</v>
      </c>
      <c r="N747" s="60">
        <f t="shared" ca="1" si="100"/>
        <v>5.3000000000000007</v>
      </c>
      <c r="O747" s="60">
        <f t="shared" ca="1" si="101"/>
        <v>2.5</v>
      </c>
      <c r="P747" s="60">
        <f t="shared" ca="1" si="102"/>
        <v>2.5</v>
      </c>
      <c r="Q747" s="54">
        <f>Данные!Q747</f>
        <v>0</v>
      </c>
      <c r="R747" s="54">
        <f>Данные!R747</f>
        <v>0</v>
      </c>
      <c r="S747" s="54">
        <f>Данные!S747</f>
        <v>0</v>
      </c>
      <c r="T747" s="54">
        <f>Данные!T747</f>
        <v>0</v>
      </c>
      <c r="U747" s="54">
        <f>Данные!U747</f>
        <v>10</v>
      </c>
      <c r="V747" s="54">
        <f>Данные!V747</f>
        <v>0</v>
      </c>
      <c r="W747" s="54">
        <f ca="1">Данные!W747</f>
        <v>10</v>
      </c>
      <c r="X747" s="54" t="str">
        <f ca="1">Данные!X747</f>
        <v>1</v>
      </c>
      <c r="Y747" s="54" t="str">
        <f ca="1">Данные!Y747</f>
        <v>1</v>
      </c>
      <c r="Z747" s="54">
        <f>Данные!Z747</f>
        <v>0</v>
      </c>
      <c r="AA747" s="54" t="str">
        <f>Данные!AA747</f>
        <v>осн</v>
      </c>
      <c r="AB747" s="101">
        <f t="shared" si="103"/>
        <v>800</v>
      </c>
      <c r="AC747" s="101" t="str">
        <f t="shared" si="104"/>
        <v>КЭО (маг)</v>
      </c>
      <c r="AD747" s="101" t="str">
        <f t="shared" si="105"/>
        <v/>
      </c>
      <c r="AE747" s="102">
        <f t="shared" ca="1" si="106"/>
        <v>20.3</v>
      </c>
      <c r="AF747" s="103">
        <f t="shared" ca="1" si="107"/>
        <v>2.5375000000000002E-2</v>
      </c>
      <c r="AG747" s="101"/>
      <c r="AH747" s="101"/>
      <c r="BQ747" s="72">
        <v>0</v>
      </c>
      <c r="BR747" s="72">
        <v>0</v>
      </c>
      <c r="BS747" s="72">
        <v>0</v>
      </c>
      <c r="BT747" s="72">
        <v>0</v>
      </c>
      <c r="BU747" s="72">
        <v>0</v>
      </c>
      <c r="BV747" s="72">
        <v>0</v>
      </c>
      <c r="BW747" s="72">
        <v>0</v>
      </c>
      <c r="BX747" s="72">
        <v>0</v>
      </c>
      <c r="BY747" s="72">
        <v>0</v>
      </c>
      <c r="BZ747" s="72">
        <v>0</v>
      </c>
      <c r="CA747" s="72">
        <v>0</v>
      </c>
      <c r="CB747" s="72">
        <v>0</v>
      </c>
      <c r="CC747" s="72">
        <v>0</v>
      </c>
      <c r="CD747" s="72">
        <v>0</v>
      </c>
      <c r="CE747" s="72">
        <v>0</v>
      </c>
      <c r="CF747" s="72">
        <v>0</v>
      </c>
      <c r="CG747" s="72">
        <v>0</v>
      </c>
      <c r="CH747" s="72">
        <v>0</v>
      </c>
      <c r="CI747" s="72">
        <v>0</v>
      </c>
      <c r="CJ747" s="72">
        <v>0</v>
      </c>
      <c r="CK747" s="72">
        <v>0</v>
      </c>
      <c r="CL747" s="72">
        <v>0</v>
      </c>
      <c r="CM747" s="72">
        <v>0</v>
      </c>
      <c r="CN747" s="72">
        <v>0</v>
      </c>
      <c r="CO747" s="72">
        <v>0</v>
      </c>
      <c r="CP747" s="72">
        <v>0</v>
      </c>
      <c r="CQ747" s="72">
        <v>0</v>
      </c>
      <c r="CR747" s="72">
        <v>0</v>
      </c>
      <c r="CS747" s="72">
        <v>0</v>
      </c>
      <c r="CT747" s="72">
        <v>0</v>
      </c>
      <c r="CU747" s="72">
        <v>0</v>
      </c>
      <c r="CV747" s="72">
        <v>0</v>
      </c>
      <c r="CW747" s="72">
        <v>0</v>
      </c>
      <c r="CX747" s="72">
        <v>0</v>
      </c>
      <c r="CY747" s="72">
        <v>0</v>
      </c>
      <c r="CZ747" s="72">
        <v>0</v>
      </c>
      <c r="DA747" s="72">
        <v>0</v>
      </c>
      <c r="DB747" s="72">
        <v>0</v>
      </c>
      <c r="DC747" s="72">
        <v>0</v>
      </c>
      <c r="DD747" s="72">
        <v>0</v>
      </c>
      <c r="DE747" s="72">
        <v>0</v>
      </c>
      <c r="DF747" s="72">
        <v>0</v>
      </c>
      <c r="DG747" s="72">
        <v>0</v>
      </c>
      <c r="DH747" s="72">
        <v>0</v>
      </c>
      <c r="DI747" s="72">
        <v>0</v>
      </c>
      <c r="DJ747" s="72">
        <v>0</v>
      </c>
      <c r="DK747" s="72">
        <v>0</v>
      </c>
      <c r="DL747" s="72">
        <v>0</v>
      </c>
      <c r="DM747" s="72">
        <v>0</v>
      </c>
      <c r="DN747" s="72">
        <v>0</v>
      </c>
      <c r="DO747" s="72">
        <v>0</v>
      </c>
      <c r="DP747" s="72">
        <v>0</v>
      </c>
      <c r="DQ747" s="72">
        <v>0</v>
      </c>
      <c r="DR747" s="72">
        <v>0</v>
      </c>
      <c r="DS747" s="72">
        <v>0</v>
      </c>
      <c r="DT747" s="72">
        <v>0</v>
      </c>
      <c r="DU747" s="72">
        <v>0</v>
      </c>
      <c r="DV747" s="72">
        <v>0</v>
      </c>
      <c r="DW747" s="72">
        <v>0</v>
      </c>
      <c r="DX747" s="72">
        <v>0</v>
      </c>
      <c r="DY747" s="72">
        <v>0</v>
      </c>
      <c r="DZ747" s="72">
        <v>0</v>
      </c>
      <c r="EA747" s="72">
        <v>0</v>
      </c>
      <c r="EB747" s="72">
        <v>0</v>
      </c>
      <c r="EC747" s="72">
        <v>0</v>
      </c>
      <c r="ED747" s="72">
        <v>0</v>
      </c>
      <c r="EE747" s="72">
        <v>0</v>
      </c>
      <c r="EF747" s="72">
        <v>0</v>
      </c>
      <c r="EG747" s="72">
        <v>0</v>
      </c>
      <c r="EH747" s="72">
        <v>0</v>
      </c>
      <c r="EI747" s="72">
        <v>0</v>
      </c>
      <c r="EJ747" s="72">
        <v>0</v>
      </c>
      <c r="EK747" s="72">
        <v>0</v>
      </c>
      <c r="EL747" s="72">
        <v>0</v>
      </c>
    </row>
    <row r="748" spans="1:142" x14ac:dyDescent="0.35">
      <c r="A748" s="59">
        <f>Данные!A748</f>
        <v>6370</v>
      </c>
      <c r="B748" s="59">
        <f>Данные!B748</f>
        <v>2018</v>
      </c>
      <c r="C748" s="59" t="str">
        <f>Данные!C748</f>
        <v>компьютерных технологий и электронного обучения</v>
      </c>
      <c r="D748" s="59" t="str">
        <f>Данные!D748</f>
        <v>Государев Илья Борисович</v>
      </c>
      <c r="E748" s="59" t="str">
        <f>Данные!E748</f>
        <v>кандидат педагогических наук</v>
      </c>
      <c r="F748" s="59" t="str">
        <f>Данные!F748</f>
        <v>доцент</v>
      </c>
      <c r="G748" s="59">
        <f>Данные!G748</f>
        <v>1</v>
      </c>
      <c r="H748" s="59">
        <f>Данные!H748</f>
        <v>17048</v>
      </c>
      <c r="I748" s="59" t="str">
        <f>Данные!I748</f>
        <v>Руководство ВКР (магистерская диссертация)</v>
      </c>
      <c r="J748" s="59">
        <f>Данные!J748</f>
        <v>0</v>
      </c>
      <c r="K748" s="59">
        <f>Данные!K748</f>
        <v>0</v>
      </c>
      <c r="L748" s="59">
        <f>Данные!L748</f>
        <v>0</v>
      </c>
      <c r="M748" s="60">
        <f t="shared" si="99"/>
        <v>0</v>
      </c>
      <c r="N748" s="60">
        <f t="shared" ca="1" si="100"/>
        <v>5.3000000000000007</v>
      </c>
      <c r="O748" s="60">
        <f t="shared" ca="1" si="101"/>
        <v>2.5</v>
      </c>
      <c r="P748" s="60">
        <f t="shared" ca="1" si="102"/>
        <v>2.5</v>
      </c>
      <c r="Q748" s="54">
        <f>Данные!Q748</f>
        <v>0</v>
      </c>
      <c r="R748" s="54">
        <f>Данные!R748</f>
        <v>0</v>
      </c>
      <c r="S748" s="54">
        <f>Данные!S748</f>
        <v>0</v>
      </c>
      <c r="T748" s="54">
        <f>Данные!T748</f>
        <v>0</v>
      </c>
      <c r="U748" s="54">
        <f>Данные!U748</f>
        <v>0</v>
      </c>
      <c r="V748" s="54">
        <f>Данные!V748</f>
        <v>36</v>
      </c>
      <c r="W748" s="54">
        <f ca="1">Данные!W748</f>
        <v>10</v>
      </c>
      <c r="X748" s="54" t="str">
        <f ca="1">Данные!X748</f>
        <v>1</v>
      </c>
      <c r="Y748" s="54" t="str">
        <f ca="1">Данные!Y748</f>
        <v>1</v>
      </c>
      <c r="Z748" s="54">
        <f>Данные!Z748</f>
        <v>0</v>
      </c>
      <c r="AA748" s="54" t="str">
        <f>Данные!AA748</f>
        <v>осн</v>
      </c>
      <c r="AB748" s="101">
        <f t="shared" si="103"/>
        <v>800</v>
      </c>
      <c r="AC748" s="101" t="str">
        <f t="shared" si="104"/>
        <v>КЭО (маг)</v>
      </c>
      <c r="AD748" s="101" t="str">
        <f t="shared" si="105"/>
        <v/>
      </c>
      <c r="AE748" s="102">
        <f t="shared" ca="1" si="106"/>
        <v>46.3</v>
      </c>
      <c r="AF748" s="103">
        <f t="shared" ca="1" si="107"/>
        <v>5.7874999999999996E-2</v>
      </c>
      <c r="AG748" s="101"/>
      <c r="AH748" s="101"/>
      <c r="BQ748" s="72">
        <v>0</v>
      </c>
      <c r="BR748" s="72">
        <v>0</v>
      </c>
      <c r="BS748" s="72">
        <v>0</v>
      </c>
      <c r="BT748" s="72">
        <v>0</v>
      </c>
      <c r="BU748" s="72">
        <v>0</v>
      </c>
      <c r="BV748" s="72">
        <v>0</v>
      </c>
      <c r="BW748" s="72">
        <v>0</v>
      </c>
      <c r="BX748" s="72">
        <v>0</v>
      </c>
      <c r="BY748" s="72">
        <v>0</v>
      </c>
      <c r="BZ748" s="72">
        <v>0</v>
      </c>
      <c r="CA748" s="72">
        <v>0</v>
      </c>
      <c r="CB748" s="72">
        <v>0</v>
      </c>
      <c r="CC748" s="72">
        <v>0</v>
      </c>
      <c r="CD748" s="72">
        <v>0</v>
      </c>
      <c r="CE748" s="72">
        <v>0</v>
      </c>
      <c r="CF748" s="72">
        <v>0</v>
      </c>
      <c r="CG748" s="72">
        <v>0</v>
      </c>
      <c r="CH748" s="72">
        <v>0</v>
      </c>
      <c r="CI748" s="72">
        <v>0</v>
      </c>
      <c r="CJ748" s="72">
        <v>0</v>
      </c>
      <c r="CK748" s="72">
        <v>0</v>
      </c>
      <c r="CL748" s="72">
        <v>0</v>
      </c>
      <c r="CM748" s="72">
        <v>0</v>
      </c>
      <c r="CN748" s="72">
        <v>0</v>
      </c>
      <c r="CO748" s="72">
        <v>0</v>
      </c>
      <c r="CP748" s="72">
        <v>0</v>
      </c>
      <c r="CQ748" s="72">
        <v>0</v>
      </c>
      <c r="CR748" s="72">
        <v>0</v>
      </c>
      <c r="CS748" s="72">
        <v>0</v>
      </c>
      <c r="CT748" s="72">
        <v>0</v>
      </c>
      <c r="CU748" s="72">
        <v>0</v>
      </c>
      <c r="CV748" s="72">
        <v>0</v>
      </c>
      <c r="CW748" s="72">
        <v>0</v>
      </c>
      <c r="CX748" s="72">
        <v>0</v>
      </c>
      <c r="CY748" s="72">
        <v>0</v>
      </c>
      <c r="CZ748" s="72">
        <v>0</v>
      </c>
      <c r="DA748" s="72">
        <v>0</v>
      </c>
      <c r="DB748" s="72">
        <v>0</v>
      </c>
      <c r="DC748" s="72">
        <v>0</v>
      </c>
      <c r="DD748" s="72">
        <v>0</v>
      </c>
      <c r="DE748" s="72">
        <v>0</v>
      </c>
      <c r="DF748" s="72">
        <v>0</v>
      </c>
      <c r="DG748" s="72">
        <v>0</v>
      </c>
      <c r="DH748" s="72">
        <v>0</v>
      </c>
      <c r="DI748" s="72">
        <v>0</v>
      </c>
      <c r="DJ748" s="72">
        <v>0</v>
      </c>
      <c r="DK748" s="72">
        <v>0</v>
      </c>
      <c r="DL748" s="72">
        <v>0</v>
      </c>
      <c r="DM748" s="72">
        <v>0</v>
      </c>
      <c r="DN748" s="72">
        <v>0</v>
      </c>
      <c r="DO748" s="72">
        <v>0</v>
      </c>
      <c r="DP748" s="72">
        <v>0</v>
      </c>
      <c r="DQ748" s="72">
        <v>0</v>
      </c>
      <c r="DR748" s="72">
        <v>0</v>
      </c>
      <c r="DS748" s="72">
        <v>0</v>
      </c>
      <c r="DT748" s="72">
        <v>0</v>
      </c>
      <c r="DU748" s="72">
        <v>0</v>
      </c>
      <c r="DV748" s="72">
        <v>0</v>
      </c>
      <c r="DW748" s="72">
        <v>0</v>
      </c>
      <c r="DX748" s="72">
        <v>0</v>
      </c>
      <c r="DY748" s="72">
        <v>0</v>
      </c>
      <c r="DZ748" s="72">
        <v>0</v>
      </c>
      <c r="EA748" s="72">
        <v>0</v>
      </c>
      <c r="EB748" s="72">
        <v>0</v>
      </c>
      <c r="EC748" s="72">
        <v>0</v>
      </c>
      <c r="ED748" s="72">
        <v>0</v>
      </c>
      <c r="EE748" s="72">
        <v>0</v>
      </c>
      <c r="EF748" s="72">
        <v>0</v>
      </c>
      <c r="EG748" s="72">
        <v>0</v>
      </c>
      <c r="EH748" s="72">
        <v>0</v>
      </c>
      <c r="EI748" s="72">
        <v>0</v>
      </c>
      <c r="EJ748" s="72">
        <v>0</v>
      </c>
      <c r="EK748" s="72">
        <v>0</v>
      </c>
      <c r="EL748" s="72">
        <v>0</v>
      </c>
    </row>
    <row r="749" spans="1:142" x14ac:dyDescent="0.35">
      <c r="A749" s="59">
        <f>Данные!A749</f>
        <v>6370</v>
      </c>
      <c r="B749" s="59">
        <f>Данные!B749</f>
        <v>2018</v>
      </c>
      <c r="C749" s="59" t="str">
        <f>Данные!C749</f>
        <v>компьютерных технологий и электронного обучения</v>
      </c>
      <c r="D749" s="59" t="str">
        <f>Данные!D749</f>
        <v>Готская Ирина Борисовна</v>
      </c>
      <c r="E749" s="59" t="str">
        <f>Данные!E749</f>
        <v>доктор педагогических наук</v>
      </c>
      <c r="F749" s="59" t="str">
        <f>Данные!F749</f>
        <v>профессор</v>
      </c>
      <c r="G749" s="59">
        <f>Данные!G749</f>
        <v>0.75</v>
      </c>
      <c r="H749" s="59">
        <f>Данные!H749</f>
        <v>17048</v>
      </c>
      <c r="I749" s="59" t="str">
        <f>Данные!I749</f>
        <v>Модуль "Методология исследования в образовании". Методология и методы научного исследования</v>
      </c>
      <c r="J749" s="59">
        <f>Данные!J749</f>
        <v>6</v>
      </c>
      <c r="K749" s="59">
        <f>Данные!K749</f>
        <v>22</v>
      </c>
      <c r="L749" s="59">
        <f>Данные!L749</f>
        <v>0</v>
      </c>
      <c r="M749" s="60">
        <f t="shared" si="99"/>
        <v>2.8</v>
      </c>
      <c r="N749" s="60">
        <f t="shared" ca="1" si="100"/>
        <v>5.3000000000000007</v>
      </c>
      <c r="O749" s="60">
        <f t="shared" ca="1" si="101"/>
        <v>2.5</v>
      </c>
      <c r="P749" s="60">
        <f t="shared" ca="1" si="102"/>
        <v>2.5</v>
      </c>
      <c r="Q749" s="54">
        <f>Данные!Q749</f>
        <v>0</v>
      </c>
      <c r="R749" s="54">
        <f>Данные!R749</f>
        <v>0</v>
      </c>
      <c r="S749" s="54">
        <f>Данные!S749</f>
        <v>0</v>
      </c>
      <c r="T749" s="54">
        <f>Данные!T749</f>
        <v>0</v>
      </c>
      <c r="U749" s="54">
        <f>Данные!U749</f>
        <v>0</v>
      </c>
      <c r="V749" s="54">
        <f>Данные!V749</f>
        <v>0</v>
      </c>
      <c r="W749" s="54">
        <f ca="1">Данные!W749</f>
        <v>10</v>
      </c>
      <c r="X749" s="54" t="str">
        <f ca="1">Данные!X749</f>
        <v>1</v>
      </c>
      <c r="Y749" s="54" t="str">
        <f ca="1">Данные!Y749</f>
        <v>1</v>
      </c>
      <c r="Z749" s="54">
        <f>Данные!Z749</f>
        <v>0</v>
      </c>
      <c r="AA749" s="54" t="str">
        <f>Данные!AA749</f>
        <v>осн</v>
      </c>
      <c r="AB749" s="101">
        <f t="shared" si="103"/>
        <v>750</v>
      </c>
      <c r="AC749" s="101" t="str">
        <f t="shared" si="104"/>
        <v>КЭО (маг)</v>
      </c>
      <c r="AD749" s="101" t="str">
        <f t="shared" si="105"/>
        <v/>
      </c>
      <c r="AE749" s="102">
        <f t="shared" ca="1" si="106"/>
        <v>41.1</v>
      </c>
      <c r="AF749" s="103">
        <f t="shared" ca="1" si="107"/>
        <v>5.4800000000000001E-2</v>
      </c>
      <c r="AG749" s="101"/>
      <c r="AH749" s="101"/>
      <c r="BQ749" s="72">
        <v>0</v>
      </c>
      <c r="BR749" s="72">
        <v>0</v>
      </c>
      <c r="BS749" s="72">
        <v>0</v>
      </c>
      <c r="BT749" s="72">
        <v>0</v>
      </c>
      <c r="BU749" s="72">
        <v>0</v>
      </c>
      <c r="BV749" s="72">
        <v>0</v>
      </c>
      <c r="BW749" s="72">
        <v>0</v>
      </c>
      <c r="BX749" s="72">
        <v>0</v>
      </c>
      <c r="BY749" s="72">
        <v>0</v>
      </c>
      <c r="BZ749" s="72">
        <v>0</v>
      </c>
      <c r="CA749" s="72">
        <v>0</v>
      </c>
      <c r="CB749" s="72">
        <v>0</v>
      </c>
      <c r="CC749" s="72">
        <v>0</v>
      </c>
      <c r="CD749" s="72">
        <v>0</v>
      </c>
      <c r="CE749" s="72">
        <v>0</v>
      </c>
      <c r="CF749" s="72">
        <v>0</v>
      </c>
      <c r="CG749" s="72">
        <v>0</v>
      </c>
      <c r="CH749" s="72">
        <v>0</v>
      </c>
      <c r="CI749" s="72">
        <v>0</v>
      </c>
      <c r="CJ749" s="72">
        <v>0</v>
      </c>
      <c r="CK749" s="72">
        <v>0</v>
      </c>
      <c r="CL749" s="72">
        <v>0</v>
      </c>
      <c r="CM749" s="72">
        <v>0</v>
      </c>
      <c r="CN749" s="72">
        <v>0</v>
      </c>
      <c r="CO749" s="72">
        <v>0</v>
      </c>
      <c r="CP749" s="72">
        <v>0</v>
      </c>
      <c r="CQ749" s="72">
        <v>0</v>
      </c>
      <c r="CR749" s="72">
        <v>0</v>
      </c>
      <c r="CS749" s="72">
        <v>0</v>
      </c>
      <c r="CT749" s="72">
        <v>0</v>
      </c>
      <c r="CU749" s="72">
        <v>0</v>
      </c>
      <c r="CV749" s="72">
        <v>0</v>
      </c>
      <c r="CW749" s="72">
        <v>0</v>
      </c>
      <c r="CX749" s="72">
        <v>0</v>
      </c>
      <c r="CY749" s="72">
        <v>0</v>
      </c>
      <c r="CZ749" s="72">
        <v>0</v>
      </c>
      <c r="DA749" s="72">
        <v>0</v>
      </c>
      <c r="DB749" s="72">
        <v>0</v>
      </c>
      <c r="DC749" s="72">
        <v>0</v>
      </c>
      <c r="DD749" s="72">
        <v>0</v>
      </c>
      <c r="DE749" s="72">
        <v>0</v>
      </c>
      <c r="DF749" s="72">
        <v>0</v>
      </c>
      <c r="DG749" s="72">
        <v>0</v>
      </c>
      <c r="DH749" s="72">
        <v>0</v>
      </c>
      <c r="DI749" s="72">
        <v>0</v>
      </c>
      <c r="DJ749" s="72">
        <v>0</v>
      </c>
      <c r="DK749" s="72">
        <v>0</v>
      </c>
      <c r="DL749" s="72">
        <v>0</v>
      </c>
      <c r="DM749" s="72">
        <v>0</v>
      </c>
      <c r="DN749" s="72">
        <v>0</v>
      </c>
      <c r="DO749" s="72">
        <v>0</v>
      </c>
      <c r="DP749" s="72">
        <v>0</v>
      </c>
      <c r="DQ749" s="72">
        <v>0</v>
      </c>
      <c r="DR749" s="72">
        <v>0</v>
      </c>
      <c r="DS749" s="72">
        <v>0</v>
      </c>
      <c r="DT749" s="72">
        <v>0</v>
      </c>
      <c r="DU749" s="72">
        <v>0</v>
      </c>
      <c r="DV749" s="72">
        <v>0</v>
      </c>
      <c r="DW749" s="72">
        <v>0</v>
      </c>
      <c r="DX749" s="72">
        <v>0</v>
      </c>
      <c r="DY749" s="72">
        <v>0</v>
      </c>
      <c r="DZ749" s="72">
        <v>0</v>
      </c>
      <c r="EA749" s="72">
        <v>0</v>
      </c>
      <c r="EB749" s="72">
        <v>0</v>
      </c>
      <c r="EC749" s="72">
        <v>0</v>
      </c>
      <c r="ED749" s="72">
        <v>0</v>
      </c>
      <c r="EE749" s="72">
        <v>0</v>
      </c>
      <c r="EF749" s="72">
        <v>0</v>
      </c>
      <c r="EG749" s="72">
        <v>0</v>
      </c>
      <c r="EH749" s="72">
        <v>0</v>
      </c>
      <c r="EI749" s="72">
        <v>0</v>
      </c>
      <c r="EJ749" s="72">
        <v>0</v>
      </c>
      <c r="EK749" s="72">
        <v>0</v>
      </c>
      <c r="EL749" s="72">
        <v>0</v>
      </c>
    </row>
    <row r="750" spans="1:142" x14ac:dyDescent="0.35">
      <c r="A750" s="59">
        <f>Данные!A750</f>
        <v>6370</v>
      </c>
      <c r="B750" s="59">
        <f>Данные!B750</f>
        <v>2018</v>
      </c>
      <c r="C750" s="59" t="str">
        <f>Данные!C750</f>
        <v>компьютерных технологий и электронного обучения</v>
      </c>
      <c r="D750" s="59" t="str">
        <f>Данные!D750</f>
        <v>Готская Ирина Борисовна</v>
      </c>
      <c r="E750" s="59" t="str">
        <f>Данные!E750</f>
        <v>доктор педагогических наук</v>
      </c>
      <c r="F750" s="59" t="str">
        <f>Данные!F750</f>
        <v>профессор</v>
      </c>
      <c r="G750" s="59">
        <f>Данные!G750</f>
        <v>0.75</v>
      </c>
      <c r="H750" s="59">
        <f>Данные!H750</f>
        <v>17048</v>
      </c>
      <c r="I750" s="59" t="str">
        <f>Данные!I750</f>
        <v>Модуль "Методология исследования в образовании". Современные проблемы науки и образования</v>
      </c>
      <c r="J750" s="59">
        <f>Данные!J750</f>
        <v>10</v>
      </c>
      <c r="K750" s="59">
        <f>Данные!K750</f>
        <v>36</v>
      </c>
      <c r="L750" s="59">
        <f>Данные!L750</f>
        <v>0</v>
      </c>
      <c r="M750" s="60">
        <f t="shared" si="99"/>
        <v>4.5999999999999996</v>
      </c>
      <c r="N750" s="60">
        <f t="shared" ca="1" si="100"/>
        <v>5.3000000000000007</v>
      </c>
      <c r="O750" s="60">
        <f t="shared" ca="1" si="101"/>
        <v>2.5</v>
      </c>
      <c r="P750" s="60">
        <f t="shared" ca="1" si="102"/>
        <v>2.5</v>
      </c>
      <c r="Q750" s="54">
        <f>Данные!Q750</f>
        <v>0</v>
      </c>
      <c r="R750" s="54">
        <f>Данные!R750</f>
        <v>0</v>
      </c>
      <c r="S750" s="54">
        <f>Данные!S750</f>
        <v>0</v>
      </c>
      <c r="T750" s="54">
        <f>Данные!T750</f>
        <v>0</v>
      </c>
      <c r="U750" s="54">
        <f>Данные!U750</f>
        <v>0</v>
      </c>
      <c r="V750" s="54">
        <f>Данные!V750</f>
        <v>0</v>
      </c>
      <c r="W750" s="54">
        <f ca="1">Данные!W750</f>
        <v>10</v>
      </c>
      <c r="X750" s="54" t="str">
        <f ca="1">Данные!X750</f>
        <v>1</v>
      </c>
      <c r="Y750" s="54" t="str">
        <f ca="1">Данные!Y750</f>
        <v>1</v>
      </c>
      <c r="Z750" s="54">
        <f>Данные!Z750</f>
        <v>0</v>
      </c>
      <c r="AA750" s="54" t="str">
        <f>Данные!AA750</f>
        <v>осн</v>
      </c>
      <c r="AB750" s="101">
        <f t="shared" si="103"/>
        <v>750</v>
      </c>
      <c r="AC750" s="101" t="str">
        <f t="shared" si="104"/>
        <v>КЭО (маг)</v>
      </c>
      <c r="AD750" s="101" t="str">
        <f t="shared" si="105"/>
        <v/>
      </c>
      <c r="AE750" s="102">
        <f t="shared" ca="1" si="106"/>
        <v>60.900000000000006</v>
      </c>
      <c r="AF750" s="103">
        <f t="shared" ca="1" si="107"/>
        <v>8.1200000000000008E-2</v>
      </c>
      <c r="AG750" s="101"/>
      <c r="AH750" s="101"/>
      <c r="BQ750" s="72">
        <v>0</v>
      </c>
      <c r="BR750" s="72">
        <v>0</v>
      </c>
      <c r="BS750" s="72">
        <v>0</v>
      </c>
      <c r="BT750" s="72">
        <v>0</v>
      </c>
      <c r="BU750" s="72">
        <v>0</v>
      </c>
      <c r="BV750" s="72">
        <v>0</v>
      </c>
      <c r="BW750" s="72">
        <v>0</v>
      </c>
      <c r="BX750" s="72">
        <v>0</v>
      </c>
      <c r="BY750" s="72">
        <v>0</v>
      </c>
      <c r="BZ750" s="72">
        <v>0</v>
      </c>
      <c r="CA750" s="72">
        <v>0</v>
      </c>
      <c r="CB750" s="72">
        <v>0</v>
      </c>
      <c r="CC750" s="72">
        <v>0</v>
      </c>
      <c r="CD750" s="72">
        <v>0</v>
      </c>
      <c r="CE750" s="72">
        <v>0</v>
      </c>
      <c r="CF750" s="72">
        <v>0</v>
      </c>
      <c r="CG750" s="72">
        <v>0</v>
      </c>
      <c r="CH750" s="72">
        <v>0</v>
      </c>
      <c r="CI750" s="72">
        <v>0</v>
      </c>
      <c r="CJ750" s="72">
        <v>0</v>
      </c>
      <c r="CK750" s="72">
        <v>0</v>
      </c>
      <c r="CL750" s="72">
        <v>0</v>
      </c>
      <c r="CM750" s="72">
        <v>0</v>
      </c>
      <c r="CN750" s="72">
        <v>0</v>
      </c>
      <c r="CO750" s="72">
        <v>0</v>
      </c>
      <c r="CP750" s="72">
        <v>0</v>
      </c>
      <c r="CQ750" s="72">
        <v>0</v>
      </c>
      <c r="CR750" s="72">
        <v>0</v>
      </c>
      <c r="CS750" s="72">
        <v>0</v>
      </c>
      <c r="CT750" s="72">
        <v>0</v>
      </c>
      <c r="CU750" s="72">
        <v>0</v>
      </c>
      <c r="CV750" s="72">
        <v>0</v>
      </c>
      <c r="CW750" s="72">
        <v>0</v>
      </c>
      <c r="CX750" s="72">
        <v>0</v>
      </c>
      <c r="CY750" s="72">
        <v>0</v>
      </c>
      <c r="CZ750" s="72">
        <v>0</v>
      </c>
      <c r="DA750" s="72">
        <v>0</v>
      </c>
      <c r="DB750" s="72">
        <v>0</v>
      </c>
      <c r="DC750" s="72">
        <v>0</v>
      </c>
      <c r="DD750" s="72">
        <v>0</v>
      </c>
      <c r="DE750" s="72">
        <v>0</v>
      </c>
      <c r="DF750" s="72">
        <v>0</v>
      </c>
      <c r="DG750" s="72">
        <v>0</v>
      </c>
      <c r="DH750" s="72">
        <v>0</v>
      </c>
      <c r="DI750" s="72">
        <v>0</v>
      </c>
      <c r="DJ750" s="72">
        <v>0</v>
      </c>
      <c r="DK750" s="72">
        <v>0</v>
      </c>
      <c r="DL750" s="72">
        <v>0</v>
      </c>
      <c r="DM750" s="72">
        <v>0</v>
      </c>
      <c r="DN750" s="72">
        <v>0</v>
      </c>
      <c r="DO750" s="72">
        <v>0</v>
      </c>
      <c r="DP750" s="72">
        <v>0</v>
      </c>
      <c r="DQ750" s="72">
        <v>0</v>
      </c>
      <c r="DR750" s="72">
        <v>0</v>
      </c>
      <c r="DS750" s="72">
        <v>0</v>
      </c>
      <c r="DT750" s="72">
        <v>0</v>
      </c>
      <c r="DU750" s="72">
        <v>0</v>
      </c>
      <c r="DV750" s="72">
        <v>0</v>
      </c>
      <c r="DW750" s="72">
        <v>0</v>
      </c>
      <c r="DX750" s="72">
        <v>0</v>
      </c>
      <c r="DY750" s="72">
        <v>0</v>
      </c>
      <c r="DZ750" s="72">
        <v>0</v>
      </c>
      <c r="EA750" s="72">
        <v>0</v>
      </c>
      <c r="EB750" s="72">
        <v>0</v>
      </c>
      <c r="EC750" s="72">
        <v>0</v>
      </c>
      <c r="ED750" s="72">
        <v>0</v>
      </c>
      <c r="EE750" s="72">
        <v>0</v>
      </c>
      <c r="EF750" s="72">
        <v>0</v>
      </c>
      <c r="EG750" s="72">
        <v>0</v>
      </c>
      <c r="EH750" s="72">
        <v>0</v>
      </c>
      <c r="EI750" s="72">
        <v>0</v>
      </c>
      <c r="EJ750" s="72">
        <v>0</v>
      </c>
      <c r="EK750" s="72">
        <v>0</v>
      </c>
      <c r="EL750" s="72">
        <v>0</v>
      </c>
    </row>
    <row r="751" spans="1:142" x14ac:dyDescent="0.35">
      <c r="A751" s="59">
        <f>Данные!A751</f>
        <v>6370</v>
      </c>
      <c r="B751" s="59">
        <f>Данные!B751</f>
        <v>2018</v>
      </c>
      <c r="C751" s="59" t="str">
        <f>Данные!C751</f>
        <v>компьютерных технологий и электронного обучения</v>
      </c>
      <c r="D751" s="59" t="str">
        <f>Данные!D751</f>
        <v>Жуков Николай Николаевич</v>
      </c>
      <c r="E751" s="59" t="str">
        <f>Данные!E751</f>
        <v>нет</v>
      </c>
      <c r="F751" s="59" t="str">
        <f>Данные!F751</f>
        <v>ассистент</v>
      </c>
      <c r="G751" s="59">
        <f>Данные!G751</f>
        <v>1</v>
      </c>
      <c r="H751" s="59">
        <f>Данные!H751</f>
        <v>17048</v>
      </c>
      <c r="I751" s="59" t="str">
        <f>Данные!I751</f>
        <v>Модуль "IT- инфраструктура образовательного учреждения". Проектирование и разработка электронных образовательных ресурсов</v>
      </c>
      <c r="J751" s="59">
        <f>Данные!J751</f>
        <v>0</v>
      </c>
      <c r="K751" s="59">
        <f>Данные!K751</f>
        <v>22</v>
      </c>
      <c r="L751" s="59">
        <f>Данные!L751</f>
        <v>0</v>
      </c>
      <c r="M751" s="60">
        <f t="shared" si="99"/>
        <v>2.2000000000000002</v>
      </c>
      <c r="N751" s="60">
        <f t="shared" ca="1" si="100"/>
        <v>5.3000000000000007</v>
      </c>
      <c r="O751" s="60">
        <f t="shared" ca="1" si="101"/>
        <v>2.5</v>
      </c>
      <c r="P751" s="60">
        <f t="shared" ca="1" si="102"/>
        <v>2.5</v>
      </c>
      <c r="Q751" s="54">
        <f>Данные!Q751</f>
        <v>0</v>
      </c>
      <c r="R751" s="54">
        <f>Данные!R751</f>
        <v>0</v>
      </c>
      <c r="S751" s="54">
        <f>Данные!S751</f>
        <v>0</v>
      </c>
      <c r="T751" s="54">
        <f>Данные!T751</f>
        <v>0</v>
      </c>
      <c r="U751" s="54">
        <f>Данные!U751</f>
        <v>0</v>
      </c>
      <c r="V751" s="54">
        <f>Данные!V751</f>
        <v>0</v>
      </c>
      <c r="W751" s="54">
        <f ca="1">Данные!W751</f>
        <v>10</v>
      </c>
      <c r="X751" s="54" t="str">
        <f ca="1">Данные!X751</f>
        <v>1</v>
      </c>
      <c r="Y751" s="54" t="str">
        <f ca="1">Данные!Y751</f>
        <v>1</v>
      </c>
      <c r="Z751" s="54">
        <f>Данные!Z751</f>
        <v>0</v>
      </c>
      <c r="AA751" s="54" t="str">
        <f>Данные!AA751</f>
        <v>осн</v>
      </c>
      <c r="AB751" s="101">
        <f t="shared" si="103"/>
        <v>900</v>
      </c>
      <c r="AC751" s="101" t="str">
        <f t="shared" si="104"/>
        <v>КЭО (маг)</v>
      </c>
      <c r="AD751" s="101" t="str">
        <f t="shared" si="105"/>
        <v/>
      </c>
      <c r="AE751" s="102">
        <f t="shared" ca="1" si="106"/>
        <v>34.5</v>
      </c>
      <c r="AF751" s="103">
        <f t="shared" ca="1" si="107"/>
        <v>3.833333333333333E-2</v>
      </c>
      <c r="AG751" s="101"/>
      <c r="AH751" s="101"/>
      <c r="BQ751" s="72">
        <v>0</v>
      </c>
      <c r="BR751" s="72">
        <v>0</v>
      </c>
      <c r="BS751" s="72">
        <v>0</v>
      </c>
      <c r="BT751" s="72">
        <v>0</v>
      </c>
      <c r="BU751" s="72">
        <v>0</v>
      </c>
      <c r="BV751" s="72">
        <v>0</v>
      </c>
      <c r="BW751" s="72">
        <v>0</v>
      </c>
      <c r="BX751" s="72">
        <v>0</v>
      </c>
      <c r="BY751" s="72">
        <v>0</v>
      </c>
      <c r="BZ751" s="72">
        <v>0</v>
      </c>
      <c r="CA751" s="72">
        <v>0</v>
      </c>
      <c r="CB751" s="72">
        <v>0</v>
      </c>
      <c r="CC751" s="72">
        <v>0</v>
      </c>
      <c r="CD751" s="72">
        <v>0</v>
      </c>
      <c r="CE751" s="72">
        <v>0</v>
      </c>
      <c r="CF751" s="72">
        <v>0</v>
      </c>
      <c r="CG751" s="72">
        <v>0</v>
      </c>
      <c r="CH751" s="72">
        <v>0</v>
      </c>
      <c r="CI751" s="72">
        <v>0</v>
      </c>
      <c r="CJ751" s="72">
        <v>0</v>
      </c>
      <c r="CK751" s="72">
        <v>0</v>
      </c>
      <c r="CL751" s="72">
        <v>0</v>
      </c>
      <c r="CM751" s="72">
        <v>0</v>
      </c>
      <c r="CN751" s="72">
        <v>0</v>
      </c>
      <c r="CO751" s="72">
        <v>0</v>
      </c>
      <c r="CP751" s="72">
        <v>0</v>
      </c>
      <c r="CQ751" s="72">
        <v>0</v>
      </c>
      <c r="CR751" s="72">
        <v>0</v>
      </c>
      <c r="CS751" s="72">
        <v>0</v>
      </c>
      <c r="CT751" s="72">
        <v>0</v>
      </c>
      <c r="CU751" s="72">
        <v>0</v>
      </c>
      <c r="CV751" s="72">
        <v>0</v>
      </c>
      <c r="CW751" s="72">
        <v>0</v>
      </c>
      <c r="CX751" s="72">
        <v>0</v>
      </c>
      <c r="CY751" s="72">
        <v>0</v>
      </c>
      <c r="CZ751" s="72">
        <v>0</v>
      </c>
      <c r="DA751" s="72">
        <v>0</v>
      </c>
      <c r="DB751" s="72">
        <v>0</v>
      </c>
      <c r="DC751" s="72">
        <v>0</v>
      </c>
      <c r="DD751" s="72">
        <v>0</v>
      </c>
      <c r="DE751" s="72">
        <v>0</v>
      </c>
      <c r="DF751" s="72">
        <v>0</v>
      </c>
      <c r="DG751" s="72">
        <v>0</v>
      </c>
      <c r="DH751" s="72">
        <v>0</v>
      </c>
      <c r="DI751" s="72">
        <v>0</v>
      </c>
      <c r="DJ751" s="72">
        <v>0</v>
      </c>
      <c r="DK751" s="72">
        <v>0</v>
      </c>
      <c r="DL751" s="72">
        <v>0</v>
      </c>
      <c r="DM751" s="72">
        <v>0</v>
      </c>
      <c r="DN751" s="72">
        <v>0</v>
      </c>
      <c r="DO751" s="72">
        <v>0</v>
      </c>
      <c r="DP751" s="72">
        <v>0</v>
      </c>
      <c r="DQ751" s="72">
        <v>0</v>
      </c>
      <c r="DR751" s="72">
        <v>0</v>
      </c>
      <c r="DS751" s="72">
        <v>0</v>
      </c>
      <c r="DT751" s="72">
        <v>0</v>
      </c>
      <c r="DU751" s="72">
        <v>0</v>
      </c>
      <c r="DV751" s="72">
        <v>0</v>
      </c>
      <c r="DW751" s="72">
        <v>0</v>
      </c>
      <c r="DX751" s="72">
        <v>0</v>
      </c>
      <c r="DY751" s="72">
        <v>0</v>
      </c>
      <c r="DZ751" s="72">
        <v>0</v>
      </c>
      <c r="EA751" s="72">
        <v>0</v>
      </c>
      <c r="EB751" s="72">
        <v>0</v>
      </c>
      <c r="EC751" s="72">
        <v>0</v>
      </c>
      <c r="ED751" s="72">
        <v>0</v>
      </c>
      <c r="EE751" s="72">
        <v>0</v>
      </c>
      <c r="EF751" s="72">
        <v>0</v>
      </c>
      <c r="EG751" s="72">
        <v>0</v>
      </c>
      <c r="EH751" s="72">
        <v>0</v>
      </c>
      <c r="EI751" s="72">
        <v>0</v>
      </c>
      <c r="EJ751" s="72">
        <v>0</v>
      </c>
      <c r="EK751" s="72">
        <v>0</v>
      </c>
      <c r="EL751" s="72">
        <v>0</v>
      </c>
    </row>
    <row r="752" spans="1:142" x14ac:dyDescent="0.35">
      <c r="A752" s="59">
        <f>Данные!A752</f>
        <v>6370</v>
      </c>
      <c r="B752" s="59">
        <f>Данные!B752</f>
        <v>2018</v>
      </c>
      <c r="C752" s="59" t="str">
        <f>Данные!C752</f>
        <v>компьютерных технологий и электронного обучения</v>
      </c>
      <c r="D752" s="59" t="str">
        <f>Данные!D752</f>
        <v>Жуков Николай Николаевич</v>
      </c>
      <c r="E752" s="59" t="str">
        <f>Данные!E752</f>
        <v>нет</v>
      </c>
      <c r="F752" s="59" t="str">
        <f>Данные!F752</f>
        <v>ассистент</v>
      </c>
      <c r="G752" s="59">
        <f>Данные!G752</f>
        <v>1</v>
      </c>
      <c r="H752" s="59">
        <f>Данные!H752</f>
        <v>17048</v>
      </c>
      <c r="I752" s="59" t="str">
        <f>Данные!I752</f>
        <v>Модуль "IT- инфраструктура образовательного учреждения". Управление IT- проектами для корпоративного обучения</v>
      </c>
      <c r="J752" s="59">
        <f>Данные!J752</f>
        <v>0</v>
      </c>
      <c r="K752" s="59">
        <f>Данные!K752</f>
        <v>14</v>
      </c>
      <c r="L752" s="59">
        <f>Данные!L752</f>
        <v>0</v>
      </c>
      <c r="M752" s="60">
        <f t="shared" si="99"/>
        <v>1.4</v>
      </c>
      <c r="N752" s="60">
        <f t="shared" ca="1" si="100"/>
        <v>5.3000000000000007</v>
      </c>
      <c r="O752" s="60">
        <f t="shared" ca="1" si="101"/>
        <v>2.5</v>
      </c>
      <c r="P752" s="60">
        <f t="shared" ca="1" si="102"/>
        <v>2.5</v>
      </c>
      <c r="Q752" s="54">
        <f>Данные!Q752</f>
        <v>0</v>
      </c>
      <c r="R752" s="54">
        <f>Данные!R752</f>
        <v>0</v>
      </c>
      <c r="S752" s="54">
        <f>Данные!S752</f>
        <v>0</v>
      </c>
      <c r="T752" s="54">
        <f>Данные!T752</f>
        <v>0</v>
      </c>
      <c r="U752" s="54">
        <f>Данные!U752</f>
        <v>0</v>
      </c>
      <c r="V752" s="54">
        <f>Данные!V752</f>
        <v>0</v>
      </c>
      <c r="W752" s="54">
        <f ca="1">Данные!W752</f>
        <v>10</v>
      </c>
      <c r="X752" s="54" t="str">
        <f ca="1">Данные!X752</f>
        <v>1</v>
      </c>
      <c r="Y752" s="54" t="str">
        <f ca="1">Данные!Y752</f>
        <v>1</v>
      </c>
      <c r="Z752" s="54">
        <f>Данные!Z752</f>
        <v>0</v>
      </c>
      <c r="AA752" s="54" t="str">
        <f>Данные!AA752</f>
        <v>осн</v>
      </c>
      <c r="AB752" s="101">
        <f t="shared" si="103"/>
        <v>900</v>
      </c>
      <c r="AC752" s="101" t="str">
        <f t="shared" si="104"/>
        <v>КЭО (маг)</v>
      </c>
      <c r="AD752" s="101" t="str">
        <f t="shared" si="105"/>
        <v/>
      </c>
      <c r="AE752" s="102">
        <f t="shared" ca="1" si="106"/>
        <v>25.700000000000003</v>
      </c>
      <c r="AF752" s="103">
        <f t="shared" ca="1" si="107"/>
        <v>2.855555555555556E-2</v>
      </c>
      <c r="AG752" s="101"/>
      <c r="AH752" s="101"/>
      <c r="BQ752" s="72">
        <v>0</v>
      </c>
      <c r="BR752" s="72">
        <v>0</v>
      </c>
      <c r="BS752" s="72">
        <v>0</v>
      </c>
      <c r="BT752" s="72">
        <v>0</v>
      </c>
      <c r="BU752" s="72">
        <v>0</v>
      </c>
      <c r="BV752" s="72">
        <v>0</v>
      </c>
      <c r="BW752" s="72">
        <v>0</v>
      </c>
      <c r="BX752" s="72">
        <v>0</v>
      </c>
      <c r="BY752" s="72">
        <v>0</v>
      </c>
      <c r="BZ752" s="72">
        <v>0</v>
      </c>
      <c r="CA752" s="72">
        <v>0</v>
      </c>
      <c r="CB752" s="72">
        <v>0</v>
      </c>
      <c r="CC752" s="72">
        <v>0</v>
      </c>
      <c r="CD752" s="72">
        <v>0</v>
      </c>
      <c r="CE752" s="72">
        <v>0</v>
      </c>
      <c r="CF752" s="72">
        <v>0</v>
      </c>
      <c r="CG752" s="72">
        <v>0</v>
      </c>
      <c r="CH752" s="72">
        <v>0</v>
      </c>
      <c r="CI752" s="72">
        <v>0</v>
      </c>
      <c r="CJ752" s="72">
        <v>0</v>
      </c>
      <c r="CK752" s="72">
        <v>0</v>
      </c>
      <c r="CL752" s="72">
        <v>0</v>
      </c>
      <c r="CM752" s="72">
        <v>0</v>
      </c>
      <c r="CN752" s="72">
        <v>0</v>
      </c>
      <c r="CO752" s="72">
        <v>0</v>
      </c>
      <c r="CP752" s="72">
        <v>0</v>
      </c>
      <c r="CQ752" s="72">
        <v>0</v>
      </c>
      <c r="CR752" s="72">
        <v>0</v>
      </c>
      <c r="CS752" s="72">
        <v>0</v>
      </c>
      <c r="CT752" s="72">
        <v>0</v>
      </c>
      <c r="CU752" s="72">
        <v>0</v>
      </c>
      <c r="CV752" s="72">
        <v>0</v>
      </c>
      <c r="CW752" s="72">
        <v>0</v>
      </c>
      <c r="CX752" s="72">
        <v>0</v>
      </c>
      <c r="CY752" s="72">
        <v>0</v>
      </c>
      <c r="CZ752" s="72">
        <v>0</v>
      </c>
      <c r="DA752" s="72">
        <v>0</v>
      </c>
      <c r="DB752" s="72">
        <v>0</v>
      </c>
      <c r="DC752" s="72">
        <v>0</v>
      </c>
      <c r="DD752" s="72">
        <v>0</v>
      </c>
      <c r="DE752" s="72">
        <v>0</v>
      </c>
      <c r="DF752" s="72">
        <v>0</v>
      </c>
      <c r="DG752" s="72">
        <v>0</v>
      </c>
      <c r="DH752" s="72">
        <v>0</v>
      </c>
      <c r="DI752" s="72">
        <v>0</v>
      </c>
      <c r="DJ752" s="72">
        <v>0</v>
      </c>
      <c r="DK752" s="72">
        <v>0</v>
      </c>
      <c r="DL752" s="72">
        <v>0</v>
      </c>
      <c r="DM752" s="72">
        <v>0</v>
      </c>
      <c r="DN752" s="72">
        <v>0</v>
      </c>
      <c r="DO752" s="72">
        <v>0</v>
      </c>
      <c r="DP752" s="72">
        <v>0</v>
      </c>
      <c r="DQ752" s="72">
        <v>0</v>
      </c>
      <c r="DR752" s="72">
        <v>0</v>
      </c>
      <c r="DS752" s="72">
        <v>0</v>
      </c>
      <c r="DT752" s="72">
        <v>0</v>
      </c>
      <c r="DU752" s="72">
        <v>0</v>
      </c>
      <c r="DV752" s="72">
        <v>0</v>
      </c>
      <c r="DW752" s="72">
        <v>0</v>
      </c>
      <c r="DX752" s="72">
        <v>0</v>
      </c>
      <c r="DY752" s="72">
        <v>0</v>
      </c>
      <c r="DZ752" s="72">
        <v>0</v>
      </c>
      <c r="EA752" s="72">
        <v>0</v>
      </c>
      <c r="EB752" s="72">
        <v>0</v>
      </c>
      <c r="EC752" s="72">
        <v>0</v>
      </c>
      <c r="ED752" s="72">
        <v>0</v>
      </c>
      <c r="EE752" s="72">
        <v>0</v>
      </c>
      <c r="EF752" s="72">
        <v>0</v>
      </c>
      <c r="EG752" s="72">
        <v>0</v>
      </c>
      <c r="EH752" s="72">
        <v>0</v>
      </c>
      <c r="EI752" s="72">
        <v>0</v>
      </c>
      <c r="EJ752" s="72">
        <v>0</v>
      </c>
      <c r="EK752" s="72">
        <v>0</v>
      </c>
      <c r="EL752" s="72">
        <v>0</v>
      </c>
    </row>
    <row r="753" spans="1:142" x14ac:dyDescent="0.35">
      <c r="A753" s="59">
        <f>Данные!A753</f>
        <v>6370</v>
      </c>
      <c r="B753" s="59">
        <f>Данные!B753</f>
        <v>2018</v>
      </c>
      <c r="C753" s="59" t="str">
        <f>Данные!C753</f>
        <v>компьютерных технологий и электронного обучения</v>
      </c>
      <c r="D753" s="59" t="str">
        <f>Данные!D753</f>
        <v>Жуков Николай Николаевич</v>
      </c>
      <c r="E753" s="59" t="str">
        <f>Данные!E753</f>
        <v>нет</v>
      </c>
      <c r="F753" s="59" t="str">
        <f>Данные!F753</f>
        <v>ассистент</v>
      </c>
      <c r="G753" s="59">
        <f>Данные!G753</f>
        <v>1</v>
      </c>
      <c r="H753" s="59">
        <f>Данные!H753</f>
        <v>17048</v>
      </c>
      <c r="I753" s="59" t="str">
        <f>Данные!I753</f>
        <v>Модуль "Инновационные методы и технологии корпоративного электронного обучения "</v>
      </c>
      <c r="J753" s="59">
        <f>Данные!J753</f>
        <v>0</v>
      </c>
      <c r="K753" s="59">
        <f>Данные!K753</f>
        <v>0</v>
      </c>
      <c r="L753" s="59">
        <f>Данные!L753</f>
        <v>0</v>
      </c>
      <c r="M753" s="60">
        <f t="shared" si="99"/>
        <v>0</v>
      </c>
      <c r="N753" s="60">
        <f t="shared" ca="1" si="100"/>
        <v>5.3000000000000007</v>
      </c>
      <c r="O753" s="60">
        <f t="shared" ca="1" si="101"/>
        <v>2.5</v>
      </c>
      <c r="P753" s="60">
        <f t="shared" ca="1" si="102"/>
        <v>2.5</v>
      </c>
      <c r="Q753" s="54">
        <f>Данные!Q753</f>
        <v>0</v>
      </c>
      <c r="R753" s="54">
        <f>Данные!R753</f>
        <v>0</v>
      </c>
      <c r="S753" s="54">
        <f>Данные!S753</f>
        <v>0</v>
      </c>
      <c r="T753" s="54">
        <f>Данные!T753</f>
        <v>0</v>
      </c>
      <c r="U753" s="54">
        <f>Данные!U753</f>
        <v>0</v>
      </c>
      <c r="V753" s="54">
        <f>Данные!V753</f>
        <v>0</v>
      </c>
      <c r="W753" s="54">
        <f ca="1">Данные!W753</f>
        <v>10</v>
      </c>
      <c r="X753" s="54" t="str">
        <f ca="1">Данные!X753</f>
        <v>1</v>
      </c>
      <c r="Y753" s="54" t="str">
        <f ca="1">Данные!Y753</f>
        <v>1</v>
      </c>
      <c r="Z753" s="54">
        <f>Данные!Z753</f>
        <v>0</v>
      </c>
      <c r="AA753" s="54" t="str">
        <f>Данные!AA753</f>
        <v>осн</v>
      </c>
      <c r="AB753" s="101">
        <f t="shared" si="103"/>
        <v>900</v>
      </c>
      <c r="AC753" s="101" t="str">
        <f t="shared" si="104"/>
        <v>КЭО (маг)</v>
      </c>
      <c r="AD753" s="101" t="str">
        <f t="shared" si="105"/>
        <v/>
      </c>
      <c r="AE753" s="102">
        <f t="shared" ca="1" si="106"/>
        <v>10.3</v>
      </c>
      <c r="AF753" s="103">
        <f t="shared" ca="1" si="107"/>
        <v>1.1444444444444445E-2</v>
      </c>
      <c r="AG753" s="101"/>
      <c r="AH753" s="101"/>
      <c r="BQ753" s="72">
        <v>0</v>
      </c>
      <c r="BR753" s="72">
        <v>0</v>
      </c>
      <c r="BS753" s="72">
        <v>0</v>
      </c>
      <c r="BT753" s="72">
        <v>0</v>
      </c>
      <c r="BU753" s="72">
        <v>0</v>
      </c>
      <c r="BV753" s="72">
        <v>0</v>
      </c>
      <c r="BW753" s="72">
        <v>0</v>
      </c>
      <c r="BX753" s="72">
        <v>0</v>
      </c>
      <c r="BY753" s="72">
        <v>0</v>
      </c>
      <c r="BZ753" s="72">
        <v>0</v>
      </c>
      <c r="CA753" s="72">
        <v>0</v>
      </c>
      <c r="CB753" s="72">
        <v>0</v>
      </c>
      <c r="CC753" s="72">
        <v>0</v>
      </c>
      <c r="CD753" s="72">
        <v>0</v>
      </c>
      <c r="CE753" s="72">
        <v>0</v>
      </c>
      <c r="CF753" s="72">
        <v>0</v>
      </c>
      <c r="CG753" s="72">
        <v>0</v>
      </c>
      <c r="CH753" s="72">
        <v>0</v>
      </c>
      <c r="CI753" s="72">
        <v>0</v>
      </c>
      <c r="CJ753" s="72">
        <v>0</v>
      </c>
      <c r="CK753" s="72">
        <v>0</v>
      </c>
      <c r="CL753" s="72">
        <v>0</v>
      </c>
      <c r="CM753" s="72">
        <v>0</v>
      </c>
      <c r="CN753" s="72">
        <v>0</v>
      </c>
      <c r="CO753" s="72">
        <v>0</v>
      </c>
      <c r="CP753" s="72">
        <v>0</v>
      </c>
      <c r="CQ753" s="72">
        <v>0</v>
      </c>
      <c r="CR753" s="72">
        <v>0</v>
      </c>
      <c r="CS753" s="72">
        <v>0</v>
      </c>
      <c r="CT753" s="72">
        <v>0</v>
      </c>
      <c r="CU753" s="72">
        <v>0</v>
      </c>
      <c r="CV753" s="72">
        <v>0</v>
      </c>
      <c r="CW753" s="72">
        <v>0</v>
      </c>
      <c r="CX753" s="72">
        <v>0</v>
      </c>
      <c r="CY753" s="72">
        <v>0</v>
      </c>
      <c r="CZ753" s="72">
        <v>0</v>
      </c>
      <c r="DA753" s="72">
        <v>0</v>
      </c>
      <c r="DB753" s="72">
        <v>0</v>
      </c>
      <c r="DC753" s="72">
        <v>0</v>
      </c>
      <c r="DD753" s="72">
        <v>0</v>
      </c>
      <c r="DE753" s="72">
        <v>0</v>
      </c>
      <c r="DF753" s="72">
        <v>0</v>
      </c>
      <c r="DG753" s="72">
        <v>0</v>
      </c>
      <c r="DH753" s="72">
        <v>0</v>
      </c>
      <c r="DI753" s="72">
        <v>0</v>
      </c>
      <c r="DJ753" s="72">
        <v>0</v>
      </c>
      <c r="DK753" s="72">
        <v>0</v>
      </c>
      <c r="DL753" s="72">
        <v>0</v>
      </c>
      <c r="DM753" s="72">
        <v>0</v>
      </c>
      <c r="DN753" s="72">
        <v>0</v>
      </c>
      <c r="DO753" s="72">
        <v>0</v>
      </c>
      <c r="DP753" s="72">
        <v>0</v>
      </c>
      <c r="DQ753" s="72">
        <v>0</v>
      </c>
      <c r="DR753" s="72">
        <v>0</v>
      </c>
      <c r="DS753" s="72">
        <v>0</v>
      </c>
      <c r="DT753" s="72">
        <v>0</v>
      </c>
      <c r="DU753" s="72">
        <v>0</v>
      </c>
      <c r="DV753" s="72">
        <v>0</v>
      </c>
      <c r="DW753" s="72">
        <v>0</v>
      </c>
      <c r="DX753" s="72">
        <v>0</v>
      </c>
      <c r="DY753" s="72">
        <v>0</v>
      </c>
      <c r="DZ753" s="72">
        <v>0</v>
      </c>
      <c r="EA753" s="72">
        <v>0</v>
      </c>
      <c r="EB753" s="72">
        <v>0</v>
      </c>
      <c r="EC753" s="72">
        <v>0</v>
      </c>
      <c r="ED753" s="72">
        <v>0</v>
      </c>
      <c r="EE753" s="72">
        <v>0</v>
      </c>
      <c r="EF753" s="72">
        <v>0</v>
      </c>
      <c r="EG753" s="72">
        <v>0</v>
      </c>
      <c r="EH753" s="72">
        <v>0</v>
      </c>
      <c r="EI753" s="72">
        <v>0</v>
      </c>
      <c r="EJ753" s="72">
        <v>0</v>
      </c>
      <c r="EK753" s="72">
        <v>0</v>
      </c>
      <c r="EL753" s="72">
        <v>0</v>
      </c>
    </row>
    <row r="754" spans="1:142" x14ac:dyDescent="0.35">
      <c r="A754" s="59">
        <f>Данные!A754</f>
        <v>6370</v>
      </c>
      <c r="B754" s="59">
        <f>Данные!B754</f>
        <v>2018</v>
      </c>
      <c r="C754" s="59" t="str">
        <f>Данные!C754</f>
        <v>компьютерных технологий и электронного обучения</v>
      </c>
      <c r="D754" s="59" t="str">
        <f>Данные!D754</f>
        <v>Жуков Николай Николаевич</v>
      </c>
      <c r="E754" s="59" t="str">
        <f>Данные!E754</f>
        <v>нет</v>
      </c>
      <c r="F754" s="59" t="str">
        <f>Данные!F754</f>
        <v>ассистент</v>
      </c>
      <c r="G754" s="59">
        <f>Данные!G754</f>
        <v>1</v>
      </c>
      <c r="H754" s="59">
        <f>Данные!H754</f>
        <v>17048</v>
      </c>
      <c r="I754" s="59" t="str">
        <f>Данные!I754</f>
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</c>
      <c r="J754" s="59">
        <f>Данные!J754</f>
        <v>0</v>
      </c>
      <c r="K754" s="59">
        <f>Данные!K754</f>
        <v>22</v>
      </c>
      <c r="L754" s="59">
        <f>Данные!L754</f>
        <v>0</v>
      </c>
      <c r="M754" s="60">
        <f t="shared" si="99"/>
        <v>2.2000000000000002</v>
      </c>
      <c r="N754" s="60">
        <f t="shared" ca="1" si="100"/>
        <v>5.3000000000000007</v>
      </c>
      <c r="O754" s="60">
        <f t="shared" ca="1" si="101"/>
        <v>2.5</v>
      </c>
      <c r="P754" s="60">
        <f t="shared" ca="1" si="102"/>
        <v>2.5</v>
      </c>
      <c r="Q754" s="54">
        <f>Данные!Q754</f>
        <v>0</v>
      </c>
      <c r="R754" s="54">
        <f>Данные!R754</f>
        <v>0</v>
      </c>
      <c r="S754" s="54">
        <f>Данные!S754</f>
        <v>0</v>
      </c>
      <c r="T754" s="54">
        <f>Данные!T754</f>
        <v>0</v>
      </c>
      <c r="U754" s="54">
        <f>Данные!U754</f>
        <v>0</v>
      </c>
      <c r="V754" s="54">
        <f>Данные!V754</f>
        <v>0</v>
      </c>
      <c r="W754" s="54">
        <f ca="1">Данные!W754</f>
        <v>10</v>
      </c>
      <c r="X754" s="54" t="str">
        <f ca="1">Данные!X754</f>
        <v>1</v>
      </c>
      <c r="Y754" s="54" t="str">
        <f ca="1">Данные!Y754</f>
        <v>1</v>
      </c>
      <c r="Z754" s="54">
        <f>Данные!Z754</f>
        <v>0</v>
      </c>
      <c r="AA754" s="54" t="str">
        <f>Данные!AA754</f>
        <v>осн</v>
      </c>
      <c r="AB754" s="101">
        <f t="shared" si="103"/>
        <v>900</v>
      </c>
      <c r="AC754" s="101" t="str">
        <f t="shared" si="104"/>
        <v>КЭО (маг)</v>
      </c>
      <c r="AD754" s="101" t="str">
        <f t="shared" si="105"/>
        <v/>
      </c>
      <c r="AE754" s="102">
        <f t="shared" ca="1" si="106"/>
        <v>34.5</v>
      </c>
      <c r="AF754" s="103">
        <f t="shared" ca="1" si="107"/>
        <v>3.833333333333333E-2</v>
      </c>
      <c r="AG754" s="101"/>
      <c r="AH754" s="101"/>
      <c r="BQ754" s="72">
        <v>0</v>
      </c>
      <c r="BR754" s="72">
        <v>0</v>
      </c>
      <c r="BS754" s="72">
        <v>0</v>
      </c>
      <c r="BT754" s="72">
        <v>0</v>
      </c>
      <c r="BU754" s="72">
        <v>0</v>
      </c>
      <c r="BV754" s="72">
        <v>0</v>
      </c>
      <c r="BW754" s="72">
        <v>0</v>
      </c>
      <c r="BX754" s="72">
        <v>0</v>
      </c>
      <c r="BY754" s="72">
        <v>0</v>
      </c>
      <c r="BZ754" s="72">
        <v>0</v>
      </c>
      <c r="CA754" s="72">
        <v>0</v>
      </c>
      <c r="CB754" s="72">
        <v>0</v>
      </c>
      <c r="CC754" s="72">
        <v>0</v>
      </c>
      <c r="CD754" s="72">
        <v>0</v>
      </c>
      <c r="CE754" s="72">
        <v>0</v>
      </c>
      <c r="CF754" s="72">
        <v>0</v>
      </c>
      <c r="CG754" s="72">
        <v>0</v>
      </c>
      <c r="CH754" s="72">
        <v>0</v>
      </c>
      <c r="CI754" s="72">
        <v>0</v>
      </c>
      <c r="CJ754" s="72">
        <v>0</v>
      </c>
      <c r="CK754" s="72">
        <v>0</v>
      </c>
      <c r="CL754" s="72">
        <v>0</v>
      </c>
      <c r="CM754" s="72">
        <v>0</v>
      </c>
      <c r="CN754" s="72">
        <v>0</v>
      </c>
      <c r="CO754" s="72">
        <v>0</v>
      </c>
      <c r="CP754" s="72">
        <v>0</v>
      </c>
      <c r="CQ754" s="72">
        <v>0</v>
      </c>
      <c r="CR754" s="72">
        <v>0</v>
      </c>
      <c r="CS754" s="72">
        <v>0</v>
      </c>
      <c r="CT754" s="72">
        <v>0</v>
      </c>
      <c r="CU754" s="72">
        <v>0</v>
      </c>
      <c r="CV754" s="72">
        <v>0</v>
      </c>
      <c r="CW754" s="72">
        <v>0</v>
      </c>
      <c r="CX754" s="72">
        <v>0</v>
      </c>
      <c r="CY754" s="72">
        <v>0</v>
      </c>
      <c r="CZ754" s="72">
        <v>0</v>
      </c>
      <c r="DA754" s="72">
        <v>0</v>
      </c>
      <c r="DB754" s="72">
        <v>0</v>
      </c>
      <c r="DC754" s="72">
        <v>0</v>
      </c>
      <c r="DD754" s="72">
        <v>0</v>
      </c>
      <c r="DE754" s="72">
        <v>0</v>
      </c>
      <c r="DF754" s="72">
        <v>0</v>
      </c>
      <c r="DG754" s="72">
        <v>0</v>
      </c>
      <c r="DH754" s="72">
        <v>0</v>
      </c>
      <c r="DI754" s="72">
        <v>0</v>
      </c>
      <c r="DJ754" s="72">
        <v>0</v>
      </c>
      <c r="DK754" s="72">
        <v>0</v>
      </c>
      <c r="DL754" s="72">
        <v>0</v>
      </c>
      <c r="DM754" s="72">
        <v>0</v>
      </c>
      <c r="DN754" s="72">
        <v>0</v>
      </c>
      <c r="DO754" s="72">
        <v>0</v>
      </c>
      <c r="DP754" s="72">
        <v>0</v>
      </c>
      <c r="DQ754" s="72">
        <v>0</v>
      </c>
      <c r="DR754" s="72">
        <v>0</v>
      </c>
      <c r="DS754" s="72">
        <v>0</v>
      </c>
      <c r="DT754" s="72">
        <v>0</v>
      </c>
      <c r="DU754" s="72">
        <v>0</v>
      </c>
      <c r="DV754" s="72">
        <v>0</v>
      </c>
      <c r="DW754" s="72">
        <v>0</v>
      </c>
      <c r="DX754" s="72">
        <v>0</v>
      </c>
      <c r="DY754" s="72">
        <v>0</v>
      </c>
      <c r="DZ754" s="72">
        <v>0</v>
      </c>
      <c r="EA754" s="72">
        <v>0</v>
      </c>
      <c r="EB754" s="72">
        <v>0</v>
      </c>
      <c r="EC754" s="72">
        <v>0</v>
      </c>
      <c r="ED754" s="72">
        <v>0</v>
      </c>
      <c r="EE754" s="72">
        <v>0</v>
      </c>
      <c r="EF754" s="72">
        <v>0</v>
      </c>
      <c r="EG754" s="72">
        <v>0</v>
      </c>
      <c r="EH754" s="72">
        <v>0</v>
      </c>
      <c r="EI754" s="72">
        <v>0</v>
      </c>
      <c r="EJ754" s="72">
        <v>0</v>
      </c>
      <c r="EK754" s="72">
        <v>0</v>
      </c>
      <c r="EL754" s="72">
        <v>0</v>
      </c>
    </row>
    <row r="755" spans="1:142" x14ac:dyDescent="0.35">
      <c r="A755" s="59">
        <f>Данные!A755</f>
        <v>6370</v>
      </c>
      <c r="B755" s="59">
        <f>Данные!B755</f>
        <v>2018</v>
      </c>
      <c r="C755" s="59" t="str">
        <f>Данные!C755</f>
        <v>компьютерных технологий и электронного обучения</v>
      </c>
      <c r="D755" s="59" t="str">
        <f>Данные!D755</f>
        <v>Жуков Николай Николаевич</v>
      </c>
      <c r="E755" s="59" t="str">
        <f>Данные!E755</f>
        <v>нет</v>
      </c>
      <c r="F755" s="59" t="str">
        <f>Данные!F755</f>
        <v>ассистент</v>
      </c>
      <c r="G755" s="59">
        <f>Данные!G755</f>
        <v>1</v>
      </c>
      <c r="H755" s="59">
        <f>Данные!H755</f>
        <v>17048</v>
      </c>
      <c r="I755" s="59" t="str">
        <f>Данные!I755</f>
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</c>
      <c r="J755" s="59">
        <f>Данные!J755</f>
        <v>0</v>
      </c>
      <c r="K755" s="59">
        <f>Данные!K755</f>
        <v>22</v>
      </c>
      <c r="L755" s="59">
        <f>Данные!L755</f>
        <v>0</v>
      </c>
      <c r="M755" s="60">
        <f t="shared" si="99"/>
        <v>2.2000000000000002</v>
      </c>
      <c r="N755" s="60">
        <f t="shared" ca="1" si="100"/>
        <v>5.3000000000000007</v>
      </c>
      <c r="O755" s="60">
        <f t="shared" ca="1" si="101"/>
        <v>2.5</v>
      </c>
      <c r="P755" s="60">
        <f t="shared" ca="1" si="102"/>
        <v>2.5</v>
      </c>
      <c r="Q755" s="54">
        <f>Данные!Q755</f>
        <v>0</v>
      </c>
      <c r="R755" s="54">
        <f>Данные!R755</f>
        <v>0</v>
      </c>
      <c r="S755" s="54">
        <f>Данные!S755</f>
        <v>0</v>
      </c>
      <c r="T755" s="54">
        <f>Данные!T755</f>
        <v>0</v>
      </c>
      <c r="U755" s="54">
        <f>Данные!U755</f>
        <v>0</v>
      </c>
      <c r="V755" s="54">
        <f>Данные!V755</f>
        <v>0</v>
      </c>
      <c r="W755" s="54">
        <f ca="1">Данные!W755</f>
        <v>10</v>
      </c>
      <c r="X755" s="54" t="str">
        <f ca="1">Данные!X755</f>
        <v>1</v>
      </c>
      <c r="Y755" s="54" t="str">
        <f ca="1">Данные!Y755</f>
        <v>1</v>
      </c>
      <c r="Z755" s="54">
        <f>Данные!Z755</f>
        <v>0</v>
      </c>
      <c r="AA755" s="54" t="str">
        <f>Данные!AA755</f>
        <v>осн</v>
      </c>
      <c r="AB755" s="101">
        <f t="shared" si="103"/>
        <v>900</v>
      </c>
      <c r="AC755" s="101" t="str">
        <f t="shared" si="104"/>
        <v>КЭО (маг)</v>
      </c>
      <c r="AD755" s="101" t="str">
        <f t="shared" si="105"/>
        <v/>
      </c>
      <c r="AE755" s="102">
        <f t="shared" ca="1" si="106"/>
        <v>34.5</v>
      </c>
      <c r="AF755" s="103">
        <f t="shared" ca="1" si="107"/>
        <v>3.833333333333333E-2</v>
      </c>
      <c r="AG755" s="101"/>
      <c r="AH755" s="101"/>
      <c r="BQ755" s="72">
        <v>0</v>
      </c>
      <c r="BR755" s="72">
        <v>0</v>
      </c>
      <c r="BS755" s="72">
        <v>0</v>
      </c>
      <c r="BT755" s="72">
        <v>0</v>
      </c>
      <c r="BU755" s="72">
        <v>0</v>
      </c>
      <c r="BV755" s="72">
        <v>0</v>
      </c>
      <c r="BW755" s="72">
        <v>0</v>
      </c>
      <c r="BX755" s="72">
        <v>0</v>
      </c>
      <c r="BY755" s="72">
        <v>0</v>
      </c>
      <c r="BZ755" s="72">
        <v>0</v>
      </c>
      <c r="CA755" s="72">
        <v>0</v>
      </c>
      <c r="CB755" s="72">
        <v>0</v>
      </c>
      <c r="CC755" s="72">
        <v>0</v>
      </c>
      <c r="CD755" s="72">
        <v>0</v>
      </c>
      <c r="CE755" s="72">
        <v>0</v>
      </c>
      <c r="CF755" s="72">
        <v>0</v>
      </c>
      <c r="CG755" s="72">
        <v>0</v>
      </c>
      <c r="CH755" s="72">
        <v>0</v>
      </c>
      <c r="CI755" s="72">
        <v>0</v>
      </c>
      <c r="CJ755" s="72">
        <v>0</v>
      </c>
      <c r="CK755" s="72">
        <v>0</v>
      </c>
      <c r="CL755" s="72">
        <v>0</v>
      </c>
      <c r="CM755" s="72">
        <v>0</v>
      </c>
      <c r="CN755" s="72">
        <v>0</v>
      </c>
      <c r="CO755" s="72">
        <v>0</v>
      </c>
      <c r="CP755" s="72">
        <v>0</v>
      </c>
      <c r="CQ755" s="72">
        <v>0</v>
      </c>
      <c r="CR755" s="72">
        <v>0</v>
      </c>
      <c r="CS755" s="72">
        <v>0</v>
      </c>
      <c r="CT755" s="72">
        <v>0</v>
      </c>
      <c r="CU755" s="72">
        <v>0</v>
      </c>
      <c r="CV755" s="72">
        <v>0</v>
      </c>
      <c r="CW755" s="72">
        <v>0</v>
      </c>
      <c r="CX755" s="72">
        <v>0</v>
      </c>
      <c r="CY755" s="72">
        <v>0</v>
      </c>
      <c r="CZ755" s="72">
        <v>0</v>
      </c>
      <c r="DA755" s="72">
        <v>0</v>
      </c>
      <c r="DB755" s="72">
        <v>0</v>
      </c>
      <c r="DC755" s="72">
        <v>0</v>
      </c>
      <c r="DD755" s="72">
        <v>0</v>
      </c>
      <c r="DE755" s="72">
        <v>0</v>
      </c>
      <c r="DF755" s="72">
        <v>0</v>
      </c>
      <c r="DG755" s="72">
        <v>0</v>
      </c>
      <c r="DH755" s="72">
        <v>0</v>
      </c>
      <c r="DI755" s="72">
        <v>0</v>
      </c>
      <c r="DJ755" s="72">
        <v>0</v>
      </c>
      <c r="DK755" s="72">
        <v>0</v>
      </c>
      <c r="DL755" s="72">
        <v>0</v>
      </c>
      <c r="DM755" s="72">
        <v>0</v>
      </c>
      <c r="DN755" s="72">
        <v>0</v>
      </c>
      <c r="DO755" s="72">
        <v>0</v>
      </c>
      <c r="DP755" s="72">
        <v>0</v>
      </c>
      <c r="DQ755" s="72">
        <v>0</v>
      </c>
      <c r="DR755" s="72">
        <v>0</v>
      </c>
      <c r="DS755" s="72">
        <v>0</v>
      </c>
      <c r="DT755" s="72">
        <v>0</v>
      </c>
      <c r="DU755" s="72">
        <v>0</v>
      </c>
      <c r="DV755" s="72">
        <v>0</v>
      </c>
      <c r="DW755" s="72">
        <v>0</v>
      </c>
      <c r="DX755" s="72">
        <v>0</v>
      </c>
      <c r="DY755" s="72">
        <v>0</v>
      </c>
      <c r="DZ755" s="72">
        <v>0</v>
      </c>
      <c r="EA755" s="72">
        <v>0</v>
      </c>
      <c r="EB755" s="72">
        <v>0</v>
      </c>
      <c r="EC755" s="72">
        <v>0</v>
      </c>
      <c r="ED755" s="72">
        <v>0</v>
      </c>
      <c r="EE755" s="72">
        <v>0</v>
      </c>
      <c r="EF755" s="72">
        <v>0</v>
      </c>
      <c r="EG755" s="72">
        <v>0</v>
      </c>
      <c r="EH755" s="72">
        <v>0</v>
      </c>
      <c r="EI755" s="72">
        <v>0</v>
      </c>
      <c r="EJ755" s="72">
        <v>0</v>
      </c>
      <c r="EK755" s="72">
        <v>0</v>
      </c>
      <c r="EL755" s="72">
        <v>0</v>
      </c>
    </row>
    <row r="756" spans="1:142" x14ac:dyDescent="0.35">
      <c r="A756" s="59">
        <f>Данные!A756</f>
        <v>6370</v>
      </c>
      <c r="B756" s="59">
        <f>Данные!B756</f>
        <v>2018</v>
      </c>
      <c r="C756" s="59" t="str">
        <f>Данные!C756</f>
        <v>компьютерных технологий и электронного обучения</v>
      </c>
      <c r="D756" s="59" t="str">
        <f>Данные!D756</f>
        <v>Жуков Николай Николаевич</v>
      </c>
      <c r="E756" s="59" t="str">
        <f>Данные!E756</f>
        <v>нет</v>
      </c>
      <c r="F756" s="59" t="str">
        <f>Данные!F756</f>
        <v>ассистент</v>
      </c>
      <c r="G756" s="59">
        <f>Данные!G756</f>
        <v>1</v>
      </c>
      <c r="H756" s="59">
        <f>Данные!H756</f>
        <v>17048</v>
      </c>
      <c r="I756" s="59" t="str">
        <f>Данные!I756</f>
        <v>Модуль "Инновационные методы и технологии корпоративного электронного обучения ". Мобильное корпоративное обучение</v>
      </c>
      <c r="J756" s="59">
        <f>Данные!J756</f>
        <v>0</v>
      </c>
      <c r="K756" s="59">
        <f>Данные!K756</f>
        <v>12</v>
      </c>
      <c r="L756" s="59">
        <f>Данные!L756</f>
        <v>0</v>
      </c>
      <c r="M756" s="60">
        <f t="shared" si="99"/>
        <v>1.2</v>
      </c>
      <c r="N756" s="60">
        <f t="shared" ca="1" si="100"/>
        <v>5.3000000000000007</v>
      </c>
      <c r="O756" s="60">
        <f t="shared" ca="1" si="101"/>
        <v>2.5</v>
      </c>
      <c r="P756" s="60">
        <f t="shared" ca="1" si="102"/>
        <v>2.5</v>
      </c>
      <c r="Q756" s="54">
        <f>Данные!Q756</f>
        <v>0</v>
      </c>
      <c r="R756" s="54">
        <f>Данные!R756</f>
        <v>0</v>
      </c>
      <c r="S756" s="54">
        <f>Данные!S756</f>
        <v>0</v>
      </c>
      <c r="T756" s="54">
        <f>Данные!T756</f>
        <v>0</v>
      </c>
      <c r="U756" s="54">
        <f>Данные!U756</f>
        <v>0</v>
      </c>
      <c r="V756" s="54">
        <f>Данные!V756</f>
        <v>0</v>
      </c>
      <c r="W756" s="54">
        <f ca="1">Данные!W756</f>
        <v>10</v>
      </c>
      <c r="X756" s="54" t="str">
        <f ca="1">Данные!X756</f>
        <v>1</v>
      </c>
      <c r="Y756" s="54" t="str">
        <f ca="1">Данные!Y756</f>
        <v>1</v>
      </c>
      <c r="Z756" s="54">
        <f>Данные!Z756</f>
        <v>0</v>
      </c>
      <c r="AA756" s="54" t="str">
        <f>Данные!AA756</f>
        <v>осн</v>
      </c>
      <c r="AB756" s="101">
        <f t="shared" si="103"/>
        <v>900</v>
      </c>
      <c r="AC756" s="101" t="str">
        <f t="shared" si="104"/>
        <v>КЭО (маг)</v>
      </c>
      <c r="AD756" s="101" t="str">
        <f t="shared" si="105"/>
        <v/>
      </c>
      <c r="AE756" s="102">
        <f t="shared" ca="1" si="106"/>
        <v>23.5</v>
      </c>
      <c r="AF756" s="103">
        <f t="shared" ca="1" si="107"/>
        <v>2.6111111111111113E-2</v>
      </c>
      <c r="AG756" s="101"/>
      <c r="AH756" s="101"/>
      <c r="BQ756" s="72">
        <v>0</v>
      </c>
      <c r="BR756" s="72">
        <v>0</v>
      </c>
      <c r="BS756" s="72">
        <v>0</v>
      </c>
      <c r="BT756" s="72">
        <v>0</v>
      </c>
      <c r="BU756" s="72">
        <v>0</v>
      </c>
      <c r="BV756" s="72">
        <v>0</v>
      </c>
      <c r="BW756" s="72">
        <v>0</v>
      </c>
      <c r="BX756" s="72">
        <v>0</v>
      </c>
      <c r="BY756" s="72">
        <v>0</v>
      </c>
      <c r="BZ756" s="72">
        <v>0</v>
      </c>
      <c r="CA756" s="72">
        <v>0</v>
      </c>
      <c r="CB756" s="72">
        <v>0</v>
      </c>
      <c r="CC756" s="72">
        <v>0</v>
      </c>
      <c r="CD756" s="72">
        <v>0</v>
      </c>
      <c r="CE756" s="72">
        <v>0</v>
      </c>
      <c r="CF756" s="72">
        <v>0</v>
      </c>
      <c r="CG756" s="72">
        <v>0</v>
      </c>
      <c r="CH756" s="72">
        <v>0</v>
      </c>
      <c r="CI756" s="72">
        <v>0</v>
      </c>
      <c r="CJ756" s="72">
        <v>0</v>
      </c>
      <c r="CK756" s="72">
        <v>0</v>
      </c>
      <c r="CL756" s="72">
        <v>0</v>
      </c>
      <c r="CM756" s="72">
        <v>0</v>
      </c>
      <c r="CN756" s="72">
        <v>0</v>
      </c>
      <c r="CO756" s="72">
        <v>0</v>
      </c>
      <c r="CP756" s="72">
        <v>0</v>
      </c>
      <c r="CQ756" s="72">
        <v>0</v>
      </c>
      <c r="CR756" s="72">
        <v>0</v>
      </c>
      <c r="CS756" s="72">
        <v>0</v>
      </c>
      <c r="CT756" s="72">
        <v>0</v>
      </c>
      <c r="CU756" s="72">
        <v>0</v>
      </c>
      <c r="CV756" s="72">
        <v>0</v>
      </c>
      <c r="CW756" s="72">
        <v>0</v>
      </c>
      <c r="CX756" s="72">
        <v>0</v>
      </c>
      <c r="CY756" s="72">
        <v>0</v>
      </c>
      <c r="CZ756" s="72">
        <v>0</v>
      </c>
      <c r="DA756" s="72">
        <v>0</v>
      </c>
      <c r="DB756" s="72">
        <v>0</v>
      </c>
      <c r="DC756" s="72">
        <v>0</v>
      </c>
      <c r="DD756" s="72">
        <v>0</v>
      </c>
      <c r="DE756" s="72">
        <v>0</v>
      </c>
      <c r="DF756" s="72">
        <v>0</v>
      </c>
      <c r="DG756" s="72">
        <v>0</v>
      </c>
      <c r="DH756" s="72">
        <v>0</v>
      </c>
      <c r="DI756" s="72">
        <v>0</v>
      </c>
      <c r="DJ756" s="72">
        <v>0</v>
      </c>
      <c r="DK756" s="72">
        <v>0</v>
      </c>
      <c r="DL756" s="72">
        <v>0</v>
      </c>
      <c r="DM756" s="72">
        <v>0</v>
      </c>
      <c r="DN756" s="72">
        <v>0</v>
      </c>
      <c r="DO756" s="72">
        <v>0</v>
      </c>
      <c r="DP756" s="72">
        <v>0</v>
      </c>
      <c r="DQ756" s="72">
        <v>0</v>
      </c>
      <c r="DR756" s="72">
        <v>0</v>
      </c>
      <c r="DS756" s="72">
        <v>0</v>
      </c>
      <c r="DT756" s="72">
        <v>0</v>
      </c>
      <c r="DU756" s="72">
        <v>0</v>
      </c>
      <c r="DV756" s="72">
        <v>0</v>
      </c>
      <c r="DW756" s="72">
        <v>0</v>
      </c>
      <c r="DX756" s="72">
        <v>0</v>
      </c>
      <c r="DY756" s="72">
        <v>0</v>
      </c>
      <c r="DZ756" s="72">
        <v>0</v>
      </c>
      <c r="EA756" s="72">
        <v>0</v>
      </c>
      <c r="EB756" s="72">
        <v>0</v>
      </c>
      <c r="EC756" s="72">
        <v>0</v>
      </c>
      <c r="ED756" s="72">
        <v>0</v>
      </c>
      <c r="EE756" s="72">
        <v>0</v>
      </c>
      <c r="EF756" s="72">
        <v>0</v>
      </c>
      <c r="EG756" s="72">
        <v>0</v>
      </c>
      <c r="EH756" s="72">
        <v>0</v>
      </c>
      <c r="EI756" s="72">
        <v>0</v>
      </c>
      <c r="EJ756" s="72">
        <v>0</v>
      </c>
      <c r="EK756" s="72">
        <v>0</v>
      </c>
      <c r="EL756" s="72">
        <v>0</v>
      </c>
    </row>
    <row r="757" spans="1:142" x14ac:dyDescent="0.35">
      <c r="A757" s="59">
        <f>Данные!A757</f>
        <v>6370</v>
      </c>
      <c r="B757" s="59">
        <f>Данные!B757</f>
        <v>2018</v>
      </c>
      <c r="C757" s="59" t="str">
        <f>Данные!C757</f>
        <v>компьютерных технологий и электронного обучения</v>
      </c>
      <c r="D757" s="59" t="str">
        <f>Данные!D757</f>
        <v>Жуков Николай Николаевич</v>
      </c>
      <c r="E757" s="59" t="str">
        <f>Данные!E757</f>
        <v>нет</v>
      </c>
      <c r="F757" s="59" t="str">
        <f>Данные!F757</f>
        <v>ассистент</v>
      </c>
      <c r="G757" s="59">
        <f>Данные!G757</f>
        <v>1</v>
      </c>
      <c r="H757" s="59">
        <f>Данные!H757</f>
        <v>17048</v>
      </c>
      <c r="I757" s="59" t="str">
        <f>Данные!I757</f>
        <v>Модуль "Прикладные информационные технологии в образовательном процессе". E-learning решения управления знаниями в образовательных учреждениях</v>
      </c>
      <c r="J757" s="59">
        <f>Данные!J757</f>
        <v>0</v>
      </c>
      <c r="K757" s="59">
        <f>Данные!K757</f>
        <v>16</v>
      </c>
      <c r="L757" s="59">
        <f>Данные!L757</f>
        <v>0</v>
      </c>
      <c r="M757" s="60">
        <f t="shared" si="99"/>
        <v>1.6</v>
      </c>
      <c r="N757" s="60">
        <f t="shared" ca="1" si="100"/>
        <v>5.3000000000000007</v>
      </c>
      <c r="O757" s="60">
        <f t="shared" ca="1" si="101"/>
        <v>2.5</v>
      </c>
      <c r="P757" s="60">
        <f t="shared" ca="1" si="102"/>
        <v>2.5</v>
      </c>
      <c r="Q757" s="54">
        <f>Данные!Q757</f>
        <v>0</v>
      </c>
      <c r="R757" s="54">
        <f>Данные!R757</f>
        <v>0</v>
      </c>
      <c r="S757" s="54">
        <f>Данные!S757</f>
        <v>0</v>
      </c>
      <c r="T757" s="54">
        <f>Данные!T757</f>
        <v>0</v>
      </c>
      <c r="U757" s="54">
        <f>Данные!U757</f>
        <v>0</v>
      </c>
      <c r="V757" s="54">
        <f>Данные!V757</f>
        <v>0</v>
      </c>
      <c r="W757" s="54">
        <f ca="1">Данные!W757</f>
        <v>10</v>
      </c>
      <c r="X757" s="54" t="str">
        <f ca="1">Данные!X757</f>
        <v>1</v>
      </c>
      <c r="Y757" s="54" t="str">
        <f ca="1">Данные!Y757</f>
        <v>1</v>
      </c>
      <c r="Z757" s="54">
        <f>Данные!Z757</f>
        <v>0</v>
      </c>
      <c r="AA757" s="54" t="str">
        <f>Данные!AA757</f>
        <v>доп</v>
      </c>
      <c r="AB757" s="101">
        <f t="shared" si="103"/>
        <v>900</v>
      </c>
      <c r="AC757" s="101" t="str">
        <f t="shared" si="104"/>
        <v>КЭО (маг)</v>
      </c>
      <c r="AD757" s="101" t="str">
        <f t="shared" si="105"/>
        <v/>
      </c>
      <c r="AE757" s="102">
        <f t="shared" ca="1" si="106"/>
        <v>27.900000000000002</v>
      </c>
      <c r="AF757" s="103">
        <f t="shared" ca="1" si="107"/>
        <v>3.1000000000000003E-2</v>
      </c>
      <c r="AG757" s="101"/>
      <c r="AH757" s="101"/>
      <c r="BQ757" s="72">
        <v>0</v>
      </c>
      <c r="BR757" s="72">
        <v>0</v>
      </c>
      <c r="BS757" s="72">
        <v>0</v>
      </c>
      <c r="BT757" s="72">
        <v>0</v>
      </c>
      <c r="BU757" s="72">
        <v>0</v>
      </c>
      <c r="BV757" s="72">
        <v>0</v>
      </c>
      <c r="BW757" s="72">
        <v>0</v>
      </c>
      <c r="BX757" s="72">
        <v>0</v>
      </c>
      <c r="BY757" s="72">
        <v>0</v>
      </c>
      <c r="BZ757" s="72">
        <v>0</v>
      </c>
      <c r="CA757" s="72">
        <v>0</v>
      </c>
      <c r="CB757" s="72">
        <v>0</v>
      </c>
      <c r="CC757" s="72">
        <v>0</v>
      </c>
      <c r="CD757" s="72">
        <v>0</v>
      </c>
      <c r="CE757" s="72">
        <v>0</v>
      </c>
      <c r="CF757" s="72">
        <v>0</v>
      </c>
      <c r="CG757" s="72">
        <v>0</v>
      </c>
      <c r="CH757" s="72">
        <v>0</v>
      </c>
      <c r="CI757" s="72">
        <v>0</v>
      </c>
      <c r="CJ757" s="72">
        <v>0</v>
      </c>
      <c r="CK757" s="72">
        <v>0</v>
      </c>
      <c r="CL757" s="72">
        <v>0</v>
      </c>
      <c r="CM757" s="72">
        <v>0</v>
      </c>
      <c r="CN757" s="72">
        <v>0</v>
      </c>
      <c r="CO757" s="72">
        <v>0</v>
      </c>
      <c r="CP757" s="72">
        <v>0</v>
      </c>
      <c r="CQ757" s="72">
        <v>0</v>
      </c>
      <c r="CR757" s="72">
        <v>0</v>
      </c>
      <c r="CS757" s="72">
        <v>0</v>
      </c>
      <c r="CT757" s="72">
        <v>0</v>
      </c>
      <c r="CU757" s="72">
        <v>0</v>
      </c>
      <c r="CV757" s="72">
        <v>0</v>
      </c>
      <c r="CW757" s="72">
        <v>0</v>
      </c>
      <c r="CX757" s="72">
        <v>0</v>
      </c>
      <c r="CY757" s="72">
        <v>0</v>
      </c>
      <c r="CZ757" s="72">
        <v>0</v>
      </c>
      <c r="DA757" s="72">
        <v>0</v>
      </c>
      <c r="DB757" s="72">
        <v>0</v>
      </c>
      <c r="DC757" s="72">
        <v>0</v>
      </c>
      <c r="DD757" s="72">
        <v>0</v>
      </c>
      <c r="DE757" s="72">
        <v>0</v>
      </c>
      <c r="DF757" s="72">
        <v>0</v>
      </c>
      <c r="DG757" s="72">
        <v>0</v>
      </c>
      <c r="DH757" s="72">
        <v>0</v>
      </c>
      <c r="DI757" s="72">
        <v>0</v>
      </c>
      <c r="DJ757" s="72">
        <v>0</v>
      </c>
      <c r="DK757" s="72">
        <v>0</v>
      </c>
      <c r="DL757" s="72">
        <v>0</v>
      </c>
      <c r="DM757" s="72">
        <v>0</v>
      </c>
      <c r="DN757" s="72">
        <v>0</v>
      </c>
      <c r="DO757" s="72">
        <v>0</v>
      </c>
      <c r="DP757" s="72">
        <v>0</v>
      </c>
      <c r="DQ757" s="72">
        <v>0</v>
      </c>
      <c r="DR757" s="72">
        <v>0</v>
      </c>
      <c r="DS757" s="72">
        <v>0</v>
      </c>
      <c r="DT757" s="72">
        <v>0</v>
      </c>
      <c r="DU757" s="72">
        <v>0</v>
      </c>
      <c r="DV757" s="72">
        <v>0</v>
      </c>
      <c r="DW757" s="72">
        <v>0</v>
      </c>
      <c r="DX757" s="72">
        <v>0</v>
      </c>
      <c r="DY757" s="72">
        <v>0</v>
      </c>
      <c r="DZ757" s="72">
        <v>0</v>
      </c>
      <c r="EA757" s="72">
        <v>0</v>
      </c>
      <c r="EB757" s="72">
        <v>0</v>
      </c>
      <c r="EC757" s="72">
        <v>0</v>
      </c>
      <c r="ED757" s="72">
        <v>0</v>
      </c>
      <c r="EE757" s="72">
        <v>0</v>
      </c>
      <c r="EF757" s="72">
        <v>0</v>
      </c>
      <c r="EG757" s="72">
        <v>0</v>
      </c>
      <c r="EH757" s="72">
        <v>0</v>
      </c>
      <c r="EI757" s="72">
        <v>0</v>
      </c>
      <c r="EJ757" s="72">
        <v>0</v>
      </c>
      <c r="EK757" s="72">
        <v>0</v>
      </c>
      <c r="EL757" s="72">
        <v>0</v>
      </c>
    </row>
    <row r="758" spans="1:142" x14ac:dyDescent="0.35">
      <c r="A758" s="59">
        <f>Данные!A758</f>
        <v>6370</v>
      </c>
      <c r="B758" s="59">
        <f>Данные!B758</f>
        <v>2018</v>
      </c>
      <c r="C758" s="59" t="str">
        <f>Данные!C758</f>
        <v>компьютерных технологий и электронного обучения</v>
      </c>
      <c r="D758" s="59" t="str">
        <f>Данные!D758</f>
        <v>Жуков Николай Николаевич</v>
      </c>
      <c r="E758" s="59" t="str">
        <f>Данные!E758</f>
        <v>нет</v>
      </c>
      <c r="F758" s="59" t="str">
        <f>Данные!F758</f>
        <v>ассистент</v>
      </c>
      <c r="G758" s="59">
        <f>Данные!G758</f>
        <v>1</v>
      </c>
      <c r="H758" s="59">
        <f>Данные!H758</f>
        <v>17048</v>
      </c>
      <c r="I758" s="59" t="str">
        <f>Данные!I758</f>
        <v>Модуль "Теория и практика корпоративного электронного обучения". Методы и инструменты корпоративного электронного обучения</v>
      </c>
      <c r="J758" s="59">
        <f>Данные!J758</f>
        <v>0</v>
      </c>
      <c r="K758" s="59">
        <f>Данные!K758</f>
        <v>22</v>
      </c>
      <c r="L758" s="59">
        <f>Данные!L758</f>
        <v>0</v>
      </c>
      <c r="M758" s="60">
        <f t="shared" si="99"/>
        <v>2.2000000000000002</v>
      </c>
      <c r="N758" s="60">
        <f t="shared" ca="1" si="100"/>
        <v>5.3000000000000007</v>
      </c>
      <c r="O758" s="60">
        <f t="shared" ca="1" si="101"/>
        <v>2.5</v>
      </c>
      <c r="P758" s="60">
        <f t="shared" ca="1" si="102"/>
        <v>2.5</v>
      </c>
      <c r="Q758" s="54">
        <f>Данные!Q758</f>
        <v>0</v>
      </c>
      <c r="R758" s="54">
        <f>Данные!R758</f>
        <v>0</v>
      </c>
      <c r="S758" s="54">
        <f>Данные!S758</f>
        <v>0</v>
      </c>
      <c r="T758" s="54">
        <f>Данные!T758</f>
        <v>0</v>
      </c>
      <c r="U758" s="54">
        <f>Данные!U758</f>
        <v>0</v>
      </c>
      <c r="V758" s="54">
        <f>Данные!V758</f>
        <v>0</v>
      </c>
      <c r="W758" s="54">
        <f ca="1">Данные!W758</f>
        <v>10</v>
      </c>
      <c r="X758" s="54" t="str">
        <f ca="1">Данные!X758</f>
        <v>1</v>
      </c>
      <c r="Y758" s="54" t="str">
        <f ca="1">Данные!Y758</f>
        <v>1</v>
      </c>
      <c r="Z758" s="54">
        <f>Данные!Z758</f>
        <v>0</v>
      </c>
      <c r="AA758" s="54" t="str">
        <f>Данные!AA758</f>
        <v>осн</v>
      </c>
      <c r="AB758" s="101">
        <f t="shared" si="103"/>
        <v>900</v>
      </c>
      <c r="AC758" s="101" t="str">
        <f t="shared" si="104"/>
        <v>КЭО (маг)</v>
      </c>
      <c r="AD758" s="101" t="str">
        <f t="shared" si="105"/>
        <v/>
      </c>
      <c r="AE758" s="102">
        <f t="shared" ca="1" si="106"/>
        <v>34.5</v>
      </c>
      <c r="AF758" s="103">
        <f t="shared" ca="1" si="107"/>
        <v>3.833333333333333E-2</v>
      </c>
      <c r="AG758" s="101"/>
      <c r="AH758" s="101"/>
      <c r="BQ758" s="72">
        <v>0</v>
      </c>
      <c r="BR758" s="72">
        <v>0</v>
      </c>
      <c r="BS758" s="72">
        <v>0</v>
      </c>
      <c r="BT758" s="72">
        <v>0</v>
      </c>
      <c r="BU758" s="72">
        <v>0</v>
      </c>
      <c r="BV758" s="72">
        <v>0</v>
      </c>
      <c r="BW758" s="72">
        <v>0</v>
      </c>
      <c r="BX758" s="72">
        <v>0</v>
      </c>
      <c r="BY758" s="72">
        <v>0</v>
      </c>
      <c r="BZ758" s="72">
        <v>0</v>
      </c>
      <c r="CA758" s="72">
        <v>0</v>
      </c>
      <c r="CB758" s="72">
        <v>0</v>
      </c>
      <c r="CC758" s="72">
        <v>0</v>
      </c>
      <c r="CD758" s="72">
        <v>0</v>
      </c>
      <c r="CE758" s="72">
        <v>0</v>
      </c>
      <c r="CF758" s="72">
        <v>0</v>
      </c>
      <c r="CG758" s="72">
        <v>0</v>
      </c>
      <c r="CH758" s="72">
        <v>0</v>
      </c>
      <c r="CI758" s="72">
        <v>0</v>
      </c>
      <c r="CJ758" s="72">
        <v>0</v>
      </c>
      <c r="CK758" s="72">
        <v>0</v>
      </c>
      <c r="CL758" s="72">
        <v>0</v>
      </c>
      <c r="CM758" s="72">
        <v>0</v>
      </c>
      <c r="CN758" s="72">
        <v>0</v>
      </c>
      <c r="CO758" s="72">
        <v>0</v>
      </c>
      <c r="CP758" s="72">
        <v>0</v>
      </c>
      <c r="CQ758" s="72">
        <v>0</v>
      </c>
      <c r="CR758" s="72">
        <v>0</v>
      </c>
      <c r="CS758" s="72">
        <v>0</v>
      </c>
      <c r="CT758" s="72">
        <v>0</v>
      </c>
      <c r="CU758" s="72">
        <v>0</v>
      </c>
      <c r="CV758" s="72">
        <v>0</v>
      </c>
      <c r="CW758" s="72">
        <v>0</v>
      </c>
      <c r="CX758" s="72">
        <v>0</v>
      </c>
      <c r="CY758" s="72">
        <v>0</v>
      </c>
      <c r="CZ758" s="72">
        <v>0</v>
      </c>
      <c r="DA758" s="72">
        <v>0</v>
      </c>
      <c r="DB758" s="72">
        <v>0</v>
      </c>
      <c r="DC758" s="72">
        <v>0</v>
      </c>
      <c r="DD758" s="72">
        <v>0</v>
      </c>
      <c r="DE758" s="72">
        <v>0</v>
      </c>
      <c r="DF758" s="72">
        <v>0</v>
      </c>
      <c r="DG758" s="72">
        <v>0</v>
      </c>
      <c r="DH758" s="72">
        <v>0</v>
      </c>
      <c r="DI758" s="72">
        <v>0</v>
      </c>
      <c r="DJ758" s="72">
        <v>0</v>
      </c>
      <c r="DK758" s="72">
        <v>0</v>
      </c>
      <c r="DL758" s="72">
        <v>0</v>
      </c>
      <c r="DM758" s="72">
        <v>0</v>
      </c>
      <c r="DN758" s="72">
        <v>0</v>
      </c>
      <c r="DO758" s="72">
        <v>0</v>
      </c>
      <c r="DP758" s="72">
        <v>0</v>
      </c>
      <c r="DQ758" s="72">
        <v>0</v>
      </c>
      <c r="DR758" s="72">
        <v>0</v>
      </c>
      <c r="DS758" s="72">
        <v>0</v>
      </c>
      <c r="DT758" s="72">
        <v>0</v>
      </c>
      <c r="DU758" s="72">
        <v>0</v>
      </c>
      <c r="DV758" s="72">
        <v>0</v>
      </c>
      <c r="DW758" s="72">
        <v>0</v>
      </c>
      <c r="DX758" s="72">
        <v>0</v>
      </c>
      <c r="DY758" s="72">
        <v>0</v>
      </c>
      <c r="DZ758" s="72">
        <v>0</v>
      </c>
      <c r="EA758" s="72">
        <v>0</v>
      </c>
      <c r="EB758" s="72">
        <v>0</v>
      </c>
      <c r="EC758" s="72">
        <v>0</v>
      </c>
      <c r="ED758" s="72">
        <v>0</v>
      </c>
      <c r="EE758" s="72">
        <v>0</v>
      </c>
      <c r="EF758" s="72">
        <v>0</v>
      </c>
      <c r="EG758" s="72">
        <v>0</v>
      </c>
      <c r="EH758" s="72">
        <v>0</v>
      </c>
      <c r="EI758" s="72">
        <v>0</v>
      </c>
      <c r="EJ758" s="72">
        <v>0</v>
      </c>
      <c r="EK758" s="72">
        <v>0</v>
      </c>
      <c r="EL758" s="72">
        <v>0</v>
      </c>
    </row>
    <row r="759" spans="1:142" x14ac:dyDescent="0.35">
      <c r="A759" s="59">
        <f>Данные!A759</f>
        <v>6370</v>
      </c>
      <c r="B759" s="59">
        <f>Данные!B759</f>
        <v>2018</v>
      </c>
      <c r="C759" s="59" t="str">
        <f>Данные!C759</f>
        <v>компьютерных технологий и электронного обучения</v>
      </c>
      <c r="D759" s="59" t="str">
        <f>Данные!D759</f>
        <v>Иванова Екатерина Алексеевна</v>
      </c>
      <c r="E759" s="59" t="str">
        <f>Данные!E759</f>
        <v>нет</v>
      </c>
      <c r="F759" s="59" t="str">
        <f>Данные!F759</f>
        <v>ассистент</v>
      </c>
      <c r="G759" s="59">
        <f>Данные!G759</f>
        <v>0.25</v>
      </c>
      <c r="H759" s="59">
        <f>Данные!H759</f>
        <v>17048</v>
      </c>
      <c r="I759" s="59" t="str">
        <f>Данные!I759</f>
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</c>
      <c r="J759" s="59">
        <f>Данные!J759</f>
        <v>0</v>
      </c>
      <c r="K759" s="59">
        <f>Данные!K759</f>
        <v>14</v>
      </c>
      <c r="L759" s="59">
        <f>Данные!L759</f>
        <v>0</v>
      </c>
      <c r="M759" s="60">
        <f t="shared" si="99"/>
        <v>1.4</v>
      </c>
      <c r="N759" s="60">
        <f t="shared" ca="1" si="100"/>
        <v>5.3000000000000007</v>
      </c>
      <c r="O759" s="60">
        <f t="shared" ca="1" si="101"/>
        <v>2.5</v>
      </c>
      <c r="P759" s="60">
        <f t="shared" ca="1" si="102"/>
        <v>2.5</v>
      </c>
      <c r="Q759" s="54">
        <f>Данные!Q759</f>
        <v>0</v>
      </c>
      <c r="R759" s="54">
        <f>Данные!R759</f>
        <v>0</v>
      </c>
      <c r="S759" s="54">
        <f>Данные!S759</f>
        <v>0</v>
      </c>
      <c r="T759" s="54">
        <f>Данные!T759</f>
        <v>0</v>
      </c>
      <c r="U759" s="54">
        <f>Данные!U759</f>
        <v>0</v>
      </c>
      <c r="V759" s="54">
        <f>Данные!V759</f>
        <v>0</v>
      </c>
      <c r="W759" s="54">
        <f ca="1">Данные!W759</f>
        <v>10</v>
      </c>
      <c r="X759" s="54" t="str">
        <f ca="1">Данные!X759</f>
        <v>1</v>
      </c>
      <c r="Y759" s="54" t="str">
        <f ca="1">Данные!Y759</f>
        <v>1</v>
      </c>
      <c r="Z759" s="54">
        <f>Данные!Z759</f>
        <v>0</v>
      </c>
      <c r="AA759" s="54" t="str">
        <f>Данные!AA759</f>
        <v>осн</v>
      </c>
      <c r="AB759" s="101">
        <f t="shared" si="103"/>
        <v>900</v>
      </c>
      <c r="AC759" s="101" t="str">
        <f t="shared" si="104"/>
        <v>КЭО (маг)</v>
      </c>
      <c r="AD759" s="101" t="str">
        <f t="shared" si="105"/>
        <v/>
      </c>
      <c r="AE759" s="102">
        <f t="shared" ca="1" si="106"/>
        <v>25.700000000000003</v>
      </c>
      <c r="AF759" s="103">
        <f t="shared" ca="1" si="107"/>
        <v>2.855555555555556E-2</v>
      </c>
      <c r="AG759" s="101"/>
      <c r="AH759" s="101"/>
      <c r="BQ759" s="72">
        <v>0</v>
      </c>
      <c r="BR759" s="72">
        <v>0</v>
      </c>
      <c r="BS759" s="72">
        <v>0</v>
      </c>
      <c r="BT759" s="72">
        <v>0</v>
      </c>
      <c r="BU759" s="72">
        <v>0</v>
      </c>
      <c r="BV759" s="72">
        <v>0</v>
      </c>
      <c r="BW759" s="72">
        <v>0</v>
      </c>
      <c r="BX759" s="72">
        <v>0</v>
      </c>
      <c r="BY759" s="72">
        <v>0</v>
      </c>
      <c r="BZ759" s="72">
        <v>0</v>
      </c>
      <c r="CA759" s="72">
        <v>0</v>
      </c>
      <c r="CB759" s="72">
        <v>0</v>
      </c>
      <c r="CC759" s="72">
        <v>0</v>
      </c>
      <c r="CD759" s="72">
        <v>0</v>
      </c>
      <c r="CE759" s="72">
        <v>0</v>
      </c>
      <c r="CF759" s="72">
        <v>0</v>
      </c>
      <c r="CG759" s="72">
        <v>0</v>
      </c>
      <c r="CH759" s="72">
        <v>0</v>
      </c>
      <c r="CI759" s="72">
        <v>0</v>
      </c>
      <c r="CJ759" s="72">
        <v>0</v>
      </c>
      <c r="CK759" s="72">
        <v>0</v>
      </c>
      <c r="CL759" s="72">
        <v>0</v>
      </c>
      <c r="CM759" s="72">
        <v>0</v>
      </c>
      <c r="CN759" s="72">
        <v>0</v>
      </c>
      <c r="CO759" s="72">
        <v>0</v>
      </c>
      <c r="CP759" s="72">
        <v>0</v>
      </c>
      <c r="CQ759" s="72">
        <v>0</v>
      </c>
      <c r="CR759" s="72">
        <v>0</v>
      </c>
      <c r="CS759" s="72">
        <v>0</v>
      </c>
      <c r="CT759" s="72">
        <v>0</v>
      </c>
      <c r="CU759" s="72">
        <v>0</v>
      </c>
      <c r="CV759" s="72">
        <v>0</v>
      </c>
      <c r="CW759" s="72">
        <v>0</v>
      </c>
      <c r="CX759" s="72">
        <v>0</v>
      </c>
      <c r="CY759" s="72">
        <v>0</v>
      </c>
      <c r="CZ759" s="72">
        <v>0</v>
      </c>
      <c r="DA759" s="72">
        <v>0</v>
      </c>
      <c r="DB759" s="72">
        <v>0</v>
      </c>
      <c r="DC759" s="72">
        <v>0</v>
      </c>
      <c r="DD759" s="72">
        <v>0</v>
      </c>
      <c r="DE759" s="72">
        <v>0</v>
      </c>
      <c r="DF759" s="72">
        <v>0</v>
      </c>
      <c r="DG759" s="72">
        <v>0</v>
      </c>
      <c r="DH759" s="72">
        <v>0</v>
      </c>
      <c r="DI759" s="72">
        <v>0</v>
      </c>
      <c r="DJ759" s="72">
        <v>0</v>
      </c>
      <c r="DK759" s="72">
        <v>0</v>
      </c>
      <c r="DL759" s="72">
        <v>0</v>
      </c>
      <c r="DM759" s="72">
        <v>0</v>
      </c>
      <c r="DN759" s="72">
        <v>0</v>
      </c>
      <c r="DO759" s="72">
        <v>0</v>
      </c>
      <c r="DP759" s="72">
        <v>0</v>
      </c>
      <c r="DQ759" s="72">
        <v>0</v>
      </c>
      <c r="DR759" s="72">
        <v>0</v>
      </c>
      <c r="DS759" s="72">
        <v>0</v>
      </c>
      <c r="DT759" s="72">
        <v>0</v>
      </c>
      <c r="DU759" s="72">
        <v>0</v>
      </c>
      <c r="DV759" s="72">
        <v>0</v>
      </c>
      <c r="DW759" s="72">
        <v>0</v>
      </c>
      <c r="DX759" s="72">
        <v>0</v>
      </c>
      <c r="DY759" s="72">
        <v>0</v>
      </c>
      <c r="DZ759" s="72">
        <v>0</v>
      </c>
      <c r="EA759" s="72">
        <v>0</v>
      </c>
      <c r="EB759" s="72">
        <v>0</v>
      </c>
      <c r="EC759" s="72">
        <v>0</v>
      </c>
      <c r="ED759" s="72">
        <v>0</v>
      </c>
      <c r="EE759" s="72">
        <v>0</v>
      </c>
      <c r="EF759" s="72">
        <v>0</v>
      </c>
      <c r="EG759" s="72">
        <v>0</v>
      </c>
      <c r="EH759" s="72">
        <v>0</v>
      </c>
      <c r="EI759" s="72">
        <v>0</v>
      </c>
      <c r="EJ759" s="72">
        <v>0</v>
      </c>
      <c r="EK759" s="72">
        <v>0</v>
      </c>
      <c r="EL759" s="72">
        <v>0</v>
      </c>
    </row>
    <row r="760" spans="1:142" s="6" customFormat="1" x14ac:dyDescent="0.35">
      <c r="A760" s="59">
        <f>Данные!A760</f>
        <v>6370</v>
      </c>
      <c r="B760" s="59">
        <f>Данные!B760</f>
        <v>2018</v>
      </c>
      <c r="C760" s="59" t="str">
        <f>Данные!C760</f>
        <v>компьютерных технологий и электронного обучения</v>
      </c>
      <c r="D760" s="59" t="str">
        <f>Данные!D760</f>
        <v>Ильина Татьяна Сергеевна</v>
      </c>
      <c r="E760" s="59" t="str">
        <f>Данные!E760</f>
        <v>нет</v>
      </c>
      <c r="F760" s="59" t="str">
        <f>Данные!F760</f>
        <v>старший преподаватель</v>
      </c>
      <c r="G760" s="59">
        <f>Данные!G760</f>
        <v>1</v>
      </c>
      <c r="H760" s="59">
        <f>Данные!H760</f>
        <v>17048</v>
      </c>
      <c r="I760" s="59" t="str">
        <f>Данные!I760</f>
        <v>Модуль "Прикладные информационные технологии в образовательном процессе". Техника и технологии представления и публикации информации</v>
      </c>
      <c r="J760" s="59">
        <f>Данные!J760</f>
        <v>0</v>
      </c>
      <c r="K760" s="59">
        <f>Данные!K760</f>
        <v>9</v>
      </c>
      <c r="L760" s="59">
        <f>Данные!L760</f>
        <v>0</v>
      </c>
      <c r="M760" s="60">
        <f t="shared" si="99"/>
        <v>0.9</v>
      </c>
      <c r="N760" s="60">
        <f t="shared" ca="1" si="100"/>
        <v>5.3000000000000007</v>
      </c>
      <c r="O760" s="60">
        <f t="shared" ca="1" si="101"/>
        <v>2.5</v>
      </c>
      <c r="P760" s="60">
        <f t="shared" ca="1" si="102"/>
        <v>2.5</v>
      </c>
      <c r="Q760" s="54">
        <f>Данные!Q760</f>
        <v>0</v>
      </c>
      <c r="R760" s="54">
        <f>Данные!R760</f>
        <v>0</v>
      </c>
      <c r="S760" s="54">
        <f>Данные!S760</f>
        <v>0</v>
      </c>
      <c r="T760" s="54">
        <f>Данные!T760</f>
        <v>0</v>
      </c>
      <c r="U760" s="54">
        <f>Данные!U760</f>
        <v>0</v>
      </c>
      <c r="V760" s="54">
        <f>Данные!V760</f>
        <v>0</v>
      </c>
      <c r="W760" s="54">
        <f ca="1">Данные!W760</f>
        <v>10</v>
      </c>
      <c r="X760" s="54" t="str">
        <f ca="1">Данные!X760</f>
        <v>1</v>
      </c>
      <c r="Y760" s="54" t="str">
        <f ca="1">Данные!Y760</f>
        <v>1</v>
      </c>
      <c r="Z760" s="54">
        <f>Данные!Z760</f>
        <v>0</v>
      </c>
      <c r="AA760" s="54" t="str">
        <f>Данные!AA760</f>
        <v>осн</v>
      </c>
      <c r="AB760" s="101">
        <f t="shared" si="103"/>
        <v>850</v>
      </c>
      <c r="AC760" s="101" t="str">
        <f t="shared" si="104"/>
        <v>КЭО (маг)</v>
      </c>
      <c r="AD760" s="101" t="str">
        <f t="shared" si="105"/>
        <v/>
      </c>
      <c r="AE760" s="102">
        <f t="shared" ca="1" si="106"/>
        <v>20.200000000000003</v>
      </c>
      <c r="AF760" s="103">
        <f t="shared" ca="1" si="107"/>
        <v>2.3764705882352945E-2</v>
      </c>
      <c r="AG760" s="101"/>
      <c r="AH760" s="101"/>
      <c r="AI760"/>
      <c r="BQ760" s="72">
        <v>0</v>
      </c>
      <c r="BR760" s="72">
        <v>0</v>
      </c>
      <c r="BS760" s="72">
        <v>0</v>
      </c>
      <c r="BT760" s="72">
        <v>0</v>
      </c>
      <c r="BU760" s="72">
        <v>0</v>
      </c>
      <c r="BV760" s="72">
        <v>0</v>
      </c>
      <c r="BW760" s="72">
        <v>0</v>
      </c>
      <c r="BX760" s="72">
        <v>0</v>
      </c>
      <c r="BY760" s="72">
        <v>0</v>
      </c>
      <c r="BZ760" s="72">
        <v>0</v>
      </c>
      <c r="CA760" s="72">
        <v>0</v>
      </c>
      <c r="CB760" s="72">
        <v>0</v>
      </c>
      <c r="CC760" s="72">
        <v>0</v>
      </c>
      <c r="CD760" s="72">
        <v>0</v>
      </c>
      <c r="CE760" s="72">
        <v>0</v>
      </c>
      <c r="CF760" s="72">
        <v>0</v>
      </c>
      <c r="CG760" s="72">
        <v>0</v>
      </c>
      <c r="CH760" s="72">
        <v>0</v>
      </c>
      <c r="CI760" s="72">
        <v>0</v>
      </c>
      <c r="CJ760" s="72">
        <v>0</v>
      </c>
      <c r="CK760" s="72">
        <v>0</v>
      </c>
      <c r="CL760" s="72">
        <v>0</v>
      </c>
      <c r="CM760" s="72">
        <v>0</v>
      </c>
      <c r="CN760" s="72">
        <v>0</v>
      </c>
      <c r="CO760" s="72">
        <v>0</v>
      </c>
      <c r="CP760" s="72">
        <v>0</v>
      </c>
      <c r="CQ760" s="72">
        <v>0</v>
      </c>
      <c r="CR760" s="72">
        <v>0</v>
      </c>
      <c r="CS760" s="72">
        <v>0</v>
      </c>
      <c r="CT760" s="72">
        <v>0</v>
      </c>
      <c r="CU760" s="72">
        <v>0</v>
      </c>
      <c r="CV760" s="72">
        <v>0</v>
      </c>
      <c r="CW760" s="72">
        <v>0</v>
      </c>
      <c r="CX760" s="72">
        <v>0</v>
      </c>
      <c r="CY760" s="72">
        <v>0</v>
      </c>
      <c r="CZ760" s="72">
        <v>0</v>
      </c>
      <c r="DA760" s="72">
        <v>0</v>
      </c>
      <c r="DB760" s="72">
        <v>0</v>
      </c>
      <c r="DC760" s="72">
        <v>0</v>
      </c>
      <c r="DD760" s="72">
        <v>0</v>
      </c>
      <c r="DE760" s="72">
        <v>0</v>
      </c>
      <c r="DF760" s="72">
        <v>0</v>
      </c>
      <c r="DG760" s="72">
        <v>0</v>
      </c>
      <c r="DH760" s="72">
        <v>0</v>
      </c>
      <c r="DI760" s="72">
        <v>0</v>
      </c>
      <c r="DJ760" s="72">
        <v>0</v>
      </c>
      <c r="DK760" s="72">
        <v>0</v>
      </c>
      <c r="DL760" s="72">
        <v>0</v>
      </c>
      <c r="DM760" s="72">
        <v>0</v>
      </c>
      <c r="DN760" s="72">
        <v>0</v>
      </c>
      <c r="DO760" s="72">
        <v>0</v>
      </c>
      <c r="DP760" s="72">
        <v>0</v>
      </c>
      <c r="DQ760" s="72">
        <v>0</v>
      </c>
      <c r="DR760" s="72">
        <v>0</v>
      </c>
      <c r="DS760" s="72">
        <v>0</v>
      </c>
      <c r="DT760" s="72">
        <v>0</v>
      </c>
      <c r="DU760" s="72">
        <v>0</v>
      </c>
      <c r="DV760" s="72">
        <v>0</v>
      </c>
      <c r="DW760" s="72">
        <v>0</v>
      </c>
      <c r="DX760" s="72">
        <v>0</v>
      </c>
      <c r="DY760" s="72">
        <v>0</v>
      </c>
      <c r="DZ760" s="72">
        <v>0</v>
      </c>
      <c r="EA760" s="72">
        <v>0</v>
      </c>
      <c r="EB760" s="72">
        <v>0</v>
      </c>
      <c r="EC760" s="72">
        <v>0</v>
      </c>
      <c r="ED760" s="72">
        <v>0</v>
      </c>
      <c r="EE760" s="72">
        <v>0</v>
      </c>
      <c r="EF760" s="72">
        <v>0</v>
      </c>
      <c r="EG760" s="72">
        <v>0</v>
      </c>
      <c r="EH760" s="72">
        <v>0</v>
      </c>
      <c r="EI760" s="72">
        <v>0</v>
      </c>
      <c r="EJ760" s="72">
        <v>0</v>
      </c>
      <c r="EK760" s="72">
        <v>0</v>
      </c>
      <c r="EL760" s="72">
        <v>0</v>
      </c>
    </row>
    <row r="761" spans="1:142" x14ac:dyDescent="0.35">
      <c r="A761" s="59">
        <f>Данные!A761</f>
        <v>6370</v>
      </c>
      <c r="B761" s="59">
        <f>Данные!B761</f>
        <v>2018</v>
      </c>
      <c r="C761" s="59" t="str">
        <f>Данные!C761</f>
        <v>компьютерных технологий и электронного обучения</v>
      </c>
      <c r="D761" s="59" t="str">
        <f>Данные!D761</f>
        <v>Карпова Наталья Александровна</v>
      </c>
      <c r="E761" s="59" t="str">
        <f>Данные!E761</f>
        <v>кандидат технических наук</v>
      </c>
      <c r="F761" s="59" t="str">
        <f>Данные!F761</f>
        <v>доцент</v>
      </c>
      <c r="G761" s="59">
        <f>Данные!G761</f>
        <v>0.75</v>
      </c>
      <c r="H761" s="59">
        <f>Данные!H761</f>
        <v>17048</v>
      </c>
      <c r="I761" s="59" t="str">
        <f>Данные!I761</f>
        <v>Научно-исследовательская работа. Педагогическое образование. Магистерская программа "Корпоративное электронное обучение"</v>
      </c>
      <c r="J761" s="59">
        <f>Данные!J761</f>
        <v>0</v>
      </c>
      <c r="K761" s="59">
        <f>Данные!K761</f>
        <v>0</v>
      </c>
      <c r="L761" s="59">
        <f>Данные!L761</f>
        <v>0</v>
      </c>
      <c r="M761" s="60">
        <f t="shared" si="99"/>
        <v>0</v>
      </c>
      <c r="N761" s="60">
        <f t="shared" ca="1" si="100"/>
        <v>5.3000000000000007</v>
      </c>
      <c r="O761" s="60">
        <f t="shared" ca="1" si="101"/>
        <v>2.5</v>
      </c>
      <c r="P761" s="60">
        <f t="shared" ca="1" si="102"/>
        <v>2.5</v>
      </c>
      <c r="Q761" s="54">
        <f>Данные!Q761</f>
        <v>0</v>
      </c>
      <c r="R761" s="54">
        <f>Данные!R761</f>
        <v>0</v>
      </c>
      <c r="S761" s="54">
        <f>Данные!S761</f>
        <v>0</v>
      </c>
      <c r="T761" s="54">
        <f>Данные!T761</f>
        <v>0</v>
      </c>
      <c r="U761" s="54">
        <f>Данные!U761</f>
        <v>0</v>
      </c>
      <c r="V761" s="54">
        <f>Данные!V761</f>
        <v>0</v>
      </c>
      <c r="W761" s="54">
        <f ca="1">Данные!W761</f>
        <v>10</v>
      </c>
      <c r="X761" s="54" t="str">
        <f ca="1">Данные!X761</f>
        <v>1</v>
      </c>
      <c r="Y761" s="54" t="str">
        <f ca="1">Данные!Y761</f>
        <v>1</v>
      </c>
      <c r="Z761" s="54">
        <f>Данные!Z761</f>
        <v>0</v>
      </c>
      <c r="AA761" s="54" t="str">
        <f>Данные!AA761</f>
        <v>доп</v>
      </c>
      <c r="AB761" s="101">
        <f t="shared" si="103"/>
        <v>800</v>
      </c>
      <c r="AC761" s="101" t="str">
        <f t="shared" si="104"/>
        <v>КЭО (маг)</v>
      </c>
      <c r="AD761" s="101" t="str">
        <f t="shared" si="105"/>
        <v/>
      </c>
      <c r="AE761" s="102">
        <f t="shared" ca="1" si="106"/>
        <v>10.3</v>
      </c>
      <c r="AF761" s="103">
        <f t="shared" ca="1" si="107"/>
        <v>1.2875000000000001E-2</v>
      </c>
      <c r="AG761" s="101"/>
      <c r="AH761" s="101"/>
      <c r="BQ761" s="72">
        <v>0</v>
      </c>
      <c r="BR761" s="72">
        <v>0</v>
      </c>
      <c r="BS761" s="72">
        <v>0</v>
      </c>
      <c r="BT761" s="72">
        <v>0</v>
      </c>
      <c r="BU761" s="72">
        <v>0</v>
      </c>
      <c r="BV761" s="72">
        <v>0</v>
      </c>
      <c r="BW761" s="72">
        <v>0</v>
      </c>
      <c r="BX761" s="72">
        <v>0</v>
      </c>
      <c r="BY761" s="72">
        <v>0</v>
      </c>
      <c r="BZ761" s="72">
        <v>0</v>
      </c>
      <c r="CA761" s="72">
        <v>0</v>
      </c>
      <c r="CB761" s="72">
        <v>0</v>
      </c>
      <c r="CC761" s="72">
        <v>0</v>
      </c>
      <c r="CD761" s="72">
        <v>0</v>
      </c>
      <c r="CE761" s="72">
        <v>0</v>
      </c>
      <c r="CF761" s="72">
        <v>0</v>
      </c>
      <c r="CG761" s="72">
        <v>0</v>
      </c>
      <c r="CH761" s="72">
        <v>0</v>
      </c>
      <c r="CI761" s="72">
        <v>0</v>
      </c>
      <c r="CJ761" s="72">
        <v>0</v>
      </c>
      <c r="CK761" s="72">
        <v>0</v>
      </c>
      <c r="CL761" s="72">
        <v>0</v>
      </c>
      <c r="CM761" s="72">
        <v>0</v>
      </c>
      <c r="CN761" s="72">
        <v>0</v>
      </c>
      <c r="CO761" s="72">
        <v>0</v>
      </c>
      <c r="CP761" s="72">
        <v>0</v>
      </c>
      <c r="CQ761" s="72">
        <v>0</v>
      </c>
      <c r="CR761" s="72">
        <v>0</v>
      </c>
      <c r="CS761" s="72">
        <v>0</v>
      </c>
      <c r="CT761" s="72">
        <v>0</v>
      </c>
      <c r="CU761" s="72">
        <v>0</v>
      </c>
      <c r="CV761" s="72">
        <v>0</v>
      </c>
      <c r="CW761" s="72">
        <v>0</v>
      </c>
      <c r="CX761" s="72">
        <v>0</v>
      </c>
      <c r="CY761" s="72">
        <v>0</v>
      </c>
      <c r="CZ761" s="72">
        <v>0</v>
      </c>
      <c r="DA761" s="72">
        <v>0</v>
      </c>
      <c r="DB761" s="72">
        <v>0</v>
      </c>
      <c r="DC761" s="72">
        <v>0</v>
      </c>
      <c r="DD761" s="72">
        <v>0</v>
      </c>
      <c r="DE761" s="72">
        <v>0</v>
      </c>
      <c r="DF761" s="72">
        <v>0</v>
      </c>
      <c r="DG761" s="72">
        <v>0</v>
      </c>
      <c r="DH761" s="72">
        <v>0</v>
      </c>
      <c r="DI761" s="72">
        <v>0</v>
      </c>
      <c r="DJ761" s="72">
        <v>0</v>
      </c>
      <c r="DK761" s="72">
        <v>0</v>
      </c>
      <c r="DL761" s="72">
        <v>0</v>
      </c>
      <c r="DM761" s="72">
        <v>0</v>
      </c>
      <c r="DN761" s="72">
        <v>0</v>
      </c>
      <c r="DO761" s="72">
        <v>0</v>
      </c>
      <c r="DP761" s="72">
        <v>0</v>
      </c>
      <c r="DQ761" s="72">
        <v>0</v>
      </c>
      <c r="DR761" s="72">
        <v>0</v>
      </c>
      <c r="DS761" s="72">
        <v>0</v>
      </c>
      <c r="DT761" s="72">
        <v>0</v>
      </c>
      <c r="DU761" s="72">
        <v>0</v>
      </c>
      <c r="DV761" s="72">
        <v>0</v>
      </c>
      <c r="DW761" s="72">
        <v>0</v>
      </c>
      <c r="DX761" s="72">
        <v>0</v>
      </c>
      <c r="DY761" s="72">
        <v>0</v>
      </c>
      <c r="DZ761" s="72">
        <v>0</v>
      </c>
      <c r="EA761" s="72">
        <v>0</v>
      </c>
      <c r="EB761" s="72">
        <v>0</v>
      </c>
      <c r="EC761" s="72">
        <v>0</v>
      </c>
      <c r="ED761" s="72">
        <v>0</v>
      </c>
      <c r="EE761" s="72">
        <v>0</v>
      </c>
      <c r="EF761" s="72">
        <v>0</v>
      </c>
      <c r="EG761" s="72">
        <v>0</v>
      </c>
      <c r="EH761" s="72">
        <v>0</v>
      </c>
      <c r="EI761" s="72">
        <v>0</v>
      </c>
      <c r="EJ761" s="72">
        <v>0</v>
      </c>
      <c r="EK761" s="72">
        <v>0</v>
      </c>
      <c r="EL761" s="72">
        <v>0</v>
      </c>
    </row>
    <row r="762" spans="1:142" x14ac:dyDescent="0.35">
      <c r="A762" s="59">
        <f>Данные!A762</f>
        <v>6370</v>
      </c>
      <c r="B762" s="59">
        <f>Данные!B762</f>
        <v>2018</v>
      </c>
      <c r="C762" s="59" t="str">
        <f>Данные!C762</f>
        <v>компьютерных технологий и электронного обучения</v>
      </c>
      <c r="D762" s="59" t="str">
        <f>Данные!D762</f>
        <v>Карпова Наталья Александровна</v>
      </c>
      <c r="E762" s="59" t="str">
        <f>Данные!E762</f>
        <v>кандидат технических наук</v>
      </c>
      <c r="F762" s="59" t="str">
        <f>Данные!F762</f>
        <v>доцент</v>
      </c>
      <c r="G762" s="59">
        <f>Данные!G762</f>
        <v>0.75</v>
      </c>
      <c r="H762" s="59">
        <f>Данные!H762</f>
        <v>17048</v>
      </c>
      <c r="I762" s="59" t="str">
        <f>Данные!I762</f>
        <v>Научно-исследовательская работа. Педагогическое образование. Магистерская программа "Корпоративное электронное обучение"</v>
      </c>
      <c r="J762" s="59">
        <f>Данные!J762</f>
        <v>0</v>
      </c>
      <c r="K762" s="59">
        <f>Данные!K762</f>
        <v>0</v>
      </c>
      <c r="L762" s="59">
        <f>Данные!L762</f>
        <v>0</v>
      </c>
      <c r="M762" s="60">
        <f t="shared" si="99"/>
        <v>0</v>
      </c>
      <c r="N762" s="60">
        <f t="shared" ca="1" si="100"/>
        <v>5.3000000000000007</v>
      </c>
      <c r="O762" s="60">
        <f t="shared" ca="1" si="101"/>
        <v>2.5</v>
      </c>
      <c r="P762" s="60">
        <f t="shared" ca="1" si="102"/>
        <v>2.5</v>
      </c>
      <c r="Q762" s="54">
        <f>Данные!Q762</f>
        <v>0</v>
      </c>
      <c r="R762" s="54">
        <f>Данные!R762</f>
        <v>0</v>
      </c>
      <c r="S762" s="54">
        <f>Данные!S762</f>
        <v>0</v>
      </c>
      <c r="T762" s="54">
        <f>Данные!T762</f>
        <v>0</v>
      </c>
      <c r="U762" s="54">
        <f>Данные!U762</f>
        <v>0</v>
      </c>
      <c r="V762" s="54">
        <f>Данные!V762</f>
        <v>0</v>
      </c>
      <c r="W762" s="54">
        <f ca="1">Данные!W762</f>
        <v>10</v>
      </c>
      <c r="X762" s="54" t="str">
        <f ca="1">Данные!X762</f>
        <v>1</v>
      </c>
      <c r="Y762" s="54" t="str">
        <f ca="1">Данные!Y762</f>
        <v>1</v>
      </c>
      <c r="Z762" s="54">
        <f>Данные!Z762</f>
        <v>0</v>
      </c>
      <c r="AA762" s="54" t="str">
        <f>Данные!AA762</f>
        <v>доп</v>
      </c>
      <c r="AB762" s="101">
        <f t="shared" si="103"/>
        <v>800</v>
      </c>
      <c r="AC762" s="101" t="str">
        <f t="shared" si="104"/>
        <v>КЭО (маг)</v>
      </c>
      <c r="AD762" s="101" t="str">
        <f t="shared" si="105"/>
        <v/>
      </c>
      <c r="AE762" s="102">
        <f t="shared" ca="1" si="106"/>
        <v>10.3</v>
      </c>
      <c r="AF762" s="103">
        <f t="shared" ca="1" si="107"/>
        <v>1.2875000000000001E-2</v>
      </c>
      <c r="AG762" s="101"/>
      <c r="AH762" s="101"/>
      <c r="BQ762" s="72">
        <v>0</v>
      </c>
      <c r="BR762" s="72">
        <v>0</v>
      </c>
      <c r="BS762" s="72">
        <v>0</v>
      </c>
      <c r="BT762" s="72">
        <v>0</v>
      </c>
      <c r="BU762" s="72">
        <v>0</v>
      </c>
      <c r="BV762" s="72">
        <v>0</v>
      </c>
      <c r="BW762" s="72">
        <v>0</v>
      </c>
      <c r="BX762" s="72">
        <v>0</v>
      </c>
      <c r="BY762" s="72">
        <v>0</v>
      </c>
      <c r="BZ762" s="72">
        <v>0</v>
      </c>
      <c r="CA762" s="72">
        <v>0</v>
      </c>
      <c r="CB762" s="72">
        <v>0</v>
      </c>
      <c r="CC762" s="72">
        <v>0</v>
      </c>
      <c r="CD762" s="72">
        <v>0</v>
      </c>
      <c r="CE762" s="72">
        <v>0</v>
      </c>
      <c r="CF762" s="72">
        <v>0</v>
      </c>
      <c r="CG762" s="72">
        <v>0</v>
      </c>
      <c r="CH762" s="72">
        <v>0</v>
      </c>
      <c r="CI762" s="72">
        <v>0</v>
      </c>
      <c r="CJ762" s="72">
        <v>0</v>
      </c>
      <c r="CK762" s="72">
        <v>0</v>
      </c>
      <c r="CL762" s="72">
        <v>0</v>
      </c>
      <c r="CM762" s="72">
        <v>0</v>
      </c>
      <c r="CN762" s="72">
        <v>0</v>
      </c>
      <c r="CO762" s="72">
        <v>0</v>
      </c>
      <c r="CP762" s="72">
        <v>0</v>
      </c>
      <c r="CQ762" s="72">
        <v>0</v>
      </c>
      <c r="CR762" s="72">
        <v>0</v>
      </c>
      <c r="CS762" s="72">
        <v>0</v>
      </c>
      <c r="CT762" s="72">
        <v>0</v>
      </c>
      <c r="CU762" s="72">
        <v>0</v>
      </c>
      <c r="CV762" s="72">
        <v>0</v>
      </c>
      <c r="CW762" s="72">
        <v>0</v>
      </c>
      <c r="CX762" s="72">
        <v>0</v>
      </c>
      <c r="CY762" s="72">
        <v>0</v>
      </c>
      <c r="CZ762" s="72">
        <v>0</v>
      </c>
      <c r="DA762" s="72">
        <v>0</v>
      </c>
      <c r="DB762" s="72">
        <v>0</v>
      </c>
      <c r="DC762" s="72">
        <v>0</v>
      </c>
      <c r="DD762" s="72">
        <v>0</v>
      </c>
      <c r="DE762" s="72">
        <v>0</v>
      </c>
      <c r="DF762" s="72">
        <v>0</v>
      </c>
      <c r="DG762" s="72">
        <v>0</v>
      </c>
      <c r="DH762" s="72">
        <v>0</v>
      </c>
      <c r="DI762" s="72">
        <v>0</v>
      </c>
      <c r="DJ762" s="72">
        <v>0</v>
      </c>
      <c r="DK762" s="72">
        <v>0</v>
      </c>
      <c r="DL762" s="72">
        <v>0</v>
      </c>
      <c r="DM762" s="72">
        <v>0</v>
      </c>
      <c r="DN762" s="72">
        <v>0</v>
      </c>
      <c r="DO762" s="72">
        <v>0</v>
      </c>
      <c r="DP762" s="72">
        <v>0</v>
      </c>
      <c r="DQ762" s="72">
        <v>0</v>
      </c>
      <c r="DR762" s="72">
        <v>0</v>
      </c>
      <c r="DS762" s="72">
        <v>0</v>
      </c>
      <c r="DT762" s="72">
        <v>0</v>
      </c>
      <c r="DU762" s="72">
        <v>0</v>
      </c>
      <c r="DV762" s="72">
        <v>0</v>
      </c>
      <c r="DW762" s="72">
        <v>0</v>
      </c>
      <c r="DX762" s="72">
        <v>0</v>
      </c>
      <c r="DY762" s="72">
        <v>0</v>
      </c>
      <c r="DZ762" s="72">
        <v>0</v>
      </c>
      <c r="EA762" s="72">
        <v>0</v>
      </c>
      <c r="EB762" s="72">
        <v>0</v>
      </c>
      <c r="EC762" s="72">
        <v>0</v>
      </c>
      <c r="ED762" s="72">
        <v>0</v>
      </c>
      <c r="EE762" s="72">
        <v>0</v>
      </c>
      <c r="EF762" s="72">
        <v>0</v>
      </c>
      <c r="EG762" s="72">
        <v>0</v>
      </c>
      <c r="EH762" s="72">
        <v>0</v>
      </c>
      <c r="EI762" s="72">
        <v>0</v>
      </c>
      <c r="EJ762" s="72">
        <v>0</v>
      </c>
      <c r="EK762" s="72">
        <v>0</v>
      </c>
      <c r="EL762" s="72">
        <v>0</v>
      </c>
    </row>
    <row r="763" spans="1:142" x14ac:dyDescent="0.35">
      <c r="A763" s="59">
        <f>Данные!A763</f>
        <v>6370</v>
      </c>
      <c r="B763" s="59">
        <f>Данные!B763</f>
        <v>2018</v>
      </c>
      <c r="C763" s="59" t="str">
        <f>Данные!C763</f>
        <v>компьютерных технологий и электронного обучения</v>
      </c>
      <c r="D763" s="59" t="str">
        <f>Данные!D763</f>
        <v>Карпова Наталья Александровна</v>
      </c>
      <c r="E763" s="59" t="str">
        <f>Данные!E763</f>
        <v>кандидат технических наук</v>
      </c>
      <c r="F763" s="59" t="str">
        <f>Данные!F763</f>
        <v>доцент</v>
      </c>
      <c r="G763" s="59">
        <f>Данные!G763</f>
        <v>0.75</v>
      </c>
      <c r="H763" s="59">
        <f>Данные!H763</f>
        <v>17048</v>
      </c>
      <c r="I763" s="59" t="str">
        <f>Данные!I763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63" s="59">
        <f>Данные!J763</f>
        <v>0</v>
      </c>
      <c r="K763" s="59">
        <f>Данные!K763</f>
        <v>0</v>
      </c>
      <c r="L763" s="59">
        <f>Данные!L763</f>
        <v>0</v>
      </c>
      <c r="M763" s="60">
        <f t="shared" si="99"/>
        <v>0</v>
      </c>
      <c r="N763" s="60">
        <f t="shared" ca="1" si="100"/>
        <v>5.3000000000000007</v>
      </c>
      <c r="O763" s="60">
        <f t="shared" ca="1" si="101"/>
        <v>2.5</v>
      </c>
      <c r="P763" s="60">
        <f t="shared" ca="1" si="102"/>
        <v>2.5</v>
      </c>
      <c r="Q763" s="54">
        <f>Данные!Q763</f>
        <v>0</v>
      </c>
      <c r="R763" s="54">
        <f>Данные!R763</f>
        <v>0</v>
      </c>
      <c r="S763" s="54">
        <f>Данные!S763</f>
        <v>0</v>
      </c>
      <c r="T763" s="54">
        <f>Данные!T763</f>
        <v>0</v>
      </c>
      <c r="U763" s="54">
        <f>Данные!U763</f>
        <v>0</v>
      </c>
      <c r="V763" s="54">
        <f>Данные!V763</f>
        <v>0</v>
      </c>
      <c r="W763" s="54">
        <f ca="1">Данные!W763</f>
        <v>10</v>
      </c>
      <c r="X763" s="54" t="str">
        <f ca="1">Данные!X763</f>
        <v>1</v>
      </c>
      <c r="Y763" s="54" t="str">
        <f ca="1">Данные!Y763</f>
        <v>1</v>
      </c>
      <c r="Z763" s="54">
        <f>Данные!Z763</f>
        <v>0</v>
      </c>
      <c r="AA763" s="54" t="str">
        <f>Данные!AA763</f>
        <v>осн</v>
      </c>
      <c r="AB763" s="101">
        <f t="shared" si="103"/>
        <v>800</v>
      </c>
      <c r="AC763" s="101" t="str">
        <f t="shared" si="104"/>
        <v>КЭО (маг)</v>
      </c>
      <c r="AD763" s="101" t="str">
        <f t="shared" si="105"/>
        <v/>
      </c>
      <c r="AE763" s="102">
        <f t="shared" ca="1" si="106"/>
        <v>10.3</v>
      </c>
      <c r="AF763" s="103">
        <f t="shared" ca="1" si="107"/>
        <v>1.2875000000000001E-2</v>
      </c>
      <c r="AG763" s="101"/>
      <c r="AH763" s="101"/>
      <c r="BQ763" s="72">
        <v>0</v>
      </c>
      <c r="BR763" s="72">
        <v>0</v>
      </c>
      <c r="BS763" s="72">
        <v>0</v>
      </c>
      <c r="BT763" s="72">
        <v>0</v>
      </c>
      <c r="BU763" s="72">
        <v>0</v>
      </c>
      <c r="BV763" s="72">
        <v>0</v>
      </c>
      <c r="BW763" s="72">
        <v>0</v>
      </c>
      <c r="BX763" s="72">
        <v>0</v>
      </c>
      <c r="BY763" s="72">
        <v>0</v>
      </c>
      <c r="BZ763" s="72">
        <v>0</v>
      </c>
      <c r="CA763" s="72">
        <v>0</v>
      </c>
      <c r="CB763" s="72">
        <v>0</v>
      </c>
      <c r="CC763" s="72">
        <v>0</v>
      </c>
      <c r="CD763" s="72">
        <v>0</v>
      </c>
      <c r="CE763" s="72">
        <v>0</v>
      </c>
      <c r="CF763" s="72">
        <v>0</v>
      </c>
      <c r="CG763" s="72">
        <v>0</v>
      </c>
      <c r="CH763" s="72">
        <v>0</v>
      </c>
      <c r="CI763" s="72">
        <v>0</v>
      </c>
      <c r="CJ763" s="72">
        <v>0</v>
      </c>
      <c r="CK763" s="72">
        <v>0</v>
      </c>
      <c r="CL763" s="72">
        <v>0</v>
      </c>
      <c r="CM763" s="72">
        <v>0</v>
      </c>
      <c r="CN763" s="72">
        <v>0</v>
      </c>
      <c r="CO763" s="72">
        <v>0</v>
      </c>
      <c r="CP763" s="72">
        <v>0</v>
      </c>
      <c r="CQ763" s="72">
        <v>0</v>
      </c>
      <c r="CR763" s="72">
        <v>0</v>
      </c>
      <c r="CS763" s="72">
        <v>0</v>
      </c>
      <c r="CT763" s="72">
        <v>0</v>
      </c>
      <c r="CU763" s="72">
        <v>0</v>
      </c>
      <c r="CV763" s="72">
        <v>0</v>
      </c>
      <c r="CW763" s="72">
        <v>0</v>
      </c>
      <c r="CX763" s="72">
        <v>0</v>
      </c>
      <c r="CY763" s="72">
        <v>0</v>
      </c>
      <c r="CZ763" s="72">
        <v>0</v>
      </c>
      <c r="DA763" s="72">
        <v>0</v>
      </c>
      <c r="DB763" s="72">
        <v>0</v>
      </c>
      <c r="DC763" s="72">
        <v>0</v>
      </c>
      <c r="DD763" s="72">
        <v>0</v>
      </c>
      <c r="DE763" s="72">
        <v>0</v>
      </c>
      <c r="DF763" s="72">
        <v>0</v>
      </c>
      <c r="DG763" s="72">
        <v>0</v>
      </c>
      <c r="DH763" s="72">
        <v>0</v>
      </c>
      <c r="DI763" s="72">
        <v>0</v>
      </c>
      <c r="DJ763" s="72">
        <v>0</v>
      </c>
      <c r="DK763" s="72">
        <v>0</v>
      </c>
      <c r="DL763" s="72">
        <v>0</v>
      </c>
      <c r="DM763" s="72">
        <v>0</v>
      </c>
      <c r="DN763" s="72">
        <v>0</v>
      </c>
      <c r="DO763" s="72">
        <v>0</v>
      </c>
      <c r="DP763" s="72">
        <v>0</v>
      </c>
      <c r="DQ763" s="72">
        <v>0</v>
      </c>
      <c r="DR763" s="72">
        <v>0</v>
      </c>
      <c r="DS763" s="72">
        <v>0</v>
      </c>
      <c r="DT763" s="72">
        <v>0</v>
      </c>
      <c r="DU763" s="72">
        <v>0</v>
      </c>
      <c r="DV763" s="72">
        <v>0</v>
      </c>
      <c r="DW763" s="72">
        <v>0</v>
      </c>
      <c r="DX763" s="72">
        <v>0</v>
      </c>
      <c r="DY763" s="72">
        <v>0</v>
      </c>
      <c r="DZ763" s="72">
        <v>0</v>
      </c>
      <c r="EA763" s="72">
        <v>0</v>
      </c>
      <c r="EB763" s="72">
        <v>0</v>
      </c>
      <c r="EC763" s="72">
        <v>0</v>
      </c>
      <c r="ED763" s="72">
        <v>0</v>
      </c>
      <c r="EE763" s="72">
        <v>0</v>
      </c>
      <c r="EF763" s="72">
        <v>0</v>
      </c>
      <c r="EG763" s="72">
        <v>0</v>
      </c>
      <c r="EH763" s="72">
        <v>0</v>
      </c>
      <c r="EI763" s="72">
        <v>0</v>
      </c>
      <c r="EJ763" s="72">
        <v>0</v>
      </c>
      <c r="EK763" s="72">
        <v>0</v>
      </c>
      <c r="EL763" s="72">
        <v>0</v>
      </c>
    </row>
    <row r="764" spans="1:142" x14ac:dyDescent="0.35">
      <c r="A764" s="59">
        <f>Данные!A764</f>
        <v>5762</v>
      </c>
      <c r="B764" s="59">
        <f>Данные!B764</f>
        <v>2017</v>
      </c>
      <c r="C764" s="59" t="str">
        <f>Данные!C764</f>
        <v>современных европейских языков</v>
      </c>
      <c r="D764" s="59" t="str">
        <f>Данные!D764</f>
        <v>Кудрявцева Наталья Фаддеевна</v>
      </c>
      <c r="E764" s="59" t="str">
        <f>Данные!E764</f>
        <v>кандидат социологических наук</v>
      </c>
      <c r="F764" s="59" t="str">
        <f>Данные!F764</f>
        <v>доцент</v>
      </c>
      <c r="G764" s="59">
        <f>Данные!G764</f>
        <v>1</v>
      </c>
      <c r="H764" s="59">
        <f>Данные!H764</f>
        <v>16595</v>
      </c>
      <c r="I764" s="59" t="str">
        <f>Данные!I764</f>
        <v>Модуль "Профессиональная коммуникация". Иностранный язык в профессиональной коммуникации</v>
      </c>
      <c r="J764" s="59">
        <f>Данные!J764</f>
        <v>4</v>
      </c>
      <c r="K764" s="59">
        <f>Данные!K764</f>
        <v>0</v>
      </c>
      <c r="L764" s="59">
        <f>Данные!L764</f>
        <v>14</v>
      </c>
      <c r="M764" s="60">
        <f t="shared" si="99"/>
        <v>1.8</v>
      </c>
      <c r="N764" s="60">
        <f t="shared" ca="1" si="100"/>
        <v>5.3000000000000007</v>
      </c>
      <c r="O764" s="60">
        <f t="shared" ca="1" si="101"/>
        <v>2.5</v>
      </c>
      <c r="P764" s="60">
        <f t="shared" ca="1" si="102"/>
        <v>2.5</v>
      </c>
      <c r="Q764" s="54">
        <f>Данные!Q764</f>
        <v>0</v>
      </c>
      <c r="R764" s="54">
        <f>Данные!R764</f>
        <v>0</v>
      </c>
      <c r="S764" s="54">
        <f>Данные!S764</f>
        <v>0</v>
      </c>
      <c r="T764" s="54">
        <f>Данные!T764</f>
        <v>0</v>
      </c>
      <c r="U764" s="54">
        <f>Данные!U764</f>
        <v>0</v>
      </c>
      <c r="V764" s="54">
        <f>Данные!V764</f>
        <v>0</v>
      </c>
      <c r="W764" s="54">
        <f ca="1">Данные!W764</f>
        <v>10</v>
      </c>
      <c r="X764" s="54" t="str">
        <f ca="1">Данные!X764</f>
        <v>1</v>
      </c>
      <c r="Y764" s="54" t="str">
        <f ca="1">Данные!Y764</f>
        <v>1</v>
      </c>
      <c r="Z764" s="54">
        <f>Данные!Z764</f>
        <v>0</v>
      </c>
      <c r="AA764" s="54" t="str">
        <f>Данные!AA764</f>
        <v>осн</v>
      </c>
      <c r="AB764" s="101">
        <f t="shared" si="103"/>
        <v>800</v>
      </c>
      <c r="AC764" s="101" t="str">
        <f t="shared" si="104"/>
        <v>КЭО (маг)</v>
      </c>
      <c r="AD764" s="101" t="str">
        <f t="shared" si="105"/>
        <v/>
      </c>
      <c r="AE764" s="102">
        <f t="shared" ca="1" si="106"/>
        <v>30.1</v>
      </c>
      <c r="AF764" s="103">
        <f t="shared" ca="1" si="107"/>
        <v>3.7624999999999999E-2</v>
      </c>
      <c r="AG764" s="101"/>
      <c r="AH764" s="101"/>
      <c r="BQ764" s="72">
        <v>0</v>
      </c>
      <c r="BR764" s="72">
        <v>0</v>
      </c>
      <c r="BS764" s="72">
        <v>0</v>
      </c>
      <c r="BT764" s="72">
        <v>0</v>
      </c>
      <c r="BU764" s="72">
        <v>0</v>
      </c>
      <c r="BV764" s="72">
        <v>0</v>
      </c>
      <c r="BW764" s="72">
        <v>0</v>
      </c>
      <c r="BX764" s="72">
        <v>0</v>
      </c>
      <c r="BY764" s="72">
        <v>0</v>
      </c>
      <c r="BZ764" s="72">
        <v>0</v>
      </c>
      <c r="CA764" s="72">
        <v>0</v>
      </c>
      <c r="CB764" s="72">
        <v>0</v>
      </c>
      <c r="CC764" s="72">
        <v>0</v>
      </c>
      <c r="CD764" s="72">
        <v>0</v>
      </c>
      <c r="CE764" s="72">
        <v>0</v>
      </c>
      <c r="CF764" s="72">
        <v>0</v>
      </c>
      <c r="CG764" s="72">
        <v>0</v>
      </c>
      <c r="CH764" s="72">
        <v>0</v>
      </c>
      <c r="CI764" s="72">
        <v>0</v>
      </c>
      <c r="CJ764" s="72">
        <v>0</v>
      </c>
      <c r="CK764" s="72">
        <v>0</v>
      </c>
      <c r="CL764" s="72">
        <v>0</v>
      </c>
      <c r="CM764" s="72">
        <v>0</v>
      </c>
      <c r="CN764" s="72">
        <v>0</v>
      </c>
      <c r="CO764" s="72">
        <v>0</v>
      </c>
      <c r="CP764" s="72">
        <v>0</v>
      </c>
      <c r="CQ764" s="72">
        <v>0</v>
      </c>
      <c r="CR764" s="72">
        <v>0</v>
      </c>
      <c r="CS764" s="72">
        <v>0</v>
      </c>
      <c r="CT764" s="72">
        <v>0</v>
      </c>
      <c r="CU764" s="72">
        <v>0</v>
      </c>
      <c r="CV764" s="72">
        <v>0</v>
      </c>
      <c r="CW764" s="72">
        <v>0</v>
      </c>
      <c r="CX764" s="72">
        <v>0</v>
      </c>
      <c r="CY764" s="72">
        <v>0</v>
      </c>
      <c r="CZ764" s="72">
        <v>0</v>
      </c>
      <c r="DA764" s="72">
        <v>0</v>
      </c>
      <c r="DB764" s="72">
        <v>0</v>
      </c>
      <c r="DC764" s="72">
        <v>0</v>
      </c>
      <c r="DD764" s="72">
        <v>0</v>
      </c>
      <c r="DE764" s="72">
        <v>0</v>
      </c>
      <c r="DF764" s="72">
        <v>0</v>
      </c>
      <c r="DG764" s="72">
        <v>0</v>
      </c>
      <c r="DH764" s="72">
        <v>0</v>
      </c>
      <c r="DI764" s="72">
        <v>0</v>
      </c>
      <c r="DJ764" s="72">
        <v>0</v>
      </c>
      <c r="DK764" s="72">
        <v>0</v>
      </c>
      <c r="DL764" s="72">
        <v>0</v>
      </c>
      <c r="DM764" s="72">
        <v>0</v>
      </c>
      <c r="DN764" s="72">
        <v>0</v>
      </c>
      <c r="DO764" s="72">
        <v>0</v>
      </c>
      <c r="DP764" s="72">
        <v>0</v>
      </c>
      <c r="DQ764" s="72">
        <v>0</v>
      </c>
      <c r="DR764" s="72">
        <v>0</v>
      </c>
      <c r="DS764" s="72">
        <v>0</v>
      </c>
      <c r="DT764" s="72">
        <v>0</v>
      </c>
      <c r="DU764" s="72">
        <v>0</v>
      </c>
      <c r="DV764" s="72">
        <v>0</v>
      </c>
      <c r="DW764" s="72">
        <v>0</v>
      </c>
      <c r="DX764" s="72">
        <v>0</v>
      </c>
      <c r="DY764" s="72">
        <v>0</v>
      </c>
      <c r="DZ764" s="72">
        <v>0</v>
      </c>
      <c r="EA764" s="72">
        <v>0</v>
      </c>
      <c r="EB764" s="72">
        <v>0</v>
      </c>
      <c r="EC764" s="72">
        <v>0</v>
      </c>
      <c r="ED764" s="72">
        <v>0</v>
      </c>
      <c r="EE764" s="72">
        <v>0</v>
      </c>
      <c r="EF764" s="72">
        <v>0</v>
      </c>
      <c r="EG764" s="72">
        <v>0</v>
      </c>
      <c r="EH764" s="72">
        <v>0</v>
      </c>
      <c r="EI764" s="72">
        <v>0</v>
      </c>
      <c r="EJ764" s="72">
        <v>0</v>
      </c>
      <c r="EK764" s="72">
        <v>0</v>
      </c>
      <c r="EL764" s="72">
        <v>0</v>
      </c>
    </row>
    <row r="765" spans="1:142" x14ac:dyDescent="0.35">
      <c r="A765" s="59">
        <f>Данные!A765</f>
        <v>6370</v>
      </c>
      <c r="B765" s="59">
        <f>Данные!B765</f>
        <v>2018</v>
      </c>
      <c r="C765" s="59" t="str">
        <f>Данные!C765</f>
        <v>современных европейских языков</v>
      </c>
      <c r="D765" s="59" t="str">
        <f>Данные!D765</f>
        <v>Кудрявцева Наталья Фаддеевна</v>
      </c>
      <c r="E765" s="59" t="str">
        <f>Данные!E765</f>
        <v>кандидат социологических наук</v>
      </c>
      <c r="F765" s="59" t="str">
        <f>Данные!F765</f>
        <v>доцент</v>
      </c>
      <c r="G765" s="59">
        <f>Данные!G765</f>
        <v>1</v>
      </c>
      <c r="H765" s="59">
        <f>Данные!H765</f>
        <v>17048</v>
      </c>
      <c r="I765" s="59" t="str">
        <f>Данные!I765</f>
        <v>Модуль "Профессиональная коммуникация". Иностранный язык в профессиональной коммуникации</v>
      </c>
      <c r="J765" s="59">
        <f>Данные!J765</f>
        <v>4</v>
      </c>
      <c r="K765" s="59">
        <f>Данные!K765</f>
        <v>0</v>
      </c>
      <c r="L765" s="59">
        <f>Данные!L765</f>
        <v>14</v>
      </c>
      <c r="M765" s="60">
        <f t="shared" si="99"/>
        <v>1.8</v>
      </c>
      <c r="N765" s="60">
        <f t="shared" ca="1" si="100"/>
        <v>5.3000000000000007</v>
      </c>
      <c r="O765" s="60">
        <f t="shared" ca="1" si="101"/>
        <v>2.5</v>
      </c>
      <c r="P765" s="60">
        <f t="shared" ca="1" si="102"/>
        <v>2.5</v>
      </c>
      <c r="Q765" s="54">
        <f>Данные!Q765</f>
        <v>0</v>
      </c>
      <c r="R765" s="54">
        <f>Данные!R765</f>
        <v>0</v>
      </c>
      <c r="S765" s="54">
        <f>Данные!S765</f>
        <v>0</v>
      </c>
      <c r="T765" s="54">
        <f>Данные!T765</f>
        <v>0</v>
      </c>
      <c r="U765" s="54">
        <f>Данные!U765</f>
        <v>0</v>
      </c>
      <c r="V765" s="54">
        <f>Данные!V765</f>
        <v>0</v>
      </c>
      <c r="W765" s="54">
        <f ca="1">Данные!W765</f>
        <v>10</v>
      </c>
      <c r="X765" s="54" t="str">
        <f ca="1">Данные!X765</f>
        <v>1</v>
      </c>
      <c r="Y765" s="54" t="str">
        <f ca="1">Данные!Y765</f>
        <v>1</v>
      </c>
      <c r="Z765" s="54">
        <f>Данные!Z765</f>
        <v>0</v>
      </c>
      <c r="AA765" s="54" t="str">
        <f>Данные!AA765</f>
        <v>осн</v>
      </c>
      <c r="AB765" s="101">
        <f t="shared" si="103"/>
        <v>800</v>
      </c>
      <c r="AC765" s="101" t="str">
        <f t="shared" si="104"/>
        <v>КЭО (маг)</v>
      </c>
      <c r="AD765" s="101" t="str">
        <f t="shared" si="105"/>
        <v/>
      </c>
      <c r="AE765" s="102">
        <f t="shared" ca="1" si="106"/>
        <v>30.1</v>
      </c>
      <c r="AF765" s="103">
        <f t="shared" ca="1" si="107"/>
        <v>3.7624999999999999E-2</v>
      </c>
      <c r="AG765" s="101"/>
      <c r="AH765" s="101"/>
      <c r="BQ765" s="72">
        <v>0</v>
      </c>
      <c r="BR765" s="72">
        <v>0</v>
      </c>
      <c r="BS765" s="72">
        <v>0</v>
      </c>
      <c r="BT765" s="72">
        <v>0</v>
      </c>
      <c r="BU765" s="72">
        <v>0</v>
      </c>
      <c r="BV765" s="72">
        <v>0</v>
      </c>
      <c r="BW765" s="72">
        <v>0</v>
      </c>
      <c r="BX765" s="72">
        <v>0</v>
      </c>
      <c r="BY765" s="72">
        <v>0</v>
      </c>
      <c r="BZ765" s="72">
        <v>0</v>
      </c>
      <c r="CA765" s="72">
        <v>0</v>
      </c>
      <c r="CB765" s="72">
        <v>0</v>
      </c>
      <c r="CC765" s="72">
        <v>0</v>
      </c>
      <c r="CD765" s="72">
        <v>0</v>
      </c>
      <c r="CE765" s="72">
        <v>0</v>
      </c>
      <c r="CF765" s="72">
        <v>0</v>
      </c>
      <c r="CG765" s="72">
        <v>0</v>
      </c>
      <c r="CH765" s="72">
        <v>0</v>
      </c>
      <c r="CI765" s="72">
        <v>0</v>
      </c>
      <c r="CJ765" s="72">
        <v>0</v>
      </c>
      <c r="CK765" s="72">
        <v>0</v>
      </c>
      <c r="CL765" s="72">
        <v>0</v>
      </c>
      <c r="CM765" s="72">
        <v>0</v>
      </c>
      <c r="CN765" s="72">
        <v>0</v>
      </c>
      <c r="CO765" s="72">
        <v>0</v>
      </c>
      <c r="CP765" s="72">
        <v>0</v>
      </c>
      <c r="CQ765" s="72">
        <v>0</v>
      </c>
      <c r="CR765" s="72">
        <v>0</v>
      </c>
      <c r="CS765" s="72">
        <v>0</v>
      </c>
      <c r="CT765" s="72">
        <v>0</v>
      </c>
      <c r="CU765" s="72">
        <v>0</v>
      </c>
      <c r="CV765" s="72">
        <v>0</v>
      </c>
      <c r="CW765" s="72">
        <v>0</v>
      </c>
      <c r="CX765" s="72">
        <v>0</v>
      </c>
      <c r="CY765" s="72">
        <v>0</v>
      </c>
      <c r="CZ765" s="72">
        <v>0</v>
      </c>
      <c r="DA765" s="72">
        <v>0</v>
      </c>
      <c r="DB765" s="72">
        <v>0</v>
      </c>
      <c r="DC765" s="72">
        <v>0</v>
      </c>
      <c r="DD765" s="72">
        <v>0</v>
      </c>
      <c r="DE765" s="72">
        <v>0</v>
      </c>
      <c r="DF765" s="72">
        <v>0</v>
      </c>
      <c r="DG765" s="72">
        <v>0</v>
      </c>
      <c r="DH765" s="72">
        <v>0</v>
      </c>
      <c r="DI765" s="72">
        <v>0</v>
      </c>
      <c r="DJ765" s="72">
        <v>0</v>
      </c>
      <c r="DK765" s="72">
        <v>0</v>
      </c>
      <c r="DL765" s="72">
        <v>0</v>
      </c>
      <c r="DM765" s="72">
        <v>0</v>
      </c>
      <c r="DN765" s="72">
        <v>0</v>
      </c>
      <c r="DO765" s="72">
        <v>0</v>
      </c>
      <c r="DP765" s="72">
        <v>0</v>
      </c>
      <c r="DQ765" s="72">
        <v>0</v>
      </c>
      <c r="DR765" s="72">
        <v>0</v>
      </c>
      <c r="DS765" s="72">
        <v>0</v>
      </c>
      <c r="DT765" s="72">
        <v>0</v>
      </c>
      <c r="DU765" s="72">
        <v>0</v>
      </c>
      <c r="DV765" s="72">
        <v>0</v>
      </c>
      <c r="DW765" s="72">
        <v>0</v>
      </c>
      <c r="DX765" s="72">
        <v>0</v>
      </c>
      <c r="DY765" s="72">
        <v>0</v>
      </c>
      <c r="DZ765" s="72">
        <v>0</v>
      </c>
      <c r="EA765" s="72">
        <v>0</v>
      </c>
      <c r="EB765" s="72">
        <v>0</v>
      </c>
      <c r="EC765" s="72">
        <v>0</v>
      </c>
      <c r="ED765" s="72">
        <v>0</v>
      </c>
      <c r="EE765" s="72">
        <v>0</v>
      </c>
      <c r="EF765" s="72">
        <v>0</v>
      </c>
      <c r="EG765" s="72">
        <v>0</v>
      </c>
      <c r="EH765" s="72">
        <v>0</v>
      </c>
      <c r="EI765" s="72">
        <v>0</v>
      </c>
      <c r="EJ765" s="72">
        <v>0</v>
      </c>
      <c r="EK765" s="72">
        <v>0</v>
      </c>
      <c r="EL765" s="72">
        <v>0</v>
      </c>
    </row>
    <row r="766" spans="1:142" x14ac:dyDescent="0.35">
      <c r="A766" s="59">
        <f>Данные!A766</f>
        <v>6370</v>
      </c>
      <c r="B766" s="59">
        <f>Данные!B766</f>
        <v>2018</v>
      </c>
      <c r="C766" s="59" t="str">
        <f>Данные!C766</f>
        <v>современных европейских языков</v>
      </c>
      <c r="D766" s="59" t="str">
        <f>Данные!D766</f>
        <v>Кудрявцева Наталья Фаддеевна</v>
      </c>
      <c r="E766" s="59" t="str">
        <f>Данные!E766</f>
        <v>кандидат социологических наук</v>
      </c>
      <c r="F766" s="59" t="str">
        <f>Данные!F766</f>
        <v>доцент</v>
      </c>
      <c r="G766" s="59">
        <f>Данные!G766</f>
        <v>1</v>
      </c>
      <c r="H766" s="59" t="str">
        <f>Данные!H766</f>
        <v>2 курс (м) 2018 год/пост</v>
      </c>
      <c r="I766" s="59" t="str">
        <f>Данные!I766</f>
        <v>Модуль "Профессиональная коммуникация". Иностранный язык в профессиональной коммуникации</v>
      </c>
      <c r="J766" s="59">
        <f>Данные!J766</f>
        <v>4</v>
      </c>
      <c r="K766" s="59">
        <f>Данные!K766</f>
        <v>0</v>
      </c>
      <c r="L766" s="59">
        <f>Данные!L766</f>
        <v>14</v>
      </c>
      <c r="M766" s="60">
        <f t="shared" si="99"/>
        <v>1.8</v>
      </c>
      <c r="N766" s="60">
        <f t="shared" ca="1" si="100"/>
        <v>5.3000000000000007</v>
      </c>
      <c r="O766" s="60">
        <f t="shared" ca="1" si="101"/>
        <v>2.5</v>
      </c>
      <c r="P766" s="60">
        <f t="shared" ca="1" si="102"/>
        <v>2.5</v>
      </c>
      <c r="Q766" s="54">
        <f>Данные!Q766</f>
        <v>0</v>
      </c>
      <c r="R766" s="54">
        <f>Данные!R766</f>
        <v>0</v>
      </c>
      <c r="S766" s="54">
        <f>Данные!S766</f>
        <v>0</v>
      </c>
      <c r="T766" s="54">
        <f>Данные!T766</f>
        <v>8</v>
      </c>
      <c r="U766" s="54">
        <f>Данные!U766</f>
        <v>0</v>
      </c>
      <c r="V766" s="54">
        <f>Данные!V766</f>
        <v>0</v>
      </c>
      <c r="W766" s="54">
        <f ca="1">Данные!W766</f>
        <v>10</v>
      </c>
      <c r="X766" s="54" t="str">
        <f ca="1">Данные!X766</f>
        <v>1</v>
      </c>
      <c r="Y766" s="54" t="str">
        <f ca="1">Данные!Y766</f>
        <v>1</v>
      </c>
      <c r="Z766" s="54">
        <f>Данные!Z766</f>
        <v>0</v>
      </c>
      <c r="AA766" s="54" t="str">
        <f>Данные!AA766</f>
        <v>осн</v>
      </c>
      <c r="AB766" s="101">
        <f t="shared" si="103"/>
        <v>800</v>
      </c>
      <c r="AC766" s="101" t="str">
        <f t="shared" si="104"/>
        <v>КЭО (маг)</v>
      </c>
      <c r="AD766" s="101" t="str">
        <f t="shared" si="105"/>
        <v/>
      </c>
      <c r="AE766" s="102">
        <f t="shared" ca="1" si="106"/>
        <v>38.1</v>
      </c>
      <c r="AF766" s="103">
        <f t="shared" ca="1" si="107"/>
        <v>4.7625000000000001E-2</v>
      </c>
      <c r="AG766" s="101"/>
      <c r="AH766" s="101"/>
      <c r="BQ766" s="72">
        <v>0</v>
      </c>
      <c r="BR766" s="72">
        <v>0</v>
      </c>
      <c r="BS766" s="72">
        <v>0</v>
      </c>
      <c r="BT766" s="72">
        <v>0</v>
      </c>
      <c r="BU766" s="72">
        <v>0</v>
      </c>
      <c r="BV766" s="72">
        <v>0</v>
      </c>
      <c r="BW766" s="72">
        <v>0</v>
      </c>
      <c r="BX766" s="72">
        <v>0</v>
      </c>
      <c r="BY766" s="72">
        <v>0</v>
      </c>
      <c r="BZ766" s="72">
        <v>0</v>
      </c>
      <c r="CA766" s="72">
        <v>0</v>
      </c>
      <c r="CB766" s="72">
        <v>0</v>
      </c>
      <c r="CC766" s="72">
        <v>0</v>
      </c>
      <c r="CD766" s="72">
        <v>0</v>
      </c>
      <c r="CE766" s="72">
        <v>0</v>
      </c>
      <c r="CF766" s="72">
        <v>0</v>
      </c>
      <c r="CG766" s="72">
        <v>0</v>
      </c>
      <c r="CH766" s="72">
        <v>0</v>
      </c>
      <c r="CI766" s="72">
        <v>0</v>
      </c>
      <c r="CJ766" s="72">
        <v>0</v>
      </c>
      <c r="CK766" s="72">
        <v>0</v>
      </c>
      <c r="CL766" s="72">
        <v>0</v>
      </c>
      <c r="CM766" s="72">
        <v>0</v>
      </c>
      <c r="CN766" s="72">
        <v>0</v>
      </c>
      <c r="CO766" s="72">
        <v>0</v>
      </c>
      <c r="CP766" s="72">
        <v>0</v>
      </c>
      <c r="CQ766" s="72">
        <v>0</v>
      </c>
      <c r="CR766" s="72">
        <v>0</v>
      </c>
      <c r="CS766" s="72">
        <v>0</v>
      </c>
      <c r="CT766" s="72">
        <v>0</v>
      </c>
      <c r="CU766" s="72">
        <v>0</v>
      </c>
      <c r="CV766" s="72">
        <v>0</v>
      </c>
      <c r="CW766" s="72">
        <v>0</v>
      </c>
      <c r="CX766" s="72">
        <v>0</v>
      </c>
      <c r="CY766" s="72">
        <v>0</v>
      </c>
      <c r="CZ766" s="72">
        <v>0</v>
      </c>
      <c r="DA766" s="72">
        <v>0</v>
      </c>
      <c r="DB766" s="72">
        <v>0</v>
      </c>
      <c r="DC766" s="72">
        <v>0</v>
      </c>
      <c r="DD766" s="72">
        <v>0</v>
      </c>
      <c r="DE766" s="72">
        <v>0</v>
      </c>
      <c r="DF766" s="72">
        <v>0</v>
      </c>
      <c r="DG766" s="72">
        <v>0</v>
      </c>
      <c r="DH766" s="72">
        <v>0</v>
      </c>
      <c r="DI766" s="72">
        <v>0</v>
      </c>
      <c r="DJ766" s="72">
        <v>0</v>
      </c>
      <c r="DK766" s="72">
        <v>0</v>
      </c>
      <c r="DL766" s="72">
        <v>0</v>
      </c>
      <c r="DM766" s="72">
        <v>0</v>
      </c>
      <c r="DN766" s="72">
        <v>0</v>
      </c>
      <c r="DO766" s="72">
        <v>0</v>
      </c>
      <c r="DP766" s="72">
        <v>0</v>
      </c>
      <c r="DQ766" s="72">
        <v>0</v>
      </c>
      <c r="DR766" s="72">
        <v>0</v>
      </c>
      <c r="DS766" s="72">
        <v>0</v>
      </c>
      <c r="DT766" s="72">
        <v>0</v>
      </c>
      <c r="DU766" s="72">
        <v>0</v>
      </c>
      <c r="DV766" s="72">
        <v>0</v>
      </c>
      <c r="DW766" s="72">
        <v>0</v>
      </c>
      <c r="DX766" s="72">
        <v>0</v>
      </c>
      <c r="DY766" s="72">
        <v>0</v>
      </c>
      <c r="DZ766" s="72">
        <v>0</v>
      </c>
      <c r="EA766" s="72">
        <v>0</v>
      </c>
      <c r="EB766" s="72">
        <v>0</v>
      </c>
      <c r="EC766" s="72">
        <v>0</v>
      </c>
      <c r="ED766" s="72">
        <v>0</v>
      </c>
      <c r="EE766" s="72">
        <v>0</v>
      </c>
      <c r="EF766" s="72">
        <v>0</v>
      </c>
      <c r="EG766" s="72">
        <v>0</v>
      </c>
      <c r="EH766" s="72">
        <v>0</v>
      </c>
      <c r="EI766" s="72">
        <v>0</v>
      </c>
      <c r="EJ766" s="72">
        <v>0</v>
      </c>
      <c r="EK766" s="72">
        <v>0</v>
      </c>
      <c r="EL766" s="72">
        <v>0</v>
      </c>
    </row>
    <row r="767" spans="1:142" x14ac:dyDescent="0.35">
      <c r="A767" s="59">
        <f>Данные!A767</f>
        <v>6370</v>
      </c>
      <c r="B767" s="59">
        <f>Данные!B767</f>
        <v>2019</v>
      </c>
      <c r="C767" s="59" t="str">
        <f>Данные!C767</f>
        <v>компьютерных технологий и электронного обучения</v>
      </c>
      <c r="D767" s="59" t="str">
        <f>Данные!D767</f>
        <v>Авксентьева Елена Юрьевна</v>
      </c>
      <c r="E767" s="59" t="str">
        <f>Данные!E767</f>
        <v>кандидат педагогических наук</v>
      </c>
      <c r="F767" s="59" t="str">
        <f>Данные!F767</f>
        <v>доцент</v>
      </c>
      <c r="G767" s="59">
        <f>Данные!G767</f>
        <v>1</v>
      </c>
      <c r="H767" s="59" t="str">
        <f>Данные!H767</f>
        <v>2 курс (м) 2018 год/пост</v>
      </c>
      <c r="I767" s="59" t="str">
        <f>Данные!I767</f>
        <v>Модуль "IT-решения и инструменты в образовании". Дисциплины и курсы по выбору. Анализ данных в педагогических исследованиях</v>
      </c>
      <c r="J767" s="59">
        <f>Данные!J767</f>
        <v>4</v>
      </c>
      <c r="K767" s="59">
        <f>Данные!K767</f>
        <v>22</v>
      </c>
      <c r="L767" s="59">
        <f>Данные!L767</f>
        <v>0</v>
      </c>
      <c r="M767" s="60">
        <f t="shared" si="99"/>
        <v>2.6</v>
      </c>
      <c r="N767" s="60">
        <f t="shared" ca="1" si="100"/>
        <v>5.3000000000000007</v>
      </c>
      <c r="O767" s="60">
        <f t="shared" ca="1" si="101"/>
        <v>2.5</v>
      </c>
      <c r="P767" s="60">
        <f t="shared" ca="1" si="102"/>
        <v>2.5</v>
      </c>
      <c r="Q767" s="54">
        <f>Данные!Q767</f>
        <v>0</v>
      </c>
      <c r="R767" s="54">
        <f>Данные!R767</f>
        <v>0</v>
      </c>
      <c r="S767" s="54">
        <f>Данные!S767</f>
        <v>0</v>
      </c>
      <c r="T767" s="54">
        <f>Данные!T767</f>
        <v>0</v>
      </c>
      <c r="U767" s="54">
        <f>Данные!U767</f>
        <v>0</v>
      </c>
      <c r="V767" s="54">
        <f>Данные!V767</f>
        <v>0</v>
      </c>
      <c r="W767" s="54">
        <f ca="1">Данные!W767</f>
        <v>10</v>
      </c>
      <c r="X767" s="54" t="str">
        <f ca="1">Данные!X767</f>
        <v>1</v>
      </c>
      <c r="Y767" s="54" t="str">
        <f ca="1">Данные!Y767</f>
        <v>1</v>
      </c>
      <c r="Z767" s="54">
        <f>Данные!Z767</f>
        <v>0</v>
      </c>
      <c r="AA767" s="54" t="str">
        <f>Данные!AA767</f>
        <v>осн</v>
      </c>
      <c r="AB767" s="101">
        <f t="shared" si="103"/>
        <v>800</v>
      </c>
      <c r="AC767" s="101" t="str">
        <f t="shared" si="104"/>
        <v>КЭО (маг)</v>
      </c>
      <c r="AD767" s="101" t="str">
        <f t="shared" si="105"/>
        <v/>
      </c>
      <c r="AE767" s="102">
        <f t="shared" ca="1" si="106"/>
        <v>38.900000000000006</v>
      </c>
      <c r="AF767" s="103">
        <f t="shared" ca="1" si="107"/>
        <v>4.8625000000000008E-2</v>
      </c>
      <c r="AG767" s="101"/>
      <c r="AH767" s="101"/>
      <c r="BQ767" s="72">
        <v>0</v>
      </c>
      <c r="BR767" s="72">
        <v>0</v>
      </c>
      <c r="BS767" s="72">
        <v>0</v>
      </c>
      <c r="BT767" s="72">
        <v>0</v>
      </c>
      <c r="BU767" s="72">
        <v>0</v>
      </c>
      <c r="BV767" s="72">
        <v>0</v>
      </c>
      <c r="BW767" s="72">
        <v>0</v>
      </c>
      <c r="BX767" s="72">
        <v>0</v>
      </c>
      <c r="BY767" s="72">
        <v>0</v>
      </c>
      <c r="BZ767" s="72">
        <v>0</v>
      </c>
      <c r="CA767" s="72">
        <v>0</v>
      </c>
      <c r="CB767" s="72">
        <v>0</v>
      </c>
      <c r="CC767" s="72">
        <v>0</v>
      </c>
      <c r="CD767" s="72">
        <v>0</v>
      </c>
      <c r="CE767" s="72">
        <v>0</v>
      </c>
      <c r="CF767" s="72">
        <v>0</v>
      </c>
      <c r="CG767" s="72">
        <v>0</v>
      </c>
      <c r="CH767" s="72">
        <v>0</v>
      </c>
      <c r="CI767" s="72">
        <v>0</v>
      </c>
      <c r="CJ767" s="72">
        <v>0</v>
      </c>
      <c r="CK767" s="72">
        <v>0</v>
      </c>
      <c r="CL767" s="72">
        <v>0</v>
      </c>
      <c r="CM767" s="72">
        <v>0</v>
      </c>
      <c r="CN767" s="72">
        <v>0</v>
      </c>
      <c r="CO767" s="72">
        <v>0</v>
      </c>
      <c r="CP767" s="72">
        <v>0</v>
      </c>
      <c r="CQ767" s="72">
        <v>0</v>
      </c>
      <c r="CR767" s="72">
        <v>0</v>
      </c>
      <c r="CS767" s="72">
        <v>0</v>
      </c>
      <c r="CT767" s="72">
        <v>0</v>
      </c>
      <c r="CU767" s="72">
        <v>0</v>
      </c>
      <c r="CV767" s="72">
        <v>0</v>
      </c>
      <c r="CW767" s="72">
        <v>0</v>
      </c>
      <c r="CX767" s="72">
        <v>0</v>
      </c>
      <c r="CY767" s="72">
        <v>0</v>
      </c>
      <c r="CZ767" s="72">
        <v>0</v>
      </c>
      <c r="DA767" s="72">
        <v>0</v>
      </c>
      <c r="DB767" s="72">
        <v>0</v>
      </c>
      <c r="DC767" s="72">
        <v>0</v>
      </c>
      <c r="DD767" s="72">
        <v>0</v>
      </c>
      <c r="DE767" s="72">
        <v>0</v>
      </c>
      <c r="DF767" s="72">
        <v>0</v>
      </c>
      <c r="DG767" s="72">
        <v>0</v>
      </c>
      <c r="DH767" s="72">
        <v>0</v>
      </c>
      <c r="DI767" s="72">
        <v>0</v>
      </c>
      <c r="DJ767" s="72">
        <v>0</v>
      </c>
      <c r="DK767" s="72">
        <v>0</v>
      </c>
      <c r="DL767" s="72">
        <v>0</v>
      </c>
      <c r="DM767" s="72">
        <v>0</v>
      </c>
      <c r="DN767" s="72">
        <v>0</v>
      </c>
      <c r="DO767" s="72">
        <v>0</v>
      </c>
      <c r="DP767" s="72">
        <v>0</v>
      </c>
      <c r="DQ767" s="72">
        <v>0</v>
      </c>
      <c r="DR767" s="72">
        <v>0</v>
      </c>
      <c r="DS767" s="72">
        <v>0</v>
      </c>
      <c r="DT767" s="72">
        <v>0</v>
      </c>
      <c r="DU767" s="72">
        <v>0</v>
      </c>
      <c r="DV767" s="72">
        <v>0</v>
      </c>
      <c r="DW767" s="72">
        <v>0</v>
      </c>
      <c r="DX767" s="72">
        <v>0</v>
      </c>
      <c r="DY767" s="72">
        <v>0</v>
      </c>
      <c r="DZ767" s="72">
        <v>0</v>
      </c>
      <c r="EA767" s="72">
        <v>0</v>
      </c>
      <c r="EB767" s="72">
        <v>0</v>
      </c>
      <c r="EC767" s="72">
        <v>0</v>
      </c>
      <c r="ED767" s="72">
        <v>0</v>
      </c>
      <c r="EE767" s="72">
        <v>0</v>
      </c>
      <c r="EF767" s="72">
        <v>0</v>
      </c>
      <c r="EG767" s="72">
        <v>0</v>
      </c>
      <c r="EH767" s="72">
        <v>0</v>
      </c>
      <c r="EI767" s="72">
        <v>0</v>
      </c>
      <c r="EJ767" s="72">
        <v>0</v>
      </c>
      <c r="EK767" s="72">
        <v>0</v>
      </c>
      <c r="EL767" s="72">
        <v>0</v>
      </c>
    </row>
    <row r="768" spans="1:142" x14ac:dyDescent="0.35">
      <c r="A768" s="59">
        <f>Данные!A768</f>
        <v>6370</v>
      </c>
      <c r="B768" s="59">
        <f>Данные!B768</f>
        <v>2019</v>
      </c>
      <c r="C768" s="59" t="str">
        <f>Данные!C768</f>
        <v>компьютерных технологий и электронного обучения</v>
      </c>
      <c r="D768" s="59" t="str">
        <f>Данные!D768</f>
        <v>Авксентьева Елена Юрьевна</v>
      </c>
      <c r="E768" s="59" t="str">
        <f>Данные!E768</f>
        <v>кандидат педагогических наук</v>
      </c>
      <c r="F768" s="59" t="str">
        <f>Данные!F768</f>
        <v>доцент</v>
      </c>
      <c r="G768" s="59">
        <f>Данные!G768</f>
        <v>1</v>
      </c>
      <c r="H768" s="59" t="str">
        <f>Данные!H768</f>
        <v>2 курс (м) 2018 год/пост</v>
      </c>
      <c r="I768" s="59" t="str">
        <f>Данные!I768</f>
        <v>Научно-исследовательская работа. Педагогическое образование. Магистерская программа "Корпоративное электронное обучение"</v>
      </c>
      <c r="J768" s="59">
        <f>Данные!J768</f>
        <v>0</v>
      </c>
      <c r="K768" s="59">
        <f>Данные!K768</f>
        <v>0</v>
      </c>
      <c r="L768" s="59">
        <f>Данные!L768</f>
        <v>0</v>
      </c>
      <c r="M768" s="60">
        <f t="shared" si="99"/>
        <v>0</v>
      </c>
      <c r="N768" s="60">
        <f t="shared" ca="1" si="100"/>
        <v>5.3000000000000007</v>
      </c>
      <c r="O768" s="60">
        <f t="shared" ca="1" si="101"/>
        <v>2.5</v>
      </c>
      <c r="P768" s="60">
        <f t="shared" ca="1" si="102"/>
        <v>2.5</v>
      </c>
      <c r="Q768" s="54">
        <f>Данные!Q768</f>
        <v>0</v>
      </c>
      <c r="R768" s="54">
        <f>Данные!R768</f>
        <v>0</v>
      </c>
      <c r="S768" s="54">
        <f>Данные!S768</f>
        <v>0</v>
      </c>
      <c r="T768" s="54">
        <f>Данные!T768</f>
        <v>0</v>
      </c>
      <c r="U768" s="54">
        <f>Данные!U768</f>
        <v>8</v>
      </c>
      <c r="V768" s="54">
        <f>Данные!V768</f>
        <v>0</v>
      </c>
      <c r="W768" s="54">
        <f ca="1">Данные!W768</f>
        <v>10</v>
      </c>
      <c r="X768" s="54" t="str">
        <f ca="1">Данные!X768</f>
        <v>1</v>
      </c>
      <c r="Y768" s="54" t="str">
        <f ca="1">Данные!Y768</f>
        <v>1</v>
      </c>
      <c r="Z768" s="54">
        <f>Данные!Z768</f>
        <v>0</v>
      </c>
      <c r="AA768" s="54" t="str">
        <f>Данные!AA768</f>
        <v>осн</v>
      </c>
      <c r="AB768" s="101">
        <f t="shared" si="103"/>
        <v>800</v>
      </c>
      <c r="AC768" s="101" t="str">
        <f t="shared" si="104"/>
        <v>КЭО (маг)</v>
      </c>
      <c r="AD768" s="101" t="str">
        <f t="shared" si="105"/>
        <v/>
      </c>
      <c r="AE768" s="102">
        <f t="shared" ca="1" si="106"/>
        <v>18.3</v>
      </c>
      <c r="AF768" s="103">
        <f t="shared" ca="1" si="107"/>
        <v>2.2875E-2</v>
      </c>
      <c r="AG768" s="101"/>
      <c r="AH768" s="101"/>
      <c r="BQ768" s="72">
        <v>0</v>
      </c>
      <c r="BR768" s="72">
        <v>0</v>
      </c>
      <c r="BS768" s="72">
        <v>0</v>
      </c>
      <c r="BT768" s="72">
        <v>0</v>
      </c>
      <c r="BU768" s="72">
        <v>0</v>
      </c>
      <c r="BV768" s="72">
        <v>0</v>
      </c>
      <c r="BW768" s="72">
        <v>0</v>
      </c>
      <c r="BX768" s="72">
        <v>0</v>
      </c>
      <c r="BY768" s="72">
        <v>0</v>
      </c>
      <c r="BZ768" s="72">
        <v>0</v>
      </c>
      <c r="CA768" s="72">
        <v>0</v>
      </c>
      <c r="CB768" s="72">
        <v>0</v>
      </c>
      <c r="CC768" s="72">
        <v>0</v>
      </c>
      <c r="CD768" s="72">
        <v>0</v>
      </c>
      <c r="CE768" s="72">
        <v>0</v>
      </c>
      <c r="CF768" s="72">
        <v>0</v>
      </c>
      <c r="CG768" s="72">
        <v>0</v>
      </c>
      <c r="CH768" s="72">
        <v>0</v>
      </c>
      <c r="CI768" s="72">
        <v>0</v>
      </c>
      <c r="CJ768" s="72">
        <v>0</v>
      </c>
      <c r="CK768" s="72">
        <v>0</v>
      </c>
      <c r="CL768" s="72">
        <v>0</v>
      </c>
      <c r="CM768" s="72">
        <v>0</v>
      </c>
      <c r="CN768" s="72">
        <v>0</v>
      </c>
      <c r="CO768" s="72">
        <v>0</v>
      </c>
      <c r="CP768" s="72">
        <v>0</v>
      </c>
      <c r="CQ768" s="72">
        <v>0</v>
      </c>
      <c r="CR768" s="72">
        <v>0</v>
      </c>
      <c r="CS768" s="72">
        <v>0</v>
      </c>
      <c r="CT768" s="72">
        <v>0</v>
      </c>
      <c r="CU768" s="72">
        <v>0</v>
      </c>
      <c r="CV768" s="72">
        <v>0</v>
      </c>
      <c r="CW768" s="72">
        <v>0</v>
      </c>
      <c r="CX768" s="72">
        <v>0</v>
      </c>
      <c r="CY768" s="72">
        <v>0</v>
      </c>
      <c r="CZ768" s="72">
        <v>0</v>
      </c>
      <c r="DA768" s="72">
        <v>0</v>
      </c>
      <c r="DB768" s="72">
        <v>0</v>
      </c>
      <c r="DC768" s="72">
        <v>0</v>
      </c>
      <c r="DD768" s="72">
        <v>0</v>
      </c>
      <c r="DE768" s="72">
        <v>0</v>
      </c>
      <c r="DF768" s="72">
        <v>0</v>
      </c>
      <c r="DG768" s="72">
        <v>0</v>
      </c>
      <c r="DH768" s="72">
        <v>0</v>
      </c>
      <c r="DI768" s="72">
        <v>0</v>
      </c>
      <c r="DJ768" s="72">
        <v>0</v>
      </c>
      <c r="DK768" s="72">
        <v>0</v>
      </c>
      <c r="DL768" s="72">
        <v>0</v>
      </c>
      <c r="DM768" s="72">
        <v>0</v>
      </c>
      <c r="DN768" s="72">
        <v>0</v>
      </c>
      <c r="DO768" s="72">
        <v>0</v>
      </c>
      <c r="DP768" s="72">
        <v>0</v>
      </c>
      <c r="DQ768" s="72">
        <v>0</v>
      </c>
      <c r="DR768" s="72">
        <v>0</v>
      </c>
      <c r="DS768" s="72">
        <v>0</v>
      </c>
      <c r="DT768" s="72">
        <v>0</v>
      </c>
      <c r="DU768" s="72">
        <v>0</v>
      </c>
      <c r="DV768" s="72">
        <v>0</v>
      </c>
      <c r="DW768" s="72">
        <v>0</v>
      </c>
      <c r="DX768" s="72">
        <v>0</v>
      </c>
      <c r="DY768" s="72">
        <v>0</v>
      </c>
      <c r="DZ768" s="72">
        <v>0</v>
      </c>
      <c r="EA768" s="72">
        <v>0</v>
      </c>
      <c r="EB768" s="72">
        <v>0</v>
      </c>
      <c r="EC768" s="72">
        <v>0</v>
      </c>
      <c r="ED768" s="72">
        <v>0</v>
      </c>
      <c r="EE768" s="72">
        <v>0</v>
      </c>
      <c r="EF768" s="72">
        <v>0</v>
      </c>
      <c r="EG768" s="72">
        <v>0</v>
      </c>
      <c r="EH768" s="72">
        <v>0</v>
      </c>
      <c r="EI768" s="72">
        <v>0</v>
      </c>
      <c r="EJ768" s="72">
        <v>0</v>
      </c>
      <c r="EK768" s="72">
        <v>0</v>
      </c>
      <c r="EL768" s="72">
        <v>0</v>
      </c>
    </row>
    <row r="769" spans="1:142" x14ac:dyDescent="0.35">
      <c r="A769" s="59">
        <f>Данные!A769</f>
        <v>6370</v>
      </c>
      <c r="B769" s="59">
        <f>Данные!B769</f>
        <v>2019</v>
      </c>
      <c r="C769" s="59" t="str">
        <f>Данные!C769</f>
        <v>компьютерных технологий и электронного обучения</v>
      </c>
      <c r="D769" s="59" t="str">
        <f>Данные!D769</f>
        <v>Авксентьева Елена Юрьевна</v>
      </c>
      <c r="E769" s="59" t="str">
        <f>Данные!E769</f>
        <v>кандидат педагогических наук</v>
      </c>
      <c r="F769" s="59" t="str">
        <f>Данные!F769</f>
        <v>доцент</v>
      </c>
      <c r="G769" s="59">
        <f>Данные!G769</f>
        <v>1</v>
      </c>
      <c r="H769" s="59" t="str">
        <f>Данные!H769</f>
        <v>2 курс (м) 2018 год/пост</v>
      </c>
      <c r="I769" s="59" t="str">
        <f>Данные!I769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69" s="59">
        <f>Данные!J769</f>
        <v>0</v>
      </c>
      <c r="K769" s="59">
        <f>Данные!K769</f>
        <v>0</v>
      </c>
      <c r="L769" s="59">
        <f>Данные!L769</f>
        <v>0</v>
      </c>
      <c r="M769" s="60">
        <f t="shared" si="99"/>
        <v>0</v>
      </c>
      <c r="N769" s="60">
        <f t="shared" ca="1" si="100"/>
        <v>5.3000000000000007</v>
      </c>
      <c r="O769" s="60">
        <f t="shared" ca="1" si="101"/>
        <v>2.5</v>
      </c>
      <c r="P769" s="60">
        <f t="shared" ca="1" si="102"/>
        <v>2.5</v>
      </c>
      <c r="Q769" s="54">
        <f>Данные!Q769</f>
        <v>0</v>
      </c>
      <c r="R769" s="54">
        <f>Данные!R769</f>
        <v>6</v>
      </c>
      <c r="S769" s="54">
        <f>Данные!S769</f>
        <v>6</v>
      </c>
      <c r="T769" s="54">
        <f>Данные!T769</f>
        <v>0</v>
      </c>
      <c r="U769" s="54">
        <f>Данные!U769</f>
        <v>0</v>
      </c>
      <c r="V769" s="54">
        <f>Данные!V769</f>
        <v>22</v>
      </c>
      <c r="W769" s="54">
        <f ca="1">Данные!W769</f>
        <v>10</v>
      </c>
      <c r="X769" s="54" t="str">
        <f ca="1">Данные!X769</f>
        <v>1</v>
      </c>
      <c r="Y769" s="54" t="str">
        <f ca="1">Данные!Y769</f>
        <v>1</v>
      </c>
      <c r="Z769" s="54">
        <f>Данные!Z769</f>
        <v>0</v>
      </c>
      <c r="AA769" s="54" t="str">
        <f>Данные!AA769</f>
        <v>осн</v>
      </c>
      <c r="AB769" s="101">
        <f t="shared" si="103"/>
        <v>800</v>
      </c>
      <c r="AC769" s="101" t="str">
        <f t="shared" si="104"/>
        <v>КЭО (маг)</v>
      </c>
      <c r="AD769" s="101" t="str">
        <f t="shared" si="105"/>
        <v/>
      </c>
      <c r="AE769" s="102">
        <f t="shared" ca="1" si="106"/>
        <v>44.3</v>
      </c>
      <c r="AF769" s="103">
        <f t="shared" ca="1" si="107"/>
        <v>5.5374999999999994E-2</v>
      </c>
      <c r="AG769" s="101"/>
      <c r="AH769" s="101"/>
      <c r="BQ769" s="72">
        <v>0</v>
      </c>
      <c r="BR769" s="72">
        <v>0</v>
      </c>
      <c r="BS769" s="72">
        <v>0</v>
      </c>
      <c r="BT769" s="72">
        <v>0</v>
      </c>
      <c r="BU769" s="72">
        <v>0</v>
      </c>
      <c r="BV769" s="72">
        <v>0</v>
      </c>
      <c r="BW769" s="72">
        <v>0</v>
      </c>
      <c r="BX769" s="72">
        <v>0</v>
      </c>
      <c r="BY769" s="72">
        <v>0</v>
      </c>
      <c r="BZ769" s="72">
        <v>0</v>
      </c>
      <c r="CA769" s="72">
        <v>0</v>
      </c>
      <c r="CB769" s="72">
        <v>0</v>
      </c>
      <c r="CC769" s="72">
        <v>0</v>
      </c>
      <c r="CD769" s="72">
        <v>0</v>
      </c>
      <c r="CE769" s="72">
        <v>0</v>
      </c>
      <c r="CF769" s="72">
        <v>0</v>
      </c>
      <c r="CG769" s="72">
        <v>0</v>
      </c>
      <c r="CH769" s="72">
        <v>0</v>
      </c>
      <c r="CI769" s="72">
        <v>0</v>
      </c>
      <c r="CJ769" s="72">
        <v>0</v>
      </c>
      <c r="CK769" s="72">
        <v>0</v>
      </c>
      <c r="CL769" s="72">
        <v>0</v>
      </c>
      <c r="CM769" s="72">
        <v>0</v>
      </c>
      <c r="CN769" s="72">
        <v>0</v>
      </c>
      <c r="CO769" s="72">
        <v>0</v>
      </c>
      <c r="CP769" s="72">
        <v>0</v>
      </c>
      <c r="CQ769" s="72">
        <v>0</v>
      </c>
      <c r="CR769" s="72">
        <v>0</v>
      </c>
      <c r="CS769" s="72">
        <v>0</v>
      </c>
      <c r="CT769" s="72">
        <v>0</v>
      </c>
      <c r="CU769" s="72">
        <v>0</v>
      </c>
      <c r="CV769" s="72">
        <v>0</v>
      </c>
      <c r="CW769" s="72">
        <v>0</v>
      </c>
      <c r="CX769" s="72">
        <v>0</v>
      </c>
      <c r="CY769" s="72">
        <v>0</v>
      </c>
      <c r="CZ769" s="72">
        <v>0</v>
      </c>
      <c r="DA769" s="72">
        <v>0</v>
      </c>
      <c r="DB769" s="72">
        <v>0</v>
      </c>
      <c r="DC769" s="72">
        <v>0</v>
      </c>
      <c r="DD769" s="72">
        <v>0</v>
      </c>
      <c r="DE769" s="72">
        <v>0</v>
      </c>
      <c r="DF769" s="72">
        <v>0</v>
      </c>
      <c r="DG769" s="72">
        <v>0</v>
      </c>
      <c r="DH769" s="72">
        <v>0</v>
      </c>
      <c r="DI769" s="72">
        <v>0</v>
      </c>
      <c r="DJ769" s="72">
        <v>0</v>
      </c>
      <c r="DK769" s="72">
        <v>0</v>
      </c>
      <c r="DL769" s="72">
        <v>0</v>
      </c>
      <c r="DM769" s="72">
        <v>0</v>
      </c>
      <c r="DN769" s="72">
        <v>0</v>
      </c>
      <c r="DO769" s="72">
        <v>0</v>
      </c>
      <c r="DP769" s="72">
        <v>0</v>
      </c>
      <c r="DQ769" s="72">
        <v>0</v>
      </c>
      <c r="DR769" s="72">
        <v>0</v>
      </c>
      <c r="DS769" s="72">
        <v>0</v>
      </c>
      <c r="DT769" s="72">
        <v>0</v>
      </c>
      <c r="DU769" s="72">
        <v>0</v>
      </c>
      <c r="DV769" s="72">
        <v>0</v>
      </c>
      <c r="DW769" s="72">
        <v>0</v>
      </c>
      <c r="DX769" s="72">
        <v>0</v>
      </c>
      <c r="DY769" s="72">
        <v>0</v>
      </c>
      <c r="DZ769" s="72">
        <v>0</v>
      </c>
      <c r="EA769" s="72">
        <v>0</v>
      </c>
      <c r="EB769" s="72">
        <v>0</v>
      </c>
      <c r="EC769" s="72">
        <v>0</v>
      </c>
      <c r="ED769" s="72">
        <v>0</v>
      </c>
      <c r="EE769" s="72">
        <v>0</v>
      </c>
      <c r="EF769" s="72">
        <v>0</v>
      </c>
      <c r="EG769" s="72">
        <v>0</v>
      </c>
      <c r="EH769" s="72">
        <v>0</v>
      </c>
      <c r="EI769" s="72">
        <v>0</v>
      </c>
      <c r="EJ769" s="72">
        <v>0</v>
      </c>
      <c r="EK769" s="72">
        <v>0</v>
      </c>
      <c r="EL769" s="72">
        <v>0</v>
      </c>
    </row>
    <row r="770" spans="1:142" x14ac:dyDescent="0.35">
      <c r="A770" s="59">
        <f>Данные!A770</f>
        <v>6370</v>
      </c>
      <c r="B770" s="59">
        <f>Данные!B770</f>
        <v>2019</v>
      </c>
      <c r="C770" s="59" t="str">
        <f>Данные!C770</f>
        <v>компьютерных технологий и электронного обучения</v>
      </c>
      <c r="D770" s="59" t="str">
        <f>Данные!D770</f>
        <v>Авксентьева Елена Юрьевна</v>
      </c>
      <c r="E770" s="59" t="str">
        <f>Данные!E770</f>
        <v>кандидат педагогических наук</v>
      </c>
      <c r="F770" s="59" t="str">
        <f>Данные!F770</f>
        <v>доцент</v>
      </c>
      <c r="G770" s="59">
        <f>Данные!G770</f>
        <v>1</v>
      </c>
      <c r="H770" s="59" t="str">
        <f>Данные!H770</f>
        <v>2 курс (м) 2018 год/пост</v>
      </c>
      <c r="I770" s="59" t="str">
        <f>Данные!I770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70" s="59">
        <f>Данные!J770</f>
        <v>0</v>
      </c>
      <c r="K770" s="59">
        <f>Данные!K770</f>
        <v>0</v>
      </c>
      <c r="L770" s="59">
        <f>Данные!L770</f>
        <v>0</v>
      </c>
      <c r="M770" s="60">
        <f t="shared" si="99"/>
        <v>0</v>
      </c>
      <c r="N770" s="60">
        <f t="shared" ca="1" si="100"/>
        <v>5.3000000000000007</v>
      </c>
      <c r="O770" s="60">
        <f t="shared" ca="1" si="101"/>
        <v>2.5</v>
      </c>
      <c r="P770" s="60">
        <f t="shared" ca="1" si="102"/>
        <v>2.5</v>
      </c>
      <c r="Q770" s="54">
        <f>Данные!Q770</f>
        <v>0</v>
      </c>
      <c r="R770" s="54">
        <f>Данные!R770</f>
        <v>0</v>
      </c>
      <c r="S770" s="54">
        <f>Данные!S770</f>
        <v>0</v>
      </c>
      <c r="T770" s="54">
        <f>Данные!T770</f>
        <v>0</v>
      </c>
      <c r="U770" s="54">
        <f>Данные!U770</f>
        <v>8</v>
      </c>
      <c r="V770" s="54">
        <f>Данные!V770</f>
        <v>0</v>
      </c>
      <c r="W770" s="54">
        <f ca="1">Данные!W770</f>
        <v>10</v>
      </c>
      <c r="X770" s="54" t="str">
        <f ca="1">Данные!X770</f>
        <v>1</v>
      </c>
      <c r="Y770" s="54" t="str">
        <f ca="1">Данные!Y770</f>
        <v>1</v>
      </c>
      <c r="Z770" s="54">
        <f>Данные!Z770</f>
        <v>0</v>
      </c>
      <c r="AA770" s="54" t="str">
        <f>Данные!AA770</f>
        <v>осн</v>
      </c>
      <c r="AB770" s="101">
        <f t="shared" si="103"/>
        <v>800</v>
      </c>
      <c r="AC770" s="101" t="str">
        <f t="shared" si="104"/>
        <v>КЭО (маг)</v>
      </c>
      <c r="AD770" s="101" t="str">
        <f t="shared" si="105"/>
        <v/>
      </c>
      <c r="AE770" s="102">
        <f t="shared" ca="1" si="106"/>
        <v>18.3</v>
      </c>
      <c r="AF770" s="103">
        <f t="shared" ca="1" si="107"/>
        <v>2.2875E-2</v>
      </c>
      <c r="AG770" s="101"/>
      <c r="AH770" s="101"/>
      <c r="BQ770" s="72">
        <v>0</v>
      </c>
      <c r="BR770" s="72">
        <v>0</v>
      </c>
      <c r="BS770" s="72">
        <v>0</v>
      </c>
      <c r="BT770" s="72">
        <v>0</v>
      </c>
      <c r="BU770" s="72">
        <v>0</v>
      </c>
      <c r="BV770" s="72">
        <v>0</v>
      </c>
      <c r="BW770" s="72">
        <v>0</v>
      </c>
      <c r="BX770" s="72">
        <v>0</v>
      </c>
      <c r="BY770" s="72">
        <v>0</v>
      </c>
      <c r="BZ770" s="72">
        <v>0</v>
      </c>
      <c r="CA770" s="72">
        <v>0</v>
      </c>
      <c r="CB770" s="72">
        <v>0</v>
      </c>
      <c r="CC770" s="72">
        <v>0</v>
      </c>
      <c r="CD770" s="72">
        <v>0</v>
      </c>
      <c r="CE770" s="72">
        <v>0</v>
      </c>
      <c r="CF770" s="72">
        <v>0</v>
      </c>
      <c r="CG770" s="72">
        <v>0</v>
      </c>
      <c r="CH770" s="72">
        <v>0</v>
      </c>
      <c r="CI770" s="72">
        <v>0</v>
      </c>
      <c r="CJ770" s="72">
        <v>0</v>
      </c>
      <c r="CK770" s="72">
        <v>0</v>
      </c>
      <c r="CL770" s="72">
        <v>0</v>
      </c>
      <c r="CM770" s="72">
        <v>0</v>
      </c>
      <c r="CN770" s="72">
        <v>0</v>
      </c>
      <c r="CO770" s="72">
        <v>0</v>
      </c>
      <c r="CP770" s="72">
        <v>0</v>
      </c>
      <c r="CQ770" s="72">
        <v>0</v>
      </c>
      <c r="CR770" s="72">
        <v>0</v>
      </c>
      <c r="CS770" s="72">
        <v>0</v>
      </c>
      <c r="CT770" s="72">
        <v>0</v>
      </c>
      <c r="CU770" s="72">
        <v>0</v>
      </c>
      <c r="CV770" s="72">
        <v>0</v>
      </c>
      <c r="CW770" s="72">
        <v>0</v>
      </c>
      <c r="CX770" s="72">
        <v>0</v>
      </c>
      <c r="CY770" s="72">
        <v>0</v>
      </c>
      <c r="CZ770" s="72">
        <v>0</v>
      </c>
      <c r="DA770" s="72">
        <v>0</v>
      </c>
      <c r="DB770" s="72">
        <v>0</v>
      </c>
      <c r="DC770" s="72">
        <v>0</v>
      </c>
      <c r="DD770" s="72">
        <v>0</v>
      </c>
      <c r="DE770" s="72">
        <v>0</v>
      </c>
      <c r="DF770" s="72">
        <v>0</v>
      </c>
      <c r="DG770" s="72">
        <v>0</v>
      </c>
      <c r="DH770" s="72">
        <v>0</v>
      </c>
      <c r="DI770" s="72">
        <v>0</v>
      </c>
      <c r="DJ770" s="72">
        <v>0</v>
      </c>
      <c r="DK770" s="72">
        <v>0</v>
      </c>
      <c r="DL770" s="72">
        <v>0</v>
      </c>
      <c r="DM770" s="72">
        <v>0</v>
      </c>
      <c r="DN770" s="72">
        <v>0</v>
      </c>
      <c r="DO770" s="72">
        <v>0</v>
      </c>
      <c r="DP770" s="72">
        <v>0</v>
      </c>
      <c r="DQ770" s="72">
        <v>0</v>
      </c>
      <c r="DR770" s="72">
        <v>0</v>
      </c>
      <c r="DS770" s="72">
        <v>0</v>
      </c>
      <c r="DT770" s="72">
        <v>0</v>
      </c>
      <c r="DU770" s="72">
        <v>0</v>
      </c>
      <c r="DV770" s="72">
        <v>0</v>
      </c>
      <c r="DW770" s="72">
        <v>0</v>
      </c>
      <c r="DX770" s="72">
        <v>0</v>
      </c>
      <c r="DY770" s="72">
        <v>0</v>
      </c>
      <c r="DZ770" s="72">
        <v>0</v>
      </c>
      <c r="EA770" s="72">
        <v>0</v>
      </c>
      <c r="EB770" s="72">
        <v>0</v>
      </c>
      <c r="EC770" s="72">
        <v>0</v>
      </c>
      <c r="ED770" s="72">
        <v>0</v>
      </c>
      <c r="EE770" s="72">
        <v>0</v>
      </c>
      <c r="EF770" s="72">
        <v>0</v>
      </c>
      <c r="EG770" s="72">
        <v>0</v>
      </c>
      <c r="EH770" s="72">
        <v>0</v>
      </c>
      <c r="EI770" s="72">
        <v>0</v>
      </c>
      <c r="EJ770" s="72">
        <v>0</v>
      </c>
      <c r="EK770" s="72">
        <v>0</v>
      </c>
      <c r="EL770" s="72">
        <v>0</v>
      </c>
    </row>
    <row r="771" spans="1:142" x14ac:dyDescent="0.35">
      <c r="A771" s="59">
        <f>Данные!A771</f>
        <v>6370</v>
      </c>
      <c r="B771" s="59">
        <f>Данные!B771</f>
        <v>2019</v>
      </c>
      <c r="C771" s="59" t="str">
        <f>Данные!C771</f>
        <v>компьютерных технологий и электронного обучения</v>
      </c>
      <c r="D771" s="59" t="str">
        <f>Данные!D771</f>
        <v>Авксентьева Елена Юрьевна</v>
      </c>
      <c r="E771" s="59" t="str">
        <f>Данные!E771</f>
        <v>кандидат педагогических наук</v>
      </c>
      <c r="F771" s="59" t="str">
        <f>Данные!F771</f>
        <v>доцент</v>
      </c>
      <c r="G771" s="59">
        <f>Данные!G771</f>
        <v>1</v>
      </c>
      <c r="H771" s="59" t="str">
        <f>Данные!H771</f>
        <v>2 курс (м) 2018 год/пост</v>
      </c>
      <c r="I771" s="59" t="str">
        <f>Данные!I771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71" s="59">
        <f>Данные!J771</f>
        <v>0</v>
      </c>
      <c r="K771" s="59">
        <f>Данные!K771</f>
        <v>0</v>
      </c>
      <c r="L771" s="59">
        <f>Данные!L771</f>
        <v>0</v>
      </c>
      <c r="M771" s="60">
        <f t="shared" si="99"/>
        <v>0</v>
      </c>
      <c r="N771" s="60">
        <f t="shared" ca="1" si="100"/>
        <v>5.3000000000000007</v>
      </c>
      <c r="O771" s="60">
        <f t="shared" ca="1" si="101"/>
        <v>2.5</v>
      </c>
      <c r="P771" s="60">
        <f t="shared" ca="1" si="102"/>
        <v>2.5</v>
      </c>
      <c r="Q771" s="54">
        <f>Данные!Q771</f>
        <v>0</v>
      </c>
      <c r="R771" s="54">
        <f>Данные!R771</f>
        <v>0</v>
      </c>
      <c r="S771" s="54">
        <f>Данные!S771</f>
        <v>0</v>
      </c>
      <c r="T771" s="54">
        <f>Данные!T771</f>
        <v>0</v>
      </c>
      <c r="U771" s="54">
        <f>Данные!U771</f>
        <v>8</v>
      </c>
      <c r="V771" s="54">
        <f>Данные!V771</f>
        <v>0</v>
      </c>
      <c r="W771" s="54">
        <f ca="1">Данные!W771</f>
        <v>10</v>
      </c>
      <c r="X771" s="54" t="str">
        <f ca="1">Данные!X771</f>
        <v>1</v>
      </c>
      <c r="Y771" s="54" t="str">
        <f ca="1">Данные!Y771</f>
        <v>1</v>
      </c>
      <c r="Z771" s="54">
        <f>Данные!Z771</f>
        <v>0</v>
      </c>
      <c r="AA771" s="54" t="str">
        <f>Данные!AA771</f>
        <v>осн</v>
      </c>
      <c r="AB771" s="101">
        <f t="shared" si="103"/>
        <v>800</v>
      </c>
      <c r="AC771" s="101" t="str">
        <f t="shared" si="104"/>
        <v>КЭО (маг)</v>
      </c>
      <c r="AD771" s="101" t="str">
        <f t="shared" si="105"/>
        <v/>
      </c>
      <c r="AE771" s="102">
        <f t="shared" ca="1" si="106"/>
        <v>18.3</v>
      </c>
      <c r="AF771" s="103">
        <f t="shared" ca="1" si="107"/>
        <v>2.2875E-2</v>
      </c>
      <c r="AG771" s="101"/>
      <c r="AH771" s="101"/>
      <c r="BQ771" s="72">
        <v>0</v>
      </c>
      <c r="BR771" s="72">
        <v>0</v>
      </c>
      <c r="BS771" s="72">
        <v>0</v>
      </c>
      <c r="BT771" s="72">
        <v>0</v>
      </c>
      <c r="BU771" s="72">
        <v>0</v>
      </c>
      <c r="BV771" s="72">
        <v>0</v>
      </c>
      <c r="BW771" s="72">
        <v>0</v>
      </c>
      <c r="BX771" s="72">
        <v>0</v>
      </c>
      <c r="BY771" s="72">
        <v>0</v>
      </c>
      <c r="BZ771" s="72">
        <v>0</v>
      </c>
      <c r="CA771" s="72">
        <v>0</v>
      </c>
      <c r="CB771" s="72">
        <v>0</v>
      </c>
      <c r="CC771" s="72">
        <v>0</v>
      </c>
      <c r="CD771" s="72">
        <v>0</v>
      </c>
      <c r="CE771" s="72">
        <v>0</v>
      </c>
      <c r="CF771" s="72">
        <v>0</v>
      </c>
      <c r="CG771" s="72">
        <v>0</v>
      </c>
      <c r="CH771" s="72">
        <v>0</v>
      </c>
      <c r="CI771" s="72">
        <v>0</v>
      </c>
      <c r="CJ771" s="72">
        <v>0</v>
      </c>
      <c r="CK771" s="72">
        <v>0</v>
      </c>
      <c r="CL771" s="72">
        <v>0</v>
      </c>
      <c r="CM771" s="72">
        <v>0</v>
      </c>
      <c r="CN771" s="72">
        <v>0</v>
      </c>
      <c r="CO771" s="72">
        <v>0</v>
      </c>
      <c r="CP771" s="72">
        <v>0</v>
      </c>
      <c r="CQ771" s="72">
        <v>0</v>
      </c>
      <c r="CR771" s="72">
        <v>0</v>
      </c>
      <c r="CS771" s="72">
        <v>0</v>
      </c>
      <c r="CT771" s="72">
        <v>0</v>
      </c>
      <c r="CU771" s="72">
        <v>0</v>
      </c>
      <c r="CV771" s="72">
        <v>0</v>
      </c>
      <c r="CW771" s="72">
        <v>0</v>
      </c>
      <c r="CX771" s="72">
        <v>0</v>
      </c>
      <c r="CY771" s="72">
        <v>0</v>
      </c>
      <c r="CZ771" s="72">
        <v>0</v>
      </c>
      <c r="DA771" s="72">
        <v>0</v>
      </c>
      <c r="DB771" s="72">
        <v>0</v>
      </c>
      <c r="DC771" s="72">
        <v>0</v>
      </c>
      <c r="DD771" s="72">
        <v>0</v>
      </c>
      <c r="DE771" s="72">
        <v>0</v>
      </c>
      <c r="DF771" s="72">
        <v>0</v>
      </c>
      <c r="DG771" s="72">
        <v>0</v>
      </c>
      <c r="DH771" s="72">
        <v>0</v>
      </c>
      <c r="DI771" s="72">
        <v>0</v>
      </c>
      <c r="DJ771" s="72">
        <v>0</v>
      </c>
      <c r="DK771" s="72">
        <v>0</v>
      </c>
      <c r="DL771" s="72">
        <v>0</v>
      </c>
      <c r="DM771" s="72">
        <v>0</v>
      </c>
      <c r="DN771" s="72">
        <v>0</v>
      </c>
      <c r="DO771" s="72">
        <v>0</v>
      </c>
      <c r="DP771" s="72">
        <v>0</v>
      </c>
      <c r="DQ771" s="72">
        <v>0</v>
      </c>
      <c r="DR771" s="72">
        <v>0</v>
      </c>
      <c r="DS771" s="72">
        <v>0</v>
      </c>
      <c r="DT771" s="72">
        <v>0</v>
      </c>
      <c r="DU771" s="72">
        <v>0</v>
      </c>
      <c r="DV771" s="72">
        <v>0</v>
      </c>
      <c r="DW771" s="72">
        <v>0</v>
      </c>
      <c r="DX771" s="72">
        <v>0</v>
      </c>
      <c r="DY771" s="72">
        <v>0</v>
      </c>
      <c r="DZ771" s="72">
        <v>0</v>
      </c>
      <c r="EA771" s="72">
        <v>0</v>
      </c>
      <c r="EB771" s="72">
        <v>0</v>
      </c>
      <c r="EC771" s="72">
        <v>0</v>
      </c>
      <c r="ED771" s="72">
        <v>0</v>
      </c>
      <c r="EE771" s="72">
        <v>0</v>
      </c>
      <c r="EF771" s="72">
        <v>0</v>
      </c>
      <c r="EG771" s="72">
        <v>0</v>
      </c>
      <c r="EH771" s="72">
        <v>0</v>
      </c>
      <c r="EI771" s="72">
        <v>0</v>
      </c>
      <c r="EJ771" s="72">
        <v>0</v>
      </c>
      <c r="EK771" s="72">
        <v>0</v>
      </c>
      <c r="EL771" s="72">
        <v>0</v>
      </c>
    </row>
    <row r="772" spans="1:142" x14ac:dyDescent="0.35">
      <c r="A772" s="59">
        <f>Данные!A772</f>
        <v>6370</v>
      </c>
      <c r="B772" s="59">
        <f>Данные!B772</f>
        <v>2019</v>
      </c>
      <c r="C772" s="59" t="str">
        <f>Данные!C772</f>
        <v>компьютерных технологий и электронного обучения</v>
      </c>
      <c r="D772" s="59" t="str">
        <f>Данные!D772</f>
        <v>Авксентьева Елена Юрьевна</v>
      </c>
      <c r="E772" s="59" t="str">
        <f>Данные!E772</f>
        <v>кандидат педагогических наук</v>
      </c>
      <c r="F772" s="59" t="str">
        <f>Данные!F772</f>
        <v>доцент</v>
      </c>
      <c r="G772" s="59">
        <f>Данные!G772</f>
        <v>1</v>
      </c>
      <c r="H772" s="59" t="str">
        <f>Данные!H772</f>
        <v>2 курс (м) 2018 год/пост</v>
      </c>
      <c r="I772" s="59" t="str">
        <f>Данные!I772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72" s="59">
        <f>Данные!J772</f>
        <v>0</v>
      </c>
      <c r="K772" s="59">
        <f>Данные!K772</f>
        <v>0</v>
      </c>
      <c r="L772" s="59">
        <f>Данные!L772</f>
        <v>0</v>
      </c>
      <c r="M772" s="60">
        <f t="shared" ref="M772:M835" si="108">SUM(J772:L772)/10</f>
        <v>0</v>
      </c>
      <c r="N772" s="60">
        <f t="shared" ref="N772:N835" ca="1" si="109">2+(0.33*W772)</f>
        <v>5.3000000000000007</v>
      </c>
      <c r="O772" s="60">
        <f t="shared" ref="O772:O835" ca="1" si="110">0.25*W772</f>
        <v>2.5</v>
      </c>
      <c r="P772" s="60">
        <f t="shared" ref="P772:P835" ca="1" si="111">0.25*W772</f>
        <v>2.5</v>
      </c>
      <c r="Q772" s="54">
        <f>Данные!Q772</f>
        <v>0</v>
      </c>
      <c r="R772" s="54">
        <f>Данные!R772</f>
        <v>0</v>
      </c>
      <c r="S772" s="54">
        <f>Данные!S772</f>
        <v>0</v>
      </c>
      <c r="T772" s="54">
        <f>Данные!T772</f>
        <v>0</v>
      </c>
      <c r="U772" s="54">
        <f>Данные!U772</f>
        <v>4</v>
      </c>
      <c r="V772" s="54">
        <f>Данные!V772</f>
        <v>0</v>
      </c>
      <c r="W772" s="54">
        <f ca="1">Данные!W772</f>
        <v>10</v>
      </c>
      <c r="X772" s="54" t="str">
        <f ca="1">Данные!X772</f>
        <v>1</v>
      </c>
      <c r="Y772" s="54" t="str">
        <f ca="1">Данные!Y772</f>
        <v>1</v>
      </c>
      <c r="Z772" s="54">
        <f>Данные!Z772</f>
        <v>0</v>
      </c>
      <c r="AA772" s="54" t="str">
        <f>Данные!AA772</f>
        <v>осн</v>
      </c>
      <c r="AB772" s="101">
        <f t="shared" ref="AB772:AB835" si="112">VLOOKUP(F772, $BN$3:$BO$15, 2, 0)</f>
        <v>800</v>
      </c>
      <c r="AC772" s="101" t="str">
        <f t="shared" ref="AC772:AC835" si="113">IF(IFERROR(MATCH(H772, $AK$4:$BL$4, 0), 0)&gt;=1, "ИВТ (бак)", IF(IFERROR(MATCH(H772, $AK$5:$BL$5, 0), 0)&gt;=1, "КЭО (маг)", ""))</f>
        <v>КЭО (маг)</v>
      </c>
      <c r="AD772" s="101" t="str">
        <f t="shared" ref="AD772:AD835" si="114">IF(IFERROR(MATCH(H772, $AK$4:$AN$4, 0), 0)=1, "2015–2016", IF(IFERROR(MATCH(H772, $AO$4:$AR$4, 0), 0)=1, "2016–2017", IF(IFERROR(MATCH(H772, $AS$4:$AV$4, 0), 0)=1, "2017–2018", IF(IFERROR(MATCH(H772, $AW$4:$AZ$4, 0), 0)=1, "2018–2019", IF(IFERROR(MATCH(H772, $BA$4:$BD$4, 0), 0)=1, "2019–2020", IF(IFERROR(MATCH(H772, $BE$4:$BH$4, 0), 0)=1, "2020–2021", IF(IFERROR(MATCH(H772, $BI$4:$BL$4, 0), 0)=1, "2021–2022", "")))))))</f>
        <v/>
      </c>
      <c r="AE772" s="102">
        <f t="shared" ref="AE772:AE835" ca="1" si="115">SUM(J772:V772)</f>
        <v>14.3</v>
      </c>
      <c r="AF772" s="103">
        <f t="shared" ca="1" si="107"/>
        <v>1.7875000000000002E-2</v>
      </c>
      <c r="AG772" s="101"/>
      <c r="AH772" s="101"/>
      <c r="BQ772" s="72">
        <v>0</v>
      </c>
      <c r="BR772" s="72">
        <v>0</v>
      </c>
      <c r="BS772" s="72">
        <v>0</v>
      </c>
      <c r="BT772" s="72">
        <v>0</v>
      </c>
      <c r="BU772" s="72">
        <v>0</v>
      </c>
      <c r="BV772" s="72">
        <v>0</v>
      </c>
      <c r="BW772" s="72">
        <v>0</v>
      </c>
      <c r="BX772" s="72">
        <v>0</v>
      </c>
      <c r="BY772" s="72">
        <v>0</v>
      </c>
      <c r="BZ772" s="72">
        <v>0</v>
      </c>
      <c r="CA772" s="72">
        <v>0</v>
      </c>
      <c r="CB772" s="72">
        <v>0</v>
      </c>
      <c r="CC772" s="72">
        <v>0</v>
      </c>
      <c r="CD772" s="72">
        <v>0</v>
      </c>
      <c r="CE772" s="72">
        <v>0</v>
      </c>
      <c r="CF772" s="72">
        <v>0</v>
      </c>
      <c r="CG772" s="72">
        <v>0</v>
      </c>
      <c r="CH772" s="72">
        <v>0</v>
      </c>
      <c r="CI772" s="72">
        <v>0</v>
      </c>
      <c r="CJ772" s="72">
        <v>0</v>
      </c>
      <c r="CK772" s="72">
        <v>0</v>
      </c>
      <c r="CL772" s="72">
        <v>0</v>
      </c>
      <c r="CM772" s="72">
        <v>0</v>
      </c>
      <c r="CN772" s="72">
        <v>0</v>
      </c>
      <c r="CO772" s="72">
        <v>0</v>
      </c>
      <c r="CP772" s="72">
        <v>0</v>
      </c>
      <c r="CQ772" s="72">
        <v>0</v>
      </c>
      <c r="CR772" s="72">
        <v>0</v>
      </c>
      <c r="CS772" s="72">
        <v>0</v>
      </c>
      <c r="CT772" s="72">
        <v>0</v>
      </c>
      <c r="CU772" s="72">
        <v>0</v>
      </c>
      <c r="CV772" s="72">
        <v>0</v>
      </c>
      <c r="CW772" s="72">
        <v>0</v>
      </c>
      <c r="CX772" s="72">
        <v>0</v>
      </c>
      <c r="CY772" s="72">
        <v>0</v>
      </c>
      <c r="CZ772" s="72">
        <v>0</v>
      </c>
      <c r="DA772" s="72">
        <v>0</v>
      </c>
      <c r="DB772" s="72">
        <v>0</v>
      </c>
      <c r="DC772" s="72">
        <v>0</v>
      </c>
      <c r="DD772" s="72">
        <v>0</v>
      </c>
      <c r="DE772" s="72">
        <v>0</v>
      </c>
      <c r="DF772" s="72">
        <v>0</v>
      </c>
      <c r="DG772" s="72">
        <v>0</v>
      </c>
      <c r="DH772" s="72">
        <v>0</v>
      </c>
      <c r="DI772" s="72">
        <v>0</v>
      </c>
      <c r="DJ772" s="72">
        <v>0</v>
      </c>
      <c r="DK772" s="72">
        <v>0</v>
      </c>
      <c r="DL772" s="72">
        <v>0</v>
      </c>
      <c r="DM772" s="72">
        <v>0</v>
      </c>
      <c r="DN772" s="72">
        <v>0</v>
      </c>
      <c r="DO772" s="72">
        <v>0</v>
      </c>
      <c r="DP772" s="72">
        <v>0</v>
      </c>
      <c r="DQ772" s="72">
        <v>0</v>
      </c>
      <c r="DR772" s="72">
        <v>0</v>
      </c>
      <c r="DS772" s="72">
        <v>0</v>
      </c>
      <c r="DT772" s="72">
        <v>0</v>
      </c>
      <c r="DU772" s="72">
        <v>0</v>
      </c>
      <c r="DV772" s="72">
        <v>0</v>
      </c>
      <c r="DW772" s="72">
        <v>0</v>
      </c>
      <c r="DX772" s="72">
        <v>0</v>
      </c>
      <c r="DY772" s="72">
        <v>0</v>
      </c>
      <c r="DZ772" s="72">
        <v>0</v>
      </c>
      <c r="EA772" s="72">
        <v>0</v>
      </c>
      <c r="EB772" s="72">
        <v>0</v>
      </c>
      <c r="EC772" s="72">
        <v>0</v>
      </c>
      <c r="ED772" s="72">
        <v>0</v>
      </c>
      <c r="EE772" s="72">
        <v>0</v>
      </c>
      <c r="EF772" s="72">
        <v>0</v>
      </c>
      <c r="EG772" s="72">
        <v>0</v>
      </c>
      <c r="EH772" s="72">
        <v>0</v>
      </c>
      <c r="EI772" s="72">
        <v>0</v>
      </c>
      <c r="EJ772" s="72">
        <v>0</v>
      </c>
      <c r="EK772" s="72">
        <v>0</v>
      </c>
      <c r="EL772" s="72">
        <v>0</v>
      </c>
    </row>
    <row r="773" spans="1:142" x14ac:dyDescent="0.35">
      <c r="A773" s="59">
        <f>Данные!A773</f>
        <v>6370</v>
      </c>
      <c r="B773" s="59">
        <f>Данные!B773</f>
        <v>2019</v>
      </c>
      <c r="C773" s="59" t="str">
        <f>Данные!C773</f>
        <v>компьютерных технологий и электронного обучения</v>
      </c>
      <c r="D773" s="59" t="str">
        <f>Данные!D773</f>
        <v>Аксютин Павел Александрович</v>
      </c>
      <c r="E773" s="59" t="str">
        <f>Данные!E773</f>
        <v>нет</v>
      </c>
      <c r="F773" s="59" t="str">
        <f>Данные!F773</f>
        <v>ассистент</v>
      </c>
      <c r="G773" s="59">
        <f>Данные!G773</f>
        <v>0.25</v>
      </c>
      <c r="H773" s="59" t="str">
        <f>Данные!H773</f>
        <v>2 курс (м) 2018 год/пост</v>
      </c>
      <c r="I773" s="59" t="str">
        <f>Данные!I773</f>
        <v>Модуль "SMART-обучение". Инженерия знаний</v>
      </c>
      <c r="J773" s="59">
        <f>Данные!J773</f>
        <v>0</v>
      </c>
      <c r="K773" s="59">
        <f>Данные!K773</f>
        <v>14</v>
      </c>
      <c r="L773" s="59">
        <f>Данные!L773</f>
        <v>0</v>
      </c>
      <c r="M773" s="60">
        <f t="shared" si="108"/>
        <v>1.4</v>
      </c>
      <c r="N773" s="60">
        <f t="shared" ca="1" si="109"/>
        <v>5.3000000000000007</v>
      </c>
      <c r="O773" s="60">
        <f t="shared" ca="1" si="110"/>
        <v>2.5</v>
      </c>
      <c r="P773" s="60">
        <f t="shared" ca="1" si="111"/>
        <v>2.5</v>
      </c>
      <c r="Q773" s="54">
        <f>Данные!Q773</f>
        <v>0</v>
      </c>
      <c r="R773" s="54">
        <f>Данные!R773</f>
        <v>0</v>
      </c>
      <c r="S773" s="54">
        <f>Данные!S773</f>
        <v>0</v>
      </c>
      <c r="T773" s="54">
        <f>Данные!T773</f>
        <v>0</v>
      </c>
      <c r="U773" s="54">
        <f>Данные!U773</f>
        <v>0</v>
      </c>
      <c r="V773" s="54">
        <f>Данные!V773</f>
        <v>0</v>
      </c>
      <c r="W773" s="54">
        <f ca="1">Данные!W773</f>
        <v>10</v>
      </c>
      <c r="X773" s="54" t="str">
        <f ca="1">Данные!X773</f>
        <v>1</v>
      </c>
      <c r="Y773" s="54" t="str">
        <f ca="1">Данные!Y773</f>
        <v>1</v>
      </c>
      <c r="Z773" s="54">
        <f>Данные!Z773</f>
        <v>0</v>
      </c>
      <c r="AA773" s="54" t="str">
        <f>Данные!AA773</f>
        <v>осн</v>
      </c>
      <c r="AB773" s="101">
        <f t="shared" si="112"/>
        <v>900</v>
      </c>
      <c r="AC773" s="101" t="str">
        <f t="shared" si="113"/>
        <v>КЭО (маг)</v>
      </c>
      <c r="AD773" s="101" t="str">
        <f t="shared" si="114"/>
        <v/>
      </c>
      <c r="AE773" s="102">
        <f t="shared" ca="1" si="115"/>
        <v>25.700000000000003</v>
      </c>
      <c r="AF773" s="103">
        <f t="shared" ref="AF773:AF836" ca="1" si="116">AE773/AB773</f>
        <v>2.855555555555556E-2</v>
      </c>
      <c r="AG773" s="101"/>
      <c r="AH773" s="101"/>
      <c r="BQ773" s="72">
        <v>0</v>
      </c>
      <c r="BR773" s="72">
        <v>0</v>
      </c>
      <c r="BS773" s="72">
        <v>0</v>
      </c>
      <c r="BT773" s="72">
        <v>0</v>
      </c>
      <c r="BU773" s="72">
        <v>0</v>
      </c>
      <c r="BV773" s="72">
        <v>0</v>
      </c>
      <c r="BW773" s="72">
        <v>0</v>
      </c>
      <c r="BX773" s="72">
        <v>0</v>
      </c>
      <c r="BY773" s="72">
        <v>0</v>
      </c>
      <c r="BZ773" s="72">
        <v>0</v>
      </c>
      <c r="CA773" s="72">
        <v>0</v>
      </c>
      <c r="CB773" s="72">
        <v>0</v>
      </c>
      <c r="CC773" s="72">
        <v>0</v>
      </c>
      <c r="CD773" s="72">
        <v>0</v>
      </c>
      <c r="CE773" s="72">
        <v>0</v>
      </c>
      <c r="CF773" s="72">
        <v>0</v>
      </c>
      <c r="CG773" s="72">
        <v>0</v>
      </c>
      <c r="CH773" s="72">
        <v>0</v>
      </c>
      <c r="CI773" s="72">
        <v>0</v>
      </c>
      <c r="CJ773" s="72">
        <v>0</v>
      </c>
      <c r="CK773" s="72">
        <v>0</v>
      </c>
      <c r="CL773" s="72">
        <v>0</v>
      </c>
      <c r="CM773" s="72">
        <v>0</v>
      </c>
      <c r="CN773" s="72">
        <v>0</v>
      </c>
      <c r="CO773" s="72">
        <v>0</v>
      </c>
      <c r="CP773" s="72">
        <v>0</v>
      </c>
      <c r="CQ773" s="72">
        <v>0</v>
      </c>
      <c r="CR773" s="72">
        <v>0</v>
      </c>
      <c r="CS773" s="72">
        <v>0</v>
      </c>
      <c r="CT773" s="72">
        <v>0</v>
      </c>
      <c r="CU773" s="72">
        <v>0</v>
      </c>
      <c r="CV773" s="72">
        <v>0</v>
      </c>
      <c r="CW773" s="72">
        <v>0</v>
      </c>
      <c r="CX773" s="72">
        <v>0</v>
      </c>
      <c r="CY773" s="72">
        <v>0</v>
      </c>
      <c r="CZ773" s="72">
        <v>0</v>
      </c>
      <c r="DA773" s="72">
        <v>0</v>
      </c>
      <c r="DB773" s="72">
        <v>0</v>
      </c>
      <c r="DC773" s="72">
        <v>0</v>
      </c>
      <c r="DD773" s="72">
        <v>0</v>
      </c>
      <c r="DE773" s="72">
        <v>0</v>
      </c>
      <c r="DF773" s="72">
        <v>0</v>
      </c>
      <c r="DG773" s="72">
        <v>0</v>
      </c>
      <c r="DH773" s="72">
        <v>0</v>
      </c>
      <c r="DI773" s="72">
        <v>0</v>
      </c>
      <c r="DJ773" s="72">
        <v>0</v>
      </c>
      <c r="DK773" s="72">
        <v>0</v>
      </c>
      <c r="DL773" s="72">
        <v>0</v>
      </c>
      <c r="DM773" s="72">
        <v>0</v>
      </c>
      <c r="DN773" s="72">
        <v>0</v>
      </c>
      <c r="DO773" s="72">
        <v>0</v>
      </c>
      <c r="DP773" s="72">
        <v>0</v>
      </c>
      <c r="DQ773" s="72">
        <v>0</v>
      </c>
      <c r="DR773" s="72">
        <v>0</v>
      </c>
      <c r="DS773" s="72">
        <v>0</v>
      </c>
      <c r="DT773" s="72">
        <v>0</v>
      </c>
      <c r="DU773" s="72">
        <v>0</v>
      </c>
      <c r="DV773" s="72">
        <v>0</v>
      </c>
      <c r="DW773" s="72">
        <v>0</v>
      </c>
      <c r="DX773" s="72">
        <v>0</v>
      </c>
      <c r="DY773" s="72">
        <v>0</v>
      </c>
      <c r="DZ773" s="72">
        <v>0</v>
      </c>
      <c r="EA773" s="72">
        <v>0</v>
      </c>
      <c r="EB773" s="72">
        <v>0</v>
      </c>
      <c r="EC773" s="72">
        <v>0</v>
      </c>
      <c r="ED773" s="72">
        <v>0</v>
      </c>
      <c r="EE773" s="72">
        <v>0</v>
      </c>
      <c r="EF773" s="72">
        <v>0</v>
      </c>
      <c r="EG773" s="72">
        <v>0</v>
      </c>
      <c r="EH773" s="72">
        <v>0</v>
      </c>
      <c r="EI773" s="72">
        <v>0</v>
      </c>
      <c r="EJ773" s="72">
        <v>0</v>
      </c>
      <c r="EK773" s="72">
        <v>0</v>
      </c>
      <c r="EL773" s="72">
        <v>0</v>
      </c>
    </row>
    <row r="774" spans="1:142" x14ac:dyDescent="0.35">
      <c r="A774" s="59">
        <f>Данные!A774</f>
        <v>6370</v>
      </c>
      <c r="B774" s="59">
        <f>Данные!B774</f>
        <v>2019</v>
      </c>
      <c r="C774" s="59" t="str">
        <f>Данные!C774</f>
        <v>компьютерных технологий и электронного обучения</v>
      </c>
      <c r="D774" s="59" t="str">
        <f>Данные!D774</f>
        <v>Атаян Ануш Михайловна</v>
      </c>
      <c r="E774" s="59" t="str">
        <f>Данные!E774</f>
        <v>кандидат педагогических наук</v>
      </c>
      <c r="F774" s="59" t="str">
        <f>Данные!F774</f>
        <v>доцент</v>
      </c>
      <c r="G774" s="59">
        <f>Данные!G774</f>
        <v>1</v>
      </c>
      <c r="H774" s="59" t="str">
        <f>Данные!H774</f>
        <v>2 курс (м) 2018 год/пост</v>
      </c>
      <c r="I774" s="59" t="str">
        <f>Данные!I774</f>
        <v>Модуль "IT-решения и инструменты в образовании". Дисциплины и курсы по выбору. Электронный документооборот образовательного учреждения</v>
      </c>
      <c r="J774" s="59">
        <f>Данные!J774</f>
        <v>0</v>
      </c>
      <c r="K774" s="59">
        <f>Данные!K774</f>
        <v>9</v>
      </c>
      <c r="L774" s="59">
        <f>Данные!L774</f>
        <v>0</v>
      </c>
      <c r="M774" s="60">
        <f t="shared" si="108"/>
        <v>0.9</v>
      </c>
      <c r="N774" s="60">
        <f t="shared" ca="1" si="109"/>
        <v>5.3000000000000007</v>
      </c>
      <c r="O774" s="60">
        <f t="shared" ca="1" si="110"/>
        <v>2.5</v>
      </c>
      <c r="P774" s="60">
        <f t="shared" ca="1" si="111"/>
        <v>2.5</v>
      </c>
      <c r="Q774" s="54">
        <f>Данные!Q774</f>
        <v>0</v>
      </c>
      <c r="R774" s="54">
        <f>Данные!R774</f>
        <v>0</v>
      </c>
      <c r="S774" s="54">
        <f>Данные!S774</f>
        <v>0</v>
      </c>
      <c r="T774" s="54">
        <f>Данные!T774</f>
        <v>0</v>
      </c>
      <c r="U774" s="54">
        <f>Данные!U774</f>
        <v>0</v>
      </c>
      <c r="V774" s="54">
        <f>Данные!V774</f>
        <v>0</v>
      </c>
      <c r="W774" s="54">
        <f ca="1">Данные!W774</f>
        <v>10</v>
      </c>
      <c r="X774" s="54" t="str">
        <f ca="1">Данные!X774</f>
        <v>1</v>
      </c>
      <c r="Y774" s="54" t="str">
        <f ca="1">Данные!Y774</f>
        <v>1</v>
      </c>
      <c r="Z774" s="54">
        <f>Данные!Z774</f>
        <v>0</v>
      </c>
      <c r="AA774" s="54" t="str">
        <f>Данные!AA774</f>
        <v>осн</v>
      </c>
      <c r="AB774" s="101">
        <f t="shared" si="112"/>
        <v>800</v>
      </c>
      <c r="AC774" s="101" t="str">
        <f t="shared" si="113"/>
        <v>КЭО (маг)</v>
      </c>
      <c r="AD774" s="101" t="str">
        <f t="shared" si="114"/>
        <v/>
      </c>
      <c r="AE774" s="102">
        <f t="shared" ca="1" si="115"/>
        <v>20.200000000000003</v>
      </c>
      <c r="AF774" s="103">
        <f t="shared" ca="1" si="116"/>
        <v>2.5250000000000005E-2</v>
      </c>
      <c r="AG774" s="101"/>
      <c r="AH774" s="101"/>
      <c r="BQ774" s="72">
        <v>0</v>
      </c>
      <c r="BR774" s="72">
        <v>0</v>
      </c>
      <c r="BS774" s="72">
        <v>0</v>
      </c>
      <c r="BT774" s="72">
        <v>0</v>
      </c>
      <c r="BU774" s="72">
        <v>0</v>
      </c>
      <c r="BV774" s="72">
        <v>0</v>
      </c>
      <c r="BW774" s="72">
        <v>0</v>
      </c>
      <c r="BX774" s="72">
        <v>0</v>
      </c>
      <c r="BY774" s="72">
        <v>0</v>
      </c>
      <c r="BZ774" s="72">
        <v>0</v>
      </c>
      <c r="CA774" s="72">
        <v>0</v>
      </c>
      <c r="CB774" s="72">
        <v>0</v>
      </c>
      <c r="CC774" s="72">
        <v>0</v>
      </c>
      <c r="CD774" s="72">
        <v>0</v>
      </c>
      <c r="CE774" s="72">
        <v>0</v>
      </c>
      <c r="CF774" s="72">
        <v>0</v>
      </c>
      <c r="CG774" s="72">
        <v>0</v>
      </c>
      <c r="CH774" s="72">
        <v>0</v>
      </c>
      <c r="CI774" s="72">
        <v>0</v>
      </c>
      <c r="CJ774" s="72">
        <v>0</v>
      </c>
      <c r="CK774" s="72">
        <v>0</v>
      </c>
      <c r="CL774" s="72">
        <v>0</v>
      </c>
      <c r="CM774" s="72">
        <v>0</v>
      </c>
      <c r="CN774" s="72">
        <v>0</v>
      </c>
      <c r="CO774" s="72">
        <v>0</v>
      </c>
      <c r="CP774" s="72">
        <v>0</v>
      </c>
      <c r="CQ774" s="72">
        <v>0</v>
      </c>
      <c r="CR774" s="72">
        <v>0</v>
      </c>
      <c r="CS774" s="72">
        <v>0</v>
      </c>
      <c r="CT774" s="72">
        <v>0</v>
      </c>
      <c r="CU774" s="72">
        <v>0</v>
      </c>
      <c r="CV774" s="72">
        <v>0</v>
      </c>
      <c r="CW774" s="72">
        <v>0</v>
      </c>
      <c r="CX774" s="72">
        <v>0</v>
      </c>
      <c r="CY774" s="72">
        <v>0</v>
      </c>
      <c r="CZ774" s="72">
        <v>0</v>
      </c>
      <c r="DA774" s="72">
        <v>0</v>
      </c>
      <c r="DB774" s="72">
        <v>0</v>
      </c>
      <c r="DC774" s="72">
        <v>0</v>
      </c>
      <c r="DD774" s="72">
        <v>0</v>
      </c>
      <c r="DE774" s="72">
        <v>0</v>
      </c>
      <c r="DF774" s="72">
        <v>0</v>
      </c>
      <c r="DG774" s="72">
        <v>0</v>
      </c>
      <c r="DH774" s="72">
        <v>0</v>
      </c>
      <c r="DI774" s="72">
        <v>0</v>
      </c>
      <c r="DJ774" s="72">
        <v>0</v>
      </c>
      <c r="DK774" s="72">
        <v>0</v>
      </c>
      <c r="DL774" s="72">
        <v>0</v>
      </c>
      <c r="DM774" s="72">
        <v>0</v>
      </c>
      <c r="DN774" s="72">
        <v>0</v>
      </c>
      <c r="DO774" s="72">
        <v>0</v>
      </c>
      <c r="DP774" s="72">
        <v>0</v>
      </c>
      <c r="DQ774" s="72">
        <v>0</v>
      </c>
      <c r="DR774" s="72">
        <v>0</v>
      </c>
      <c r="DS774" s="72">
        <v>0</v>
      </c>
      <c r="DT774" s="72">
        <v>0</v>
      </c>
      <c r="DU774" s="72">
        <v>0</v>
      </c>
      <c r="DV774" s="72">
        <v>0</v>
      </c>
      <c r="DW774" s="72">
        <v>0</v>
      </c>
      <c r="DX774" s="72">
        <v>0</v>
      </c>
      <c r="DY774" s="72">
        <v>0</v>
      </c>
      <c r="DZ774" s="72">
        <v>0</v>
      </c>
      <c r="EA774" s="72">
        <v>0</v>
      </c>
      <c r="EB774" s="72">
        <v>0</v>
      </c>
      <c r="EC774" s="72">
        <v>0</v>
      </c>
      <c r="ED774" s="72">
        <v>0</v>
      </c>
      <c r="EE774" s="72">
        <v>0</v>
      </c>
      <c r="EF774" s="72">
        <v>0</v>
      </c>
      <c r="EG774" s="72">
        <v>0</v>
      </c>
      <c r="EH774" s="72">
        <v>0</v>
      </c>
      <c r="EI774" s="72">
        <v>0</v>
      </c>
      <c r="EJ774" s="72">
        <v>0</v>
      </c>
      <c r="EK774" s="72">
        <v>0</v>
      </c>
      <c r="EL774" s="72">
        <v>0</v>
      </c>
    </row>
    <row r="775" spans="1:142" x14ac:dyDescent="0.35">
      <c r="A775" s="59">
        <f>Данные!A775</f>
        <v>6370</v>
      </c>
      <c r="B775" s="59">
        <f>Данные!B775</f>
        <v>2019</v>
      </c>
      <c r="C775" s="59" t="str">
        <f>Данные!C775</f>
        <v>компьютерных технологий и электронного обучения</v>
      </c>
      <c r="D775" s="59" t="str">
        <f>Данные!D775</f>
        <v>Власова Елена Зотиковна</v>
      </c>
      <c r="E775" s="59" t="str">
        <f>Данные!E775</f>
        <v>доктор педагогических наук</v>
      </c>
      <c r="F775" s="59" t="str">
        <f>Данные!F775</f>
        <v>заведующий кафедрой</v>
      </c>
      <c r="G775" s="59">
        <f>Данные!G775</f>
        <v>1</v>
      </c>
      <c r="H775" s="59" t="str">
        <f>Данные!H775</f>
        <v>2 курс (м) 2018 год/пост</v>
      </c>
      <c r="I775" s="59" t="str">
        <f>Данные!I775</f>
        <v>Модуль "SMART-обучение"</v>
      </c>
      <c r="J775" s="59">
        <f>Данные!J775</f>
        <v>0</v>
      </c>
      <c r="K775" s="59">
        <f>Данные!K775</f>
        <v>0</v>
      </c>
      <c r="L775" s="59">
        <f>Данные!L775</f>
        <v>0</v>
      </c>
      <c r="M775" s="60">
        <f t="shared" si="108"/>
        <v>0</v>
      </c>
      <c r="N775" s="60">
        <f t="shared" ca="1" si="109"/>
        <v>5.3000000000000007</v>
      </c>
      <c r="O775" s="60">
        <f t="shared" ca="1" si="110"/>
        <v>2.5</v>
      </c>
      <c r="P775" s="60">
        <f t="shared" ca="1" si="111"/>
        <v>2.5</v>
      </c>
      <c r="Q775" s="54">
        <f>Данные!Q775</f>
        <v>0</v>
      </c>
      <c r="R775" s="54">
        <f>Данные!R775</f>
        <v>0</v>
      </c>
      <c r="S775" s="54">
        <f>Данные!S775</f>
        <v>0</v>
      </c>
      <c r="T775" s="54">
        <f>Данные!T775</f>
        <v>0</v>
      </c>
      <c r="U775" s="54">
        <f>Данные!U775</f>
        <v>0</v>
      </c>
      <c r="V775" s="54">
        <f>Данные!V775</f>
        <v>0</v>
      </c>
      <c r="W775" s="54">
        <f ca="1">Данные!W775</f>
        <v>10</v>
      </c>
      <c r="X775" s="54" t="str">
        <f ca="1">Данные!X775</f>
        <v>1</v>
      </c>
      <c r="Y775" s="54" t="str">
        <f ca="1">Данные!Y775</f>
        <v>1</v>
      </c>
      <c r="Z775" s="54">
        <f>Данные!Z775</f>
        <v>0</v>
      </c>
      <c r="AA775" s="54" t="str">
        <f>Данные!AA775</f>
        <v>доп</v>
      </c>
      <c r="AB775" s="101">
        <f t="shared" si="112"/>
        <v>700</v>
      </c>
      <c r="AC775" s="101" t="str">
        <f t="shared" si="113"/>
        <v>КЭО (маг)</v>
      </c>
      <c r="AD775" s="101" t="str">
        <f t="shared" si="114"/>
        <v/>
      </c>
      <c r="AE775" s="102">
        <f t="shared" ca="1" si="115"/>
        <v>10.3</v>
      </c>
      <c r="AF775" s="103">
        <f t="shared" ca="1" si="116"/>
        <v>1.4714285714285714E-2</v>
      </c>
      <c r="AG775" s="101"/>
      <c r="AH775" s="101"/>
      <c r="BQ775" s="72">
        <v>0</v>
      </c>
      <c r="BR775" s="72">
        <v>0</v>
      </c>
      <c r="BS775" s="72">
        <v>0</v>
      </c>
      <c r="BT775" s="72">
        <v>0</v>
      </c>
      <c r="BU775" s="72">
        <v>0</v>
      </c>
      <c r="BV775" s="72">
        <v>0</v>
      </c>
      <c r="BW775" s="72">
        <v>0</v>
      </c>
      <c r="BX775" s="72">
        <v>0</v>
      </c>
      <c r="BY775" s="72">
        <v>0</v>
      </c>
      <c r="BZ775" s="72">
        <v>0</v>
      </c>
      <c r="CA775" s="72">
        <v>0</v>
      </c>
      <c r="CB775" s="72">
        <v>0</v>
      </c>
      <c r="CC775" s="72">
        <v>0</v>
      </c>
      <c r="CD775" s="72">
        <v>0</v>
      </c>
      <c r="CE775" s="72">
        <v>0</v>
      </c>
      <c r="CF775" s="72">
        <v>0</v>
      </c>
      <c r="CG775" s="72">
        <v>0</v>
      </c>
      <c r="CH775" s="72">
        <v>0</v>
      </c>
      <c r="CI775" s="72">
        <v>0</v>
      </c>
      <c r="CJ775" s="72">
        <v>0</v>
      </c>
      <c r="CK775" s="72">
        <v>0</v>
      </c>
      <c r="CL775" s="72">
        <v>0</v>
      </c>
      <c r="CM775" s="72">
        <v>0</v>
      </c>
      <c r="CN775" s="72">
        <v>0</v>
      </c>
      <c r="CO775" s="72">
        <v>0</v>
      </c>
      <c r="CP775" s="72">
        <v>0</v>
      </c>
      <c r="CQ775" s="72">
        <v>0</v>
      </c>
      <c r="CR775" s="72">
        <v>0</v>
      </c>
      <c r="CS775" s="72">
        <v>0</v>
      </c>
      <c r="CT775" s="72">
        <v>0</v>
      </c>
      <c r="CU775" s="72">
        <v>0</v>
      </c>
      <c r="CV775" s="72">
        <v>0</v>
      </c>
      <c r="CW775" s="72">
        <v>0</v>
      </c>
      <c r="CX775" s="72">
        <v>0</v>
      </c>
      <c r="CY775" s="72">
        <v>0</v>
      </c>
      <c r="CZ775" s="72">
        <v>0</v>
      </c>
      <c r="DA775" s="72">
        <v>0</v>
      </c>
      <c r="DB775" s="72">
        <v>0</v>
      </c>
      <c r="DC775" s="72">
        <v>0</v>
      </c>
      <c r="DD775" s="72">
        <v>0</v>
      </c>
      <c r="DE775" s="72">
        <v>0</v>
      </c>
      <c r="DF775" s="72">
        <v>0</v>
      </c>
      <c r="DG775" s="72">
        <v>0</v>
      </c>
      <c r="DH775" s="72">
        <v>0</v>
      </c>
      <c r="DI775" s="72">
        <v>0</v>
      </c>
      <c r="DJ775" s="72">
        <v>0</v>
      </c>
      <c r="DK775" s="72">
        <v>0</v>
      </c>
      <c r="DL775" s="72">
        <v>0</v>
      </c>
      <c r="DM775" s="72">
        <v>0</v>
      </c>
      <c r="DN775" s="72">
        <v>0</v>
      </c>
      <c r="DO775" s="72">
        <v>0</v>
      </c>
      <c r="DP775" s="72">
        <v>0</v>
      </c>
      <c r="DQ775" s="72">
        <v>0</v>
      </c>
      <c r="DR775" s="72">
        <v>0</v>
      </c>
      <c r="DS775" s="72">
        <v>0</v>
      </c>
      <c r="DT775" s="72">
        <v>0</v>
      </c>
      <c r="DU775" s="72">
        <v>0</v>
      </c>
      <c r="DV775" s="72">
        <v>0</v>
      </c>
      <c r="DW775" s="72">
        <v>0</v>
      </c>
      <c r="DX775" s="72">
        <v>0</v>
      </c>
      <c r="DY775" s="72">
        <v>0</v>
      </c>
      <c r="DZ775" s="72">
        <v>0</v>
      </c>
      <c r="EA775" s="72">
        <v>0</v>
      </c>
      <c r="EB775" s="72">
        <v>0</v>
      </c>
      <c r="EC775" s="72">
        <v>0</v>
      </c>
      <c r="ED775" s="72">
        <v>0</v>
      </c>
      <c r="EE775" s="72">
        <v>0</v>
      </c>
      <c r="EF775" s="72">
        <v>0</v>
      </c>
      <c r="EG775" s="72">
        <v>0</v>
      </c>
      <c r="EH775" s="72">
        <v>0</v>
      </c>
      <c r="EI775" s="72">
        <v>0</v>
      </c>
      <c r="EJ775" s="72">
        <v>0</v>
      </c>
      <c r="EK775" s="72">
        <v>0</v>
      </c>
      <c r="EL775" s="72">
        <v>0</v>
      </c>
    </row>
    <row r="776" spans="1:142" x14ac:dyDescent="0.35">
      <c r="A776" s="59">
        <f>Данные!A776</f>
        <v>6370</v>
      </c>
      <c r="B776" s="59">
        <f>Данные!B776</f>
        <v>2019</v>
      </c>
      <c r="C776" s="59" t="str">
        <f>Данные!C776</f>
        <v>компьютерных технологий и электронного обучения</v>
      </c>
      <c r="D776" s="59" t="str">
        <f>Данные!D776</f>
        <v>Власова Елена Зотиковна</v>
      </c>
      <c r="E776" s="59" t="str">
        <f>Данные!E776</f>
        <v>доктор педагогических наук</v>
      </c>
      <c r="F776" s="59" t="str">
        <f>Данные!F776</f>
        <v>заведующий кафедрой</v>
      </c>
      <c r="G776" s="59">
        <f>Данные!G776</f>
        <v>1</v>
      </c>
      <c r="H776" s="59" t="str">
        <f>Данные!H776</f>
        <v>2 курс (м) 2018 год/пост</v>
      </c>
      <c r="I776" s="59" t="str">
        <f>Данные!I776</f>
        <v>Модуль "SMART-обучение". Инженерия знаний</v>
      </c>
      <c r="J776" s="59">
        <f>Данные!J776</f>
        <v>4</v>
      </c>
      <c r="K776" s="59">
        <f>Данные!K776</f>
        <v>0</v>
      </c>
      <c r="L776" s="59">
        <f>Данные!L776</f>
        <v>0</v>
      </c>
      <c r="M776" s="60">
        <f t="shared" si="108"/>
        <v>0.4</v>
      </c>
      <c r="N776" s="60">
        <f t="shared" ca="1" si="109"/>
        <v>5.3000000000000007</v>
      </c>
      <c r="O776" s="60">
        <f t="shared" ca="1" si="110"/>
        <v>2.5</v>
      </c>
      <c r="P776" s="60">
        <f t="shared" ca="1" si="111"/>
        <v>2.5</v>
      </c>
      <c r="Q776" s="54">
        <f>Данные!Q776</f>
        <v>0</v>
      </c>
      <c r="R776" s="54">
        <f>Данные!R776</f>
        <v>0</v>
      </c>
      <c r="S776" s="54">
        <f>Данные!S776</f>
        <v>0</v>
      </c>
      <c r="T776" s="54">
        <f>Данные!T776</f>
        <v>0</v>
      </c>
      <c r="U776" s="54">
        <f>Данные!U776</f>
        <v>0</v>
      </c>
      <c r="V776" s="54">
        <f>Данные!V776</f>
        <v>0</v>
      </c>
      <c r="W776" s="54">
        <f ca="1">Данные!W776</f>
        <v>10</v>
      </c>
      <c r="X776" s="54" t="str">
        <f ca="1">Данные!X776</f>
        <v>1</v>
      </c>
      <c r="Y776" s="54" t="str">
        <f ca="1">Данные!Y776</f>
        <v>1</v>
      </c>
      <c r="Z776" s="54">
        <f>Данные!Z776</f>
        <v>0</v>
      </c>
      <c r="AA776" s="54" t="str">
        <f>Данные!AA776</f>
        <v>осн</v>
      </c>
      <c r="AB776" s="101">
        <f t="shared" si="112"/>
        <v>700</v>
      </c>
      <c r="AC776" s="101" t="str">
        <f t="shared" si="113"/>
        <v>КЭО (маг)</v>
      </c>
      <c r="AD776" s="101" t="str">
        <f t="shared" si="114"/>
        <v/>
      </c>
      <c r="AE776" s="102">
        <f t="shared" ca="1" si="115"/>
        <v>14.700000000000001</v>
      </c>
      <c r="AF776" s="103">
        <f t="shared" ca="1" si="116"/>
        <v>2.1000000000000001E-2</v>
      </c>
      <c r="AG776" s="101"/>
      <c r="AH776" s="101"/>
      <c r="BQ776" s="72">
        <v>0</v>
      </c>
      <c r="BR776" s="72">
        <v>0</v>
      </c>
      <c r="BS776" s="72">
        <v>0</v>
      </c>
      <c r="BT776" s="72">
        <v>0</v>
      </c>
      <c r="BU776" s="72">
        <v>0</v>
      </c>
      <c r="BV776" s="72">
        <v>0</v>
      </c>
      <c r="BW776" s="72">
        <v>0</v>
      </c>
      <c r="BX776" s="72">
        <v>0</v>
      </c>
      <c r="BY776" s="72">
        <v>0</v>
      </c>
      <c r="BZ776" s="72">
        <v>0</v>
      </c>
      <c r="CA776" s="72">
        <v>0</v>
      </c>
      <c r="CB776" s="72">
        <v>0</v>
      </c>
      <c r="CC776" s="72">
        <v>0</v>
      </c>
      <c r="CD776" s="72">
        <v>0</v>
      </c>
      <c r="CE776" s="72">
        <v>0</v>
      </c>
      <c r="CF776" s="72">
        <v>0</v>
      </c>
      <c r="CG776" s="72">
        <v>0</v>
      </c>
      <c r="CH776" s="72">
        <v>0</v>
      </c>
      <c r="CI776" s="72">
        <v>0</v>
      </c>
      <c r="CJ776" s="72">
        <v>0</v>
      </c>
      <c r="CK776" s="72">
        <v>0</v>
      </c>
      <c r="CL776" s="72">
        <v>0</v>
      </c>
      <c r="CM776" s="72">
        <v>0</v>
      </c>
      <c r="CN776" s="72">
        <v>0</v>
      </c>
      <c r="CO776" s="72">
        <v>0</v>
      </c>
      <c r="CP776" s="72">
        <v>0</v>
      </c>
      <c r="CQ776" s="72">
        <v>0</v>
      </c>
      <c r="CR776" s="72">
        <v>0</v>
      </c>
      <c r="CS776" s="72">
        <v>0</v>
      </c>
      <c r="CT776" s="72">
        <v>0</v>
      </c>
      <c r="CU776" s="72">
        <v>0</v>
      </c>
      <c r="CV776" s="72">
        <v>0</v>
      </c>
      <c r="CW776" s="72">
        <v>0</v>
      </c>
      <c r="CX776" s="72">
        <v>0</v>
      </c>
      <c r="CY776" s="72">
        <v>0</v>
      </c>
      <c r="CZ776" s="72">
        <v>0</v>
      </c>
      <c r="DA776" s="72">
        <v>0</v>
      </c>
      <c r="DB776" s="72">
        <v>0</v>
      </c>
      <c r="DC776" s="72">
        <v>0</v>
      </c>
      <c r="DD776" s="72">
        <v>0</v>
      </c>
      <c r="DE776" s="72">
        <v>0</v>
      </c>
      <c r="DF776" s="72">
        <v>0</v>
      </c>
      <c r="DG776" s="72">
        <v>0</v>
      </c>
      <c r="DH776" s="72">
        <v>0</v>
      </c>
      <c r="DI776" s="72">
        <v>0</v>
      </c>
      <c r="DJ776" s="72">
        <v>0</v>
      </c>
      <c r="DK776" s="72">
        <v>0</v>
      </c>
      <c r="DL776" s="72">
        <v>0</v>
      </c>
      <c r="DM776" s="72">
        <v>0</v>
      </c>
      <c r="DN776" s="72">
        <v>0</v>
      </c>
      <c r="DO776" s="72">
        <v>0</v>
      </c>
      <c r="DP776" s="72">
        <v>0</v>
      </c>
      <c r="DQ776" s="72">
        <v>0</v>
      </c>
      <c r="DR776" s="72">
        <v>0</v>
      </c>
      <c r="DS776" s="72">
        <v>0</v>
      </c>
      <c r="DT776" s="72">
        <v>0</v>
      </c>
      <c r="DU776" s="72">
        <v>0</v>
      </c>
      <c r="DV776" s="72">
        <v>0</v>
      </c>
      <c r="DW776" s="72">
        <v>0</v>
      </c>
      <c r="DX776" s="72">
        <v>0</v>
      </c>
      <c r="DY776" s="72">
        <v>0</v>
      </c>
      <c r="DZ776" s="72">
        <v>0</v>
      </c>
      <c r="EA776" s="72">
        <v>0</v>
      </c>
      <c r="EB776" s="72">
        <v>0</v>
      </c>
      <c r="EC776" s="72">
        <v>0</v>
      </c>
      <c r="ED776" s="72">
        <v>0</v>
      </c>
      <c r="EE776" s="72">
        <v>0</v>
      </c>
      <c r="EF776" s="72">
        <v>0</v>
      </c>
      <c r="EG776" s="72">
        <v>0</v>
      </c>
      <c r="EH776" s="72">
        <v>0</v>
      </c>
      <c r="EI776" s="72">
        <v>0</v>
      </c>
      <c r="EJ776" s="72">
        <v>0</v>
      </c>
      <c r="EK776" s="72">
        <v>0</v>
      </c>
      <c r="EL776" s="72">
        <v>0</v>
      </c>
    </row>
    <row r="777" spans="1:142" x14ac:dyDescent="0.35">
      <c r="A777" s="59">
        <f>Данные!A777</f>
        <v>6370</v>
      </c>
      <c r="B777" s="59">
        <f>Данные!B777</f>
        <v>2019</v>
      </c>
      <c r="C777" s="59" t="str">
        <f>Данные!C777</f>
        <v>компьютерных технологий и электронного обучения</v>
      </c>
      <c r="D777" s="59" t="str">
        <f>Данные!D777</f>
        <v>Власова Елена Зотиковна</v>
      </c>
      <c r="E777" s="59" t="str">
        <f>Данные!E777</f>
        <v>доктор педагогических наук</v>
      </c>
      <c r="F777" s="59" t="str">
        <f>Данные!F777</f>
        <v>заведующий кафедрой</v>
      </c>
      <c r="G777" s="59">
        <f>Данные!G777</f>
        <v>1</v>
      </c>
      <c r="H777" s="59" t="str">
        <f>Данные!H777</f>
        <v>2 курс (м) 2018 год/пост</v>
      </c>
      <c r="I777" s="59" t="str">
        <f>Данные!I777</f>
        <v>Научно-исследовательская работа. Педагогическое образование. Магистерская программа "Корпоративное электронное обучение"</v>
      </c>
      <c r="J777" s="59">
        <f>Данные!J777</f>
        <v>0</v>
      </c>
      <c r="K777" s="59">
        <f>Данные!K777</f>
        <v>0</v>
      </c>
      <c r="L777" s="59">
        <f>Данные!L777</f>
        <v>0</v>
      </c>
      <c r="M777" s="60">
        <f t="shared" si="108"/>
        <v>0</v>
      </c>
      <c r="N777" s="60">
        <f t="shared" ca="1" si="109"/>
        <v>5.3000000000000007</v>
      </c>
      <c r="O777" s="60">
        <f t="shared" ca="1" si="110"/>
        <v>2.5</v>
      </c>
      <c r="P777" s="60">
        <f t="shared" ca="1" si="111"/>
        <v>2.5</v>
      </c>
      <c r="Q777" s="54">
        <f>Данные!Q777</f>
        <v>0</v>
      </c>
      <c r="R777" s="54">
        <f>Данные!R777</f>
        <v>0</v>
      </c>
      <c r="S777" s="54">
        <f>Данные!S777</f>
        <v>0</v>
      </c>
      <c r="T777" s="54">
        <f>Данные!T777</f>
        <v>0</v>
      </c>
      <c r="U777" s="54">
        <f>Данные!U777</f>
        <v>12</v>
      </c>
      <c r="V777" s="54">
        <f>Данные!V777</f>
        <v>0</v>
      </c>
      <c r="W777" s="54">
        <f ca="1">Данные!W777</f>
        <v>10</v>
      </c>
      <c r="X777" s="54" t="str">
        <f ca="1">Данные!X777</f>
        <v>1</v>
      </c>
      <c r="Y777" s="54" t="str">
        <f ca="1">Данные!Y777</f>
        <v>1</v>
      </c>
      <c r="Z777" s="54">
        <f>Данные!Z777</f>
        <v>0</v>
      </c>
      <c r="AA777" s="54" t="str">
        <f>Данные!AA777</f>
        <v>осн</v>
      </c>
      <c r="AB777" s="101">
        <f t="shared" si="112"/>
        <v>700</v>
      </c>
      <c r="AC777" s="101" t="str">
        <f t="shared" si="113"/>
        <v>КЭО (маг)</v>
      </c>
      <c r="AD777" s="101" t="str">
        <f t="shared" si="114"/>
        <v/>
      </c>
      <c r="AE777" s="102">
        <f t="shared" ca="1" si="115"/>
        <v>22.3</v>
      </c>
      <c r="AF777" s="103">
        <f t="shared" ca="1" si="116"/>
        <v>3.1857142857142855E-2</v>
      </c>
      <c r="AG777" s="101"/>
      <c r="AH777" s="101"/>
      <c r="BQ777" s="72">
        <v>0</v>
      </c>
      <c r="BR777" s="72">
        <v>0</v>
      </c>
      <c r="BS777" s="72">
        <v>0</v>
      </c>
      <c r="BT777" s="72">
        <v>0</v>
      </c>
      <c r="BU777" s="72">
        <v>0</v>
      </c>
      <c r="BV777" s="72">
        <v>0</v>
      </c>
      <c r="BW777" s="72">
        <v>0</v>
      </c>
      <c r="BX777" s="72">
        <v>0</v>
      </c>
      <c r="BY777" s="72">
        <v>0</v>
      </c>
      <c r="BZ777" s="72">
        <v>0</v>
      </c>
      <c r="CA777" s="72">
        <v>0</v>
      </c>
      <c r="CB777" s="72">
        <v>0</v>
      </c>
      <c r="CC777" s="72">
        <v>0</v>
      </c>
      <c r="CD777" s="72">
        <v>0</v>
      </c>
      <c r="CE777" s="72">
        <v>0</v>
      </c>
      <c r="CF777" s="72">
        <v>0</v>
      </c>
      <c r="CG777" s="72">
        <v>0</v>
      </c>
      <c r="CH777" s="72">
        <v>0</v>
      </c>
      <c r="CI777" s="72">
        <v>0</v>
      </c>
      <c r="CJ777" s="72">
        <v>0</v>
      </c>
      <c r="CK777" s="72">
        <v>0</v>
      </c>
      <c r="CL777" s="72">
        <v>0</v>
      </c>
      <c r="CM777" s="72">
        <v>0</v>
      </c>
      <c r="CN777" s="72">
        <v>0</v>
      </c>
      <c r="CO777" s="72">
        <v>0</v>
      </c>
      <c r="CP777" s="72">
        <v>0</v>
      </c>
      <c r="CQ777" s="72">
        <v>0</v>
      </c>
      <c r="CR777" s="72">
        <v>0</v>
      </c>
      <c r="CS777" s="72">
        <v>0</v>
      </c>
      <c r="CT777" s="72">
        <v>0</v>
      </c>
      <c r="CU777" s="72">
        <v>0</v>
      </c>
      <c r="CV777" s="72">
        <v>0</v>
      </c>
      <c r="CW777" s="72">
        <v>0</v>
      </c>
      <c r="CX777" s="72">
        <v>0</v>
      </c>
      <c r="CY777" s="72">
        <v>0</v>
      </c>
      <c r="CZ777" s="72">
        <v>0</v>
      </c>
      <c r="DA777" s="72">
        <v>0</v>
      </c>
      <c r="DB777" s="72">
        <v>0</v>
      </c>
      <c r="DC777" s="72">
        <v>0</v>
      </c>
      <c r="DD777" s="72">
        <v>0</v>
      </c>
      <c r="DE777" s="72">
        <v>0</v>
      </c>
      <c r="DF777" s="72">
        <v>0</v>
      </c>
      <c r="DG777" s="72">
        <v>0</v>
      </c>
      <c r="DH777" s="72">
        <v>0</v>
      </c>
      <c r="DI777" s="72">
        <v>0</v>
      </c>
      <c r="DJ777" s="72">
        <v>0</v>
      </c>
      <c r="DK777" s="72">
        <v>0</v>
      </c>
      <c r="DL777" s="72">
        <v>0</v>
      </c>
      <c r="DM777" s="72">
        <v>0</v>
      </c>
      <c r="DN777" s="72">
        <v>0</v>
      </c>
      <c r="DO777" s="72">
        <v>0</v>
      </c>
      <c r="DP777" s="72">
        <v>0</v>
      </c>
      <c r="DQ777" s="72">
        <v>0</v>
      </c>
      <c r="DR777" s="72">
        <v>0</v>
      </c>
      <c r="DS777" s="72">
        <v>0</v>
      </c>
      <c r="DT777" s="72">
        <v>0</v>
      </c>
      <c r="DU777" s="72">
        <v>0</v>
      </c>
      <c r="DV777" s="72">
        <v>0</v>
      </c>
      <c r="DW777" s="72">
        <v>0</v>
      </c>
      <c r="DX777" s="72">
        <v>0</v>
      </c>
      <c r="DY777" s="72">
        <v>0</v>
      </c>
      <c r="DZ777" s="72">
        <v>0</v>
      </c>
      <c r="EA777" s="72">
        <v>0</v>
      </c>
      <c r="EB777" s="72">
        <v>0</v>
      </c>
      <c r="EC777" s="72">
        <v>0</v>
      </c>
      <c r="ED777" s="72">
        <v>0</v>
      </c>
      <c r="EE777" s="72">
        <v>0</v>
      </c>
      <c r="EF777" s="72">
        <v>0</v>
      </c>
      <c r="EG777" s="72">
        <v>0</v>
      </c>
      <c r="EH777" s="72">
        <v>0</v>
      </c>
      <c r="EI777" s="72">
        <v>0</v>
      </c>
      <c r="EJ777" s="72">
        <v>0</v>
      </c>
      <c r="EK777" s="72">
        <v>0</v>
      </c>
      <c r="EL777" s="72">
        <v>0</v>
      </c>
    </row>
    <row r="778" spans="1:142" x14ac:dyDescent="0.35">
      <c r="A778" s="59">
        <f>Данные!A778</f>
        <v>6370</v>
      </c>
      <c r="B778" s="59">
        <f>Данные!B778</f>
        <v>2019</v>
      </c>
      <c r="C778" s="59" t="str">
        <f>Данные!C778</f>
        <v>компьютерных технологий и электронного обучения</v>
      </c>
      <c r="D778" s="59" t="str">
        <f>Данные!D778</f>
        <v>Власова Елена Зотиковна</v>
      </c>
      <c r="E778" s="59" t="str">
        <f>Данные!E778</f>
        <v>доктор педагогических наук</v>
      </c>
      <c r="F778" s="59" t="str">
        <f>Данные!F778</f>
        <v>заведующий кафедрой</v>
      </c>
      <c r="G778" s="59">
        <f>Данные!G778</f>
        <v>1</v>
      </c>
      <c r="H778" s="59" t="str">
        <f>Данные!H778</f>
        <v>2 курс (м) 2018 год/пост</v>
      </c>
      <c r="I778" s="59" t="str">
        <f>Данные!I778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78" s="59">
        <f>Данные!J778</f>
        <v>0</v>
      </c>
      <c r="K778" s="59">
        <f>Данные!K778</f>
        <v>0</v>
      </c>
      <c r="L778" s="59">
        <f>Данные!L778</f>
        <v>0</v>
      </c>
      <c r="M778" s="60">
        <f t="shared" si="108"/>
        <v>0</v>
      </c>
      <c r="N778" s="60">
        <f t="shared" ca="1" si="109"/>
        <v>5.3000000000000007</v>
      </c>
      <c r="O778" s="60">
        <f t="shared" ca="1" si="110"/>
        <v>2.5</v>
      </c>
      <c r="P778" s="60">
        <f t="shared" ca="1" si="111"/>
        <v>2.5</v>
      </c>
      <c r="Q778" s="54">
        <f>Данные!Q778</f>
        <v>0</v>
      </c>
      <c r="R778" s="54">
        <f>Данные!R778</f>
        <v>8</v>
      </c>
      <c r="S778" s="54">
        <f>Данные!S778</f>
        <v>8</v>
      </c>
      <c r="T778" s="54">
        <f>Данные!T778</f>
        <v>0</v>
      </c>
      <c r="U778" s="54">
        <f>Данные!U778</f>
        <v>0</v>
      </c>
      <c r="V778" s="54">
        <f>Данные!V778</f>
        <v>66</v>
      </c>
      <c r="W778" s="54">
        <f ca="1">Данные!W778</f>
        <v>10</v>
      </c>
      <c r="X778" s="54" t="str">
        <f ca="1">Данные!X778</f>
        <v>1</v>
      </c>
      <c r="Y778" s="54" t="str">
        <f ca="1">Данные!Y778</f>
        <v>1</v>
      </c>
      <c r="Z778" s="54">
        <f>Данные!Z778</f>
        <v>0</v>
      </c>
      <c r="AA778" s="54" t="str">
        <f>Данные!AA778</f>
        <v>осн</v>
      </c>
      <c r="AB778" s="101">
        <f t="shared" si="112"/>
        <v>700</v>
      </c>
      <c r="AC778" s="101" t="str">
        <f t="shared" si="113"/>
        <v>КЭО (маг)</v>
      </c>
      <c r="AD778" s="101" t="str">
        <f t="shared" si="114"/>
        <v/>
      </c>
      <c r="AE778" s="102">
        <f t="shared" ca="1" si="115"/>
        <v>92.3</v>
      </c>
      <c r="AF778" s="103">
        <f t="shared" ca="1" si="116"/>
        <v>0.13185714285714284</v>
      </c>
      <c r="AG778" s="101"/>
      <c r="AH778" s="101"/>
      <c r="BQ778" s="72">
        <v>0</v>
      </c>
      <c r="BR778" s="72">
        <v>0</v>
      </c>
      <c r="BS778" s="72">
        <v>0</v>
      </c>
      <c r="BT778" s="72">
        <v>0</v>
      </c>
      <c r="BU778" s="72">
        <v>0</v>
      </c>
      <c r="BV778" s="72">
        <v>0</v>
      </c>
      <c r="BW778" s="72">
        <v>0</v>
      </c>
      <c r="BX778" s="72">
        <v>0</v>
      </c>
      <c r="BY778" s="72">
        <v>0</v>
      </c>
      <c r="BZ778" s="72">
        <v>0</v>
      </c>
      <c r="CA778" s="72">
        <v>0</v>
      </c>
      <c r="CB778" s="72">
        <v>0</v>
      </c>
      <c r="CC778" s="72">
        <v>0</v>
      </c>
      <c r="CD778" s="72">
        <v>0</v>
      </c>
      <c r="CE778" s="72">
        <v>0</v>
      </c>
      <c r="CF778" s="72">
        <v>0</v>
      </c>
      <c r="CG778" s="72">
        <v>0</v>
      </c>
      <c r="CH778" s="72">
        <v>0</v>
      </c>
      <c r="CI778" s="72">
        <v>0</v>
      </c>
      <c r="CJ778" s="72">
        <v>0</v>
      </c>
      <c r="CK778" s="72">
        <v>0</v>
      </c>
      <c r="CL778" s="72">
        <v>0</v>
      </c>
      <c r="CM778" s="72">
        <v>0</v>
      </c>
      <c r="CN778" s="72">
        <v>0</v>
      </c>
      <c r="CO778" s="72">
        <v>0</v>
      </c>
      <c r="CP778" s="72">
        <v>0</v>
      </c>
      <c r="CQ778" s="72">
        <v>0</v>
      </c>
      <c r="CR778" s="72">
        <v>0</v>
      </c>
      <c r="CS778" s="72">
        <v>0</v>
      </c>
      <c r="CT778" s="72">
        <v>0</v>
      </c>
      <c r="CU778" s="72">
        <v>0</v>
      </c>
      <c r="CV778" s="72">
        <v>0</v>
      </c>
      <c r="CW778" s="72">
        <v>0</v>
      </c>
      <c r="CX778" s="72">
        <v>0</v>
      </c>
      <c r="CY778" s="72">
        <v>0</v>
      </c>
      <c r="CZ778" s="72">
        <v>0</v>
      </c>
      <c r="DA778" s="72">
        <v>0</v>
      </c>
      <c r="DB778" s="72">
        <v>0</v>
      </c>
      <c r="DC778" s="72">
        <v>0</v>
      </c>
      <c r="DD778" s="72">
        <v>0</v>
      </c>
      <c r="DE778" s="72">
        <v>0</v>
      </c>
      <c r="DF778" s="72">
        <v>0</v>
      </c>
      <c r="DG778" s="72">
        <v>0</v>
      </c>
      <c r="DH778" s="72">
        <v>0</v>
      </c>
      <c r="DI778" s="72">
        <v>0</v>
      </c>
      <c r="DJ778" s="72">
        <v>0</v>
      </c>
      <c r="DK778" s="72">
        <v>0</v>
      </c>
      <c r="DL778" s="72">
        <v>0</v>
      </c>
      <c r="DM778" s="72">
        <v>0</v>
      </c>
      <c r="DN778" s="72">
        <v>0</v>
      </c>
      <c r="DO778" s="72">
        <v>0</v>
      </c>
      <c r="DP778" s="72">
        <v>0</v>
      </c>
      <c r="DQ778" s="72">
        <v>0</v>
      </c>
      <c r="DR778" s="72">
        <v>0</v>
      </c>
      <c r="DS778" s="72">
        <v>0</v>
      </c>
      <c r="DT778" s="72">
        <v>0</v>
      </c>
      <c r="DU778" s="72">
        <v>0</v>
      </c>
      <c r="DV778" s="72">
        <v>0</v>
      </c>
      <c r="DW778" s="72">
        <v>0</v>
      </c>
      <c r="DX778" s="72">
        <v>0</v>
      </c>
      <c r="DY778" s="72">
        <v>0</v>
      </c>
      <c r="DZ778" s="72">
        <v>0</v>
      </c>
      <c r="EA778" s="72">
        <v>0</v>
      </c>
      <c r="EB778" s="72">
        <v>0</v>
      </c>
      <c r="EC778" s="72">
        <v>0</v>
      </c>
      <c r="ED778" s="72">
        <v>0</v>
      </c>
      <c r="EE778" s="72">
        <v>0</v>
      </c>
      <c r="EF778" s="72">
        <v>0</v>
      </c>
      <c r="EG778" s="72">
        <v>0</v>
      </c>
      <c r="EH778" s="72">
        <v>0</v>
      </c>
      <c r="EI778" s="72">
        <v>0</v>
      </c>
      <c r="EJ778" s="72">
        <v>0</v>
      </c>
      <c r="EK778" s="72">
        <v>0</v>
      </c>
      <c r="EL778" s="72">
        <v>0</v>
      </c>
    </row>
    <row r="779" spans="1:142" x14ac:dyDescent="0.35">
      <c r="A779" s="59">
        <f>Данные!A779</f>
        <v>6370</v>
      </c>
      <c r="B779" s="59">
        <f>Данные!B779</f>
        <v>2019</v>
      </c>
      <c r="C779" s="59" t="str">
        <f>Данные!C779</f>
        <v>компьютерных технологий и электронного обучения</v>
      </c>
      <c r="D779" s="59" t="str">
        <f>Данные!D779</f>
        <v>Власова Елена Зотиковна</v>
      </c>
      <c r="E779" s="59" t="str">
        <f>Данные!E779</f>
        <v>доктор педагогических наук</v>
      </c>
      <c r="F779" s="59" t="str">
        <f>Данные!F779</f>
        <v>заведующий кафедрой</v>
      </c>
      <c r="G779" s="59">
        <f>Данные!G779</f>
        <v>1</v>
      </c>
      <c r="H779" s="59" t="str">
        <f>Данные!H779</f>
        <v>2 курс (м) 2018 год/пост</v>
      </c>
      <c r="I779" s="59" t="str">
        <f>Данные!I779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79" s="59">
        <f>Данные!J779</f>
        <v>0</v>
      </c>
      <c r="K779" s="59">
        <f>Данные!K779</f>
        <v>0</v>
      </c>
      <c r="L779" s="59">
        <f>Данные!L779</f>
        <v>0</v>
      </c>
      <c r="M779" s="60">
        <f t="shared" si="108"/>
        <v>0</v>
      </c>
      <c r="N779" s="60">
        <f t="shared" ca="1" si="109"/>
        <v>5.3000000000000007</v>
      </c>
      <c r="O779" s="60">
        <f t="shared" ca="1" si="110"/>
        <v>2.5</v>
      </c>
      <c r="P779" s="60">
        <f t="shared" ca="1" si="111"/>
        <v>2.5</v>
      </c>
      <c r="Q779" s="54">
        <f>Данные!Q779</f>
        <v>0</v>
      </c>
      <c r="R779" s="54">
        <f>Данные!R779</f>
        <v>0</v>
      </c>
      <c r="S779" s="54">
        <f>Данные!S779</f>
        <v>0</v>
      </c>
      <c r="T779" s="54">
        <f>Данные!T779</f>
        <v>0</v>
      </c>
      <c r="U779" s="54">
        <f>Данные!U779</f>
        <v>12</v>
      </c>
      <c r="V779" s="54">
        <f>Данные!V779</f>
        <v>0</v>
      </c>
      <c r="W779" s="54">
        <f ca="1">Данные!W779</f>
        <v>10</v>
      </c>
      <c r="X779" s="54" t="str">
        <f ca="1">Данные!X779</f>
        <v>1</v>
      </c>
      <c r="Y779" s="54" t="str">
        <f ca="1">Данные!Y779</f>
        <v>1</v>
      </c>
      <c r="Z779" s="54">
        <f>Данные!Z779</f>
        <v>0</v>
      </c>
      <c r="AA779" s="54" t="str">
        <f>Данные!AA779</f>
        <v>осн</v>
      </c>
      <c r="AB779" s="101">
        <f t="shared" si="112"/>
        <v>700</v>
      </c>
      <c r="AC779" s="101" t="str">
        <f t="shared" si="113"/>
        <v>КЭО (маг)</v>
      </c>
      <c r="AD779" s="101" t="str">
        <f t="shared" si="114"/>
        <v/>
      </c>
      <c r="AE779" s="102">
        <f t="shared" ca="1" si="115"/>
        <v>22.3</v>
      </c>
      <c r="AF779" s="103">
        <f t="shared" ca="1" si="116"/>
        <v>3.1857142857142855E-2</v>
      </c>
      <c r="AG779" s="101"/>
      <c r="AH779" s="101"/>
      <c r="BQ779" s="72">
        <v>0</v>
      </c>
      <c r="BR779" s="72">
        <v>0</v>
      </c>
      <c r="BS779" s="72">
        <v>0</v>
      </c>
      <c r="BT779" s="72">
        <v>0</v>
      </c>
      <c r="BU779" s="72">
        <v>0</v>
      </c>
      <c r="BV779" s="72">
        <v>0</v>
      </c>
      <c r="BW779" s="72">
        <v>0</v>
      </c>
      <c r="BX779" s="72">
        <v>0</v>
      </c>
      <c r="BY779" s="72">
        <v>0</v>
      </c>
      <c r="BZ779" s="72">
        <v>0</v>
      </c>
      <c r="CA779" s="72">
        <v>0</v>
      </c>
      <c r="CB779" s="72">
        <v>0</v>
      </c>
      <c r="CC779" s="72">
        <v>0</v>
      </c>
      <c r="CD779" s="72">
        <v>0</v>
      </c>
      <c r="CE779" s="72">
        <v>0</v>
      </c>
      <c r="CF779" s="72">
        <v>0</v>
      </c>
      <c r="CG779" s="72">
        <v>0</v>
      </c>
      <c r="CH779" s="72">
        <v>0</v>
      </c>
      <c r="CI779" s="72">
        <v>0</v>
      </c>
      <c r="CJ779" s="72">
        <v>0</v>
      </c>
      <c r="CK779" s="72">
        <v>0</v>
      </c>
      <c r="CL779" s="72">
        <v>0</v>
      </c>
      <c r="CM779" s="72">
        <v>0</v>
      </c>
      <c r="CN779" s="72">
        <v>0</v>
      </c>
      <c r="CO779" s="72">
        <v>0</v>
      </c>
      <c r="CP779" s="72">
        <v>0</v>
      </c>
      <c r="CQ779" s="72">
        <v>0</v>
      </c>
      <c r="CR779" s="72">
        <v>0</v>
      </c>
      <c r="CS779" s="72">
        <v>0</v>
      </c>
      <c r="CT779" s="72">
        <v>0</v>
      </c>
      <c r="CU779" s="72">
        <v>0</v>
      </c>
      <c r="CV779" s="72">
        <v>0</v>
      </c>
      <c r="CW779" s="72">
        <v>0</v>
      </c>
      <c r="CX779" s="72">
        <v>0</v>
      </c>
      <c r="CY779" s="72">
        <v>0</v>
      </c>
      <c r="CZ779" s="72">
        <v>0</v>
      </c>
      <c r="DA779" s="72">
        <v>0</v>
      </c>
      <c r="DB779" s="72">
        <v>0</v>
      </c>
      <c r="DC779" s="72">
        <v>0</v>
      </c>
      <c r="DD779" s="72">
        <v>0</v>
      </c>
      <c r="DE779" s="72">
        <v>0</v>
      </c>
      <c r="DF779" s="72">
        <v>0</v>
      </c>
      <c r="DG779" s="72">
        <v>0</v>
      </c>
      <c r="DH779" s="72">
        <v>0</v>
      </c>
      <c r="DI779" s="72">
        <v>0</v>
      </c>
      <c r="DJ779" s="72">
        <v>0</v>
      </c>
      <c r="DK779" s="72">
        <v>0</v>
      </c>
      <c r="DL779" s="72">
        <v>0</v>
      </c>
      <c r="DM779" s="72">
        <v>0</v>
      </c>
      <c r="DN779" s="72">
        <v>0</v>
      </c>
      <c r="DO779" s="72">
        <v>0</v>
      </c>
      <c r="DP779" s="72">
        <v>0</v>
      </c>
      <c r="DQ779" s="72">
        <v>0</v>
      </c>
      <c r="DR779" s="72">
        <v>0</v>
      </c>
      <c r="DS779" s="72">
        <v>0</v>
      </c>
      <c r="DT779" s="72">
        <v>0</v>
      </c>
      <c r="DU779" s="72">
        <v>0</v>
      </c>
      <c r="DV779" s="72">
        <v>0</v>
      </c>
      <c r="DW779" s="72">
        <v>0</v>
      </c>
      <c r="DX779" s="72">
        <v>0</v>
      </c>
      <c r="DY779" s="72">
        <v>0</v>
      </c>
      <c r="DZ779" s="72">
        <v>0</v>
      </c>
      <c r="EA779" s="72">
        <v>0</v>
      </c>
      <c r="EB779" s="72">
        <v>0</v>
      </c>
      <c r="EC779" s="72">
        <v>0</v>
      </c>
      <c r="ED779" s="72">
        <v>0</v>
      </c>
      <c r="EE779" s="72">
        <v>0</v>
      </c>
      <c r="EF779" s="72">
        <v>0</v>
      </c>
      <c r="EG779" s="72">
        <v>0</v>
      </c>
      <c r="EH779" s="72">
        <v>0</v>
      </c>
      <c r="EI779" s="72">
        <v>0</v>
      </c>
      <c r="EJ779" s="72">
        <v>0</v>
      </c>
      <c r="EK779" s="72">
        <v>0</v>
      </c>
      <c r="EL779" s="72">
        <v>0</v>
      </c>
    </row>
    <row r="780" spans="1:142" x14ac:dyDescent="0.35">
      <c r="A780" s="59">
        <f>Данные!A780</f>
        <v>6370</v>
      </c>
      <c r="B780" s="59">
        <f>Данные!B780</f>
        <v>2019</v>
      </c>
      <c r="C780" s="59" t="str">
        <f>Данные!C780</f>
        <v>компьютерных технологий и электронного обучения</v>
      </c>
      <c r="D780" s="59" t="str">
        <f>Данные!D780</f>
        <v>Власова Елена Зотиковна</v>
      </c>
      <c r="E780" s="59" t="str">
        <f>Данные!E780</f>
        <v>доктор педагогических наук</v>
      </c>
      <c r="F780" s="59" t="str">
        <f>Данные!F780</f>
        <v>заведующий кафедрой</v>
      </c>
      <c r="G780" s="59">
        <f>Данные!G780</f>
        <v>1</v>
      </c>
      <c r="H780" s="59" t="str">
        <f>Данные!H780</f>
        <v>2 курс (м) 2018 год/пост</v>
      </c>
      <c r="I780" s="59" t="str">
        <f>Данные!I780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80" s="59">
        <f>Данные!J780</f>
        <v>0</v>
      </c>
      <c r="K780" s="59">
        <f>Данные!K780</f>
        <v>0</v>
      </c>
      <c r="L780" s="59">
        <f>Данные!L780</f>
        <v>0</v>
      </c>
      <c r="M780" s="60">
        <f t="shared" si="108"/>
        <v>0</v>
      </c>
      <c r="N780" s="60">
        <f t="shared" ca="1" si="109"/>
        <v>5.3000000000000007</v>
      </c>
      <c r="O780" s="60">
        <f t="shared" ca="1" si="110"/>
        <v>2.5</v>
      </c>
      <c r="P780" s="60">
        <f t="shared" ca="1" si="111"/>
        <v>2.5</v>
      </c>
      <c r="Q780" s="54">
        <f>Данные!Q780</f>
        <v>0</v>
      </c>
      <c r="R780" s="54">
        <f>Данные!R780</f>
        <v>0</v>
      </c>
      <c r="S780" s="54">
        <f>Данные!S780</f>
        <v>0</v>
      </c>
      <c r="T780" s="54">
        <f>Данные!T780</f>
        <v>0</v>
      </c>
      <c r="U780" s="54">
        <f>Данные!U780</f>
        <v>12</v>
      </c>
      <c r="V780" s="54">
        <f>Данные!V780</f>
        <v>0</v>
      </c>
      <c r="W780" s="54">
        <f ca="1">Данные!W780</f>
        <v>10</v>
      </c>
      <c r="X780" s="54" t="str">
        <f ca="1">Данные!X780</f>
        <v>1</v>
      </c>
      <c r="Y780" s="54" t="str">
        <f ca="1">Данные!Y780</f>
        <v>1</v>
      </c>
      <c r="Z780" s="54">
        <f>Данные!Z780</f>
        <v>0</v>
      </c>
      <c r="AA780" s="54" t="str">
        <f>Данные!AA780</f>
        <v>осн</v>
      </c>
      <c r="AB780" s="101">
        <f t="shared" si="112"/>
        <v>700</v>
      </c>
      <c r="AC780" s="101" t="str">
        <f t="shared" si="113"/>
        <v>КЭО (маг)</v>
      </c>
      <c r="AD780" s="101" t="str">
        <f t="shared" si="114"/>
        <v/>
      </c>
      <c r="AE780" s="102">
        <f t="shared" ca="1" si="115"/>
        <v>22.3</v>
      </c>
      <c r="AF780" s="103">
        <f t="shared" ca="1" si="116"/>
        <v>3.1857142857142855E-2</v>
      </c>
      <c r="AG780" s="101"/>
      <c r="AH780" s="101"/>
      <c r="BQ780" s="72">
        <v>0</v>
      </c>
      <c r="BR780" s="72">
        <v>0</v>
      </c>
      <c r="BS780" s="72">
        <v>0</v>
      </c>
      <c r="BT780" s="72">
        <v>0</v>
      </c>
      <c r="BU780" s="72">
        <v>0</v>
      </c>
      <c r="BV780" s="72">
        <v>0</v>
      </c>
      <c r="BW780" s="72">
        <v>0</v>
      </c>
      <c r="BX780" s="72">
        <v>0</v>
      </c>
      <c r="BY780" s="72">
        <v>0</v>
      </c>
      <c r="BZ780" s="72">
        <v>0</v>
      </c>
      <c r="CA780" s="72">
        <v>0</v>
      </c>
      <c r="CB780" s="72">
        <v>0</v>
      </c>
      <c r="CC780" s="72">
        <v>0</v>
      </c>
      <c r="CD780" s="72">
        <v>0</v>
      </c>
      <c r="CE780" s="72">
        <v>0</v>
      </c>
      <c r="CF780" s="72">
        <v>0</v>
      </c>
      <c r="CG780" s="72">
        <v>0</v>
      </c>
      <c r="CH780" s="72">
        <v>0</v>
      </c>
      <c r="CI780" s="72">
        <v>0</v>
      </c>
      <c r="CJ780" s="72">
        <v>0</v>
      </c>
      <c r="CK780" s="72">
        <v>0</v>
      </c>
      <c r="CL780" s="72">
        <v>0</v>
      </c>
      <c r="CM780" s="72">
        <v>0</v>
      </c>
      <c r="CN780" s="72">
        <v>0</v>
      </c>
      <c r="CO780" s="72">
        <v>0</v>
      </c>
      <c r="CP780" s="72">
        <v>0</v>
      </c>
      <c r="CQ780" s="72">
        <v>0</v>
      </c>
      <c r="CR780" s="72">
        <v>0</v>
      </c>
      <c r="CS780" s="72">
        <v>0</v>
      </c>
      <c r="CT780" s="72">
        <v>0</v>
      </c>
      <c r="CU780" s="72">
        <v>0</v>
      </c>
      <c r="CV780" s="72">
        <v>0</v>
      </c>
      <c r="CW780" s="72">
        <v>0</v>
      </c>
      <c r="CX780" s="72">
        <v>0</v>
      </c>
      <c r="CY780" s="72">
        <v>0</v>
      </c>
      <c r="CZ780" s="72">
        <v>0</v>
      </c>
      <c r="DA780" s="72">
        <v>0</v>
      </c>
      <c r="DB780" s="72">
        <v>0</v>
      </c>
      <c r="DC780" s="72">
        <v>0</v>
      </c>
      <c r="DD780" s="72">
        <v>0</v>
      </c>
      <c r="DE780" s="72">
        <v>0</v>
      </c>
      <c r="DF780" s="72">
        <v>0</v>
      </c>
      <c r="DG780" s="72">
        <v>0</v>
      </c>
      <c r="DH780" s="72">
        <v>0</v>
      </c>
      <c r="DI780" s="72">
        <v>0</v>
      </c>
      <c r="DJ780" s="72">
        <v>0</v>
      </c>
      <c r="DK780" s="72">
        <v>0</v>
      </c>
      <c r="DL780" s="72">
        <v>0</v>
      </c>
      <c r="DM780" s="72">
        <v>0</v>
      </c>
      <c r="DN780" s="72">
        <v>0</v>
      </c>
      <c r="DO780" s="72">
        <v>0</v>
      </c>
      <c r="DP780" s="72">
        <v>0</v>
      </c>
      <c r="DQ780" s="72">
        <v>0</v>
      </c>
      <c r="DR780" s="72">
        <v>0</v>
      </c>
      <c r="DS780" s="72">
        <v>0</v>
      </c>
      <c r="DT780" s="72">
        <v>0</v>
      </c>
      <c r="DU780" s="72">
        <v>0</v>
      </c>
      <c r="DV780" s="72">
        <v>0</v>
      </c>
      <c r="DW780" s="72">
        <v>0</v>
      </c>
      <c r="DX780" s="72">
        <v>0</v>
      </c>
      <c r="DY780" s="72">
        <v>0</v>
      </c>
      <c r="DZ780" s="72">
        <v>0</v>
      </c>
      <c r="EA780" s="72">
        <v>0</v>
      </c>
      <c r="EB780" s="72">
        <v>0</v>
      </c>
      <c r="EC780" s="72">
        <v>0</v>
      </c>
      <c r="ED780" s="72">
        <v>0</v>
      </c>
      <c r="EE780" s="72">
        <v>0</v>
      </c>
      <c r="EF780" s="72">
        <v>0</v>
      </c>
      <c r="EG780" s="72">
        <v>0</v>
      </c>
      <c r="EH780" s="72">
        <v>0</v>
      </c>
      <c r="EI780" s="72">
        <v>0</v>
      </c>
      <c r="EJ780" s="72">
        <v>0</v>
      </c>
      <c r="EK780" s="72">
        <v>0</v>
      </c>
      <c r="EL780" s="72">
        <v>0</v>
      </c>
    </row>
    <row r="781" spans="1:142" x14ac:dyDescent="0.35">
      <c r="A781" s="59">
        <f>Данные!A781</f>
        <v>6370</v>
      </c>
      <c r="B781" s="59">
        <f>Данные!B781</f>
        <v>2019</v>
      </c>
      <c r="C781" s="59" t="str">
        <f>Данные!C781</f>
        <v>компьютерных технологий и электронного обучения</v>
      </c>
      <c r="D781" s="59" t="str">
        <f>Данные!D781</f>
        <v>Власова Елена Зотиковна</v>
      </c>
      <c r="E781" s="59" t="str">
        <f>Данные!E781</f>
        <v>доктор педагогических наук</v>
      </c>
      <c r="F781" s="59" t="str">
        <f>Данные!F781</f>
        <v>заведующий кафедрой</v>
      </c>
      <c r="G781" s="59">
        <f>Данные!G781</f>
        <v>1</v>
      </c>
      <c r="H781" s="59" t="str">
        <f>Данные!H781</f>
        <v>2 курс (м) 2018 год/пост</v>
      </c>
      <c r="I781" s="59" t="str">
        <f>Данные!I781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81" s="59">
        <f>Данные!J781</f>
        <v>0</v>
      </c>
      <c r="K781" s="59">
        <f>Данные!K781</f>
        <v>0</v>
      </c>
      <c r="L781" s="59">
        <f>Данные!L781</f>
        <v>0</v>
      </c>
      <c r="M781" s="60">
        <f t="shared" si="108"/>
        <v>0</v>
      </c>
      <c r="N781" s="60">
        <f t="shared" ca="1" si="109"/>
        <v>5.3000000000000007</v>
      </c>
      <c r="O781" s="60">
        <f t="shared" ca="1" si="110"/>
        <v>2.5</v>
      </c>
      <c r="P781" s="60">
        <f t="shared" ca="1" si="111"/>
        <v>2.5</v>
      </c>
      <c r="Q781" s="54">
        <f>Данные!Q781</f>
        <v>0</v>
      </c>
      <c r="R781" s="54">
        <f>Данные!R781</f>
        <v>0</v>
      </c>
      <c r="S781" s="54">
        <f>Данные!S781</f>
        <v>0</v>
      </c>
      <c r="T781" s="54">
        <f>Данные!T781</f>
        <v>0</v>
      </c>
      <c r="U781" s="54">
        <f>Данные!U781</f>
        <v>6</v>
      </c>
      <c r="V781" s="54">
        <f>Данные!V781</f>
        <v>0</v>
      </c>
      <c r="W781" s="54">
        <f ca="1">Данные!W781</f>
        <v>10</v>
      </c>
      <c r="X781" s="54" t="str">
        <f ca="1">Данные!X781</f>
        <v>1</v>
      </c>
      <c r="Y781" s="54" t="str">
        <f ca="1">Данные!Y781</f>
        <v>1</v>
      </c>
      <c r="Z781" s="54">
        <f>Данные!Z781</f>
        <v>0</v>
      </c>
      <c r="AA781" s="54" t="str">
        <f>Данные!AA781</f>
        <v>осн</v>
      </c>
      <c r="AB781" s="101">
        <f t="shared" si="112"/>
        <v>700</v>
      </c>
      <c r="AC781" s="101" t="str">
        <f t="shared" si="113"/>
        <v>КЭО (маг)</v>
      </c>
      <c r="AD781" s="101" t="str">
        <f t="shared" si="114"/>
        <v/>
      </c>
      <c r="AE781" s="102">
        <f t="shared" ca="1" si="115"/>
        <v>16.3</v>
      </c>
      <c r="AF781" s="103">
        <f t="shared" ca="1" si="116"/>
        <v>2.3285714285714288E-2</v>
      </c>
      <c r="AG781" s="101"/>
      <c r="AH781" s="101"/>
      <c r="BQ781" s="72">
        <v>0</v>
      </c>
      <c r="BR781" s="72">
        <v>0</v>
      </c>
      <c r="BS781" s="72">
        <v>0</v>
      </c>
      <c r="BT781" s="72">
        <v>0</v>
      </c>
      <c r="BU781" s="72">
        <v>0</v>
      </c>
      <c r="BV781" s="72">
        <v>0</v>
      </c>
      <c r="BW781" s="72">
        <v>0</v>
      </c>
      <c r="BX781" s="72">
        <v>0</v>
      </c>
      <c r="BY781" s="72">
        <v>0</v>
      </c>
      <c r="BZ781" s="72">
        <v>0</v>
      </c>
      <c r="CA781" s="72">
        <v>0</v>
      </c>
      <c r="CB781" s="72">
        <v>0</v>
      </c>
      <c r="CC781" s="72">
        <v>0</v>
      </c>
      <c r="CD781" s="72">
        <v>0</v>
      </c>
      <c r="CE781" s="72">
        <v>0</v>
      </c>
      <c r="CF781" s="72">
        <v>0</v>
      </c>
      <c r="CG781" s="72">
        <v>0</v>
      </c>
      <c r="CH781" s="72">
        <v>0</v>
      </c>
      <c r="CI781" s="72">
        <v>0</v>
      </c>
      <c r="CJ781" s="72">
        <v>0</v>
      </c>
      <c r="CK781" s="72">
        <v>0</v>
      </c>
      <c r="CL781" s="72">
        <v>0</v>
      </c>
      <c r="CM781" s="72">
        <v>0</v>
      </c>
      <c r="CN781" s="72">
        <v>0</v>
      </c>
      <c r="CO781" s="72">
        <v>0</v>
      </c>
      <c r="CP781" s="72">
        <v>0</v>
      </c>
      <c r="CQ781" s="72">
        <v>0</v>
      </c>
      <c r="CR781" s="72">
        <v>0</v>
      </c>
      <c r="CS781" s="72">
        <v>0</v>
      </c>
      <c r="CT781" s="72">
        <v>0</v>
      </c>
      <c r="CU781" s="72">
        <v>0</v>
      </c>
      <c r="CV781" s="72">
        <v>0</v>
      </c>
      <c r="CW781" s="72">
        <v>0</v>
      </c>
      <c r="CX781" s="72">
        <v>0</v>
      </c>
      <c r="CY781" s="72">
        <v>0</v>
      </c>
      <c r="CZ781" s="72">
        <v>0</v>
      </c>
      <c r="DA781" s="72">
        <v>0</v>
      </c>
      <c r="DB781" s="72">
        <v>0</v>
      </c>
      <c r="DC781" s="72">
        <v>0</v>
      </c>
      <c r="DD781" s="72">
        <v>0</v>
      </c>
      <c r="DE781" s="72">
        <v>0</v>
      </c>
      <c r="DF781" s="72">
        <v>0</v>
      </c>
      <c r="DG781" s="72">
        <v>0</v>
      </c>
      <c r="DH781" s="72">
        <v>0</v>
      </c>
      <c r="DI781" s="72">
        <v>0</v>
      </c>
      <c r="DJ781" s="72">
        <v>0</v>
      </c>
      <c r="DK781" s="72">
        <v>0</v>
      </c>
      <c r="DL781" s="72">
        <v>0</v>
      </c>
      <c r="DM781" s="72">
        <v>0</v>
      </c>
      <c r="DN781" s="72">
        <v>0</v>
      </c>
      <c r="DO781" s="72">
        <v>0</v>
      </c>
      <c r="DP781" s="72">
        <v>0</v>
      </c>
      <c r="DQ781" s="72">
        <v>0</v>
      </c>
      <c r="DR781" s="72">
        <v>0</v>
      </c>
      <c r="DS781" s="72">
        <v>0</v>
      </c>
      <c r="DT781" s="72">
        <v>0</v>
      </c>
      <c r="DU781" s="72">
        <v>0</v>
      </c>
      <c r="DV781" s="72">
        <v>0</v>
      </c>
      <c r="DW781" s="72">
        <v>0</v>
      </c>
      <c r="DX781" s="72">
        <v>0</v>
      </c>
      <c r="DY781" s="72">
        <v>0</v>
      </c>
      <c r="DZ781" s="72">
        <v>0</v>
      </c>
      <c r="EA781" s="72">
        <v>0</v>
      </c>
      <c r="EB781" s="72">
        <v>0</v>
      </c>
      <c r="EC781" s="72">
        <v>0</v>
      </c>
      <c r="ED781" s="72">
        <v>0</v>
      </c>
      <c r="EE781" s="72">
        <v>0</v>
      </c>
      <c r="EF781" s="72">
        <v>0</v>
      </c>
      <c r="EG781" s="72">
        <v>0</v>
      </c>
      <c r="EH781" s="72">
        <v>0</v>
      </c>
      <c r="EI781" s="72">
        <v>0</v>
      </c>
      <c r="EJ781" s="72">
        <v>0</v>
      </c>
      <c r="EK781" s="72">
        <v>0</v>
      </c>
      <c r="EL781" s="72">
        <v>0</v>
      </c>
    </row>
    <row r="782" spans="1:142" x14ac:dyDescent="0.35">
      <c r="A782" s="59">
        <f>Данные!A782</f>
        <v>6370</v>
      </c>
      <c r="B782" s="59">
        <f>Данные!B782</f>
        <v>2019</v>
      </c>
      <c r="C782" s="59" t="str">
        <f>Данные!C782</f>
        <v>компьютерных технологий и электронного обучения</v>
      </c>
      <c r="D782" s="59" t="str">
        <f>Данные!D782</f>
        <v>Гончарова Светлана Викторовна</v>
      </c>
      <c r="E782" s="59" t="str">
        <f>Данные!E782</f>
        <v>кандидат педагогических наук</v>
      </c>
      <c r="F782" s="59" t="str">
        <f>Данные!F782</f>
        <v>доцент</v>
      </c>
      <c r="G782" s="59">
        <f>Данные!G782</f>
        <v>1</v>
      </c>
      <c r="H782" s="59" t="str">
        <f>Данные!H782</f>
        <v>2 курс (м) 2018 год/пост</v>
      </c>
      <c r="I782" s="59" t="str">
        <f>Данные!I782</f>
        <v>Модуль "Интеллектуальные информационные технологии в образовании". Дистанционные образовательные технологии</v>
      </c>
      <c r="J782" s="59">
        <f>Данные!J782</f>
        <v>4</v>
      </c>
      <c r="K782" s="59">
        <f>Данные!K782</f>
        <v>0</v>
      </c>
      <c r="L782" s="59">
        <f>Данные!L782</f>
        <v>0</v>
      </c>
      <c r="M782" s="60">
        <f t="shared" si="108"/>
        <v>0.4</v>
      </c>
      <c r="N782" s="60">
        <f t="shared" ca="1" si="109"/>
        <v>5.3000000000000007</v>
      </c>
      <c r="O782" s="60">
        <f t="shared" ca="1" si="110"/>
        <v>2.5</v>
      </c>
      <c r="P782" s="60">
        <f t="shared" ca="1" si="111"/>
        <v>2.5</v>
      </c>
      <c r="Q782" s="54">
        <f>Данные!Q782</f>
        <v>0</v>
      </c>
      <c r="R782" s="54">
        <f>Данные!R782</f>
        <v>0</v>
      </c>
      <c r="S782" s="54">
        <f>Данные!S782</f>
        <v>0</v>
      </c>
      <c r="T782" s="54">
        <f>Данные!T782</f>
        <v>0</v>
      </c>
      <c r="U782" s="54">
        <f>Данные!U782</f>
        <v>0</v>
      </c>
      <c r="V782" s="54">
        <f>Данные!V782</f>
        <v>0</v>
      </c>
      <c r="W782" s="54">
        <f ca="1">Данные!W782</f>
        <v>10</v>
      </c>
      <c r="X782" s="54" t="str">
        <f ca="1">Данные!X782</f>
        <v>1</v>
      </c>
      <c r="Y782" s="54" t="str">
        <f ca="1">Данные!Y782</f>
        <v>1</v>
      </c>
      <c r="Z782" s="54">
        <f>Данные!Z782</f>
        <v>0</v>
      </c>
      <c r="AA782" s="54" t="str">
        <f>Данные!AA782</f>
        <v>осн</v>
      </c>
      <c r="AB782" s="101">
        <f t="shared" si="112"/>
        <v>800</v>
      </c>
      <c r="AC782" s="101" t="str">
        <f t="shared" si="113"/>
        <v>КЭО (маг)</v>
      </c>
      <c r="AD782" s="101" t="str">
        <f t="shared" si="114"/>
        <v/>
      </c>
      <c r="AE782" s="102">
        <f t="shared" ca="1" si="115"/>
        <v>14.700000000000001</v>
      </c>
      <c r="AF782" s="103">
        <f t="shared" ca="1" si="116"/>
        <v>1.8375000000000002E-2</v>
      </c>
      <c r="AG782" s="101"/>
      <c r="AH782" s="101"/>
      <c r="BQ782" s="72">
        <v>0</v>
      </c>
      <c r="BR782" s="72">
        <v>0</v>
      </c>
      <c r="BS782" s="72">
        <v>0</v>
      </c>
      <c r="BT782" s="72">
        <v>0</v>
      </c>
      <c r="BU782" s="72">
        <v>0</v>
      </c>
      <c r="BV782" s="72">
        <v>0</v>
      </c>
      <c r="BW782" s="72">
        <v>0</v>
      </c>
      <c r="BX782" s="72">
        <v>0</v>
      </c>
      <c r="BY782" s="72">
        <v>0</v>
      </c>
      <c r="BZ782" s="72">
        <v>0</v>
      </c>
      <c r="CA782" s="72">
        <v>0</v>
      </c>
      <c r="CB782" s="72">
        <v>0</v>
      </c>
      <c r="CC782" s="72">
        <v>0</v>
      </c>
      <c r="CD782" s="72">
        <v>0</v>
      </c>
      <c r="CE782" s="72">
        <v>0</v>
      </c>
      <c r="CF782" s="72">
        <v>0</v>
      </c>
      <c r="CG782" s="72">
        <v>0</v>
      </c>
      <c r="CH782" s="72">
        <v>0</v>
      </c>
      <c r="CI782" s="72">
        <v>0</v>
      </c>
      <c r="CJ782" s="72">
        <v>0</v>
      </c>
      <c r="CK782" s="72">
        <v>0</v>
      </c>
      <c r="CL782" s="72">
        <v>0</v>
      </c>
      <c r="CM782" s="72">
        <v>0</v>
      </c>
      <c r="CN782" s="72">
        <v>0</v>
      </c>
      <c r="CO782" s="72">
        <v>0</v>
      </c>
      <c r="CP782" s="72">
        <v>0</v>
      </c>
      <c r="CQ782" s="72">
        <v>0</v>
      </c>
      <c r="CR782" s="72">
        <v>0</v>
      </c>
      <c r="CS782" s="72">
        <v>0</v>
      </c>
      <c r="CT782" s="72">
        <v>0</v>
      </c>
      <c r="CU782" s="72">
        <v>0</v>
      </c>
      <c r="CV782" s="72">
        <v>0</v>
      </c>
      <c r="CW782" s="72">
        <v>0</v>
      </c>
      <c r="CX782" s="72">
        <v>0</v>
      </c>
      <c r="CY782" s="72">
        <v>0</v>
      </c>
      <c r="CZ782" s="72">
        <v>0</v>
      </c>
      <c r="DA782" s="72">
        <v>0</v>
      </c>
      <c r="DB782" s="72">
        <v>0</v>
      </c>
      <c r="DC782" s="72">
        <v>0</v>
      </c>
      <c r="DD782" s="72">
        <v>0</v>
      </c>
      <c r="DE782" s="72">
        <v>0</v>
      </c>
      <c r="DF782" s="72">
        <v>0</v>
      </c>
      <c r="DG782" s="72">
        <v>0</v>
      </c>
      <c r="DH782" s="72">
        <v>0</v>
      </c>
      <c r="DI782" s="72">
        <v>0</v>
      </c>
      <c r="DJ782" s="72">
        <v>0</v>
      </c>
      <c r="DK782" s="72">
        <v>0</v>
      </c>
      <c r="DL782" s="72">
        <v>0</v>
      </c>
      <c r="DM782" s="72">
        <v>0</v>
      </c>
      <c r="DN782" s="72">
        <v>0</v>
      </c>
      <c r="DO782" s="72">
        <v>0</v>
      </c>
      <c r="DP782" s="72">
        <v>0</v>
      </c>
      <c r="DQ782" s="72">
        <v>0</v>
      </c>
      <c r="DR782" s="72">
        <v>0</v>
      </c>
      <c r="DS782" s="72">
        <v>0</v>
      </c>
      <c r="DT782" s="72">
        <v>0</v>
      </c>
      <c r="DU782" s="72">
        <v>0</v>
      </c>
      <c r="DV782" s="72">
        <v>0</v>
      </c>
      <c r="DW782" s="72">
        <v>0</v>
      </c>
      <c r="DX782" s="72">
        <v>0</v>
      </c>
      <c r="DY782" s="72">
        <v>0</v>
      </c>
      <c r="DZ782" s="72">
        <v>0</v>
      </c>
      <c r="EA782" s="72">
        <v>0</v>
      </c>
      <c r="EB782" s="72">
        <v>0</v>
      </c>
      <c r="EC782" s="72">
        <v>0</v>
      </c>
      <c r="ED782" s="72">
        <v>0</v>
      </c>
      <c r="EE782" s="72">
        <v>0</v>
      </c>
      <c r="EF782" s="72">
        <v>0</v>
      </c>
      <c r="EG782" s="72">
        <v>0</v>
      </c>
      <c r="EH782" s="72">
        <v>0</v>
      </c>
      <c r="EI782" s="72">
        <v>0</v>
      </c>
      <c r="EJ782" s="72">
        <v>0</v>
      </c>
      <c r="EK782" s="72">
        <v>0</v>
      </c>
      <c r="EL782" s="72">
        <v>0</v>
      </c>
    </row>
    <row r="783" spans="1:142" x14ac:dyDescent="0.35">
      <c r="A783" s="59">
        <f>Данные!A783</f>
        <v>6370</v>
      </c>
      <c r="B783" s="59">
        <f>Данные!B783</f>
        <v>2019</v>
      </c>
      <c r="C783" s="59" t="str">
        <f>Данные!C783</f>
        <v>компьютерных технологий и электронного обучения</v>
      </c>
      <c r="D783" s="59" t="str">
        <f>Данные!D783</f>
        <v>Гончарова Светлана Викторовна</v>
      </c>
      <c r="E783" s="59" t="str">
        <f>Данные!E783</f>
        <v>кандидат педагогических наук</v>
      </c>
      <c r="F783" s="59" t="str">
        <f>Данные!F783</f>
        <v>доцент</v>
      </c>
      <c r="G783" s="59">
        <f>Данные!G783</f>
        <v>1</v>
      </c>
      <c r="H783" s="59" t="str">
        <f>Данные!H783</f>
        <v>2 курс (м) 2018 год/пост</v>
      </c>
      <c r="I783" s="59" t="str">
        <f>Данные!I783</f>
        <v>Научно-исследовательская работа. Педагогическое образование. Магистерская программа "Корпоративное электронное обучение"</v>
      </c>
      <c r="J783" s="59">
        <f>Данные!J783</f>
        <v>0</v>
      </c>
      <c r="K783" s="59">
        <f>Данные!K783</f>
        <v>0</v>
      </c>
      <c r="L783" s="59">
        <f>Данные!L783</f>
        <v>0</v>
      </c>
      <c r="M783" s="60">
        <f t="shared" si="108"/>
        <v>0</v>
      </c>
      <c r="N783" s="60">
        <f t="shared" ca="1" si="109"/>
        <v>5.3000000000000007</v>
      </c>
      <c r="O783" s="60">
        <f t="shared" ca="1" si="110"/>
        <v>2.5</v>
      </c>
      <c r="P783" s="60">
        <f t="shared" ca="1" si="111"/>
        <v>2.5</v>
      </c>
      <c r="Q783" s="54">
        <f>Данные!Q783</f>
        <v>0</v>
      </c>
      <c r="R783" s="54">
        <f>Данные!R783</f>
        <v>0</v>
      </c>
      <c r="S783" s="54">
        <f>Данные!S783</f>
        <v>0</v>
      </c>
      <c r="T783" s="54">
        <f>Данные!T783</f>
        <v>0</v>
      </c>
      <c r="U783" s="54">
        <f>Данные!U783</f>
        <v>4</v>
      </c>
      <c r="V783" s="54">
        <f>Данные!V783</f>
        <v>0</v>
      </c>
      <c r="W783" s="54">
        <f ca="1">Данные!W783</f>
        <v>10</v>
      </c>
      <c r="X783" s="54" t="str">
        <f ca="1">Данные!X783</f>
        <v>1</v>
      </c>
      <c r="Y783" s="54" t="str">
        <f ca="1">Данные!Y783</f>
        <v>1</v>
      </c>
      <c r="Z783" s="54">
        <f>Данные!Z783</f>
        <v>0</v>
      </c>
      <c r="AA783" s="54" t="str">
        <f>Данные!AA783</f>
        <v>осн</v>
      </c>
      <c r="AB783" s="101">
        <f t="shared" si="112"/>
        <v>800</v>
      </c>
      <c r="AC783" s="101" t="str">
        <f t="shared" si="113"/>
        <v>КЭО (маг)</v>
      </c>
      <c r="AD783" s="101" t="str">
        <f t="shared" si="114"/>
        <v/>
      </c>
      <c r="AE783" s="102">
        <f t="shared" ca="1" si="115"/>
        <v>14.3</v>
      </c>
      <c r="AF783" s="103">
        <f t="shared" ca="1" si="116"/>
        <v>1.7875000000000002E-2</v>
      </c>
      <c r="AG783" s="101"/>
      <c r="AH783" s="101"/>
      <c r="BQ783" s="72">
        <v>0</v>
      </c>
      <c r="BR783" s="72">
        <v>0</v>
      </c>
      <c r="BS783" s="72">
        <v>0</v>
      </c>
      <c r="BT783" s="72">
        <v>0</v>
      </c>
      <c r="BU783" s="72">
        <v>0</v>
      </c>
      <c r="BV783" s="72">
        <v>0</v>
      </c>
      <c r="BW783" s="72">
        <v>0</v>
      </c>
      <c r="BX783" s="72">
        <v>0</v>
      </c>
      <c r="BY783" s="72">
        <v>0</v>
      </c>
      <c r="BZ783" s="72">
        <v>0</v>
      </c>
      <c r="CA783" s="72">
        <v>0</v>
      </c>
      <c r="CB783" s="72">
        <v>0</v>
      </c>
      <c r="CC783" s="72">
        <v>0</v>
      </c>
      <c r="CD783" s="72">
        <v>0</v>
      </c>
      <c r="CE783" s="72">
        <v>0</v>
      </c>
      <c r="CF783" s="72">
        <v>0</v>
      </c>
      <c r="CG783" s="72">
        <v>0</v>
      </c>
      <c r="CH783" s="72">
        <v>0</v>
      </c>
      <c r="CI783" s="72">
        <v>0</v>
      </c>
      <c r="CJ783" s="72">
        <v>0</v>
      </c>
      <c r="CK783" s="72">
        <v>0</v>
      </c>
      <c r="CL783" s="72">
        <v>0</v>
      </c>
      <c r="CM783" s="72">
        <v>0</v>
      </c>
      <c r="CN783" s="72">
        <v>0</v>
      </c>
      <c r="CO783" s="72">
        <v>0</v>
      </c>
      <c r="CP783" s="72">
        <v>0</v>
      </c>
      <c r="CQ783" s="72">
        <v>0</v>
      </c>
      <c r="CR783" s="72">
        <v>0</v>
      </c>
      <c r="CS783" s="72">
        <v>0</v>
      </c>
      <c r="CT783" s="72">
        <v>0</v>
      </c>
      <c r="CU783" s="72">
        <v>0</v>
      </c>
      <c r="CV783" s="72">
        <v>0</v>
      </c>
      <c r="CW783" s="72">
        <v>0</v>
      </c>
      <c r="CX783" s="72">
        <v>0</v>
      </c>
      <c r="CY783" s="72">
        <v>0</v>
      </c>
      <c r="CZ783" s="72">
        <v>0</v>
      </c>
      <c r="DA783" s="72">
        <v>0</v>
      </c>
      <c r="DB783" s="72">
        <v>0</v>
      </c>
      <c r="DC783" s="72">
        <v>0</v>
      </c>
      <c r="DD783" s="72">
        <v>0</v>
      </c>
      <c r="DE783" s="72">
        <v>0</v>
      </c>
      <c r="DF783" s="72">
        <v>0</v>
      </c>
      <c r="DG783" s="72">
        <v>0</v>
      </c>
      <c r="DH783" s="72">
        <v>0</v>
      </c>
      <c r="DI783" s="72">
        <v>0</v>
      </c>
      <c r="DJ783" s="72">
        <v>0</v>
      </c>
      <c r="DK783" s="72">
        <v>0</v>
      </c>
      <c r="DL783" s="72">
        <v>0</v>
      </c>
      <c r="DM783" s="72">
        <v>0</v>
      </c>
      <c r="DN783" s="72">
        <v>0</v>
      </c>
      <c r="DO783" s="72">
        <v>0</v>
      </c>
      <c r="DP783" s="72">
        <v>0</v>
      </c>
      <c r="DQ783" s="72">
        <v>0</v>
      </c>
      <c r="DR783" s="72">
        <v>0</v>
      </c>
      <c r="DS783" s="72">
        <v>0</v>
      </c>
      <c r="DT783" s="72">
        <v>0</v>
      </c>
      <c r="DU783" s="72">
        <v>0</v>
      </c>
      <c r="DV783" s="72">
        <v>0</v>
      </c>
      <c r="DW783" s="72">
        <v>0</v>
      </c>
      <c r="DX783" s="72">
        <v>0</v>
      </c>
      <c r="DY783" s="72">
        <v>0</v>
      </c>
      <c r="DZ783" s="72">
        <v>0</v>
      </c>
      <c r="EA783" s="72">
        <v>0</v>
      </c>
      <c r="EB783" s="72">
        <v>0</v>
      </c>
      <c r="EC783" s="72">
        <v>0</v>
      </c>
      <c r="ED783" s="72">
        <v>0</v>
      </c>
      <c r="EE783" s="72">
        <v>0</v>
      </c>
      <c r="EF783" s="72">
        <v>0</v>
      </c>
      <c r="EG783" s="72">
        <v>0</v>
      </c>
      <c r="EH783" s="72">
        <v>0</v>
      </c>
      <c r="EI783" s="72">
        <v>0</v>
      </c>
      <c r="EJ783" s="72">
        <v>0</v>
      </c>
      <c r="EK783" s="72">
        <v>0</v>
      </c>
      <c r="EL783" s="72">
        <v>0</v>
      </c>
    </row>
    <row r="784" spans="1:142" x14ac:dyDescent="0.35">
      <c r="A784" s="59">
        <f>Данные!A784</f>
        <v>6370</v>
      </c>
      <c r="B784" s="59">
        <f>Данные!B784</f>
        <v>2019</v>
      </c>
      <c r="C784" s="59" t="str">
        <f>Данные!C784</f>
        <v>компьютерных технологий и электронного обучения</v>
      </c>
      <c r="D784" s="59" t="str">
        <f>Данные!D784</f>
        <v>Гончарова Светлана Викторовна</v>
      </c>
      <c r="E784" s="59" t="str">
        <f>Данные!E784</f>
        <v>кандидат педагогических наук</v>
      </c>
      <c r="F784" s="59" t="str">
        <f>Данные!F784</f>
        <v>доцент</v>
      </c>
      <c r="G784" s="59">
        <f>Данные!G784</f>
        <v>1</v>
      </c>
      <c r="H784" s="59" t="str">
        <f>Данные!H784</f>
        <v>2 курс (м) 2018 год/пост</v>
      </c>
      <c r="I784" s="59" t="str">
        <f>Данные!I784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84" s="59">
        <f>Данные!J784</f>
        <v>0</v>
      </c>
      <c r="K784" s="59">
        <f>Данные!K784</f>
        <v>0</v>
      </c>
      <c r="L784" s="59">
        <f>Данные!L784</f>
        <v>0</v>
      </c>
      <c r="M784" s="60">
        <f t="shared" si="108"/>
        <v>0</v>
      </c>
      <c r="N784" s="60">
        <f t="shared" ca="1" si="109"/>
        <v>5.3000000000000007</v>
      </c>
      <c r="O784" s="60">
        <f t="shared" ca="1" si="110"/>
        <v>2.5</v>
      </c>
      <c r="P784" s="60">
        <f t="shared" ca="1" si="111"/>
        <v>2.5</v>
      </c>
      <c r="Q784" s="54">
        <f>Данные!Q784</f>
        <v>0</v>
      </c>
      <c r="R784" s="54">
        <f>Данные!R784</f>
        <v>0</v>
      </c>
      <c r="S784" s="54">
        <f>Данные!S784</f>
        <v>0</v>
      </c>
      <c r="T784" s="54">
        <f>Данные!T784</f>
        <v>0</v>
      </c>
      <c r="U784" s="54">
        <f>Данные!U784</f>
        <v>0</v>
      </c>
      <c r="V784" s="54">
        <f>Данные!V784</f>
        <v>22</v>
      </c>
      <c r="W784" s="54">
        <f ca="1">Данные!W784</f>
        <v>10</v>
      </c>
      <c r="X784" s="54" t="str">
        <f ca="1">Данные!X784</f>
        <v>1</v>
      </c>
      <c r="Y784" s="54" t="str">
        <f ca="1">Данные!Y784</f>
        <v>1</v>
      </c>
      <c r="Z784" s="54">
        <f>Данные!Z784</f>
        <v>0</v>
      </c>
      <c r="AA784" s="54" t="str">
        <f>Данные!AA784</f>
        <v>осн</v>
      </c>
      <c r="AB784" s="101">
        <f t="shared" si="112"/>
        <v>800</v>
      </c>
      <c r="AC784" s="101" t="str">
        <f t="shared" si="113"/>
        <v>КЭО (маг)</v>
      </c>
      <c r="AD784" s="101" t="str">
        <f t="shared" si="114"/>
        <v/>
      </c>
      <c r="AE784" s="102">
        <f t="shared" ca="1" si="115"/>
        <v>32.299999999999997</v>
      </c>
      <c r="AF784" s="103">
        <f t="shared" ca="1" si="116"/>
        <v>4.0374999999999994E-2</v>
      </c>
      <c r="AG784" s="101"/>
      <c r="AH784" s="101"/>
      <c r="BQ784" s="72">
        <v>0</v>
      </c>
      <c r="BR784" s="72">
        <v>0</v>
      </c>
      <c r="BS784" s="72">
        <v>0</v>
      </c>
      <c r="BT784" s="72">
        <v>0</v>
      </c>
      <c r="BU784" s="72">
        <v>0</v>
      </c>
      <c r="BV784" s="72">
        <v>0</v>
      </c>
      <c r="BW784" s="72">
        <v>0</v>
      </c>
      <c r="BX784" s="72">
        <v>0</v>
      </c>
      <c r="BY784" s="72">
        <v>0</v>
      </c>
      <c r="BZ784" s="72">
        <v>0</v>
      </c>
      <c r="CA784" s="72">
        <v>0</v>
      </c>
      <c r="CB784" s="72">
        <v>0</v>
      </c>
      <c r="CC784" s="72">
        <v>0</v>
      </c>
      <c r="CD784" s="72">
        <v>0</v>
      </c>
      <c r="CE784" s="72">
        <v>0</v>
      </c>
      <c r="CF784" s="72">
        <v>0</v>
      </c>
      <c r="CG784" s="72">
        <v>0</v>
      </c>
      <c r="CH784" s="72">
        <v>0</v>
      </c>
      <c r="CI784" s="72">
        <v>0</v>
      </c>
      <c r="CJ784" s="72">
        <v>0</v>
      </c>
      <c r="CK784" s="72">
        <v>0</v>
      </c>
      <c r="CL784" s="72">
        <v>0</v>
      </c>
      <c r="CM784" s="72">
        <v>0</v>
      </c>
      <c r="CN784" s="72">
        <v>0</v>
      </c>
      <c r="CO784" s="72">
        <v>0</v>
      </c>
      <c r="CP784" s="72">
        <v>0</v>
      </c>
      <c r="CQ784" s="72">
        <v>0</v>
      </c>
      <c r="CR784" s="72">
        <v>0</v>
      </c>
      <c r="CS784" s="72">
        <v>0</v>
      </c>
      <c r="CT784" s="72">
        <v>0</v>
      </c>
      <c r="CU784" s="72">
        <v>0</v>
      </c>
      <c r="CV784" s="72">
        <v>0</v>
      </c>
      <c r="CW784" s="72">
        <v>0</v>
      </c>
      <c r="CX784" s="72">
        <v>0</v>
      </c>
      <c r="CY784" s="72">
        <v>0</v>
      </c>
      <c r="CZ784" s="72">
        <v>0</v>
      </c>
      <c r="DA784" s="72">
        <v>0</v>
      </c>
      <c r="DB784" s="72">
        <v>0</v>
      </c>
      <c r="DC784" s="72">
        <v>0</v>
      </c>
      <c r="DD784" s="72">
        <v>0</v>
      </c>
      <c r="DE784" s="72">
        <v>0</v>
      </c>
      <c r="DF784" s="72">
        <v>0</v>
      </c>
      <c r="DG784" s="72">
        <v>0</v>
      </c>
      <c r="DH784" s="72">
        <v>0</v>
      </c>
      <c r="DI784" s="72">
        <v>0</v>
      </c>
      <c r="DJ784" s="72">
        <v>0</v>
      </c>
      <c r="DK784" s="72">
        <v>0</v>
      </c>
      <c r="DL784" s="72">
        <v>0</v>
      </c>
      <c r="DM784" s="72">
        <v>0</v>
      </c>
      <c r="DN784" s="72">
        <v>0</v>
      </c>
      <c r="DO784" s="72">
        <v>0</v>
      </c>
      <c r="DP784" s="72">
        <v>0</v>
      </c>
      <c r="DQ784" s="72">
        <v>0</v>
      </c>
      <c r="DR784" s="72">
        <v>0</v>
      </c>
      <c r="DS784" s="72">
        <v>0</v>
      </c>
      <c r="DT784" s="72">
        <v>0</v>
      </c>
      <c r="DU784" s="72">
        <v>0</v>
      </c>
      <c r="DV784" s="72">
        <v>0</v>
      </c>
      <c r="DW784" s="72">
        <v>0</v>
      </c>
      <c r="DX784" s="72">
        <v>0</v>
      </c>
      <c r="DY784" s="72">
        <v>0</v>
      </c>
      <c r="DZ784" s="72">
        <v>0</v>
      </c>
      <c r="EA784" s="72">
        <v>0</v>
      </c>
      <c r="EB784" s="72">
        <v>0</v>
      </c>
      <c r="EC784" s="72">
        <v>0</v>
      </c>
      <c r="ED784" s="72">
        <v>0</v>
      </c>
      <c r="EE784" s="72">
        <v>0</v>
      </c>
      <c r="EF784" s="72">
        <v>0</v>
      </c>
      <c r="EG784" s="72">
        <v>0</v>
      </c>
      <c r="EH784" s="72">
        <v>0</v>
      </c>
      <c r="EI784" s="72">
        <v>0</v>
      </c>
      <c r="EJ784" s="72">
        <v>0</v>
      </c>
      <c r="EK784" s="72">
        <v>0</v>
      </c>
      <c r="EL784" s="72">
        <v>0</v>
      </c>
    </row>
    <row r="785" spans="1:142" x14ac:dyDescent="0.35">
      <c r="A785" s="59">
        <f>Данные!A785</f>
        <v>6370</v>
      </c>
      <c r="B785" s="59">
        <f>Данные!B785</f>
        <v>2019</v>
      </c>
      <c r="C785" s="59" t="str">
        <f>Данные!C785</f>
        <v>компьютерных технологий и электронного обучения</v>
      </c>
      <c r="D785" s="59" t="str">
        <f>Данные!D785</f>
        <v>Гончарова Светлана Викторовна</v>
      </c>
      <c r="E785" s="59" t="str">
        <f>Данные!E785</f>
        <v>кандидат педагогических наук</v>
      </c>
      <c r="F785" s="59" t="str">
        <f>Данные!F785</f>
        <v>доцент</v>
      </c>
      <c r="G785" s="59">
        <f>Данные!G785</f>
        <v>1</v>
      </c>
      <c r="H785" s="59" t="str">
        <f>Данные!H785</f>
        <v>2 курс (м) 2018 год/пост</v>
      </c>
      <c r="I785" s="59" t="str">
        <f>Данные!I785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85" s="59">
        <f>Данные!J785</f>
        <v>0</v>
      </c>
      <c r="K785" s="59">
        <f>Данные!K785</f>
        <v>0</v>
      </c>
      <c r="L785" s="59">
        <f>Данные!L785</f>
        <v>0</v>
      </c>
      <c r="M785" s="60">
        <f t="shared" si="108"/>
        <v>0</v>
      </c>
      <c r="N785" s="60">
        <f t="shared" ca="1" si="109"/>
        <v>5.3000000000000007</v>
      </c>
      <c r="O785" s="60">
        <f t="shared" ca="1" si="110"/>
        <v>2.5</v>
      </c>
      <c r="P785" s="60">
        <f t="shared" ca="1" si="111"/>
        <v>2.5</v>
      </c>
      <c r="Q785" s="54">
        <f>Данные!Q785</f>
        <v>0</v>
      </c>
      <c r="R785" s="54">
        <f>Данные!R785</f>
        <v>0</v>
      </c>
      <c r="S785" s="54">
        <f>Данные!S785</f>
        <v>0</v>
      </c>
      <c r="T785" s="54">
        <f>Данные!T785</f>
        <v>0</v>
      </c>
      <c r="U785" s="54">
        <f>Данные!U785</f>
        <v>4</v>
      </c>
      <c r="V785" s="54">
        <f>Данные!V785</f>
        <v>0</v>
      </c>
      <c r="W785" s="54">
        <f ca="1">Данные!W785</f>
        <v>10</v>
      </c>
      <c r="X785" s="54" t="str">
        <f ca="1">Данные!X785</f>
        <v>1</v>
      </c>
      <c r="Y785" s="54" t="str">
        <f ca="1">Данные!Y785</f>
        <v>1</v>
      </c>
      <c r="Z785" s="54">
        <f>Данные!Z785</f>
        <v>0</v>
      </c>
      <c r="AA785" s="54" t="str">
        <f>Данные!AA785</f>
        <v>осн</v>
      </c>
      <c r="AB785" s="101">
        <f t="shared" si="112"/>
        <v>800</v>
      </c>
      <c r="AC785" s="101" t="str">
        <f t="shared" si="113"/>
        <v>КЭО (маг)</v>
      </c>
      <c r="AD785" s="101" t="str">
        <f t="shared" si="114"/>
        <v/>
      </c>
      <c r="AE785" s="102">
        <f t="shared" ca="1" si="115"/>
        <v>14.3</v>
      </c>
      <c r="AF785" s="103">
        <f t="shared" ca="1" si="116"/>
        <v>1.7875000000000002E-2</v>
      </c>
      <c r="AG785" s="101"/>
      <c r="AH785" s="101"/>
      <c r="BQ785" s="72">
        <v>0</v>
      </c>
      <c r="BR785" s="72">
        <v>0</v>
      </c>
      <c r="BS785" s="72">
        <v>0</v>
      </c>
      <c r="BT785" s="72">
        <v>0</v>
      </c>
      <c r="BU785" s="72">
        <v>0</v>
      </c>
      <c r="BV785" s="72">
        <v>0</v>
      </c>
      <c r="BW785" s="72">
        <v>0</v>
      </c>
      <c r="BX785" s="72">
        <v>0</v>
      </c>
      <c r="BY785" s="72">
        <v>0</v>
      </c>
      <c r="BZ785" s="72">
        <v>0</v>
      </c>
      <c r="CA785" s="72">
        <v>0</v>
      </c>
      <c r="CB785" s="72">
        <v>0</v>
      </c>
      <c r="CC785" s="72">
        <v>0</v>
      </c>
      <c r="CD785" s="72">
        <v>0</v>
      </c>
      <c r="CE785" s="72">
        <v>0</v>
      </c>
      <c r="CF785" s="72">
        <v>0</v>
      </c>
      <c r="CG785" s="72">
        <v>0</v>
      </c>
      <c r="CH785" s="72">
        <v>0</v>
      </c>
      <c r="CI785" s="72">
        <v>0</v>
      </c>
      <c r="CJ785" s="72">
        <v>0</v>
      </c>
      <c r="CK785" s="72">
        <v>0</v>
      </c>
      <c r="CL785" s="72">
        <v>0</v>
      </c>
      <c r="CM785" s="72">
        <v>0</v>
      </c>
      <c r="CN785" s="72">
        <v>0</v>
      </c>
      <c r="CO785" s="72">
        <v>0</v>
      </c>
      <c r="CP785" s="72">
        <v>0</v>
      </c>
      <c r="CQ785" s="72">
        <v>0</v>
      </c>
      <c r="CR785" s="72">
        <v>0</v>
      </c>
      <c r="CS785" s="72">
        <v>0</v>
      </c>
      <c r="CT785" s="72">
        <v>0</v>
      </c>
      <c r="CU785" s="72">
        <v>0</v>
      </c>
      <c r="CV785" s="72">
        <v>0</v>
      </c>
      <c r="CW785" s="72">
        <v>0</v>
      </c>
      <c r="CX785" s="72">
        <v>0</v>
      </c>
      <c r="CY785" s="72">
        <v>0</v>
      </c>
      <c r="CZ785" s="72">
        <v>0</v>
      </c>
      <c r="DA785" s="72">
        <v>0</v>
      </c>
      <c r="DB785" s="72">
        <v>0</v>
      </c>
      <c r="DC785" s="72">
        <v>0</v>
      </c>
      <c r="DD785" s="72">
        <v>0</v>
      </c>
      <c r="DE785" s="72">
        <v>0</v>
      </c>
      <c r="DF785" s="72">
        <v>0</v>
      </c>
      <c r="DG785" s="72">
        <v>0</v>
      </c>
      <c r="DH785" s="72">
        <v>0</v>
      </c>
      <c r="DI785" s="72">
        <v>0</v>
      </c>
      <c r="DJ785" s="72">
        <v>0</v>
      </c>
      <c r="DK785" s="72">
        <v>0</v>
      </c>
      <c r="DL785" s="72">
        <v>0</v>
      </c>
      <c r="DM785" s="72">
        <v>0</v>
      </c>
      <c r="DN785" s="72">
        <v>0</v>
      </c>
      <c r="DO785" s="72">
        <v>0</v>
      </c>
      <c r="DP785" s="72">
        <v>0</v>
      </c>
      <c r="DQ785" s="72">
        <v>0</v>
      </c>
      <c r="DR785" s="72">
        <v>0</v>
      </c>
      <c r="DS785" s="72">
        <v>0</v>
      </c>
      <c r="DT785" s="72">
        <v>0</v>
      </c>
      <c r="DU785" s="72">
        <v>0</v>
      </c>
      <c r="DV785" s="72">
        <v>0</v>
      </c>
      <c r="DW785" s="72">
        <v>0</v>
      </c>
      <c r="DX785" s="72">
        <v>0</v>
      </c>
      <c r="DY785" s="72">
        <v>0</v>
      </c>
      <c r="DZ785" s="72">
        <v>0</v>
      </c>
      <c r="EA785" s="72">
        <v>0</v>
      </c>
      <c r="EB785" s="72">
        <v>0</v>
      </c>
      <c r="EC785" s="72">
        <v>0</v>
      </c>
      <c r="ED785" s="72">
        <v>0</v>
      </c>
      <c r="EE785" s="72">
        <v>0</v>
      </c>
      <c r="EF785" s="72">
        <v>0</v>
      </c>
      <c r="EG785" s="72">
        <v>0</v>
      </c>
      <c r="EH785" s="72">
        <v>0</v>
      </c>
      <c r="EI785" s="72">
        <v>0</v>
      </c>
      <c r="EJ785" s="72">
        <v>0</v>
      </c>
      <c r="EK785" s="72">
        <v>0</v>
      </c>
      <c r="EL785" s="72">
        <v>0</v>
      </c>
    </row>
    <row r="786" spans="1:142" x14ac:dyDescent="0.35">
      <c r="A786" s="59">
        <f>Данные!A786</f>
        <v>6370</v>
      </c>
      <c r="B786" s="59">
        <f>Данные!B786</f>
        <v>2019</v>
      </c>
      <c r="C786" s="59" t="str">
        <f>Данные!C786</f>
        <v>компьютерных технологий и электронного обучения</v>
      </c>
      <c r="D786" s="59" t="str">
        <f>Данные!D786</f>
        <v>Гончарова Светлана Викторовна</v>
      </c>
      <c r="E786" s="59" t="str">
        <f>Данные!E786</f>
        <v>кандидат педагогических наук</v>
      </c>
      <c r="F786" s="59" t="str">
        <f>Данные!F786</f>
        <v>доцент</v>
      </c>
      <c r="G786" s="59">
        <f>Данные!G786</f>
        <v>1</v>
      </c>
      <c r="H786" s="59" t="str">
        <f>Данные!H786</f>
        <v>2 курс (м) 2018 год/пост</v>
      </c>
      <c r="I786" s="59" t="str">
        <f>Данные!I786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86" s="59">
        <f>Данные!J786</f>
        <v>0</v>
      </c>
      <c r="K786" s="59">
        <f>Данные!K786</f>
        <v>0</v>
      </c>
      <c r="L786" s="59">
        <f>Данные!L786</f>
        <v>0</v>
      </c>
      <c r="M786" s="60">
        <f t="shared" si="108"/>
        <v>0</v>
      </c>
      <c r="N786" s="60">
        <f t="shared" ca="1" si="109"/>
        <v>5.3000000000000007</v>
      </c>
      <c r="O786" s="60">
        <f t="shared" ca="1" si="110"/>
        <v>2.5</v>
      </c>
      <c r="P786" s="60">
        <f t="shared" ca="1" si="111"/>
        <v>2.5</v>
      </c>
      <c r="Q786" s="54">
        <f>Данные!Q786</f>
        <v>0</v>
      </c>
      <c r="R786" s="54">
        <f>Данные!R786</f>
        <v>0</v>
      </c>
      <c r="S786" s="54">
        <f>Данные!S786</f>
        <v>0</v>
      </c>
      <c r="T786" s="54">
        <f>Данные!T786</f>
        <v>0</v>
      </c>
      <c r="U786" s="54">
        <f>Данные!U786</f>
        <v>4</v>
      </c>
      <c r="V786" s="54">
        <f>Данные!V786</f>
        <v>0</v>
      </c>
      <c r="W786" s="54">
        <f ca="1">Данные!W786</f>
        <v>10</v>
      </c>
      <c r="X786" s="54" t="str">
        <f ca="1">Данные!X786</f>
        <v>1</v>
      </c>
      <c r="Y786" s="54" t="str">
        <f ca="1">Данные!Y786</f>
        <v>1</v>
      </c>
      <c r="Z786" s="54">
        <f>Данные!Z786</f>
        <v>0</v>
      </c>
      <c r="AA786" s="54" t="str">
        <f>Данные!AA786</f>
        <v>осн</v>
      </c>
      <c r="AB786" s="101">
        <f t="shared" si="112"/>
        <v>800</v>
      </c>
      <c r="AC786" s="101" t="str">
        <f t="shared" si="113"/>
        <v>КЭО (маг)</v>
      </c>
      <c r="AD786" s="101" t="str">
        <f t="shared" si="114"/>
        <v/>
      </c>
      <c r="AE786" s="102">
        <f t="shared" ca="1" si="115"/>
        <v>14.3</v>
      </c>
      <c r="AF786" s="103">
        <f t="shared" ca="1" si="116"/>
        <v>1.7875000000000002E-2</v>
      </c>
      <c r="AG786" s="101"/>
      <c r="AH786" s="101"/>
      <c r="BQ786" s="72">
        <v>0</v>
      </c>
      <c r="BR786" s="72">
        <v>0</v>
      </c>
      <c r="BS786" s="72">
        <v>0</v>
      </c>
      <c r="BT786" s="72">
        <v>0</v>
      </c>
      <c r="BU786" s="72">
        <v>0</v>
      </c>
      <c r="BV786" s="72">
        <v>0</v>
      </c>
      <c r="BW786" s="72">
        <v>0</v>
      </c>
      <c r="BX786" s="72">
        <v>0</v>
      </c>
      <c r="BY786" s="72">
        <v>0</v>
      </c>
      <c r="BZ786" s="72">
        <v>0</v>
      </c>
      <c r="CA786" s="72">
        <v>0</v>
      </c>
      <c r="CB786" s="72">
        <v>0</v>
      </c>
      <c r="CC786" s="72">
        <v>0</v>
      </c>
      <c r="CD786" s="72">
        <v>0</v>
      </c>
      <c r="CE786" s="72">
        <v>0</v>
      </c>
      <c r="CF786" s="72">
        <v>0</v>
      </c>
      <c r="CG786" s="72">
        <v>0</v>
      </c>
      <c r="CH786" s="72">
        <v>0</v>
      </c>
      <c r="CI786" s="72">
        <v>0</v>
      </c>
      <c r="CJ786" s="72">
        <v>0</v>
      </c>
      <c r="CK786" s="72">
        <v>0</v>
      </c>
      <c r="CL786" s="72">
        <v>0</v>
      </c>
      <c r="CM786" s="72">
        <v>0</v>
      </c>
      <c r="CN786" s="72">
        <v>0</v>
      </c>
      <c r="CO786" s="72">
        <v>0</v>
      </c>
      <c r="CP786" s="72">
        <v>0</v>
      </c>
      <c r="CQ786" s="72">
        <v>0</v>
      </c>
      <c r="CR786" s="72">
        <v>0</v>
      </c>
      <c r="CS786" s="72">
        <v>0</v>
      </c>
      <c r="CT786" s="72">
        <v>0</v>
      </c>
      <c r="CU786" s="72">
        <v>0</v>
      </c>
      <c r="CV786" s="72">
        <v>0</v>
      </c>
      <c r="CW786" s="72">
        <v>0</v>
      </c>
      <c r="CX786" s="72">
        <v>0</v>
      </c>
      <c r="CY786" s="72">
        <v>0</v>
      </c>
      <c r="CZ786" s="72">
        <v>0</v>
      </c>
      <c r="DA786" s="72">
        <v>0</v>
      </c>
      <c r="DB786" s="72">
        <v>0</v>
      </c>
      <c r="DC786" s="72">
        <v>0</v>
      </c>
      <c r="DD786" s="72">
        <v>0</v>
      </c>
      <c r="DE786" s="72">
        <v>0</v>
      </c>
      <c r="DF786" s="72">
        <v>0</v>
      </c>
      <c r="DG786" s="72">
        <v>0</v>
      </c>
      <c r="DH786" s="72">
        <v>0</v>
      </c>
      <c r="DI786" s="72">
        <v>0</v>
      </c>
      <c r="DJ786" s="72">
        <v>0</v>
      </c>
      <c r="DK786" s="72">
        <v>0</v>
      </c>
      <c r="DL786" s="72">
        <v>0</v>
      </c>
      <c r="DM786" s="72">
        <v>0</v>
      </c>
      <c r="DN786" s="72">
        <v>0</v>
      </c>
      <c r="DO786" s="72">
        <v>0</v>
      </c>
      <c r="DP786" s="72">
        <v>0</v>
      </c>
      <c r="DQ786" s="72">
        <v>0</v>
      </c>
      <c r="DR786" s="72">
        <v>0</v>
      </c>
      <c r="DS786" s="72">
        <v>0</v>
      </c>
      <c r="DT786" s="72">
        <v>0</v>
      </c>
      <c r="DU786" s="72">
        <v>0</v>
      </c>
      <c r="DV786" s="72">
        <v>0</v>
      </c>
      <c r="DW786" s="72">
        <v>0</v>
      </c>
      <c r="DX786" s="72">
        <v>0</v>
      </c>
      <c r="DY786" s="72">
        <v>0</v>
      </c>
      <c r="DZ786" s="72">
        <v>0</v>
      </c>
      <c r="EA786" s="72">
        <v>0</v>
      </c>
      <c r="EB786" s="72">
        <v>0</v>
      </c>
      <c r="EC786" s="72">
        <v>0</v>
      </c>
      <c r="ED786" s="72">
        <v>0</v>
      </c>
      <c r="EE786" s="72">
        <v>0</v>
      </c>
      <c r="EF786" s="72">
        <v>0</v>
      </c>
      <c r="EG786" s="72">
        <v>0</v>
      </c>
      <c r="EH786" s="72">
        <v>0</v>
      </c>
      <c r="EI786" s="72">
        <v>0</v>
      </c>
      <c r="EJ786" s="72">
        <v>0</v>
      </c>
      <c r="EK786" s="72">
        <v>0</v>
      </c>
      <c r="EL786" s="72">
        <v>0</v>
      </c>
    </row>
    <row r="787" spans="1:142" x14ac:dyDescent="0.35">
      <c r="A787" s="59">
        <f>Данные!A787</f>
        <v>6370</v>
      </c>
      <c r="B787" s="59">
        <f>Данные!B787</f>
        <v>2019</v>
      </c>
      <c r="C787" s="59" t="str">
        <f>Данные!C787</f>
        <v>компьютерных технологий и электронного обучения</v>
      </c>
      <c r="D787" s="59" t="str">
        <f>Данные!D787</f>
        <v>Гончарова Светлана Викторовна</v>
      </c>
      <c r="E787" s="59" t="str">
        <f>Данные!E787</f>
        <v>кандидат педагогических наук</v>
      </c>
      <c r="F787" s="59" t="str">
        <f>Данные!F787</f>
        <v>доцент</v>
      </c>
      <c r="G787" s="59">
        <f>Данные!G787</f>
        <v>1</v>
      </c>
      <c r="H787" s="59" t="str">
        <f>Данные!H787</f>
        <v>2 курс (м) 2018 год/пост</v>
      </c>
      <c r="I787" s="59" t="str">
        <f>Данные!I787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87" s="59">
        <f>Данные!J787</f>
        <v>0</v>
      </c>
      <c r="K787" s="59">
        <f>Данные!K787</f>
        <v>0</v>
      </c>
      <c r="L787" s="59">
        <f>Данные!L787</f>
        <v>0</v>
      </c>
      <c r="M787" s="60">
        <f t="shared" si="108"/>
        <v>0</v>
      </c>
      <c r="N787" s="60">
        <f t="shared" ca="1" si="109"/>
        <v>5.3000000000000007</v>
      </c>
      <c r="O787" s="60">
        <f t="shared" ca="1" si="110"/>
        <v>2.5</v>
      </c>
      <c r="P787" s="60">
        <f t="shared" ca="1" si="111"/>
        <v>2.5</v>
      </c>
      <c r="Q787" s="54">
        <f>Данные!Q787</f>
        <v>0</v>
      </c>
      <c r="R787" s="54">
        <f>Данные!R787</f>
        <v>0</v>
      </c>
      <c r="S787" s="54">
        <f>Данные!S787</f>
        <v>0</v>
      </c>
      <c r="T787" s="54">
        <f>Данные!T787</f>
        <v>0</v>
      </c>
      <c r="U787" s="54">
        <f>Данные!U787</f>
        <v>2</v>
      </c>
      <c r="V787" s="54">
        <f>Данные!V787</f>
        <v>0</v>
      </c>
      <c r="W787" s="54">
        <f ca="1">Данные!W787</f>
        <v>10</v>
      </c>
      <c r="X787" s="54" t="str">
        <f ca="1">Данные!X787</f>
        <v>1</v>
      </c>
      <c r="Y787" s="54" t="str">
        <f ca="1">Данные!Y787</f>
        <v>1</v>
      </c>
      <c r="Z787" s="54">
        <f>Данные!Z787</f>
        <v>0</v>
      </c>
      <c r="AA787" s="54" t="str">
        <f>Данные!AA787</f>
        <v>осн</v>
      </c>
      <c r="AB787" s="101">
        <f t="shared" si="112"/>
        <v>800</v>
      </c>
      <c r="AC787" s="101" t="str">
        <f t="shared" si="113"/>
        <v>КЭО (маг)</v>
      </c>
      <c r="AD787" s="101" t="str">
        <f t="shared" si="114"/>
        <v/>
      </c>
      <c r="AE787" s="102">
        <f t="shared" ca="1" si="115"/>
        <v>12.3</v>
      </c>
      <c r="AF787" s="103">
        <f t="shared" ca="1" si="116"/>
        <v>1.5375000000000002E-2</v>
      </c>
      <c r="AG787" s="101"/>
      <c r="AH787" s="101"/>
      <c r="BQ787" s="72">
        <v>0</v>
      </c>
      <c r="BR787" s="72">
        <v>0</v>
      </c>
      <c r="BS787" s="72">
        <v>0</v>
      </c>
      <c r="BT787" s="72">
        <v>0</v>
      </c>
      <c r="BU787" s="72">
        <v>0</v>
      </c>
      <c r="BV787" s="72">
        <v>0</v>
      </c>
      <c r="BW787" s="72">
        <v>0</v>
      </c>
      <c r="BX787" s="72">
        <v>0</v>
      </c>
      <c r="BY787" s="72">
        <v>0</v>
      </c>
      <c r="BZ787" s="72">
        <v>0</v>
      </c>
      <c r="CA787" s="72">
        <v>0</v>
      </c>
      <c r="CB787" s="72">
        <v>0</v>
      </c>
      <c r="CC787" s="72">
        <v>0</v>
      </c>
      <c r="CD787" s="72">
        <v>0</v>
      </c>
      <c r="CE787" s="72">
        <v>0</v>
      </c>
      <c r="CF787" s="72">
        <v>0</v>
      </c>
      <c r="CG787" s="72">
        <v>0</v>
      </c>
      <c r="CH787" s="72">
        <v>0</v>
      </c>
      <c r="CI787" s="72">
        <v>0</v>
      </c>
      <c r="CJ787" s="72">
        <v>0</v>
      </c>
      <c r="CK787" s="72">
        <v>0</v>
      </c>
      <c r="CL787" s="72">
        <v>0</v>
      </c>
      <c r="CM787" s="72">
        <v>0</v>
      </c>
      <c r="CN787" s="72">
        <v>0</v>
      </c>
      <c r="CO787" s="72">
        <v>0</v>
      </c>
      <c r="CP787" s="72">
        <v>0</v>
      </c>
      <c r="CQ787" s="72">
        <v>0</v>
      </c>
      <c r="CR787" s="72">
        <v>0</v>
      </c>
      <c r="CS787" s="72">
        <v>0</v>
      </c>
      <c r="CT787" s="72">
        <v>0</v>
      </c>
      <c r="CU787" s="72">
        <v>0</v>
      </c>
      <c r="CV787" s="72">
        <v>0</v>
      </c>
      <c r="CW787" s="72">
        <v>0</v>
      </c>
      <c r="CX787" s="72">
        <v>0</v>
      </c>
      <c r="CY787" s="72">
        <v>0</v>
      </c>
      <c r="CZ787" s="72">
        <v>0</v>
      </c>
      <c r="DA787" s="72">
        <v>0</v>
      </c>
      <c r="DB787" s="72">
        <v>0</v>
      </c>
      <c r="DC787" s="72">
        <v>0</v>
      </c>
      <c r="DD787" s="72">
        <v>0</v>
      </c>
      <c r="DE787" s="72">
        <v>0</v>
      </c>
      <c r="DF787" s="72">
        <v>0</v>
      </c>
      <c r="DG787" s="72">
        <v>0</v>
      </c>
      <c r="DH787" s="72">
        <v>0</v>
      </c>
      <c r="DI787" s="72">
        <v>0</v>
      </c>
      <c r="DJ787" s="72">
        <v>0</v>
      </c>
      <c r="DK787" s="72">
        <v>0</v>
      </c>
      <c r="DL787" s="72">
        <v>0</v>
      </c>
      <c r="DM787" s="72">
        <v>0</v>
      </c>
      <c r="DN787" s="72">
        <v>0</v>
      </c>
      <c r="DO787" s="72">
        <v>0</v>
      </c>
      <c r="DP787" s="72">
        <v>0</v>
      </c>
      <c r="DQ787" s="72">
        <v>0</v>
      </c>
      <c r="DR787" s="72">
        <v>0</v>
      </c>
      <c r="DS787" s="72">
        <v>0</v>
      </c>
      <c r="DT787" s="72">
        <v>0</v>
      </c>
      <c r="DU787" s="72">
        <v>0</v>
      </c>
      <c r="DV787" s="72">
        <v>0</v>
      </c>
      <c r="DW787" s="72">
        <v>0</v>
      </c>
      <c r="DX787" s="72">
        <v>0</v>
      </c>
      <c r="DY787" s="72">
        <v>0</v>
      </c>
      <c r="DZ787" s="72">
        <v>0</v>
      </c>
      <c r="EA787" s="72">
        <v>0</v>
      </c>
      <c r="EB787" s="72">
        <v>0</v>
      </c>
      <c r="EC787" s="72">
        <v>0</v>
      </c>
      <c r="ED787" s="72">
        <v>0</v>
      </c>
      <c r="EE787" s="72">
        <v>0</v>
      </c>
      <c r="EF787" s="72">
        <v>0</v>
      </c>
      <c r="EG787" s="72">
        <v>0</v>
      </c>
      <c r="EH787" s="72">
        <v>0</v>
      </c>
      <c r="EI787" s="72">
        <v>0</v>
      </c>
      <c r="EJ787" s="72">
        <v>0</v>
      </c>
      <c r="EK787" s="72">
        <v>0</v>
      </c>
      <c r="EL787" s="72">
        <v>0</v>
      </c>
    </row>
    <row r="788" spans="1:142" x14ac:dyDescent="0.35">
      <c r="A788" s="59">
        <f>Данные!A788</f>
        <v>6370</v>
      </c>
      <c r="B788" s="59">
        <f>Данные!B788</f>
        <v>2019</v>
      </c>
      <c r="C788" s="59" t="str">
        <f>Данные!C788</f>
        <v>компьютерных технологий и электронного обучения</v>
      </c>
      <c r="D788" s="59" t="str">
        <f>Данные!D788</f>
        <v>Государев Илья Борисович</v>
      </c>
      <c r="E788" s="59" t="str">
        <f>Данные!E788</f>
        <v>кандидат педагогических наук</v>
      </c>
      <c r="F788" s="59" t="str">
        <f>Данные!F788</f>
        <v>доцент</v>
      </c>
      <c r="G788" s="59">
        <f>Данные!G788</f>
        <v>1</v>
      </c>
      <c r="H788" s="59" t="str">
        <f>Данные!H788</f>
        <v>2 курс (м) 2018 год/пост</v>
      </c>
      <c r="I788" s="59" t="str">
        <f>Данные!I788</f>
        <v>Модуль "SMART-обучение". Дисциплины и курсы по выбору. Методология и технологии SMART-обучения</v>
      </c>
      <c r="J788" s="59">
        <f>Данные!J788</f>
        <v>4</v>
      </c>
      <c r="K788" s="59">
        <f>Данные!K788</f>
        <v>0</v>
      </c>
      <c r="L788" s="59">
        <f>Данные!L788</f>
        <v>0</v>
      </c>
      <c r="M788" s="60">
        <f t="shared" si="108"/>
        <v>0.4</v>
      </c>
      <c r="N788" s="60">
        <f t="shared" ca="1" si="109"/>
        <v>5.3000000000000007</v>
      </c>
      <c r="O788" s="60">
        <f t="shared" ca="1" si="110"/>
        <v>2.5</v>
      </c>
      <c r="P788" s="60">
        <f t="shared" ca="1" si="111"/>
        <v>2.5</v>
      </c>
      <c r="Q788" s="54">
        <f>Данные!Q788</f>
        <v>0</v>
      </c>
      <c r="R788" s="54">
        <f>Данные!R788</f>
        <v>0</v>
      </c>
      <c r="S788" s="54">
        <f>Данные!S788</f>
        <v>0</v>
      </c>
      <c r="T788" s="54">
        <f>Данные!T788</f>
        <v>0</v>
      </c>
      <c r="U788" s="54">
        <f>Данные!U788</f>
        <v>0</v>
      </c>
      <c r="V788" s="54">
        <f>Данные!V788</f>
        <v>0</v>
      </c>
      <c r="W788" s="54">
        <f ca="1">Данные!W788</f>
        <v>10</v>
      </c>
      <c r="X788" s="54" t="str">
        <f ca="1">Данные!X788</f>
        <v>1</v>
      </c>
      <c r="Y788" s="54" t="str">
        <f ca="1">Данные!Y788</f>
        <v>1</v>
      </c>
      <c r="Z788" s="54">
        <f>Данные!Z788</f>
        <v>0</v>
      </c>
      <c r="AA788" s="54">
        <f>Данные!AA788</f>
        <v>0</v>
      </c>
      <c r="AB788" s="101">
        <f t="shared" si="112"/>
        <v>800</v>
      </c>
      <c r="AC788" s="101" t="str">
        <f t="shared" si="113"/>
        <v>КЭО (маг)</v>
      </c>
      <c r="AD788" s="101" t="str">
        <f t="shared" si="114"/>
        <v/>
      </c>
      <c r="AE788" s="102">
        <f t="shared" ca="1" si="115"/>
        <v>14.700000000000001</v>
      </c>
      <c r="AF788" s="103">
        <f t="shared" ca="1" si="116"/>
        <v>1.8375000000000002E-2</v>
      </c>
      <c r="AG788" s="101"/>
      <c r="AH788" s="101"/>
      <c r="BQ788" s="72">
        <v>0</v>
      </c>
      <c r="BR788" s="72">
        <v>0</v>
      </c>
      <c r="BS788" s="72">
        <v>0</v>
      </c>
      <c r="BT788" s="72">
        <v>0</v>
      </c>
      <c r="BU788" s="72">
        <v>0</v>
      </c>
      <c r="BV788" s="72">
        <v>0</v>
      </c>
      <c r="BW788" s="72">
        <v>0</v>
      </c>
      <c r="BX788" s="72">
        <v>0</v>
      </c>
      <c r="BY788" s="72">
        <v>0</v>
      </c>
      <c r="BZ788" s="72">
        <v>0</v>
      </c>
      <c r="CA788" s="72">
        <v>0</v>
      </c>
      <c r="CB788" s="72">
        <v>0</v>
      </c>
      <c r="CC788" s="72">
        <v>0</v>
      </c>
      <c r="CD788" s="72">
        <v>0</v>
      </c>
      <c r="CE788" s="72">
        <v>0</v>
      </c>
      <c r="CF788" s="72">
        <v>0</v>
      </c>
      <c r="CG788" s="72">
        <v>0</v>
      </c>
      <c r="CH788" s="72">
        <v>0</v>
      </c>
      <c r="CI788" s="72">
        <v>0</v>
      </c>
      <c r="CJ788" s="72">
        <v>0</v>
      </c>
      <c r="CK788" s="72">
        <v>0</v>
      </c>
      <c r="CL788" s="72">
        <v>0</v>
      </c>
      <c r="CM788" s="72">
        <v>0</v>
      </c>
      <c r="CN788" s="72">
        <v>0</v>
      </c>
      <c r="CO788" s="72">
        <v>0</v>
      </c>
      <c r="CP788" s="72">
        <v>0</v>
      </c>
      <c r="CQ788" s="72">
        <v>0</v>
      </c>
      <c r="CR788" s="72">
        <v>0</v>
      </c>
      <c r="CS788" s="72">
        <v>0</v>
      </c>
      <c r="CT788" s="72">
        <v>0</v>
      </c>
      <c r="CU788" s="72">
        <v>0</v>
      </c>
      <c r="CV788" s="72">
        <v>0</v>
      </c>
      <c r="CW788" s="72">
        <v>0</v>
      </c>
      <c r="CX788" s="72">
        <v>0</v>
      </c>
      <c r="CY788" s="72">
        <v>0</v>
      </c>
      <c r="CZ788" s="72">
        <v>0</v>
      </c>
      <c r="DA788" s="72">
        <v>0</v>
      </c>
      <c r="DB788" s="72">
        <v>0</v>
      </c>
      <c r="DC788" s="72">
        <v>0</v>
      </c>
      <c r="DD788" s="72">
        <v>0</v>
      </c>
      <c r="DE788" s="72">
        <v>0</v>
      </c>
      <c r="DF788" s="72">
        <v>0</v>
      </c>
      <c r="DG788" s="72">
        <v>0</v>
      </c>
      <c r="DH788" s="72">
        <v>0</v>
      </c>
      <c r="DI788" s="72">
        <v>0</v>
      </c>
      <c r="DJ788" s="72">
        <v>0</v>
      </c>
      <c r="DK788" s="72">
        <v>0</v>
      </c>
      <c r="DL788" s="72">
        <v>0</v>
      </c>
      <c r="DM788" s="72">
        <v>0</v>
      </c>
      <c r="DN788" s="72">
        <v>0</v>
      </c>
      <c r="DO788" s="72">
        <v>0</v>
      </c>
      <c r="DP788" s="72">
        <v>0</v>
      </c>
      <c r="DQ788" s="72">
        <v>0</v>
      </c>
      <c r="DR788" s="72">
        <v>0</v>
      </c>
      <c r="DS788" s="72">
        <v>0</v>
      </c>
      <c r="DT788" s="72">
        <v>0</v>
      </c>
      <c r="DU788" s="72">
        <v>0</v>
      </c>
      <c r="DV788" s="72">
        <v>0</v>
      </c>
      <c r="DW788" s="72">
        <v>0</v>
      </c>
      <c r="DX788" s="72">
        <v>0</v>
      </c>
      <c r="DY788" s="72">
        <v>0</v>
      </c>
      <c r="DZ788" s="72">
        <v>0</v>
      </c>
      <c r="EA788" s="72">
        <v>0</v>
      </c>
      <c r="EB788" s="72">
        <v>0</v>
      </c>
      <c r="EC788" s="72">
        <v>0</v>
      </c>
      <c r="ED788" s="72">
        <v>0</v>
      </c>
      <c r="EE788" s="72">
        <v>0</v>
      </c>
      <c r="EF788" s="72">
        <v>0</v>
      </c>
      <c r="EG788" s="72">
        <v>0</v>
      </c>
      <c r="EH788" s="72">
        <v>0</v>
      </c>
      <c r="EI788" s="72">
        <v>0</v>
      </c>
      <c r="EJ788" s="72">
        <v>0</v>
      </c>
      <c r="EK788" s="72">
        <v>0</v>
      </c>
      <c r="EL788" s="72">
        <v>0</v>
      </c>
    </row>
    <row r="789" spans="1:142" x14ac:dyDescent="0.35">
      <c r="A789" s="59">
        <f>Данные!A789</f>
        <v>6370</v>
      </c>
      <c r="B789" s="59">
        <f>Данные!B789</f>
        <v>2019</v>
      </c>
      <c r="C789" s="59" t="str">
        <f>Данные!C789</f>
        <v>компьютерных технологий и электронного обучения</v>
      </c>
      <c r="D789" s="59" t="str">
        <f>Данные!D789</f>
        <v>Государев Илья Борисович</v>
      </c>
      <c r="E789" s="59" t="str">
        <f>Данные!E789</f>
        <v>кандидат педагогических наук</v>
      </c>
      <c r="F789" s="59" t="str">
        <f>Данные!F789</f>
        <v>доцент</v>
      </c>
      <c r="G789" s="59">
        <f>Данные!G789</f>
        <v>1</v>
      </c>
      <c r="H789" s="59" t="str">
        <f>Данные!H789</f>
        <v>2 курс (м) 2018 год/пост</v>
      </c>
      <c r="I789" s="59" t="str">
        <f>Данные!I789</f>
        <v>Модуль "Интеллектуальные информационные технологии в образовании". Информационные технологии в изучении иностранных языков</v>
      </c>
      <c r="J789" s="59">
        <f>Данные!J789</f>
        <v>4</v>
      </c>
      <c r="K789" s="59">
        <f>Данные!K789</f>
        <v>14</v>
      </c>
      <c r="L789" s="59">
        <f>Данные!L789</f>
        <v>0</v>
      </c>
      <c r="M789" s="60">
        <f t="shared" si="108"/>
        <v>1.8</v>
      </c>
      <c r="N789" s="60">
        <f t="shared" ca="1" si="109"/>
        <v>5.3000000000000007</v>
      </c>
      <c r="O789" s="60">
        <f t="shared" ca="1" si="110"/>
        <v>2.5</v>
      </c>
      <c r="P789" s="60">
        <f t="shared" ca="1" si="111"/>
        <v>2.5</v>
      </c>
      <c r="Q789" s="54">
        <f>Данные!Q789</f>
        <v>0</v>
      </c>
      <c r="R789" s="54">
        <f>Данные!R789</f>
        <v>0</v>
      </c>
      <c r="S789" s="54">
        <f>Данные!S789</f>
        <v>0</v>
      </c>
      <c r="T789" s="54">
        <f>Данные!T789</f>
        <v>0</v>
      </c>
      <c r="U789" s="54">
        <f>Данные!U789</f>
        <v>0</v>
      </c>
      <c r="V789" s="54">
        <f>Данные!V789</f>
        <v>0</v>
      </c>
      <c r="W789" s="54">
        <f ca="1">Данные!W789</f>
        <v>10</v>
      </c>
      <c r="X789" s="54" t="str">
        <f ca="1">Данные!X789</f>
        <v>1</v>
      </c>
      <c r="Y789" s="54" t="str">
        <f ca="1">Данные!Y789</f>
        <v>1</v>
      </c>
      <c r="Z789" s="54">
        <f>Данные!Z789</f>
        <v>0</v>
      </c>
      <c r="AA789" s="54" t="str">
        <f>Данные!AA789</f>
        <v>осн</v>
      </c>
      <c r="AB789" s="101">
        <f t="shared" si="112"/>
        <v>800</v>
      </c>
      <c r="AC789" s="101" t="str">
        <f t="shared" si="113"/>
        <v>КЭО (маг)</v>
      </c>
      <c r="AD789" s="101" t="str">
        <f t="shared" si="114"/>
        <v/>
      </c>
      <c r="AE789" s="102">
        <f t="shared" ca="1" si="115"/>
        <v>30.1</v>
      </c>
      <c r="AF789" s="103">
        <f t="shared" ca="1" si="116"/>
        <v>3.7624999999999999E-2</v>
      </c>
      <c r="AG789" s="101"/>
      <c r="AH789" s="101"/>
      <c r="BQ789" s="72">
        <v>0</v>
      </c>
      <c r="BR789" s="72">
        <v>0</v>
      </c>
      <c r="BS789" s="72">
        <v>0</v>
      </c>
      <c r="BT789" s="72">
        <v>0</v>
      </c>
      <c r="BU789" s="72">
        <v>0</v>
      </c>
      <c r="BV789" s="72">
        <v>0</v>
      </c>
      <c r="BW789" s="72">
        <v>0</v>
      </c>
      <c r="BX789" s="72">
        <v>0</v>
      </c>
      <c r="BY789" s="72">
        <v>0</v>
      </c>
      <c r="BZ789" s="72">
        <v>0</v>
      </c>
      <c r="CA789" s="72">
        <v>0</v>
      </c>
      <c r="CB789" s="72">
        <v>0</v>
      </c>
      <c r="CC789" s="72">
        <v>0</v>
      </c>
      <c r="CD789" s="72">
        <v>0</v>
      </c>
      <c r="CE789" s="72">
        <v>0</v>
      </c>
      <c r="CF789" s="72">
        <v>0</v>
      </c>
      <c r="CG789" s="72">
        <v>0</v>
      </c>
      <c r="CH789" s="72">
        <v>0</v>
      </c>
      <c r="CI789" s="72">
        <v>0</v>
      </c>
      <c r="CJ789" s="72">
        <v>0</v>
      </c>
      <c r="CK789" s="72">
        <v>0</v>
      </c>
      <c r="CL789" s="72">
        <v>0</v>
      </c>
      <c r="CM789" s="72">
        <v>0</v>
      </c>
      <c r="CN789" s="72">
        <v>0</v>
      </c>
      <c r="CO789" s="72">
        <v>0</v>
      </c>
      <c r="CP789" s="72">
        <v>0</v>
      </c>
      <c r="CQ789" s="72">
        <v>0</v>
      </c>
      <c r="CR789" s="72">
        <v>0</v>
      </c>
      <c r="CS789" s="72">
        <v>0</v>
      </c>
      <c r="CT789" s="72">
        <v>0</v>
      </c>
      <c r="CU789" s="72">
        <v>0</v>
      </c>
      <c r="CV789" s="72">
        <v>0</v>
      </c>
      <c r="CW789" s="72">
        <v>0</v>
      </c>
      <c r="CX789" s="72">
        <v>0</v>
      </c>
      <c r="CY789" s="72">
        <v>0</v>
      </c>
      <c r="CZ789" s="72">
        <v>0</v>
      </c>
      <c r="DA789" s="72">
        <v>0</v>
      </c>
      <c r="DB789" s="72">
        <v>0</v>
      </c>
      <c r="DC789" s="72">
        <v>0</v>
      </c>
      <c r="DD789" s="72">
        <v>0</v>
      </c>
      <c r="DE789" s="72">
        <v>0</v>
      </c>
      <c r="DF789" s="72">
        <v>0</v>
      </c>
      <c r="DG789" s="72">
        <v>0</v>
      </c>
      <c r="DH789" s="72">
        <v>0</v>
      </c>
      <c r="DI789" s="72">
        <v>0</v>
      </c>
      <c r="DJ789" s="72">
        <v>0</v>
      </c>
      <c r="DK789" s="72">
        <v>0</v>
      </c>
      <c r="DL789" s="72">
        <v>0</v>
      </c>
      <c r="DM789" s="72">
        <v>0</v>
      </c>
      <c r="DN789" s="72">
        <v>0</v>
      </c>
      <c r="DO789" s="72">
        <v>0</v>
      </c>
      <c r="DP789" s="72">
        <v>0</v>
      </c>
      <c r="DQ789" s="72">
        <v>0</v>
      </c>
      <c r="DR789" s="72">
        <v>0</v>
      </c>
      <c r="DS789" s="72">
        <v>0</v>
      </c>
      <c r="DT789" s="72">
        <v>0</v>
      </c>
      <c r="DU789" s="72">
        <v>0</v>
      </c>
      <c r="DV789" s="72">
        <v>0</v>
      </c>
      <c r="DW789" s="72">
        <v>0</v>
      </c>
      <c r="DX789" s="72">
        <v>0</v>
      </c>
      <c r="DY789" s="72">
        <v>0</v>
      </c>
      <c r="DZ789" s="72">
        <v>0</v>
      </c>
      <c r="EA789" s="72">
        <v>0</v>
      </c>
      <c r="EB789" s="72">
        <v>0</v>
      </c>
      <c r="EC789" s="72">
        <v>0</v>
      </c>
      <c r="ED789" s="72">
        <v>0</v>
      </c>
      <c r="EE789" s="72">
        <v>0</v>
      </c>
      <c r="EF789" s="72">
        <v>0</v>
      </c>
      <c r="EG789" s="72">
        <v>0</v>
      </c>
      <c r="EH789" s="72">
        <v>0</v>
      </c>
      <c r="EI789" s="72">
        <v>0</v>
      </c>
      <c r="EJ789" s="72">
        <v>0</v>
      </c>
      <c r="EK789" s="72">
        <v>0</v>
      </c>
      <c r="EL789" s="72">
        <v>0</v>
      </c>
    </row>
    <row r="790" spans="1:142" x14ac:dyDescent="0.35">
      <c r="A790" s="59">
        <f>Данные!A790</f>
        <v>6370</v>
      </c>
      <c r="B790" s="59">
        <f>Данные!B790</f>
        <v>2019</v>
      </c>
      <c r="C790" s="59" t="str">
        <f>Данные!C790</f>
        <v>компьютерных технологий и электронного обучения</v>
      </c>
      <c r="D790" s="59" t="str">
        <f>Данные!D790</f>
        <v>Государев Илья Борисович</v>
      </c>
      <c r="E790" s="59" t="str">
        <f>Данные!E790</f>
        <v>кандидат педагогических наук</v>
      </c>
      <c r="F790" s="59" t="str">
        <f>Данные!F790</f>
        <v>доцент</v>
      </c>
      <c r="G790" s="59">
        <f>Данные!G790</f>
        <v>1</v>
      </c>
      <c r="H790" s="59" t="str">
        <f>Данные!H790</f>
        <v>2 курс (м) 2018 год/пост</v>
      </c>
      <c r="I790" s="59" t="str">
        <f>Данные!I790</f>
        <v>Научно-исследовательская работа. Педагогическое образование. Магистерская программа "Корпоративное электронное обучение"</v>
      </c>
      <c r="J790" s="59">
        <f>Данные!J790</f>
        <v>0</v>
      </c>
      <c r="K790" s="59">
        <f>Данные!K790</f>
        <v>0</v>
      </c>
      <c r="L790" s="59">
        <f>Данные!L790</f>
        <v>0</v>
      </c>
      <c r="M790" s="60">
        <f t="shared" si="108"/>
        <v>0</v>
      </c>
      <c r="N790" s="60">
        <f t="shared" ca="1" si="109"/>
        <v>5.3000000000000007</v>
      </c>
      <c r="O790" s="60">
        <f t="shared" ca="1" si="110"/>
        <v>2.5</v>
      </c>
      <c r="P790" s="60">
        <f t="shared" ca="1" si="111"/>
        <v>2.5</v>
      </c>
      <c r="Q790" s="54">
        <f>Данные!Q790</f>
        <v>0</v>
      </c>
      <c r="R790" s="54">
        <f>Данные!R790</f>
        <v>0</v>
      </c>
      <c r="S790" s="54">
        <f>Данные!S790</f>
        <v>0</v>
      </c>
      <c r="T790" s="54">
        <f>Данные!T790</f>
        <v>0</v>
      </c>
      <c r="U790" s="54">
        <f>Данные!U790</f>
        <v>8</v>
      </c>
      <c r="V790" s="54">
        <f>Данные!V790</f>
        <v>0</v>
      </c>
      <c r="W790" s="54">
        <f ca="1">Данные!W790</f>
        <v>10</v>
      </c>
      <c r="X790" s="54" t="str">
        <f ca="1">Данные!X790</f>
        <v>1</v>
      </c>
      <c r="Y790" s="54" t="str">
        <f ca="1">Данные!Y790</f>
        <v>1</v>
      </c>
      <c r="Z790" s="54">
        <f>Данные!Z790</f>
        <v>0</v>
      </c>
      <c r="AA790" s="54" t="str">
        <f>Данные!AA790</f>
        <v>осн</v>
      </c>
      <c r="AB790" s="101">
        <f t="shared" si="112"/>
        <v>800</v>
      </c>
      <c r="AC790" s="101" t="str">
        <f t="shared" si="113"/>
        <v>КЭО (маг)</v>
      </c>
      <c r="AD790" s="101" t="str">
        <f t="shared" si="114"/>
        <v/>
      </c>
      <c r="AE790" s="102">
        <f t="shared" ca="1" si="115"/>
        <v>18.3</v>
      </c>
      <c r="AF790" s="103">
        <f t="shared" ca="1" si="116"/>
        <v>2.2875E-2</v>
      </c>
      <c r="AG790" s="101"/>
      <c r="AH790" s="101"/>
      <c r="BQ790" s="72">
        <v>0</v>
      </c>
      <c r="BR790" s="72">
        <v>0</v>
      </c>
      <c r="BS790" s="72">
        <v>0</v>
      </c>
      <c r="BT790" s="72">
        <v>0</v>
      </c>
      <c r="BU790" s="72">
        <v>0</v>
      </c>
      <c r="BV790" s="72">
        <v>0</v>
      </c>
      <c r="BW790" s="72">
        <v>0</v>
      </c>
      <c r="BX790" s="72">
        <v>0</v>
      </c>
      <c r="BY790" s="72">
        <v>0</v>
      </c>
      <c r="BZ790" s="72">
        <v>0</v>
      </c>
      <c r="CA790" s="72">
        <v>0</v>
      </c>
      <c r="CB790" s="72">
        <v>0</v>
      </c>
      <c r="CC790" s="72">
        <v>0</v>
      </c>
      <c r="CD790" s="72">
        <v>0</v>
      </c>
      <c r="CE790" s="72">
        <v>0</v>
      </c>
      <c r="CF790" s="72">
        <v>0</v>
      </c>
      <c r="CG790" s="72">
        <v>0</v>
      </c>
      <c r="CH790" s="72">
        <v>0</v>
      </c>
      <c r="CI790" s="72">
        <v>0</v>
      </c>
      <c r="CJ790" s="72">
        <v>0</v>
      </c>
      <c r="CK790" s="72">
        <v>0</v>
      </c>
      <c r="CL790" s="72">
        <v>0</v>
      </c>
      <c r="CM790" s="72">
        <v>0</v>
      </c>
      <c r="CN790" s="72">
        <v>0</v>
      </c>
      <c r="CO790" s="72">
        <v>0</v>
      </c>
      <c r="CP790" s="72">
        <v>0</v>
      </c>
      <c r="CQ790" s="72">
        <v>0</v>
      </c>
      <c r="CR790" s="72">
        <v>0</v>
      </c>
      <c r="CS790" s="72">
        <v>0</v>
      </c>
      <c r="CT790" s="72">
        <v>0</v>
      </c>
      <c r="CU790" s="72">
        <v>0</v>
      </c>
      <c r="CV790" s="72">
        <v>0</v>
      </c>
      <c r="CW790" s="72">
        <v>0</v>
      </c>
      <c r="CX790" s="72">
        <v>0</v>
      </c>
      <c r="CY790" s="72">
        <v>0</v>
      </c>
      <c r="CZ790" s="72">
        <v>0</v>
      </c>
      <c r="DA790" s="72">
        <v>0</v>
      </c>
      <c r="DB790" s="72">
        <v>0</v>
      </c>
      <c r="DC790" s="72">
        <v>0</v>
      </c>
      <c r="DD790" s="72">
        <v>0</v>
      </c>
      <c r="DE790" s="72">
        <v>0</v>
      </c>
      <c r="DF790" s="72">
        <v>0</v>
      </c>
      <c r="DG790" s="72">
        <v>0</v>
      </c>
      <c r="DH790" s="72">
        <v>0</v>
      </c>
      <c r="DI790" s="72">
        <v>0</v>
      </c>
      <c r="DJ790" s="72">
        <v>0</v>
      </c>
      <c r="DK790" s="72">
        <v>0</v>
      </c>
      <c r="DL790" s="72">
        <v>0</v>
      </c>
      <c r="DM790" s="72">
        <v>0</v>
      </c>
      <c r="DN790" s="72">
        <v>0</v>
      </c>
      <c r="DO790" s="72">
        <v>0</v>
      </c>
      <c r="DP790" s="72">
        <v>0</v>
      </c>
      <c r="DQ790" s="72">
        <v>0</v>
      </c>
      <c r="DR790" s="72">
        <v>0</v>
      </c>
      <c r="DS790" s="72">
        <v>0</v>
      </c>
      <c r="DT790" s="72">
        <v>0</v>
      </c>
      <c r="DU790" s="72">
        <v>0</v>
      </c>
      <c r="DV790" s="72">
        <v>0</v>
      </c>
      <c r="DW790" s="72">
        <v>0</v>
      </c>
      <c r="DX790" s="72">
        <v>0</v>
      </c>
      <c r="DY790" s="72">
        <v>0</v>
      </c>
      <c r="DZ790" s="72">
        <v>0</v>
      </c>
      <c r="EA790" s="72">
        <v>0</v>
      </c>
      <c r="EB790" s="72">
        <v>0</v>
      </c>
      <c r="EC790" s="72">
        <v>0</v>
      </c>
      <c r="ED790" s="72">
        <v>0</v>
      </c>
      <c r="EE790" s="72">
        <v>0</v>
      </c>
      <c r="EF790" s="72">
        <v>0</v>
      </c>
      <c r="EG790" s="72">
        <v>0</v>
      </c>
      <c r="EH790" s="72">
        <v>0</v>
      </c>
      <c r="EI790" s="72">
        <v>0</v>
      </c>
      <c r="EJ790" s="72">
        <v>0</v>
      </c>
      <c r="EK790" s="72">
        <v>0</v>
      </c>
      <c r="EL790" s="72">
        <v>0</v>
      </c>
    </row>
    <row r="791" spans="1:142" x14ac:dyDescent="0.35">
      <c r="A791" s="59">
        <f>Данные!A791</f>
        <v>6370</v>
      </c>
      <c r="B791" s="59">
        <f>Данные!B791</f>
        <v>2019</v>
      </c>
      <c r="C791" s="59" t="str">
        <f>Данные!C791</f>
        <v>компьютерных технологий и электронного обучения</v>
      </c>
      <c r="D791" s="59" t="str">
        <f>Данные!D791</f>
        <v>Государев Илья Борисович</v>
      </c>
      <c r="E791" s="59" t="str">
        <f>Данные!E791</f>
        <v>кандидат педагогических наук</v>
      </c>
      <c r="F791" s="59" t="str">
        <f>Данные!F791</f>
        <v>доцент</v>
      </c>
      <c r="G791" s="59">
        <f>Данные!G791</f>
        <v>1</v>
      </c>
      <c r="H791" s="59" t="str">
        <f>Данные!H791</f>
        <v>2 курс (м) 2018 год/пост</v>
      </c>
      <c r="I791" s="59" t="str">
        <f>Данные!I791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91" s="59">
        <f>Данные!J791</f>
        <v>0</v>
      </c>
      <c r="K791" s="59">
        <f>Данные!K791</f>
        <v>0</v>
      </c>
      <c r="L791" s="59">
        <f>Данные!L791</f>
        <v>0</v>
      </c>
      <c r="M791" s="60">
        <f t="shared" si="108"/>
        <v>0</v>
      </c>
      <c r="N791" s="60">
        <f t="shared" ca="1" si="109"/>
        <v>5.3000000000000007</v>
      </c>
      <c r="O791" s="60">
        <f t="shared" ca="1" si="110"/>
        <v>2.5</v>
      </c>
      <c r="P791" s="60">
        <f t="shared" ca="1" si="111"/>
        <v>2.5</v>
      </c>
      <c r="Q791" s="54">
        <f>Данные!Q791</f>
        <v>0</v>
      </c>
      <c r="R791" s="54">
        <f>Данные!R791</f>
        <v>6</v>
      </c>
      <c r="S791" s="54">
        <f>Данные!S791</f>
        <v>6</v>
      </c>
      <c r="T791" s="54">
        <f>Данные!T791</f>
        <v>0</v>
      </c>
      <c r="U791" s="54">
        <f>Данные!U791</f>
        <v>0</v>
      </c>
      <c r="V791" s="54">
        <f>Данные!V791</f>
        <v>34</v>
      </c>
      <c r="W791" s="54">
        <f ca="1">Данные!W791</f>
        <v>10</v>
      </c>
      <c r="X791" s="54" t="str">
        <f ca="1">Данные!X791</f>
        <v>1</v>
      </c>
      <c r="Y791" s="54" t="str">
        <f ca="1">Данные!Y791</f>
        <v>1</v>
      </c>
      <c r="Z791" s="54">
        <f>Данные!Z791</f>
        <v>0</v>
      </c>
      <c r="AA791" s="54" t="str">
        <f>Данные!AA791</f>
        <v>осн</v>
      </c>
      <c r="AB791" s="101">
        <f t="shared" si="112"/>
        <v>800</v>
      </c>
      <c r="AC791" s="101" t="str">
        <f t="shared" si="113"/>
        <v>КЭО (маг)</v>
      </c>
      <c r="AD791" s="101" t="str">
        <f t="shared" si="114"/>
        <v/>
      </c>
      <c r="AE791" s="102">
        <f t="shared" ca="1" si="115"/>
        <v>56.3</v>
      </c>
      <c r="AF791" s="103">
        <f t="shared" ca="1" si="116"/>
        <v>7.0374999999999993E-2</v>
      </c>
      <c r="AG791" s="101"/>
      <c r="AH791" s="101"/>
      <c r="BQ791" s="72">
        <v>0</v>
      </c>
      <c r="BR791" s="72">
        <v>0</v>
      </c>
      <c r="BS791" s="72">
        <v>0</v>
      </c>
      <c r="BT791" s="72">
        <v>0</v>
      </c>
      <c r="BU791" s="72">
        <v>0</v>
      </c>
      <c r="BV791" s="72">
        <v>0</v>
      </c>
      <c r="BW791" s="72">
        <v>0</v>
      </c>
      <c r="BX791" s="72">
        <v>0</v>
      </c>
      <c r="BY791" s="72">
        <v>0</v>
      </c>
      <c r="BZ791" s="72">
        <v>0</v>
      </c>
      <c r="CA791" s="72">
        <v>0</v>
      </c>
      <c r="CB791" s="72">
        <v>0</v>
      </c>
      <c r="CC791" s="72">
        <v>0</v>
      </c>
      <c r="CD791" s="72">
        <v>0</v>
      </c>
      <c r="CE791" s="72">
        <v>0</v>
      </c>
      <c r="CF791" s="72">
        <v>0</v>
      </c>
      <c r="CG791" s="72">
        <v>0</v>
      </c>
      <c r="CH791" s="72">
        <v>0</v>
      </c>
      <c r="CI791" s="72">
        <v>0</v>
      </c>
      <c r="CJ791" s="72">
        <v>0</v>
      </c>
      <c r="CK791" s="72">
        <v>0</v>
      </c>
      <c r="CL791" s="72">
        <v>0</v>
      </c>
      <c r="CM791" s="72">
        <v>0</v>
      </c>
      <c r="CN791" s="72">
        <v>0</v>
      </c>
      <c r="CO791" s="72">
        <v>0</v>
      </c>
      <c r="CP791" s="72">
        <v>0</v>
      </c>
      <c r="CQ791" s="72">
        <v>0</v>
      </c>
      <c r="CR791" s="72">
        <v>0</v>
      </c>
      <c r="CS791" s="72">
        <v>0</v>
      </c>
      <c r="CT791" s="72">
        <v>0</v>
      </c>
      <c r="CU791" s="72">
        <v>0</v>
      </c>
      <c r="CV791" s="72">
        <v>0</v>
      </c>
      <c r="CW791" s="72">
        <v>0</v>
      </c>
      <c r="CX791" s="72">
        <v>0</v>
      </c>
      <c r="CY791" s="72">
        <v>0</v>
      </c>
      <c r="CZ791" s="72">
        <v>0</v>
      </c>
      <c r="DA791" s="72">
        <v>0</v>
      </c>
      <c r="DB791" s="72">
        <v>0</v>
      </c>
      <c r="DC791" s="72">
        <v>0</v>
      </c>
      <c r="DD791" s="72">
        <v>0</v>
      </c>
      <c r="DE791" s="72">
        <v>0</v>
      </c>
      <c r="DF791" s="72">
        <v>0</v>
      </c>
      <c r="DG791" s="72">
        <v>0</v>
      </c>
      <c r="DH791" s="72">
        <v>0</v>
      </c>
      <c r="DI791" s="72">
        <v>0</v>
      </c>
      <c r="DJ791" s="72">
        <v>0</v>
      </c>
      <c r="DK791" s="72">
        <v>0</v>
      </c>
      <c r="DL791" s="72">
        <v>0</v>
      </c>
      <c r="DM791" s="72">
        <v>0</v>
      </c>
      <c r="DN791" s="72">
        <v>0</v>
      </c>
      <c r="DO791" s="72">
        <v>0</v>
      </c>
      <c r="DP791" s="72">
        <v>0</v>
      </c>
      <c r="DQ791" s="72">
        <v>0</v>
      </c>
      <c r="DR791" s="72">
        <v>0</v>
      </c>
      <c r="DS791" s="72">
        <v>0</v>
      </c>
      <c r="DT791" s="72">
        <v>0</v>
      </c>
      <c r="DU791" s="72">
        <v>0</v>
      </c>
      <c r="DV791" s="72">
        <v>0</v>
      </c>
      <c r="DW791" s="72">
        <v>0</v>
      </c>
      <c r="DX791" s="72">
        <v>0</v>
      </c>
      <c r="DY791" s="72">
        <v>0</v>
      </c>
      <c r="DZ791" s="72">
        <v>0</v>
      </c>
      <c r="EA791" s="72">
        <v>0</v>
      </c>
      <c r="EB791" s="72">
        <v>0</v>
      </c>
      <c r="EC791" s="72">
        <v>0</v>
      </c>
      <c r="ED791" s="72">
        <v>0</v>
      </c>
      <c r="EE791" s="72">
        <v>0</v>
      </c>
      <c r="EF791" s="72">
        <v>0</v>
      </c>
      <c r="EG791" s="72">
        <v>0</v>
      </c>
      <c r="EH791" s="72">
        <v>0</v>
      </c>
      <c r="EI791" s="72">
        <v>0</v>
      </c>
      <c r="EJ791" s="72">
        <v>0</v>
      </c>
      <c r="EK791" s="72">
        <v>0</v>
      </c>
      <c r="EL791" s="72">
        <v>0</v>
      </c>
    </row>
    <row r="792" spans="1:142" x14ac:dyDescent="0.35">
      <c r="A792" s="59">
        <f>Данные!A792</f>
        <v>6370</v>
      </c>
      <c r="B792" s="59">
        <f>Данные!B792</f>
        <v>2019</v>
      </c>
      <c r="C792" s="59" t="str">
        <f>Данные!C792</f>
        <v>компьютерных технологий и электронного обучения</v>
      </c>
      <c r="D792" s="59" t="str">
        <f>Данные!D792</f>
        <v>Государев Илья Борисович</v>
      </c>
      <c r="E792" s="59" t="str">
        <f>Данные!E792</f>
        <v>кандидат педагогических наук</v>
      </c>
      <c r="F792" s="59" t="str">
        <f>Данные!F792</f>
        <v>доцент</v>
      </c>
      <c r="G792" s="59">
        <f>Данные!G792</f>
        <v>1</v>
      </c>
      <c r="H792" s="59" t="str">
        <f>Данные!H792</f>
        <v>2 курс (м) 2018 год/пост</v>
      </c>
      <c r="I792" s="59" t="str">
        <f>Данные!I792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92" s="59">
        <f>Данные!J792</f>
        <v>0</v>
      </c>
      <c r="K792" s="59">
        <f>Данные!K792</f>
        <v>0</v>
      </c>
      <c r="L792" s="59">
        <f>Данные!L792</f>
        <v>0</v>
      </c>
      <c r="M792" s="60">
        <f t="shared" si="108"/>
        <v>0</v>
      </c>
      <c r="N792" s="60">
        <f t="shared" ca="1" si="109"/>
        <v>5.3000000000000007</v>
      </c>
      <c r="O792" s="60">
        <f t="shared" ca="1" si="110"/>
        <v>2.5</v>
      </c>
      <c r="P792" s="60">
        <f t="shared" ca="1" si="111"/>
        <v>2.5</v>
      </c>
      <c r="Q792" s="54">
        <f>Данные!Q792</f>
        <v>0</v>
      </c>
      <c r="R792" s="54">
        <f>Данные!R792</f>
        <v>0</v>
      </c>
      <c r="S792" s="54">
        <f>Данные!S792</f>
        <v>0</v>
      </c>
      <c r="T792" s="54">
        <f>Данные!T792</f>
        <v>0</v>
      </c>
      <c r="U792" s="54">
        <f>Данные!U792</f>
        <v>8</v>
      </c>
      <c r="V792" s="54">
        <f>Данные!V792</f>
        <v>0</v>
      </c>
      <c r="W792" s="54">
        <f ca="1">Данные!W792</f>
        <v>10</v>
      </c>
      <c r="X792" s="54" t="str">
        <f ca="1">Данные!X792</f>
        <v>1</v>
      </c>
      <c r="Y792" s="54" t="str">
        <f ca="1">Данные!Y792</f>
        <v>1</v>
      </c>
      <c r="Z792" s="54">
        <f>Данные!Z792</f>
        <v>0</v>
      </c>
      <c r="AA792" s="54" t="str">
        <f>Данные!AA792</f>
        <v>доп</v>
      </c>
      <c r="AB792" s="101">
        <f t="shared" si="112"/>
        <v>800</v>
      </c>
      <c r="AC792" s="101" t="str">
        <f t="shared" si="113"/>
        <v>КЭО (маг)</v>
      </c>
      <c r="AD792" s="101" t="str">
        <f t="shared" si="114"/>
        <v/>
      </c>
      <c r="AE792" s="102">
        <f t="shared" ca="1" si="115"/>
        <v>18.3</v>
      </c>
      <c r="AF792" s="103">
        <f t="shared" ca="1" si="116"/>
        <v>2.2875E-2</v>
      </c>
      <c r="AG792" s="101"/>
      <c r="AH792" s="101"/>
      <c r="BQ792" s="72">
        <v>0</v>
      </c>
      <c r="BR792" s="72">
        <v>0</v>
      </c>
      <c r="BS792" s="72">
        <v>0</v>
      </c>
      <c r="BT792" s="72">
        <v>0</v>
      </c>
      <c r="BU792" s="72">
        <v>0</v>
      </c>
      <c r="BV792" s="72">
        <v>0</v>
      </c>
      <c r="BW792" s="72">
        <v>0</v>
      </c>
      <c r="BX792" s="72">
        <v>0</v>
      </c>
      <c r="BY792" s="72">
        <v>0</v>
      </c>
      <c r="BZ792" s="72">
        <v>0</v>
      </c>
      <c r="CA792" s="72">
        <v>0</v>
      </c>
      <c r="CB792" s="72">
        <v>0</v>
      </c>
      <c r="CC792" s="72">
        <v>0</v>
      </c>
      <c r="CD792" s="72">
        <v>0</v>
      </c>
      <c r="CE792" s="72">
        <v>0</v>
      </c>
      <c r="CF792" s="72">
        <v>0</v>
      </c>
      <c r="CG792" s="72">
        <v>0</v>
      </c>
      <c r="CH792" s="72">
        <v>0</v>
      </c>
      <c r="CI792" s="72">
        <v>0</v>
      </c>
      <c r="CJ792" s="72">
        <v>0</v>
      </c>
      <c r="CK792" s="72">
        <v>0</v>
      </c>
      <c r="CL792" s="72">
        <v>0</v>
      </c>
      <c r="CM792" s="72">
        <v>0</v>
      </c>
      <c r="CN792" s="72">
        <v>0</v>
      </c>
      <c r="CO792" s="72">
        <v>0</v>
      </c>
      <c r="CP792" s="72">
        <v>0</v>
      </c>
      <c r="CQ792" s="72">
        <v>0</v>
      </c>
      <c r="CR792" s="72">
        <v>0</v>
      </c>
      <c r="CS792" s="72">
        <v>0</v>
      </c>
      <c r="CT792" s="72">
        <v>0</v>
      </c>
      <c r="CU792" s="72">
        <v>0</v>
      </c>
      <c r="CV792" s="72">
        <v>0</v>
      </c>
      <c r="CW792" s="72">
        <v>0</v>
      </c>
      <c r="CX792" s="72">
        <v>0</v>
      </c>
      <c r="CY792" s="72">
        <v>0</v>
      </c>
      <c r="CZ792" s="72">
        <v>0</v>
      </c>
      <c r="DA792" s="72">
        <v>0</v>
      </c>
      <c r="DB792" s="72">
        <v>0</v>
      </c>
      <c r="DC792" s="72">
        <v>0</v>
      </c>
      <c r="DD792" s="72">
        <v>0</v>
      </c>
      <c r="DE792" s="72">
        <v>0</v>
      </c>
      <c r="DF792" s="72">
        <v>0</v>
      </c>
      <c r="DG792" s="72">
        <v>0</v>
      </c>
      <c r="DH792" s="72">
        <v>0</v>
      </c>
      <c r="DI792" s="72">
        <v>0</v>
      </c>
      <c r="DJ792" s="72">
        <v>0</v>
      </c>
      <c r="DK792" s="72">
        <v>0</v>
      </c>
      <c r="DL792" s="72">
        <v>0</v>
      </c>
      <c r="DM792" s="72">
        <v>0</v>
      </c>
      <c r="DN792" s="72">
        <v>0</v>
      </c>
      <c r="DO792" s="72">
        <v>0</v>
      </c>
      <c r="DP792" s="72">
        <v>0</v>
      </c>
      <c r="DQ792" s="72">
        <v>0</v>
      </c>
      <c r="DR792" s="72">
        <v>0</v>
      </c>
      <c r="DS792" s="72">
        <v>0</v>
      </c>
      <c r="DT792" s="72">
        <v>0</v>
      </c>
      <c r="DU792" s="72">
        <v>0</v>
      </c>
      <c r="DV792" s="72">
        <v>0</v>
      </c>
      <c r="DW792" s="72">
        <v>0</v>
      </c>
      <c r="DX792" s="72">
        <v>0</v>
      </c>
      <c r="DY792" s="72">
        <v>0</v>
      </c>
      <c r="DZ792" s="72">
        <v>0</v>
      </c>
      <c r="EA792" s="72">
        <v>0</v>
      </c>
      <c r="EB792" s="72">
        <v>0</v>
      </c>
      <c r="EC792" s="72">
        <v>0</v>
      </c>
      <c r="ED792" s="72">
        <v>0</v>
      </c>
      <c r="EE792" s="72">
        <v>0</v>
      </c>
      <c r="EF792" s="72">
        <v>0</v>
      </c>
      <c r="EG792" s="72">
        <v>0</v>
      </c>
      <c r="EH792" s="72">
        <v>0</v>
      </c>
      <c r="EI792" s="72">
        <v>0</v>
      </c>
      <c r="EJ792" s="72">
        <v>0</v>
      </c>
      <c r="EK792" s="72">
        <v>0</v>
      </c>
      <c r="EL792" s="72">
        <v>0</v>
      </c>
    </row>
    <row r="793" spans="1:142" x14ac:dyDescent="0.35">
      <c r="A793" s="59">
        <f>Данные!A793</f>
        <v>6370</v>
      </c>
      <c r="B793" s="59">
        <f>Данные!B793</f>
        <v>2019</v>
      </c>
      <c r="C793" s="59" t="str">
        <f>Данные!C793</f>
        <v>компьютерных технологий и электронного обучения</v>
      </c>
      <c r="D793" s="59" t="str">
        <f>Данные!D793</f>
        <v>Государев Илья Борисович</v>
      </c>
      <c r="E793" s="59" t="str">
        <f>Данные!E793</f>
        <v>кандидат педагогических наук</v>
      </c>
      <c r="F793" s="59" t="str">
        <f>Данные!F793</f>
        <v>доцент</v>
      </c>
      <c r="G793" s="59">
        <f>Данные!G793</f>
        <v>1</v>
      </c>
      <c r="H793" s="59" t="str">
        <f>Данные!H793</f>
        <v>2 курс (м) 2018 год/пост</v>
      </c>
      <c r="I793" s="59" t="str">
        <f>Данные!I793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93" s="59">
        <f>Данные!J793</f>
        <v>0</v>
      </c>
      <c r="K793" s="59">
        <f>Данные!K793</f>
        <v>0</v>
      </c>
      <c r="L793" s="59">
        <f>Данные!L793</f>
        <v>0</v>
      </c>
      <c r="M793" s="60">
        <f t="shared" si="108"/>
        <v>0</v>
      </c>
      <c r="N793" s="60">
        <f t="shared" ca="1" si="109"/>
        <v>5.3000000000000007</v>
      </c>
      <c r="O793" s="60">
        <f t="shared" ca="1" si="110"/>
        <v>2.5</v>
      </c>
      <c r="P793" s="60">
        <f t="shared" ca="1" si="111"/>
        <v>2.5</v>
      </c>
      <c r="Q793" s="54">
        <f>Данные!Q793</f>
        <v>0</v>
      </c>
      <c r="R793" s="54">
        <f>Данные!R793</f>
        <v>0</v>
      </c>
      <c r="S793" s="54">
        <f>Данные!S793</f>
        <v>0</v>
      </c>
      <c r="T793" s="54">
        <f>Данные!T793</f>
        <v>0</v>
      </c>
      <c r="U793" s="54">
        <f>Данные!U793</f>
        <v>8</v>
      </c>
      <c r="V793" s="54">
        <f>Данные!V793</f>
        <v>0</v>
      </c>
      <c r="W793" s="54">
        <f ca="1">Данные!W793</f>
        <v>10</v>
      </c>
      <c r="X793" s="54" t="str">
        <f ca="1">Данные!X793</f>
        <v>1</v>
      </c>
      <c r="Y793" s="54" t="str">
        <f ca="1">Данные!Y793</f>
        <v>1</v>
      </c>
      <c r="Z793" s="54">
        <f>Данные!Z793</f>
        <v>0</v>
      </c>
      <c r="AA793" s="54" t="str">
        <f>Данные!AA793</f>
        <v>осн</v>
      </c>
      <c r="AB793" s="101">
        <f t="shared" si="112"/>
        <v>800</v>
      </c>
      <c r="AC793" s="101" t="str">
        <f t="shared" si="113"/>
        <v>КЭО (маг)</v>
      </c>
      <c r="AD793" s="101" t="str">
        <f t="shared" si="114"/>
        <v/>
      </c>
      <c r="AE793" s="102">
        <f t="shared" ca="1" si="115"/>
        <v>18.3</v>
      </c>
      <c r="AF793" s="103">
        <f t="shared" ca="1" si="116"/>
        <v>2.2875E-2</v>
      </c>
      <c r="AG793" s="101"/>
      <c r="AH793" s="101"/>
      <c r="BQ793" s="72">
        <v>0</v>
      </c>
      <c r="BR793" s="72">
        <v>0</v>
      </c>
      <c r="BS793" s="72">
        <v>0</v>
      </c>
      <c r="BT793" s="72">
        <v>0</v>
      </c>
      <c r="BU793" s="72">
        <v>0</v>
      </c>
      <c r="BV793" s="72">
        <v>0</v>
      </c>
      <c r="BW793" s="72">
        <v>0</v>
      </c>
      <c r="BX793" s="72">
        <v>0</v>
      </c>
      <c r="BY793" s="72">
        <v>0</v>
      </c>
      <c r="BZ793" s="72">
        <v>0</v>
      </c>
      <c r="CA793" s="72">
        <v>0</v>
      </c>
      <c r="CB793" s="72">
        <v>0</v>
      </c>
      <c r="CC793" s="72">
        <v>0</v>
      </c>
      <c r="CD793" s="72">
        <v>0</v>
      </c>
      <c r="CE793" s="72">
        <v>0</v>
      </c>
      <c r="CF793" s="72">
        <v>0</v>
      </c>
      <c r="CG793" s="72">
        <v>0</v>
      </c>
      <c r="CH793" s="72">
        <v>0</v>
      </c>
      <c r="CI793" s="72">
        <v>0</v>
      </c>
      <c r="CJ793" s="72">
        <v>0</v>
      </c>
      <c r="CK793" s="72">
        <v>0</v>
      </c>
      <c r="CL793" s="72">
        <v>0</v>
      </c>
      <c r="CM793" s="72">
        <v>0</v>
      </c>
      <c r="CN793" s="72">
        <v>0</v>
      </c>
      <c r="CO793" s="72">
        <v>0</v>
      </c>
      <c r="CP793" s="72">
        <v>0</v>
      </c>
      <c r="CQ793" s="72">
        <v>0</v>
      </c>
      <c r="CR793" s="72">
        <v>0</v>
      </c>
      <c r="CS793" s="72">
        <v>0</v>
      </c>
      <c r="CT793" s="72">
        <v>0</v>
      </c>
      <c r="CU793" s="72">
        <v>0</v>
      </c>
      <c r="CV793" s="72">
        <v>0</v>
      </c>
      <c r="CW793" s="72">
        <v>0</v>
      </c>
      <c r="CX793" s="72">
        <v>0</v>
      </c>
      <c r="CY793" s="72">
        <v>0</v>
      </c>
      <c r="CZ793" s="72">
        <v>0</v>
      </c>
      <c r="DA793" s="72">
        <v>0</v>
      </c>
      <c r="DB793" s="72">
        <v>0</v>
      </c>
      <c r="DC793" s="72">
        <v>0</v>
      </c>
      <c r="DD793" s="72">
        <v>0</v>
      </c>
      <c r="DE793" s="72">
        <v>0</v>
      </c>
      <c r="DF793" s="72">
        <v>0</v>
      </c>
      <c r="DG793" s="72">
        <v>0</v>
      </c>
      <c r="DH793" s="72">
        <v>0</v>
      </c>
      <c r="DI793" s="72">
        <v>0</v>
      </c>
      <c r="DJ793" s="72">
        <v>0</v>
      </c>
      <c r="DK793" s="72">
        <v>0</v>
      </c>
      <c r="DL793" s="72">
        <v>0</v>
      </c>
      <c r="DM793" s="72">
        <v>0</v>
      </c>
      <c r="DN793" s="72">
        <v>0</v>
      </c>
      <c r="DO793" s="72">
        <v>0</v>
      </c>
      <c r="DP793" s="72">
        <v>0</v>
      </c>
      <c r="DQ793" s="72">
        <v>0</v>
      </c>
      <c r="DR793" s="72">
        <v>0</v>
      </c>
      <c r="DS793" s="72">
        <v>0</v>
      </c>
      <c r="DT793" s="72">
        <v>0</v>
      </c>
      <c r="DU793" s="72">
        <v>0</v>
      </c>
      <c r="DV793" s="72">
        <v>0</v>
      </c>
      <c r="DW793" s="72">
        <v>0</v>
      </c>
      <c r="DX793" s="72">
        <v>0</v>
      </c>
      <c r="DY793" s="72">
        <v>0</v>
      </c>
      <c r="DZ793" s="72">
        <v>0</v>
      </c>
      <c r="EA793" s="72">
        <v>0</v>
      </c>
      <c r="EB793" s="72">
        <v>0</v>
      </c>
      <c r="EC793" s="72">
        <v>0</v>
      </c>
      <c r="ED793" s="72">
        <v>0</v>
      </c>
      <c r="EE793" s="72">
        <v>0</v>
      </c>
      <c r="EF793" s="72">
        <v>0</v>
      </c>
      <c r="EG793" s="72">
        <v>0</v>
      </c>
      <c r="EH793" s="72">
        <v>0</v>
      </c>
      <c r="EI793" s="72">
        <v>0</v>
      </c>
      <c r="EJ793" s="72">
        <v>0</v>
      </c>
      <c r="EK793" s="72">
        <v>0</v>
      </c>
      <c r="EL793" s="72">
        <v>0</v>
      </c>
    </row>
    <row r="794" spans="1:142" x14ac:dyDescent="0.35">
      <c r="A794" s="59">
        <f>Данные!A794</f>
        <v>6370</v>
      </c>
      <c r="B794" s="59">
        <f>Данные!B794</f>
        <v>2019</v>
      </c>
      <c r="C794" s="59" t="str">
        <f>Данные!C794</f>
        <v>компьютерных технологий и электронного обучения</v>
      </c>
      <c r="D794" s="59" t="str">
        <f>Данные!D794</f>
        <v>Государев Илья Борисович</v>
      </c>
      <c r="E794" s="59" t="str">
        <f>Данные!E794</f>
        <v>кандидат педагогических наук</v>
      </c>
      <c r="F794" s="59" t="str">
        <f>Данные!F794</f>
        <v>доцент</v>
      </c>
      <c r="G794" s="59">
        <f>Данные!G794</f>
        <v>1</v>
      </c>
      <c r="H794" s="59" t="str">
        <f>Данные!H794</f>
        <v>2 курс (м) 2018 год/пост</v>
      </c>
      <c r="I794" s="59" t="str">
        <f>Данные!I794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94" s="59">
        <f>Данные!J794</f>
        <v>0</v>
      </c>
      <c r="K794" s="59">
        <f>Данные!K794</f>
        <v>0</v>
      </c>
      <c r="L794" s="59">
        <f>Данные!L794</f>
        <v>0</v>
      </c>
      <c r="M794" s="60">
        <f t="shared" si="108"/>
        <v>0</v>
      </c>
      <c r="N794" s="60">
        <f t="shared" ca="1" si="109"/>
        <v>5.3000000000000007</v>
      </c>
      <c r="O794" s="60">
        <f t="shared" ca="1" si="110"/>
        <v>2.5</v>
      </c>
      <c r="P794" s="60">
        <f t="shared" ca="1" si="111"/>
        <v>2.5</v>
      </c>
      <c r="Q794" s="54">
        <f>Данные!Q794</f>
        <v>0</v>
      </c>
      <c r="R794" s="54">
        <f>Данные!R794</f>
        <v>0</v>
      </c>
      <c r="S794" s="54">
        <f>Данные!S794</f>
        <v>0</v>
      </c>
      <c r="T794" s="54">
        <f>Данные!T794</f>
        <v>0</v>
      </c>
      <c r="U794" s="54">
        <f>Данные!U794</f>
        <v>0</v>
      </c>
      <c r="V794" s="54">
        <f>Данные!V794</f>
        <v>0</v>
      </c>
      <c r="W794" s="54">
        <f ca="1">Данные!W794</f>
        <v>10</v>
      </c>
      <c r="X794" s="54" t="str">
        <f ca="1">Данные!X794</f>
        <v>1</v>
      </c>
      <c r="Y794" s="54" t="str">
        <f ca="1">Данные!Y794</f>
        <v>1</v>
      </c>
      <c r="Z794" s="54">
        <f>Данные!Z794</f>
        <v>0</v>
      </c>
      <c r="AA794" s="54" t="str">
        <f>Данные!AA794</f>
        <v>осн</v>
      </c>
      <c r="AB794" s="101">
        <f t="shared" si="112"/>
        <v>800</v>
      </c>
      <c r="AC794" s="101" t="str">
        <f t="shared" si="113"/>
        <v>КЭО (маг)</v>
      </c>
      <c r="AD794" s="101" t="str">
        <f t="shared" si="114"/>
        <v/>
      </c>
      <c r="AE794" s="102">
        <f t="shared" ca="1" si="115"/>
        <v>10.3</v>
      </c>
      <c r="AF794" s="103">
        <f t="shared" ca="1" si="116"/>
        <v>1.2875000000000001E-2</v>
      </c>
      <c r="AG794" s="101"/>
      <c r="AH794" s="101"/>
      <c r="BQ794" s="72">
        <v>0</v>
      </c>
      <c r="BR794" s="72">
        <v>0</v>
      </c>
      <c r="BS794" s="72">
        <v>0</v>
      </c>
      <c r="BT794" s="72">
        <v>0</v>
      </c>
      <c r="BU794" s="72">
        <v>0</v>
      </c>
      <c r="BV794" s="72">
        <v>0</v>
      </c>
      <c r="BW794" s="72">
        <v>0</v>
      </c>
      <c r="BX794" s="72">
        <v>0</v>
      </c>
      <c r="BY794" s="72">
        <v>0</v>
      </c>
      <c r="BZ794" s="72">
        <v>0</v>
      </c>
      <c r="CA794" s="72">
        <v>0</v>
      </c>
      <c r="CB794" s="72">
        <v>0</v>
      </c>
      <c r="CC794" s="72">
        <v>0</v>
      </c>
      <c r="CD794" s="72">
        <v>0</v>
      </c>
      <c r="CE794" s="72">
        <v>0</v>
      </c>
      <c r="CF794" s="72">
        <v>0</v>
      </c>
      <c r="CG794" s="72">
        <v>0</v>
      </c>
      <c r="CH794" s="72">
        <v>0</v>
      </c>
      <c r="CI794" s="72">
        <v>0</v>
      </c>
      <c r="CJ794" s="72">
        <v>0</v>
      </c>
      <c r="CK794" s="72">
        <v>0</v>
      </c>
      <c r="CL794" s="72">
        <v>0</v>
      </c>
      <c r="CM794" s="72">
        <v>0</v>
      </c>
      <c r="CN794" s="72">
        <v>0</v>
      </c>
      <c r="CO794" s="72">
        <v>0</v>
      </c>
      <c r="CP794" s="72">
        <v>0</v>
      </c>
      <c r="CQ794" s="72">
        <v>0</v>
      </c>
      <c r="CR794" s="72">
        <v>0</v>
      </c>
      <c r="CS794" s="72">
        <v>0</v>
      </c>
      <c r="CT794" s="72">
        <v>0</v>
      </c>
      <c r="CU794" s="72">
        <v>0</v>
      </c>
      <c r="CV794" s="72">
        <v>0</v>
      </c>
      <c r="CW794" s="72">
        <v>0</v>
      </c>
      <c r="CX794" s="72">
        <v>0</v>
      </c>
      <c r="CY794" s="72">
        <v>0</v>
      </c>
      <c r="CZ794" s="72">
        <v>0</v>
      </c>
      <c r="DA794" s="72">
        <v>0</v>
      </c>
      <c r="DB794" s="72">
        <v>0</v>
      </c>
      <c r="DC794" s="72">
        <v>0</v>
      </c>
      <c r="DD794" s="72">
        <v>0</v>
      </c>
      <c r="DE794" s="72">
        <v>0</v>
      </c>
      <c r="DF794" s="72">
        <v>0</v>
      </c>
      <c r="DG794" s="72">
        <v>0</v>
      </c>
      <c r="DH794" s="72">
        <v>0</v>
      </c>
      <c r="DI794" s="72">
        <v>0</v>
      </c>
      <c r="DJ794" s="72">
        <v>0</v>
      </c>
      <c r="DK794" s="72">
        <v>0</v>
      </c>
      <c r="DL794" s="72">
        <v>0</v>
      </c>
      <c r="DM794" s="72">
        <v>0</v>
      </c>
      <c r="DN794" s="72">
        <v>0</v>
      </c>
      <c r="DO794" s="72">
        <v>0</v>
      </c>
      <c r="DP794" s="72">
        <v>0</v>
      </c>
      <c r="DQ794" s="72">
        <v>0</v>
      </c>
      <c r="DR794" s="72">
        <v>0</v>
      </c>
      <c r="DS794" s="72">
        <v>0</v>
      </c>
      <c r="DT794" s="72">
        <v>0</v>
      </c>
      <c r="DU794" s="72">
        <v>0</v>
      </c>
      <c r="DV794" s="72">
        <v>0</v>
      </c>
      <c r="DW794" s="72">
        <v>0</v>
      </c>
      <c r="DX794" s="72">
        <v>0</v>
      </c>
      <c r="DY794" s="72">
        <v>0</v>
      </c>
      <c r="DZ794" s="72">
        <v>0</v>
      </c>
      <c r="EA794" s="72">
        <v>0</v>
      </c>
      <c r="EB794" s="72">
        <v>0</v>
      </c>
      <c r="EC794" s="72">
        <v>0</v>
      </c>
      <c r="ED794" s="72">
        <v>0</v>
      </c>
      <c r="EE794" s="72">
        <v>0</v>
      </c>
      <c r="EF794" s="72">
        <v>0</v>
      </c>
      <c r="EG794" s="72">
        <v>0</v>
      </c>
      <c r="EH794" s="72">
        <v>0</v>
      </c>
      <c r="EI794" s="72">
        <v>0</v>
      </c>
      <c r="EJ794" s="72">
        <v>0</v>
      </c>
      <c r="EK794" s="72">
        <v>0</v>
      </c>
      <c r="EL794" s="72">
        <v>0</v>
      </c>
    </row>
    <row r="795" spans="1:142" x14ac:dyDescent="0.35">
      <c r="A795" s="59">
        <f>Данные!A795</f>
        <v>6370</v>
      </c>
      <c r="B795" s="59">
        <f>Данные!B795</f>
        <v>2019</v>
      </c>
      <c r="C795" s="59" t="str">
        <f>Данные!C795</f>
        <v>компьютерных технологий и электронного обучения</v>
      </c>
      <c r="D795" s="59" t="str">
        <f>Данные!D795</f>
        <v>Государев Илья Борисович</v>
      </c>
      <c r="E795" s="59" t="str">
        <f>Данные!E795</f>
        <v>кандидат педагогических наук</v>
      </c>
      <c r="F795" s="59" t="str">
        <f>Данные!F795</f>
        <v>доцент</v>
      </c>
      <c r="G795" s="59">
        <f>Данные!G795</f>
        <v>1</v>
      </c>
      <c r="H795" s="59" t="str">
        <f>Данные!H795</f>
        <v>2 курс (м) 2018 год/пост</v>
      </c>
      <c r="I795" s="59" t="str">
        <f>Данные!I795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95" s="59">
        <f>Данные!J795</f>
        <v>0</v>
      </c>
      <c r="K795" s="59">
        <f>Данные!K795</f>
        <v>0</v>
      </c>
      <c r="L795" s="59">
        <f>Данные!L795</f>
        <v>0</v>
      </c>
      <c r="M795" s="60">
        <f t="shared" si="108"/>
        <v>0</v>
      </c>
      <c r="N795" s="60">
        <f t="shared" ca="1" si="109"/>
        <v>5.3000000000000007</v>
      </c>
      <c r="O795" s="60">
        <f t="shared" ca="1" si="110"/>
        <v>2.5</v>
      </c>
      <c r="P795" s="60">
        <f t="shared" ca="1" si="111"/>
        <v>2.5</v>
      </c>
      <c r="Q795" s="54">
        <f>Данные!Q795</f>
        <v>0</v>
      </c>
      <c r="R795" s="54">
        <f>Данные!R795</f>
        <v>0</v>
      </c>
      <c r="S795" s="54">
        <f>Данные!S795</f>
        <v>0</v>
      </c>
      <c r="T795" s="54">
        <f>Данные!T795</f>
        <v>0</v>
      </c>
      <c r="U795" s="54">
        <f>Данные!U795</f>
        <v>4</v>
      </c>
      <c r="V795" s="54">
        <f>Данные!V795</f>
        <v>0</v>
      </c>
      <c r="W795" s="54">
        <f ca="1">Данные!W795</f>
        <v>10</v>
      </c>
      <c r="X795" s="54" t="str">
        <f ca="1">Данные!X795</f>
        <v>1</v>
      </c>
      <c r="Y795" s="54" t="str">
        <f ca="1">Данные!Y795</f>
        <v>1</v>
      </c>
      <c r="Z795" s="54">
        <f>Данные!Z795</f>
        <v>0</v>
      </c>
      <c r="AA795" s="54">
        <f>Данные!AA795</f>
        <v>0</v>
      </c>
      <c r="AB795" s="101">
        <f t="shared" si="112"/>
        <v>800</v>
      </c>
      <c r="AC795" s="101" t="str">
        <f t="shared" si="113"/>
        <v>КЭО (маг)</v>
      </c>
      <c r="AD795" s="101" t="str">
        <f t="shared" si="114"/>
        <v/>
      </c>
      <c r="AE795" s="102">
        <f t="shared" ca="1" si="115"/>
        <v>14.3</v>
      </c>
      <c r="AF795" s="103">
        <f t="shared" ca="1" si="116"/>
        <v>1.7875000000000002E-2</v>
      </c>
      <c r="AG795" s="101"/>
      <c r="AH795" s="101"/>
      <c r="BQ795" s="72">
        <v>0</v>
      </c>
      <c r="BR795" s="72">
        <v>0</v>
      </c>
      <c r="BS795" s="72">
        <v>0</v>
      </c>
      <c r="BT795" s="72">
        <v>0</v>
      </c>
      <c r="BU795" s="72">
        <v>0</v>
      </c>
      <c r="BV795" s="72">
        <v>0</v>
      </c>
      <c r="BW795" s="72">
        <v>0</v>
      </c>
      <c r="BX795" s="72">
        <v>0</v>
      </c>
      <c r="BY795" s="72">
        <v>0</v>
      </c>
      <c r="BZ795" s="72">
        <v>0</v>
      </c>
      <c r="CA795" s="72">
        <v>0</v>
      </c>
      <c r="CB795" s="72">
        <v>0</v>
      </c>
      <c r="CC795" s="72">
        <v>0</v>
      </c>
      <c r="CD795" s="72">
        <v>0</v>
      </c>
      <c r="CE795" s="72">
        <v>0</v>
      </c>
      <c r="CF795" s="72">
        <v>0</v>
      </c>
      <c r="CG795" s="72">
        <v>0</v>
      </c>
      <c r="CH795" s="72">
        <v>0</v>
      </c>
      <c r="CI795" s="72">
        <v>0</v>
      </c>
      <c r="CJ795" s="72">
        <v>0</v>
      </c>
      <c r="CK795" s="72">
        <v>0</v>
      </c>
      <c r="CL795" s="72">
        <v>0</v>
      </c>
      <c r="CM795" s="72">
        <v>0</v>
      </c>
      <c r="CN795" s="72">
        <v>0</v>
      </c>
      <c r="CO795" s="72">
        <v>0</v>
      </c>
      <c r="CP795" s="72">
        <v>0</v>
      </c>
      <c r="CQ795" s="72">
        <v>0</v>
      </c>
      <c r="CR795" s="72">
        <v>0</v>
      </c>
      <c r="CS795" s="72">
        <v>0</v>
      </c>
      <c r="CT795" s="72">
        <v>0</v>
      </c>
      <c r="CU795" s="72">
        <v>0</v>
      </c>
      <c r="CV795" s="72">
        <v>0</v>
      </c>
      <c r="CW795" s="72">
        <v>0</v>
      </c>
      <c r="CX795" s="72">
        <v>0</v>
      </c>
      <c r="CY795" s="72">
        <v>0</v>
      </c>
      <c r="CZ795" s="72">
        <v>0</v>
      </c>
      <c r="DA795" s="72">
        <v>0</v>
      </c>
      <c r="DB795" s="72">
        <v>0</v>
      </c>
      <c r="DC795" s="72">
        <v>0</v>
      </c>
      <c r="DD795" s="72">
        <v>0</v>
      </c>
      <c r="DE795" s="72">
        <v>0</v>
      </c>
      <c r="DF795" s="72">
        <v>0</v>
      </c>
      <c r="DG795" s="72">
        <v>0</v>
      </c>
      <c r="DH795" s="72">
        <v>0</v>
      </c>
      <c r="DI795" s="72">
        <v>0</v>
      </c>
      <c r="DJ795" s="72">
        <v>0</v>
      </c>
      <c r="DK795" s="72">
        <v>0</v>
      </c>
      <c r="DL795" s="72">
        <v>0</v>
      </c>
      <c r="DM795" s="72">
        <v>0</v>
      </c>
      <c r="DN795" s="72">
        <v>0</v>
      </c>
      <c r="DO795" s="72">
        <v>0</v>
      </c>
      <c r="DP795" s="72">
        <v>0</v>
      </c>
      <c r="DQ795" s="72">
        <v>0</v>
      </c>
      <c r="DR795" s="72">
        <v>0</v>
      </c>
      <c r="DS795" s="72">
        <v>0</v>
      </c>
      <c r="DT795" s="72">
        <v>0</v>
      </c>
      <c r="DU795" s="72">
        <v>0</v>
      </c>
      <c r="DV795" s="72">
        <v>0</v>
      </c>
      <c r="DW795" s="72">
        <v>0</v>
      </c>
      <c r="DX795" s="72">
        <v>0</v>
      </c>
      <c r="DY795" s="72">
        <v>0</v>
      </c>
      <c r="DZ795" s="72">
        <v>0</v>
      </c>
      <c r="EA795" s="72">
        <v>0</v>
      </c>
      <c r="EB795" s="72">
        <v>0</v>
      </c>
      <c r="EC795" s="72">
        <v>0</v>
      </c>
      <c r="ED795" s="72">
        <v>0</v>
      </c>
      <c r="EE795" s="72">
        <v>0</v>
      </c>
      <c r="EF795" s="72">
        <v>0</v>
      </c>
      <c r="EG795" s="72">
        <v>0</v>
      </c>
      <c r="EH795" s="72">
        <v>0</v>
      </c>
      <c r="EI795" s="72">
        <v>0</v>
      </c>
      <c r="EJ795" s="72">
        <v>0</v>
      </c>
      <c r="EK795" s="72">
        <v>0</v>
      </c>
      <c r="EL795" s="72">
        <v>0</v>
      </c>
    </row>
    <row r="796" spans="1:142" s="6" customFormat="1" x14ac:dyDescent="0.35">
      <c r="A796" s="59">
        <f>Данные!A796</f>
        <v>6370</v>
      </c>
      <c r="B796" s="59">
        <f>Данные!B796</f>
        <v>2019</v>
      </c>
      <c r="C796" s="59" t="str">
        <f>Данные!C796</f>
        <v>компьютерных технологий и электронного обучения</v>
      </c>
      <c r="D796" s="59" t="str">
        <f>Данные!D796</f>
        <v>Кравченко Наталия Николаевна</v>
      </c>
      <c r="E796" s="59" t="str">
        <f>Данные!E796</f>
        <v>кандидат педагогических наук</v>
      </c>
      <c r="F796" s="59" t="str">
        <f>Данные!F796</f>
        <v>профессор</v>
      </c>
      <c r="G796" s="59">
        <f>Данные!G796</f>
        <v>0.75</v>
      </c>
      <c r="H796" s="59" t="str">
        <f>Данные!H796</f>
        <v>2 курс (м) 2018 год/пост</v>
      </c>
      <c r="I796" s="59" t="str">
        <f>Данные!I796</f>
        <v>Модуль "IT- инфраструктура образовательного учреждения". Дисциплины и курсы по выбору. Инжиниринг и реинжиниринг образовательного процесса</v>
      </c>
      <c r="J796" s="59">
        <f>Данные!J796</f>
        <v>4</v>
      </c>
      <c r="K796" s="59">
        <f>Данные!K796</f>
        <v>14</v>
      </c>
      <c r="L796" s="59">
        <f>Данные!L796</f>
        <v>0</v>
      </c>
      <c r="M796" s="60">
        <f t="shared" si="108"/>
        <v>1.8</v>
      </c>
      <c r="N796" s="60">
        <f t="shared" ca="1" si="109"/>
        <v>5.3000000000000007</v>
      </c>
      <c r="O796" s="60">
        <f t="shared" ca="1" si="110"/>
        <v>2.5</v>
      </c>
      <c r="P796" s="60">
        <f t="shared" ca="1" si="111"/>
        <v>2.5</v>
      </c>
      <c r="Q796" s="54">
        <f>Данные!Q796</f>
        <v>0</v>
      </c>
      <c r="R796" s="54">
        <f>Данные!R796</f>
        <v>0</v>
      </c>
      <c r="S796" s="54">
        <f>Данные!S796</f>
        <v>0</v>
      </c>
      <c r="T796" s="54">
        <f>Данные!T796</f>
        <v>0</v>
      </c>
      <c r="U796" s="54">
        <f>Данные!U796</f>
        <v>0</v>
      </c>
      <c r="V796" s="54">
        <f>Данные!V796</f>
        <v>0</v>
      </c>
      <c r="W796" s="54">
        <f ca="1">Данные!W796</f>
        <v>10</v>
      </c>
      <c r="X796" s="54" t="str">
        <f ca="1">Данные!X796</f>
        <v>1</v>
      </c>
      <c r="Y796" s="54" t="str">
        <f ca="1">Данные!Y796</f>
        <v>1</v>
      </c>
      <c r="Z796" s="54">
        <f>Данные!Z796</f>
        <v>0</v>
      </c>
      <c r="AA796" s="54" t="str">
        <f>Данные!AA796</f>
        <v>осн</v>
      </c>
      <c r="AB796" s="101">
        <f t="shared" si="112"/>
        <v>750</v>
      </c>
      <c r="AC796" s="101" t="str">
        <f t="shared" si="113"/>
        <v>КЭО (маг)</v>
      </c>
      <c r="AD796" s="101" t="str">
        <f t="shared" si="114"/>
        <v/>
      </c>
      <c r="AE796" s="102">
        <f t="shared" ca="1" si="115"/>
        <v>30.1</v>
      </c>
      <c r="AF796" s="103">
        <f t="shared" ca="1" si="116"/>
        <v>4.0133333333333333E-2</v>
      </c>
      <c r="AG796" s="101"/>
      <c r="AH796" s="101"/>
      <c r="AI796"/>
      <c r="BQ796" s="72">
        <v>0</v>
      </c>
      <c r="BR796" s="72">
        <v>0</v>
      </c>
      <c r="BS796" s="72">
        <v>0</v>
      </c>
      <c r="BT796" s="72">
        <v>0</v>
      </c>
      <c r="BU796" s="72">
        <v>0</v>
      </c>
      <c r="BV796" s="72">
        <v>0</v>
      </c>
      <c r="BW796" s="72">
        <v>0</v>
      </c>
      <c r="BX796" s="72">
        <v>0</v>
      </c>
      <c r="BY796" s="72">
        <v>0</v>
      </c>
      <c r="BZ796" s="72">
        <v>0</v>
      </c>
      <c r="CA796" s="72">
        <v>0</v>
      </c>
      <c r="CB796" s="72">
        <v>0</v>
      </c>
      <c r="CC796" s="72">
        <v>0</v>
      </c>
      <c r="CD796" s="72">
        <v>0</v>
      </c>
      <c r="CE796" s="72">
        <v>0</v>
      </c>
      <c r="CF796" s="72">
        <v>0</v>
      </c>
      <c r="CG796" s="72">
        <v>0</v>
      </c>
      <c r="CH796" s="72">
        <v>0</v>
      </c>
      <c r="CI796" s="72">
        <v>0</v>
      </c>
      <c r="CJ796" s="72">
        <v>0</v>
      </c>
      <c r="CK796" s="72">
        <v>0</v>
      </c>
      <c r="CL796" s="72">
        <v>0</v>
      </c>
      <c r="CM796" s="72">
        <v>0</v>
      </c>
      <c r="CN796" s="72">
        <v>0</v>
      </c>
      <c r="CO796" s="72">
        <v>0</v>
      </c>
      <c r="CP796" s="72">
        <v>0</v>
      </c>
      <c r="CQ796" s="72">
        <v>0</v>
      </c>
      <c r="CR796" s="72">
        <v>0</v>
      </c>
      <c r="CS796" s="72">
        <v>0</v>
      </c>
      <c r="CT796" s="72">
        <v>0</v>
      </c>
      <c r="CU796" s="72">
        <v>0</v>
      </c>
      <c r="CV796" s="72">
        <v>0</v>
      </c>
      <c r="CW796" s="72">
        <v>0</v>
      </c>
      <c r="CX796" s="72">
        <v>0</v>
      </c>
      <c r="CY796" s="72">
        <v>0</v>
      </c>
      <c r="CZ796" s="72">
        <v>0</v>
      </c>
      <c r="DA796" s="72">
        <v>0</v>
      </c>
      <c r="DB796" s="72">
        <v>0</v>
      </c>
      <c r="DC796" s="72">
        <v>0</v>
      </c>
      <c r="DD796" s="72">
        <v>0</v>
      </c>
      <c r="DE796" s="72">
        <v>0</v>
      </c>
      <c r="DF796" s="72">
        <v>0</v>
      </c>
      <c r="DG796" s="72">
        <v>0</v>
      </c>
      <c r="DH796" s="72">
        <v>0</v>
      </c>
      <c r="DI796" s="72">
        <v>0</v>
      </c>
      <c r="DJ796" s="72">
        <v>0</v>
      </c>
      <c r="DK796" s="72">
        <v>0</v>
      </c>
      <c r="DL796" s="72">
        <v>0</v>
      </c>
      <c r="DM796" s="72">
        <v>0</v>
      </c>
      <c r="DN796" s="72">
        <v>0</v>
      </c>
      <c r="DO796" s="72">
        <v>0</v>
      </c>
      <c r="DP796" s="72">
        <v>0</v>
      </c>
      <c r="DQ796" s="72">
        <v>0</v>
      </c>
      <c r="DR796" s="72">
        <v>0</v>
      </c>
      <c r="DS796" s="72">
        <v>0</v>
      </c>
      <c r="DT796" s="72">
        <v>0</v>
      </c>
      <c r="DU796" s="72">
        <v>0</v>
      </c>
      <c r="DV796" s="72">
        <v>0</v>
      </c>
      <c r="DW796" s="72">
        <v>0</v>
      </c>
      <c r="DX796" s="72">
        <v>0</v>
      </c>
      <c r="DY796" s="72">
        <v>0</v>
      </c>
      <c r="DZ796" s="72">
        <v>0</v>
      </c>
      <c r="EA796" s="72">
        <v>0</v>
      </c>
      <c r="EB796" s="72">
        <v>0</v>
      </c>
      <c r="EC796" s="72">
        <v>0</v>
      </c>
      <c r="ED796" s="72">
        <v>0</v>
      </c>
      <c r="EE796" s="72">
        <v>0</v>
      </c>
      <c r="EF796" s="72">
        <v>0</v>
      </c>
      <c r="EG796" s="72">
        <v>0</v>
      </c>
      <c r="EH796" s="72">
        <v>0</v>
      </c>
      <c r="EI796" s="72">
        <v>0</v>
      </c>
      <c r="EJ796" s="72">
        <v>0</v>
      </c>
      <c r="EK796" s="72">
        <v>0</v>
      </c>
      <c r="EL796" s="72">
        <v>0</v>
      </c>
    </row>
    <row r="797" spans="1:142" s="6" customFormat="1" x14ac:dyDescent="0.35">
      <c r="A797" s="59">
        <f>Данные!A797</f>
        <v>6370</v>
      </c>
      <c r="B797" s="59">
        <f>Данные!B797</f>
        <v>2019</v>
      </c>
      <c r="C797" s="59" t="str">
        <f>Данные!C797</f>
        <v>компьютерных технологий и электронного обучения</v>
      </c>
      <c r="D797" s="59" t="str">
        <f>Данные!D797</f>
        <v>Готская Ирина Борисовна</v>
      </c>
      <c r="E797" s="59" t="str">
        <f>Данные!E797</f>
        <v>доктор педагогических наук</v>
      </c>
      <c r="F797" s="59" t="str">
        <f>Данные!F797</f>
        <v>профессор</v>
      </c>
      <c r="G797" s="59">
        <f>Данные!G797</f>
        <v>0.75</v>
      </c>
      <c r="H797" s="59" t="str">
        <f>Данные!H797</f>
        <v>2 курс (м) 2018 год/пост</v>
      </c>
      <c r="I797" s="59" t="str">
        <f>Данные!I797</f>
        <v>Модуль "Теория и практика корпоративного электронного обучения". Менеджмент качества корпоративного электронного обучения</v>
      </c>
      <c r="J797" s="59">
        <f>Данные!J797</f>
        <v>0</v>
      </c>
      <c r="K797" s="59">
        <f>Данные!K797</f>
        <v>9</v>
      </c>
      <c r="L797" s="59">
        <f>Данные!L797</f>
        <v>0</v>
      </c>
      <c r="M797" s="60">
        <f t="shared" si="108"/>
        <v>0.9</v>
      </c>
      <c r="N797" s="60">
        <f t="shared" ca="1" si="109"/>
        <v>5.3000000000000007</v>
      </c>
      <c r="O797" s="60">
        <f t="shared" ca="1" si="110"/>
        <v>2.5</v>
      </c>
      <c r="P797" s="60">
        <f t="shared" ca="1" si="111"/>
        <v>2.5</v>
      </c>
      <c r="Q797" s="54">
        <f>Данные!Q797</f>
        <v>0</v>
      </c>
      <c r="R797" s="54">
        <f>Данные!R797</f>
        <v>0</v>
      </c>
      <c r="S797" s="54">
        <f>Данные!S797</f>
        <v>0</v>
      </c>
      <c r="T797" s="54">
        <f>Данные!T797</f>
        <v>0</v>
      </c>
      <c r="U797" s="54">
        <f>Данные!U797</f>
        <v>0</v>
      </c>
      <c r="V797" s="54">
        <f>Данные!V797</f>
        <v>0</v>
      </c>
      <c r="W797" s="54">
        <f ca="1">Данные!W797</f>
        <v>10</v>
      </c>
      <c r="X797" s="54" t="str">
        <f ca="1">Данные!X797</f>
        <v>1</v>
      </c>
      <c r="Y797" s="54" t="str">
        <f ca="1">Данные!Y797</f>
        <v>1</v>
      </c>
      <c r="Z797" s="54">
        <f>Данные!Z797</f>
        <v>0</v>
      </c>
      <c r="AA797" s="54" t="str">
        <f>Данные!AA797</f>
        <v>доп</v>
      </c>
      <c r="AB797" s="101">
        <f t="shared" si="112"/>
        <v>750</v>
      </c>
      <c r="AC797" s="101" t="str">
        <f t="shared" si="113"/>
        <v>КЭО (маг)</v>
      </c>
      <c r="AD797" s="101" t="str">
        <f t="shared" si="114"/>
        <v/>
      </c>
      <c r="AE797" s="102">
        <f t="shared" ca="1" si="115"/>
        <v>20.200000000000003</v>
      </c>
      <c r="AF797" s="103">
        <f t="shared" ca="1" si="116"/>
        <v>2.6933333333333337E-2</v>
      </c>
      <c r="AG797" s="101"/>
      <c r="AH797" s="101"/>
      <c r="AI797"/>
      <c r="BQ797" s="72">
        <v>0</v>
      </c>
      <c r="BR797" s="72">
        <v>0</v>
      </c>
      <c r="BS797" s="72">
        <v>0</v>
      </c>
      <c r="BT797" s="72">
        <v>0</v>
      </c>
      <c r="BU797" s="72">
        <v>0</v>
      </c>
      <c r="BV797" s="72">
        <v>0</v>
      </c>
      <c r="BW797" s="72">
        <v>0</v>
      </c>
      <c r="BX797" s="72">
        <v>0</v>
      </c>
      <c r="BY797" s="72">
        <v>0</v>
      </c>
      <c r="BZ797" s="72">
        <v>0</v>
      </c>
      <c r="CA797" s="72">
        <v>0</v>
      </c>
      <c r="CB797" s="72">
        <v>0</v>
      </c>
      <c r="CC797" s="72">
        <v>0</v>
      </c>
      <c r="CD797" s="72">
        <v>0</v>
      </c>
      <c r="CE797" s="72">
        <v>0</v>
      </c>
      <c r="CF797" s="72">
        <v>0</v>
      </c>
      <c r="CG797" s="72">
        <v>0</v>
      </c>
      <c r="CH797" s="72">
        <v>0</v>
      </c>
      <c r="CI797" s="72">
        <v>0</v>
      </c>
      <c r="CJ797" s="72">
        <v>0</v>
      </c>
      <c r="CK797" s="72">
        <v>0</v>
      </c>
      <c r="CL797" s="72">
        <v>0</v>
      </c>
      <c r="CM797" s="72">
        <v>0</v>
      </c>
      <c r="CN797" s="72">
        <v>0</v>
      </c>
      <c r="CO797" s="72">
        <v>0</v>
      </c>
      <c r="CP797" s="72">
        <v>0</v>
      </c>
      <c r="CQ797" s="72">
        <v>0</v>
      </c>
      <c r="CR797" s="72">
        <v>0</v>
      </c>
      <c r="CS797" s="72">
        <v>0</v>
      </c>
      <c r="CT797" s="72">
        <v>0</v>
      </c>
      <c r="CU797" s="72">
        <v>0</v>
      </c>
      <c r="CV797" s="72">
        <v>0</v>
      </c>
      <c r="CW797" s="72">
        <v>0</v>
      </c>
      <c r="CX797" s="72">
        <v>0</v>
      </c>
      <c r="CY797" s="72">
        <v>0</v>
      </c>
      <c r="CZ797" s="72">
        <v>0</v>
      </c>
      <c r="DA797" s="72">
        <v>0</v>
      </c>
      <c r="DB797" s="72">
        <v>0</v>
      </c>
      <c r="DC797" s="72">
        <v>0</v>
      </c>
      <c r="DD797" s="72">
        <v>0</v>
      </c>
      <c r="DE797" s="72">
        <v>0</v>
      </c>
      <c r="DF797" s="72">
        <v>0</v>
      </c>
      <c r="DG797" s="72">
        <v>0</v>
      </c>
      <c r="DH797" s="72">
        <v>0</v>
      </c>
      <c r="DI797" s="72">
        <v>0</v>
      </c>
      <c r="DJ797" s="72">
        <v>0</v>
      </c>
      <c r="DK797" s="72">
        <v>0</v>
      </c>
      <c r="DL797" s="72">
        <v>0</v>
      </c>
      <c r="DM797" s="72">
        <v>0</v>
      </c>
      <c r="DN797" s="72">
        <v>0</v>
      </c>
      <c r="DO797" s="72">
        <v>0</v>
      </c>
      <c r="DP797" s="72">
        <v>0</v>
      </c>
      <c r="DQ797" s="72">
        <v>0</v>
      </c>
      <c r="DR797" s="72">
        <v>0</v>
      </c>
      <c r="DS797" s="72">
        <v>0</v>
      </c>
      <c r="DT797" s="72">
        <v>0</v>
      </c>
      <c r="DU797" s="72">
        <v>0</v>
      </c>
      <c r="DV797" s="72">
        <v>0</v>
      </c>
      <c r="DW797" s="72">
        <v>0</v>
      </c>
      <c r="DX797" s="72">
        <v>0</v>
      </c>
      <c r="DY797" s="72">
        <v>0</v>
      </c>
      <c r="DZ797" s="72">
        <v>0</v>
      </c>
      <c r="EA797" s="72">
        <v>0</v>
      </c>
      <c r="EB797" s="72">
        <v>0</v>
      </c>
      <c r="EC797" s="72">
        <v>0</v>
      </c>
      <c r="ED797" s="72">
        <v>0</v>
      </c>
      <c r="EE797" s="72">
        <v>0</v>
      </c>
      <c r="EF797" s="72">
        <v>0</v>
      </c>
      <c r="EG797" s="72">
        <v>0</v>
      </c>
      <c r="EH797" s="72">
        <v>0</v>
      </c>
      <c r="EI797" s="72">
        <v>0</v>
      </c>
      <c r="EJ797" s="72">
        <v>0</v>
      </c>
      <c r="EK797" s="72">
        <v>0</v>
      </c>
      <c r="EL797" s="72">
        <v>0</v>
      </c>
    </row>
    <row r="798" spans="1:142" s="6" customFormat="1" x14ac:dyDescent="0.35">
      <c r="A798" s="59">
        <f>Данные!A798</f>
        <v>6370</v>
      </c>
      <c r="B798" s="59">
        <f>Данные!B798</f>
        <v>2019</v>
      </c>
      <c r="C798" s="59" t="str">
        <f>Данные!C798</f>
        <v>компьютерных технологий и электронного обучения</v>
      </c>
      <c r="D798" s="59" t="str">
        <f>Данные!D798</f>
        <v>Абрамян Геннадий Владимирович</v>
      </c>
      <c r="E798" s="59" t="str">
        <f>Данные!E798</f>
        <v>доктор педагогических наук</v>
      </c>
      <c r="F798" s="59" t="str">
        <f>Данные!F798</f>
        <v>профессор</v>
      </c>
      <c r="G798" s="59">
        <f>Данные!G798</f>
        <v>0.75</v>
      </c>
      <c r="H798" s="59" t="str">
        <f>Данные!H798</f>
        <v>2 курс (м) 2018 год/пост</v>
      </c>
      <c r="I798" s="59" t="str">
        <f>Данные!I798</f>
        <v>Научно-исследовательская работа. Педагогическое образование. Магистерская программа "Корпоративное электронное обучение"</v>
      </c>
      <c r="J798" s="59">
        <f>Данные!J798</f>
        <v>0</v>
      </c>
      <c r="K798" s="59">
        <f>Данные!K798</f>
        <v>0</v>
      </c>
      <c r="L798" s="59">
        <f>Данные!L798</f>
        <v>0</v>
      </c>
      <c r="M798" s="60">
        <f t="shared" si="108"/>
        <v>0</v>
      </c>
      <c r="N798" s="60">
        <f t="shared" ca="1" si="109"/>
        <v>5.3000000000000007</v>
      </c>
      <c r="O798" s="60">
        <f t="shared" ca="1" si="110"/>
        <v>2.5</v>
      </c>
      <c r="P798" s="60">
        <f t="shared" ca="1" si="111"/>
        <v>2.5</v>
      </c>
      <c r="Q798" s="54">
        <f>Данные!Q798</f>
        <v>0</v>
      </c>
      <c r="R798" s="54">
        <f>Данные!R798</f>
        <v>0</v>
      </c>
      <c r="S798" s="54">
        <f>Данные!S798</f>
        <v>0</v>
      </c>
      <c r="T798" s="54">
        <f>Данные!T798</f>
        <v>0</v>
      </c>
      <c r="U798" s="54">
        <f>Данные!U798</f>
        <v>4</v>
      </c>
      <c r="V798" s="54">
        <f>Данные!V798</f>
        <v>0</v>
      </c>
      <c r="W798" s="54">
        <f ca="1">Данные!W798</f>
        <v>10</v>
      </c>
      <c r="X798" s="54" t="str">
        <f ca="1">Данные!X798</f>
        <v>1</v>
      </c>
      <c r="Y798" s="54" t="str">
        <f ca="1">Данные!Y798</f>
        <v>1</v>
      </c>
      <c r="Z798" s="54">
        <f>Данные!Z798</f>
        <v>0</v>
      </c>
      <c r="AA798" s="54" t="str">
        <f>Данные!AA798</f>
        <v>доп</v>
      </c>
      <c r="AB798" s="101">
        <f t="shared" si="112"/>
        <v>750</v>
      </c>
      <c r="AC798" s="101" t="str">
        <f t="shared" si="113"/>
        <v>КЭО (маг)</v>
      </c>
      <c r="AD798" s="101" t="str">
        <f t="shared" si="114"/>
        <v/>
      </c>
      <c r="AE798" s="102">
        <f t="shared" ca="1" si="115"/>
        <v>14.3</v>
      </c>
      <c r="AF798" s="103">
        <f t="shared" ca="1" si="116"/>
        <v>1.9066666666666669E-2</v>
      </c>
      <c r="AG798" s="101"/>
      <c r="AH798" s="101"/>
      <c r="AI798"/>
      <c r="BQ798" s="72">
        <v>0</v>
      </c>
      <c r="BR798" s="72">
        <v>0</v>
      </c>
      <c r="BS798" s="72">
        <v>0</v>
      </c>
      <c r="BT798" s="72">
        <v>0</v>
      </c>
      <c r="BU798" s="72">
        <v>0</v>
      </c>
      <c r="BV798" s="72">
        <v>0</v>
      </c>
      <c r="BW798" s="72">
        <v>0</v>
      </c>
      <c r="BX798" s="72">
        <v>0</v>
      </c>
      <c r="BY798" s="72">
        <v>0</v>
      </c>
      <c r="BZ798" s="72">
        <v>0</v>
      </c>
      <c r="CA798" s="72">
        <v>0</v>
      </c>
      <c r="CB798" s="72">
        <v>0</v>
      </c>
      <c r="CC798" s="72">
        <v>0</v>
      </c>
      <c r="CD798" s="72">
        <v>0</v>
      </c>
      <c r="CE798" s="72">
        <v>0</v>
      </c>
      <c r="CF798" s="72">
        <v>0</v>
      </c>
      <c r="CG798" s="72">
        <v>0</v>
      </c>
      <c r="CH798" s="72">
        <v>0</v>
      </c>
      <c r="CI798" s="72">
        <v>0</v>
      </c>
      <c r="CJ798" s="72">
        <v>0</v>
      </c>
      <c r="CK798" s="72">
        <v>0</v>
      </c>
      <c r="CL798" s="72">
        <v>0</v>
      </c>
      <c r="CM798" s="72">
        <v>0</v>
      </c>
      <c r="CN798" s="72">
        <v>0</v>
      </c>
      <c r="CO798" s="72">
        <v>0</v>
      </c>
      <c r="CP798" s="72">
        <v>0</v>
      </c>
      <c r="CQ798" s="72">
        <v>0</v>
      </c>
      <c r="CR798" s="72">
        <v>0</v>
      </c>
      <c r="CS798" s="72">
        <v>0</v>
      </c>
      <c r="CT798" s="72">
        <v>0</v>
      </c>
      <c r="CU798" s="72">
        <v>0</v>
      </c>
      <c r="CV798" s="72">
        <v>0</v>
      </c>
      <c r="CW798" s="72">
        <v>0</v>
      </c>
      <c r="CX798" s="72">
        <v>0</v>
      </c>
      <c r="CY798" s="72">
        <v>0</v>
      </c>
      <c r="CZ798" s="72">
        <v>0</v>
      </c>
      <c r="DA798" s="72">
        <v>0</v>
      </c>
      <c r="DB798" s="72">
        <v>0</v>
      </c>
      <c r="DC798" s="72">
        <v>0</v>
      </c>
      <c r="DD798" s="72">
        <v>0</v>
      </c>
      <c r="DE798" s="72">
        <v>0</v>
      </c>
      <c r="DF798" s="72">
        <v>0</v>
      </c>
      <c r="DG798" s="72">
        <v>0</v>
      </c>
      <c r="DH798" s="72">
        <v>0</v>
      </c>
      <c r="DI798" s="72">
        <v>0</v>
      </c>
      <c r="DJ798" s="72">
        <v>0</v>
      </c>
      <c r="DK798" s="72">
        <v>0</v>
      </c>
      <c r="DL798" s="72">
        <v>0</v>
      </c>
      <c r="DM798" s="72">
        <v>0</v>
      </c>
      <c r="DN798" s="72">
        <v>0</v>
      </c>
      <c r="DO798" s="72">
        <v>0</v>
      </c>
      <c r="DP798" s="72">
        <v>0</v>
      </c>
      <c r="DQ798" s="72">
        <v>0</v>
      </c>
      <c r="DR798" s="72">
        <v>0</v>
      </c>
      <c r="DS798" s="72">
        <v>0</v>
      </c>
      <c r="DT798" s="72">
        <v>0</v>
      </c>
      <c r="DU798" s="72">
        <v>0</v>
      </c>
      <c r="DV798" s="72">
        <v>0</v>
      </c>
      <c r="DW798" s="72">
        <v>0</v>
      </c>
      <c r="DX798" s="72">
        <v>0</v>
      </c>
      <c r="DY798" s="72">
        <v>0</v>
      </c>
      <c r="DZ798" s="72">
        <v>0</v>
      </c>
      <c r="EA798" s="72">
        <v>0</v>
      </c>
      <c r="EB798" s="72">
        <v>0</v>
      </c>
      <c r="EC798" s="72">
        <v>0</v>
      </c>
      <c r="ED798" s="72">
        <v>0</v>
      </c>
      <c r="EE798" s="72">
        <v>0</v>
      </c>
      <c r="EF798" s="72">
        <v>0</v>
      </c>
      <c r="EG798" s="72">
        <v>0</v>
      </c>
      <c r="EH798" s="72">
        <v>0</v>
      </c>
      <c r="EI798" s="72">
        <v>0</v>
      </c>
      <c r="EJ798" s="72">
        <v>0</v>
      </c>
      <c r="EK798" s="72">
        <v>0</v>
      </c>
      <c r="EL798" s="72">
        <v>0</v>
      </c>
    </row>
    <row r="799" spans="1:142" s="6" customFormat="1" x14ac:dyDescent="0.35">
      <c r="A799" s="59">
        <f>Данные!A799</f>
        <v>6370</v>
      </c>
      <c r="B799" s="59">
        <f>Данные!B799</f>
        <v>2019</v>
      </c>
      <c r="C799" s="59" t="str">
        <f>Данные!C799</f>
        <v>компьютерных технологий и электронного обучения</v>
      </c>
      <c r="D799" s="59" t="str">
        <f>Данные!D799</f>
        <v>Готская Ирина Борисовна</v>
      </c>
      <c r="E799" s="59" t="str">
        <f>Данные!E799</f>
        <v>доктор педагогических наук</v>
      </c>
      <c r="F799" s="59" t="str">
        <f>Данные!F799</f>
        <v>профессор</v>
      </c>
      <c r="G799" s="59">
        <f>Данные!G799</f>
        <v>0.75</v>
      </c>
      <c r="H799" s="59" t="str">
        <f>Данные!H799</f>
        <v>2 курс (м) 2018 год/пост</v>
      </c>
      <c r="I799" s="59" t="str">
        <f>Данные!I799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99" s="59">
        <f>Данные!J799</f>
        <v>0</v>
      </c>
      <c r="K799" s="59">
        <f>Данные!K799</f>
        <v>0</v>
      </c>
      <c r="L799" s="59">
        <f>Данные!L799</f>
        <v>0</v>
      </c>
      <c r="M799" s="60">
        <f t="shared" si="108"/>
        <v>0</v>
      </c>
      <c r="N799" s="60">
        <f t="shared" ca="1" si="109"/>
        <v>5.3000000000000007</v>
      </c>
      <c r="O799" s="60">
        <f t="shared" ca="1" si="110"/>
        <v>2.5</v>
      </c>
      <c r="P799" s="60">
        <f t="shared" ca="1" si="111"/>
        <v>2.5</v>
      </c>
      <c r="Q799" s="54">
        <f>Данные!Q799</f>
        <v>0</v>
      </c>
      <c r="R799" s="54">
        <f>Данные!R799</f>
        <v>0</v>
      </c>
      <c r="S799" s="54">
        <f>Данные!S799</f>
        <v>0</v>
      </c>
      <c r="T799" s="54">
        <f>Данные!T799</f>
        <v>0</v>
      </c>
      <c r="U799" s="54">
        <f>Данные!U799</f>
        <v>0</v>
      </c>
      <c r="V799" s="54">
        <f>Данные!V799</f>
        <v>44</v>
      </c>
      <c r="W799" s="54">
        <f ca="1">Данные!W799</f>
        <v>10</v>
      </c>
      <c r="X799" s="54" t="str">
        <f ca="1">Данные!X799</f>
        <v>1</v>
      </c>
      <c r="Y799" s="54" t="str">
        <f ca="1">Данные!Y799</f>
        <v>1</v>
      </c>
      <c r="Z799" s="54">
        <f>Данные!Z799</f>
        <v>0</v>
      </c>
      <c r="AA799" s="54" t="str">
        <f>Данные!AA799</f>
        <v>осн</v>
      </c>
      <c r="AB799" s="101">
        <f t="shared" si="112"/>
        <v>750</v>
      </c>
      <c r="AC799" s="101" t="str">
        <f t="shared" si="113"/>
        <v>КЭО (маг)</v>
      </c>
      <c r="AD799" s="101" t="str">
        <f t="shared" si="114"/>
        <v/>
      </c>
      <c r="AE799" s="102">
        <f t="shared" ca="1" si="115"/>
        <v>54.3</v>
      </c>
      <c r="AF799" s="103">
        <f t="shared" ca="1" si="116"/>
        <v>7.2399999999999992E-2</v>
      </c>
      <c r="AG799" s="101"/>
      <c r="AH799" s="101"/>
      <c r="AI799"/>
      <c r="BQ799" s="72">
        <v>0</v>
      </c>
      <c r="BR799" s="72">
        <v>0</v>
      </c>
      <c r="BS799" s="72">
        <v>0</v>
      </c>
      <c r="BT799" s="72">
        <v>0</v>
      </c>
      <c r="BU799" s="72">
        <v>0</v>
      </c>
      <c r="BV799" s="72">
        <v>0</v>
      </c>
      <c r="BW799" s="72">
        <v>0</v>
      </c>
      <c r="BX799" s="72">
        <v>0</v>
      </c>
      <c r="BY799" s="72">
        <v>0</v>
      </c>
      <c r="BZ799" s="72">
        <v>0</v>
      </c>
      <c r="CA799" s="72">
        <v>0</v>
      </c>
      <c r="CB799" s="72">
        <v>0</v>
      </c>
      <c r="CC799" s="72">
        <v>0</v>
      </c>
      <c r="CD799" s="72">
        <v>0</v>
      </c>
      <c r="CE799" s="72">
        <v>0</v>
      </c>
      <c r="CF799" s="72">
        <v>0</v>
      </c>
      <c r="CG799" s="72">
        <v>0</v>
      </c>
      <c r="CH799" s="72">
        <v>0</v>
      </c>
      <c r="CI799" s="72">
        <v>0</v>
      </c>
      <c r="CJ799" s="72">
        <v>0</v>
      </c>
      <c r="CK799" s="72">
        <v>0</v>
      </c>
      <c r="CL799" s="72">
        <v>0</v>
      </c>
      <c r="CM799" s="72">
        <v>0</v>
      </c>
      <c r="CN799" s="72">
        <v>0</v>
      </c>
      <c r="CO799" s="72">
        <v>0</v>
      </c>
      <c r="CP799" s="72">
        <v>0</v>
      </c>
      <c r="CQ799" s="72">
        <v>0</v>
      </c>
      <c r="CR799" s="72">
        <v>0</v>
      </c>
      <c r="CS799" s="72">
        <v>0</v>
      </c>
      <c r="CT799" s="72">
        <v>0</v>
      </c>
      <c r="CU799" s="72">
        <v>0</v>
      </c>
      <c r="CV799" s="72">
        <v>0</v>
      </c>
      <c r="CW799" s="72">
        <v>0</v>
      </c>
      <c r="CX799" s="72">
        <v>0</v>
      </c>
      <c r="CY799" s="72">
        <v>0</v>
      </c>
      <c r="CZ799" s="72">
        <v>0</v>
      </c>
      <c r="DA799" s="72">
        <v>0</v>
      </c>
      <c r="DB799" s="72">
        <v>0</v>
      </c>
      <c r="DC799" s="72">
        <v>0</v>
      </c>
      <c r="DD799" s="72">
        <v>0</v>
      </c>
      <c r="DE799" s="72">
        <v>0</v>
      </c>
      <c r="DF799" s="72">
        <v>0</v>
      </c>
      <c r="DG799" s="72">
        <v>0</v>
      </c>
      <c r="DH799" s="72">
        <v>0</v>
      </c>
      <c r="DI799" s="72">
        <v>0</v>
      </c>
      <c r="DJ799" s="72">
        <v>0</v>
      </c>
      <c r="DK799" s="72">
        <v>0</v>
      </c>
      <c r="DL799" s="72">
        <v>0</v>
      </c>
      <c r="DM799" s="72">
        <v>0</v>
      </c>
      <c r="DN799" s="72">
        <v>0</v>
      </c>
      <c r="DO799" s="72">
        <v>0</v>
      </c>
      <c r="DP799" s="72">
        <v>0</v>
      </c>
      <c r="DQ799" s="72">
        <v>0</v>
      </c>
      <c r="DR799" s="72">
        <v>0</v>
      </c>
      <c r="DS799" s="72">
        <v>0</v>
      </c>
      <c r="DT799" s="72">
        <v>0</v>
      </c>
      <c r="DU799" s="72">
        <v>0</v>
      </c>
      <c r="DV799" s="72">
        <v>0</v>
      </c>
      <c r="DW799" s="72">
        <v>0</v>
      </c>
      <c r="DX799" s="72">
        <v>0</v>
      </c>
      <c r="DY799" s="72">
        <v>0</v>
      </c>
      <c r="DZ799" s="72">
        <v>0</v>
      </c>
      <c r="EA799" s="72">
        <v>0</v>
      </c>
      <c r="EB799" s="72">
        <v>0</v>
      </c>
      <c r="EC799" s="72">
        <v>0</v>
      </c>
      <c r="ED799" s="72">
        <v>0</v>
      </c>
      <c r="EE799" s="72">
        <v>0</v>
      </c>
      <c r="EF799" s="72">
        <v>0</v>
      </c>
      <c r="EG799" s="72">
        <v>0</v>
      </c>
      <c r="EH799" s="72">
        <v>0</v>
      </c>
      <c r="EI799" s="72">
        <v>0</v>
      </c>
      <c r="EJ799" s="72">
        <v>0</v>
      </c>
      <c r="EK799" s="72">
        <v>0</v>
      </c>
      <c r="EL799" s="72">
        <v>0</v>
      </c>
    </row>
    <row r="800" spans="1:142" s="6" customFormat="1" x14ac:dyDescent="0.35">
      <c r="A800" s="59">
        <f>Данные!A800</f>
        <v>6370</v>
      </c>
      <c r="B800" s="59">
        <f>Данные!B800</f>
        <v>2019</v>
      </c>
      <c r="C800" s="59" t="str">
        <f>Данные!C800</f>
        <v>компьютерных технологий и электронного обучения</v>
      </c>
      <c r="D800" s="59" t="str">
        <f>Данные!D800</f>
        <v>Абрамян Геннадий Владимирович</v>
      </c>
      <c r="E800" s="59" t="str">
        <f>Данные!E800</f>
        <v>доктор педагогических наук</v>
      </c>
      <c r="F800" s="59" t="str">
        <f>Данные!F800</f>
        <v>профессор</v>
      </c>
      <c r="G800" s="59">
        <f>Данные!G800</f>
        <v>0.75</v>
      </c>
      <c r="H800" s="59" t="str">
        <f>Данные!H800</f>
        <v>2 курс (м) 2018 год/пост</v>
      </c>
      <c r="I800" s="59" t="str">
        <f>Данные!I800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800" s="59">
        <f>Данные!J800</f>
        <v>0</v>
      </c>
      <c r="K800" s="59">
        <f>Данные!K800</f>
        <v>0</v>
      </c>
      <c r="L800" s="59">
        <f>Данные!L800</f>
        <v>0</v>
      </c>
      <c r="M800" s="60">
        <f t="shared" si="108"/>
        <v>0</v>
      </c>
      <c r="N800" s="60">
        <f t="shared" ca="1" si="109"/>
        <v>5.3000000000000007</v>
      </c>
      <c r="O800" s="60">
        <f t="shared" ca="1" si="110"/>
        <v>2.5</v>
      </c>
      <c r="P800" s="60">
        <f t="shared" ca="1" si="111"/>
        <v>2.5</v>
      </c>
      <c r="Q800" s="54">
        <f>Данные!Q800</f>
        <v>0</v>
      </c>
      <c r="R800" s="54">
        <f>Данные!R800</f>
        <v>0</v>
      </c>
      <c r="S800" s="54">
        <f>Данные!S800</f>
        <v>0</v>
      </c>
      <c r="T800" s="54">
        <f>Данные!T800</f>
        <v>0</v>
      </c>
      <c r="U800" s="54">
        <f>Данные!U800</f>
        <v>4</v>
      </c>
      <c r="V800" s="54">
        <f>Данные!V800</f>
        <v>0</v>
      </c>
      <c r="W800" s="54">
        <f ca="1">Данные!W800</f>
        <v>10</v>
      </c>
      <c r="X800" s="54" t="str">
        <f ca="1">Данные!X800</f>
        <v>1</v>
      </c>
      <c r="Y800" s="54" t="str">
        <f ca="1">Данные!Y800</f>
        <v>1</v>
      </c>
      <c r="Z800" s="54">
        <f>Данные!Z800</f>
        <v>0</v>
      </c>
      <c r="AA800" s="54" t="str">
        <f>Данные!AA800</f>
        <v>осн</v>
      </c>
      <c r="AB800" s="101">
        <f t="shared" si="112"/>
        <v>750</v>
      </c>
      <c r="AC800" s="101" t="str">
        <f t="shared" si="113"/>
        <v>КЭО (маг)</v>
      </c>
      <c r="AD800" s="101" t="str">
        <f t="shared" si="114"/>
        <v/>
      </c>
      <c r="AE800" s="102">
        <f t="shared" ca="1" si="115"/>
        <v>14.3</v>
      </c>
      <c r="AF800" s="103">
        <f t="shared" ca="1" si="116"/>
        <v>1.9066666666666669E-2</v>
      </c>
      <c r="AG800" s="101"/>
      <c r="AH800" s="101"/>
      <c r="AI800"/>
      <c r="BQ800" s="72">
        <v>0</v>
      </c>
      <c r="BR800" s="72">
        <v>0</v>
      </c>
      <c r="BS800" s="72">
        <v>0</v>
      </c>
      <c r="BT800" s="72">
        <v>0</v>
      </c>
      <c r="BU800" s="72">
        <v>0</v>
      </c>
      <c r="BV800" s="72">
        <v>0</v>
      </c>
      <c r="BW800" s="72">
        <v>0</v>
      </c>
      <c r="BX800" s="72">
        <v>0</v>
      </c>
      <c r="BY800" s="72">
        <v>0</v>
      </c>
      <c r="BZ800" s="72">
        <v>0</v>
      </c>
      <c r="CA800" s="72">
        <v>0</v>
      </c>
      <c r="CB800" s="72">
        <v>0</v>
      </c>
      <c r="CC800" s="72">
        <v>0</v>
      </c>
      <c r="CD800" s="72">
        <v>0</v>
      </c>
      <c r="CE800" s="72">
        <v>0</v>
      </c>
      <c r="CF800" s="72">
        <v>0</v>
      </c>
      <c r="CG800" s="72">
        <v>0</v>
      </c>
      <c r="CH800" s="72">
        <v>0</v>
      </c>
      <c r="CI800" s="72">
        <v>0</v>
      </c>
      <c r="CJ800" s="72">
        <v>0</v>
      </c>
      <c r="CK800" s="72">
        <v>0</v>
      </c>
      <c r="CL800" s="72">
        <v>0</v>
      </c>
      <c r="CM800" s="72">
        <v>0</v>
      </c>
      <c r="CN800" s="72">
        <v>0</v>
      </c>
      <c r="CO800" s="72">
        <v>0</v>
      </c>
      <c r="CP800" s="72">
        <v>0</v>
      </c>
      <c r="CQ800" s="72">
        <v>0</v>
      </c>
      <c r="CR800" s="72">
        <v>0</v>
      </c>
      <c r="CS800" s="72">
        <v>0</v>
      </c>
      <c r="CT800" s="72">
        <v>0</v>
      </c>
      <c r="CU800" s="72">
        <v>0</v>
      </c>
      <c r="CV800" s="72">
        <v>0</v>
      </c>
      <c r="CW800" s="72">
        <v>0</v>
      </c>
      <c r="CX800" s="72">
        <v>0</v>
      </c>
      <c r="CY800" s="72">
        <v>0</v>
      </c>
      <c r="CZ800" s="72">
        <v>0</v>
      </c>
      <c r="DA800" s="72">
        <v>0</v>
      </c>
      <c r="DB800" s="72">
        <v>0</v>
      </c>
      <c r="DC800" s="72">
        <v>0</v>
      </c>
      <c r="DD800" s="72">
        <v>0</v>
      </c>
      <c r="DE800" s="72">
        <v>0</v>
      </c>
      <c r="DF800" s="72">
        <v>0</v>
      </c>
      <c r="DG800" s="72">
        <v>0</v>
      </c>
      <c r="DH800" s="72">
        <v>0</v>
      </c>
      <c r="DI800" s="72">
        <v>0</v>
      </c>
      <c r="DJ800" s="72">
        <v>0</v>
      </c>
      <c r="DK800" s="72">
        <v>0</v>
      </c>
      <c r="DL800" s="72">
        <v>0</v>
      </c>
      <c r="DM800" s="72">
        <v>0</v>
      </c>
      <c r="DN800" s="72">
        <v>0</v>
      </c>
      <c r="DO800" s="72">
        <v>0</v>
      </c>
      <c r="DP800" s="72">
        <v>0</v>
      </c>
      <c r="DQ800" s="72">
        <v>0</v>
      </c>
      <c r="DR800" s="72">
        <v>0</v>
      </c>
      <c r="DS800" s="72">
        <v>0</v>
      </c>
      <c r="DT800" s="72">
        <v>0</v>
      </c>
      <c r="DU800" s="72">
        <v>0</v>
      </c>
      <c r="DV800" s="72">
        <v>0</v>
      </c>
      <c r="DW800" s="72">
        <v>0</v>
      </c>
      <c r="DX800" s="72">
        <v>0</v>
      </c>
      <c r="DY800" s="72">
        <v>0</v>
      </c>
      <c r="DZ800" s="72">
        <v>0</v>
      </c>
      <c r="EA800" s="72">
        <v>0</v>
      </c>
      <c r="EB800" s="72">
        <v>0</v>
      </c>
      <c r="EC800" s="72">
        <v>0</v>
      </c>
      <c r="ED800" s="72">
        <v>0</v>
      </c>
      <c r="EE800" s="72">
        <v>0</v>
      </c>
      <c r="EF800" s="72">
        <v>0</v>
      </c>
      <c r="EG800" s="72">
        <v>0</v>
      </c>
      <c r="EH800" s="72">
        <v>0</v>
      </c>
      <c r="EI800" s="72">
        <v>0</v>
      </c>
      <c r="EJ800" s="72">
        <v>0</v>
      </c>
      <c r="EK800" s="72">
        <v>0</v>
      </c>
      <c r="EL800" s="72">
        <v>0</v>
      </c>
    </row>
    <row r="801" spans="1:142" s="6" customFormat="1" x14ac:dyDescent="0.35">
      <c r="A801" s="59">
        <f>Данные!A801</f>
        <v>6370</v>
      </c>
      <c r="B801" s="59">
        <f>Данные!B801</f>
        <v>2019</v>
      </c>
      <c r="C801" s="59" t="str">
        <f>Данные!C801</f>
        <v>компьютерных технологий и электронного обучения</v>
      </c>
      <c r="D801" s="59" t="str">
        <f>Данные!D801</f>
        <v>Абрамян Геннадий Владимирович</v>
      </c>
      <c r="E801" s="59" t="str">
        <f>Данные!E801</f>
        <v>доктор педагогических наук</v>
      </c>
      <c r="F801" s="59" t="str">
        <f>Данные!F801</f>
        <v>профессор</v>
      </c>
      <c r="G801" s="59">
        <f>Данные!G801</f>
        <v>0.75</v>
      </c>
      <c r="H801" s="59" t="str">
        <f>Данные!H801</f>
        <v>2 курс (м) 2018 год/пост</v>
      </c>
      <c r="I801" s="59" t="str">
        <f>Данные!I801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801" s="59">
        <f>Данные!J801</f>
        <v>0</v>
      </c>
      <c r="K801" s="59">
        <f>Данные!K801</f>
        <v>0</v>
      </c>
      <c r="L801" s="59">
        <f>Данные!L801</f>
        <v>0</v>
      </c>
      <c r="M801" s="60">
        <f t="shared" si="108"/>
        <v>0</v>
      </c>
      <c r="N801" s="60">
        <f t="shared" ca="1" si="109"/>
        <v>5.3000000000000007</v>
      </c>
      <c r="O801" s="60">
        <f t="shared" ca="1" si="110"/>
        <v>2.5</v>
      </c>
      <c r="P801" s="60">
        <f t="shared" ca="1" si="111"/>
        <v>2.5</v>
      </c>
      <c r="Q801" s="54">
        <f>Данные!Q801</f>
        <v>0</v>
      </c>
      <c r="R801" s="54">
        <f>Данные!R801</f>
        <v>0</v>
      </c>
      <c r="S801" s="54">
        <f>Данные!S801</f>
        <v>0</v>
      </c>
      <c r="T801" s="54">
        <f>Данные!T801</f>
        <v>0</v>
      </c>
      <c r="U801" s="54">
        <f>Данные!U801</f>
        <v>4</v>
      </c>
      <c r="V801" s="54">
        <f>Данные!V801</f>
        <v>0</v>
      </c>
      <c r="W801" s="54">
        <f ca="1">Данные!W801</f>
        <v>10</v>
      </c>
      <c r="X801" s="54" t="str">
        <f ca="1">Данные!X801</f>
        <v>1</v>
      </c>
      <c r="Y801" s="54" t="str">
        <f ca="1">Данные!Y801</f>
        <v>1</v>
      </c>
      <c r="Z801" s="54">
        <f>Данные!Z801</f>
        <v>0</v>
      </c>
      <c r="AA801" s="54" t="str">
        <f>Данные!AA801</f>
        <v>доп</v>
      </c>
      <c r="AB801" s="101">
        <f t="shared" si="112"/>
        <v>750</v>
      </c>
      <c r="AC801" s="101" t="str">
        <f t="shared" si="113"/>
        <v>КЭО (маг)</v>
      </c>
      <c r="AD801" s="101" t="str">
        <f t="shared" si="114"/>
        <v/>
      </c>
      <c r="AE801" s="102">
        <f t="shared" ca="1" si="115"/>
        <v>14.3</v>
      </c>
      <c r="AF801" s="103">
        <f t="shared" ca="1" si="116"/>
        <v>1.9066666666666669E-2</v>
      </c>
      <c r="AG801" s="101"/>
      <c r="AH801" s="101"/>
      <c r="AI801"/>
      <c r="BQ801" s="72">
        <v>0</v>
      </c>
      <c r="BR801" s="72">
        <v>0</v>
      </c>
      <c r="BS801" s="72">
        <v>0</v>
      </c>
      <c r="BT801" s="72">
        <v>0</v>
      </c>
      <c r="BU801" s="72">
        <v>0</v>
      </c>
      <c r="BV801" s="72">
        <v>0</v>
      </c>
      <c r="BW801" s="72">
        <v>0</v>
      </c>
      <c r="BX801" s="72">
        <v>0</v>
      </c>
      <c r="BY801" s="72">
        <v>0</v>
      </c>
      <c r="BZ801" s="72">
        <v>0</v>
      </c>
      <c r="CA801" s="72">
        <v>0</v>
      </c>
      <c r="CB801" s="72">
        <v>0</v>
      </c>
      <c r="CC801" s="72">
        <v>0</v>
      </c>
      <c r="CD801" s="72">
        <v>0</v>
      </c>
      <c r="CE801" s="72">
        <v>0</v>
      </c>
      <c r="CF801" s="72">
        <v>0</v>
      </c>
      <c r="CG801" s="72">
        <v>0</v>
      </c>
      <c r="CH801" s="72">
        <v>0</v>
      </c>
      <c r="CI801" s="72">
        <v>0</v>
      </c>
      <c r="CJ801" s="72">
        <v>0</v>
      </c>
      <c r="CK801" s="72">
        <v>0</v>
      </c>
      <c r="CL801" s="72">
        <v>0</v>
      </c>
      <c r="CM801" s="72">
        <v>0</v>
      </c>
      <c r="CN801" s="72">
        <v>0</v>
      </c>
      <c r="CO801" s="72">
        <v>0</v>
      </c>
      <c r="CP801" s="72">
        <v>0</v>
      </c>
      <c r="CQ801" s="72">
        <v>0</v>
      </c>
      <c r="CR801" s="72">
        <v>0</v>
      </c>
      <c r="CS801" s="72">
        <v>0</v>
      </c>
      <c r="CT801" s="72">
        <v>0</v>
      </c>
      <c r="CU801" s="72">
        <v>0</v>
      </c>
      <c r="CV801" s="72">
        <v>0</v>
      </c>
      <c r="CW801" s="72">
        <v>0</v>
      </c>
      <c r="CX801" s="72">
        <v>0</v>
      </c>
      <c r="CY801" s="72">
        <v>0</v>
      </c>
      <c r="CZ801" s="72">
        <v>0</v>
      </c>
      <c r="DA801" s="72">
        <v>0</v>
      </c>
      <c r="DB801" s="72">
        <v>0</v>
      </c>
      <c r="DC801" s="72">
        <v>0</v>
      </c>
      <c r="DD801" s="72">
        <v>0</v>
      </c>
      <c r="DE801" s="72">
        <v>0</v>
      </c>
      <c r="DF801" s="72">
        <v>0</v>
      </c>
      <c r="DG801" s="72">
        <v>0</v>
      </c>
      <c r="DH801" s="72">
        <v>0</v>
      </c>
      <c r="DI801" s="72">
        <v>0</v>
      </c>
      <c r="DJ801" s="72">
        <v>0</v>
      </c>
      <c r="DK801" s="72">
        <v>0</v>
      </c>
      <c r="DL801" s="72">
        <v>0</v>
      </c>
      <c r="DM801" s="72">
        <v>0</v>
      </c>
      <c r="DN801" s="72">
        <v>0</v>
      </c>
      <c r="DO801" s="72">
        <v>0</v>
      </c>
      <c r="DP801" s="72">
        <v>0</v>
      </c>
      <c r="DQ801" s="72">
        <v>0</v>
      </c>
      <c r="DR801" s="72">
        <v>0</v>
      </c>
      <c r="DS801" s="72">
        <v>0</v>
      </c>
      <c r="DT801" s="72">
        <v>0</v>
      </c>
      <c r="DU801" s="72">
        <v>0</v>
      </c>
      <c r="DV801" s="72">
        <v>0</v>
      </c>
      <c r="DW801" s="72">
        <v>0</v>
      </c>
      <c r="DX801" s="72">
        <v>0</v>
      </c>
      <c r="DY801" s="72">
        <v>0</v>
      </c>
      <c r="DZ801" s="72">
        <v>0</v>
      </c>
      <c r="EA801" s="72">
        <v>0</v>
      </c>
      <c r="EB801" s="72">
        <v>0</v>
      </c>
      <c r="EC801" s="72">
        <v>0</v>
      </c>
      <c r="ED801" s="72">
        <v>0</v>
      </c>
      <c r="EE801" s="72">
        <v>0</v>
      </c>
      <c r="EF801" s="72">
        <v>0</v>
      </c>
      <c r="EG801" s="72">
        <v>0</v>
      </c>
      <c r="EH801" s="72">
        <v>0</v>
      </c>
      <c r="EI801" s="72">
        <v>0</v>
      </c>
      <c r="EJ801" s="72">
        <v>0</v>
      </c>
      <c r="EK801" s="72">
        <v>0</v>
      </c>
      <c r="EL801" s="72">
        <v>0</v>
      </c>
    </row>
    <row r="802" spans="1:142" s="6" customFormat="1" x14ac:dyDescent="0.35">
      <c r="A802" s="59">
        <f>Данные!A802</f>
        <v>6370</v>
      </c>
      <c r="B802" s="59">
        <f>Данные!B802</f>
        <v>2019</v>
      </c>
      <c r="C802" s="59" t="str">
        <f>Данные!C802</f>
        <v>компьютерных технологий и электронного обучения</v>
      </c>
      <c r="D802" s="59" t="str">
        <f>Данные!D802</f>
        <v>Абрамян Геннадий Владимирович</v>
      </c>
      <c r="E802" s="59" t="str">
        <f>Данные!E802</f>
        <v>доктор педагогических наук</v>
      </c>
      <c r="F802" s="59" t="str">
        <f>Данные!F802</f>
        <v>профессор</v>
      </c>
      <c r="G802" s="59">
        <f>Данные!G802</f>
        <v>0.75</v>
      </c>
      <c r="H802" s="59" t="str">
        <f>Данные!H802</f>
        <v>2 курс (м) 2018 год/пост</v>
      </c>
      <c r="I802" s="59" t="str">
        <f>Данные!I802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802" s="59">
        <f>Данные!J802</f>
        <v>0</v>
      </c>
      <c r="K802" s="59">
        <f>Данные!K802</f>
        <v>0</v>
      </c>
      <c r="L802" s="59">
        <f>Данные!L802</f>
        <v>0</v>
      </c>
      <c r="M802" s="60">
        <f t="shared" si="108"/>
        <v>0</v>
      </c>
      <c r="N802" s="60">
        <f t="shared" ca="1" si="109"/>
        <v>5.3000000000000007</v>
      </c>
      <c r="O802" s="60">
        <f t="shared" ca="1" si="110"/>
        <v>2.5</v>
      </c>
      <c r="P802" s="60">
        <f t="shared" ca="1" si="111"/>
        <v>2.5</v>
      </c>
      <c r="Q802" s="54">
        <f>Данные!Q802</f>
        <v>0</v>
      </c>
      <c r="R802" s="54">
        <f>Данные!R802</f>
        <v>0</v>
      </c>
      <c r="S802" s="54">
        <f>Данные!S802</f>
        <v>0</v>
      </c>
      <c r="T802" s="54">
        <f>Данные!T802</f>
        <v>0</v>
      </c>
      <c r="U802" s="54">
        <f>Данные!U802</f>
        <v>2</v>
      </c>
      <c r="V802" s="54">
        <f>Данные!V802</f>
        <v>0</v>
      </c>
      <c r="W802" s="54">
        <f ca="1">Данные!W802</f>
        <v>10</v>
      </c>
      <c r="X802" s="54" t="str">
        <f ca="1">Данные!X802</f>
        <v>1</v>
      </c>
      <c r="Y802" s="54" t="str">
        <f ca="1">Данные!Y802</f>
        <v>1</v>
      </c>
      <c r="Z802" s="54">
        <f>Данные!Z802</f>
        <v>0</v>
      </c>
      <c r="AA802" s="54" t="str">
        <f>Данные!AA802</f>
        <v>доп</v>
      </c>
      <c r="AB802" s="101">
        <f t="shared" si="112"/>
        <v>750</v>
      </c>
      <c r="AC802" s="101" t="str">
        <f t="shared" si="113"/>
        <v>КЭО (маг)</v>
      </c>
      <c r="AD802" s="101" t="str">
        <f t="shared" si="114"/>
        <v/>
      </c>
      <c r="AE802" s="102">
        <f t="shared" ca="1" si="115"/>
        <v>12.3</v>
      </c>
      <c r="AF802" s="103">
        <f t="shared" ca="1" si="116"/>
        <v>1.6400000000000001E-2</v>
      </c>
      <c r="AG802" s="101"/>
      <c r="AH802" s="101"/>
      <c r="AI802"/>
      <c r="BQ802" s="72">
        <v>0</v>
      </c>
      <c r="BR802" s="72">
        <v>0</v>
      </c>
      <c r="BS802" s="72">
        <v>0</v>
      </c>
      <c r="BT802" s="72">
        <v>0</v>
      </c>
      <c r="BU802" s="72">
        <v>0</v>
      </c>
      <c r="BV802" s="72">
        <v>0</v>
      </c>
      <c r="BW802" s="72">
        <v>0</v>
      </c>
      <c r="BX802" s="72">
        <v>0</v>
      </c>
      <c r="BY802" s="72">
        <v>0</v>
      </c>
      <c r="BZ802" s="72">
        <v>0</v>
      </c>
      <c r="CA802" s="72">
        <v>0</v>
      </c>
      <c r="CB802" s="72">
        <v>0</v>
      </c>
      <c r="CC802" s="72">
        <v>0</v>
      </c>
      <c r="CD802" s="72">
        <v>0</v>
      </c>
      <c r="CE802" s="72">
        <v>0</v>
      </c>
      <c r="CF802" s="72">
        <v>0</v>
      </c>
      <c r="CG802" s="72">
        <v>0</v>
      </c>
      <c r="CH802" s="72">
        <v>0</v>
      </c>
      <c r="CI802" s="72">
        <v>0</v>
      </c>
      <c r="CJ802" s="72">
        <v>0</v>
      </c>
      <c r="CK802" s="72">
        <v>0</v>
      </c>
      <c r="CL802" s="72">
        <v>0</v>
      </c>
      <c r="CM802" s="72">
        <v>0</v>
      </c>
      <c r="CN802" s="72">
        <v>0</v>
      </c>
      <c r="CO802" s="72">
        <v>0</v>
      </c>
      <c r="CP802" s="72">
        <v>0</v>
      </c>
      <c r="CQ802" s="72">
        <v>0</v>
      </c>
      <c r="CR802" s="72">
        <v>0</v>
      </c>
      <c r="CS802" s="72">
        <v>0</v>
      </c>
      <c r="CT802" s="72">
        <v>0</v>
      </c>
      <c r="CU802" s="72">
        <v>0</v>
      </c>
      <c r="CV802" s="72">
        <v>0</v>
      </c>
      <c r="CW802" s="72">
        <v>0</v>
      </c>
      <c r="CX802" s="72">
        <v>0</v>
      </c>
      <c r="CY802" s="72">
        <v>0</v>
      </c>
      <c r="CZ802" s="72">
        <v>0</v>
      </c>
      <c r="DA802" s="72">
        <v>0</v>
      </c>
      <c r="DB802" s="72">
        <v>0</v>
      </c>
      <c r="DC802" s="72">
        <v>0</v>
      </c>
      <c r="DD802" s="72">
        <v>0</v>
      </c>
      <c r="DE802" s="72">
        <v>0</v>
      </c>
      <c r="DF802" s="72">
        <v>0</v>
      </c>
      <c r="DG802" s="72">
        <v>0</v>
      </c>
      <c r="DH802" s="72">
        <v>0</v>
      </c>
      <c r="DI802" s="72">
        <v>0</v>
      </c>
      <c r="DJ802" s="72">
        <v>0</v>
      </c>
      <c r="DK802" s="72">
        <v>0</v>
      </c>
      <c r="DL802" s="72">
        <v>0</v>
      </c>
      <c r="DM802" s="72">
        <v>0</v>
      </c>
      <c r="DN802" s="72">
        <v>0</v>
      </c>
      <c r="DO802" s="72">
        <v>0</v>
      </c>
      <c r="DP802" s="72">
        <v>0</v>
      </c>
      <c r="DQ802" s="72">
        <v>0</v>
      </c>
      <c r="DR802" s="72">
        <v>0</v>
      </c>
      <c r="DS802" s="72">
        <v>0</v>
      </c>
      <c r="DT802" s="72">
        <v>0</v>
      </c>
      <c r="DU802" s="72">
        <v>0</v>
      </c>
      <c r="DV802" s="72">
        <v>0</v>
      </c>
      <c r="DW802" s="72">
        <v>0</v>
      </c>
      <c r="DX802" s="72">
        <v>0</v>
      </c>
      <c r="DY802" s="72">
        <v>0</v>
      </c>
      <c r="DZ802" s="72">
        <v>0</v>
      </c>
      <c r="EA802" s="72">
        <v>0</v>
      </c>
      <c r="EB802" s="72">
        <v>0</v>
      </c>
      <c r="EC802" s="72">
        <v>0</v>
      </c>
      <c r="ED802" s="72">
        <v>0</v>
      </c>
      <c r="EE802" s="72">
        <v>0</v>
      </c>
      <c r="EF802" s="72">
        <v>0</v>
      </c>
      <c r="EG802" s="72">
        <v>0</v>
      </c>
      <c r="EH802" s="72">
        <v>0</v>
      </c>
      <c r="EI802" s="72">
        <v>0</v>
      </c>
      <c r="EJ802" s="72">
        <v>0</v>
      </c>
      <c r="EK802" s="72">
        <v>0</v>
      </c>
      <c r="EL802" s="72">
        <v>0</v>
      </c>
    </row>
    <row r="803" spans="1:142" s="6" customFormat="1" x14ac:dyDescent="0.35">
      <c r="A803" s="59">
        <f>Данные!A803</f>
        <v>6370</v>
      </c>
      <c r="B803" s="59">
        <f>Данные!B803</f>
        <v>2019</v>
      </c>
      <c r="C803" s="59" t="str">
        <f>Данные!C803</f>
        <v>компьютерных технологий и электронного обучения</v>
      </c>
      <c r="D803" s="59" t="str">
        <f>Данные!D803</f>
        <v>Жуков Николай Николаевич</v>
      </c>
      <c r="E803" s="59" t="str">
        <f>Данные!E803</f>
        <v>нет</v>
      </c>
      <c r="F803" s="59" t="str">
        <f>Данные!F803</f>
        <v>ассистент</v>
      </c>
      <c r="G803" s="59">
        <f>Данные!G803</f>
        <v>1</v>
      </c>
      <c r="H803" s="59" t="str">
        <f>Данные!H803</f>
        <v>2 курс (м) 2018 год/пост</v>
      </c>
      <c r="I803" s="59" t="str">
        <f>Данные!I803</f>
        <v>Модуль "SMART-обучение". Дисциплины и курсы по выбору. Методология и технологии SMART-обучения</v>
      </c>
      <c r="J803" s="59">
        <f>Данные!J803</f>
        <v>0</v>
      </c>
      <c r="K803" s="59">
        <f>Данные!K803</f>
        <v>20</v>
      </c>
      <c r="L803" s="59">
        <f>Данные!L803</f>
        <v>0</v>
      </c>
      <c r="M803" s="60">
        <f t="shared" si="108"/>
        <v>2</v>
      </c>
      <c r="N803" s="60">
        <f t="shared" ca="1" si="109"/>
        <v>5.3000000000000007</v>
      </c>
      <c r="O803" s="60">
        <f t="shared" ca="1" si="110"/>
        <v>2.5</v>
      </c>
      <c r="P803" s="60">
        <f t="shared" ca="1" si="111"/>
        <v>2.5</v>
      </c>
      <c r="Q803" s="54">
        <f>Данные!Q803</f>
        <v>0</v>
      </c>
      <c r="R803" s="54">
        <f>Данные!R803</f>
        <v>0</v>
      </c>
      <c r="S803" s="54">
        <f>Данные!S803</f>
        <v>0</v>
      </c>
      <c r="T803" s="54">
        <f>Данные!T803</f>
        <v>0</v>
      </c>
      <c r="U803" s="54">
        <f>Данные!U803</f>
        <v>0</v>
      </c>
      <c r="V803" s="54">
        <f>Данные!V803</f>
        <v>0</v>
      </c>
      <c r="W803" s="54">
        <f ca="1">Данные!W803</f>
        <v>10</v>
      </c>
      <c r="X803" s="54" t="str">
        <f ca="1">Данные!X803</f>
        <v>1</v>
      </c>
      <c r="Y803" s="54" t="str">
        <f ca="1">Данные!Y803</f>
        <v>1</v>
      </c>
      <c r="Z803" s="54">
        <f>Данные!Z803</f>
        <v>0</v>
      </c>
      <c r="AA803" s="54" t="str">
        <f>Данные!AA803</f>
        <v>доп</v>
      </c>
      <c r="AB803" s="101">
        <f t="shared" si="112"/>
        <v>900</v>
      </c>
      <c r="AC803" s="101" t="str">
        <f t="shared" si="113"/>
        <v>КЭО (маг)</v>
      </c>
      <c r="AD803" s="101" t="str">
        <f t="shared" si="114"/>
        <v/>
      </c>
      <c r="AE803" s="102">
        <f t="shared" ca="1" si="115"/>
        <v>32.299999999999997</v>
      </c>
      <c r="AF803" s="103">
        <f t="shared" ca="1" si="116"/>
        <v>3.5888888888888887E-2</v>
      </c>
      <c r="AG803" s="101"/>
      <c r="AH803" s="101"/>
      <c r="AI803"/>
      <c r="BQ803" s="72">
        <v>0</v>
      </c>
      <c r="BR803" s="72">
        <v>0</v>
      </c>
      <c r="BS803" s="72">
        <v>0</v>
      </c>
      <c r="BT803" s="72">
        <v>0</v>
      </c>
      <c r="BU803" s="72">
        <v>0</v>
      </c>
      <c r="BV803" s="72">
        <v>0</v>
      </c>
      <c r="BW803" s="72">
        <v>0</v>
      </c>
      <c r="BX803" s="72">
        <v>0</v>
      </c>
      <c r="BY803" s="72">
        <v>0</v>
      </c>
      <c r="BZ803" s="72">
        <v>0</v>
      </c>
      <c r="CA803" s="72">
        <v>0</v>
      </c>
      <c r="CB803" s="72">
        <v>0</v>
      </c>
      <c r="CC803" s="72">
        <v>0</v>
      </c>
      <c r="CD803" s="72">
        <v>0</v>
      </c>
      <c r="CE803" s="72">
        <v>0</v>
      </c>
      <c r="CF803" s="72">
        <v>0</v>
      </c>
      <c r="CG803" s="72">
        <v>0</v>
      </c>
      <c r="CH803" s="72">
        <v>0</v>
      </c>
      <c r="CI803" s="72">
        <v>0</v>
      </c>
      <c r="CJ803" s="72">
        <v>0</v>
      </c>
      <c r="CK803" s="72">
        <v>0</v>
      </c>
      <c r="CL803" s="72">
        <v>0</v>
      </c>
      <c r="CM803" s="72">
        <v>0</v>
      </c>
      <c r="CN803" s="72">
        <v>0</v>
      </c>
      <c r="CO803" s="72">
        <v>0</v>
      </c>
      <c r="CP803" s="72">
        <v>0</v>
      </c>
      <c r="CQ803" s="72">
        <v>0</v>
      </c>
      <c r="CR803" s="72">
        <v>0</v>
      </c>
      <c r="CS803" s="72">
        <v>0</v>
      </c>
      <c r="CT803" s="72">
        <v>0</v>
      </c>
      <c r="CU803" s="72">
        <v>0</v>
      </c>
      <c r="CV803" s="72">
        <v>0</v>
      </c>
      <c r="CW803" s="72">
        <v>0</v>
      </c>
      <c r="CX803" s="72">
        <v>0</v>
      </c>
      <c r="CY803" s="72">
        <v>0</v>
      </c>
      <c r="CZ803" s="72">
        <v>0</v>
      </c>
      <c r="DA803" s="72">
        <v>0</v>
      </c>
      <c r="DB803" s="72">
        <v>0</v>
      </c>
      <c r="DC803" s="72">
        <v>0</v>
      </c>
      <c r="DD803" s="72">
        <v>0</v>
      </c>
      <c r="DE803" s="72">
        <v>0</v>
      </c>
      <c r="DF803" s="72">
        <v>0</v>
      </c>
      <c r="DG803" s="72">
        <v>0</v>
      </c>
      <c r="DH803" s="72">
        <v>0</v>
      </c>
      <c r="DI803" s="72">
        <v>0</v>
      </c>
      <c r="DJ803" s="72">
        <v>0</v>
      </c>
      <c r="DK803" s="72">
        <v>0</v>
      </c>
      <c r="DL803" s="72">
        <v>0</v>
      </c>
      <c r="DM803" s="72">
        <v>0</v>
      </c>
      <c r="DN803" s="72">
        <v>0</v>
      </c>
      <c r="DO803" s="72">
        <v>0</v>
      </c>
      <c r="DP803" s="72">
        <v>0</v>
      </c>
      <c r="DQ803" s="72">
        <v>0</v>
      </c>
      <c r="DR803" s="72">
        <v>0</v>
      </c>
      <c r="DS803" s="72">
        <v>0</v>
      </c>
      <c r="DT803" s="72">
        <v>0</v>
      </c>
      <c r="DU803" s="72">
        <v>0</v>
      </c>
      <c r="DV803" s="72">
        <v>0</v>
      </c>
      <c r="DW803" s="72">
        <v>0</v>
      </c>
      <c r="DX803" s="72">
        <v>0</v>
      </c>
      <c r="DY803" s="72">
        <v>0</v>
      </c>
      <c r="DZ803" s="72">
        <v>0</v>
      </c>
      <c r="EA803" s="72">
        <v>0</v>
      </c>
      <c r="EB803" s="72">
        <v>0</v>
      </c>
      <c r="EC803" s="72">
        <v>0</v>
      </c>
      <c r="ED803" s="72">
        <v>0</v>
      </c>
      <c r="EE803" s="72">
        <v>0</v>
      </c>
      <c r="EF803" s="72">
        <v>0</v>
      </c>
      <c r="EG803" s="72">
        <v>0</v>
      </c>
      <c r="EH803" s="72">
        <v>0</v>
      </c>
      <c r="EI803" s="72">
        <v>0</v>
      </c>
      <c r="EJ803" s="72">
        <v>0</v>
      </c>
      <c r="EK803" s="72">
        <v>0</v>
      </c>
      <c r="EL803" s="72">
        <v>0</v>
      </c>
    </row>
    <row r="804" spans="1:142" s="6" customFormat="1" x14ac:dyDescent="0.35">
      <c r="A804" s="59">
        <f>Данные!A804</f>
        <v>6370</v>
      </c>
      <c r="B804" s="59">
        <f>Данные!B804</f>
        <v>2019</v>
      </c>
      <c r="C804" s="59" t="str">
        <f>Данные!C804</f>
        <v>компьютерных технологий и электронного обучения</v>
      </c>
      <c r="D804" s="59" t="str">
        <f>Данные!D804</f>
        <v>Жуков Николай Николаевич</v>
      </c>
      <c r="E804" s="59" t="str">
        <f>Данные!E804</f>
        <v>нет</v>
      </c>
      <c r="F804" s="59" t="str">
        <f>Данные!F804</f>
        <v>ассистент</v>
      </c>
      <c r="G804" s="59">
        <f>Данные!G804</f>
        <v>1</v>
      </c>
      <c r="H804" s="59" t="str">
        <f>Данные!H804</f>
        <v>2 курс (м) 2018 год/пост</v>
      </c>
      <c r="I804" s="59" t="str">
        <f>Данные!I804</f>
        <v>Модуль "Интеллектуальные информационные технологии в образовании". E-learning решения управления знаниями</v>
      </c>
      <c r="J804" s="59">
        <f>Данные!J804</f>
        <v>0</v>
      </c>
      <c r="K804" s="59">
        <f>Данные!K804</f>
        <v>9</v>
      </c>
      <c r="L804" s="59">
        <f>Данные!L804</f>
        <v>0</v>
      </c>
      <c r="M804" s="60">
        <f t="shared" si="108"/>
        <v>0.9</v>
      </c>
      <c r="N804" s="60">
        <f t="shared" ca="1" si="109"/>
        <v>5.3000000000000007</v>
      </c>
      <c r="O804" s="60">
        <f t="shared" ca="1" si="110"/>
        <v>2.5</v>
      </c>
      <c r="P804" s="60">
        <f t="shared" ca="1" si="111"/>
        <v>2.5</v>
      </c>
      <c r="Q804" s="54">
        <f>Данные!Q804</f>
        <v>0</v>
      </c>
      <c r="R804" s="54">
        <f>Данные!R804</f>
        <v>0</v>
      </c>
      <c r="S804" s="54">
        <f>Данные!S804</f>
        <v>0</v>
      </c>
      <c r="T804" s="54">
        <f>Данные!T804</f>
        <v>0</v>
      </c>
      <c r="U804" s="54">
        <f>Данные!U804</f>
        <v>0</v>
      </c>
      <c r="V804" s="54">
        <f>Данные!V804</f>
        <v>0</v>
      </c>
      <c r="W804" s="54">
        <f ca="1">Данные!W804</f>
        <v>10</v>
      </c>
      <c r="X804" s="54" t="str">
        <f ca="1">Данные!X804</f>
        <v>1</v>
      </c>
      <c r="Y804" s="54" t="str">
        <f ca="1">Данные!Y804</f>
        <v>1</v>
      </c>
      <c r="Z804" s="54">
        <f>Данные!Z804</f>
        <v>0</v>
      </c>
      <c r="AA804" s="54" t="str">
        <f>Данные!AA804</f>
        <v>осн</v>
      </c>
      <c r="AB804" s="101">
        <f t="shared" si="112"/>
        <v>900</v>
      </c>
      <c r="AC804" s="101" t="str">
        <f t="shared" si="113"/>
        <v>КЭО (маг)</v>
      </c>
      <c r="AD804" s="101" t="str">
        <f t="shared" si="114"/>
        <v/>
      </c>
      <c r="AE804" s="102">
        <f t="shared" ca="1" si="115"/>
        <v>20.200000000000003</v>
      </c>
      <c r="AF804" s="103">
        <f t="shared" ca="1" si="116"/>
        <v>2.2444444444444447E-2</v>
      </c>
      <c r="AG804" s="101"/>
      <c r="AH804" s="101"/>
      <c r="AI804"/>
      <c r="BQ804" s="72">
        <v>0</v>
      </c>
      <c r="BR804" s="72">
        <v>0</v>
      </c>
      <c r="BS804" s="72">
        <v>0</v>
      </c>
      <c r="BT804" s="72">
        <v>0</v>
      </c>
      <c r="BU804" s="72">
        <v>0</v>
      </c>
      <c r="BV804" s="72">
        <v>0</v>
      </c>
      <c r="BW804" s="72">
        <v>0</v>
      </c>
      <c r="BX804" s="72">
        <v>0</v>
      </c>
      <c r="BY804" s="72">
        <v>0</v>
      </c>
      <c r="BZ804" s="72">
        <v>0</v>
      </c>
      <c r="CA804" s="72">
        <v>0</v>
      </c>
      <c r="CB804" s="72">
        <v>0</v>
      </c>
      <c r="CC804" s="72">
        <v>0</v>
      </c>
      <c r="CD804" s="72">
        <v>0</v>
      </c>
      <c r="CE804" s="72">
        <v>0</v>
      </c>
      <c r="CF804" s="72">
        <v>0</v>
      </c>
      <c r="CG804" s="72">
        <v>0</v>
      </c>
      <c r="CH804" s="72">
        <v>0</v>
      </c>
      <c r="CI804" s="72">
        <v>0</v>
      </c>
      <c r="CJ804" s="72">
        <v>0</v>
      </c>
      <c r="CK804" s="72">
        <v>0</v>
      </c>
      <c r="CL804" s="72">
        <v>0</v>
      </c>
      <c r="CM804" s="72">
        <v>0</v>
      </c>
      <c r="CN804" s="72">
        <v>0</v>
      </c>
      <c r="CO804" s="72">
        <v>0</v>
      </c>
      <c r="CP804" s="72">
        <v>0</v>
      </c>
      <c r="CQ804" s="72">
        <v>0</v>
      </c>
      <c r="CR804" s="72">
        <v>0</v>
      </c>
      <c r="CS804" s="72">
        <v>0</v>
      </c>
      <c r="CT804" s="72">
        <v>0</v>
      </c>
      <c r="CU804" s="72">
        <v>0</v>
      </c>
      <c r="CV804" s="72">
        <v>0</v>
      </c>
      <c r="CW804" s="72">
        <v>0</v>
      </c>
      <c r="CX804" s="72">
        <v>0</v>
      </c>
      <c r="CY804" s="72">
        <v>0</v>
      </c>
      <c r="CZ804" s="72">
        <v>0</v>
      </c>
      <c r="DA804" s="72">
        <v>0</v>
      </c>
      <c r="DB804" s="72">
        <v>0</v>
      </c>
      <c r="DC804" s="72">
        <v>0</v>
      </c>
      <c r="DD804" s="72">
        <v>0</v>
      </c>
      <c r="DE804" s="72">
        <v>0</v>
      </c>
      <c r="DF804" s="72">
        <v>0</v>
      </c>
      <c r="DG804" s="72">
        <v>0</v>
      </c>
      <c r="DH804" s="72">
        <v>0</v>
      </c>
      <c r="DI804" s="72">
        <v>0</v>
      </c>
      <c r="DJ804" s="72">
        <v>0</v>
      </c>
      <c r="DK804" s="72">
        <v>0</v>
      </c>
      <c r="DL804" s="72">
        <v>0</v>
      </c>
      <c r="DM804" s="72">
        <v>0</v>
      </c>
      <c r="DN804" s="72">
        <v>0</v>
      </c>
      <c r="DO804" s="72">
        <v>0</v>
      </c>
      <c r="DP804" s="72">
        <v>0</v>
      </c>
      <c r="DQ804" s="72">
        <v>0</v>
      </c>
      <c r="DR804" s="72">
        <v>0</v>
      </c>
      <c r="DS804" s="72">
        <v>0</v>
      </c>
      <c r="DT804" s="72">
        <v>0</v>
      </c>
      <c r="DU804" s="72">
        <v>0</v>
      </c>
      <c r="DV804" s="72">
        <v>0</v>
      </c>
      <c r="DW804" s="72">
        <v>0</v>
      </c>
      <c r="DX804" s="72">
        <v>0</v>
      </c>
      <c r="DY804" s="72">
        <v>0</v>
      </c>
      <c r="DZ804" s="72">
        <v>0</v>
      </c>
      <c r="EA804" s="72">
        <v>0</v>
      </c>
      <c r="EB804" s="72">
        <v>0</v>
      </c>
      <c r="EC804" s="72">
        <v>0</v>
      </c>
      <c r="ED804" s="72">
        <v>0</v>
      </c>
      <c r="EE804" s="72">
        <v>0</v>
      </c>
      <c r="EF804" s="72">
        <v>0</v>
      </c>
      <c r="EG804" s="72">
        <v>0</v>
      </c>
      <c r="EH804" s="72">
        <v>0</v>
      </c>
      <c r="EI804" s="72">
        <v>0</v>
      </c>
      <c r="EJ804" s="72">
        <v>0</v>
      </c>
      <c r="EK804" s="72">
        <v>0</v>
      </c>
      <c r="EL804" s="72">
        <v>0</v>
      </c>
    </row>
    <row r="805" spans="1:142" s="6" customFormat="1" x14ac:dyDescent="0.35">
      <c r="A805" s="59">
        <f>Данные!A805</f>
        <v>6370</v>
      </c>
      <c r="B805" s="59">
        <f>Данные!B805</f>
        <v>2019</v>
      </c>
      <c r="C805" s="59" t="str">
        <f>Данные!C805</f>
        <v>компьютерных технологий и электронного обучения</v>
      </c>
      <c r="D805" s="59" t="str">
        <f>Данные!D805</f>
        <v>Жуков Николай Николаевич</v>
      </c>
      <c r="E805" s="59" t="str">
        <f>Данные!E805</f>
        <v>нет</v>
      </c>
      <c r="F805" s="59" t="str">
        <f>Данные!F805</f>
        <v>ассистент</v>
      </c>
      <c r="G805" s="59">
        <f>Данные!G805</f>
        <v>1</v>
      </c>
      <c r="H805" s="59" t="str">
        <f>Данные!H805</f>
        <v>2 курс (м) 2018 год/пост</v>
      </c>
      <c r="I805" s="59" t="str">
        <f>Данные!I805</f>
        <v>Модуль "Интеллектуальные информационные технологии в образовании". Дистанционные образовательные технологии</v>
      </c>
      <c r="J805" s="59">
        <f>Данные!J805</f>
        <v>0</v>
      </c>
      <c r="K805" s="59">
        <f>Данные!K805</f>
        <v>14</v>
      </c>
      <c r="L805" s="59">
        <f>Данные!L805</f>
        <v>0</v>
      </c>
      <c r="M805" s="60">
        <f t="shared" si="108"/>
        <v>1.4</v>
      </c>
      <c r="N805" s="60">
        <f t="shared" ca="1" si="109"/>
        <v>5.3000000000000007</v>
      </c>
      <c r="O805" s="60">
        <f t="shared" ca="1" si="110"/>
        <v>2.5</v>
      </c>
      <c r="P805" s="60">
        <f t="shared" ca="1" si="111"/>
        <v>2.5</v>
      </c>
      <c r="Q805" s="54">
        <f>Данные!Q805</f>
        <v>0</v>
      </c>
      <c r="R805" s="54">
        <f>Данные!R805</f>
        <v>0</v>
      </c>
      <c r="S805" s="54">
        <f>Данные!S805</f>
        <v>0</v>
      </c>
      <c r="T805" s="54">
        <f>Данные!T805</f>
        <v>0</v>
      </c>
      <c r="U805" s="54">
        <f>Данные!U805</f>
        <v>0</v>
      </c>
      <c r="V805" s="54">
        <f>Данные!V805</f>
        <v>0</v>
      </c>
      <c r="W805" s="54">
        <f ca="1">Данные!W805</f>
        <v>10</v>
      </c>
      <c r="X805" s="54" t="str">
        <f ca="1">Данные!X805</f>
        <v>1</v>
      </c>
      <c r="Y805" s="54" t="str">
        <f ca="1">Данные!Y805</f>
        <v>1</v>
      </c>
      <c r="Z805" s="54">
        <f>Данные!Z805</f>
        <v>0</v>
      </c>
      <c r="AA805" s="54" t="str">
        <f>Данные!AA805</f>
        <v>осн</v>
      </c>
      <c r="AB805" s="101">
        <f t="shared" si="112"/>
        <v>900</v>
      </c>
      <c r="AC805" s="101" t="str">
        <f t="shared" si="113"/>
        <v>КЭО (маг)</v>
      </c>
      <c r="AD805" s="101" t="str">
        <f t="shared" si="114"/>
        <v/>
      </c>
      <c r="AE805" s="102">
        <f t="shared" ca="1" si="115"/>
        <v>25.700000000000003</v>
      </c>
      <c r="AF805" s="103">
        <f t="shared" ca="1" si="116"/>
        <v>2.855555555555556E-2</v>
      </c>
      <c r="AG805" s="101"/>
      <c r="AH805" s="101"/>
      <c r="AI805"/>
      <c r="BQ805" s="72">
        <v>0</v>
      </c>
      <c r="BR805" s="72">
        <v>0</v>
      </c>
      <c r="BS805" s="72">
        <v>0</v>
      </c>
      <c r="BT805" s="72">
        <v>0</v>
      </c>
      <c r="BU805" s="72">
        <v>0</v>
      </c>
      <c r="BV805" s="72">
        <v>0</v>
      </c>
      <c r="BW805" s="72">
        <v>0</v>
      </c>
      <c r="BX805" s="72">
        <v>0</v>
      </c>
      <c r="BY805" s="72">
        <v>0</v>
      </c>
      <c r="BZ805" s="72">
        <v>0</v>
      </c>
      <c r="CA805" s="72">
        <v>0</v>
      </c>
      <c r="CB805" s="72">
        <v>0</v>
      </c>
      <c r="CC805" s="72">
        <v>0</v>
      </c>
      <c r="CD805" s="72">
        <v>0</v>
      </c>
      <c r="CE805" s="72">
        <v>0</v>
      </c>
      <c r="CF805" s="72">
        <v>0</v>
      </c>
      <c r="CG805" s="72">
        <v>0</v>
      </c>
      <c r="CH805" s="72">
        <v>0</v>
      </c>
      <c r="CI805" s="72">
        <v>0</v>
      </c>
      <c r="CJ805" s="72">
        <v>0</v>
      </c>
      <c r="CK805" s="72">
        <v>0</v>
      </c>
      <c r="CL805" s="72">
        <v>0</v>
      </c>
      <c r="CM805" s="72">
        <v>0</v>
      </c>
      <c r="CN805" s="72">
        <v>0</v>
      </c>
      <c r="CO805" s="72">
        <v>0</v>
      </c>
      <c r="CP805" s="72">
        <v>0</v>
      </c>
      <c r="CQ805" s="72">
        <v>0</v>
      </c>
      <c r="CR805" s="72">
        <v>0</v>
      </c>
      <c r="CS805" s="72">
        <v>0</v>
      </c>
      <c r="CT805" s="72">
        <v>0</v>
      </c>
      <c r="CU805" s="72">
        <v>0</v>
      </c>
      <c r="CV805" s="72">
        <v>0</v>
      </c>
      <c r="CW805" s="72">
        <v>0</v>
      </c>
      <c r="CX805" s="72">
        <v>0</v>
      </c>
      <c r="CY805" s="72">
        <v>0</v>
      </c>
      <c r="CZ805" s="72">
        <v>0</v>
      </c>
      <c r="DA805" s="72">
        <v>0</v>
      </c>
      <c r="DB805" s="72">
        <v>0</v>
      </c>
      <c r="DC805" s="72">
        <v>0</v>
      </c>
      <c r="DD805" s="72">
        <v>0</v>
      </c>
      <c r="DE805" s="72">
        <v>0</v>
      </c>
      <c r="DF805" s="72">
        <v>0</v>
      </c>
      <c r="DG805" s="72">
        <v>0</v>
      </c>
      <c r="DH805" s="72">
        <v>0</v>
      </c>
      <c r="DI805" s="72">
        <v>0</v>
      </c>
      <c r="DJ805" s="72">
        <v>0</v>
      </c>
      <c r="DK805" s="72">
        <v>0</v>
      </c>
      <c r="DL805" s="72">
        <v>0</v>
      </c>
      <c r="DM805" s="72">
        <v>0</v>
      </c>
      <c r="DN805" s="72">
        <v>0</v>
      </c>
      <c r="DO805" s="72">
        <v>0</v>
      </c>
      <c r="DP805" s="72">
        <v>0</v>
      </c>
      <c r="DQ805" s="72">
        <v>0</v>
      </c>
      <c r="DR805" s="72">
        <v>0</v>
      </c>
      <c r="DS805" s="72">
        <v>0</v>
      </c>
      <c r="DT805" s="72">
        <v>0</v>
      </c>
      <c r="DU805" s="72">
        <v>0</v>
      </c>
      <c r="DV805" s="72">
        <v>0</v>
      </c>
      <c r="DW805" s="72">
        <v>0</v>
      </c>
      <c r="DX805" s="72">
        <v>0</v>
      </c>
      <c r="DY805" s="72">
        <v>0</v>
      </c>
      <c r="DZ805" s="72">
        <v>0</v>
      </c>
      <c r="EA805" s="72">
        <v>0</v>
      </c>
      <c r="EB805" s="72">
        <v>0</v>
      </c>
      <c r="EC805" s="72">
        <v>0</v>
      </c>
      <c r="ED805" s="72">
        <v>0</v>
      </c>
      <c r="EE805" s="72">
        <v>0</v>
      </c>
      <c r="EF805" s="72">
        <v>0</v>
      </c>
      <c r="EG805" s="72">
        <v>0</v>
      </c>
      <c r="EH805" s="72">
        <v>0</v>
      </c>
      <c r="EI805" s="72">
        <v>0</v>
      </c>
      <c r="EJ805" s="72">
        <v>0</v>
      </c>
      <c r="EK805" s="72">
        <v>0</v>
      </c>
      <c r="EL805" s="72">
        <v>0</v>
      </c>
    </row>
    <row r="806" spans="1:142" s="6" customFormat="1" x14ac:dyDescent="0.35">
      <c r="A806" s="59">
        <f>Данные!A806</f>
        <v>6370</v>
      </c>
      <c r="B806" s="59">
        <f>Данные!B806</f>
        <v>2019</v>
      </c>
      <c r="C806" s="59" t="str">
        <f>Данные!C806</f>
        <v>компьютерных технологий и электронного обучения</v>
      </c>
      <c r="D806" s="59" t="str">
        <f>Данные!D806</f>
        <v>Николаева Наталья Викторовна</v>
      </c>
      <c r="E806" s="59" t="str">
        <f>Данные!E806</f>
        <v>кандидат психологических наук</v>
      </c>
      <c r="F806" s="59" t="str">
        <f>Данные!F806</f>
        <v>внешний</v>
      </c>
      <c r="G806" s="59">
        <f>Данные!G806</f>
        <v>1</v>
      </c>
      <c r="H806" s="59" t="str">
        <f>Данные!H806</f>
        <v>2 курс (м) 2018 год/пост</v>
      </c>
      <c r="I806" s="59" t="str">
        <f>Данные!I806</f>
        <v>Научно-исследовательская работа. Педагогическое образование. Магистерская программа "Корпоративное электронное обучение"</v>
      </c>
      <c r="J806" s="59">
        <f>Данные!J806</f>
        <v>0</v>
      </c>
      <c r="K806" s="59">
        <f>Данные!K806</f>
        <v>0</v>
      </c>
      <c r="L806" s="59">
        <f>Данные!L806</f>
        <v>0</v>
      </c>
      <c r="M806" s="60">
        <f t="shared" si="108"/>
        <v>0</v>
      </c>
      <c r="N806" s="60">
        <f t="shared" ca="1" si="109"/>
        <v>5.3000000000000007</v>
      </c>
      <c r="O806" s="60">
        <f t="shared" ca="1" si="110"/>
        <v>2.5</v>
      </c>
      <c r="P806" s="60">
        <f t="shared" ca="1" si="111"/>
        <v>2.5</v>
      </c>
      <c r="Q806" s="54">
        <f>Данные!Q806</f>
        <v>0</v>
      </c>
      <c r="R806" s="54">
        <f>Данные!R806</f>
        <v>0</v>
      </c>
      <c r="S806" s="54">
        <f>Данные!S806</f>
        <v>0</v>
      </c>
      <c r="T806" s="54">
        <f>Данные!T806</f>
        <v>0</v>
      </c>
      <c r="U806" s="54">
        <f>Данные!U806</f>
        <v>35</v>
      </c>
      <c r="V806" s="54">
        <f>Данные!V806</f>
        <v>0</v>
      </c>
      <c r="W806" s="54">
        <f ca="1">Данные!W806</f>
        <v>10</v>
      </c>
      <c r="X806" s="54" t="str">
        <f ca="1">Данные!X806</f>
        <v>1</v>
      </c>
      <c r="Y806" s="54" t="str">
        <f ca="1">Данные!Y806</f>
        <v>1</v>
      </c>
      <c r="Z806" s="54">
        <f>Данные!Z806</f>
        <v>0</v>
      </c>
      <c r="AA806" s="54" t="str">
        <f>Данные!AA806</f>
        <v>осн</v>
      </c>
      <c r="AB806" s="101">
        <f t="shared" si="112"/>
        <v>900</v>
      </c>
      <c r="AC806" s="101" t="str">
        <f t="shared" si="113"/>
        <v>КЭО (маг)</v>
      </c>
      <c r="AD806" s="101" t="str">
        <f t="shared" si="114"/>
        <v/>
      </c>
      <c r="AE806" s="102">
        <f t="shared" ca="1" si="115"/>
        <v>45.3</v>
      </c>
      <c r="AF806" s="103">
        <f t="shared" ca="1" si="116"/>
        <v>5.0333333333333327E-2</v>
      </c>
      <c r="AG806" s="101"/>
      <c r="AH806" s="101"/>
      <c r="AI806"/>
      <c r="BQ806" s="72">
        <v>0</v>
      </c>
      <c r="BR806" s="72">
        <v>0</v>
      </c>
      <c r="BS806" s="72">
        <v>0</v>
      </c>
      <c r="BT806" s="72">
        <v>0</v>
      </c>
      <c r="BU806" s="72">
        <v>0</v>
      </c>
      <c r="BV806" s="72">
        <v>0</v>
      </c>
      <c r="BW806" s="72">
        <v>0</v>
      </c>
      <c r="BX806" s="72">
        <v>0</v>
      </c>
      <c r="BY806" s="72">
        <v>0</v>
      </c>
      <c r="BZ806" s="72">
        <v>0</v>
      </c>
      <c r="CA806" s="72">
        <v>0</v>
      </c>
      <c r="CB806" s="72">
        <v>0</v>
      </c>
      <c r="CC806" s="72">
        <v>0</v>
      </c>
      <c r="CD806" s="72">
        <v>0</v>
      </c>
      <c r="CE806" s="72">
        <v>0</v>
      </c>
      <c r="CF806" s="72">
        <v>0</v>
      </c>
      <c r="CG806" s="72">
        <v>0</v>
      </c>
      <c r="CH806" s="72">
        <v>0</v>
      </c>
      <c r="CI806" s="72">
        <v>0</v>
      </c>
      <c r="CJ806" s="72">
        <v>0</v>
      </c>
      <c r="CK806" s="72">
        <v>0</v>
      </c>
      <c r="CL806" s="72">
        <v>0</v>
      </c>
      <c r="CM806" s="72">
        <v>0</v>
      </c>
      <c r="CN806" s="72">
        <v>0</v>
      </c>
      <c r="CO806" s="72">
        <v>0</v>
      </c>
      <c r="CP806" s="72">
        <v>0</v>
      </c>
      <c r="CQ806" s="72">
        <v>0</v>
      </c>
      <c r="CR806" s="72">
        <v>0</v>
      </c>
      <c r="CS806" s="72">
        <v>0</v>
      </c>
      <c r="CT806" s="72">
        <v>0</v>
      </c>
      <c r="CU806" s="72">
        <v>0</v>
      </c>
      <c r="CV806" s="72">
        <v>0</v>
      </c>
      <c r="CW806" s="72">
        <v>0</v>
      </c>
      <c r="CX806" s="72">
        <v>0</v>
      </c>
      <c r="CY806" s="72">
        <v>0</v>
      </c>
      <c r="CZ806" s="72">
        <v>0</v>
      </c>
      <c r="DA806" s="72">
        <v>0</v>
      </c>
      <c r="DB806" s="72">
        <v>0</v>
      </c>
      <c r="DC806" s="72">
        <v>0</v>
      </c>
      <c r="DD806" s="72">
        <v>0</v>
      </c>
      <c r="DE806" s="72">
        <v>0</v>
      </c>
      <c r="DF806" s="72">
        <v>0</v>
      </c>
      <c r="DG806" s="72">
        <v>0</v>
      </c>
      <c r="DH806" s="72">
        <v>0</v>
      </c>
      <c r="DI806" s="72">
        <v>0</v>
      </c>
      <c r="DJ806" s="72">
        <v>0</v>
      </c>
      <c r="DK806" s="72">
        <v>0</v>
      </c>
      <c r="DL806" s="72">
        <v>0</v>
      </c>
      <c r="DM806" s="72">
        <v>0</v>
      </c>
      <c r="DN806" s="72">
        <v>0</v>
      </c>
      <c r="DO806" s="72">
        <v>0</v>
      </c>
      <c r="DP806" s="72">
        <v>0</v>
      </c>
      <c r="DQ806" s="72">
        <v>0</v>
      </c>
      <c r="DR806" s="72">
        <v>0</v>
      </c>
      <c r="DS806" s="72">
        <v>0</v>
      </c>
      <c r="DT806" s="72">
        <v>0</v>
      </c>
      <c r="DU806" s="72">
        <v>0</v>
      </c>
      <c r="DV806" s="72">
        <v>0</v>
      </c>
      <c r="DW806" s="72">
        <v>0</v>
      </c>
      <c r="DX806" s="72">
        <v>0</v>
      </c>
      <c r="DY806" s="72">
        <v>0</v>
      </c>
      <c r="DZ806" s="72">
        <v>0</v>
      </c>
      <c r="EA806" s="72">
        <v>0</v>
      </c>
      <c r="EB806" s="72">
        <v>0</v>
      </c>
      <c r="EC806" s="72">
        <v>0</v>
      </c>
      <c r="ED806" s="72">
        <v>0</v>
      </c>
      <c r="EE806" s="72">
        <v>0</v>
      </c>
      <c r="EF806" s="72">
        <v>0</v>
      </c>
      <c r="EG806" s="72">
        <v>0</v>
      </c>
      <c r="EH806" s="72">
        <v>0</v>
      </c>
      <c r="EI806" s="72">
        <v>0</v>
      </c>
      <c r="EJ806" s="72">
        <v>0</v>
      </c>
      <c r="EK806" s="72">
        <v>0</v>
      </c>
      <c r="EL806" s="72">
        <v>0</v>
      </c>
    </row>
    <row r="807" spans="1:142" s="6" customFormat="1" x14ac:dyDescent="0.35">
      <c r="A807" s="59">
        <f>Данные!A807</f>
        <v>6370</v>
      </c>
      <c r="B807" s="59">
        <f>Данные!B807</f>
        <v>2019</v>
      </c>
      <c r="C807" s="59" t="str">
        <f>Данные!C807</f>
        <v>компьютерных технологий и электронного обучения</v>
      </c>
      <c r="D807" s="59" t="str">
        <f>Данные!D807</f>
        <v>Атаян Ануш Михайловна</v>
      </c>
      <c r="E807" s="59" t="str">
        <f>Данные!E807</f>
        <v>кандидат педагогических наук</v>
      </c>
      <c r="F807" s="59" t="str">
        <f>Данные!F807</f>
        <v>доцент</v>
      </c>
      <c r="G807" s="59">
        <f>Данные!G807</f>
        <v>0.75</v>
      </c>
      <c r="H807" s="59" t="str">
        <f>Данные!H807</f>
        <v>2 курс (м) 2018 год/пост</v>
      </c>
      <c r="I807" s="59" t="str">
        <f>Данные!I807</f>
        <v>Научно-исследовательская работа. Педагогическое образование. Магистерская программа "Корпоративное электронное обучение"</v>
      </c>
      <c r="J807" s="59">
        <f>Данные!J807</f>
        <v>0</v>
      </c>
      <c r="K807" s="59">
        <f>Данные!K807</f>
        <v>0</v>
      </c>
      <c r="L807" s="59">
        <f>Данные!L807</f>
        <v>0</v>
      </c>
      <c r="M807" s="60">
        <f t="shared" si="108"/>
        <v>0</v>
      </c>
      <c r="N807" s="60">
        <f t="shared" ca="1" si="109"/>
        <v>5.3000000000000007</v>
      </c>
      <c r="O807" s="60">
        <f t="shared" ca="1" si="110"/>
        <v>2.5</v>
      </c>
      <c r="P807" s="60">
        <f t="shared" ca="1" si="111"/>
        <v>2.5</v>
      </c>
      <c r="Q807" s="54">
        <f>Данные!Q807</f>
        <v>0</v>
      </c>
      <c r="R807" s="54">
        <f>Данные!R807</f>
        <v>0</v>
      </c>
      <c r="S807" s="54">
        <f>Данные!S807</f>
        <v>0</v>
      </c>
      <c r="T807" s="54">
        <f>Данные!T807</f>
        <v>0</v>
      </c>
      <c r="U807" s="54">
        <f>Данные!U807</f>
        <v>4</v>
      </c>
      <c r="V807" s="54">
        <f>Данные!V807</f>
        <v>0</v>
      </c>
      <c r="W807" s="54">
        <f ca="1">Данные!W807</f>
        <v>10</v>
      </c>
      <c r="X807" s="54" t="str">
        <f ca="1">Данные!X807</f>
        <v>1</v>
      </c>
      <c r="Y807" s="54" t="str">
        <f ca="1">Данные!Y807</f>
        <v>1</v>
      </c>
      <c r="Z807" s="54">
        <f>Данные!Z807</f>
        <v>0</v>
      </c>
      <c r="AA807" s="54" t="str">
        <f>Данные!AA807</f>
        <v>осн</v>
      </c>
      <c r="AB807" s="101">
        <f t="shared" si="112"/>
        <v>800</v>
      </c>
      <c r="AC807" s="101" t="str">
        <f t="shared" si="113"/>
        <v>КЭО (маг)</v>
      </c>
      <c r="AD807" s="101" t="str">
        <f t="shared" si="114"/>
        <v/>
      </c>
      <c r="AE807" s="102">
        <f t="shared" ca="1" si="115"/>
        <v>14.3</v>
      </c>
      <c r="AF807" s="103">
        <f t="shared" ca="1" si="116"/>
        <v>1.7875000000000002E-2</v>
      </c>
      <c r="AG807" s="101"/>
      <c r="AH807" s="101"/>
      <c r="AI807"/>
      <c r="BQ807" s="72">
        <v>0</v>
      </c>
      <c r="BR807" s="72">
        <v>0</v>
      </c>
      <c r="BS807" s="72">
        <v>0</v>
      </c>
      <c r="BT807" s="72">
        <v>0</v>
      </c>
      <c r="BU807" s="72">
        <v>0</v>
      </c>
      <c r="BV807" s="72">
        <v>0</v>
      </c>
      <c r="BW807" s="72">
        <v>0</v>
      </c>
      <c r="BX807" s="72">
        <v>0</v>
      </c>
      <c r="BY807" s="72">
        <v>0</v>
      </c>
      <c r="BZ807" s="72">
        <v>0</v>
      </c>
      <c r="CA807" s="72">
        <v>0</v>
      </c>
      <c r="CB807" s="72">
        <v>0</v>
      </c>
      <c r="CC807" s="72">
        <v>0</v>
      </c>
      <c r="CD807" s="72">
        <v>0</v>
      </c>
      <c r="CE807" s="72">
        <v>0</v>
      </c>
      <c r="CF807" s="72">
        <v>0</v>
      </c>
      <c r="CG807" s="72">
        <v>0</v>
      </c>
      <c r="CH807" s="72">
        <v>0</v>
      </c>
      <c r="CI807" s="72">
        <v>0</v>
      </c>
      <c r="CJ807" s="72">
        <v>0</v>
      </c>
      <c r="CK807" s="72">
        <v>0</v>
      </c>
      <c r="CL807" s="72">
        <v>0</v>
      </c>
      <c r="CM807" s="72">
        <v>0</v>
      </c>
      <c r="CN807" s="72">
        <v>0</v>
      </c>
      <c r="CO807" s="72">
        <v>0</v>
      </c>
      <c r="CP807" s="72">
        <v>0</v>
      </c>
      <c r="CQ807" s="72">
        <v>0</v>
      </c>
      <c r="CR807" s="72">
        <v>0</v>
      </c>
      <c r="CS807" s="72">
        <v>0</v>
      </c>
      <c r="CT807" s="72">
        <v>0</v>
      </c>
      <c r="CU807" s="72">
        <v>0</v>
      </c>
      <c r="CV807" s="72">
        <v>0</v>
      </c>
      <c r="CW807" s="72">
        <v>0</v>
      </c>
      <c r="CX807" s="72">
        <v>0</v>
      </c>
      <c r="CY807" s="72">
        <v>0</v>
      </c>
      <c r="CZ807" s="72">
        <v>0</v>
      </c>
      <c r="DA807" s="72">
        <v>0</v>
      </c>
      <c r="DB807" s="72">
        <v>0</v>
      </c>
      <c r="DC807" s="72">
        <v>0</v>
      </c>
      <c r="DD807" s="72">
        <v>0</v>
      </c>
      <c r="DE807" s="72">
        <v>0</v>
      </c>
      <c r="DF807" s="72">
        <v>0</v>
      </c>
      <c r="DG807" s="72">
        <v>0</v>
      </c>
      <c r="DH807" s="72">
        <v>0</v>
      </c>
      <c r="DI807" s="72">
        <v>0</v>
      </c>
      <c r="DJ807" s="72">
        <v>0</v>
      </c>
      <c r="DK807" s="72">
        <v>0</v>
      </c>
      <c r="DL807" s="72">
        <v>0</v>
      </c>
      <c r="DM807" s="72">
        <v>0</v>
      </c>
      <c r="DN807" s="72">
        <v>0</v>
      </c>
      <c r="DO807" s="72">
        <v>0</v>
      </c>
      <c r="DP807" s="72">
        <v>0</v>
      </c>
      <c r="DQ807" s="72">
        <v>0</v>
      </c>
      <c r="DR807" s="72">
        <v>0</v>
      </c>
      <c r="DS807" s="72">
        <v>0</v>
      </c>
      <c r="DT807" s="72">
        <v>0</v>
      </c>
      <c r="DU807" s="72">
        <v>0</v>
      </c>
      <c r="DV807" s="72">
        <v>0</v>
      </c>
      <c r="DW807" s="72">
        <v>0</v>
      </c>
      <c r="DX807" s="72">
        <v>0</v>
      </c>
      <c r="DY807" s="72">
        <v>0</v>
      </c>
      <c r="DZ807" s="72">
        <v>0</v>
      </c>
      <c r="EA807" s="72">
        <v>0</v>
      </c>
      <c r="EB807" s="72">
        <v>0</v>
      </c>
      <c r="EC807" s="72">
        <v>0</v>
      </c>
      <c r="ED807" s="72">
        <v>0</v>
      </c>
      <c r="EE807" s="72">
        <v>0</v>
      </c>
      <c r="EF807" s="72">
        <v>0</v>
      </c>
      <c r="EG807" s="72">
        <v>0</v>
      </c>
      <c r="EH807" s="72">
        <v>0</v>
      </c>
      <c r="EI807" s="72">
        <v>0</v>
      </c>
      <c r="EJ807" s="72">
        <v>0</v>
      </c>
      <c r="EK807" s="72">
        <v>0</v>
      </c>
      <c r="EL807" s="72">
        <v>0</v>
      </c>
    </row>
    <row r="808" spans="1:142" s="6" customFormat="1" x14ac:dyDescent="0.35">
      <c r="A808" s="59">
        <f>Данные!A808</f>
        <v>6370</v>
      </c>
      <c r="B808" s="59">
        <f>Данные!B808</f>
        <v>2019</v>
      </c>
      <c r="C808" s="59" t="str">
        <f>Данные!C808</f>
        <v>компьютерных технологий и электронного обучения</v>
      </c>
      <c r="D808" s="59" t="str">
        <f>Данные!D808</f>
        <v>Карпова Наталья Александровна</v>
      </c>
      <c r="E808" s="59" t="str">
        <f>Данные!E808</f>
        <v>кандидат технических наук</v>
      </c>
      <c r="F808" s="59" t="str">
        <f>Данные!F808</f>
        <v>доцент</v>
      </c>
      <c r="G808" s="59">
        <f>Данные!G808</f>
        <v>0.75</v>
      </c>
      <c r="H808" s="59" t="str">
        <f>Данные!H808</f>
        <v>2 курс (м) 2018 год/пост</v>
      </c>
      <c r="I808" s="59" t="str">
        <f>Данные!I808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808" s="59">
        <f>Данные!J808</f>
        <v>0</v>
      </c>
      <c r="K808" s="59">
        <f>Данные!K808</f>
        <v>0</v>
      </c>
      <c r="L808" s="59">
        <f>Данные!L808</f>
        <v>0</v>
      </c>
      <c r="M808" s="60">
        <f t="shared" si="108"/>
        <v>0</v>
      </c>
      <c r="N808" s="60">
        <f t="shared" ca="1" si="109"/>
        <v>5.3000000000000007</v>
      </c>
      <c r="O808" s="60">
        <f t="shared" ca="1" si="110"/>
        <v>2.5</v>
      </c>
      <c r="P808" s="60">
        <f t="shared" ca="1" si="111"/>
        <v>2.5</v>
      </c>
      <c r="Q808" s="54">
        <f>Данные!Q808</f>
        <v>0</v>
      </c>
      <c r="R808" s="54">
        <f>Данные!R808</f>
        <v>0</v>
      </c>
      <c r="S808" s="54">
        <f>Данные!S808</f>
        <v>0</v>
      </c>
      <c r="T808" s="54">
        <f>Данные!T808</f>
        <v>0</v>
      </c>
      <c r="U808" s="54">
        <f>Данные!U808</f>
        <v>0</v>
      </c>
      <c r="V808" s="54">
        <f>Данные!V808</f>
        <v>44</v>
      </c>
      <c r="W808" s="54">
        <f ca="1">Данные!W808</f>
        <v>10</v>
      </c>
      <c r="X808" s="54" t="str">
        <f ca="1">Данные!X808</f>
        <v>1</v>
      </c>
      <c r="Y808" s="54" t="str">
        <f ca="1">Данные!Y808</f>
        <v>1</v>
      </c>
      <c r="Z808" s="54">
        <f>Данные!Z808</f>
        <v>0</v>
      </c>
      <c r="AA808" s="54" t="str">
        <f>Данные!AA808</f>
        <v>доп</v>
      </c>
      <c r="AB808" s="101">
        <f t="shared" si="112"/>
        <v>800</v>
      </c>
      <c r="AC808" s="101" t="str">
        <f t="shared" si="113"/>
        <v>КЭО (маг)</v>
      </c>
      <c r="AD808" s="101" t="str">
        <f t="shared" si="114"/>
        <v/>
      </c>
      <c r="AE808" s="102">
        <f t="shared" ca="1" si="115"/>
        <v>54.3</v>
      </c>
      <c r="AF808" s="103">
        <f t="shared" ca="1" si="116"/>
        <v>6.7874999999999991E-2</v>
      </c>
      <c r="AG808" s="101"/>
      <c r="AH808" s="101"/>
      <c r="AI808"/>
      <c r="BQ808" s="72">
        <v>0</v>
      </c>
      <c r="BR808" s="72">
        <v>0</v>
      </c>
      <c r="BS808" s="72">
        <v>0</v>
      </c>
      <c r="BT808" s="72">
        <v>0</v>
      </c>
      <c r="BU808" s="72">
        <v>0</v>
      </c>
      <c r="BV808" s="72">
        <v>0</v>
      </c>
      <c r="BW808" s="72">
        <v>0</v>
      </c>
      <c r="BX808" s="72">
        <v>0</v>
      </c>
      <c r="BY808" s="72">
        <v>0</v>
      </c>
      <c r="BZ808" s="72">
        <v>0</v>
      </c>
      <c r="CA808" s="72">
        <v>0</v>
      </c>
      <c r="CB808" s="72">
        <v>0</v>
      </c>
      <c r="CC808" s="72">
        <v>0</v>
      </c>
      <c r="CD808" s="72">
        <v>0</v>
      </c>
      <c r="CE808" s="72">
        <v>0</v>
      </c>
      <c r="CF808" s="72">
        <v>0</v>
      </c>
      <c r="CG808" s="72">
        <v>0</v>
      </c>
      <c r="CH808" s="72">
        <v>0</v>
      </c>
      <c r="CI808" s="72">
        <v>0</v>
      </c>
      <c r="CJ808" s="72">
        <v>0</v>
      </c>
      <c r="CK808" s="72">
        <v>0</v>
      </c>
      <c r="CL808" s="72">
        <v>0</v>
      </c>
      <c r="CM808" s="72">
        <v>0</v>
      </c>
      <c r="CN808" s="72">
        <v>0</v>
      </c>
      <c r="CO808" s="72">
        <v>0</v>
      </c>
      <c r="CP808" s="72">
        <v>0</v>
      </c>
      <c r="CQ808" s="72">
        <v>0</v>
      </c>
      <c r="CR808" s="72">
        <v>0</v>
      </c>
      <c r="CS808" s="72">
        <v>0</v>
      </c>
      <c r="CT808" s="72">
        <v>0</v>
      </c>
      <c r="CU808" s="72">
        <v>0</v>
      </c>
      <c r="CV808" s="72">
        <v>0</v>
      </c>
      <c r="CW808" s="72">
        <v>0</v>
      </c>
      <c r="CX808" s="72">
        <v>0</v>
      </c>
      <c r="CY808" s="72">
        <v>0</v>
      </c>
      <c r="CZ808" s="72">
        <v>0</v>
      </c>
      <c r="DA808" s="72">
        <v>0</v>
      </c>
      <c r="DB808" s="72">
        <v>0</v>
      </c>
      <c r="DC808" s="72">
        <v>0</v>
      </c>
      <c r="DD808" s="72">
        <v>0</v>
      </c>
      <c r="DE808" s="72">
        <v>0</v>
      </c>
      <c r="DF808" s="72">
        <v>0</v>
      </c>
      <c r="DG808" s="72">
        <v>0</v>
      </c>
      <c r="DH808" s="72">
        <v>0</v>
      </c>
      <c r="DI808" s="72">
        <v>0</v>
      </c>
      <c r="DJ808" s="72">
        <v>0</v>
      </c>
      <c r="DK808" s="72">
        <v>0</v>
      </c>
      <c r="DL808" s="72">
        <v>0</v>
      </c>
      <c r="DM808" s="72">
        <v>0</v>
      </c>
      <c r="DN808" s="72">
        <v>0</v>
      </c>
      <c r="DO808" s="72">
        <v>0</v>
      </c>
      <c r="DP808" s="72">
        <v>0</v>
      </c>
      <c r="DQ808" s="72">
        <v>0</v>
      </c>
      <c r="DR808" s="72">
        <v>0</v>
      </c>
      <c r="DS808" s="72">
        <v>0</v>
      </c>
      <c r="DT808" s="72">
        <v>0</v>
      </c>
      <c r="DU808" s="72">
        <v>0</v>
      </c>
      <c r="DV808" s="72">
        <v>0</v>
      </c>
      <c r="DW808" s="72">
        <v>0</v>
      </c>
      <c r="DX808" s="72">
        <v>0</v>
      </c>
      <c r="DY808" s="72">
        <v>0</v>
      </c>
      <c r="DZ808" s="72">
        <v>0</v>
      </c>
      <c r="EA808" s="72">
        <v>0</v>
      </c>
      <c r="EB808" s="72">
        <v>0</v>
      </c>
      <c r="EC808" s="72">
        <v>0</v>
      </c>
      <c r="ED808" s="72">
        <v>0</v>
      </c>
      <c r="EE808" s="72">
        <v>0</v>
      </c>
      <c r="EF808" s="72">
        <v>0</v>
      </c>
      <c r="EG808" s="72">
        <v>0</v>
      </c>
      <c r="EH808" s="72">
        <v>0</v>
      </c>
      <c r="EI808" s="72">
        <v>0</v>
      </c>
      <c r="EJ808" s="72">
        <v>0</v>
      </c>
      <c r="EK808" s="72">
        <v>0</v>
      </c>
      <c r="EL808" s="72">
        <v>0</v>
      </c>
    </row>
    <row r="809" spans="1:142" s="6" customFormat="1" x14ac:dyDescent="0.35">
      <c r="A809" s="59">
        <f>Данные!A809</f>
        <v>6370</v>
      </c>
      <c r="B809" s="59">
        <f>Данные!B809</f>
        <v>2019</v>
      </c>
      <c r="C809" s="59" t="str">
        <f>Данные!C809</f>
        <v>компьютерных технологий и электронного обучения</v>
      </c>
      <c r="D809" s="59" t="str">
        <f>Данные!D809</f>
        <v>Атаян Ануш Михайловна</v>
      </c>
      <c r="E809" s="59" t="str">
        <f>Данные!E809</f>
        <v>кандидат педагогических наук</v>
      </c>
      <c r="F809" s="59" t="str">
        <f>Данные!F809</f>
        <v>доцент</v>
      </c>
      <c r="G809" s="59">
        <f>Данные!G809</f>
        <v>0.75</v>
      </c>
      <c r="H809" s="59" t="str">
        <f>Данные!H809</f>
        <v>2 курс (м) 2018 год/пост</v>
      </c>
      <c r="I809" s="59" t="str">
        <f>Данные!I809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809" s="59">
        <f>Данные!J809</f>
        <v>0</v>
      </c>
      <c r="K809" s="59">
        <f>Данные!K809</f>
        <v>0</v>
      </c>
      <c r="L809" s="59">
        <f>Данные!L809</f>
        <v>0</v>
      </c>
      <c r="M809" s="60">
        <f t="shared" si="108"/>
        <v>0</v>
      </c>
      <c r="N809" s="60">
        <f t="shared" ca="1" si="109"/>
        <v>5.3000000000000007</v>
      </c>
      <c r="O809" s="60">
        <f t="shared" ca="1" si="110"/>
        <v>2.5</v>
      </c>
      <c r="P809" s="60">
        <f t="shared" ca="1" si="111"/>
        <v>2.5</v>
      </c>
      <c r="Q809" s="54">
        <f>Данные!Q809</f>
        <v>0</v>
      </c>
      <c r="R809" s="54">
        <f>Данные!R809</f>
        <v>0</v>
      </c>
      <c r="S809" s="54">
        <f>Данные!S809</f>
        <v>0</v>
      </c>
      <c r="T809" s="54">
        <f>Данные!T809</f>
        <v>0</v>
      </c>
      <c r="U809" s="54">
        <f>Данные!U809</f>
        <v>4</v>
      </c>
      <c r="V809" s="54">
        <f>Данные!V809</f>
        <v>0</v>
      </c>
      <c r="W809" s="54">
        <f ca="1">Данные!W809</f>
        <v>10</v>
      </c>
      <c r="X809" s="54" t="str">
        <f ca="1">Данные!X809</f>
        <v>1</v>
      </c>
      <c r="Y809" s="54" t="str">
        <f ca="1">Данные!Y809</f>
        <v>1</v>
      </c>
      <c r="Z809" s="54">
        <f>Данные!Z809</f>
        <v>0</v>
      </c>
      <c r="AA809" s="54" t="str">
        <f>Данные!AA809</f>
        <v>осн</v>
      </c>
      <c r="AB809" s="101">
        <f t="shared" si="112"/>
        <v>800</v>
      </c>
      <c r="AC809" s="101" t="str">
        <f t="shared" si="113"/>
        <v>КЭО (маг)</v>
      </c>
      <c r="AD809" s="101" t="str">
        <f t="shared" si="114"/>
        <v/>
      </c>
      <c r="AE809" s="102">
        <f t="shared" ca="1" si="115"/>
        <v>14.3</v>
      </c>
      <c r="AF809" s="103">
        <f t="shared" ca="1" si="116"/>
        <v>1.7875000000000002E-2</v>
      </c>
      <c r="AG809" s="101"/>
      <c r="AH809" s="101"/>
      <c r="AI809"/>
      <c r="BQ809" s="72">
        <v>0</v>
      </c>
      <c r="BR809" s="72">
        <v>0</v>
      </c>
      <c r="BS809" s="72">
        <v>0</v>
      </c>
      <c r="BT809" s="72">
        <v>0</v>
      </c>
      <c r="BU809" s="72">
        <v>0</v>
      </c>
      <c r="BV809" s="72">
        <v>0</v>
      </c>
      <c r="BW809" s="72">
        <v>0</v>
      </c>
      <c r="BX809" s="72">
        <v>0</v>
      </c>
      <c r="BY809" s="72">
        <v>0</v>
      </c>
      <c r="BZ809" s="72">
        <v>0</v>
      </c>
      <c r="CA809" s="72">
        <v>0</v>
      </c>
      <c r="CB809" s="72">
        <v>0</v>
      </c>
      <c r="CC809" s="72">
        <v>0</v>
      </c>
      <c r="CD809" s="72">
        <v>0</v>
      </c>
      <c r="CE809" s="72">
        <v>0</v>
      </c>
      <c r="CF809" s="72">
        <v>0</v>
      </c>
      <c r="CG809" s="72">
        <v>0</v>
      </c>
      <c r="CH809" s="72">
        <v>0</v>
      </c>
      <c r="CI809" s="72">
        <v>0</v>
      </c>
      <c r="CJ809" s="72">
        <v>0</v>
      </c>
      <c r="CK809" s="72">
        <v>0</v>
      </c>
      <c r="CL809" s="72">
        <v>0</v>
      </c>
      <c r="CM809" s="72">
        <v>0</v>
      </c>
      <c r="CN809" s="72">
        <v>0</v>
      </c>
      <c r="CO809" s="72">
        <v>0</v>
      </c>
      <c r="CP809" s="72">
        <v>0</v>
      </c>
      <c r="CQ809" s="72">
        <v>0</v>
      </c>
      <c r="CR809" s="72">
        <v>0</v>
      </c>
      <c r="CS809" s="72">
        <v>0</v>
      </c>
      <c r="CT809" s="72">
        <v>0</v>
      </c>
      <c r="CU809" s="72">
        <v>0</v>
      </c>
      <c r="CV809" s="72">
        <v>0</v>
      </c>
      <c r="CW809" s="72">
        <v>0</v>
      </c>
      <c r="CX809" s="72">
        <v>0</v>
      </c>
      <c r="CY809" s="72">
        <v>0</v>
      </c>
      <c r="CZ809" s="72">
        <v>0</v>
      </c>
      <c r="DA809" s="72">
        <v>0</v>
      </c>
      <c r="DB809" s="72">
        <v>0</v>
      </c>
      <c r="DC809" s="72">
        <v>0</v>
      </c>
      <c r="DD809" s="72">
        <v>0</v>
      </c>
      <c r="DE809" s="72">
        <v>0</v>
      </c>
      <c r="DF809" s="72">
        <v>0</v>
      </c>
      <c r="DG809" s="72">
        <v>0</v>
      </c>
      <c r="DH809" s="72">
        <v>0</v>
      </c>
      <c r="DI809" s="72">
        <v>0</v>
      </c>
      <c r="DJ809" s="72">
        <v>0</v>
      </c>
      <c r="DK809" s="72">
        <v>0</v>
      </c>
      <c r="DL809" s="72">
        <v>0</v>
      </c>
      <c r="DM809" s="72">
        <v>0</v>
      </c>
      <c r="DN809" s="72">
        <v>0</v>
      </c>
      <c r="DO809" s="72">
        <v>0</v>
      </c>
      <c r="DP809" s="72">
        <v>0</v>
      </c>
      <c r="DQ809" s="72">
        <v>0</v>
      </c>
      <c r="DR809" s="72">
        <v>0</v>
      </c>
      <c r="DS809" s="72">
        <v>0</v>
      </c>
      <c r="DT809" s="72">
        <v>0</v>
      </c>
      <c r="DU809" s="72">
        <v>0</v>
      </c>
      <c r="DV809" s="72">
        <v>0</v>
      </c>
      <c r="DW809" s="72">
        <v>0</v>
      </c>
      <c r="DX809" s="72">
        <v>0</v>
      </c>
      <c r="DY809" s="72">
        <v>0</v>
      </c>
      <c r="DZ809" s="72">
        <v>0</v>
      </c>
      <c r="EA809" s="72">
        <v>0</v>
      </c>
      <c r="EB809" s="72">
        <v>0</v>
      </c>
      <c r="EC809" s="72">
        <v>0</v>
      </c>
      <c r="ED809" s="72">
        <v>0</v>
      </c>
      <c r="EE809" s="72">
        <v>0</v>
      </c>
      <c r="EF809" s="72">
        <v>0</v>
      </c>
      <c r="EG809" s="72">
        <v>0</v>
      </c>
      <c r="EH809" s="72">
        <v>0</v>
      </c>
      <c r="EI809" s="72">
        <v>0</v>
      </c>
      <c r="EJ809" s="72">
        <v>0</v>
      </c>
      <c r="EK809" s="72">
        <v>0</v>
      </c>
      <c r="EL809" s="72">
        <v>0</v>
      </c>
    </row>
    <row r="810" spans="1:142" s="6" customFormat="1" x14ac:dyDescent="0.35">
      <c r="A810" s="59">
        <f>Данные!A810</f>
        <v>6370</v>
      </c>
      <c r="B810" s="59">
        <f>Данные!B810</f>
        <v>2019</v>
      </c>
      <c r="C810" s="59" t="str">
        <f>Данные!C810</f>
        <v>компьютерных технологий и электронного обучения</v>
      </c>
      <c r="D810" s="59" t="str">
        <f>Данные!D810</f>
        <v>Атаян Ануш Михайловна</v>
      </c>
      <c r="E810" s="59" t="str">
        <f>Данные!E810</f>
        <v>кандидат педагогических наук</v>
      </c>
      <c r="F810" s="59" t="str">
        <f>Данные!F810</f>
        <v>доцент</v>
      </c>
      <c r="G810" s="59">
        <f>Данные!G810</f>
        <v>0.75</v>
      </c>
      <c r="H810" s="59" t="str">
        <f>Данные!H810</f>
        <v>2 курс (м) 2018 год/пост</v>
      </c>
      <c r="I810" s="59" t="str">
        <f>Данные!I810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810" s="59">
        <f>Данные!J810</f>
        <v>0</v>
      </c>
      <c r="K810" s="59">
        <f>Данные!K810</f>
        <v>0</v>
      </c>
      <c r="L810" s="59">
        <f>Данные!L810</f>
        <v>0</v>
      </c>
      <c r="M810" s="60">
        <f t="shared" si="108"/>
        <v>0</v>
      </c>
      <c r="N810" s="60">
        <f t="shared" ca="1" si="109"/>
        <v>5.3000000000000007</v>
      </c>
      <c r="O810" s="60">
        <f t="shared" ca="1" si="110"/>
        <v>2.5</v>
      </c>
      <c r="P810" s="60">
        <f t="shared" ca="1" si="111"/>
        <v>2.5</v>
      </c>
      <c r="Q810" s="54">
        <f>Данные!Q810</f>
        <v>0</v>
      </c>
      <c r="R810" s="54">
        <f>Данные!R810</f>
        <v>0</v>
      </c>
      <c r="S810" s="54">
        <f>Данные!S810</f>
        <v>0</v>
      </c>
      <c r="T810" s="54">
        <f>Данные!T810</f>
        <v>0</v>
      </c>
      <c r="U810" s="54">
        <f>Данные!U810</f>
        <v>4</v>
      </c>
      <c r="V810" s="54">
        <f>Данные!V810</f>
        <v>0</v>
      </c>
      <c r="W810" s="54">
        <f ca="1">Данные!W810</f>
        <v>10</v>
      </c>
      <c r="X810" s="54" t="str">
        <f ca="1">Данные!X810</f>
        <v>1</v>
      </c>
      <c r="Y810" s="54" t="str">
        <f ca="1">Данные!Y810</f>
        <v>1</v>
      </c>
      <c r="Z810" s="54">
        <f>Данные!Z810</f>
        <v>0</v>
      </c>
      <c r="AA810" s="54" t="str">
        <f>Данные!AA810</f>
        <v>доп</v>
      </c>
      <c r="AB810" s="101">
        <f t="shared" si="112"/>
        <v>800</v>
      </c>
      <c r="AC810" s="101" t="str">
        <f t="shared" si="113"/>
        <v>КЭО (маг)</v>
      </c>
      <c r="AD810" s="101" t="str">
        <f t="shared" si="114"/>
        <v/>
      </c>
      <c r="AE810" s="102">
        <f t="shared" ca="1" si="115"/>
        <v>14.3</v>
      </c>
      <c r="AF810" s="103">
        <f t="shared" ca="1" si="116"/>
        <v>1.7875000000000002E-2</v>
      </c>
      <c r="AG810" s="101"/>
      <c r="AH810" s="101"/>
      <c r="AI810"/>
      <c r="BQ810" s="72">
        <v>0</v>
      </c>
      <c r="BR810" s="72">
        <v>0</v>
      </c>
      <c r="BS810" s="72">
        <v>0</v>
      </c>
      <c r="BT810" s="72">
        <v>0</v>
      </c>
      <c r="BU810" s="72">
        <v>0</v>
      </c>
      <c r="BV810" s="72">
        <v>0</v>
      </c>
      <c r="BW810" s="72">
        <v>0</v>
      </c>
      <c r="BX810" s="72">
        <v>0</v>
      </c>
      <c r="BY810" s="72">
        <v>0</v>
      </c>
      <c r="BZ810" s="72">
        <v>0</v>
      </c>
      <c r="CA810" s="72">
        <v>0</v>
      </c>
      <c r="CB810" s="72">
        <v>0</v>
      </c>
      <c r="CC810" s="72">
        <v>0</v>
      </c>
      <c r="CD810" s="72">
        <v>0</v>
      </c>
      <c r="CE810" s="72">
        <v>0</v>
      </c>
      <c r="CF810" s="72">
        <v>0</v>
      </c>
      <c r="CG810" s="72">
        <v>0</v>
      </c>
      <c r="CH810" s="72">
        <v>0</v>
      </c>
      <c r="CI810" s="72">
        <v>0</v>
      </c>
      <c r="CJ810" s="72">
        <v>0</v>
      </c>
      <c r="CK810" s="72">
        <v>0</v>
      </c>
      <c r="CL810" s="72">
        <v>0</v>
      </c>
      <c r="CM810" s="72">
        <v>0</v>
      </c>
      <c r="CN810" s="72">
        <v>0</v>
      </c>
      <c r="CO810" s="72">
        <v>0</v>
      </c>
      <c r="CP810" s="72">
        <v>0</v>
      </c>
      <c r="CQ810" s="72">
        <v>0</v>
      </c>
      <c r="CR810" s="72">
        <v>0</v>
      </c>
      <c r="CS810" s="72">
        <v>0</v>
      </c>
      <c r="CT810" s="72">
        <v>0</v>
      </c>
      <c r="CU810" s="72">
        <v>0</v>
      </c>
      <c r="CV810" s="72">
        <v>0</v>
      </c>
      <c r="CW810" s="72">
        <v>0</v>
      </c>
      <c r="CX810" s="72">
        <v>0</v>
      </c>
      <c r="CY810" s="72">
        <v>0</v>
      </c>
      <c r="CZ810" s="72">
        <v>0</v>
      </c>
      <c r="DA810" s="72">
        <v>0</v>
      </c>
      <c r="DB810" s="72">
        <v>0</v>
      </c>
      <c r="DC810" s="72">
        <v>0</v>
      </c>
      <c r="DD810" s="72">
        <v>0</v>
      </c>
      <c r="DE810" s="72">
        <v>0</v>
      </c>
      <c r="DF810" s="72">
        <v>0</v>
      </c>
      <c r="DG810" s="72">
        <v>0</v>
      </c>
      <c r="DH810" s="72">
        <v>0</v>
      </c>
      <c r="DI810" s="72">
        <v>0</v>
      </c>
      <c r="DJ810" s="72">
        <v>0</v>
      </c>
      <c r="DK810" s="72">
        <v>0</v>
      </c>
      <c r="DL810" s="72">
        <v>0</v>
      </c>
      <c r="DM810" s="72">
        <v>0</v>
      </c>
      <c r="DN810" s="72">
        <v>0</v>
      </c>
      <c r="DO810" s="72">
        <v>0</v>
      </c>
      <c r="DP810" s="72">
        <v>0</v>
      </c>
      <c r="DQ810" s="72">
        <v>0</v>
      </c>
      <c r="DR810" s="72">
        <v>0</v>
      </c>
      <c r="DS810" s="72">
        <v>0</v>
      </c>
      <c r="DT810" s="72">
        <v>0</v>
      </c>
      <c r="DU810" s="72">
        <v>0</v>
      </c>
      <c r="DV810" s="72">
        <v>0</v>
      </c>
      <c r="DW810" s="72">
        <v>0</v>
      </c>
      <c r="DX810" s="72">
        <v>0</v>
      </c>
      <c r="DY810" s="72">
        <v>0</v>
      </c>
      <c r="DZ810" s="72">
        <v>0</v>
      </c>
      <c r="EA810" s="72">
        <v>0</v>
      </c>
      <c r="EB810" s="72">
        <v>0</v>
      </c>
      <c r="EC810" s="72">
        <v>0</v>
      </c>
      <c r="ED810" s="72">
        <v>0</v>
      </c>
      <c r="EE810" s="72">
        <v>0</v>
      </c>
      <c r="EF810" s="72">
        <v>0</v>
      </c>
      <c r="EG810" s="72">
        <v>0</v>
      </c>
      <c r="EH810" s="72">
        <v>0</v>
      </c>
      <c r="EI810" s="72">
        <v>0</v>
      </c>
      <c r="EJ810" s="72">
        <v>0</v>
      </c>
      <c r="EK810" s="72">
        <v>0</v>
      </c>
      <c r="EL810" s="72">
        <v>0</v>
      </c>
    </row>
    <row r="811" spans="1:142" s="6" customFormat="1" x14ac:dyDescent="0.35">
      <c r="A811" s="59">
        <f>Данные!A811</f>
        <v>6370</v>
      </c>
      <c r="B811" s="59">
        <f>Данные!B811</f>
        <v>2019</v>
      </c>
      <c r="C811" s="59" t="str">
        <f>Данные!C811</f>
        <v>компьютерных технологий и электронного обучения</v>
      </c>
      <c r="D811" s="59" t="str">
        <f>Данные!D811</f>
        <v>Атаян Ануш Михайловна</v>
      </c>
      <c r="E811" s="59" t="str">
        <f>Данные!E811</f>
        <v>кандидат педагогических наук</v>
      </c>
      <c r="F811" s="59" t="str">
        <f>Данные!F811</f>
        <v>доцент</v>
      </c>
      <c r="G811" s="59">
        <f>Данные!G811</f>
        <v>0.75</v>
      </c>
      <c r="H811" s="59" t="str">
        <f>Данные!H811</f>
        <v>2 курс (м) 2018 год/пост</v>
      </c>
      <c r="I811" s="59" t="str">
        <f>Данные!I811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811" s="59">
        <f>Данные!J811</f>
        <v>0</v>
      </c>
      <c r="K811" s="59">
        <f>Данные!K811</f>
        <v>0</v>
      </c>
      <c r="L811" s="59">
        <f>Данные!L811</f>
        <v>0</v>
      </c>
      <c r="M811" s="60">
        <f t="shared" si="108"/>
        <v>0</v>
      </c>
      <c r="N811" s="60">
        <f t="shared" ca="1" si="109"/>
        <v>5.3000000000000007</v>
      </c>
      <c r="O811" s="60">
        <f t="shared" ca="1" si="110"/>
        <v>2.5</v>
      </c>
      <c r="P811" s="60">
        <f t="shared" ca="1" si="111"/>
        <v>2.5</v>
      </c>
      <c r="Q811" s="54">
        <f>Данные!Q811</f>
        <v>0</v>
      </c>
      <c r="R811" s="54">
        <f>Данные!R811</f>
        <v>0</v>
      </c>
      <c r="S811" s="54">
        <f>Данные!S811</f>
        <v>0</v>
      </c>
      <c r="T811" s="54">
        <f>Данные!T811</f>
        <v>0</v>
      </c>
      <c r="U811" s="54">
        <f>Данные!U811</f>
        <v>2</v>
      </c>
      <c r="V811" s="54">
        <f>Данные!V811</f>
        <v>0</v>
      </c>
      <c r="W811" s="54">
        <f ca="1">Данные!W811</f>
        <v>10</v>
      </c>
      <c r="X811" s="54" t="str">
        <f ca="1">Данные!X811</f>
        <v>1</v>
      </c>
      <c r="Y811" s="54" t="str">
        <f ca="1">Данные!Y811</f>
        <v>1</v>
      </c>
      <c r="Z811" s="54">
        <f>Данные!Z811</f>
        <v>0</v>
      </c>
      <c r="AA811" s="54" t="str">
        <f>Данные!AA811</f>
        <v>осн</v>
      </c>
      <c r="AB811" s="101">
        <f t="shared" si="112"/>
        <v>800</v>
      </c>
      <c r="AC811" s="101" t="str">
        <f t="shared" si="113"/>
        <v>КЭО (маг)</v>
      </c>
      <c r="AD811" s="101" t="str">
        <f t="shared" si="114"/>
        <v/>
      </c>
      <c r="AE811" s="102">
        <f t="shared" ca="1" si="115"/>
        <v>12.3</v>
      </c>
      <c r="AF811" s="103">
        <f t="shared" ca="1" si="116"/>
        <v>1.5375000000000002E-2</v>
      </c>
      <c r="AG811" s="101"/>
      <c r="AH811" s="101"/>
      <c r="AI811"/>
      <c r="BQ811" s="72">
        <v>0</v>
      </c>
      <c r="BR811" s="72">
        <v>0</v>
      </c>
      <c r="BS811" s="72">
        <v>0</v>
      </c>
      <c r="BT811" s="72">
        <v>0</v>
      </c>
      <c r="BU811" s="72">
        <v>0</v>
      </c>
      <c r="BV811" s="72">
        <v>0</v>
      </c>
      <c r="BW811" s="72">
        <v>0</v>
      </c>
      <c r="BX811" s="72">
        <v>0</v>
      </c>
      <c r="BY811" s="72">
        <v>0</v>
      </c>
      <c r="BZ811" s="72">
        <v>0</v>
      </c>
      <c r="CA811" s="72">
        <v>0</v>
      </c>
      <c r="CB811" s="72">
        <v>0</v>
      </c>
      <c r="CC811" s="72">
        <v>0</v>
      </c>
      <c r="CD811" s="72">
        <v>0</v>
      </c>
      <c r="CE811" s="72">
        <v>0</v>
      </c>
      <c r="CF811" s="72">
        <v>0</v>
      </c>
      <c r="CG811" s="72">
        <v>0</v>
      </c>
      <c r="CH811" s="72">
        <v>0</v>
      </c>
      <c r="CI811" s="72">
        <v>0</v>
      </c>
      <c r="CJ811" s="72">
        <v>0</v>
      </c>
      <c r="CK811" s="72">
        <v>0</v>
      </c>
      <c r="CL811" s="72">
        <v>0</v>
      </c>
      <c r="CM811" s="72">
        <v>0</v>
      </c>
      <c r="CN811" s="72">
        <v>0</v>
      </c>
      <c r="CO811" s="72">
        <v>0</v>
      </c>
      <c r="CP811" s="72">
        <v>0</v>
      </c>
      <c r="CQ811" s="72">
        <v>0</v>
      </c>
      <c r="CR811" s="72">
        <v>0</v>
      </c>
      <c r="CS811" s="72">
        <v>0</v>
      </c>
      <c r="CT811" s="72">
        <v>0</v>
      </c>
      <c r="CU811" s="72">
        <v>0</v>
      </c>
      <c r="CV811" s="72">
        <v>0</v>
      </c>
      <c r="CW811" s="72">
        <v>0</v>
      </c>
      <c r="CX811" s="72">
        <v>0</v>
      </c>
      <c r="CY811" s="72">
        <v>0</v>
      </c>
      <c r="CZ811" s="72">
        <v>0</v>
      </c>
      <c r="DA811" s="72">
        <v>0</v>
      </c>
      <c r="DB811" s="72">
        <v>0</v>
      </c>
      <c r="DC811" s="72">
        <v>0</v>
      </c>
      <c r="DD811" s="72">
        <v>0</v>
      </c>
      <c r="DE811" s="72">
        <v>0</v>
      </c>
      <c r="DF811" s="72">
        <v>0</v>
      </c>
      <c r="DG811" s="72">
        <v>0</v>
      </c>
      <c r="DH811" s="72">
        <v>0</v>
      </c>
      <c r="DI811" s="72">
        <v>0</v>
      </c>
      <c r="DJ811" s="72">
        <v>0</v>
      </c>
      <c r="DK811" s="72">
        <v>0</v>
      </c>
      <c r="DL811" s="72">
        <v>0</v>
      </c>
      <c r="DM811" s="72">
        <v>0</v>
      </c>
      <c r="DN811" s="72">
        <v>0</v>
      </c>
      <c r="DO811" s="72">
        <v>0</v>
      </c>
      <c r="DP811" s="72">
        <v>0</v>
      </c>
      <c r="DQ811" s="72">
        <v>0</v>
      </c>
      <c r="DR811" s="72">
        <v>0</v>
      </c>
      <c r="DS811" s="72">
        <v>0</v>
      </c>
      <c r="DT811" s="72">
        <v>0</v>
      </c>
      <c r="DU811" s="72">
        <v>0</v>
      </c>
      <c r="DV811" s="72">
        <v>0</v>
      </c>
      <c r="DW811" s="72">
        <v>0</v>
      </c>
      <c r="DX811" s="72">
        <v>0</v>
      </c>
      <c r="DY811" s="72">
        <v>0</v>
      </c>
      <c r="DZ811" s="72">
        <v>0</v>
      </c>
      <c r="EA811" s="72">
        <v>0</v>
      </c>
      <c r="EB811" s="72">
        <v>0</v>
      </c>
      <c r="EC811" s="72">
        <v>0</v>
      </c>
      <c r="ED811" s="72">
        <v>0</v>
      </c>
      <c r="EE811" s="72">
        <v>0</v>
      </c>
      <c r="EF811" s="72">
        <v>0</v>
      </c>
      <c r="EG811" s="72">
        <v>0</v>
      </c>
      <c r="EH811" s="72">
        <v>0</v>
      </c>
      <c r="EI811" s="72">
        <v>0</v>
      </c>
      <c r="EJ811" s="72">
        <v>0</v>
      </c>
      <c r="EK811" s="72">
        <v>0</v>
      </c>
      <c r="EL811" s="72">
        <v>0</v>
      </c>
    </row>
    <row r="812" spans="1:142" s="6" customFormat="1" x14ac:dyDescent="0.35">
      <c r="A812" s="59">
        <f>Данные!A812</f>
        <v>6370</v>
      </c>
      <c r="B812" s="59">
        <f>Данные!B812</f>
        <v>2019</v>
      </c>
      <c r="C812" s="59" t="str">
        <f>Данные!C812</f>
        <v>компьютерных технологий и электронного обучения</v>
      </c>
      <c r="D812" s="59" t="str">
        <f>Данные!D812</f>
        <v>Акимов Станислав Сергеевич</v>
      </c>
      <c r="E812" s="59" t="str">
        <f>Данные!E812</f>
        <v>кандидат педагогических наук</v>
      </c>
      <c r="F812" s="59" t="str">
        <f>Данные!F812</f>
        <v>доцент</v>
      </c>
      <c r="G812" s="59">
        <f>Данные!G812</f>
        <v>1</v>
      </c>
      <c r="H812" s="59" t="str">
        <f>Данные!H812</f>
        <v>2 курс (м) 2018 год/пост</v>
      </c>
      <c r="I812" s="59" t="str">
        <f>Данные!I812</f>
        <v>Модуль "IT-решения и инструменты в образовании". Дисциплины и курсы по выбору. Прикладные информационные технологии</v>
      </c>
      <c r="J812" s="59">
        <f>Данные!J812</f>
        <v>4</v>
      </c>
      <c r="K812" s="59">
        <f>Данные!K812</f>
        <v>14</v>
      </c>
      <c r="L812" s="59">
        <f>Данные!L812</f>
        <v>0</v>
      </c>
      <c r="M812" s="60">
        <f t="shared" si="108"/>
        <v>1.8</v>
      </c>
      <c r="N812" s="60">
        <f t="shared" ca="1" si="109"/>
        <v>5.3000000000000007</v>
      </c>
      <c r="O812" s="60">
        <f t="shared" ca="1" si="110"/>
        <v>2.5</v>
      </c>
      <c r="P812" s="60">
        <f t="shared" ca="1" si="111"/>
        <v>2.5</v>
      </c>
      <c r="Q812" s="54">
        <f>Данные!Q812</f>
        <v>0</v>
      </c>
      <c r="R812" s="54">
        <f>Данные!R812</f>
        <v>0</v>
      </c>
      <c r="S812" s="54">
        <f>Данные!S812</f>
        <v>0</v>
      </c>
      <c r="T812" s="54">
        <f>Данные!T812</f>
        <v>0</v>
      </c>
      <c r="U812" s="54">
        <f>Данные!U812</f>
        <v>0</v>
      </c>
      <c r="V812" s="54">
        <f>Данные!V812</f>
        <v>0</v>
      </c>
      <c r="W812" s="54">
        <f ca="1">Данные!W812</f>
        <v>10</v>
      </c>
      <c r="X812" s="54" t="str">
        <f ca="1">Данные!X812</f>
        <v>1</v>
      </c>
      <c r="Y812" s="54" t="str">
        <f ca="1">Данные!Y812</f>
        <v>1</v>
      </c>
      <c r="Z812" s="54">
        <f>Данные!Z812</f>
        <v>0</v>
      </c>
      <c r="AA812" s="54" t="str">
        <f>Данные!AA812</f>
        <v>осн</v>
      </c>
      <c r="AB812" s="101">
        <f t="shared" si="112"/>
        <v>800</v>
      </c>
      <c r="AC812" s="101" t="str">
        <f t="shared" si="113"/>
        <v>КЭО (маг)</v>
      </c>
      <c r="AD812" s="101" t="str">
        <f t="shared" si="114"/>
        <v/>
      </c>
      <c r="AE812" s="102">
        <f t="shared" ca="1" si="115"/>
        <v>30.1</v>
      </c>
      <c r="AF812" s="103">
        <f t="shared" ca="1" si="116"/>
        <v>3.7624999999999999E-2</v>
      </c>
      <c r="AG812" s="101"/>
      <c r="AH812" s="101"/>
      <c r="AI812"/>
      <c r="BQ812" s="72">
        <v>0</v>
      </c>
      <c r="BR812" s="72">
        <v>0</v>
      </c>
      <c r="BS812" s="72">
        <v>0</v>
      </c>
      <c r="BT812" s="72">
        <v>0</v>
      </c>
      <c r="BU812" s="72">
        <v>0</v>
      </c>
      <c r="BV812" s="72">
        <v>0</v>
      </c>
      <c r="BW812" s="72">
        <v>0</v>
      </c>
      <c r="BX812" s="72">
        <v>0</v>
      </c>
      <c r="BY812" s="72">
        <v>0</v>
      </c>
      <c r="BZ812" s="72">
        <v>0</v>
      </c>
      <c r="CA812" s="72">
        <v>0</v>
      </c>
      <c r="CB812" s="72">
        <v>0</v>
      </c>
      <c r="CC812" s="72">
        <v>0</v>
      </c>
      <c r="CD812" s="72">
        <v>0</v>
      </c>
      <c r="CE812" s="72">
        <v>0</v>
      </c>
      <c r="CF812" s="72">
        <v>0</v>
      </c>
      <c r="CG812" s="72">
        <v>0</v>
      </c>
      <c r="CH812" s="72">
        <v>0</v>
      </c>
      <c r="CI812" s="72">
        <v>0</v>
      </c>
      <c r="CJ812" s="72">
        <v>0</v>
      </c>
      <c r="CK812" s="72">
        <v>0</v>
      </c>
      <c r="CL812" s="72">
        <v>0</v>
      </c>
      <c r="CM812" s="72">
        <v>0</v>
      </c>
      <c r="CN812" s="72">
        <v>0</v>
      </c>
      <c r="CO812" s="72">
        <v>0</v>
      </c>
      <c r="CP812" s="72">
        <v>0</v>
      </c>
      <c r="CQ812" s="72">
        <v>0</v>
      </c>
      <c r="CR812" s="72">
        <v>0</v>
      </c>
      <c r="CS812" s="72">
        <v>0</v>
      </c>
      <c r="CT812" s="72">
        <v>0</v>
      </c>
      <c r="CU812" s="72">
        <v>0</v>
      </c>
      <c r="CV812" s="72">
        <v>0</v>
      </c>
      <c r="CW812" s="72">
        <v>0</v>
      </c>
      <c r="CX812" s="72">
        <v>0</v>
      </c>
      <c r="CY812" s="72">
        <v>0</v>
      </c>
      <c r="CZ812" s="72">
        <v>0</v>
      </c>
      <c r="DA812" s="72">
        <v>0</v>
      </c>
      <c r="DB812" s="72">
        <v>0</v>
      </c>
      <c r="DC812" s="72">
        <v>0</v>
      </c>
      <c r="DD812" s="72">
        <v>0</v>
      </c>
      <c r="DE812" s="72">
        <v>0</v>
      </c>
      <c r="DF812" s="72">
        <v>0</v>
      </c>
      <c r="DG812" s="72">
        <v>0</v>
      </c>
      <c r="DH812" s="72">
        <v>0</v>
      </c>
      <c r="DI812" s="72">
        <v>0</v>
      </c>
      <c r="DJ812" s="72">
        <v>0</v>
      </c>
      <c r="DK812" s="72">
        <v>0</v>
      </c>
      <c r="DL812" s="72">
        <v>0</v>
      </c>
      <c r="DM812" s="72">
        <v>0</v>
      </c>
      <c r="DN812" s="72">
        <v>0</v>
      </c>
      <c r="DO812" s="72">
        <v>0</v>
      </c>
      <c r="DP812" s="72">
        <v>0</v>
      </c>
      <c r="DQ812" s="72">
        <v>0</v>
      </c>
      <c r="DR812" s="72">
        <v>0</v>
      </c>
      <c r="DS812" s="72">
        <v>0</v>
      </c>
      <c r="DT812" s="72">
        <v>0</v>
      </c>
      <c r="DU812" s="72">
        <v>0</v>
      </c>
      <c r="DV812" s="72">
        <v>0</v>
      </c>
      <c r="DW812" s="72">
        <v>0</v>
      </c>
      <c r="DX812" s="72">
        <v>0</v>
      </c>
      <c r="DY812" s="72">
        <v>0</v>
      </c>
      <c r="DZ812" s="72">
        <v>0</v>
      </c>
      <c r="EA812" s="72">
        <v>0</v>
      </c>
      <c r="EB812" s="72">
        <v>0</v>
      </c>
      <c r="EC812" s="72">
        <v>0</v>
      </c>
      <c r="ED812" s="72">
        <v>0</v>
      </c>
      <c r="EE812" s="72">
        <v>0</v>
      </c>
      <c r="EF812" s="72">
        <v>0</v>
      </c>
      <c r="EG812" s="72">
        <v>0</v>
      </c>
      <c r="EH812" s="72">
        <v>0</v>
      </c>
      <c r="EI812" s="72">
        <v>0</v>
      </c>
      <c r="EJ812" s="72">
        <v>0</v>
      </c>
      <c r="EK812" s="72">
        <v>0</v>
      </c>
      <c r="EL812" s="72">
        <v>0</v>
      </c>
    </row>
    <row r="813" spans="1:142" s="6" customFormat="1" x14ac:dyDescent="0.35">
      <c r="A813" s="59">
        <f>Данные!A813</f>
        <v>5791</v>
      </c>
      <c r="B813" s="59">
        <f>Данные!B813</f>
        <v>2020</v>
      </c>
      <c r="C813" s="59" t="str">
        <f>Данные!C813</f>
        <v>современных европейских языков</v>
      </c>
      <c r="D813" s="59" t="str">
        <f>Данные!D813</f>
        <v>Кудрявцева Наталья Фаддеевна</v>
      </c>
      <c r="E813" s="59" t="str">
        <f>Данные!E813</f>
        <v>кандидат социологических наук</v>
      </c>
      <c r="F813" s="59" t="str">
        <f>Данные!F813</f>
        <v>доцент</v>
      </c>
      <c r="G813" s="59">
        <f>Данные!G813</f>
        <v>1</v>
      </c>
      <c r="H813" s="59" t="str">
        <f>Данные!H813</f>
        <v>4 курс 2017 год/пост</v>
      </c>
      <c r="I813" s="59" t="str">
        <f>Данные!I813</f>
        <v>Модуль "Основы профессионального общения на иностранном языке". Профессионально-ориентированная письменная коммуникация</v>
      </c>
      <c r="J813" s="59">
        <f>Данные!J813</f>
        <v>0</v>
      </c>
      <c r="K813" s="59">
        <f>Данные!K813</f>
        <v>0</v>
      </c>
      <c r="L813" s="59">
        <f>Данные!L813</f>
        <v>72</v>
      </c>
      <c r="M813" s="60">
        <f t="shared" si="108"/>
        <v>7.2</v>
      </c>
      <c r="N813" s="60">
        <f t="shared" ca="1" si="109"/>
        <v>10.91</v>
      </c>
      <c r="O813" s="60">
        <f t="shared" ca="1" si="110"/>
        <v>6.75</v>
      </c>
      <c r="P813" s="60">
        <f t="shared" ca="1" si="111"/>
        <v>6.75</v>
      </c>
      <c r="Q813" s="54">
        <f>Данные!Q813</f>
        <v>0</v>
      </c>
      <c r="R813" s="54">
        <f>Данные!R813</f>
        <v>0</v>
      </c>
      <c r="S813" s="54">
        <f>Данные!S813</f>
        <v>0</v>
      </c>
      <c r="T813" s="54">
        <f>Данные!T813</f>
        <v>0</v>
      </c>
      <c r="U813" s="54">
        <f>Данные!U813</f>
        <v>0</v>
      </c>
      <c r="V813" s="54">
        <f>Данные!V813</f>
        <v>0</v>
      </c>
      <c r="W813" s="54">
        <f ca="1">Данные!W813</f>
        <v>27</v>
      </c>
      <c r="X813" s="54" t="str">
        <f ca="1">Данные!X813</f>
        <v>1</v>
      </c>
      <c r="Y813" s="54" t="str">
        <f ca="1">Данные!Y813</f>
        <v>2</v>
      </c>
      <c r="Z813" s="54">
        <f>Данные!Z813</f>
        <v>0</v>
      </c>
      <c r="AA813" s="54" t="str">
        <f>Данные!AA813</f>
        <v>доп</v>
      </c>
      <c r="AB813" s="101">
        <f t="shared" si="112"/>
        <v>800</v>
      </c>
      <c r="AC813" s="101" t="str">
        <f t="shared" si="113"/>
        <v>ИВТ (бак)</v>
      </c>
      <c r="AD813" s="101" t="str">
        <f t="shared" si="114"/>
        <v/>
      </c>
      <c r="AE813" s="102">
        <f t="shared" ca="1" si="115"/>
        <v>103.61</v>
      </c>
      <c r="AF813" s="103">
        <f t="shared" ca="1" si="116"/>
        <v>0.1295125</v>
      </c>
      <c r="AG813" s="101"/>
      <c r="AH813" s="101"/>
      <c r="AI813"/>
      <c r="BQ813" s="72">
        <v>0</v>
      </c>
      <c r="BR813" s="72">
        <v>0</v>
      </c>
      <c r="BS813" s="72">
        <v>0</v>
      </c>
      <c r="BT813" s="72">
        <v>0</v>
      </c>
      <c r="BU813" s="72">
        <v>0</v>
      </c>
      <c r="BV813" s="72">
        <v>0</v>
      </c>
      <c r="BW813" s="72">
        <v>0</v>
      </c>
      <c r="BX813" s="72">
        <v>0</v>
      </c>
      <c r="BY813" s="72">
        <v>0</v>
      </c>
      <c r="BZ813" s="72">
        <v>0</v>
      </c>
      <c r="CA813" s="72">
        <v>0</v>
      </c>
      <c r="CB813" s="72">
        <v>0</v>
      </c>
      <c r="CC813" s="72">
        <v>0</v>
      </c>
      <c r="CD813" s="72">
        <v>0</v>
      </c>
      <c r="CE813" s="72">
        <v>0</v>
      </c>
      <c r="CF813" s="72">
        <v>0</v>
      </c>
      <c r="CG813" s="72">
        <v>0</v>
      </c>
      <c r="CH813" s="72">
        <v>0</v>
      </c>
      <c r="CI813" s="72">
        <v>0</v>
      </c>
      <c r="CJ813" s="72">
        <v>0</v>
      </c>
      <c r="CK813" s="72">
        <v>0</v>
      </c>
      <c r="CL813" s="72">
        <v>0</v>
      </c>
      <c r="CM813" s="72">
        <v>0</v>
      </c>
      <c r="CN813" s="72">
        <v>0</v>
      </c>
      <c r="CO813" s="72">
        <v>0</v>
      </c>
      <c r="CP813" s="72">
        <v>0</v>
      </c>
      <c r="CQ813" s="72">
        <v>0</v>
      </c>
      <c r="CR813" s="72">
        <v>0</v>
      </c>
      <c r="CS813" s="72">
        <v>0</v>
      </c>
      <c r="CT813" s="72">
        <v>0</v>
      </c>
      <c r="CU813" s="72">
        <v>0</v>
      </c>
      <c r="CV813" s="72">
        <v>0</v>
      </c>
      <c r="CW813" s="72">
        <v>0</v>
      </c>
      <c r="CX813" s="72">
        <v>0</v>
      </c>
      <c r="CY813" s="72">
        <v>0</v>
      </c>
      <c r="CZ813" s="72">
        <v>0</v>
      </c>
      <c r="DA813" s="72">
        <v>0</v>
      </c>
      <c r="DB813" s="72">
        <v>0</v>
      </c>
      <c r="DC813" s="72">
        <v>0</v>
      </c>
      <c r="DD813" s="72">
        <v>0</v>
      </c>
      <c r="DE813" s="72">
        <v>0</v>
      </c>
      <c r="DF813" s="72">
        <v>0</v>
      </c>
      <c r="DG813" s="72">
        <v>0</v>
      </c>
      <c r="DH813" s="72">
        <v>0</v>
      </c>
      <c r="DI813" s="72">
        <v>0</v>
      </c>
      <c r="DJ813" s="72">
        <v>0</v>
      </c>
      <c r="DK813" s="72">
        <v>0</v>
      </c>
      <c r="DL813" s="72">
        <v>0</v>
      </c>
      <c r="DM813" s="72">
        <v>0</v>
      </c>
      <c r="DN813" s="72">
        <v>0</v>
      </c>
      <c r="DO813" s="72">
        <v>0</v>
      </c>
      <c r="DP813" s="72">
        <v>0</v>
      </c>
      <c r="DQ813" s="72">
        <v>0</v>
      </c>
      <c r="DR813" s="72">
        <v>0</v>
      </c>
      <c r="DS813" s="72">
        <v>0</v>
      </c>
      <c r="DT813" s="72">
        <v>0</v>
      </c>
      <c r="DU813" s="72">
        <v>0</v>
      </c>
      <c r="DV813" s="72">
        <v>0</v>
      </c>
      <c r="DW813" s="72">
        <v>0</v>
      </c>
      <c r="DX813" s="72">
        <v>0</v>
      </c>
      <c r="DY813" s="72">
        <v>0</v>
      </c>
      <c r="DZ813" s="72">
        <v>0</v>
      </c>
      <c r="EA813" s="72">
        <v>0</v>
      </c>
      <c r="EB813" s="72">
        <v>0</v>
      </c>
      <c r="EC813" s="72">
        <v>0</v>
      </c>
      <c r="ED813" s="72">
        <v>0</v>
      </c>
      <c r="EE813" s="72">
        <v>0</v>
      </c>
      <c r="EF813" s="72">
        <v>0</v>
      </c>
      <c r="EG813" s="72">
        <v>0</v>
      </c>
      <c r="EH813" s="72">
        <v>0</v>
      </c>
      <c r="EI813" s="72">
        <v>0</v>
      </c>
      <c r="EJ813" s="72">
        <v>0</v>
      </c>
      <c r="EK813" s="72">
        <v>0</v>
      </c>
      <c r="EL813" s="72">
        <v>0</v>
      </c>
    </row>
    <row r="814" spans="1:142" s="6" customFormat="1" x14ac:dyDescent="0.35">
      <c r="A814" s="59">
        <f>Данные!A814</f>
        <v>6368</v>
      </c>
      <c r="B814" s="59">
        <f>Данные!B814</f>
        <v>2019</v>
      </c>
      <c r="C814" s="59" t="str">
        <f>Данные!C814</f>
        <v>компьютерных технологий и электронного обучения</v>
      </c>
      <c r="D814" s="59" t="str">
        <f>Данные!D814</f>
        <v>Абрамян Геннадий Владимирович</v>
      </c>
      <c r="E814" s="59" t="str">
        <f>Данные!E814</f>
        <v>доктор педагогических наук</v>
      </c>
      <c r="F814" s="59" t="str">
        <f>Данные!F814</f>
        <v>профессор</v>
      </c>
      <c r="G814" s="59">
        <f>Данные!G814</f>
        <v>1</v>
      </c>
      <c r="H814" s="59" t="str">
        <f>Данные!H814</f>
        <v>2 курс (б) 2018 год/пост</v>
      </c>
      <c r="I814" s="59" t="str">
        <f>Данные!I814</f>
        <v>Модуль "Системное и прикладное программное обеспечение". Операционные системы</v>
      </c>
      <c r="J814" s="59">
        <f>Данные!J814</f>
        <v>18</v>
      </c>
      <c r="K814" s="59">
        <f>Данные!K814</f>
        <v>0</v>
      </c>
      <c r="L814" s="59">
        <f>Данные!L814</f>
        <v>108</v>
      </c>
      <c r="M814" s="60">
        <f t="shared" si="108"/>
        <v>12.6</v>
      </c>
      <c r="N814" s="60">
        <f t="shared" ca="1" si="109"/>
        <v>14.870000000000001</v>
      </c>
      <c r="O814" s="60">
        <f t="shared" ca="1" si="110"/>
        <v>9.75</v>
      </c>
      <c r="P814" s="60">
        <f t="shared" ca="1" si="111"/>
        <v>9.75</v>
      </c>
      <c r="Q814" s="54">
        <f>Данные!Q814</f>
        <v>0</v>
      </c>
      <c r="R814" s="54">
        <f>Данные!R814</f>
        <v>0</v>
      </c>
      <c r="S814" s="54">
        <f>Данные!S814</f>
        <v>0</v>
      </c>
      <c r="T814" s="54">
        <f>Данные!T814</f>
        <v>0</v>
      </c>
      <c r="U814" s="54">
        <f>Данные!U814</f>
        <v>0</v>
      </c>
      <c r="V814" s="54">
        <f>Данные!V814</f>
        <v>0</v>
      </c>
      <c r="W814" s="54">
        <f ca="1">Данные!W814</f>
        <v>39</v>
      </c>
      <c r="X814" s="54" t="str">
        <f ca="1">Данные!X814</f>
        <v>2</v>
      </c>
      <c r="Y814" s="54" t="str">
        <f ca="1">Данные!Y814</f>
        <v>3</v>
      </c>
      <c r="Z814" s="54">
        <f>Данные!Z814</f>
        <v>0</v>
      </c>
      <c r="AA814" s="54" t="str">
        <f>Данные!AA814</f>
        <v>осн</v>
      </c>
      <c r="AB814" s="101">
        <f t="shared" si="112"/>
        <v>750</v>
      </c>
      <c r="AC814" s="101" t="str">
        <f t="shared" si="113"/>
        <v>ИВТ (бак)</v>
      </c>
      <c r="AD814" s="101" t="str">
        <f t="shared" si="114"/>
        <v/>
      </c>
      <c r="AE814" s="102">
        <f t="shared" ca="1" si="115"/>
        <v>172.97</v>
      </c>
      <c r="AF814" s="103">
        <f t="shared" ca="1" si="116"/>
        <v>0.23062666666666667</v>
      </c>
      <c r="AG814" s="101"/>
      <c r="AH814" s="101"/>
      <c r="AI814"/>
      <c r="BQ814" s="72">
        <v>0</v>
      </c>
      <c r="BR814" s="72">
        <v>0</v>
      </c>
      <c r="BS814" s="72">
        <v>0</v>
      </c>
      <c r="BT814" s="72">
        <v>0</v>
      </c>
      <c r="BU814" s="72">
        <v>0</v>
      </c>
      <c r="BV814" s="72">
        <v>0</v>
      </c>
      <c r="BW814" s="72">
        <v>0</v>
      </c>
      <c r="BX814" s="72">
        <v>0</v>
      </c>
      <c r="BY814" s="72">
        <v>0</v>
      </c>
      <c r="BZ814" s="72">
        <v>0</v>
      </c>
      <c r="CA814" s="72">
        <v>0</v>
      </c>
      <c r="CB814" s="72">
        <v>0</v>
      </c>
      <c r="CC814" s="72">
        <v>0</v>
      </c>
      <c r="CD814" s="72">
        <v>0</v>
      </c>
      <c r="CE814" s="72">
        <v>0</v>
      </c>
      <c r="CF814" s="72">
        <v>0</v>
      </c>
      <c r="CG814" s="72">
        <v>0</v>
      </c>
      <c r="CH814" s="72">
        <v>0</v>
      </c>
      <c r="CI814" s="72">
        <v>0</v>
      </c>
      <c r="CJ814" s="72">
        <v>0</v>
      </c>
      <c r="CK814" s="72">
        <v>0</v>
      </c>
      <c r="CL814" s="72">
        <v>0</v>
      </c>
      <c r="CM814" s="72">
        <v>0</v>
      </c>
      <c r="CN814" s="72">
        <v>0</v>
      </c>
      <c r="CO814" s="72">
        <v>0</v>
      </c>
      <c r="CP814" s="72">
        <v>0</v>
      </c>
      <c r="CQ814" s="72">
        <v>0</v>
      </c>
      <c r="CR814" s="72">
        <v>0</v>
      </c>
      <c r="CS814" s="72">
        <v>0</v>
      </c>
      <c r="CT814" s="72">
        <v>0</v>
      </c>
      <c r="CU814" s="72">
        <v>0</v>
      </c>
      <c r="CV814" s="72">
        <v>0</v>
      </c>
      <c r="CW814" s="72">
        <v>0</v>
      </c>
      <c r="CX814" s="72">
        <v>0</v>
      </c>
      <c r="CY814" s="72">
        <v>0</v>
      </c>
      <c r="CZ814" s="72">
        <v>0</v>
      </c>
      <c r="DA814" s="72">
        <v>0</v>
      </c>
      <c r="DB814" s="72">
        <v>0</v>
      </c>
      <c r="DC814" s="72">
        <v>0</v>
      </c>
      <c r="DD814" s="72">
        <v>0</v>
      </c>
      <c r="DE814" s="72">
        <v>0</v>
      </c>
      <c r="DF814" s="72">
        <v>0</v>
      </c>
      <c r="DG814" s="72">
        <v>0</v>
      </c>
      <c r="DH814" s="72">
        <v>0</v>
      </c>
      <c r="DI814" s="72">
        <v>0</v>
      </c>
      <c r="DJ814" s="72">
        <v>0</v>
      </c>
      <c r="DK814" s="72">
        <v>0</v>
      </c>
      <c r="DL814" s="72">
        <v>0</v>
      </c>
      <c r="DM814" s="72">
        <v>0</v>
      </c>
      <c r="DN814" s="72">
        <v>0</v>
      </c>
      <c r="DO814" s="72">
        <v>0</v>
      </c>
      <c r="DP814" s="72">
        <v>0</v>
      </c>
      <c r="DQ814" s="72">
        <v>0</v>
      </c>
      <c r="DR814" s="72">
        <v>0</v>
      </c>
      <c r="DS814" s="72">
        <v>0</v>
      </c>
      <c r="DT814" s="72">
        <v>0</v>
      </c>
      <c r="DU814" s="72">
        <v>0</v>
      </c>
      <c r="DV814" s="72">
        <v>0</v>
      </c>
      <c r="DW814" s="72">
        <v>0</v>
      </c>
      <c r="DX814" s="72">
        <v>0</v>
      </c>
      <c r="DY814" s="72">
        <v>0</v>
      </c>
      <c r="DZ814" s="72">
        <v>0</v>
      </c>
      <c r="EA814" s="72">
        <v>0</v>
      </c>
      <c r="EB814" s="72">
        <v>0</v>
      </c>
      <c r="EC814" s="72">
        <v>0</v>
      </c>
      <c r="ED814" s="72">
        <v>0</v>
      </c>
      <c r="EE814" s="72">
        <v>0</v>
      </c>
      <c r="EF814" s="72">
        <v>0</v>
      </c>
      <c r="EG814" s="72">
        <v>0</v>
      </c>
      <c r="EH814" s="72">
        <v>0</v>
      </c>
      <c r="EI814" s="72">
        <v>0</v>
      </c>
      <c r="EJ814" s="72">
        <v>0</v>
      </c>
      <c r="EK814" s="72">
        <v>0</v>
      </c>
      <c r="EL814" s="72">
        <v>0</v>
      </c>
    </row>
    <row r="815" spans="1:142" s="6" customFormat="1" x14ac:dyDescent="0.35">
      <c r="A815" s="59">
        <f>Данные!A815</f>
        <v>6368</v>
      </c>
      <c r="B815" s="59">
        <f>Данные!B815</f>
        <v>2019</v>
      </c>
      <c r="C815" s="59" t="str">
        <f>Данные!C815</f>
        <v>компьютерных технологий и электронного обучения</v>
      </c>
      <c r="D815" s="59" t="str">
        <f>Данные!D815</f>
        <v>Авксентьева Елена Юрьевна</v>
      </c>
      <c r="E815" s="59" t="str">
        <f>Данные!E815</f>
        <v>кандидат педагогических наук</v>
      </c>
      <c r="F815" s="59" t="str">
        <f>Данные!F815</f>
        <v>доцент</v>
      </c>
      <c r="G815" s="59">
        <f>Данные!G815</f>
        <v>1</v>
      </c>
      <c r="H815" s="59" t="str">
        <f>Данные!H815</f>
        <v>2 курс (б) 2018 год/пост</v>
      </c>
      <c r="I815" s="59" t="str">
        <f>Данные!I815</f>
        <v>Модуль "Системное и прикладное программное обеспечение". Программирование</v>
      </c>
      <c r="J815" s="59">
        <f>Данные!J815</f>
        <v>18</v>
      </c>
      <c r="K815" s="59">
        <f>Данные!K815</f>
        <v>0</v>
      </c>
      <c r="L815" s="59">
        <f>Данные!L815</f>
        <v>0</v>
      </c>
      <c r="M815" s="60">
        <f t="shared" si="108"/>
        <v>1.8</v>
      </c>
      <c r="N815" s="60">
        <f t="shared" ca="1" si="109"/>
        <v>14.870000000000001</v>
      </c>
      <c r="O815" s="60">
        <f t="shared" ca="1" si="110"/>
        <v>9.75</v>
      </c>
      <c r="P815" s="60">
        <f t="shared" ca="1" si="111"/>
        <v>9.75</v>
      </c>
      <c r="Q815" s="54">
        <f>Данные!Q815</f>
        <v>0</v>
      </c>
      <c r="R815" s="54">
        <f>Данные!R815</f>
        <v>0</v>
      </c>
      <c r="S815" s="54">
        <f>Данные!S815</f>
        <v>0</v>
      </c>
      <c r="T815" s="54">
        <f>Данные!T815</f>
        <v>0</v>
      </c>
      <c r="U815" s="54">
        <f>Данные!U815</f>
        <v>0</v>
      </c>
      <c r="V815" s="54">
        <f>Данные!V815</f>
        <v>0</v>
      </c>
      <c r="W815" s="54">
        <f ca="1">Данные!W815</f>
        <v>39</v>
      </c>
      <c r="X815" s="54" t="str">
        <f ca="1">Данные!X815</f>
        <v>2</v>
      </c>
      <c r="Y815" s="54" t="str">
        <f ca="1">Данные!Y815</f>
        <v>3</v>
      </c>
      <c r="Z815" s="54">
        <f>Данные!Z815</f>
        <v>0</v>
      </c>
      <c r="AA815" s="54" t="str">
        <f>Данные!AA815</f>
        <v>осн</v>
      </c>
      <c r="AB815" s="101">
        <f t="shared" si="112"/>
        <v>800</v>
      </c>
      <c r="AC815" s="101" t="str">
        <f t="shared" si="113"/>
        <v>ИВТ (бак)</v>
      </c>
      <c r="AD815" s="101" t="str">
        <f t="shared" si="114"/>
        <v/>
      </c>
      <c r="AE815" s="102">
        <f t="shared" ca="1" si="115"/>
        <v>54.17</v>
      </c>
      <c r="AF815" s="103">
        <f t="shared" ca="1" si="116"/>
        <v>6.7712500000000009E-2</v>
      </c>
      <c r="AG815" s="101"/>
      <c r="AH815" s="101"/>
      <c r="AI815"/>
      <c r="BQ815" s="72">
        <v>0</v>
      </c>
      <c r="BR815" s="72">
        <v>0</v>
      </c>
      <c r="BS815" s="72">
        <v>0</v>
      </c>
      <c r="BT815" s="72">
        <v>0</v>
      </c>
      <c r="BU815" s="72">
        <v>0</v>
      </c>
      <c r="BV815" s="72">
        <v>0</v>
      </c>
      <c r="BW815" s="72">
        <v>0</v>
      </c>
      <c r="BX815" s="72">
        <v>0</v>
      </c>
      <c r="BY815" s="72">
        <v>0</v>
      </c>
      <c r="BZ815" s="72">
        <v>0</v>
      </c>
      <c r="CA815" s="72">
        <v>0</v>
      </c>
      <c r="CB815" s="72">
        <v>0</v>
      </c>
      <c r="CC815" s="72">
        <v>0</v>
      </c>
      <c r="CD815" s="72">
        <v>0</v>
      </c>
      <c r="CE815" s="72">
        <v>0</v>
      </c>
      <c r="CF815" s="72">
        <v>0</v>
      </c>
      <c r="CG815" s="72">
        <v>0</v>
      </c>
      <c r="CH815" s="72">
        <v>0</v>
      </c>
      <c r="CI815" s="72">
        <v>0</v>
      </c>
      <c r="CJ815" s="72">
        <v>0</v>
      </c>
      <c r="CK815" s="72">
        <v>0</v>
      </c>
      <c r="CL815" s="72">
        <v>0</v>
      </c>
      <c r="CM815" s="72">
        <v>0</v>
      </c>
      <c r="CN815" s="72">
        <v>0</v>
      </c>
      <c r="CO815" s="72">
        <v>0</v>
      </c>
      <c r="CP815" s="72">
        <v>0</v>
      </c>
      <c r="CQ815" s="72">
        <v>0</v>
      </c>
      <c r="CR815" s="72">
        <v>0</v>
      </c>
      <c r="CS815" s="72">
        <v>0</v>
      </c>
      <c r="CT815" s="72">
        <v>0</v>
      </c>
      <c r="CU815" s="72">
        <v>0</v>
      </c>
      <c r="CV815" s="72">
        <v>0</v>
      </c>
      <c r="CW815" s="72">
        <v>0</v>
      </c>
      <c r="CX815" s="72">
        <v>0</v>
      </c>
      <c r="CY815" s="72">
        <v>0</v>
      </c>
      <c r="CZ815" s="72">
        <v>0</v>
      </c>
      <c r="DA815" s="72">
        <v>0</v>
      </c>
      <c r="DB815" s="72">
        <v>0</v>
      </c>
      <c r="DC815" s="72">
        <v>0</v>
      </c>
      <c r="DD815" s="72">
        <v>0</v>
      </c>
      <c r="DE815" s="72">
        <v>0</v>
      </c>
      <c r="DF815" s="72">
        <v>0</v>
      </c>
      <c r="DG815" s="72">
        <v>0</v>
      </c>
      <c r="DH815" s="72">
        <v>0</v>
      </c>
      <c r="DI815" s="72">
        <v>0</v>
      </c>
      <c r="DJ815" s="72">
        <v>0</v>
      </c>
      <c r="DK815" s="72">
        <v>0</v>
      </c>
      <c r="DL815" s="72">
        <v>0</v>
      </c>
      <c r="DM815" s="72">
        <v>0</v>
      </c>
      <c r="DN815" s="72">
        <v>0</v>
      </c>
      <c r="DO815" s="72">
        <v>0</v>
      </c>
      <c r="DP815" s="72">
        <v>0</v>
      </c>
      <c r="DQ815" s="72">
        <v>0</v>
      </c>
      <c r="DR815" s="72">
        <v>0</v>
      </c>
      <c r="DS815" s="72">
        <v>0</v>
      </c>
      <c r="DT815" s="72">
        <v>0</v>
      </c>
      <c r="DU815" s="72">
        <v>0</v>
      </c>
      <c r="DV815" s="72">
        <v>0</v>
      </c>
      <c r="DW815" s="72">
        <v>0</v>
      </c>
      <c r="DX815" s="72">
        <v>0</v>
      </c>
      <c r="DY815" s="72">
        <v>0</v>
      </c>
      <c r="DZ815" s="72">
        <v>0</v>
      </c>
      <c r="EA815" s="72">
        <v>0</v>
      </c>
      <c r="EB815" s="72">
        <v>0</v>
      </c>
      <c r="EC815" s="72">
        <v>0</v>
      </c>
      <c r="ED815" s="72">
        <v>0</v>
      </c>
      <c r="EE815" s="72">
        <v>0</v>
      </c>
      <c r="EF815" s="72">
        <v>0</v>
      </c>
      <c r="EG815" s="72">
        <v>0</v>
      </c>
      <c r="EH815" s="72">
        <v>0</v>
      </c>
      <c r="EI815" s="72">
        <v>0</v>
      </c>
      <c r="EJ815" s="72">
        <v>0</v>
      </c>
      <c r="EK815" s="72">
        <v>0</v>
      </c>
      <c r="EL815" s="72">
        <v>0</v>
      </c>
    </row>
    <row r="816" spans="1:142" s="6" customFormat="1" x14ac:dyDescent="0.35">
      <c r="A816" s="59">
        <f>Данные!A816</f>
        <v>6368</v>
      </c>
      <c r="B816" s="59">
        <f>Данные!B816</f>
        <v>2019</v>
      </c>
      <c r="C816" s="59" t="str">
        <f>Данные!C816</f>
        <v>компьютерных технологий и электронного обучения</v>
      </c>
      <c r="D816" s="59" t="str">
        <f>Данные!D816</f>
        <v>Авксентьева Елена Юрьевна</v>
      </c>
      <c r="E816" s="59" t="str">
        <f>Данные!E816</f>
        <v>кандидат педагогических наук</v>
      </c>
      <c r="F816" s="59" t="str">
        <f>Данные!F816</f>
        <v>доцент</v>
      </c>
      <c r="G816" s="59">
        <f>Данные!G816</f>
        <v>1</v>
      </c>
      <c r="H816" s="59" t="str">
        <f>Данные!H816</f>
        <v>2 курс (б) 2018 год/пост</v>
      </c>
      <c r="I816" s="59" t="str">
        <f>Данные!I816</f>
        <v>Модуль "Технологии и методы вычислений". Информационные технологии в решении задач оптимизации</v>
      </c>
      <c r="J816" s="59">
        <f>Данные!J816</f>
        <v>0</v>
      </c>
      <c r="K816" s="59">
        <f>Данные!K816</f>
        <v>0</v>
      </c>
      <c r="L816" s="59">
        <f>Данные!L816</f>
        <v>36</v>
      </c>
      <c r="M816" s="60">
        <f t="shared" si="108"/>
        <v>3.6</v>
      </c>
      <c r="N816" s="60">
        <f t="shared" ca="1" si="109"/>
        <v>14.870000000000001</v>
      </c>
      <c r="O816" s="60">
        <f t="shared" ca="1" si="110"/>
        <v>9.75</v>
      </c>
      <c r="P816" s="60">
        <f t="shared" ca="1" si="111"/>
        <v>9.75</v>
      </c>
      <c r="Q816" s="54">
        <f>Данные!Q816</f>
        <v>0</v>
      </c>
      <c r="R816" s="54">
        <f>Данные!R816</f>
        <v>0</v>
      </c>
      <c r="S816" s="54">
        <f>Данные!S816</f>
        <v>0</v>
      </c>
      <c r="T816" s="54">
        <f>Данные!T816</f>
        <v>0</v>
      </c>
      <c r="U816" s="54">
        <f>Данные!U816</f>
        <v>0</v>
      </c>
      <c r="V816" s="54">
        <f>Данные!V816</f>
        <v>0</v>
      </c>
      <c r="W816" s="54">
        <f ca="1">Данные!W816</f>
        <v>39</v>
      </c>
      <c r="X816" s="54" t="str">
        <f ca="1">Данные!X816</f>
        <v>2</v>
      </c>
      <c r="Y816" s="54" t="str">
        <f ca="1">Данные!Y816</f>
        <v>3</v>
      </c>
      <c r="Z816" s="54">
        <f>Данные!Z816</f>
        <v>0</v>
      </c>
      <c r="AA816" s="54" t="str">
        <f>Данные!AA816</f>
        <v>осн</v>
      </c>
      <c r="AB816" s="101">
        <f t="shared" si="112"/>
        <v>800</v>
      </c>
      <c r="AC816" s="101" t="str">
        <f t="shared" si="113"/>
        <v>ИВТ (бак)</v>
      </c>
      <c r="AD816" s="101" t="str">
        <f t="shared" si="114"/>
        <v/>
      </c>
      <c r="AE816" s="102">
        <f t="shared" ca="1" si="115"/>
        <v>73.97</v>
      </c>
      <c r="AF816" s="103">
        <f t="shared" ca="1" si="116"/>
        <v>9.2462500000000003E-2</v>
      </c>
      <c r="AG816" s="101"/>
      <c r="AH816" s="101"/>
      <c r="AI816"/>
      <c r="BQ816" s="72">
        <v>0</v>
      </c>
      <c r="BR816" s="72">
        <v>0</v>
      </c>
      <c r="BS816" s="72">
        <v>0</v>
      </c>
      <c r="BT816" s="72">
        <v>0</v>
      </c>
      <c r="BU816" s="72">
        <v>0</v>
      </c>
      <c r="BV816" s="72">
        <v>0</v>
      </c>
      <c r="BW816" s="72">
        <v>0</v>
      </c>
      <c r="BX816" s="72">
        <v>0</v>
      </c>
      <c r="BY816" s="72">
        <v>0</v>
      </c>
      <c r="BZ816" s="72">
        <v>0</v>
      </c>
      <c r="CA816" s="72">
        <v>0</v>
      </c>
      <c r="CB816" s="72">
        <v>0</v>
      </c>
      <c r="CC816" s="72">
        <v>0</v>
      </c>
      <c r="CD816" s="72">
        <v>0</v>
      </c>
      <c r="CE816" s="72">
        <v>0</v>
      </c>
      <c r="CF816" s="72">
        <v>0</v>
      </c>
      <c r="CG816" s="72">
        <v>0</v>
      </c>
      <c r="CH816" s="72">
        <v>0</v>
      </c>
      <c r="CI816" s="72">
        <v>0</v>
      </c>
      <c r="CJ816" s="72">
        <v>0</v>
      </c>
      <c r="CK816" s="72">
        <v>0</v>
      </c>
      <c r="CL816" s="72">
        <v>0</v>
      </c>
      <c r="CM816" s="72">
        <v>0</v>
      </c>
      <c r="CN816" s="72">
        <v>0</v>
      </c>
      <c r="CO816" s="72">
        <v>0</v>
      </c>
      <c r="CP816" s="72">
        <v>0</v>
      </c>
      <c r="CQ816" s="72">
        <v>0</v>
      </c>
      <c r="CR816" s="72">
        <v>0</v>
      </c>
      <c r="CS816" s="72">
        <v>0</v>
      </c>
      <c r="CT816" s="72">
        <v>0</v>
      </c>
      <c r="CU816" s="72">
        <v>0</v>
      </c>
      <c r="CV816" s="72">
        <v>0</v>
      </c>
      <c r="CW816" s="72">
        <v>0</v>
      </c>
      <c r="CX816" s="72">
        <v>0</v>
      </c>
      <c r="CY816" s="72">
        <v>0</v>
      </c>
      <c r="CZ816" s="72">
        <v>0</v>
      </c>
      <c r="DA816" s="72">
        <v>0</v>
      </c>
      <c r="DB816" s="72">
        <v>0</v>
      </c>
      <c r="DC816" s="72">
        <v>0</v>
      </c>
      <c r="DD816" s="72">
        <v>0</v>
      </c>
      <c r="DE816" s="72">
        <v>0</v>
      </c>
      <c r="DF816" s="72">
        <v>0</v>
      </c>
      <c r="DG816" s="72">
        <v>0</v>
      </c>
      <c r="DH816" s="72">
        <v>0</v>
      </c>
      <c r="DI816" s="72">
        <v>0</v>
      </c>
      <c r="DJ816" s="72">
        <v>0</v>
      </c>
      <c r="DK816" s="72">
        <v>0</v>
      </c>
      <c r="DL816" s="72">
        <v>0</v>
      </c>
      <c r="DM816" s="72">
        <v>0</v>
      </c>
      <c r="DN816" s="72">
        <v>0</v>
      </c>
      <c r="DO816" s="72">
        <v>0</v>
      </c>
      <c r="DP816" s="72">
        <v>0</v>
      </c>
      <c r="DQ816" s="72">
        <v>0</v>
      </c>
      <c r="DR816" s="72">
        <v>0</v>
      </c>
      <c r="DS816" s="72">
        <v>0</v>
      </c>
      <c r="DT816" s="72">
        <v>0</v>
      </c>
      <c r="DU816" s="72">
        <v>0</v>
      </c>
      <c r="DV816" s="72">
        <v>0</v>
      </c>
      <c r="DW816" s="72">
        <v>0</v>
      </c>
      <c r="DX816" s="72">
        <v>0</v>
      </c>
      <c r="DY816" s="72">
        <v>0</v>
      </c>
      <c r="DZ816" s="72">
        <v>0</v>
      </c>
      <c r="EA816" s="72">
        <v>0</v>
      </c>
      <c r="EB816" s="72">
        <v>0</v>
      </c>
      <c r="EC816" s="72">
        <v>0</v>
      </c>
      <c r="ED816" s="72">
        <v>0</v>
      </c>
      <c r="EE816" s="72">
        <v>0</v>
      </c>
      <c r="EF816" s="72">
        <v>0</v>
      </c>
      <c r="EG816" s="72">
        <v>0</v>
      </c>
      <c r="EH816" s="72">
        <v>0</v>
      </c>
      <c r="EI816" s="72">
        <v>0</v>
      </c>
      <c r="EJ816" s="72">
        <v>0</v>
      </c>
      <c r="EK816" s="72">
        <v>0</v>
      </c>
      <c r="EL816" s="72">
        <v>0</v>
      </c>
    </row>
    <row r="817" spans="1:142" s="6" customFormat="1" x14ac:dyDescent="0.35">
      <c r="A817" s="59">
        <f>Данные!A817</f>
        <v>6368</v>
      </c>
      <c r="B817" s="59">
        <f>Данные!B817</f>
        <v>2019</v>
      </c>
      <c r="C817" s="59" t="str">
        <f>Данные!C817</f>
        <v>компьютерных технологий и электронного обучения</v>
      </c>
      <c r="D817" s="59" t="str">
        <f>Данные!D817</f>
        <v>Авксентьева Елена Юрьевна</v>
      </c>
      <c r="E817" s="59" t="str">
        <f>Данные!E817</f>
        <v>кандидат педагогических наук</v>
      </c>
      <c r="F817" s="59" t="str">
        <f>Данные!F817</f>
        <v>доцент</v>
      </c>
      <c r="G817" s="59">
        <f>Данные!G817</f>
        <v>1</v>
      </c>
      <c r="H817" s="59" t="str">
        <f>Данные!H817</f>
        <v>2 курс (б) 2018 год/пост</v>
      </c>
      <c r="I817" s="59" t="str">
        <f>Данные!I817</f>
        <v>Модуль "Технологии и методы вычислений". Информационные технологии в решении задач оптимизации</v>
      </c>
      <c r="J817" s="59">
        <f>Данные!J817</f>
        <v>18</v>
      </c>
      <c r="K817" s="59">
        <f>Данные!K817</f>
        <v>0</v>
      </c>
      <c r="L817" s="59">
        <f>Данные!L817</f>
        <v>72</v>
      </c>
      <c r="M817" s="60">
        <f t="shared" si="108"/>
        <v>9</v>
      </c>
      <c r="N817" s="60">
        <f t="shared" ca="1" si="109"/>
        <v>14.870000000000001</v>
      </c>
      <c r="O817" s="60">
        <f t="shared" ca="1" si="110"/>
        <v>9.75</v>
      </c>
      <c r="P817" s="60">
        <f t="shared" ca="1" si="111"/>
        <v>9.75</v>
      </c>
      <c r="Q817" s="54">
        <f>Данные!Q817</f>
        <v>0</v>
      </c>
      <c r="R817" s="54">
        <f>Данные!R817</f>
        <v>0</v>
      </c>
      <c r="S817" s="54">
        <f>Данные!S817</f>
        <v>0</v>
      </c>
      <c r="T817" s="54">
        <f>Данные!T817</f>
        <v>0</v>
      </c>
      <c r="U817" s="54">
        <f>Данные!U817</f>
        <v>0</v>
      </c>
      <c r="V817" s="54">
        <f>Данные!V817</f>
        <v>0</v>
      </c>
      <c r="W817" s="54">
        <f ca="1">Данные!W817</f>
        <v>39</v>
      </c>
      <c r="X817" s="54" t="str">
        <f ca="1">Данные!X817</f>
        <v>2</v>
      </c>
      <c r="Y817" s="54" t="str">
        <f ca="1">Данные!Y817</f>
        <v>3</v>
      </c>
      <c r="Z817" s="54">
        <f>Данные!Z817</f>
        <v>0</v>
      </c>
      <c r="AA817" s="54" t="str">
        <f>Данные!AA817</f>
        <v>осн</v>
      </c>
      <c r="AB817" s="101">
        <f t="shared" si="112"/>
        <v>800</v>
      </c>
      <c r="AC817" s="101" t="str">
        <f t="shared" si="113"/>
        <v>ИВТ (бак)</v>
      </c>
      <c r="AD817" s="101" t="str">
        <f t="shared" si="114"/>
        <v/>
      </c>
      <c r="AE817" s="102">
        <f t="shared" ca="1" si="115"/>
        <v>133.37</v>
      </c>
      <c r="AF817" s="103">
        <f t="shared" ca="1" si="116"/>
        <v>0.16671250000000001</v>
      </c>
      <c r="AG817" s="101"/>
      <c r="AH817" s="101"/>
      <c r="AI817"/>
      <c r="BQ817" s="72">
        <v>0</v>
      </c>
      <c r="BR817" s="72">
        <v>0</v>
      </c>
      <c r="BS817" s="72">
        <v>0</v>
      </c>
      <c r="BT817" s="72">
        <v>0</v>
      </c>
      <c r="BU817" s="72">
        <v>0</v>
      </c>
      <c r="BV817" s="72">
        <v>0</v>
      </c>
      <c r="BW817" s="72">
        <v>0</v>
      </c>
      <c r="BX817" s="72">
        <v>0</v>
      </c>
      <c r="BY817" s="72">
        <v>0</v>
      </c>
      <c r="BZ817" s="72">
        <v>0</v>
      </c>
      <c r="CA817" s="72">
        <v>0</v>
      </c>
      <c r="CB817" s="72">
        <v>0</v>
      </c>
      <c r="CC817" s="72">
        <v>0</v>
      </c>
      <c r="CD817" s="72">
        <v>0</v>
      </c>
      <c r="CE817" s="72">
        <v>0</v>
      </c>
      <c r="CF817" s="72">
        <v>0</v>
      </c>
      <c r="CG817" s="72">
        <v>0</v>
      </c>
      <c r="CH817" s="72">
        <v>0</v>
      </c>
      <c r="CI817" s="72">
        <v>0</v>
      </c>
      <c r="CJ817" s="72">
        <v>0</v>
      </c>
      <c r="CK817" s="72">
        <v>0</v>
      </c>
      <c r="CL817" s="72">
        <v>0</v>
      </c>
      <c r="CM817" s="72">
        <v>0</v>
      </c>
      <c r="CN817" s="72">
        <v>0</v>
      </c>
      <c r="CO817" s="72">
        <v>0</v>
      </c>
      <c r="CP817" s="72">
        <v>0</v>
      </c>
      <c r="CQ817" s="72">
        <v>0</v>
      </c>
      <c r="CR817" s="72">
        <v>0</v>
      </c>
      <c r="CS817" s="72">
        <v>0</v>
      </c>
      <c r="CT817" s="72">
        <v>0</v>
      </c>
      <c r="CU817" s="72">
        <v>0</v>
      </c>
      <c r="CV817" s="72">
        <v>0</v>
      </c>
      <c r="CW817" s="72">
        <v>0</v>
      </c>
      <c r="CX817" s="72">
        <v>0</v>
      </c>
      <c r="CY817" s="72">
        <v>0</v>
      </c>
      <c r="CZ817" s="72">
        <v>0</v>
      </c>
      <c r="DA817" s="72">
        <v>0</v>
      </c>
      <c r="DB817" s="72">
        <v>0</v>
      </c>
      <c r="DC817" s="72">
        <v>0</v>
      </c>
      <c r="DD817" s="72">
        <v>0</v>
      </c>
      <c r="DE817" s="72">
        <v>0</v>
      </c>
      <c r="DF817" s="72">
        <v>0</v>
      </c>
      <c r="DG817" s="72">
        <v>0</v>
      </c>
      <c r="DH817" s="72">
        <v>0</v>
      </c>
      <c r="DI817" s="72">
        <v>0</v>
      </c>
      <c r="DJ817" s="72">
        <v>0</v>
      </c>
      <c r="DK817" s="72">
        <v>0</v>
      </c>
      <c r="DL817" s="72">
        <v>0</v>
      </c>
      <c r="DM817" s="72">
        <v>0</v>
      </c>
      <c r="DN817" s="72">
        <v>0</v>
      </c>
      <c r="DO817" s="72">
        <v>0</v>
      </c>
      <c r="DP817" s="72">
        <v>0</v>
      </c>
      <c r="DQ817" s="72">
        <v>0</v>
      </c>
      <c r="DR817" s="72">
        <v>0</v>
      </c>
      <c r="DS817" s="72">
        <v>0</v>
      </c>
      <c r="DT817" s="72">
        <v>0</v>
      </c>
      <c r="DU817" s="72">
        <v>0</v>
      </c>
      <c r="DV817" s="72">
        <v>0</v>
      </c>
      <c r="DW817" s="72">
        <v>0</v>
      </c>
      <c r="DX817" s="72">
        <v>0</v>
      </c>
      <c r="DY817" s="72">
        <v>0</v>
      </c>
      <c r="DZ817" s="72">
        <v>0</v>
      </c>
      <c r="EA817" s="72">
        <v>0</v>
      </c>
      <c r="EB817" s="72">
        <v>0</v>
      </c>
      <c r="EC817" s="72">
        <v>0</v>
      </c>
      <c r="ED817" s="72">
        <v>0</v>
      </c>
      <c r="EE817" s="72">
        <v>0</v>
      </c>
      <c r="EF817" s="72">
        <v>0</v>
      </c>
      <c r="EG817" s="72">
        <v>0</v>
      </c>
      <c r="EH817" s="72">
        <v>0</v>
      </c>
      <c r="EI817" s="72">
        <v>0</v>
      </c>
      <c r="EJ817" s="72">
        <v>0</v>
      </c>
      <c r="EK817" s="72">
        <v>0</v>
      </c>
      <c r="EL817" s="72">
        <v>0</v>
      </c>
    </row>
    <row r="818" spans="1:142" s="6" customFormat="1" x14ac:dyDescent="0.35">
      <c r="A818" s="59">
        <f>Данные!A818</f>
        <v>6368</v>
      </c>
      <c r="B818" s="59">
        <f>Данные!B818</f>
        <v>2019</v>
      </c>
      <c r="C818" s="59" t="str">
        <f>Данные!C818</f>
        <v>компьютерных технологий и электронного обучения</v>
      </c>
      <c r="D818" s="59" t="str">
        <f>Данные!D818</f>
        <v>Атаян Ануш Михайловна</v>
      </c>
      <c r="E818" s="59" t="str">
        <f>Данные!E818</f>
        <v>кандидат педагогических наук</v>
      </c>
      <c r="F818" s="59" t="str">
        <f>Данные!F818</f>
        <v>доцент</v>
      </c>
      <c r="G818" s="59">
        <f>Данные!G818</f>
        <v>1</v>
      </c>
      <c r="H818" s="59" t="str">
        <f>Данные!H818</f>
        <v>2 курс (б) 2018 год/пост</v>
      </c>
      <c r="I818" s="59" t="str">
        <f>Данные!I818</f>
        <v>Модуль "Информационные технологии в управлении в IT-компании". Дисциплины и курсы по выбору. Основы бизнес-информатики</v>
      </c>
      <c r="J818" s="59">
        <f>Данные!J818</f>
        <v>18</v>
      </c>
      <c r="K818" s="59">
        <f>Данные!K818</f>
        <v>0</v>
      </c>
      <c r="L818" s="59">
        <f>Данные!L818</f>
        <v>54</v>
      </c>
      <c r="M818" s="60">
        <f t="shared" si="108"/>
        <v>7.2</v>
      </c>
      <c r="N818" s="60">
        <f t="shared" ca="1" si="109"/>
        <v>14.870000000000001</v>
      </c>
      <c r="O818" s="60">
        <f t="shared" ca="1" si="110"/>
        <v>9.75</v>
      </c>
      <c r="P818" s="60">
        <f t="shared" ca="1" si="111"/>
        <v>9.75</v>
      </c>
      <c r="Q818" s="54">
        <f>Данные!Q818</f>
        <v>0</v>
      </c>
      <c r="R818" s="54">
        <f>Данные!R818</f>
        <v>0</v>
      </c>
      <c r="S818" s="54">
        <f>Данные!S818</f>
        <v>0</v>
      </c>
      <c r="T818" s="54">
        <f>Данные!T818</f>
        <v>0</v>
      </c>
      <c r="U818" s="54">
        <f>Данные!U818</f>
        <v>0</v>
      </c>
      <c r="V818" s="54">
        <f>Данные!V818</f>
        <v>0</v>
      </c>
      <c r="W818" s="54">
        <f ca="1">Данные!W818</f>
        <v>39</v>
      </c>
      <c r="X818" s="54" t="str">
        <f ca="1">Данные!X818</f>
        <v>2</v>
      </c>
      <c r="Y818" s="54" t="str">
        <f ca="1">Данные!Y818</f>
        <v>3</v>
      </c>
      <c r="Z818" s="54">
        <f>Данные!Z818</f>
        <v>0</v>
      </c>
      <c r="AA818" s="54" t="str">
        <f>Данные!AA818</f>
        <v>осн</v>
      </c>
      <c r="AB818" s="101">
        <f t="shared" si="112"/>
        <v>800</v>
      </c>
      <c r="AC818" s="101" t="str">
        <f t="shared" si="113"/>
        <v>ИВТ (бак)</v>
      </c>
      <c r="AD818" s="101" t="str">
        <f t="shared" si="114"/>
        <v/>
      </c>
      <c r="AE818" s="102">
        <f t="shared" ca="1" si="115"/>
        <v>113.57000000000001</v>
      </c>
      <c r="AF818" s="103">
        <f t="shared" ca="1" si="116"/>
        <v>0.14196250000000002</v>
      </c>
      <c r="AG818" s="101"/>
      <c r="AH818" s="101"/>
      <c r="AI818"/>
      <c r="BQ818" s="72">
        <v>0</v>
      </c>
      <c r="BR818" s="72">
        <v>0</v>
      </c>
      <c r="BS818" s="72">
        <v>0</v>
      </c>
      <c r="BT818" s="72">
        <v>0</v>
      </c>
      <c r="BU818" s="72">
        <v>0</v>
      </c>
      <c r="BV818" s="72">
        <v>0</v>
      </c>
      <c r="BW818" s="72">
        <v>0</v>
      </c>
      <c r="BX818" s="72">
        <v>0</v>
      </c>
      <c r="BY818" s="72">
        <v>0</v>
      </c>
      <c r="BZ818" s="72">
        <v>0</v>
      </c>
      <c r="CA818" s="72">
        <v>0</v>
      </c>
      <c r="CB818" s="72">
        <v>0</v>
      </c>
      <c r="CC818" s="72">
        <v>0</v>
      </c>
      <c r="CD818" s="72">
        <v>0</v>
      </c>
      <c r="CE818" s="72">
        <v>0</v>
      </c>
      <c r="CF818" s="72">
        <v>0</v>
      </c>
      <c r="CG818" s="72">
        <v>0</v>
      </c>
      <c r="CH818" s="72">
        <v>0</v>
      </c>
      <c r="CI818" s="72">
        <v>0</v>
      </c>
      <c r="CJ818" s="72">
        <v>0</v>
      </c>
      <c r="CK818" s="72">
        <v>0</v>
      </c>
      <c r="CL818" s="72">
        <v>0</v>
      </c>
      <c r="CM818" s="72">
        <v>0</v>
      </c>
      <c r="CN818" s="72">
        <v>0</v>
      </c>
      <c r="CO818" s="72">
        <v>0</v>
      </c>
      <c r="CP818" s="72">
        <v>0</v>
      </c>
      <c r="CQ818" s="72">
        <v>0</v>
      </c>
      <c r="CR818" s="72">
        <v>0</v>
      </c>
      <c r="CS818" s="72">
        <v>0</v>
      </c>
      <c r="CT818" s="72">
        <v>0</v>
      </c>
      <c r="CU818" s="72">
        <v>0</v>
      </c>
      <c r="CV818" s="72">
        <v>0</v>
      </c>
      <c r="CW818" s="72">
        <v>0</v>
      </c>
      <c r="CX818" s="72">
        <v>0</v>
      </c>
      <c r="CY818" s="72">
        <v>0</v>
      </c>
      <c r="CZ818" s="72">
        <v>0</v>
      </c>
      <c r="DA818" s="72">
        <v>0</v>
      </c>
      <c r="DB818" s="72">
        <v>0</v>
      </c>
      <c r="DC818" s="72">
        <v>0</v>
      </c>
      <c r="DD818" s="72">
        <v>0</v>
      </c>
      <c r="DE818" s="72">
        <v>0</v>
      </c>
      <c r="DF818" s="72">
        <v>0</v>
      </c>
      <c r="DG818" s="72">
        <v>0</v>
      </c>
      <c r="DH818" s="72">
        <v>0</v>
      </c>
      <c r="DI818" s="72">
        <v>0</v>
      </c>
      <c r="DJ818" s="72">
        <v>0</v>
      </c>
      <c r="DK818" s="72">
        <v>0</v>
      </c>
      <c r="DL818" s="72">
        <v>0</v>
      </c>
      <c r="DM818" s="72">
        <v>0</v>
      </c>
      <c r="DN818" s="72">
        <v>0</v>
      </c>
      <c r="DO818" s="72">
        <v>0</v>
      </c>
      <c r="DP818" s="72">
        <v>0</v>
      </c>
      <c r="DQ818" s="72">
        <v>0</v>
      </c>
      <c r="DR818" s="72">
        <v>0</v>
      </c>
      <c r="DS818" s="72">
        <v>0</v>
      </c>
      <c r="DT818" s="72">
        <v>0</v>
      </c>
      <c r="DU818" s="72">
        <v>0</v>
      </c>
      <c r="DV818" s="72">
        <v>0</v>
      </c>
      <c r="DW818" s="72">
        <v>0</v>
      </c>
      <c r="DX818" s="72">
        <v>0</v>
      </c>
      <c r="DY818" s="72">
        <v>0</v>
      </c>
      <c r="DZ818" s="72">
        <v>0</v>
      </c>
      <c r="EA818" s="72">
        <v>0</v>
      </c>
      <c r="EB818" s="72">
        <v>0</v>
      </c>
      <c r="EC818" s="72">
        <v>0</v>
      </c>
      <c r="ED818" s="72">
        <v>0</v>
      </c>
      <c r="EE818" s="72">
        <v>0</v>
      </c>
      <c r="EF818" s="72">
        <v>0</v>
      </c>
      <c r="EG818" s="72">
        <v>0</v>
      </c>
      <c r="EH818" s="72">
        <v>0</v>
      </c>
      <c r="EI818" s="72">
        <v>0</v>
      </c>
      <c r="EJ818" s="72">
        <v>0</v>
      </c>
      <c r="EK818" s="72">
        <v>0</v>
      </c>
      <c r="EL818" s="72">
        <v>0</v>
      </c>
    </row>
    <row r="819" spans="1:142" s="6" customFormat="1" x14ac:dyDescent="0.35">
      <c r="A819" s="59">
        <f>Данные!A819</f>
        <v>6368</v>
      </c>
      <c r="B819" s="59">
        <f>Данные!B819</f>
        <v>2019</v>
      </c>
      <c r="C819" s="59" t="str">
        <f>Данные!C819</f>
        <v>компьютерных технологий и электронного обучения</v>
      </c>
      <c r="D819" s="59" t="str">
        <f>Данные!D819</f>
        <v>Воробьев Владимир Иванович</v>
      </c>
      <c r="E819" s="59" t="str">
        <f>Данные!E819</f>
        <v>доктор технических наук</v>
      </c>
      <c r="F819" s="59" t="str">
        <f>Данные!F819</f>
        <v>внешний</v>
      </c>
      <c r="G819" s="59">
        <f>Данные!G819</f>
        <v>1</v>
      </c>
      <c r="H819" s="59" t="str">
        <f>Данные!H819</f>
        <v>2 курс (б) 2018 год/пост</v>
      </c>
      <c r="I819" s="59" t="str">
        <f>Данные!I819</f>
        <v>Модуль "Технологии и методы вычислений". Технологии компьютерного моделирования</v>
      </c>
      <c r="J819" s="59">
        <f>Данные!J819</f>
        <v>4</v>
      </c>
      <c r="K819" s="59">
        <f>Данные!K819</f>
        <v>0</v>
      </c>
      <c r="L819" s="59">
        <f>Данные!L819</f>
        <v>0</v>
      </c>
      <c r="M819" s="60">
        <f t="shared" si="108"/>
        <v>0.4</v>
      </c>
      <c r="N819" s="60">
        <f t="shared" ca="1" si="109"/>
        <v>14.870000000000001</v>
      </c>
      <c r="O819" s="60">
        <f t="shared" ca="1" si="110"/>
        <v>9.75</v>
      </c>
      <c r="P819" s="60">
        <f t="shared" ca="1" si="111"/>
        <v>9.75</v>
      </c>
      <c r="Q819" s="54">
        <f>Данные!Q819</f>
        <v>0</v>
      </c>
      <c r="R819" s="54">
        <f>Данные!R819</f>
        <v>0</v>
      </c>
      <c r="S819" s="54">
        <f>Данные!S819</f>
        <v>0</v>
      </c>
      <c r="T819" s="54">
        <f>Данные!T819</f>
        <v>0</v>
      </c>
      <c r="U819" s="54">
        <f>Данные!U819</f>
        <v>0</v>
      </c>
      <c r="V819" s="54">
        <f>Данные!V819</f>
        <v>0</v>
      </c>
      <c r="W819" s="54">
        <f ca="1">Данные!W819</f>
        <v>39</v>
      </c>
      <c r="X819" s="54" t="str">
        <f ca="1">Данные!X819</f>
        <v>2</v>
      </c>
      <c r="Y819" s="54" t="str">
        <f ca="1">Данные!Y819</f>
        <v>3</v>
      </c>
      <c r="Z819" s="54">
        <f>Данные!Z819</f>
        <v>0</v>
      </c>
      <c r="AA819" s="54" t="str">
        <f>Данные!AA819</f>
        <v>осн</v>
      </c>
      <c r="AB819" s="101">
        <f t="shared" si="112"/>
        <v>900</v>
      </c>
      <c r="AC819" s="101" t="str">
        <f t="shared" si="113"/>
        <v>ИВТ (бак)</v>
      </c>
      <c r="AD819" s="101" t="str">
        <f t="shared" si="114"/>
        <v/>
      </c>
      <c r="AE819" s="102">
        <f t="shared" ca="1" si="115"/>
        <v>38.770000000000003</v>
      </c>
      <c r="AF819" s="103">
        <f t="shared" ca="1" si="116"/>
        <v>4.3077777777777784E-2</v>
      </c>
      <c r="AG819" s="101"/>
      <c r="AH819" s="101"/>
      <c r="AI819"/>
      <c r="BQ819" s="72">
        <v>0</v>
      </c>
      <c r="BR819" s="72">
        <v>0</v>
      </c>
      <c r="BS819" s="72">
        <v>0</v>
      </c>
      <c r="BT819" s="72">
        <v>0</v>
      </c>
      <c r="BU819" s="72">
        <v>0</v>
      </c>
      <c r="BV819" s="72">
        <v>0</v>
      </c>
      <c r="BW819" s="72">
        <v>0</v>
      </c>
      <c r="BX819" s="72">
        <v>0</v>
      </c>
      <c r="BY819" s="72">
        <v>0</v>
      </c>
      <c r="BZ819" s="72">
        <v>0</v>
      </c>
      <c r="CA819" s="72">
        <v>0</v>
      </c>
      <c r="CB819" s="72">
        <v>0</v>
      </c>
      <c r="CC819" s="72">
        <v>0</v>
      </c>
      <c r="CD819" s="72">
        <v>0</v>
      </c>
      <c r="CE819" s="72">
        <v>0</v>
      </c>
      <c r="CF819" s="72">
        <v>0</v>
      </c>
      <c r="CG819" s="72">
        <v>0</v>
      </c>
      <c r="CH819" s="72">
        <v>0</v>
      </c>
      <c r="CI819" s="72">
        <v>0</v>
      </c>
      <c r="CJ819" s="72">
        <v>0</v>
      </c>
      <c r="CK819" s="72">
        <v>0</v>
      </c>
      <c r="CL819" s="72">
        <v>0</v>
      </c>
      <c r="CM819" s="72">
        <v>0</v>
      </c>
      <c r="CN819" s="72">
        <v>0</v>
      </c>
      <c r="CO819" s="72">
        <v>0</v>
      </c>
      <c r="CP819" s="72">
        <v>0</v>
      </c>
      <c r="CQ819" s="72">
        <v>0</v>
      </c>
      <c r="CR819" s="72">
        <v>0</v>
      </c>
      <c r="CS819" s="72">
        <v>0</v>
      </c>
      <c r="CT819" s="72">
        <v>0</v>
      </c>
      <c r="CU819" s="72">
        <v>0</v>
      </c>
      <c r="CV819" s="72">
        <v>0</v>
      </c>
      <c r="CW819" s="72">
        <v>0</v>
      </c>
      <c r="CX819" s="72">
        <v>0</v>
      </c>
      <c r="CY819" s="72">
        <v>0</v>
      </c>
      <c r="CZ819" s="72">
        <v>0</v>
      </c>
      <c r="DA819" s="72">
        <v>0</v>
      </c>
      <c r="DB819" s="72">
        <v>0</v>
      </c>
      <c r="DC819" s="72">
        <v>0</v>
      </c>
      <c r="DD819" s="72">
        <v>0</v>
      </c>
      <c r="DE819" s="72">
        <v>0</v>
      </c>
      <c r="DF819" s="72">
        <v>0</v>
      </c>
      <c r="DG819" s="72">
        <v>0</v>
      </c>
      <c r="DH819" s="72">
        <v>0</v>
      </c>
      <c r="DI819" s="72">
        <v>0</v>
      </c>
      <c r="DJ819" s="72">
        <v>0</v>
      </c>
      <c r="DK819" s="72">
        <v>0</v>
      </c>
      <c r="DL819" s="72">
        <v>0</v>
      </c>
      <c r="DM819" s="72">
        <v>0</v>
      </c>
      <c r="DN819" s="72">
        <v>0</v>
      </c>
      <c r="DO819" s="72">
        <v>0</v>
      </c>
      <c r="DP819" s="72">
        <v>0</v>
      </c>
      <c r="DQ819" s="72">
        <v>0</v>
      </c>
      <c r="DR819" s="72">
        <v>0</v>
      </c>
      <c r="DS819" s="72">
        <v>0</v>
      </c>
      <c r="DT819" s="72">
        <v>0</v>
      </c>
      <c r="DU819" s="72">
        <v>0</v>
      </c>
      <c r="DV819" s="72">
        <v>0</v>
      </c>
      <c r="DW819" s="72">
        <v>0</v>
      </c>
      <c r="DX819" s="72">
        <v>0</v>
      </c>
      <c r="DY819" s="72">
        <v>0</v>
      </c>
      <c r="DZ819" s="72">
        <v>0</v>
      </c>
      <c r="EA819" s="72">
        <v>0</v>
      </c>
      <c r="EB819" s="72">
        <v>0</v>
      </c>
      <c r="EC819" s="72">
        <v>0</v>
      </c>
      <c r="ED819" s="72">
        <v>0</v>
      </c>
      <c r="EE819" s="72">
        <v>0</v>
      </c>
      <c r="EF819" s="72">
        <v>0</v>
      </c>
      <c r="EG819" s="72">
        <v>0</v>
      </c>
      <c r="EH819" s="72">
        <v>0</v>
      </c>
      <c r="EI819" s="72">
        <v>0</v>
      </c>
      <c r="EJ819" s="72">
        <v>0</v>
      </c>
      <c r="EK819" s="72">
        <v>0</v>
      </c>
      <c r="EL819" s="72">
        <v>0</v>
      </c>
    </row>
    <row r="820" spans="1:142" s="6" customFormat="1" x14ac:dyDescent="0.35">
      <c r="A820" s="59">
        <f>Данные!A820</f>
        <v>6368</v>
      </c>
      <c r="B820" s="59">
        <f>Данные!B820</f>
        <v>2019</v>
      </c>
      <c r="C820" s="59" t="str">
        <f>Данные!C820</f>
        <v>компьютерных технологий и электронного обучения</v>
      </c>
      <c r="D820" s="59" t="str">
        <f>Данные!D820</f>
        <v>Воробьев Владимир Иванович</v>
      </c>
      <c r="E820" s="59" t="str">
        <f>Данные!E820</f>
        <v>доктор технических наук</v>
      </c>
      <c r="F820" s="59" t="str">
        <f>Данные!F820</f>
        <v>внешний</v>
      </c>
      <c r="G820" s="59">
        <f>Данные!G820</f>
        <v>1</v>
      </c>
      <c r="H820" s="59" t="str">
        <f>Данные!H820</f>
        <v>2 курс (б) 2018 год/пост</v>
      </c>
      <c r="I820" s="59" t="str">
        <f>Данные!I820</f>
        <v>Модуль "Технологии и методы вычислений". Вычислительная математика</v>
      </c>
      <c r="J820" s="59">
        <f>Данные!J820</f>
        <v>4</v>
      </c>
      <c r="K820" s="59">
        <f>Данные!K820</f>
        <v>0</v>
      </c>
      <c r="L820" s="59">
        <f>Данные!L820</f>
        <v>0</v>
      </c>
      <c r="M820" s="60">
        <f t="shared" si="108"/>
        <v>0.4</v>
      </c>
      <c r="N820" s="60">
        <f t="shared" ca="1" si="109"/>
        <v>14.870000000000001</v>
      </c>
      <c r="O820" s="60">
        <f t="shared" ca="1" si="110"/>
        <v>9.75</v>
      </c>
      <c r="P820" s="60">
        <f t="shared" ca="1" si="111"/>
        <v>9.75</v>
      </c>
      <c r="Q820" s="54">
        <f>Данные!Q820</f>
        <v>0</v>
      </c>
      <c r="R820" s="54">
        <f>Данные!R820</f>
        <v>0</v>
      </c>
      <c r="S820" s="54">
        <f>Данные!S820</f>
        <v>0</v>
      </c>
      <c r="T820" s="54">
        <f>Данные!T820</f>
        <v>0</v>
      </c>
      <c r="U820" s="54">
        <f>Данные!U820</f>
        <v>0</v>
      </c>
      <c r="V820" s="54">
        <f>Данные!V820</f>
        <v>0</v>
      </c>
      <c r="W820" s="54">
        <f ca="1">Данные!W820</f>
        <v>39</v>
      </c>
      <c r="X820" s="54" t="str">
        <f ca="1">Данные!X820</f>
        <v>2</v>
      </c>
      <c r="Y820" s="54" t="str">
        <f ca="1">Данные!Y820</f>
        <v>3</v>
      </c>
      <c r="Z820" s="54">
        <f>Данные!Z820</f>
        <v>0</v>
      </c>
      <c r="AA820" s="54" t="str">
        <f>Данные!AA820</f>
        <v>осн</v>
      </c>
      <c r="AB820" s="101">
        <f t="shared" si="112"/>
        <v>900</v>
      </c>
      <c r="AC820" s="101" t="str">
        <f t="shared" si="113"/>
        <v>ИВТ (бак)</v>
      </c>
      <c r="AD820" s="101" t="str">
        <f t="shared" si="114"/>
        <v/>
      </c>
      <c r="AE820" s="102">
        <f t="shared" ca="1" si="115"/>
        <v>38.770000000000003</v>
      </c>
      <c r="AF820" s="103">
        <f t="shared" ca="1" si="116"/>
        <v>4.3077777777777784E-2</v>
      </c>
      <c r="AG820" s="101"/>
      <c r="AH820" s="101"/>
      <c r="AI820"/>
      <c r="BQ820" s="72">
        <v>0</v>
      </c>
      <c r="BR820" s="72">
        <v>0</v>
      </c>
      <c r="BS820" s="72">
        <v>0</v>
      </c>
      <c r="BT820" s="72">
        <v>0</v>
      </c>
      <c r="BU820" s="72">
        <v>0</v>
      </c>
      <c r="BV820" s="72">
        <v>0</v>
      </c>
      <c r="BW820" s="72">
        <v>0</v>
      </c>
      <c r="BX820" s="72">
        <v>0</v>
      </c>
      <c r="BY820" s="72">
        <v>0</v>
      </c>
      <c r="BZ820" s="72">
        <v>0</v>
      </c>
      <c r="CA820" s="72">
        <v>0</v>
      </c>
      <c r="CB820" s="72">
        <v>0</v>
      </c>
      <c r="CC820" s="72">
        <v>0</v>
      </c>
      <c r="CD820" s="72">
        <v>0</v>
      </c>
      <c r="CE820" s="72">
        <v>0</v>
      </c>
      <c r="CF820" s="72">
        <v>0</v>
      </c>
      <c r="CG820" s="72">
        <v>0</v>
      </c>
      <c r="CH820" s="72">
        <v>0</v>
      </c>
      <c r="CI820" s="72">
        <v>0</v>
      </c>
      <c r="CJ820" s="72">
        <v>0</v>
      </c>
      <c r="CK820" s="72">
        <v>0</v>
      </c>
      <c r="CL820" s="72">
        <v>0</v>
      </c>
      <c r="CM820" s="72">
        <v>0</v>
      </c>
      <c r="CN820" s="72">
        <v>0</v>
      </c>
      <c r="CO820" s="72">
        <v>0</v>
      </c>
      <c r="CP820" s="72">
        <v>0</v>
      </c>
      <c r="CQ820" s="72">
        <v>0</v>
      </c>
      <c r="CR820" s="72">
        <v>0</v>
      </c>
      <c r="CS820" s="72">
        <v>0</v>
      </c>
      <c r="CT820" s="72">
        <v>0</v>
      </c>
      <c r="CU820" s="72">
        <v>0</v>
      </c>
      <c r="CV820" s="72">
        <v>0</v>
      </c>
      <c r="CW820" s="72">
        <v>0</v>
      </c>
      <c r="CX820" s="72">
        <v>0</v>
      </c>
      <c r="CY820" s="72">
        <v>0</v>
      </c>
      <c r="CZ820" s="72">
        <v>0</v>
      </c>
      <c r="DA820" s="72">
        <v>0</v>
      </c>
      <c r="DB820" s="72">
        <v>0</v>
      </c>
      <c r="DC820" s="72">
        <v>0</v>
      </c>
      <c r="DD820" s="72">
        <v>0</v>
      </c>
      <c r="DE820" s="72">
        <v>0</v>
      </c>
      <c r="DF820" s="72">
        <v>0</v>
      </c>
      <c r="DG820" s="72">
        <v>0</v>
      </c>
      <c r="DH820" s="72">
        <v>0</v>
      </c>
      <c r="DI820" s="72">
        <v>0</v>
      </c>
      <c r="DJ820" s="72">
        <v>0</v>
      </c>
      <c r="DK820" s="72">
        <v>0</v>
      </c>
      <c r="DL820" s="72">
        <v>0</v>
      </c>
      <c r="DM820" s="72">
        <v>0</v>
      </c>
      <c r="DN820" s="72">
        <v>0</v>
      </c>
      <c r="DO820" s="72">
        <v>0</v>
      </c>
      <c r="DP820" s="72">
        <v>0</v>
      </c>
      <c r="DQ820" s="72">
        <v>0</v>
      </c>
      <c r="DR820" s="72">
        <v>0</v>
      </c>
      <c r="DS820" s="72">
        <v>0</v>
      </c>
      <c r="DT820" s="72">
        <v>0</v>
      </c>
      <c r="DU820" s="72">
        <v>0</v>
      </c>
      <c r="DV820" s="72">
        <v>0</v>
      </c>
      <c r="DW820" s="72">
        <v>0</v>
      </c>
      <c r="DX820" s="72">
        <v>0</v>
      </c>
      <c r="DY820" s="72">
        <v>0</v>
      </c>
      <c r="DZ820" s="72">
        <v>0</v>
      </c>
      <c r="EA820" s="72">
        <v>0</v>
      </c>
      <c r="EB820" s="72">
        <v>0</v>
      </c>
      <c r="EC820" s="72">
        <v>0</v>
      </c>
      <c r="ED820" s="72">
        <v>0</v>
      </c>
      <c r="EE820" s="72">
        <v>0</v>
      </c>
      <c r="EF820" s="72">
        <v>0</v>
      </c>
      <c r="EG820" s="72">
        <v>0</v>
      </c>
      <c r="EH820" s="72">
        <v>0</v>
      </c>
      <c r="EI820" s="72">
        <v>0</v>
      </c>
      <c r="EJ820" s="72">
        <v>0</v>
      </c>
      <c r="EK820" s="72">
        <v>0</v>
      </c>
      <c r="EL820" s="72">
        <v>0</v>
      </c>
    </row>
    <row r="821" spans="1:142" s="6" customFormat="1" x14ac:dyDescent="0.35">
      <c r="A821" s="59">
        <f>Данные!A821</f>
        <v>6368</v>
      </c>
      <c r="B821" s="59">
        <f>Данные!B821</f>
        <v>2019</v>
      </c>
      <c r="C821" s="59" t="str">
        <f>Данные!C821</f>
        <v>компьютерных технологий и электронного обучения</v>
      </c>
      <c r="D821" s="59" t="str">
        <f>Данные!D821</f>
        <v>Власов Дмитрий Викторович</v>
      </c>
      <c r="E821" s="59" t="str">
        <f>Данные!E821</f>
        <v>нет</v>
      </c>
      <c r="F821" s="59" t="str">
        <f>Данные!F821</f>
        <v>эксперт-программист</v>
      </c>
      <c r="G821" s="59">
        <f>Данные!G821</f>
        <v>1</v>
      </c>
      <c r="H821" s="59" t="str">
        <f>Данные!H821</f>
        <v>2 курс (б) 2018 год/пост</v>
      </c>
      <c r="I821" s="59" t="str">
        <f>Данные!I821</f>
        <v>Модуль "Естественно-математический". Математические основы компьютерной графики</v>
      </c>
      <c r="J821" s="59">
        <f>Данные!J821</f>
        <v>0</v>
      </c>
      <c r="K821" s="59">
        <f>Данные!K821</f>
        <v>0</v>
      </c>
      <c r="L821" s="59">
        <f>Данные!L821</f>
        <v>10</v>
      </c>
      <c r="M821" s="60">
        <f t="shared" si="108"/>
        <v>1</v>
      </c>
      <c r="N821" s="60">
        <f t="shared" ca="1" si="109"/>
        <v>14.870000000000001</v>
      </c>
      <c r="O821" s="60">
        <f t="shared" ca="1" si="110"/>
        <v>9.75</v>
      </c>
      <c r="P821" s="60">
        <f t="shared" ca="1" si="111"/>
        <v>9.75</v>
      </c>
      <c r="Q821" s="54">
        <f>Данные!Q821</f>
        <v>0</v>
      </c>
      <c r="R821" s="54">
        <f>Данные!R821</f>
        <v>0</v>
      </c>
      <c r="S821" s="54">
        <f>Данные!S821</f>
        <v>0</v>
      </c>
      <c r="T821" s="54">
        <f>Данные!T821</f>
        <v>0</v>
      </c>
      <c r="U821" s="54">
        <f>Данные!U821</f>
        <v>0</v>
      </c>
      <c r="V821" s="54">
        <f>Данные!V821</f>
        <v>0</v>
      </c>
      <c r="W821" s="54">
        <f ca="1">Данные!W821</f>
        <v>39</v>
      </c>
      <c r="X821" s="54" t="str">
        <f ca="1">Данные!X821</f>
        <v>2</v>
      </c>
      <c r="Y821" s="54" t="str">
        <f ca="1">Данные!Y821</f>
        <v>3</v>
      </c>
      <c r="Z821" s="54">
        <f>Данные!Z821</f>
        <v>0</v>
      </c>
      <c r="AA821" s="54" t="str">
        <f>Данные!AA821</f>
        <v>доп</v>
      </c>
      <c r="AB821" s="101">
        <f t="shared" si="112"/>
        <v>900</v>
      </c>
      <c r="AC821" s="101" t="str">
        <f t="shared" si="113"/>
        <v>ИВТ (бак)</v>
      </c>
      <c r="AD821" s="101" t="str">
        <f t="shared" si="114"/>
        <v/>
      </c>
      <c r="AE821" s="102">
        <f t="shared" ca="1" si="115"/>
        <v>45.370000000000005</v>
      </c>
      <c r="AF821" s="103">
        <f t="shared" ca="1" si="116"/>
        <v>5.0411111111111115E-2</v>
      </c>
      <c r="AG821" s="101"/>
      <c r="AH821" s="101"/>
      <c r="AI821"/>
      <c r="BQ821" s="72">
        <v>0</v>
      </c>
      <c r="BR821" s="72">
        <v>0</v>
      </c>
      <c r="BS821" s="72">
        <v>0</v>
      </c>
      <c r="BT821" s="72">
        <v>0</v>
      </c>
      <c r="BU821" s="72">
        <v>0</v>
      </c>
      <c r="BV821" s="72">
        <v>0</v>
      </c>
      <c r="BW821" s="72">
        <v>0</v>
      </c>
      <c r="BX821" s="72">
        <v>0</v>
      </c>
      <c r="BY821" s="72">
        <v>0</v>
      </c>
      <c r="BZ821" s="72">
        <v>0</v>
      </c>
      <c r="CA821" s="72">
        <v>0</v>
      </c>
      <c r="CB821" s="72">
        <v>0</v>
      </c>
      <c r="CC821" s="72">
        <v>0</v>
      </c>
      <c r="CD821" s="72">
        <v>0</v>
      </c>
      <c r="CE821" s="72">
        <v>0</v>
      </c>
      <c r="CF821" s="72">
        <v>0</v>
      </c>
      <c r="CG821" s="72">
        <v>0</v>
      </c>
      <c r="CH821" s="72">
        <v>0</v>
      </c>
      <c r="CI821" s="72">
        <v>0</v>
      </c>
      <c r="CJ821" s="72">
        <v>0</v>
      </c>
      <c r="CK821" s="72">
        <v>0</v>
      </c>
      <c r="CL821" s="72">
        <v>0</v>
      </c>
      <c r="CM821" s="72">
        <v>0</v>
      </c>
      <c r="CN821" s="72">
        <v>0</v>
      </c>
      <c r="CO821" s="72">
        <v>0</v>
      </c>
      <c r="CP821" s="72">
        <v>0</v>
      </c>
      <c r="CQ821" s="72">
        <v>0</v>
      </c>
      <c r="CR821" s="72">
        <v>0</v>
      </c>
      <c r="CS821" s="72">
        <v>0</v>
      </c>
      <c r="CT821" s="72">
        <v>0</v>
      </c>
      <c r="CU821" s="72">
        <v>0</v>
      </c>
      <c r="CV821" s="72">
        <v>0</v>
      </c>
      <c r="CW821" s="72">
        <v>0</v>
      </c>
      <c r="CX821" s="72">
        <v>0</v>
      </c>
      <c r="CY821" s="72">
        <v>0</v>
      </c>
      <c r="CZ821" s="72">
        <v>0</v>
      </c>
      <c r="DA821" s="72">
        <v>0</v>
      </c>
      <c r="DB821" s="72">
        <v>0</v>
      </c>
      <c r="DC821" s="72">
        <v>0</v>
      </c>
      <c r="DD821" s="72">
        <v>0</v>
      </c>
      <c r="DE821" s="72">
        <v>0</v>
      </c>
      <c r="DF821" s="72">
        <v>0</v>
      </c>
      <c r="DG821" s="72">
        <v>0</v>
      </c>
      <c r="DH821" s="72">
        <v>0</v>
      </c>
      <c r="DI821" s="72">
        <v>0</v>
      </c>
      <c r="DJ821" s="72">
        <v>0</v>
      </c>
      <c r="DK821" s="72">
        <v>0</v>
      </c>
      <c r="DL821" s="72">
        <v>0</v>
      </c>
      <c r="DM821" s="72">
        <v>0</v>
      </c>
      <c r="DN821" s="72">
        <v>0</v>
      </c>
      <c r="DO821" s="72">
        <v>0</v>
      </c>
      <c r="DP821" s="72">
        <v>0</v>
      </c>
      <c r="DQ821" s="72">
        <v>0</v>
      </c>
      <c r="DR821" s="72">
        <v>0</v>
      </c>
      <c r="DS821" s="72">
        <v>0</v>
      </c>
      <c r="DT821" s="72">
        <v>0</v>
      </c>
      <c r="DU821" s="72">
        <v>0</v>
      </c>
      <c r="DV821" s="72">
        <v>0</v>
      </c>
      <c r="DW821" s="72">
        <v>0</v>
      </c>
      <c r="DX821" s="72">
        <v>0</v>
      </c>
      <c r="DY821" s="72">
        <v>0</v>
      </c>
      <c r="DZ821" s="72">
        <v>0</v>
      </c>
      <c r="EA821" s="72">
        <v>0</v>
      </c>
      <c r="EB821" s="72">
        <v>0</v>
      </c>
      <c r="EC821" s="72">
        <v>0</v>
      </c>
      <c r="ED821" s="72">
        <v>0</v>
      </c>
      <c r="EE821" s="72">
        <v>0</v>
      </c>
      <c r="EF821" s="72">
        <v>0</v>
      </c>
      <c r="EG821" s="72">
        <v>0</v>
      </c>
      <c r="EH821" s="72">
        <v>0</v>
      </c>
      <c r="EI821" s="72">
        <v>0</v>
      </c>
      <c r="EJ821" s="72">
        <v>0</v>
      </c>
      <c r="EK821" s="72">
        <v>0</v>
      </c>
      <c r="EL821" s="72">
        <v>0</v>
      </c>
    </row>
    <row r="822" spans="1:142" s="6" customFormat="1" x14ac:dyDescent="0.35">
      <c r="A822" s="59">
        <f>Данные!A822</f>
        <v>6368</v>
      </c>
      <c r="B822" s="59">
        <f>Данные!B822</f>
        <v>2019</v>
      </c>
      <c r="C822" s="59" t="str">
        <f>Данные!C822</f>
        <v>компьютерных технологий и электронного обучения</v>
      </c>
      <c r="D822" s="59" t="str">
        <f>Данные!D822</f>
        <v>Власова Елена Зотиковна</v>
      </c>
      <c r="E822" s="59" t="str">
        <f>Данные!E822</f>
        <v>доктор педагогических наук</v>
      </c>
      <c r="F822" s="59" t="str">
        <f>Данные!F822</f>
        <v>заведующий кафедрой</v>
      </c>
      <c r="G822" s="59">
        <f>Данные!G822</f>
        <v>1</v>
      </c>
      <c r="H822" s="59" t="str">
        <f>Данные!H822</f>
        <v>2 курс (б) 2018 год/пост</v>
      </c>
      <c r="I822" s="59" t="str">
        <f>Данные!I822</f>
        <v>Модуль "Естественно-математический". Математические основы компьютерной графики</v>
      </c>
      <c r="J822" s="59">
        <f>Данные!J822</f>
        <v>8</v>
      </c>
      <c r="K822" s="59">
        <f>Данные!K822</f>
        <v>0</v>
      </c>
      <c r="L822" s="59">
        <f>Данные!L822</f>
        <v>0</v>
      </c>
      <c r="M822" s="60">
        <f t="shared" si="108"/>
        <v>0.8</v>
      </c>
      <c r="N822" s="60">
        <f t="shared" ca="1" si="109"/>
        <v>14.870000000000001</v>
      </c>
      <c r="O822" s="60">
        <f t="shared" ca="1" si="110"/>
        <v>9.75</v>
      </c>
      <c r="P822" s="60">
        <f t="shared" ca="1" si="111"/>
        <v>9.75</v>
      </c>
      <c r="Q822" s="54">
        <f>Данные!Q822</f>
        <v>0</v>
      </c>
      <c r="R822" s="54">
        <f>Данные!R822</f>
        <v>0</v>
      </c>
      <c r="S822" s="54">
        <f>Данные!S822</f>
        <v>0</v>
      </c>
      <c r="T822" s="54">
        <f>Данные!T822</f>
        <v>0</v>
      </c>
      <c r="U822" s="54">
        <f>Данные!U822</f>
        <v>0</v>
      </c>
      <c r="V822" s="54">
        <f>Данные!V822</f>
        <v>0</v>
      </c>
      <c r="W822" s="54">
        <f ca="1">Данные!W822</f>
        <v>39</v>
      </c>
      <c r="X822" s="54" t="str">
        <f ca="1">Данные!X822</f>
        <v>2</v>
      </c>
      <c r="Y822" s="54" t="str">
        <f ca="1">Данные!Y822</f>
        <v>3</v>
      </c>
      <c r="Z822" s="54">
        <f>Данные!Z822</f>
        <v>0</v>
      </c>
      <c r="AA822" s="54" t="str">
        <f>Данные!AA822</f>
        <v>осн</v>
      </c>
      <c r="AB822" s="101">
        <f t="shared" si="112"/>
        <v>700</v>
      </c>
      <c r="AC822" s="101" t="str">
        <f t="shared" si="113"/>
        <v>ИВТ (бак)</v>
      </c>
      <c r="AD822" s="101" t="str">
        <f t="shared" si="114"/>
        <v/>
      </c>
      <c r="AE822" s="102">
        <f t="shared" ca="1" si="115"/>
        <v>43.17</v>
      </c>
      <c r="AF822" s="103">
        <f t="shared" ca="1" si="116"/>
        <v>6.1671428571428571E-2</v>
      </c>
      <c r="AG822" s="101"/>
      <c r="AH822" s="101"/>
      <c r="AI822"/>
      <c r="BQ822" s="72">
        <v>0</v>
      </c>
      <c r="BR822" s="72">
        <v>0</v>
      </c>
      <c r="BS822" s="72">
        <v>0</v>
      </c>
      <c r="BT822" s="72">
        <v>0</v>
      </c>
      <c r="BU822" s="72">
        <v>0</v>
      </c>
      <c r="BV822" s="72">
        <v>0</v>
      </c>
      <c r="BW822" s="72">
        <v>0</v>
      </c>
      <c r="BX822" s="72">
        <v>0</v>
      </c>
      <c r="BY822" s="72">
        <v>0</v>
      </c>
      <c r="BZ822" s="72">
        <v>0</v>
      </c>
      <c r="CA822" s="72">
        <v>0</v>
      </c>
      <c r="CB822" s="72">
        <v>0</v>
      </c>
      <c r="CC822" s="72">
        <v>0</v>
      </c>
      <c r="CD822" s="72">
        <v>0</v>
      </c>
      <c r="CE822" s="72">
        <v>0</v>
      </c>
      <c r="CF822" s="72">
        <v>0</v>
      </c>
      <c r="CG822" s="72">
        <v>0</v>
      </c>
      <c r="CH822" s="72">
        <v>0</v>
      </c>
      <c r="CI822" s="72">
        <v>0</v>
      </c>
      <c r="CJ822" s="72">
        <v>0</v>
      </c>
      <c r="CK822" s="72">
        <v>0</v>
      </c>
      <c r="CL822" s="72">
        <v>0</v>
      </c>
      <c r="CM822" s="72">
        <v>0</v>
      </c>
      <c r="CN822" s="72">
        <v>0</v>
      </c>
      <c r="CO822" s="72">
        <v>0</v>
      </c>
      <c r="CP822" s="72">
        <v>0</v>
      </c>
      <c r="CQ822" s="72">
        <v>0</v>
      </c>
      <c r="CR822" s="72">
        <v>0</v>
      </c>
      <c r="CS822" s="72">
        <v>0</v>
      </c>
      <c r="CT822" s="72">
        <v>0</v>
      </c>
      <c r="CU822" s="72">
        <v>0</v>
      </c>
      <c r="CV822" s="72">
        <v>0</v>
      </c>
      <c r="CW822" s="72">
        <v>0</v>
      </c>
      <c r="CX822" s="72">
        <v>0</v>
      </c>
      <c r="CY822" s="72">
        <v>0</v>
      </c>
      <c r="CZ822" s="72">
        <v>0</v>
      </c>
      <c r="DA822" s="72">
        <v>0</v>
      </c>
      <c r="DB822" s="72">
        <v>0</v>
      </c>
      <c r="DC822" s="72">
        <v>0</v>
      </c>
      <c r="DD822" s="72">
        <v>0</v>
      </c>
      <c r="DE822" s="72">
        <v>0</v>
      </c>
      <c r="DF822" s="72">
        <v>0</v>
      </c>
      <c r="DG822" s="72">
        <v>0</v>
      </c>
      <c r="DH822" s="72">
        <v>0</v>
      </c>
      <c r="DI822" s="72">
        <v>0</v>
      </c>
      <c r="DJ822" s="72">
        <v>0</v>
      </c>
      <c r="DK822" s="72">
        <v>0</v>
      </c>
      <c r="DL822" s="72">
        <v>0</v>
      </c>
      <c r="DM822" s="72">
        <v>0</v>
      </c>
      <c r="DN822" s="72">
        <v>0</v>
      </c>
      <c r="DO822" s="72">
        <v>0</v>
      </c>
      <c r="DP822" s="72">
        <v>0</v>
      </c>
      <c r="DQ822" s="72">
        <v>0</v>
      </c>
      <c r="DR822" s="72">
        <v>0</v>
      </c>
      <c r="DS822" s="72">
        <v>0</v>
      </c>
      <c r="DT822" s="72">
        <v>0</v>
      </c>
      <c r="DU822" s="72">
        <v>0</v>
      </c>
      <c r="DV822" s="72">
        <v>0</v>
      </c>
      <c r="DW822" s="72">
        <v>0</v>
      </c>
      <c r="DX822" s="72">
        <v>0</v>
      </c>
      <c r="DY822" s="72">
        <v>0</v>
      </c>
      <c r="DZ822" s="72">
        <v>0</v>
      </c>
      <c r="EA822" s="72">
        <v>0</v>
      </c>
      <c r="EB822" s="72">
        <v>0</v>
      </c>
      <c r="EC822" s="72">
        <v>0</v>
      </c>
      <c r="ED822" s="72">
        <v>0</v>
      </c>
      <c r="EE822" s="72">
        <v>0</v>
      </c>
      <c r="EF822" s="72">
        <v>0</v>
      </c>
      <c r="EG822" s="72">
        <v>0</v>
      </c>
      <c r="EH822" s="72">
        <v>0</v>
      </c>
      <c r="EI822" s="72">
        <v>0</v>
      </c>
      <c r="EJ822" s="72">
        <v>0</v>
      </c>
      <c r="EK822" s="72">
        <v>0</v>
      </c>
      <c r="EL822" s="72">
        <v>0</v>
      </c>
    </row>
    <row r="823" spans="1:142" s="6" customFormat="1" x14ac:dyDescent="0.35">
      <c r="A823" s="59">
        <f>Данные!A823</f>
        <v>6368</v>
      </c>
      <c r="B823" s="59">
        <f>Данные!B823</f>
        <v>2019</v>
      </c>
      <c r="C823" s="59" t="str">
        <f>Данные!C823</f>
        <v>компьютерных технологий и электронного обучения</v>
      </c>
      <c r="D823" s="59" t="str">
        <f>Данные!D823</f>
        <v>Власова Елена Зотиковна</v>
      </c>
      <c r="E823" s="59" t="str">
        <f>Данные!E823</f>
        <v>доктор педагогических наук</v>
      </c>
      <c r="F823" s="59" t="str">
        <f>Данные!F823</f>
        <v>заведующий кафедрой</v>
      </c>
      <c r="G823" s="59">
        <f>Данные!G823</f>
        <v>1</v>
      </c>
      <c r="H823" s="59" t="str">
        <f>Данные!H823</f>
        <v>2 курс (б) 2018 год/пост</v>
      </c>
      <c r="I823" s="59" t="str">
        <f>Данные!I823</f>
        <v>Модуль "Технологии и методы вычислений". Анализ данных</v>
      </c>
      <c r="J823" s="59">
        <f>Данные!J823</f>
        <v>18</v>
      </c>
      <c r="K823" s="59">
        <f>Данные!K823</f>
        <v>0</v>
      </c>
      <c r="L823" s="59">
        <f>Данные!L823</f>
        <v>0</v>
      </c>
      <c r="M823" s="60">
        <f t="shared" si="108"/>
        <v>1.8</v>
      </c>
      <c r="N823" s="60">
        <f t="shared" ca="1" si="109"/>
        <v>14.870000000000001</v>
      </c>
      <c r="O823" s="60">
        <f t="shared" ca="1" si="110"/>
        <v>9.75</v>
      </c>
      <c r="P823" s="60">
        <f t="shared" ca="1" si="111"/>
        <v>9.75</v>
      </c>
      <c r="Q823" s="54">
        <f>Данные!Q823</f>
        <v>0</v>
      </c>
      <c r="R823" s="54">
        <f>Данные!R823</f>
        <v>0</v>
      </c>
      <c r="S823" s="54">
        <f>Данные!S823</f>
        <v>0</v>
      </c>
      <c r="T823" s="54">
        <f>Данные!T823</f>
        <v>0</v>
      </c>
      <c r="U823" s="54">
        <f>Данные!U823</f>
        <v>0</v>
      </c>
      <c r="V823" s="54">
        <f>Данные!V823</f>
        <v>0</v>
      </c>
      <c r="W823" s="54">
        <f ca="1">Данные!W823</f>
        <v>39</v>
      </c>
      <c r="X823" s="54" t="str">
        <f ca="1">Данные!X823</f>
        <v>2</v>
      </c>
      <c r="Y823" s="54" t="str">
        <f ca="1">Данные!Y823</f>
        <v>3</v>
      </c>
      <c r="Z823" s="54">
        <f>Данные!Z823</f>
        <v>0</v>
      </c>
      <c r="AA823" s="54" t="str">
        <f>Данные!AA823</f>
        <v>осн</v>
      </c>
      <c r="AB823" s="101">
        <f t="shared" si="112"/>
        <v>700</v>
      </c>
      <c r="AC823" s="101" t="str">
        <f t="shared" si="113"/>
        <v>ИВТ (бак)</v>
      </c>
      <c r="AD823" s="101" t="str">
        <f t="shared" si="114"/>
        <v/>
      </c>
      <c r="AE823" s="102">
        <f t="shared" ca="1" si="115"/>
        <v>54.17</v>
      </c>
      <c r="AF823" s="103">
        <f t="shared" ca="1" si="116"/>
        <v>7.7385714285714294E-2</v>
      </c>
      <c r="AG823" s="101"/>
      <c r="AH823" s="101"/>
      <c r="AI823"/>
      <c r="BQ823" s="72">
        <v>0</v>
      </c>
      <c r="BR823" s="72">
        <v>0</v>
      </c>
      <c r="BS823" s="72">
        <v>0</v>
      </c>
      <c r="BT823" s="72">
        <v>0</v>
      </c>
      <c r="BU823" s="72">
        <v>0</v>
      </c>
      <c r="BV823" s="72">
        <v>0</v>
      </c>
      <c r="BW823" s="72">
        <v>0</v>
      </c>
      <c r="BX823" s="72">
        <v>0</v>
      </c>
      <c r="BY823" s="72">
        <v>0</v>
      </c>
      <c r="BZ823" s="72">
        <v>0</v>
      </c>
      <c r="CA823" s="72">
        <v>0</v>
      </c>
      <c r="CB823" s="72">
        <v>0</v>
      </c>
      <c r="CC823" s="72">
        <v>0</v>
      </c>
      <c r="CD823" s="72">
        <v>0</v>
      </c>
      <c r="CE823" s="72">
        <v>0</v>
      </c>
      <c r="CF823" s="72">
        <v>0</v>
      </c>
      <c r="CG823" s="72">
        <v>0</v>
      </c>
      <c r="CH823" s="72">
        <v>0</v>
      </c>
      <c r="CI823" s="72">
        <v>0</v>
      </c>
      <c r="CJ823" s="72">
        <v>0</v>
      </c>
      <c r="CK823" s="72">
        <v>0</v>
      </c>
      <c r="CL823" s="72">
        <v>0</v>
      </c>
      <c r="CM823" s="72">
        <v>0</v>
      </c>
      <c r="CN823" s="72">
        <v>0</v>
      </c>
      <c r="CO823" s="72">
        <v>0</v>
      </c>
      <c r="CP823" s="72">
        <v>0</v>
      </c>
      <c r="CQ823" s="72">
        <v>0</v>
      </c>
      <c r="CR823" s="72">
        <v>0</v>
      </c>
      <c r="CS823" s="72">
        <v>0</v>
      </c>
      <c r="CT823" s="72">
        <v>0</v>
      </c>
      <c r="CU823" s="72">
        <v>0</v>
      </c>
      <c r="CV823" s="72">
        <v>0</v>
      </c>
      <c r="CW823" s="72">
        <v>0</v>
      </c>
      <c r="CX823" s="72">
        <v>0</v>
      </c>
      <c r="CY823" s="72">
        <v>0</v>
      </c>
      <c r="CZ823" s="72">
        <v>0</v>
      </c>
      <c r="DA823" s="72">
        <v>0</v>
      </c>
      <c r="DB823" s="72">
        <v>0</v>
      </c>
      <c r="DC823" s="72">
        <v>0</v>
      </c>
      <c r="DD823" s="72">
        <v>0</v>
      </c>
      <c r="DE823" s="72">
        <v>0</v>
      </c>
      <c r="DF823" s="72">
        <v>0</v>
      </c>
      <c r="DG823" s="72">
        <v>0</v>
      </c>
      <c r="DH823" s="72">
        <v>0</v>
      </c>
      <c r="DI823" s="72">
        <v>0</v>
      </c>
      <c r="DJ823" s="72">
        <v>0</v>
      </c>
      <c r="DK823" s="72">
        <v>0</v>
      </c>
      <c r="DL823" s="72">
        <v>0</v>
      </c>
      <c r="DM823" s="72">
        <v>0</v>
      </c>
      <c r="DN823" s="72">
        <v>0</v>
      </c>
      <c r="DO823" s="72">
        <v>0</v>
      </c>
      <c r="DP823" s="72">
        <v>0</v>
      </c>
      <c r="DQ823" s="72">
        <v>0</v>
      </c>
      <c r="DR823" s="72">
        <v>0</v>
      </c>
      <c r="DS823" s="72">
        <v>0</v>
      </c>
      <c r="DT823" s="72">
        <v>0</v>
      </c>
      <c r="DU823" s="72">
        <v>0</v>
      </c>
      <c r="DV823" s="72">
        <v>0</v>
      </c>
      <c r="DW823" s="72">
        <v>0</v>
      </c>
      <c r="DX823" s="72">
        <v>0</v>
      </c>
      <c r="DY823" s="72">
        <v>0</v>
      </c>
      <c r="DZ823" s="72">
        <v>0</v>
      </c>
      <c r="EA823" s="72">
        <v>0</v>
      </c>
      <c r="EB823" s="72">
        <v>0</v>
      </c>
      <c r="EC823" s="72">
        <v>0</v>
      </c>
      <c r="ED823" s="72">
        <v>0</v>
      </c>
      <c r="EE823" s="72">
        <v>0</v>
      </c>
      <c r="EF823" s="72">
        <v>0</v>
      </c>
      <c r="EG823" s="72">
        <v>0</v>
      </c>
      <c r="EH823" s="72">
        <v>0</v>
      </c>
      <c r="EI823" s="72">
        <v>0</v>
      </c>
      <c r="EJ823" s="72">
        <v>0</v>
      </c>
      <c r="EK823" s="72">
        <v>0</v>
      </c>
      <c r="EL823" s="72">
        <v>0</v>
      </c>
    </row>
    <row r="824" spans="1:142" s="6" customFormat="1" x14ac:dyDescent="0.35">
      <c r="A824" s="59">
        <f>Данные!A824</f>
        <v>6368</v>
      </c>
      <c r="B824" s="59">
        <f>Данные!B824</f>
        <v>2019</v>
      </c>
      <c r="C824" s="59" t="str">
        <f>Данные!C824</f>
        <v>компьютерных технологий и электронного обучения</v>
      </c>
      <c r="D824" s="59" t="str">
        <f>Данные!D824</f>
        <v>Власова Елена Зотиковна</v>
      </c>
      <c r="E824" s="59" t="str">
        <f>Данные!E824</f>
        <v>доктор педагогических наук</v>
      </c>
      <c r="F824" s="59" t="str">
        <f>Данные!F824</f>
        <v>заведующий кафедрой</v>
      </c>
      <c r="G824" s="59">
        <f>Данные!G824</f>
        <v>1</v>
      </c>
      <c r="H824" s="59" t="str">
        <f>Данные!H824</f>
        <v>2 курс (б) 2018 год/пост</v>
      </c>
      <c r="I824" s="59" t="str">
        <f>Данные!I824</f>
        <v>Модуль "Технологии и методы вычислений". Вычислительная математика</v>
      </c>
      <c r="J824" s="59">
        <f>Данные!J824</f>
        <v>14</v>
      </c>
      <c r="K824" s="59">
        <f>Данные!K824</f>
        <v>0</v>
      </c>
      <c r="L824" s="59">
        <f>Данные!L824</f>
        <v>36</v>
      </c>
      <c r="M824" s="60">
        <f t="shared" si="108"/>
        <v>5</v>
      </c>
      <c r="N824" s="60">
        <f t="shared" ca="1" si="109"/>
        <v>14.870000000000001</v>
      </c>
      <c r="O824" s="60">
        <f t="shared" ca="1" si="110"/>
        <v>9.75</v>
      </c>
      <c r="P824" s="60">
        <f t="shared" ca="1" si="111"/>
        <v>9.75</v>
      </c>
      <c r="Q824" s="54">
        <f>Данные!Q824</f>
        <v>0</v>
      </c>
      <c r="R824" s="54">
        <f>Данные!R824</f>
        <v>0</v>
      </c>
      <c r="S824" s="54">
        <f>Данные!S824</f>
        <v>0</v>
      </c>
      <c r="T824" s="54">
        <f>Данные!T824</f>
        <v>0</v>
      </c>
      <c r="U824" s="54">
        <f>Данные!U824</f>
        <v>0</v>
      </c>
      <c r="V824" s="54">
        <f>Данные!V824</f>
        <v>0</v>
      </c>
      <c r="W824" s="54">
        <f ca="1">Данные!W824</f>
        <v>39</v>
      </c>
      <c r="X824" s="54" t="str">
        <f ca="1">Данные!X824</f>
        <v>2</v>
      </c>
      <c r="Y824" s="54" t="str">
        <f ca="1">Данные!Y824</f>
        <v>3</v>
      </c>
      <c r="Z824" s="54">
        <f>Данные!Z824</f>
        <v>0</v>
      </c>
      <c r="AA824" s="54" t="str">
        <f>Данные!AA824</f>
        <v>осн</v>
      </c>
      <c r="AB824" s="101">
        <f t="shared" si="112"/>
        <v>700</v>
      </c>
      <c r="AC824" s="101" t="str">
        <f t="shared" si="113"/>
        <v>ИВТ (бак)</v>
      </c>
      <c r="AD824" s="101" t="str">
        <f t="shared" si="114"/>
        <v/>
      </c>
      <c r="AE824" s="102">
        <f t="shared" ca="1" si="115"/>
        <v>89.37</v>
      </c>
      <c r="AF824" s="103">
        <f t="shared" ca="1" si="116"/>
        <v>0.12767142857142857</v>
      </c>
      <c r="AG824" s="101"/>
      <c r="AH824" s="101"/>
      <c r="AI824"/>
      <c r="BQ824" s="72">
        <v>0</v>
      </c>
      <c r="BR824" s="72">
        <v>0</v>
      </c>
      <c r="BS824" s="72">
        <v>0</v>
      </c>
      <c r="BT824" s="72">
        <v>0</v>
      </c>
      <c r="BU824" s="72">
        <v>0</v>
      </c>
      <c r="BV824" s="72">
        <v>0</v>
      </c>
      <c r="BW824" s="72">
        <v>0</v>
      </c>
      <c r="BX824" s="72">
        <v>0</v>
      </c>
      <c r="BY824" s="72">
        <v>0</v>
      </c>
      <c r="BZ824" s="72">
        <v>0</v>
      </c>
      <c r="CA824" s="72">
        <v>0</v>
      </c>
      <c r="CB824" s="72">
        <v>0</v>
      </c>
      <c r="CC824" s="72">
        <v>0</v>
      </c>
      <c r="CD824" s="72">
        <v>0</v>
      </c>
      <c r="CE824" s="72">
        <v>0</v>
      </c>
      <c r="CF824" s="72">
        <v>0</v>
      </c>
      <c r="CG824" s="72">
        <v>0</v>
      </c>
      <c r="CH824" s="72">
        <v>0</v>
      </c>
      <c r="CI824" s="72">
        <v>0</v>
      </c>
      <c r="CJ824" s="72">
        <v>0</v>
      </c>
      <c r="CK824" s="72">
        <v>0</v>
      </c>
      <c r="CL824" s="72">
        <v>0</v>
      </c>
      <c r="CM824" s="72">
        <v>0</v>
      </c>
      <c r="CN824" s="72">
        <v>0</v>
      </c>
      <c r="CO824" s="72">
        <v>0</v>
      </c>
      <c r="CP824" s="72">
        <v>0</v>
      </c>
      <c r="CQ824" s="72">
        <v>0</v>
      </c>
      <c r="CR824" s="72">
        <v>0</v>
      </c>
      <c r="CS824" s="72">
        <v>0</v>
      </c>
      <c r="CT824" s="72">
        <v>0</v>
      </c>
      <c r="CU824" s="72">
        <v>0</v>
      </c>
      <c r="CV824" s="72">
        <v>0</v>
      </c>
      <c r="CW824" s="72">
        <v>0</v>
      </c>
      <c r="CX824" s="72">
        <v>0</v>
      </c>
      <c r="CY824" s="72">
        <v>0</v>
      </c>
      <c r="CZ824" s="72">
        <v>0</v>
      </c>
      <c r="DA824" s="72">
        <v>0</v>
      </c>
      <c r="DB824" s="72">
        <v>0</v>
      </c>
      <c r="DC824" s="72">
        <v>0</v>
      </c>
      <c r="DD824" s="72">
        <v>0</v>
      </c>
      <c r="DE824" s="72">
        <v>0</v>
      </c>
      <c r="DF824" s="72">
        <v>0</v>
      </c>
      <c r="DG824" s="72">
        <v>0</v>
      </c>
      <c r="DH824" s="72">
        <v>0</v>
      </c>
      <c r="DI824" s="72">
        <v>0</v>
      </c>
      <c r="DJ824" s="72">
        <v>0</v>
      </c>
      <c r="DK824" s="72">
        <v>0</v>
      </c>
      <c r="DL824" s="72">
        <v>0</v>
      </c>
      <c r="DM824" s="72">
        <v>0</v>
      </c>
      <c r="DN824" s="72">
        <v>0</v>
      </c>
      <c r="DO824" s="72">
        <v>0</v>
      </c>
      <c r="DP824" s="72">
        <v>0</v>
      </c>
      <c r="DQ824" s="72">
        <v>0</v>
      </c>
      <c r="DR824" s="72">
        <v>0</v>
      </c>
      <c r="DS824" s="72">
        <v>0</v>
      </c>
      <c r="DT824" s="72">
        <v>0</v>
      </c>
      <c r="DU824" s="72">
        <v>0</v>
      </c>
      <c r="DV824" s="72">
        <v>0</v>
      </c>
      <c r="DW824" s="72">
        <v>0</v>
      </c>
      <c r="DX824" s="72">
        <v>0</v>
      </c>
      <c r="DY824" s="72">
        <v>0</v>
      </c>
      <c r="DZ824" s="72">
        <v>0</v>
      </c>
      <c r="EA824" s="72">
        <v>0</v>
      </c>
      <c r="EB824" s="72">
        <v>0</v>
      </c>
      <c r="EC824" s="72">
        <v>0</v>
      </c>
      <c r="ED824" s="72">
        <v>0</v>
      </c>
      <c r="EE824" s="72">
        <v>0</v>
      </c>
      <c r="EF824" s="72">
        <v>0</v>
      </c>
      <c r="EG824" s="72">
        <v>0</v>
      </c>
      <c r="EH824" s="72">
        <v>0</v>
      </c>
      <c r="EI824" s="72">
        <v>0</v>
      </c>
      <c r="EJ824" s="72">
        <v>0</v>
      </c>
      <c r="EK824" s="72">
        <v>0</v>
      </c>
      <c r="EL824" s="72">
        <v>0</v>
      </c>
    </row>
    <row r="825" spans="1:142" x14ac:dyDescent="0.35">
      <c r="A825" s="59">
        <f>Данные!A825</f>
        <v>6368</v>
      </c>
      <c r="B825" s="59">
        <f>Данные!B825</f>
        <v>2019</v>
      </c>
      <c r="C825" s="59" t="str">
        <f>Данные!C825</f>
        <v>компьютерных технологий и электронного обучения</v>
      </c>
      <c r="D825" s="59" t="str">
        <f>Данные!D825</f>
        <v>Власова Елена Зотиковна</v>
      </c>
      <c r="E825" s="59" t="str">
        <f>Данные!E825</f>
        <v>доктор педагогических наук</v>
      </c>
      <c r="F825" s="59" t="str">
        <f>Данные!F825</f>
        <v>заведующий кафедрой</v>
      </c>
      <c r="G825" s="59">
        <f>Данные!G825</f>
        <v>1</v>
      </c>
      <c r="H825" s="59" t="str">
        <f>Данные!H825</f>
        <v>2 курс (б) 2018 год/пост</v>
      </c>
      <c r="I825" s="59" t="str">
        <f>Данные!I825</f>
        <v>Модуль "Технологии и методы вычислений". Технологии компьютерного моделирования</v>
      </c>
      <c r="J825" s="59">
        <f>Данные!J825</f>
        <v>0</v>
      </c>
      <c r="K825" s="59">
        <f>Данные!K825</f>
        <v>0</v>
      </c>
      <c r="L825" s="59">
        <f>Данные!L825</f>
        <v>81</v>
      </c>
      <c r="M825" s="60">
        <f t="shared" si="108"/>
        <v>8.1</v>
      </c>
      <c r="N825" s="60">
        <f t="shared" ca="1" si="109"/>
        <v>14.870000000000001</v>
      </c>
      <c r="O825" s="60">
        <f t="shared" ca="1" si="110"/>
        <v>9.75</v>
      </c>
      <c r="P825" s="60">
        <f t="shared" ca="1" si="111"/>
        <v>9.75</v>
      </c>
      <c r="Q825" s="54">
        <f>Данные!Q825</f>
        <v>38</v>
      </c>
      <c r="R825" s="54">
        <f>Данные!R825</f>
        <v>0</v>
      </c>
      <c r="S825" s="54">
        <f>Данные!S825</f>
        <v>0</v>
      </c>
      <c r="T825" s="54">
        <f>Данные!T825</f>
        <v>0</v>
      </c>
      <c r="U825" s="54">
        <f>Данные!U825</f>
        <v>0</v>
      </c>
      <c r="V825" s="54">
        <f>Данные!V825</f>
        <v>0</v>
      </c>
      <c r="W825" s="54">
        <f ca="1">Данные!W825</f>
        <v>39</v>
      </c>
      <c r="X825" s="54" t="str">
        <f ca="1">Данные!X825</f>
        <v>2</v>
      </c>
      <c r="Y825" s="54" t="str">
        <f ca="1">Данные!Y825</f>
        <v>3</v>
      </c>
      <c r="Z825" s="54">
        <f>Данные!Z825</f>
        <v>0</v>
      </c>
      <c r="AA825" s="54" t="str">
        <f>Данные!AA825</f>
        <v>осн</v>
      </c>
      <c r="AB825" s="101">
        <f t="shared" si="112"/>
        <v>700</v>
      </c>
      <c r="AC825" s="101" t="str">
        <f t="shared" si="113"/>
        <v>ИВТ (бак)</v>
      </c>
      <c r="AD825" s="101" t="str">
        <f t="shared" si="114"/>
        <v/>
      </c>
      <c r="AE825" s="102">
        <f t="shared" ca="1" si="115"/>
        <v>161.47</v>
      </c>
      <c r="AF825" s="103">
        <f t="shared" ca="1" si="116"/>
        <v>0.23067142857142858</v>
      </c>
      <c r="AG825" s="101"/>
      <c r="AH825" s="101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Q825" s="72">
        <v>0</v>
      </c>
      <c r="BR825" s="72">
        <v>0</v>
      </c>
      <c r="BS825" s="72">
        <v>0</v>
      </c>
      <c r="BT825" s="72">
        <v>0</v>
      </c>
      <c r="BU825" s="72">
        <v>0</v>
      </c>
      <c r="BV825" s="72">
        <v>0</v>
      </c>
      <c r="BW825" s="72">
        <v>0</v>
      </c>
      <c r="BX825" s="72">
        <v>0</v>
      </c>
      <c r="BY825" s="72">
        <v>0</v>
      </c>
      <c r="BZ825" s="72">
        <v>0</v>
      </c>
      <c r="CA825" s="72">
        <v>0</v>
      </c>
      <c r="CB825" s="72">
        <v>0</v>
      </c>
      <c r="CC825" s="72">
        <v>0</v>
      </c>
      <c r="CD825" s="72">
        <v>0</v>
      </c>
      <c r="CE825" s="72">
        <v>0</v>
      </c>
      <c r="CF825" s="72">
        <v>0</v>
      </c>
      <c r="CG825" s="72">
        <v>0</v>
      </c>
      <c r="CH825" s="72">
        <v>0</v>
      </c>
      <c r="CI825" s="72">
        <v>0</v>
      </c>
      <c r="CJ825" s="72">
        <v>0</v>
      </c>
      <c r="CK825" s="72">
        <v>0</v>
      </c>
      <c r="CL825" s="72">
        <v>0</v>
      </c>
      <c r="CM825" s="72">
        <v>0</v>
      </c>
      <c r="CN825" s="72">
        <v>0</v>
      </c>
      <c r="CO825" s="72">
        <v>0</v>
      </c>
      <c r="CP825" s="72">
        <v>0</v>
      </c>
      <c r="CQ825" s="72">
        <v>0</v>
      </c>
      <c r="CR825" s="72">
        <v>0</v>
      </c>
      <c r="CS825" s="72">
        <v>0</v>
      </c>
      <c r="CT825" s="72">
        <v>0</v>
      </c>
      <c r="CU825" s="72">
        <v>0</v>
      </c>
      <c r="CV825" s="72">
        <v>0</v>
      </c>
      <c r="CW825" s="72">
        <v>0</v>
      </c>
      <c r="CX825" s="72">
        <v>0</v>
      </c>
      <c r="CY825" s="72">
        <v>0</v>
      </c>
      <c r="CZ825" s="72">
        <v>0</v>
      </c>
      <c r="DA825" s="72">
        <v>0</v>
      </c>
      <c r="DB825" s="72">
        <v>0</v>
      </c>
      <c r="DC825" s="72">
        <v>0</v>
      </c>
      <c r="DD825" s="72">
        <v>0</v>
      </c>
      <c r="DE825" s="72">
        <v>0</v>
      </c>
      <c r="DF825" s="72">
        <v>0</v>
      </c>
      <c r="DG825" s="72">
        <v>0</v>
      </c>
      <c r="DH825" s="72">
        <v>0</v>
      </c>
      <c r="DI825" s="72">
        <v>0</v>
      </c>
      <c r="DJ825" s="72">
        <v>0</v>
      </c>
      <c r="DK825" s="72">
        <v>0</v>
      </c>
      <c r="DL825" s="72">
        <v>0</v>
      </c>
      <c r="DM825" s="72">
        <v>0</v>
      </c>
      <c r="DN825" s="72">
        <v>0</v>
      </c>
      <c r="DO825" s="72">
        <v>0</v>
      </c>
      <c r="DP825" s="72">
        <v>0</v>
      </c>
      <c r="DQ825" s="72">
        <v>0</v>
      </c>
      <c r="DR825" s="72">
        <v>0</v>
      </c>
      <c r="DS825" s="72">
        <v>0</v>
      </c>
      <c r="DT825" s="72">
        <v>0</v>
      </c>
      <c r="DU825" s="72">
        <v>0</v>
      </c>
      <c r="DV825" s="72">
        <v>0</v>
      </c>
      <c r="DW825" s="72">
        <v>0</v>
      </c>
      <c r="DX825" s="72">
        <v>0</v>
      </c>
      <c r="DY825" s="72">
        <v>0</v>
      </c>
      <c r="DZ825" s="72">
        <v>0</v>
      </c>
      <c r="EA825" s="72">
        <v>0</v>
      </c>
      <c r="EB825" s="72">
        <v>0</v>
      </c>
      <c r="EC825" s="72">
        <v>0</v>
      </c>
      <c r="ED825" s="72">
        <v>0</v>
      </c>
      <c r="EE825" s="72">
        <v>0</v>
      </c>
      <c r="EF825" s="72">
        <v>0</v>
      </c>
      <c r="EG825" s="72">
        <v>0</v>
      </c>
      <c r="EH825" s="72">
        <v>0</v>
      </c>
      <c r="EI825" s="72">
        <v>0</v>
      </c>
      <c r="EJ825" s="72">
        <v>0</v>
      </c>
      <c r="EK825" s="72">
        <v>0</v>
      </c>
      <c r="EL825" s="72">
        <v>0</v>
      </c>
    </row>
    <row r="826" spans="1:142" x14ac:dyDescent="0.35">
      <c r="A826" s="59">
        <f>Данные!A826</f>
        <v>6368</v>
      </c>
      <c r="B826" s="59">
        <f>Данные!B826</f>
        <v>2019</v>
      </c>
      <c r="C826" s="59" t="str">
        <f>Данные!C826</f>
        <v>компьютерных технологий и электронного обучения</v>
      </c>
      <c r="D826" s="59" t="str">
        <f>Данные!D826</f>
        <v>Власова Елена Зотиковна</v>
      </c>
      <c r="E826" s="59" t="str">
        <f>Данные!E826</f>
        <v>доктор педагогических наук</v>
      </c>
      <c r="F826" s="59" t="str">
        <f>Данные!F826</f>
        <v>заведующий кафедрой</v>
      </c>
      <c r="G826" s="59">
        <f>Данные!G826</f>
        <v>1</v>
      </c>
      <c r="H826" s="59" t="str">
        <f>Данные!H826</f>
        <v>2 курс (б) 2018 год/пост</v>
      </c>
      <c r="I826" s="59" t="str">
        <f>Данные!I826</f>
        <v>Модуль "Технологии и методы вычислений". Технологии компьютерного моделирования</v>
      </c>
      <c r="J826" s="59">
        <f>Данные!J826</f>
        <v>14</v>
      </c>
      <c r="K826" s="59">
        <f>Данные!K826</f>
        <v>0</v>
      </c>
      <c r="L826" s="59">
        <f>Данные!L826</f>
        <v>0</v>
      </c>
      <c r="M826" s="60">
        <f t="shared" si="108"/>
        <v>1.4</v>
      </c>
      <c r="N826" s="60">
        <f t="shared" ca="1" si="109"/>
        <v>14.870000000000001</v>
      </c>
      <c r="O826" s="60">
        <f t="shared" ca="1" si="110"/>
        <v>9.75</v>
      </c>
      <c r="P826" s="60">
        <f t="shared" ca="1" si="111"/>
        <v>9.75</v>
      </c>
      <c r="Q826" s="54">
        <f>Данные!Q826</f>
        <v>0</v>
      </c>
      <c r="R826" s="54">
        <f>Данные!R826</f>
        <v>0</v>
      </c>
      <c r="S826" s="54">
        <f>Данные!S826</f>
        <v>0</v>
      </c>
      <c r="T826" s="54">
        <f>Данные!T826</f>
        <v>0</v>
      </c>
      <c r="U826" s="54">
        <f>Данные!U826</f>
        <v>0</v>
      </c>
      <c r="V826" s="54">
        <f>Данные!V826</f>
        <v>0</v>
      </c>
      <c r="W826" s="54">
        <f ca="1">Данные!W826</f>
        <v>39</v>
      </c>
      <c r="X826" s="54" t="str">
        <f ca="1">Данные!X826</f>
        <v>2</v>
      </c>
      <c r="Y826" s="54" t="str">
        <f ca="1">Данные!Y826</f>
        <v>3</v>
      </c>
      <c r="Z826" s="54">
        <f>Данные!Z826</f>
        <v>0</v>
      </c>
      <c r="AA826" s="54" t="str">
        <f>Данные!AA826</f>
        <v>осн</v>
      </c>
      <c r="AB826" s="101">
        <f t="shared" si="112"/>
        <v>700</v>
      </c>
      <c r="AC826" s="101" t="str">
        <f t="shared" si="113"/>
        <v>ИВТ (бак)</v>
      </c>
      <c r="AD826" s="101" t="str">
        <f t="shared" si="114"/>
        <v/>
      </c>
      <c r="AE826" s="102">
        <f t="shared" ca="1" si="115"/>
        <v>49.77</v>
      </c>
      <c r="AF826" s="103">
        <f t="shared" ca="1" si="116"/>
        <v>7.110000000000001E-2</v>
      </c>
      <c r="AG826" s="101"/>
      <c r="AH826" s="101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Q826" s="72">
        <v>0</v>
      </c>
      <c r="BR826" s="72">
        <v>0</v>
      </c>
      <c r="BS826" s="72">
        <v>0</v>
      </c>
      <c r="BT826" s="72">
        <v>0</v>
      </c>
      <c r="BU826" s="72">
        <v>0</v>
      </c>
      <c r="BV826" s="72">
        <v>0</v>
      </c>
      <c r="BW826" s="72">
        <v>0</v>
      </c>
      <c r="BX826" s="72">
        <v>0</v>
      </c>
      <c r="BY826" s="72">
        <v>0</v>
      </c>
      <c r="BZ826" s="72">
        <v>0</v>
      </c>
      <c r="CA826" s="72">
        <v>0</v>
      </c>
      <c r="CB826" s="72">
        <v>0</v>
      </c>
      <c r="CC826" s="72">
        <v>0</v>
      </c>
      <c r="CD826" s="72">
        <v>0</v>
      </c>
      <c r="CE826" s="72">
        <v>0</v>
      </c>
      <c r="CF826" s="72">
        <v>0</v>
      </c>
      <c r="CG826" s="72">
        <v>0</v>
      </c>
      <c r="CH826" s="72">
        <v>0</v>
      </c>
      <c r="CI826" s="72">
        <v>0</v>
      </c>
      <c r="CJ826" s="72">
        <v>0</v>
      </c>
      <c r="CK826" s="72">
        <v>0</v>
      </c>
      <c r="CL826" s="72">
        <v>0</v>
      </c>
      <c r="CM826" s="72">
        <v>0</v>
      </c>
      <c r="CN826" s="72">
        <v>0</v>
      </c>
      <c r="CO826" s="72">
        <v>0</v>
      </c>
      <c r="CP826" s="72">
        <v>0</v>
      </c>
      <c r="CQ826" s="72">
        <v>0</v>
      </c>
      <c r="CR826" s="72">
        <v>0</v>
      </c>
      <c r="CS826" s="72">
        <v>0</v>
      </c>
      <c r="CT826" s="72">
        <v>0</v>
      </c>
      <c r="CU826" s="72">
        <v>0</v>
      </c>
      <c r="CV826" s="72">
        <v>0</v>
      </c>
      <c r="CW826" s="72">
        <v>0</v>
      </c>
      <c r="CX826" s="72">
        <v>0</v>
      </c>
      <c r="CY826" s="72">
        <v>0</v>
      </c>
      <c r="CZ826" s="72">
        <v>0</v>
      </c>
      <c r="DA826" s="72">
        <v>0</v>
      </c>
      <c r="DB826" s="72">
        <v>0</v>
      </c>
      <c r="DC826" s="72">
        <v>0</v>
      </c>
      <c r="DD826" s="72">
        <v>0</v>
      </c>
      <c r="DE826" s="72">
        <v>0</v>
      </c>
      <c r="DF826" s="72">
        <v>0</v>
      </c>
      <c r="DG826" s="72">
        <v>0</v>
      </c>
      <c r="DH826" s="72">
        <v>0</v>
      </c>
      <c r="DI826" s="72">
        <v>0</v>
      </c>
      <c r="DJ826" s="72">
        <v>0</v>
      </c>
      <c r="DK826" s="72">
        <v>0</v>
      </c>
      <c r="DL826" s="72">
        <v>0</v>
      </c>
      <c r="DM826" s="72">
        <v>0</v>
      </c>
      <c r="DN826" s="72">
        <v>0</v>
      </c>
      <c r="DO826" s="72">
        <v>0</v>
      </c>
      <c r="DP826" s="72">
        <v>0</v>
      </c>
      <c r="DQ826" s="72">
        <v>0</v>
      </c>
      <c r="DR826" s="72">
        <v>0</v>
      </c>
      <c r="DS826" s="72">
        <v>0</v>
      </c>
      <c r="DT826" s="72">
        <v>0</v>
      </c>
      <c r="DU826" s="72">
        <v>0</v>
      </c>
      <c r="DV826" s="72">
        <v>0</v>
      </c>
      <c r="DW826" s="72">
        <v>0</v>
      </c>
      <c r="DX826" s="72">
        <v>0</v>
      </c>
      <c r="DY826" s="72">
        <v>0</v>
      </c>
      <c r="DZ826" s="72">
        <v>0</v>
      </c>
      <c r="EA826" s="72">
        <v>0</v>
      </c>
      <c r="EB826" s="72">
        <v>0</v>
      </c>
      <c r="EC826" s="72">
        <v>0</v>
      </c>
      <c r="ED826" s="72">
        <v>0</v>
      </c>
      <c r="EE826" s="72">
        <v>0</v>
      </c>
      <c r="EF826" s="72">
        <v>0</v>
      </c>
      <c r="EG826" s="72">
        <v>0</v>
      </c>
      <c r="EH826" s="72">
        <v>0</v>
      </c>
      <c r="EI826" s="72">
        <v>0</v>
      </c>
      <c r="EJ826" s="72">
        <v>0</v>
      </c>
      <c r="EK826" s="72">
        <v>0</v>
      </c>
      <c r="EL826" s="72">
        <v>0</v>
      </c>
    </row>
    <row r="827" spans="1:142" x14ac:dyDescent="0.35">
      <c r="A827" s="59">
        <f>Данные!A827</f>
        <v>6368</v>
      </c>
      <c r="B827" s="59">
        <f>Данные!B827</f>
        <v>2019</v>
      </c>
      <c r="C827" s="59" t="str">
        <f>Данные!C827</f>
        <v>компьютерных технологий и электронного обучения</v>
      </c>
      <c r="D827" s="59" t="str">
        <f>Данные!D827</f>
        <v>Гончарова Светлана Викторовна</v>
      </c>
      <c r="E827" s="59" t="str">
        <f>Данные!E827</f>
        <v>кандидат педагогических наук</v>
      </c>
      <c r="F827" s="59" t="str">
        <f>Данные!F827</f>
        <v>доцент</v>
      </c>
      <c r="G827" s="59">
        <f>Данные!G827</f>
        <v>1</v>
      </c>
      <c r="H827" s="59" t="str">
        <f>Данные!H827</f>
        <v>2 курс (б) 2018 год/пост</v>
      </c>
      <c r="I827" s="59" t="str">
        <f>Данные!I827</f>
        <v>Модуль "Системное и прикладное программное обеспечение". Программирование</v>
      </c>
      <c r="J827" s="59">
        <f>Данные!J827</f>
        <v>18</v>
      </c>
      <c r="K827" s="59">
        <f>Данные!K827</f>
        <v>0</v>
      </c>
      <c r="L827" s="59">
        <f>Данные!L827</f>
        <v>0</v>
      </c>
      <c r="M827" s="60">
        <f t="shared" si="108"/>
        <v>1.8</v>
      </c>
      <c r="N827" s="60">
        <f t="shared" ca="1" si="109"/>
        <v>14.870000000000001</v>
      </c>
      <c r="O827" s="60">
        <f t="shared" ca="1" si="110"/>
        <v>9.75</v>
      </c>
      <c r="P827" s="60">
        <f t="shared" ca="1" si="111"/>
        <v>9.75</v>
      </c>
      <c r="Q827" s="54">
        <f>Данные!Q827</f>
        <v>0</v>
      </c>
      <c r="R827" s="54">
        <f>Данные!R827</f>
        <v>0</v>
      </c>
      <c r="S827" s="54">
        <f>Данные!S827</f>
        <v>0</v>
      </c>
      <c r="T827" s="54">
        <f>Данные!T827</f>
        <v>0</v>
      </c>
      <c r="U827" s="54">
        <f>Данные!U827</f>
        <v>0</v>
      </c>
      <c r="V827" s="54">
        <f>Данные!V827</f>
        <v>0</v>
      </c>
      <c r="W827" s="54">
        <f ca="1">Данные!W827</f>
        <v>39</v>
      </c>
      <c r="X827" s="54" t="str">
        <f ca="1">Данные!X827</f>
        <v>2</v>
      </c>
      <c r="Y827" s="54" t="str">
        <f ca="1">Данные!Y827</f>
        <v>3</v>
      </c>
      <c r="Z827" s="54">
        <f>Данные!Z827</f>
        <v>0</v>
      </c>
      <c r="AA827" s="54" t="str">
        <f>Данные!AA827</f>
        <v>осн</v>
      </c>
      <c r="AB827" s="101">
        <f t="shared" si="112"/>
        <v>800</v>
      </c>
      <c r="AC827" s="101" t="str">
        <f t="shared" si="113"/>
        <v>ИВТ (бак)</v>
      </c>
      <c r="AD827" s="101" t="str">
        <f t="shared" si="114"/>
        <v/>
      </c>
      <c r="AE827" s="102">
        <f t="shared" ca="1" si="115"/>
        <v>54.17</v>
      </c>
      <c r="AF827" s="103">
        <f t="shared" ca="1" si="116"/>
        <v>6.7712500000000009E-2</v>
      </c>
      <c r="AG827" s="101"/>
      <c r="AH827" s="101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Q827" s="72">
        <v>0</v>
      </c>
      <c r="BR827" s="72">
        <v>0</v>
      </c>
      <c r="BS827" s="72">
        <v>0</v>
      </c>
      <c r="BT827" s="72">
        <v>0</v>
      </c>
      <c r="BU827" s="72">
        <v>0</v>
      </c>
      <c r="BV827" s="72">
        <v>0</v>
      </c>
      <c r="BW827" s="72">
        <v>0</v>
      </c>
      <c r="BX827" s="72">
        <v>0</v>
      </c>
      <c r="BY827" s="72">
        <v>0</v>
      </c>
      <c r="BZ827" s="72">
        <v>0</v>
      </c>
      <c r="CA827" s="72">
        <v>0</v>
      </c>
      <c r="CB827" s="72">
        <v>0</v>
      </c>
      <c r="CC827" s="72">
        <v>0</v>
      </c>
      <c r="CD827" s="72">
        <v>0</v>
      </c>
      <c r="CE827" s="72">
        <v>0</v>
      </c>
      <c r="CF827" s="72">
        <v>0</v>
      </c>
      <c r="CG827" s="72">
        <v>0</v>
      </c>
      <c r="CH827" s="72">
        <v>0</v>
      </c>
      <c r="CI827" s="72">
        <v>0</v>
      </c>
      <c r="CJ827" s="72">
        <v>0</v>
      </c>
      <c r="CK827" s="72">
        <v>0</v>
      </c>
      <c r="CL827" s="72">
        <v>0</v>
      </c>
      <c r="CM827" s="72">
        <v>0</v>
      </c>
      <c r="CN827" s="72">
        <v>0</v>
      </c>
      <c r="CO827" s="72">
        <v>0</v>
      </c>
      <c r="CP827" s="72">
        <v>0</v>
      </c>
      <c r="CQ827" s="72">
        <v>0</v>
      </c>
      <c r="CR827" s="72">
        <v>0</v>
      </c>
      <c r="CS827" s="72">
        <v>0</v>
      </c>
      <c r="CT827" s="72">
        <v>0</v>
      </c>
      <c r="CU827" s="72">
        <v>0</v>
      </c>
      <c r="CV827" s="72">
        <v>0</v>
      </c>
      <c r="CW827" s="72">
        <v>0</v>
      </c>
      <c r="CX827" s="72">
        <v>0</v>
      </c>
      <c r="CY827" s="72">
        <v>0</v>
      </c>
      <c r="CZ827" s="72">
        <v>0</v>
      </c>
      <c r="DA827" s="72">
        <v>0</v>
      </c>
      <c r="DB827" s="72">
        <v>0</v>
      </c>
      <c r="DC827" s="72">
        <v>0</v>
      </c>
      <c r="DD827" s="72">
        <v>0</v>
      </c>
      <c r="DE827" s="72">
        <v>0</v>
      </c>
      <c r="DF827" s="72">
        <v>0</v>
      </c>
      <c r="DG827" s="72">
        <v>0</v>
      </c>
      <c r="DH827" s="72">
        <v>0</v>
      </c>
      <c r="DI827" s="72">
        <v>0</v>
      </c>
      <c r="DJ827" s="72">
        <v>0</v>
      </c>
      <c r="DK827" s="72">
        <v>0</v>
      </c>
      <c r="DL827" s="72">
        <v>0</v>
      </c>
      <c r="DM827" s="72">
        <v>0</v>
      </c>
      <c r="DN827" s="72">
        <v>0</v>
      </c>
      <c r="DO827" s="72">
        <v>0</v>
      </c>
      <c r="DP827" s="72">
        <v>0</v>
      </c>
      <c r="DQ827" s="72">
        <v>0</v>
      </c>
      <c r="DR827" s="72">
        <v>0</v>
      </c>
      <c r="DS827" s="72">
        <v>0</v>
      </c>
      <c r="DT827" s="72">
        <v>0</v>
      </c>
      <c r="DU827" s="72">
        <v>0</v>
      </c>
      <c r="DV827" s="72">
        <v>0</v>
      </c>
      <c r="DW827" s="72">
        <v>0</v>
      </c>
      <c r="DX827" s="72">
        <v>0</v>
      </c>
      <c r="DY827" s="72">
        <v>0</v>
      </c>
      <c r="DZ827" s="72">
        <v>0</v>
      </c>
      <c r="EA827" s="72">
        <v>0</v>
      </c>
      <c r="EB827" s="72">
        <v>0</v>
      </c>
      <c r="EC827" s="72">
        <v>0</v>
      </c>
      <c r="ED827" s="72">
        <v>0</v>
      </c>
      <c r="EE827" s="72">
        <v>0</v>
      </c>
      <c r="EF827" s="72">
        <v>0</v>
      </c>
      <c r="EG827" s="72">
        <v>0</v>
      </c>
      <c r="EH827" s="72">
        <v>0</v>
      </c>
      <c r="EI827" s="72">
        <v>0</v>
      </c>
      <c r="EJ827" s="72">
        <v>0</v>
      </c>
      <c r="EK827" s="72">
        <v>0</v>
      </c>
      <c r="EL827" s="72">
        <v>0</v>
      </c>
    </row>
    <row r="828" spans="1:142" x14ac:dyDescent="0.35">
      <c r="A828" s="59">
        <f>Данные!A828</f>
        <v>6368</v>
      </c>
      <c r="B828" s="59">
        <f>Данные!B828</f>
        <v>2019</v>
      </c>
      <c r="C828" s="59" t="str">
        <f>Данные!C828</f>
        <v>компьютерных технологий и электронного обучения</v>
      </c>
      <c r="D828" s="59" t="str">
        <f>Данные!D828</f>
        <v>Гончарова Светлана Викторовна</v>
      </c>
      <c r="E828" s="59" t="str">
        <f>Данные!E828</f>
        <v>кандидат педагогических наук</v>
      </c>
      <c r="F828" s="59" t="str">
        <f>Данные!F828</f>
        <v>доцент</v>
      </c>
      <c r="G828" s="59">
        <f>Данные!G828</f>
        <v>1</v>
      </c>
      <c r="H828" s="59" t="str">
        <f>Данные!H828</f>
        <v>2 курс (б) 2018 год/пост</v>
      </c>
      <c r="I828" s="59" t="str">
        <f>Данные!I828</f>
        <v>Модуль "Технологии и методы вычислений". Анализ данных</v>
      </c>
      <c r="J828" s="59">
        <f>Данные!J828</f>
        <v>0</v>
      </c>
      <c r="K828" s="59">
        <f>Данные!K828</f>
        <v>0</v>
      </c>
      <c r="L828" s="59">
        <f>Данные!L828</f>
        <v>36</v>
      </c>
      <c r="M828" s="60">
        <f t="shared" si="108"/>
        <v>3.6</v>
      </c>
      <c r="N828" s="60">
        <f t="shared" ca="1" si="109"/>
        <v>14.870000000000001</v>
      </c>
      <c r="O828" s="60">
        <f t="shared" ca="1" si="110"/>
        <v>9.75</v>
      </c>
      <c r="P828" s="60">
        <f t="shared" ca="1" si="111"/>
        <v>9.75</v>
      </c>
      <c r="Q828" s="54">
        <f>Данные!Q828</f>
        <v>0</v>
      </c>
      <c r="R828" s="54">
        <f>Данные!R828</f>
        <v>0</v>
      </c>
      <c r="S828" s="54">
        <f>Данные!S828</f>
        <v>0</v>
      </c>
      <c r="T828" s="54">
        <f>Данные!T828</f>
        <v>0</v>
      </c>
      <c r="U828" s="54">
        <f>Данные!U828</f>
        <v>0</v>
      </c>
      <c r="V828" s="54">
        <f>Данные!V828</f>
        <v>0</v>
      </c>
      <c r="W828" s="54">
        <f ca="1">Данные!W828</f>
        <v>39</v>
      </c>
      <c r="X828" s="54" t="str">
        <f ca="1">Данные!X828</f>
        <v>2</v>
      </c>
      <c r="Y828" s="54" t="str">
        <f ca="1">Данные!Y828</f>
        <v>3</v>
      </c>
      <c r="Z828" s="54">
        <f>Данные!Z828</f>
        <v>0</v>
      </c>
      <c r="AA828" s="54" t="str">
        <f>Данные!AA828</f>
        <v>осн</v>
      </c>
      <c r="AB828" s="101">
        <f t="shared" si="112"/>
        <v>800</v>
      </c>
      <c r="AC828" s="101" t="str">
        <f t="shared" si="113"/>
        <v>ИВТ (бак)</v>
      </c>
      <c r="AD828" s="101" t="str">
        <f t="shared" si="114"/>
        <v/>
      </c>
      <c r="AE828" s="102">
        <f t="shared" ca="1" si="115"/>
        <v>73.97</v>
      </c>
      <c r="AF828" s="103">
        <f t="shared" ca="1" si="116"/>
        <v>9.2462500000000003E-2</v>
      </c>
      <c r="AG828" s="101"/>
      <c r="AH828" s="101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Q828" s="72">
        <v>0</v>
      </c>
      <c r="BR828" s="72">
        <v>0</v>
      </c>
      <c r="BS828" s="72">
        <v>0</v>
      </c>
      <c r="BT828" s="72">
        <v>0</v>
      </c>
      <c r="BU828" s="72">
        <v>0</v>
      </c>
      <c r="BV828" s="72">
        <v>0</v>
      </c>
      <c r="BW828" s="72">
        <v>0</v>
      </c>
      <c r="BX828" s="72">
        <v>0</v>
      </c>
      <c r="BY828" s="72">
        <v>0</v>
      </c>
      <c r="BZ828" s="72">
        <v>0</v>
      </c>
      <c r="CA828" s="72">
        <v>0</v>
      </c>
      <c r="CB828" s="72">
        <v>0</v>
      </c>
      <c r="CC828" s="72">
        <v>0</v>
      </c>
      <c r="CD828" s="72">
        <v>0</v>
      </c>
      <c r="CE828" s="72">
        <v>0</v>
      </c>
      <c r="CF828" s="72">
        <v>0</v>
      </c>
      <c r="CG828" s="72">
        <v>0</v>
      </c>
      <c r="CH828" s="72">
        <v>0</v>
      </c>
      <c r="CI828" s="72">
        <v>0</v>
      </c>
      <c r="CJ828" s="72">
        <v>0</v>
      </c>
      <c r="CK828" s="72">
        <v>0</v>
      </c>
      <c r="CL828" s="72">
        <v>0</v>
      </c>
      <c r="CM828" s="72">
        <v>0</v>
      </c>
      <c r="CN828" s="72">
        <v>0</v>
      </c>
      <c r="CO828" s="72">
        <v>0</v>
      </c>
      <c r="CP828" s="72">
        <v>0</v>
      </c>
      <c r="CQ828" s="72">
        <v>0</v>
      </c>
      <c r="CR828" s="72">
        <v>0</v>
      </c>
      <c r="CS828" s="72">
        <v>0</v>
      </c>
      <c r="CT828" s="72">
        <v>0</v>
      </c>
      <c r="CU828" s="72">
        <v>0</v>
      </c>
      <c r="CV828" s="72">
        <v>0</v>
      </c>
      <c r="CW828" s="72">
        <v>0</v>
      </c>
      <c r="CX828" s="72">
        <v>0</v>
      </c>
      <c r="CY828" s="72">
        <v>0</v>
      </c>
      <c r="CZ828" s="72">
        <v>0</v>
      </c>
      <c r="DA828" s="72">
        <v>0</v>
      </c>
      <c r="DB828" s="72">
        <v>0</v>
      </c>
      <c r="DC828" s="72">
        <v>0</v>
      </c>
      <c r="DD828" s="72">
        <v>0</v>
      </c>
      <c r="DE828" s="72">
        <v>0</v>
      </c>
      <c r="DF828" s="72">
        <v>0</v>
      </c>
      <c r="DG828" s="72">
        <v>0</v>
      </c>
      <c r="DH828" s="72">
        <v>0</v>
      </c>
      <c r="DI828" s="72">
        <v>0</v>
      </c>
      <c r="DJ828" s="72">
        <v>0</v>
      </c>
      <c r="DK828" s="72">
        <v>0</v>
      </c>
      <c r="DL828" s="72">
        <v>0</v>
      </c>
      <c r="DM828" s="72">
        <v>0</v>
      </c>
      <c r="DN828" s="72">
        <v>0</v>
      </c>
      <c r="DO828" s="72">
        <v>0</v>
      </c>
      <c r="DP828" s="72">
        <v>0</v>
      </c>
      <c r="DQ828" s="72">
        <v>0</v>
      </c>
      <c r="DR828" s="72">
        <v>0</v>
      </c>
      <c r="DS828" s="72">
        <v>0</v>
      </c>
      <c r="DT828" s="72">
        <v>0</v>
      </c>
      <c r="DU828" s="72">
        <v>0</v>
      </c>
      <c r="DV828" s="72">
        <v>0</v>
      </c>
      <c r="DW828" s="72">
        <v>0</v>
      </c>
      <c r="DX828" s="72">
        <v>0</v>
      </c>
      <c r="DY828" s="72">
        <v>0</v>
      </c>
      <c r="DZ828" s="72">
        <v>0</v>
      </c>
      <c r="EA828" s="72">
        <v>0</v>
      </c>
      <c r="EB828" s="72">
        <v>0</v>
      </c>
      <c r="EC828" s="72">
        <v>0</v>
      </c>
      <c r="ED828" s="72">
        <v>0</v>
      </c>
      <c r="EE828" s="72">
        <v>0</v>
      </c>
      <c r="EF828" s="72">
        <v>0</v>
      </c>
      <c r="EG828" s="72">
        <v>0</v>
      </c>
      <c r="EH828" s="72">
        <v>0</v>
      </c>
      <c r="EI828" s="72">
        <v>0</v>
      </c>
      <c r="EJ828" s="72">
        <v>0</v>
      </c>
      <c r="EK828" s="72">
        <v>0</v>
      </c>
      <c r="EL828" s="72">
        <v>0</v>
      </c>
    </row>
    <row r="829" spans="1:142" x14ac:dyDescent="0.35">
      <c r="A829" s="59">
        <f>Данные!A829</f>
        <v>6368</v>
      </c>
      <c r="B829" s="59">
        <f>Данные!B829</f>
        <v>2019</v>
      </c>
      <c r="C829" s="59" t="str">
        <f>Данные!C829</f>
        <v>компьютерных технологий и электронного обучения</v>
      </c>
      <c r="D829" s="59" t="str">
        <f>Данные!D829</f>
        <v>Гончарова Светлана Викторовна</v>
      </c>
      <c r="E829" s="59" t="str">
        <f>Данные!E829</f>
        <v>кандидат педагогических наук</v>
      </c>
      <c r="F829" s="59" t="str">
        <f>Данные!F829</f>
        <v>доцент</v>
      </c>
      <c r="G829" s="59">
        <f>Данные!G829</f>
        <v>1</v>
      </c>
      <c r="H829" s="59" t="str">
        <f>Данные!H829</f>
        <v>2 курс (б) 2018 год/пост</v>
      </c>
      <c r="I829" s="59" t="str">
        <f>Данные!I829</f>
        <v>Модуль "Технологии и методы вычислений". Анализ данных</v>
      </c>
      <c r="J829" s="59">
        <f>Данные!J829</f>
        <v>0</v>
      </c>
      <c r="K829" s="59">
        <f>Данные!K829</f>
        <v>0</v>
      </c>
      <c r="L829" s="59">
        <f>Данные!L829</f>
        <v>72</v>
      </c>
      <c r="M829" s="60">
        <f t="shared" si="108"/>
        <v>7.2</v>
      </c>
      <c r="N829" s="60">
        <f t="shared" ca="1" si="109"/>
        <v>14.870000000000001</v>
      </c>
      <c r="O829" s="60">
        <f t="shared" ca="1" si="110"/>
        <v>9.75</v>
      </c>
      <c r="P829" s="60">
        <f t="shared" ca="1" si="111"/>
        <v>9.75</v>
      </c>
      <c r="Q829" s="54">
        <f>Данные!Q829</f>
        <v>0</v>
      </c>
      <c r="R829" s="54">
        <f>Данные!R829</f>
        <v>0</v>
      </c>
      <c r="S829" s="54">
        <f>Данные!S829</f>
        <v>0</v>
      </c>
      <c r="T829" s="54">
        <f>Данные!T829</f>
        <v>0</v>
      </c>
      <c r="U829" s="54">
        <f>Данные!U829</f>
        <v>0</v>
      </c>
      <c r="V829" s="54">
        <f>Данные!V829</f>
        <v>0</v>
      </c>
      <c r="W829" s="54">
        <f ca="1">Данные!W829</f>
        <v>39</v>
      </c>
      <c r="X829" s="54" t="str">
        <f ca="1">Данные!X829</f>
        <v>2</v>
      </c>
      <c r="Y829" s="54" t="str">
        <f ca="1">Данные!Y829</f>
        <v>3</v>
      </c>
      <c r="Z829" s="54">
        <f>Данные!Z829</f>
        <v>0</v>
      </c>
      <c r="AA829" s="54" t="str">
        <f>Данные!AA829</f>
        <v>осн</v>
      </c>
      <c r="AB829" s="101">
        <f t="shared" si="112"/>
        <v>800</v>
      </c>
      <c r="AC829" s="101" t="str">
        <f t="shared" si="113"/>
        <v>ИВТ (бак)</v>
      </c>
      <c r="AD829" s="101" t="str">
        <f t="shared" si="114"/>
        <v/>
      </c>
      <c r="AE829" s="102">
        <f t="shared" ca="1" si="115"/>
        <v>113.57000000000001</v>
      </c>
      <c r="AF829" s="103">
        <f t="shared" ca="1" si="116"/>
        <v>0.14196250000000002</v>
      </c>
      <c r="AG829" s="101"/>
      <c r="AH829" s="101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Q829" s="72">
        <v>0</v>
      </c>
      <c r="BR829" s="72">
        <v>0</v>
      </c>
      <c r="BS829" s="72">
        <v>0</v>
      </c>
      <c r="BT829" s="72">
        <v>0</v>
      </c>
      <c r="BU829" s="72">
        <v>0</v>
      </c>
      <c r="BV829" s="72">
        <v>0</v>
      </c>
      <c r="BW829" s="72">
        <v>0</v>
      </c>
      <c r="BX829" s="72">
        <v>0</v>
      </c>
      <c r="BY829" s="72">
        <v>0</v>
      </c>
      <c r="BZ829" s="72">
        <v>0</v>
      </c>
      <c r="CA829" s="72">
        <v>0</v>
      </c>
      <c r="CB829" s="72">
        <v>0</v>
      </c>
      <c r="CC829" s="72">
        <v>0</v>
      </c>
      <c r="CD829" s="72">
        <v>0</v>
      </c>
      <c r="CE829" s="72">
        <v>0</v>
      </c>
      <c r="CF829" s="72">
        <v>0</v>
      </c>
      <c r="CG829" s="72">
        <v>0</v>
      </c>
      <c r="CH829" s="72">
        <v>0</v>
      </c>
      <c r="CI829" s="72">
        <v>0</v>
      </c>
      <c r="CJ829" s="72">
        <v>0</v>
      </c>
      <c r="CK829" s="72">
        <v>0</v>
      </c>
      <c r="CL829" s="72">
        <v>0</v>
      </c>
      <c r="CM829" s="72">
        <v>0</v>
      </c>
      <c r="CN829" s="72">
        <v>0</v>
      </c>
      <c r="CO829" s="72">
        <v>0</v>
      </c>
      <c r="CP829" s="72">
        <v>0</v>
      </c>
      <c r="CQ829" s="72">
        <v>0</v>
      </c>
      <c r="CR829" s="72">
        <v>0</v>
      </c>
      <c r="CS829" s="72">
        <v>0</v>
      </c>
      <c r="CT829" s="72">
        <v>0</v>
      </c>
      <c r="CU829" s="72">
        <v>0</v>
      </c>
      <c r="CV829" s="72">
        <v>0</v>
      </c>
      <c r="CW829" s="72">
        <v>0</v>
      </c>
      <c r="CX829" s="72">
        <v>0</v>
      </c>
      <c r="CY829" s="72">
        <v>0</v>
      </c>
      <c r="CZ829" s="72">
        <v>0</v>
      </c>
      <c r="DA829" s="72">
        <v>0</v>
      </c>
      <c r="DB829" s="72">
        <v>0</v>
      </c>
      <c r="DC829" s="72">
        <v>0</v>
      </c>
      <c r="DD829" s="72">
        <v>0</v>
      </c>
      <c r="DE829" s="72">
        <v>0</v>
      </c>
      <c r="DF829" s="72">
        <v>0</v>
      </c>
      <c r="DG829" s="72">
        <v>0</v>
      </c>
      <c r="DH829" s="72">
        <v>0</v>
      </c>
      <c r="DI829" s="72">
        <v>0</v>
      </c>
      <c r="DJ829" s="72">
        <v>0</v>
      </c>
      <c r="DK829" s="72">
        <v>0</v>
      </c>
      <c r="DL829" s="72">
        <v>0</v>
      </c>
      <c r="DM829" s="72">
        <v>0</v>
      </c>
      <c r="DN829" s="72">
        <v>0</v>
      </c>
      <c r="DO829" s="72">
        <v>0</v>
      </c>
      <c r="DP829" s="72">
        <v>0</v>
      </c>
      <c r="DQ829" s="72">
        <v>0</v>
      </c>
      <c r="DR829" s="72">
        <v>0</v>
      </c>
      <c r="DS829" s="72">
        <v>0</v>
      </c>
      <c r="DT829" s="72">
        <v>0</v>
      </c>
      <c r="DU829" s="72">
        <v>0</v>
      </c>
      <c r="DV829" s="72">
        <v>0</v>
      </c>
      <c r="DW829" s="72">
        <v>0</v>
      </c>
      <c r="DX829" s="72">
        <v>0</v>
      </c>
      <c r="DY829" s="72">
        <v>0</v>
      </c>
      <c r="DZ829" s="72">
        <v>0</v>
      </c>
      <c r="EA829" s="72">
        <v>0</v>
      </c>
      <c r="EB829" s="72">
        <v>0</v>
      </c>
      <c r="EC829" s="72">
        <v>0</v>
      </c>
      <c r="ED829" s="72">
        <v>0</v>
      </c>
      <c r="EE829" s="72">
        <v>0</v>
      </c>
      <c r="EF829" s="72">
        <v>0</v>
      </c>
      <c r="EG829" s="72">
        <v>0</v>
      </c>
      <c r="EH829" s="72">
        <v>0</v>
      </c>
      <c r="EI829" s="72">
        <v>0</v>
      </c>
      <c r="EJ829" s="72">
        <v>0</v>
      </c>
      <c r="EK829" s="72">
        <v>0</v>
      </c>
      <c r="EL829" s="72">
        <v>0</v>
      </c>
    </row>
    <row r="830" spans="1:142" x14ac:dyDescent="0.35">
      <c r="A830" s="59">
        <f>Данные!A830</f>
        <v>6368</v>
      </c>
      <c r="B830" s="59">
        <f>Данные!B830</f>
        <v>2019</v>
      </c>
      <c r="C830" s="59" t="str">
        <f>Данные!C830</f>
        <v>компьютерных технологий и электронного обучения</v>
      </c>
      <c r="D830" s="59" t="str">
        <f>Данные!D830</f>
        <v>Гончарова Светлана Викторовна</v>
      </c>
      <c r="E830" s="59" t="str">
        <f>Данные!E830</f>
        <v>кандидат педагогических наук</v>
      </c>
      <c r="F830" s="59" t="str">
        <f>Данные!F830</f>
        <v>доцент</v>
      </c>
      <c r="G830" s="59">
        <f>Данные!G830</f>
        <v>1</v>
      </c>
      <c r="H830" s="59" t="str">
        <f>Данные!H830</f>
        <v>2 курс (б) 2018 год/пост</v>
      </c>
      <c r="I830" s="59" t="str">
        <f>Данные!I830</f>
        <v>Модуль "Технологии и методы вычислений". Вычислительная математика</v>
      </c>
      <c r="J830" s="59">
        <f>Данные!J830</f>
        <v>0</v>
      </c>
      <c r="K830" s="59">
        <f>Данные!K830</f>
        <v>0</v>
      </c>
      <c r="L830" s="59">
        <f>Данные!L830</f>
        <v>72</v>
      </c>
      <c r="M830" s="60">
        <f t="shared" si="108"/>
        <v>7.2</v>
      </c>
      <c r="N830" s="60">
        <f t="shared" ca="1" si="109"/>
        <v>14.870000000000001</v>
      </c>
      <c r="O830" s="60">
        <f t="shared" ca="1" si="110"/>
        <v>9.75</v>
      </c>
      <c r="P830" s="60">
        <f t="shared" ca="1" si="111"/>
        <v>9.75</v>
      </c>
      <c r="Q830" s="54">
        <f>Данные!Q830</f>
        <v>0</v>
      </c>
      <c r="R830" s="54">
        <f>Данные!R830</f>
        <v>0</v>
      </c>
      <c r="S830" s="54">
        <f>Данные!S830</f>
        <v>0</v>
      </c>
      <c r="T830" s="54">
        <f>Данные!T830</f>
        <v>0</v>
      </c>
      <c r="U830" s="54">
        <f>Данные!U830</f>
        <v>0</v>
      </c>
      <c r="V830" s="54">
        <f>Данные!V830</f>
        <v>0</v>
      </c>
      <c r="W830" s="54">
        <f ca="1">Данные!W830</f>
        <v>39</v>
      </c>
      <c r="X830" s="54" t="str">
        <f ca="1">Данные!X830</f>
        <v>2</v>
      </c>
      <c r="Y830" s="54" t="str">
        <f ca="1">Данные!Y830</f>
        <v>3</v>
      </c>
      <c r="Z830" s="54">
        <f>Данные!Z830</f>
        <v>0</v>
      </c>
      <c r="AA830" s="54" t="str">
        <f>Данные!AA830</f>
        <v>осн</v>
      </c>
      <c r="AB830" s="101">
        <f t="shared" si="112"/>
        <v>800</v>
      </c>
      <c r="AC830" s="101" t="str">
        <f t="shared" si="113"/>
        <v>ИВТ (бак)</v>
      </c>
      <c r="AD830" s="101" t="str">
        <f t="shared" si="114"/>
        <v/>
      </c>
      <c r="AE830" s="102">
        <f t="shared" ca="1" si="115"/>
        <v>113.57000000000001</v>
      </c>
      <c r="AF830" s="103">
        <f t="shared" ca="1" si="116"/>
        <v>0.14196250000000002</v>
      </c>
      <c r="AG830" s="101"/>
      <c r="AH830" s="101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Q830" s="72">
        <v>0</v>
      </c>
      <c r="BR830" s="72">
        <v>0</v>
      </c>
      <c r="BS830" s="72">
        <v>0</v>
      </c>
      <c r="BT830" s="72">
        <v>0</v>
      </c>
      <c r="BU830" s="72">
        <v>0</v>
      </c>
      <c r="BV830" s="72">
        <v>0</v>
      </c>
      <c r="BW830" s="72">
        <v>0</v>
      </c>
      <c r="BX830" s="72">
        <v>0</v>
      </c>
      <c r="BY830" s="72">
        <v>0</v>
      </c>
      <c r="BZ830" s="72">
        <v>0</v>
      </c>
      <c r="CA830" s="72">
        <v>0</v>
      </c>
      <c r="CB830" s="72">
        <v>0</v>
      </c>
      <c r="CC830" s="72">
        <v>0</v>
      </c>
      <c r="CD830" s="72">
        <v>0</v>
      </c>
      <c r="CE830" s="72">
        <v>0</v>
      </c>
      <c r="CF830" s="72">
        <v>0</v>
      </c>
      <c r="CG830" s="72">
        <v>0</v>
      </c>
      <c r="CH830" s="72">
        <v>0</v>
      </c>
      <c r="CI830" s="72">
        <v>0</v>
      </c>
      <c r="CJ830" s="72">
        <v>0</v>
      </c>
      <c r="CK830" s="72">
        <v>0</v>
      </c>
      <c r="CL830" s="72">
        <v>0</v>
      </c>
      <c r="CM830" s="72">
        <v>0</v>
      </c>
      <c r="CN830" s="72">
        <v>0</v>
      </c>
      <c r="CO830" s="72">
        <v>0</v>
      </c>
      <c r="CP830" s="72">
        <v>0</v>
      </c>
      <c r="CQ830" s="72">
        <v>0</v>
      </c>
      <c r="CR830" s="72">
        <v>0</v>
      </c>
      <c r="CS830" s="72">
        <v>0</v>
      </c>
      <c r="CT830" s="72">
        <v>0</v>
      </c>
      <c r="CU830" s="72">
        <v>0</v>
      </c>
      <c r="CV830" s="72">
        <v>0</v>
      </c>
      <c r="CW830" s="72">
        <v>0</v>
      </c>
      <c r="CX830" s="72">
        <v>0</v>
      </c>
      <c r="CY830" s="72">
        <v>0</v>
      </c>
      <c r="CZ830" s="72">
        <v>0</v>
      </c>
      <c r="DA830" s="72">
        <v>0</v>
      </c>
      <c r="DB830" s="72">
        <v>0</v>
      </c>
      <c r="DC830" s="72">
        <v>0</v>
      </c>
      <c r="DD830" s="72">
        <v>0</v>
      </c>
      <c r="DE830" s="72">
        <v>0</v>
      </c>
      <c r="DF830" s="72">
        <v>0</v>
      </c>
      <c r="DG830" s="72">
        <v>0</v>
      </c>
      <c r="DH830" s="72">
        <v>0</v>
      </c>
      <c r="DI830" s="72">
        <v>0</v>
      </c>
      <c r="DJ830" s="72">
        <v>0</v>
      </c>
      <c r="DK830" s="72">
        <v>0</v>
      </c>
      <c r="DL830" s="72">
        <v>0</v>
      </c>
      <c r="DM830" s="72">
        <v>0</v>
      </c>
      <c r="DN830" s="72">
        <v>0</v>
      </c>
      <c r="DO830" s="72">
        <v>0</v>
      </c>
      <c r="DP830" s="72">
        <v>0</v>
      </c>
      <c r="DQ830" s="72">
        <v>0</v>
      </c>
      <c r="DR830" s="72">
        <v>0</v>
      </c>
      <c r="DS830" s="72">
        <v>0</v>
      </c>
      <c r="DT830" s="72">
        <v>0</v>
      </c>
      <c r="DU830" s="72">
        <v>0</v>
      </c>
      <c r="DV830" s="72">
        <v>0</v>
      </c>
      <c r="DW830" s="72">
        <v>0</v>
      </c>
      <c r="DX830" s="72">
        <v>0</v>
      </c>
      <c r="DY830" s="72">
        <v>0</v>
      </c>
      <c r="DZ830" s="72">
        <v>0</v>
      </c>
      <c r="EA830" s="72">
        <v>0</v>
      </c>
      <c r="EB830" s="72">
        <v>0</v>
      </c>
      <c r="EC830" s="72">
        <v>0</v>
      </c>
      <c r="ED830" s="72">
        <v>0</v>
      </c>
      <c r="EE830" s="72">
        <v>0</v>
      </c>
      <c r="EF830" s="72">
        <v>0</v>
      </c>
      <c r="EG830" s="72">
        <v>0</v>
      </c>
      <c r="EH830" s="72">
        <v>0</v>
      </c>
      <c r="EI830" s="72">
        <v>0</v>
      </c>
      <c r="EJ830" s="72">
        <v>0</v>
      </c>
      <c r="EK830" s="72">
        <v>0</v>
      </c>
      <c r="EL830" s="72">
        <v>0</v>
      </c>
    </row>
    <row r="831" spans="1:142" x14ac:dyDescent="0.35">
      <c r="A831" s="59">
        <f>Данные!A831</f>
        <v>6368</v>
      </c>
      <c r="B831" s="59">
        <f>Данные!B831</f>
        <v>2019</v>
      </c>
      <c r="C831" s="59" t="str">
        <f>Данные!C831</f>
        <v>компьютерных технологий и электронного обучения</v>
      </c>
      <c r="D831" s="59" t="str">
        <f>Данные!D831</f>
        <v>Гончарова Светлана Викторовна</v>
      </c>
      <c r="E831" s="59" t="str">
        <f>Данные!E831</f>
        <v>кандидат педагогических наук</v>
      </c>
      <c r="F831" s="59" t="str">
        <f>Данные!F831</f>
        <v>доцент</v>
      </c>
      <c r="G831" s="59">
        <f>Данные!G831</f>
        <v>1</v>
      </c>
      <c r="H831" s="59" t="str">
        <f>Данные!H831</f>
        <v>2 курс (б) 2018 год/пост</v>
      </c>
      <c r="I831" s="59" t="str">
        <f>Данные!I831</f>
        <v>Модуль "Технологии и методы вычислений". Технологии компьютерного моделирования</v>
      </c>
      <c r="J831" s="59">
        <f>Данные!J831</f>
        <v>0</v>
      </c>
      <c r="K831" s="59">
        <f>Данные!K831</f>
        <v>0</v>
      </c>
      <c r="L831" s="59">
        <f>Данные!L831</f>
        <v>27</v>
      </c>
      <c r="M831" s="60">
        <f t="shared" si="108"/>
        <v>2.7</v>
      </c>
      <c r="N831" s="60">
        <f t="shared" ca="1" si="109"/>
        <v>14.870000000000001</v>
      </c>
      <c r="O831" s="60">
        <f t="shared" ca="1" si="110"/>
        <v>9.75</v>
      </c>
      <c r="P831" s="60">
        <f t="shared" ca="1" si="111"/>
        <v>9.75</v>
      </c>
      <c r="Q831" s="54">
        <f>Данные!Q831</f>
        <v>0</v>
      </c>
      <c r="R831" s="54">
        <f>Данные!R831</f>
        <v>0</v>
      </c>
      <c r="S831" s="54">
        <f>Данные!S831</f>
        <v>0</v>
      </c>
      <c r="T831" s="54">
        <f>Данные!T831</f>
        <v>0</v>
      </c>
      <c r="U831" s="54">
        <f>Данные!U831</f>
        <v>0</v>
      </c>
      <c r="V831" s="54">
        <f>Данные!V831</f>
        <v>0</v>
      </c>
      <c r="W831" s="54">
        <f ca="1">Данные!W831</f>
        <v>39</v>
      </c>
      <c r="X831" s="54" t="str">
        <f ca="1">Данные!X831</f>
        <v>2</v>
      </c>
      <c r="Y831" s="54" t="str">
        <f ca="1">Данные!Y831</f>
        <v>3</v>
      </c>
      <c r="Z831" s="54">
        <f>Данные!Z831</f>
        <v>0</v>
      </c>
      <c r="AA831" s="54" t="str">
        <f>Данные!AA831</f>
        <v>осн</v>
      </c>
      <c r="AB831" s="101">
        <f t="shared" si="112"/>
        <v>800</v>
      </c>
      <c r="AC831" s="101" t="str">
        <f t="shared" si="113"/>
        <v>ИВТ (бак)</v>
      </c>
      <c r="AD831" s="101" t="str">
        <f t="shared" si="114"/>
        <v/>
      </c>
      <c r="AE831" s="102">
        <f t="shared" ca="1" si="115"/>
        <v>64.069999999999993</v>
      </c>
      <c r="AF831" s="103">
        <f t="shared" ca="1" si="116"/>
        <v>8.0087499999999992E-2</v>
      </c>
      <c r="AG831" s="101"/>
      <c r="AH831" s="10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Q831" s="72">
        <v>0</v>
      </c>
      <c r="BR831" s="72">
        <v>0</v>
      </c>
      <c r="BS831" s="72">
        <v>0</v>
      </c>
      <c r="BT831" s="72">
        <v>0</v>
      </c>
      <c r="BU831" s="72">
        <v>0</v>
      </c>
      <c r="BV831" s="72">
        <v>0</v>
      </c>
      <c r="BW831" s="72">
        <v>0</v>
      </c>
      <c r="BX831" s="72">
        <v>0</v>
      </c>
      <c r="BY831" s="72">
        <v>0</v>
      </c>
      <c r="BZ831" s="72">
        <v>0</v>
      </c>
      <c r="CA831" s="72">
        <v>0</v>
      </c>
      <c r="CB831" s="72">
        <v>0</v>
      </c>
      <c r="CC831" s="72">
        <v>0</v>
      </c>
      <c r="CD831" s="72">
        <v>0</v>
      </c>
      <c r="CE831" s="72">
        <v>0</v>
      </c>
      <c r="CF831" s="72">
        <v>0</v>
      </c>
      <c r="CG831" s="72">
        <v>0</v>
      </c>
      <c r="CH831" s="72">
        <v>0</v>
      </c>
      <c r="CI831" s="72">
        <v>0</v>
      </c>
      <c r="CJ831" s="72">
        <v>0</v>
      </c>
      <c r="CK831" s="72">
        <v>0</v>
      </c>
      <c r="CL831" s="72">
        <v>0</v>
      </c>
      <c r="CM831" s="72">
        <v>0</v>
      </c>
      <c r="CN831" s="72">
        <v>0</v>
      </c>
      <c r="CO831" s="72">
        <v>0</v>
      </c>
      <c r="CP831" s="72">
        <v>0</v>
      </c>
      <c r="CQ831" s="72">
        <v>0</v>
      </c>
      <c r="CR831" s="72">
        <v>0</v>
      </c>
      <c r="CS831" s="72">
        <v>0</v>
      </c>
      <c r="CT831" s="72">
        <v>0</v>
      </c>
      <c r="CU831" s="72">
        <v>0</v>
      </c>
      <c r="CV831" s="72">
        <v>0</v>
      </c>
      <c r="CW831" s="72">
        <v>0</v>
      </c>
      <c r="CX831" s="72">
        <v>0</v>
      </c>
      <c r="CY831" s="72">
        <v>0</v>
      </c>
      <c r="CZ831" s="72">
        <v>0</v>
      </c>
      <c r="DA831" s="72">
        <v>0</v>
      </c>
      <c r="DB831" s="72">
        <v>0</v>
      </c>
      <c r="DC831" s="72">
        <v>0</v>
      </c>
      <c r="DD831" s="72">
        <v>0</v>
      </c>
      <c r="DE831" s="72">
        <v>0</v>
      </c>
      <c r="DF831" s="72">
        <v>0</v>
      </c>
      <c r="DG831" s="72">
        <v>0</v>
      </c>
      <c r="DH831" s="72">
        <v>0</v>
      </c>
      <c r="DI831" s="72">
        <v>0</v>
      </c>
      <c r="DJ831" s="72">
        <v>0</v>
      </c>
      <c r="DK831" s="72">
        <v>0</v>
      </c>
      <c r="DL831" s="72">
        <v>0</v>
      </c>
      <c r="DM831" s="72">
        <v>0</v>
      </c>
      <c r="DN831" s="72">
        <v>0</v>
      </c>
      <c r="DO831" s="72">
        <v>0</v>
      </c>
      <c r="DP831" s="72">
        <v>0</v>
      </c>
      <c r="DQ831" s="72">
        <v>0</v>
      </c>
      <c r="DR831" s="72">
        <v>0</v>
      </c>
      <c r="DS831" s="72">
        <v>0</v>
      </c>
      <c r="DT831" s="72">
        <v>0</v>
      </c>
      <c r="DU831" s="72">
        <v>0</v>
      </c>
      <c r="DV831" s="72">
        <v>0</v>
      </c>
      <c r="DW831" s="72">
        <v>0</v>
      </c>
      <c r="DX831" s="72">
        <v>0</v>
      </c>
      <c r="DY831" s="72">
        <v>0</v>
      </c>
      <c r="DZ831" s="72">
        <v>0</v>
      </c>
      <c r="EA831" s="72">
        <v>0</v>
      </c>
      <c r="EB831" s="72">
        <v>0</v>
      </c>
      <c r="EC831" s="72">
        <v>0</v>
      </c>
      <c r="ED831" s="72">
        <v>0</v>
      </c>
      <c r="EE831" s="72">
        <v>0</v>
      </c>
      <c r="EF831" s="72">
        <v>0</v>
      </c>
      <c r="EG831" s="72">
        <v>0</v>
      </c>
      <c r="EH831" s="72">
        <v>0</v>
      </c>
      <c r="EI831" s="72">
        <v>0</v>
      </c>
      <c r="EJ831" s="72">
        <v>0</v>
      </c>
      <c r="EK831" s="72">
        <v>0</v>
      </c>
      <c r="EL831" s="72">
        <v>0</v>
      </c>
    </row>
    <row r="832" spans="1:142" x14ac:dyDescent="0.35">
      <c r="A832" s="59">
        <f>Данные!A832</f>
        <v>6368</v>
      </c>
      <c r="B832" s="59">
        <f>Данные!B832</f>
        <v>2019</v>
      </c>
      <c r="C832" s="59" t="str">
        <f>Данные!C832</f>
        <v>компьютерных технологий и электронного обучения</v>
      </c>
      <c r="D832" s="59" t="str">
        <f>Данные!D832</f>
        <v>Гончарова Светлана Викторовна</v>
      </c>
      <c r="E832" s="59" t="str">
        <f>Данные!E832</f>
        <v>кандидат педагогических наук</v>
      </c>
      <c r="F832" s="59" t="str">
        <f>Данные!F832</f>
        <v>доцент</v>
      </c>
      <c r="G832" s="59">
        <f>Данные!G832</f>
        <v>1</v>
      </c>
      <c r="H832" s="59" t="str">
        <f>Данные!H832</f>
        <v>2 курс (б) 2018 год/пост</v>
      </c>
      <c r="I832" s="59" t="str">
        <f>Данные!I832</f>
        <v>Модуль "Технологии и методы вычислений". Технологии компьютерного моделирования</v>
      </c>
      <c r="J832" s="59">
        <f>Данные!J832</f>
        <v>0</v>
      </c>
      <c r="K832" s="59">
        <f>Данные!K832</f>
        <v>0</v>
      </c>
      <c r="L832" s="59">
        <f>Данные!L832</f>
        <v>54</v>
      </c>
      <c r="M832" s="60">
        <f t="shared" si="108"/>
        <v>5.4</v>
      </c>
      <c r="N832" s="60">
        <f t="shared" ca="1" si="109"/>
        <v>14.870000000000001</v>
      </c>
      <c r="O832" s="60">
        <f t="shared" ca="1" si="110"/>
        <v>9.75</v>
      </c>
      <c r="P832" s="60">
        <f t="shared" ca="1" si="111"/>
        <v>9.75</v>
      </c>
      <c r="Q832" s="54">
        <f>Данные!Q832</f>
        <v>40</v>
      </c>
      <c r="R832" s="54">
        <f>Данные!R832</f>
        <v>0</v>
      </c>
      <c r="S832" s="54">
        <f>Данные!S832</f>
        <v>0</v>
      </c>
      <c r="T832" s="54">
        <f>Данные!T832</f>
        <v>0</v>
      </c>
      <c r="U832" s="54">
        <f>Данные!U832</f>
        <v>0</v>
      </c>
      <c r="V832" s="54">
        <f>Данные!V832</f>
        <v>0</v>
      </c>
      <c r="W832" s="54">
        <f ca="1">Данные!W832</f>
        <v>39</v>
      </c>
      <c r="X832" s="54" t="str">
        <f ca="1">Данные!X832</f>
        <v>2</v>
      </c>
      <c r="Y832" s="54" t="str">
        <f ca="1">Данные!Y832</f>
        <v>3</v>
      </c>
      <c r="Z832" s="54">
        <f>Данные!Z832</f>
        <v>0</v>
      </c>
      <c r="AA832" s="54">
        <f>Данные!AA832</f>
        <v>0</v>
      </c>
      <c r="AB832" s="101">
        <f t="shared" si="112"/>
        <v>800</v>
      </c>
      <c r="AC832" s="101" t="str">
        <f t="shared" si="113"/>
        <v>ИВТ (бак)</v>
      </c>
      <c r="AD832" s="101" t="str">
        <f t="shared" si="114"/>
        <v/>
      </c>
      <c r="AE832" s="102">
        <f t="shared" ca="1" si="115"/>
        <v>133.76999999999998</v>
      </c>
      <c r="AF832" s="103">
        <f t="shared" ca="1" si="116"/>
        <v>0.16721249999999999</v>
      </c>
      <c r="AG832" s="101"/>
      <c r="AH832" s="101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Q832" s="72">
        <v>0</v>
      </c>
      <c r="BR832" s="72">
        <v>0</v>
      </c>
      <c r="BS832" s="72">
        <v>0</v>
      </c>
      <c r="BT832" s="72">
        <v>0</v>
      </c>
      <c r="BU832" s="72">
        <v>0</v>
      </c>
      <c r="BV832" s="72">
        <v>0</v>
      </c>
      <c r="BW832" s="72">
        <v>0</v>
      </c>
      <c r="BX832" s="72">
        <v>0</v>
      </c>
      <c r="BY832" s="72">
        <v>0</v>
      </c>
      <c r="BZ832" s="72">
        <v>0</v>
      </c>
      <c r="CA832" s="72">
        <v>0</v>
      </c>
      <c r="CB832" s="72">
        <v>0</v>
      </c>
      <c r="CC832" s="72">
        <v>0</v>
      </c>
      <c r="CD832" s="72">
        <v>0</v>
      </c>
      <c r="CE832" s="72">
        <v>0</v>
      </c>
      <c r="CF832" s="72">
        <v>0</v>
      </c>
      <c r="CG832" s="72">
        <v>0</v>
      </c>
      <c r="CH832" s="72">
        <v>0</v>
      </c>
      <c r="CI832" s="72">
        <v>0</v>
      </c>
      <c r="CJ832" s="72">
        <v>0</v>
      </c>
      <c r="CK832" s="72">
        <v>0</v>
      </c>
      <c r="CL832" s="72">
        <v>0</v>
      </c>
      <c r="CM832" s="72">
        <v>0</v>
      </c>
      <c r="CN832" s="72">
        <v>0</v>
      </c>
      <c r="CO832" s="72">
        <v>0</v>
      </c>
      <c r="CP832" s="72">
        <v>0</v>
      </c>
      <c r="CQ832" s="72">
        <v>0</v>
      </c>
      <c r="CR832" s="72">
        <v>0</v>
      </c>
      <c r="CS832" s="72">
        <v>0</v>
      </c>
      <c r="CT832" s="72">
        <v>0</v>
      </c>
      <c r="CU832" s="72">
        <v>0</v>
      </c>
      <c r="CV832" s="72">
        <v>0</v>
      </c>
      <c r="CW832" s="72">
        <v>0</v>
      </c>
      <c r="CX832" s="72">
        <v>0</v>
      </c>
      <c r="CY832" s="72">
        <v>0</v>
      </c>
      <c r="CZ832" s="72">
        <v>0</v>
      </c>
      <c r="DA832" s="72">
        <v>0</v>
      </c>
      <c r="DB832" s="72">
        <v>0</v>
      </c>
      <c r="DC832" s="72">
        <v>0</v>
      </c>
      <c r="DD832" s="72">
        <v>0</v>
      </c>
      <c r="DE832" s="72">
        <v>0</v>
      </c>
      <c r="DF832" s="72">
        <v>0</v>
      </c>
      <c r="DG832" s="72">
        <v>0</v>
      </c>
      <c r="DH832" s="72">
        <v>0</v>
      </c>
      <c r="DI832" s="72">
        <v>0</v>
      </c>
      <c r="DJ832" s="72">
        <v>0</v>
      </c>
      <c r="DK832" s="72">
        <v>0</v>
      </c>
      <c r="DL832" s="72">
        <v>0</v>
      </c>
      <c r="DM832" s="72">
        <v>0</v>
      </c>
      <c r="DN832" s="72">
        <v>0</v>
      </c>
      <c r="DO832" s="72">
        <v>0</v>
      </c>
      <c r="DP832" s="72">
        <v>0</v>
      </c>
      <c r="DQ832" s="72">
        <v>0</v>
      </c>
      <c r="DR832" s="72">
        <v>0</v>
      </c>
      <c r="DS832" s="72">
        <v>0</v>
      </c>
      <c r="DT832" s="72">
        <v>0</v>
      </c>
      <c r="DU832" s="72">
        <v>0</v>
      </c>
      <c r="DV832" s="72">
        <v>0</v>
      </c>
      <c r="DW832" s="72">
        <v>0</v>
      </c>
      <c r="DX832" s="72">
        <v>0</v>
      </c>
      <c r="DY832" s="72">
        <v>0</v>
      </c>
      <c r="DZ832" s="72">
        <v>0</v>
      </c>
      <c r="EA832" s="72">
        <v>0</v>
      </c>
      <c r="EB832" s="72">
        <v>0</v>
      </c>
      <c r="EC832" s="72">
        <v>0</v>
      </c>
      <c r="ED832" s="72">
        <v>0</v>
      </c>
      <c r="EE832" s="72">
        <v>0</v>
      </c>
      <c r="EF832" s="72">
        <v>0</v>
      </c>
      <c r="EG832" s="72">
        <v>0</v>
      </c>
      <c r="EH832" s="72">
        <v>0</v>
      </c>
      <c r="EI832" s="72">
        <v>0</v>
      </c>
      <c r="EJ832" s="72">
        <v>0</v>
      </c>
      <c r="EK832" s="72">
        <v>0</v>
      </c>
      <c r="EL832" s="72">
        <v>0</v>
      </c>
    </row>
    <row r="833" spans="1:142" x14ac:dyDescent="0.35">
      <c r="A833" s="59">
        <f>Данные!A833</f>
        <v>6368</v>
      </c>
      <c r="B833" s="59">
        <f>Данные!B833</f>
        <v>2019</v>
      </c>
      <c r="C833" s="59" t="str">
        <f>Данные!C833</f>
        <v>компьютерных технологий и электронного обучения</v>
      </c>
      <c r="D833" s="59" t="str">
        <f>Данные!D833</f>
        <v>Государев Илья Борисович</v>
      </c>
      <c r="E833" s="59" t="str">
        <f>Данные!E833</f>
        <v>кандидат педагогических наук</v>
      </c>
      <c r="F833" s="59" t="str">
        <f>Данные!F833</f>
        <v>доцент</v>
      </c>
      <c r="G833" s="59">
        <f>Данные!G833</f>
        <v>1</v>
      </c>
      <c r="H833" s="59" t="str">
        <f>Данные!H833</f>
        <v>2 курс (б) 2018 год/пост</v>
      </c>
      <c r="I833" s="59" t="str">
        <f>Данные!I833</f>
        <v>Модуль "Проектирование и разработка веб-решений ".</v>
      </c>
      <c r="J833" s="59">
        <f>Данные!J833</f>
        <v>0</v>
      </c>
      <c r="K833" s="59">
        <f>Данные!K833</f>
        <v>0</v>
      </c>
      <c r="L833" s="59">
        <f>Данные!L833</f>
        <v>0</v>
      </c>
      <c r="M833" s="60">
        <f t="shared" si="108"/>
        <v>0</v>
      </c>
      <c r="N833" s="60">
        <f t="shared" ca="1" si="109"/>
        <v>14.870000000000001</v>
      </c>
      <c r="O833" s="60">
        <f t="shared" ca="1" si="110"/>
        <v>9.75</v>
      </c>
      <c r="P833" s="60">
        <f t="shared" ca="1" si="111"/>
        <v>9.75</v>
      </c>
      <c r="Q833" s="54">
        <f>Данные!Q833</f>
        <v>0</v>
      </c>
      <c r="R833" s="54">
        <f>Данные!R833</f>
        <v>0</v>
      </c>
      <c r="S833" s="54">
        <f>Данные!S833</f>
        <v>0</v>
      </c>
      <c r="T833" s="54">
        <f>Данные!T833</f>
        <v>0</v>
      </c>
      <c r="U833" s="54">
        <f>Данные!U833</f>
        <v>0</v>
      </c>
      <c r="V833" s="54">
        <f>Данные!V833</f>
        <v>0</v>
      </c>
      <c r="W833" s="54">
        <f ca="1">Данные!W833</f>
        <v>39</v>
      </c>
      <c r="X833" s="54" t="str">
        <f ca="1">Данные!X833</f>
        <v>2</v>
      </c>
      <c r="Y833" s="54" t="str">
        <f ca="1">Данные!Y833</f>
        <v>3</v>
      </c>
      <c r="Z833" s="54">
        <f>Данные!Z833</f>
        <v>0</v>
      </c>
      <c r="AA833" s="54" t="str">
        <f>Данные!AA833</f>
        <v>осн</v>
      </c>
      <c r="AB833" s="101">
        <f t="shared" si="112"/>
        <v>800</v>
      </c>
      <c r="AC833" s="101" t="str">
        <f t="shared" si="113"/>
        <v>ИВТ (бак)</v>
      </c>
      <c r="AD833" s="101" t="str">
        <f t="shared" si="114"/>
        <v/>
      </c>
      <c r="AE833" s="102">
        <f t="shared" ca="1" si="115"/>
        <v>34.370000000000005</v>
      </c>
      <c r="AF833" s="103">
        <f t="shared" ca="1" si="116"/>
        <v>4.2962500000000008E-2</v>
      </c>
      <c r="AG833" s="101"/>
      <c r="AH833" s="101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Q833" s="72">
        <v>0</v>
      </c>
      <c r="BR833" s="72">
        <v>0</v>
      </c>
      <c r="BS833" s="72">
        <v>0</v>
      </c>
      <c r="BT833" s="72">
        <v>0</v>
      </c>
      <c r="BU833" s="72">
        <v>0</v>
      </c>
      <c r="BV833" s="72">
        <v>0</v>
      </c>
      <c r="BW833" s="72">
        <v>0</v>
      </c>
      <c r="BX833" s="72">
        <v>0</v>
      </c>
      <c r="BY833" s="72">
        <v>0</v>
      </c>
      <c r="BZ833" s="72">
        <v>0</v>
      </c>
      <c r="CA833" s="72">
        <v>0</v>
      </c>
      <c r="CB833" s="72">
        <v>0</v>
      </c>
      <c r="CC833" s="72">
        <v>0</v>
      </c>
      <c r="CD833" s="72">
        <v>0</v>
      </c>
      <c r="CE833" s="72">
        <v>0</v>
      </c>
      <c r="CF833" s="72">
        <v>0</v>
      </c>
      <c r="CG833" s="72">
        <v>0</v>
      </c>
      <c r="CH833" s="72">
        <v>0</v>
      </c>
      <c r="CI833" s="72">
        <v>0</v>
      </c>
      <c r="CJ833" s="72">
        <v>0</v>
      </c>
      <c r="CK833" s="72">
        <v>0</v>
      </c>
      <c r="CL833" s="72">
        <v>0</v>
      </c>
      <c r="CM833" s="72">
        <v>0</v>
      </c>
      <c r="CN833" s="72">
        <v>0</v>
      </c>
      <c r="CO833" s="72">
        <v>0</v>
      </c>
      <c r="CP833" s="72">
        <v>0</v>
      </c>
      <c r="CQ833" s="72">
        <v>0</v>
      </c>
      <c r="CR833" s="72">
        <v>0</v>
      </c>
      <c r="CS833" s="72">
        <v>0</v>
      </c>
      <c r="CT833" s="72">
        <v>0</v>
      </c>
      <c r="CU833" s="72">
        <v>0</v>
      </c>
      <c r="CV833" s="72">
        <v>0</v>
      </c>
      <c r="CW833" s="72">
        <v>0</v>
      </c>
      <c r="CX833" s="72">
        <v>0</v>
      </c>
      <c r="CY833" s="72">
        <v>0</v>
      </c>
      <c r="CZ833" s="72">
        <v>0</v>
      </c>
      <c r="DA833" s="72">
        <v>0</v>
      </c>
      <c r="DB833" s="72">
        <v>0</v>
      </c>
      <c r="DC833" s="72">
        <v>0</v>
      </c>
      <c r="DD833" s="72">
        <v>0</v>
      </c>
      <c r="DE833" s="72">
        <v>0</v>
      </c>
      <c r="DF833" s="72">
        <v>0</v>
      </c>
      <c r="DG833" s="72">
        <v>0</v>
      </c>
      <c r="DH833" s="72">
        <v>0</v>
      </c>
      <c r="DI833" s="72">
        <v>0</v>
      </c>
      <c r="DJ833" s="72">
        <v>0</v>
      </c>
      <c r="DK833" s="72">
        <v>0</v>
      </c>
      <c r="DL833" s="72">
        <v>0</v>
      </c>
      <c r="DM833" s="72">
        <v>0</v>
      </c>
      <c r="DN833" s="72">
        <v>0</v>
      </c>
      <c r="DO833" s="72">
        <v>0</v>
      </c>
      <c r="DP833" s="72">
        <v>0</v>
      </c>
      <c r="DQ833" s="72">
        <v>0</v>
      </c>
      <c r="DR833" s="72">
        <v>0</v>
      </c>
      <c r="DS833" s="72">
        <v>0</v>
      </c>
      <c r="DT833" s="72">
        <v>0</v>
      </c>
      <c r="DU833" s="72">
        <v>0</v>
      </c>
      <c r="DV833" s="72">
        <v>0</v>
      </c>
      <c r="DW833" s="72">
        <v>0</v>
      </c>
      <c r="DX833" s="72">
        <v>0</v>
      </c>
      <c r="DY833" s="72">
        <v>0</v>
      </c>
      <c r="DZ833" s="72">
        <v>0</v>
      </c>
      <c r="EA833" s="72">
        <v>0</v>
      </c>
      <c r="EB833" s="72">
        <v>0</v>
      </c>
      <c r="EC833" s="72">
        <v>0</v>
      </c>
      <c r="ED833" s="72">
        <v>0</v>
      </c>
      <c r="EE833" s="72">
        <v>0</v>
      </c>
      <c r="EF833" s="72">
        <v>0</v>
      </c>
      <c r="EG833" s="72">
        <v>0</v>
      </c>
      <c r="EH833" s="72">
        <v>0</v>
      </c>
      <c r="EI833" s="72">
        <v>0</v>
      </c>
      <c r="EJ833" s="72">
        <v>0</v>
      </c>
      <c r="EK833" s="72">
        <v>0</v>
      </c>
      <c r="EL833" s="72">
        <v>0</v>
      </c>
    </row>
    <row r="834" spans="1:142" x14ac:dyDescent="0.35">
      <c r="A834" s="59">
        <f>Данные!A834</f>
        <v>6368</v>
      </c>
      <c r="B834" s="59">
        <f>Данные!B834</f>
        <v>2019</v>
      </c>
      <c r="C834" s="59" t="str">
        <f>Данные!C834</f>
        <v>компьютерных технологий и электронного обучения</v>
      </c>
      <c r="D834" s="59" t="str">
        <f>Данные!D834</f>
        <v>Государев Илья Борисович</v>
      </c>
      <c r="E834" s="59" t="str">
        <f>Данные!E834</f>
        <v>кандидат педагогических наук</v>
      </c>
      <c r="F834" s="59" t="str">
        <f>Данные!F834</f>
        <v>доцент</v>
      </c>
      <c r="G834" s="59">
        <f>Данные!G834</f>
        <v>1</v>
      </c>
      <c r="H834" s="59" t="str">
        <f>Данные!H834</f>
        <v>2 курс (б) 2018 год/пост</v>
      </c>
      <c r="I834" s="59" t="str">
        <f>Данные!I834</f>
        <v>Модуль "Проектирование и разработка веб-решений ". Веб-проектирование и веб-языки</v>
      </c>
      <c r="J834" s="59">
        <f>Данные!J834</f>
        <v>18</v>
      </c>
      <c r="K834" s="59">
        <f>Данные!K834</f>
        <v>36</v>
      </c>
      <c r="L834" s="59">
        <f>Данные!L834</f>
        <v>108</v>
      </c>
      <c r="M834" s="60">
        <f t="shared" si="108"/>
        <v>16.2</v>
      </c>
      <c r="N834" s="60">
        <f t="shared" ca="1" si="109"/>
        <v>14.870000000000001</v>
      </c>
      <c r="O834" s="60">
        <f t="shared" ca="1" si="110"/>
        <v>9.75</v>
      </c>
      <c r="P834" s="60">
        <f t="shared" ca="1" si="111"/>
        <v>9.75</v>
      </c>
      <c r="Q834" s="54">
        <f>Данные!Q834</f>
        <v>0</v>
      </c>
      <c r="R834" s="54">
        <f>Данные!R834</f>
        <v>0</v>
      </c>
      <c r="S834" s="54">
        <f>Данные!S834</f>
        <v>0</v>
      </c>
      <c r="T834" s="54">
        <f>Данные!T834</f>
        <v>0</v>
      </c>
      <c r="U834" s="54">
        <f>Данные!U834</f>
        <v>0</v>
      </c>
      <c r="V834" s="54">
        <f>Данные!V834</f>
        <v>0</v>
      </c>
      <c r="W834" s="54">
        <f ca="1">Данные!W834</f>
        <v>39</v>
      </c>
      <c r="X834" s="54" t="str">
        <f ca="1">Данные!X834</f>
        <v>2</v>
      </c>
      <c r="Y834" s="54" t="str">
        <f ca="1">Данные!Y834</f>
        <v>3</v>
      </c>
      <c r="Z834" s="54">
        <f>Данные!Z834</f>
        <v>0</v>
      </c>
      <c r="AA834" s="54">
        <f>Данные!AA834</f>
        <v>0</v>
      </c>
      <c r="AB834" s="101">
        <f t="shared" si="112"/>
        <v>800</v>
      </c>
      <c r="AC834" s="101" t="str">
        <f t="shared" si="113"/>
        <v>ИВТ (бак)</v>
      </c>
      <c r="AD834" s="101" t="str">
        <f t="shared" si="114"/>
        <v/>
      </c>
      <c r="AE834" s="102">
        <f t="shared" ca="1" si="115"/>
        <v>212.57</v>
      </c>
      <c r="AF834" s="103">
        <f t="shared" ca="1" si="116"/>
        <v>0.26571250000000002</v>
      </c>
      <c r="AG834" s="101"/>
      <c r="AH834" s="101"/>
      <c r="BQ834" s="72">
        <v>0</v>
      </c>
      <c r="BR834" s="72">
        <v>0</v>
      </c>
      <c r="BS834" s="72">
        <v>0</v>
      </c>
      <c r="BT834" s="72">
        <v>0</v>
      </c>
      <c r="BU834" s="72">
        <v>0</v>
      </c>
      <c r="BV834" s="72">
        <v>0</v>
      </c>
      <c r="BW834" s="72">
        <v>0</v>
      </c>
      <c r="BX834" s="72">
        <v>0</v>
      </c>
      <c r="BY834" s="72">
        <v>0</v>
      </c>
      <c r="BZ834" s="72">
        <v>0</v>
      </c>
      <c r="CA834" s="72">
        <v>0</v>
      </c>
      <c r="CB834" s="72">
        <v>0</v>
      </c>
      <c r="CC834" s="72">
        <v>0</v>
      </c>
      <c r="CD834" s="72">
        <v>0</v>
      </c>
      <c r="CE834" s="72">
        <v>0</v>
      </c>
      <c r="CF834" s="72">
        <v>0</v>
      </c>
      <c r="CG834" s="72">
        <v>0</v>
      </c>
      <c r="CH834" s="72">
        <v>0</v>
      </c>
      <c r="CI834" s="72">
        <v>0</v>
      </c>
      <c r="CJ834" s="72">
        <v>0</v>
      </c>
      <c r="CK834" s="72">
        <v>0</v>
      </c>
      <c r="CL834" s="72">
        <v>0</v>
      </c>
      <c r="CM834" s="72">
        <v>0</v>
      </c>
      <c r="CN834" s="72">
        <v>0</v>
      </c>
      <c r="CO834" s="72">
        <v>0</v>
      </c>
      <c r="CP834" s="72">
        <v>0</v>
      </c>
      <c r="CQ834" s="72">
        <v>0</v>
      </c>
      <c r="CR834" s="72">
        <v>0</v>
      </c>
      <c r="CS834" s="72">
        <v>0</v>
      </c>
      <c r="CT834" s="72">
        <v>0</v>
      </c>
      <c r="CU834" s="72">
        <v>0</v>
      </c>
      <c r="CV834" s="72">
        <v>0</v>
      </c>
      <c r="CW834" s="72">
        <v>0</v>
      </c>
      <c r="CX834" s="72">
        <v>0</v>
      </c>
      <c r="CY834" s="72">
        <v>0</v>
      </c>
      <c r="CZ834" s="72">
        <v>0</v>
      </c>
      <c r="DA834" s="72">
        <v>0</v>
      </c>
      <c r="DB834" s="72">
        <v>0</v>
      </c>
      <c r="DC834" s="72">
        <v>0</v>
      </c>
      <c r="DD834" s="72">
        <v>0</v>
      </c>
      <c r="DE834" s="72">
        <v>0</v>
      </c>
      <c r="DF834" s="72">
        <v>0</v>
      </c>
      <c r="DG834" s="72">
        <v>0</v>
      </c>
      <c r="DH834" s="72">
        <v>0</v>
      </c>
      <c r="DI834" s="72">
        <v>0</v>
      </c>
      <c r="DJ834" s="72">
        <v>0</v>
      </c>
      <c r="DK834" s="72">
        <v>0</v>
      </c>
      <c r="DL834" s="72">
        <v>0</v>
      </c>
      <c r="DM834" s="72">
        <v>0</v>
      </c>
      <c r="DN834" s="72">
        <v>0</v>
      </c>
      <c r="DO834" s="72">
        <v>0</v>
      </c>
      <c r="DP834" s="72">
        <v>0</v>
      </c>
      <c r="DQ834" s="72">
        <v>0</v>
      </c>
      <c r="DR834" s="72">
        <v>0</v>
      </c>
      <c r="DS834" s="72">
        <v>0</v>
      </c>
      <c r="DT834" s="72">
        <v>0</v>
      </c>
      <c r="DU834" s="72">
        <v>0</v>
      </c>
      <c r="DV834" s="72">
        <v>0</v>
      </c>
      <c r="DW834" s="72">
        <v>0</v>
      </c>
      <c r="DX834" s="72">
        <v>0</v>
      </c>
      <c r="DY834" s="72">
        <v>0</v>
      </c>
      <c r="DZ834" s="72">
        <v>0</v>
      </c>
      <c r="EA834" s="72">
        <v>0</v>
      </c>
      <c r="EB834" s="72">
        <v>0</v>
      </c>
      <c r="EC834" s="72">
        <v>0</v>
      </c>
      <c r="ED834" s="72">
        <v>0</v>
      </c>
      <c r="EE834" s="72">
        <v>0</v>
      </c>
      <c r="EF834" s="72">
        <v>0</v>
      </c>
      <c r="EG834" s="72">
        <v>0</v>
      </c>
      <c r="EH834" s="72">
        <v>0</v>
      </c>
      <c r="EI834" s="72">
        <v>0</v>
      </c>
      <c r="EJ834" s="72">
        <v>0</v>
      </c>
      <c r="EK834" s="72">
        <v>0</v>
      </c>
      <c r="EL834" s="72">
        <v>0</v>
      </c>
    </row>
    <row r="835" spans="1:142" x14ac:dyDescent="0.35">
      <c r="A835" s="59">
        <f>Данные!A835</f>
        <v>6368</v>
      </c>
      <c r="B835" s="59">
        <f>Данные!B835</f>
        <v>2019</v>
      </c>
      <c r="C835" s="59" t="str">
        <f>Данные!C835</f>
        <v>компьютерных технологий и электронного обучения</v>
      </c>
      <c r="D835" s="59" t="str">
        <f>Данные!D835</f>
        <v>Государев Илья Борисович</v>
      </c>
      <c r="E835" s="59" t="str">
        <f>Данные!E835</f>
        <v>кандидат педагогических наук</v>
      </c>
      <c r="F835" s="59" t="str">
        <f>Данные!F835</f>
        <v>доцент</v>
      </c>
      <c r="G835" s="59">
        <f>Данные!G835</f>
        <v>1</v>
      </c>
      <c r="H835" s="59" t="str">
        <f>Данные!H835</f>
        <v>2 курс (б) 2018 год/пост</v>
      </c>
      <c r="I835" s="59" t="str">
        <f>Данные!I835</f>
        <v>Модуль "Проектирование и разработка веб-решений ". Дисциплины и курсы по выбору. Разработка интерфейсов обогощенных веб-приложений</v>
      </c>
      <c r="J835" s="59">
        <f>Данные!J835</f>
        <v>0</v>
      </c>
      <c r="K835" s="59">
        <f>Данные!K835</f>
        <v>0</v>
      </c>
      <c r="L835" s="59">
        <f>Данные!L835</f>
        <v>108</v>
      </c>
      <c r="M835" s="60">
        <f t="shared" si="108"/>
        <v>10.8</v>
      </c>
      <c r="N835" s="60">
        <f t="shared" ca="1" si="109"/>
        <v>14.870000000000001</v>
      </c>
      <c r="O835" s="60">
        <f t="shared" ca="1" si="110"/>
        <v>9.75</v>
      </c>
      <c r="P835" s="60">
        <f t="shared" ca="1" si="111"/>
        <v>9.75</v>
      </c>
      <c r="Q835" s="54">
        <f>Данные!Q835</f>
        <v>0</v>
      </c>
      <c r="R835" s="54">
        <f>Данные!R835</f>
        <v>0</v>
      </c>
      <c r="S835" s="54">
        <f>Данные!S835</f>
        <v>0</v>
      </c>
      <c r="T835" s="54">
        <f>Данные!T835</f>
        <v>0</v>
      </c>
      <c r="U835" s="54">
        <f>Данные!U835</f>
        <v>0</v>
      </c>
      <c r="V835" s="54">
        <f>Данные!V835</f>
        <v>0</v>
      </c>
      <c r="W835" s="54">
        <f ca="1">Данные!W835</f>
        <v>39</v>
      </c>
      <c r="X835" s="54" t="str">
        <f ca="1">Данные!X835</f>
        <v>2</v>
      </c>
      <c r="Y835" s="54" t="str">
        <f ca="1">Данные!Y835</f>
        <v>3</v>
      </c>
      <c r="Z835" s="54">
        <f>Данные!Z835</f>
        <v>0</v>
      </c>
      <c r="AA835" s="54">
        <f>Данные!AA835</f>
        <v>0</v>
      </c>
      <c r="AB835" s="101">
        <f t="shared" si="112"/>
        <v>800</v>
      </c>
      <c r="AC835" s="101" t="str">
        <f t="shared" si="113"/>
        <v>ИВТ (бак)</v>
      </c>
      <c r="AD835" s="101" t="str">
        <f t="shared" si="114"/>
        <v/>
      </c>
      <c r="AE835" s="102">
        <f t="shared" ca="1" si="115"/>
        <v>153.16999999999999</v>
      </c>
      <c r="AF835" s="103">
        <f t="shared" ca="1" si="116"/>
        <v>0.19146249999999998</v>
      </c>
      <c r="AG835" s="101"/>
      <c r="AH835" s="101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Q835" s="72">
        <v>0</v>
      </c>
      <c r="BR835" s="72">
        <v>0</v>
      </c>
      <c r="BS835" s="72">
        <v>0</v>
      </c>
      <c r="BT835" s="72">
        <v>0</v>
      </c>
      <c r="BU835" s="72">
        <v>0</v>
      </c>
      <c r="BV835" s="72">
        <v>0</v>
      </c>
      <c r="BW835" s="72">
        <v>0</v>
      </c>
      <c r="BX835" s="72">
        <v>0</v>
      </c>
      <c r="BY835" s="72">
        <v>0</v>
      </c>
      <c r="BZ835" s="72">
        <v>0</v>
      </c>
      <c r="CA835" s="72">
        <v>0</v>
      </c>
      <c r="CB835" s="72">
        <v>0</v>
      </c>
      <c r="CC835" s="72">
        <v>0</v>
      </c>
      <c r="CD835" s="72">
        <v>0</v>
      </c>
      <c r="CE835" s="72">
        <v>0</v>
      </c>
      <c r="CF835" s="72">
        <v>0</v>
      </c>
      <c r="CG835" s="72">
        <v>0</v>
      </c>
      <c r="CH835" s="72">
        <v>0</v>
      </c>
      <c r="CI835" s="72">
        <v>0</v>
      </c>
      <c r="CJ835" s="72">
        <v>0</v>
      </c>
      <c r="CK835" s="72">
        <v>0</v>
      </c>
      <c r="CL835" s="72">
        <v>0</v>
      </c>
      <c r="CM835" s="72">
        <v>0</v>
      </c>
      <c r="CN835" s="72">
        <v>0</v>
      </c>
      <c r="CO835" s="72">
        <v>0</v>
      </c>
      <c r="CP835" s="72">
        <v>0</v>
      </c>
      <c r="CQ835" s="72">
        <v>0</v>
      </c>
      <c r="CR835" s="72">
        <v>0</v>
      </c>
      <c r="CS835" s="72">
        <v>0</v>
      </c>
      <c r="CT835" s="72">
        <v>0</v>
      </c>
      <c r="CU835" s="72">
        <v>0</v>
      </c>
      <c r="CV835" s="72">
        <v>0</v>
      </c>
      <c r="CW835" s="72">
        <v>0</v>
      </c>
      <c r="CX835" s="72">
        <v>0</v>
      </c>
      <c r="CY835" s="72">
        <v>0</v>
      </c>
      <c r="CZ835" s="72">
        <v>0</v>
      </c>
      <c r="DA835" s="72">
        <v>0</v>
      </c>
      <c r="DB835" s="72">
        <v>0</v>
      </c>
      <c r="DC835" s="72">
        <v>0</v>
      </c>
      <c r="DD835" s="72">
        <v>0</v>
      </c>
      <c r="DE835" s="72">
        <v>0</v>
      </c>
      <c r="DF835" s="72">
        <v>0</v>
      </c>
      <c r="DG835" s="72">
        <v>0</v>
      </c>
      <c r="DH835" s="72">
        <v>0</v>
      </c>
      <c r="DI835" s="72">
        <v>0</v>
      </c>
      <c r="DJ835" s="72">
        <v>0</v>
      </c>
      <c r="DK835" s="72">
        <v>0</v>
      </c>
      <c r="DL835" s="72">
        <v>0</v>
      </c>
      <c r="DM835" s="72">
        <v>0</v>
      </c>
      <c r="DN835" s="72">
        <v>0</v>
      </c>
      <c r="DO835" s="72">
        <v>0</v>
      </c>
      <c r="DP835" s="72">
        <v>0</v>
      </c>
      <c r="DQ835" s="72">
        <v>0</v>
      </c>
      <c r="DR835" s="72">
        <v>0</v>
      </c>
      <c r="DS835" s="72">
        <v>0</v>
      </c>
      <c r="DT835" s="72">
        <v>0</v>
      </c>
      <c r="DU835" s="72">
        <v>0</v>
      </c>
      <c r="DV835" s="72">
        <v>0</v>
      </c>
      <c r="DW835" s="72">
        <v>0</v>
      </c>
      <c r="DX835" s="72">
        <v>0</v>
      </c>
      <c r="DY835" s="72">
        <v>0</v>
      </c>
      <c r="DZ835" s="72">
        <v>0</v>
      </c>
      <c r="EA835" s="72">
        <v>0</v>
      </c>
      <c r="EB835" s="72">
        <v>0</v>
      </c>
      <c r="EC835" s="72">
        <v>0</v>
      </c>
      <c r="ED835" s="72">
        <v>0</v>
      </c>
      <c r="EE835" s="72">
        <v>0</v>
      </c>
      <c r="EF835" s="72">
        <v>0</v>
      </c>
      <c r="EG835" s="72">
        <v>0</v>
      </c>
      <c r="EH835" s="72">
        <v>0</v>
      </c>
      <c r="EI835" s="72">
        <v>0</v>
      </c>
      <c r="EJ835" s="72">
        <v>0</v>
      </c>
      <c r="EK835" s="72">
        <v>0</v>
      </c>
      <c r="EL835" s="72">
        <v>0</v>
      </c>
    </row>
    <row r="836" spans="1:142" x14ac:dyDescent="0.35">
      <c r="A836" s="59">
        <f>Данные!A836</f>
        <v>6368</v>
      </c>
      <c r="B836" s="59">
        <f>Данные!B836</f>
        <v>2019</v>
      </c>
      <c r="C836" s="59" t="str">
        <f>Данные!C836</f>
        <v>компьютерных технологий и электронного обучения</v>
      </c>
      <c r="D836" s="59" t="str">
        <f>Данные!D836</f>
        <v>Государев Илья Борисович</v>
      </c>
      <c r="E836" s="59" t="str">
        <f>Данные!E836</f>
        <v>кандидат педагогических наук</v>
      </c>
      <c r="F836" s="59" t="str">
        <f>Данные!F836</f>
        <v>доцент</v>
      </c>
      <c r="G836" s="59">
        <f>Данные!G836</f>
        <v>1</v>
      </c>
      <c r="H836" s="59" t="str">
        <f>Данные!H836</f>
        <v>2 курс (б) 2018 год/пост</v>
      </c>
      <c r="I836" s="59" t="str">
        <f>Данные!I836</f>
        <v>Модуль "Проектирование и разработка веб-решений ". Компьютерный практикум</v>
      </c>
      <c r="J836" s="59">
        <f>Данные!J836</f>
        <v>0</v>
      </c>
      <c r="K836" s="59">
        <f>Данные!K836</f>
        <v>0</v>
      </c>
      <c r="L836" s="59">
        <f>Данные!L836</f>
        <v>108</v>
      </c>
      <c r="M836" s="60">
        <f t="shared" ref="M836:M862" si="117">SUM(J836:L836)/10</f>
        <v>10.8</v>
      </c>
      <c r="N836" s="60">
        <f t="shared" ref="N836:N862" ca="1" si="118">2+(0.33*W836)</f>
        <v>14.870000000000001</v>
      </c>
      <c r="O836" s="60">
        <f t="shared" ref="O836:O862" ca="1" si="119">0.25*W836</f>
        <v>9.75</v>
      </c>
      <c r="P836" s="60">
        <f t="shared" ref="P836:P862" ca="1" si="120">0.25*W836</f>
        <v>9.75</v>
      </c>
      <c r="Q836" s="54">
        <f>Данные!Q836</f>
        <v>0</v>
      </c>
      <c r="R836" s="54">
        <f>Данные!R836</f>
        <v>0</v>
      </c>
      <c r="S836" s="54">
        <f>Данные!S836</f>
        <v>0</v>
      </c>
      <c r="T836" s="54">
        <f>Данные!T836</f>
        <v>0</v>
      </c>
      <c r="U836" s="54">
        <f>Данные!U836</f>
        <v>0</v>
      </c>
      <c r="V836" s="54">
        <f>Данные!V836</f>
        <v>0</v>
      </c>
      <c r="W836" s="54">
        <f ca="1">Данные!W836</f>
        <v>39</v>
      </c>
      <c r="X836" s="54" t="str">
        <f ca="1">Данные!X836</f>
        <v>2</v>
      </c>
      <c r="Y836" s="54" t="str">
        <f ca="1">Данные!Y836</f>
        <v>3</v>
      </c>
      <c r="Z836" s="54">
        <f>Данные!Z836</f>
        <v>0</v>
      </c>
      <c r="AA836" s="54">
        <f>Данные!AA836</f>
        <v>0</v>
      </c>
      <c r="AB836" s="101">
        <f t="shared" ref="AB836:AB861" si="121">VLOOKUP(F836, $BN$3:$BO$15, 2, 0)</f>
        <v>800</v>
      </c>
      <c r="AC836" s="101" t="str">
        <f t="shared" ref="AC836:AC862" si="122">IF(IFERROR(MATCH(H836, $AK$4:$BL$4, 0), 0)&gt;=1, "ИВТ (бак)", IF(IFERROR(MATCH(H836, $AK$5:$BL$5, 0), 0)&gt;=1, "КЭО (маг)", ""))</f>
        <v>ИВТ (бак)</v>
      </c>
      <c r="AD836" s="101" t="str">
        <f t="shared" ref="AD836:AD861" si="123">IF(IFERROR(MATCH(H836, $AK$4:$AN$4, 0), 0)=1, "2015–2016", IF(IFERROR(MATCH(H836, $AO$4:$AR$4, 0), 0)=1, "2016–2017", IF(IFERROR(MATCH(H836, $AS$4:$AV$4, 0), 0)=1, "2017–2018", IF(IFERROR(MATCH(H836, $AW$4:$AZ$4, 0), 0)=1, "2018–2019", IF(IFERROR(MATCH(H836, $BA$4:$BD$4, 0), 0)=1, "2019–2020", IF(IFERROR(MATCH(H836, $BE$4:$BH$4, 0), 0)=1, "2020–2021", IF(IFERROR(MATCH(H836, $BI$4:$BL$4, 0), 0)=1, "2021–2022", "")))))))</f>
        <v/>
      </c>
      <c r="AE836" s="102">
        <f t="shared" ref="AE836:AE862" ca="1" si="124">SUM(J836:V836)</f>
        <v>153.16999999999999</v>
      </c>
      <c r="AF836" s="103">
        <f t="shared" ca="1" si="116"/>
        <v>0.19146249999999998</v>
      </c>
      <c r="AG836" s="101"/>
      <c r="AH836" s="101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Q836" s="72">
        <v>0</v>
      </c>
      <c r="BR836" s="72">
        <v>0</v>
      </c>
      <c r="BS836" s="72">
        <v>0</v>
      </c>
      <c r="BT836" s="72">
        <v>0</v>
      </c>
      <c r="BU836" s="72">
        <v>0</v>
      </c>
      <c r="BV836" s="72">
        <v>0</v>
      </c>
      <c r="BW836" s="72">
        <v>0</v>
      </c>
      <c r="BX836" s="72">
        <v>0</v>
      </c>
      <c r="BY836" s="72">
        <v>0</v>
      </c>
      <c r="BZ836" s="72">
        <v>0</v>
      </c>
      <c r="CA836" s="72">
        <v>0</v>
      </c>
      <c r="CB836" s="72">
        <v>0</v>
      </c>
      <c r="CC836" s="72">
        <v>0</v>
      </c>
      <c r="CD836" s="72">
        <v>0</v>
      </c>
      <c r="CE836" s="72">
        <v>0</v>
      </c>
      <c r="CF836" s="72">
        <v>0</v>
      </c>
      <c r="CG836" s="72">
        <v>0</v>
      </c>
      <c r="CH836" s="72">
        <v>0</v>
      </c>
      <c r="CI836" s="72">
        <v>0</v>
      </c>
      <c r="CJ836" s="72">
        <v>0</v>
      </c>
      <c r="CK836" s="72">
        <v>0</v>
      </c>
      <c r="CL836" s="72">
        <v>0</v>
      </c>
      <c r="CM836" s="72">
        <v>0</v>
      </c>
      <c r="CN836" s="72">
        <v>0</v>
      </c>
      <c r="CO836" s="72">
        <v>0</v>
      </c>
      <c r="CP836" s="72">
        <v>0</v>
      </c>
      <c r="CQ836" s="72">
        <v>0</v>
      </c>
      <c r="CR836" s="72">
        <v>0</v>
      </c>
      <c r="CS836" s="72">
        <v>0</v>
      </c>
      <c r="CT836" s="72">
        <v>0</v>
      </c>
      <c r="CU836" s="72">
        <v>0</v>
      </c>
      <c r="CV836" s="72">
        <v>0</v>
      </c>
      <c r="CW836" s="72">
        <v>0</v>
      </c>
      <c r="CX836" s="72">
        <v>0</v>
      </c>
      <c r="CY836" s="72">
        <v>0</v>
      </c>
      <c r="CZ836" s="72">
        <v>0</v>
      </c>
      <c r="DA836" s="72">
        <v>0</v>
      </c>
      <c r="DB836" s="72">
        <v>0</v>
      </c>
      <c r="DC836" s="72">
        <v>0</v>
      </c>
      <c r="DD836" s="72">
        <v>0</v>
      </c>
      <c r="DE836" s="72">
        <v>0</v>
      </c>
      <c r="DF836" s="72">
        <v>0</v>
      </c>
      <c r="DG836" s="72">
        <v>0</v>
      </c>
      <c r="DH836" s="72">
        <v>0</v>
      </c>
      <c r="DI836" s="72">
        <v>0</v>
      </c>
      <c r="DJ836" s="72">
        <v>0</v>
      </c>
      <c r="DK836" s="72">
        <v>0</v>
      </c>
      <c r="DL836" s="72">
        <v>0</v>
      </c>
      <c r="DM836" s="72">
        <v>0</v>
      </c>
      <c r="DN836" s="72">
        <v>0</v>
      </c>
      <c r="DO836" s="72">
        <v>0</v>
      </c>
      <c r="DP836" s="72">
        <v>0</v>
      </c>
      <c r="DQ836" s="72">
        <v>0</v>
      </c>
      <c r="DR836" s="72">
        <v>0</v>
      </c>
      <c r="DS836" s="72">
        <v>0</v>
      </c>
      <c r="DT836" s="72">
        <v>0</v>
      </c>
      <c r="DU836" s="72">
        <v>0</v>
      </c>
      <c r="DV836" s="72">
        <v>0</v>
      </c>
      <c r="DW836" s="72">
        <v>0</v>
      </c>
      <c r="DX836" s="72">
        <v>0</v>
      </c>
      <c r="DY836" s="72">
        <v>0</v>
      </c>
      <c r="DZ836" s="72">
        <v>0</v>
      </c>
      <c r="EA836" s="72">
        <v>0</v>
      </c>
      <c r="EB836" s="72">
        <v>0</v>
      </c>
      <c r="EC836" s="72">
        <v>0</v>
      </c>
      <c r="ED836" s="72">
        <v>0</v>
      </c>
      <c r="EE836" s="72">
        <v>0</v>
      </c>
      <c r="EF836" s="72">
        <v>0</v>
      </c>
      <c r="EG836" s="72">
        <v>0</v>
      </c>
      <c r="EH836" s="72">
        <v>0</v>
      </c>
      <c r="EI836" s="72">
        <v>0</v>
      </c>
      <c r="EJ836" s="72">
        <v>0</v>
      </c>
      <c r="EK836" s="72">
        <v>0</v>
      </c>
      <c r="EL836" s="72">
        <v>0</v>
      </c>
    </row>
    <row r="837" spans="1:142" x14ac:dyDescent="0.35">
      <c r="A837" s="59">
        <f>Данные!A837</f>
        <v>6368</v>
      </c>
      <c r="B837" s="59">
        <f>Данные!B837</f>
        <v>2019</v>
      </c>
      <c r="C837" s="59" t="str">
        <f>Данные!C837</f>
        <v>компьютерных технологий и электронного обучения</v>
      </c>
      <c r="D837" s="59" t="str">
        <f>Данные!D837</f>
        <v>Жуков Николай Николаевич</v>
      </c>
      <c r="E837" s="59" t="str">
        <f>Данные!E837</f>
        <v>нет</v>
      </c>
      <c r="F837" s="59" t="str">
        <f>Данные!F837</f>
        <v>ассистент</v>
      </c>
      <c r="G837" s="59">
        <f>Данные!G837</f>
        <v>1</v>
      </c>
      <c r="H837" s="59" t="str">
        <f>Данные!H837</f>
        <v>2 курс (б) 2018 год/пост</v>
      </c>
      <c r="I837" s="59" t="str">
        <f>Данные!I837</f>
        <v>Модуль "Системное и прикладное программное обеспечение". Программирование</v>
      </c>
      <c r="J837" s="59">
        <f>Данные!J837</f>
        <v>0</v>
      </c>
      <c r="K837" s="59">
        <f>Данные!K837</f>
        <v>0</v>
      </c>
      <c r="L837" s="59">
        <f>Данные!L837</f>
        <v>216</v>
      </c>
      <c r="M837" s="60">
        <f t="shared" si="117"/>
        <v>21.6</v>
      </c>
      <c r="N837" s="60">
        <f t="shared" ca="1" si="118"/>
        <v>14.870000000000001</v>
      </c>
      <c r="O837" s="60">
        <f t="shared" ca="1" si="119"/>
        <v>9.75</v>
      </c>
      <c r="P837" s="60">
        <f t="shared" ca="1" si="120"/>
        <v>9.75</v>
      </c>
      <c r="Q837" s="54">
        <f>Данные!Q837</f>
        <v>0</v>
      </c>
      <c r="R837" s="54">
        <f>Данные!R837</f>
        <v>0</v>
      </c>
      <c r="S837" s="54">
        <f>Данные!S837</f>
        <v>0</v>
      </c>
      <c r="T837" s="54">
        <f>Данные!T837</f>
        <v>0</v>
      </c>
      <c r="U837" s="54">
        <f>Данные!U837</f>
        <v>0</v>
      </c>
      <c r="V837" s="54">
        <f>Данные!V837</f>
        <v>0</v>
      </c>
      <c r="W837" s="54">
        <f ca="1">Данные!W837</f>
        <v>39</v>
      </c>
      <c r="X837" s="54" t="str">
        <f ca="1">Данные!X837</f>
        <v>2</v>
      </c>
      <c r="Y837" s="54" t="str">
        <f ca="1">Данные!Y837</f>
        <v>3</v>
      </c>
      <c r="Z837" s="54">
        <f>Данные!Z837</f>
        <v>0</v>
      </c>
      <c r="AA837" s="54">
        <f>Данные!AA837</f>
        <v>0</v>
      </c>
      <c r="AB837" s="101">
        <f t="shared" si="121"/>
        <v>900</v>
      </c>
      <c r="AC837" s="101" t="str">
        <f t="shared" si="122"/>
        <v>ИВТ (бак)</v>
      </c>
      <c r="AD837" s="101" t="str">
        <f t="shared" si="123"/>
        <v/>
      </c>
      <c r="AE837" s="102">
        <f t="shared" ca="1" si="124"/>
        <v>271.97000000000003</v>
      </c>
      <c r="AF837" s="103">
        <f t="shared" ref="AF837:AF862" ca="1" si="125">AE837/AB837</f>
        <v>0.3021888888888889</v>
      </c>
      <c r="AG837" s="101"/>
      <c r="AH837" s="101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Q837" s="72">
        <v>0</v>
      </c>
      <c r="BR837" s="72">
        <v>0</v>
      </c>
      <c r="BS837" s="72">
        <v>0</v>
      </c>
      <c r="BT837" s="72">
        <v>0</v>
      </c>
      <c r="BU837" s="72">
        <v>0</v>
      </c>
      <c r="BV837" s="72">
        <v>0</v>
      </c>
      <c r="BW837" s="72">
        <v>0</v>
      </c>
      <c r="BX837" s="72">
        <v>0</v>
      </c>
      <c r="BY837" s="72">
        <v>0</v>
      </c>
      <c r="BZ837" s="72">
        <v>0</v>
      </c>
      <c r="CA837" s="72">
        <v>0</v>
      </c>
      <c r="CB837" s="72">
        <v>0</v>
      </c>
      <c r="CC837" s="72">
        <v>0</v>
      </c>
      <c r="CD837" s="72">
        <v>0</v>
      </c>
      <c r="CE837" s="72">
        <v>0</v>
      </c>
      <c r="CF837" s="72">
        <v>0</v>
      </c>
      <c r="CG837" s="72">
        <v>0</v>
      </c>
      <c r="CH837" s="72">
        <v>0</v>
      </c>
      <c r="CI837" s="72">
        <v>0</v>
      </c>
      <c r="CJ837" s="72">
        <v>0</v>
      </c>
      <c r="CK837" s="72">
        <v>0</v>
      </c>
      <c r="CL837" s="72">
        <v>0</v>
      </c>
      <c r="CM837" s="72">
        <v>0</v>
      </c>
      <c r="CN837" s="72">
        <v>0</v>
      </c>
      <c r="CO837" s="72">
        <v>0</v>
      </c>
      <c r="CP837" s="72">
        <v>0</v>
      </c>
      <c r="CQ837" s="72">
        <v>0</v>
      </c>
      <c r="CR837" s="72">
        <v>0</v>
      </c>
      <c r="CS837" s="72">
        <v>0</v>
      </c>
      <c r="CT837" s="72">
        <v>0</v>
      </c>
      <c r="CU837" s="72">
        <v>0</v>
      </c>
      <c r="CV837" s="72">
        <v>0</v>
      </c>
      <c r="CW837" s="72">
        <v>0</v>
      </c>
      <c r="CX837" s="72">
        <v>0</v>
      </c>
      <c r="CY837" s="72">
        <v>0</v>
      </c>
      <c r="CZ837" s="72">
        <v>0</v>
      </c>
      <c r="DA837" s="72">
        <v>0</v>
      </c>
      <c r="DB837" s="72">
        <v>0</v>
      </c>
      <c r="DC837" s="72">
        <v>0</v>
      </c>
      <c r="DD837" s="72">
        <v>0</v>
      </c>
      <c r="DE837" s="72">
        <v>0</v>
      </c>
      <c r="DF837" s="72">
        <v>0</v>
      </c>
      <c r="DG837" s="72">
        <v>0</v>
      </c>
      <c r="DH837" s="72">
        <v>0</v>
      </c>
      <c r="DI837" s="72">
        <v>0</v>
      </c>
      <c r="DJ837" s="72">
        <v>0</v>
      </c>
      <c r="DK837" s="72">
        <v>0</v>
      </c>
      <c r="DL837" s="72">
        <v>0</v>
      </c>
      <c r="DM837" s="72">
        <v>0</v>
      </c>
      <c r="DN837" s="72">
        <v>0</v>
      </c>
      <c r="DO837" s="72">
        <v>0</v>
      </c>
      <c r="DP837" s="72">
        <v>0</v>
      </c>
      <c r="DQ837" s="72">
        <v>0</v>
      </c>
      <c r="DR837" s="72">
        <v>0</v>
      </c>
      <c r="DS837" s="72">
        <v>0</v>
      </c>
      <c r="DT837" s="72">
        <v>0</v>
      </c>
      <c r="DU837" s="72">
        <v>0</v>
      </c>
      <c r="DV837" s="72">
        <v>0</v>
      </c>
      <c r="DW837" s="72">
        <v>0</v>
      </c>
      <c r="DX837" s="72">
        <v>0</v>
      </c>
      <c r="DY837" s="72">
        <v>0</v>
      </c>
      <c r="DZ837" s="72">
        <v>0</v>
      </c>
      <c r="EA837" s="72">
        <v>0</v>
      </c>
      <c r="EB837" s="72">
        <v>0</v>
      </c>
      <c r="EC837" s="72">
        <v>0</v>
      </c>
      <c r="ED837" s="72">
        <v>0</v>
      </c>
      <c r="EE837" s="72">
        <v>0</v>
      </c>
      <c r="EF837" s="72">
        <v>0</v>
      </c>
      <c r="EG837" s="72">
        <v>0</v>
      </c>
      <c r="EH837" s="72">
        <v>0</v>
      </c>
      <c r="EI837" s="72">
        <v>0</v>
      </c>
      <c r="EJ837" s="72">
        <v>0</v>
      </c>
      <c r="EK837" s="72">
        <v>0</v>
      </c>
      <c r="EL837" s="72">
        <v>0</v>
      </c>
    </row>
    <row r="838" spans="1:142" x14ac:dyDescent="0.35">
      <c r="A838" s="59">
        <f>Данные!A838</f>
        <v>6368</v>
      </c>
      <c r="B838" s="59">
        <f>Данные!B838</f>
        <v>2019</v>
      </c>
      <c r="C838" s="59" t="str">
        <f>Данные!C838</f>
        <v>компьютерных технологий и электронного обучения</v>
      </c>
      <c r="D838" s="59" t="str">
        <f>Данные!D838</f>
        <v>Ильина Татьяна Сергеевна</v>
      </c>
      <c r="E838" s="59" t="str">
        <f>Данные!E838</f>
        <v>нет</v>
      </c>
      <c r="F838" s="59" t="str">
        <f>Данные!F838</f>
        <v>старший преподаватель</v>
      </c>
      <c r="G838" s="59">
        <f>Данные!G838</f>
        <v>1</v>
      </c>
      <c r="H838" s="59" t="str">
        <f>Данные!H838</f>
        <v>2 курс (б) 2018 год/пост</v>
      </c>
      <c r="I838" s="59" t="str">
        <f>Данные!I838</f>
        <v>Модуль "Естественно-математический". Математика</v>
      </c>
      <c r="J838" s="59">
        <f>Данные!J838</f>
        <v>0</v>
      </c>
      <c r="K838" s="59">
        <f>Данные!K838</f>
        <v>72</v>
      </c>
      <c r="L838" s="59">
        <f>Данные!L838</f>
        <v>0</v>
      </c>
      <c r="M838" s="60">
        <f t="shared" si="117"/>
        <v>7.2</v>
      </c>
      <c r="N838" s="60">
        <f t="shared" ca="1" si="118"/>
        <v>14.870000000000001</v>
      </c>
      <c r="O838" s="60">
        <f t="shared" ca="1" si="119"/>
        <v>9.75</v>
      </c>
      <c r="P838" s="60">
        <f t="shared" ca="1" si="120"/>
        <v>9.75</v>
      </c>
      <c r="Q838" s="54">
        <f>Данные!Q838</f>
        <v>0</v>
      </c>
      <c r="R838" s="54">
        <f>Данные!R838</f>
        <v>0</v>
      </c>
      <c r="S838" s="54">
        <f>Данные!S838</f>
        <v>0</v>
      </c>
      <c r="T838" s="54">
        <f>Данные!T838</f>
        <v>0</v>
      </c>
      <c r="U838" s="54">
        <f>Данные!U838</f>
        <v>0</v>
      </c>
      <c r="V838" s="54">
        <f>Данные!V838</f>
        <v>0</v>
      </c>
      <c r="W838" s="54">
        <f ca="1">Данные!W838</f>
        <v>39</v>
      </c>
      <c r="X838" s="54" t="str">
        <f ca="1">Данные!X838</f>
        <v>2</v>
      </c>
      <c r="Y838" s="54" t="str">
        <f ca="1">Данные!Y838</f>
        <v>3</v>
      </c>
      <c r="Z838" s="54">
        <f>Данные!Z838</f>
        <v>0</v>
      </c>
      <c r="AA838" s="54">
        <f>Данные!AA838</f>
        <v>0</v>
      </c>
      <c r="AB838" s="101">
        <f t="shared" si="121"/>
        <v>850</v>
      </c>
      <c r="AC838" s="101" t="str">
        <f t="shared" si="122"/>
        <v>ИВТ (бак)</v>
      </c>
      <c r="AD838" s="101" t="str">
        <f t="shared" si="123"/>
        <v/>
      </c>
      <c r="AE838" s="102">
        <f t="shared" ca="1" si="124"/>
        <v>113.57000000000001</v>
      </c>
      <c r="AF838" s="103">
        <f t="shared" ca="1" si="125"/>
        <v>0.13361176470588237</v>
      </c>
      <c r="AG838" s="101"/>
      <c r="AH838" s="101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Q838" s="72">
        <v>0</v>
      </c>
      <c r="BR838" s="72">
        <v>0</v>
      </c>
      <c r="BS838" s="72">
        <v>0</v>
      </c>
      <c r="BT838" s="72">
        <v>0</v>
      </c>
      <c r="BU838" s="72">
        <v>0</v>
      </c>
      <c r="BV838" s="72">
        <v>0</v>
      </c>
      <c r="BW838" s="72">
        <v>0</v>
      </c>
      <c r="BX838" s="72">
        <v>0</v>
      </c>
      <c r="BY838" s="72">
        <v>0</v>
      </c>
      <c r="BZ838" s="72">
        <v>0</v>
      </c>
      <c r="CA838" s="72">
        <v>0</v>
      </c>
      <c r="CB838" s="72">
        <v>0</v>
      </c>
      <c r="CC838" s="72">
        <v>0</v>
      </c>
      <c r="CD838" s="72">
        <v>0</v>
      </c>
      <c r="CE838" s="72">
        <v>0</v>
      </c>
      <c r="CF838" s="72">
        <v>0</v>
      </c>
      <c r="CG838" s="72">
        <v>0</v>
      </c>
      <c r="CH838" s="72">
        <v>0</v>
      </c>
      <c r="CI838" s="72">
        <v>0</v>
      </c>
      <c r="CJ838" s="72">
        <v>0</v>
      </c>
      <c r="CK838" s="72">
        <v>0</v>
      </c>
      <c r="CL838" s="72">
        <v>0</v>
      </c>
      <c r="CM838" s="72">
        <v>0</v>
      </c>
      <c r="CN838" s="72">
        <v>0</v>
      </c>
      <c r="CO838" s="72">
        <v>0</v>
      </c>
      <c r="CP838" s="72">
        <v>0</v>
      </c>
      <c r="CQ838" s="72">
        <v>0</v>
      </c>
      <c r="CR838" s="72">
        <v>0</v>
      </c>
      <c r="CS838" s="72">
        <v>0</v>
      </c>
      <c r="CT838" s="72">
        <v>0</v>
      </c>
      <c r="CU838" s="72">
        <v>0</v>
      </c>
      <c r="CV838" s="72">
        <v>0</v>
      </c>
      <c r="CW838" s="72">
        <v>0</v>
      </c>
      <c r="CX838" s="72">
        <v>0</v>
      </c>
      <c r="CY838" s="72">
        <v>0</v>
      </c>
      <c r="CZ838" s="72">
        <v>0</v>
      </c>
      <c r="DA838" s="72">
        <v>0</v>
      </c>
      <c r="DB838" s="72">
        <v>0</v>
      </c>
      <c r="DC838" s="72">
        <v>0</v>
      </c>
      <c r="DD838" s="72">
        <v>0</v>
      </c>
      <c r="DE838" s="72">
        <v>0</v>
      </c>
      <c r="DF838" s="72">
        <v>0</v>
      </c>
      <c r="DG838" s="72">
        <v>0</v>
      </c>
      <c r="DH838" s="72">
        <v>0</v>
      </c>
      <c r="DI838" s="72">
        <v>0</v>
      </c>
      <c r="DJ838" s="72">
        <v>0</v>
      </c>
      <c r="DK838" s="72">
        <v>0</v>
      </c>
      <c r="DL838" s="72">
        <v>0</v>
      </c>
      <c r="DM838" s="72">
        <v>0</v>
      </c>
      <c r="DN838" s="72">
        <v>0</v>
      </c>
      <c r="DO838" s="72">
        <v>0</v>
      </c>
      <c r="DP838" s="72">
        <v>0</v>
      </c>
      <c r="DQ838" s="72">
        <v>0</v>
      </c>
      <c r="DR838" s="72">
        <v>0</v>
      </c>
      <c r="DS838" s="72">
        <v>0</v>
      </c>
      <c r="DT838" s="72">
        <v>0</v>
      </c>
      <c r="DU838" s="72">
        <v>0</v>
      </c>
      <c r="DV838" s="72">
        <v>0</v>
      </c>
      <c r="DW838" s="72">
        <v>0</v>
      </c>
      <c r="DX838" s="72">
        <v>0</v>
      </c>
      <c r="DY838" s="72">
        <v>0</v>
      </c>
      <c r="DZ838" s="72">
        <v>0</v>
      </c>
      <c r="EA838" s="72">
        <v>0</v>
      </c>
      <c r="EB838" s="72">
        <v>0</v>
      </c>
      <c r="EC838" s="72">
        <v>0</v>
      </c>
      <c r="ED838" s="72">
        <v>0</v>
      </c>
      <c r="EE838" s="72">
        <v>0</v>
      </c>
      <c r="EF838" s="72">
        <v>0</v>
      </c>
      <c r="EG838" s="72">
        <v>0</v>
      </c>
      <c r="EH838" s="72">
        <v>0</v>
      </c>
      <c r="EI838" s="72">
        <v>0</v>
      </c>
      <c r="EJ838" s="72">
        <v>0</v>
      </c>
      <c r="EK838" s="72">
        <v>0</v>
      </c>
      <c r="EL838" s="72">
        <v>0</v>
      </c>
    </row>
    <row r="839" spans="1:142" x14ac:dyDescent="0.35">
      <c r="A839" s="59">
        <f>Данные!A839</f>
        <v>6368</v>
      </c>
      <c r="B839" s="59">
        <f>Данные!B839</f>
        <v>2019</v>
      </c>
      <c r="C839" s="59" t="str">
        <f>Данные!C839</f>
        <v>компьютерных технологий и электронного обучения</v>
      </c>
      <c r="D839" s="59" t="str">
        <f>Данные!D839</f>
        <v>Ильина Татьяна Сергеевна</v>
      </c>
      <c r="E839" s="59" t="str">
        <f>Данные!E839</f>
        <v>нет</v>
      </c>
      <c r="F839" s="59" t="str">
        <f>Данные!F839</f>
        <v>старший преподаватель</v>
      </c>
      <c r="G839" s="59">
        <f>Данные!G839</f>
        <v>1</v>
      </c>
      <c r="H839" s="59" t="str">
        <f>Данные!H839</f>
        <v>2 курс (б) 2018 год/пост</v>
      </c>
      <c r="I839" s="59" t="str">
        <f>Данные!I839</f>
        <v>Модуль "Естественно-математический". Математика</v>
      </c>
      <c r="J839" s="59">
        <f>Данные!J839</f>
        <v>36</v>
      </c>
      <c r="K839" s="59">
        <f>Данные!K839</f>
        <v>36</v>
      </c>
      <c r="L839" s="59">
        <f>Данные!L839</f>
        <v>0</v>
      </c>
      <c r="M839" s="60">
        <f t="shared" si="117"/>
        <v>7.2</v>
      </c>
      <c r="N839" s="60">
        <f t="shared" ca="1" si="118"/>
        <v>14.870000000000001</v>
      </c>
      <c r="O839" s="60">
        <f t="shared" ca="1" si="119"/>
        <v>9.75</v>
      </c>
      <c r="P839" s="60">
        <f t="shared" ca="1" si="120"/>
        <v>9.75</v>
      </c>
      <c r="Q839" s="54">
        <f>Данные!Q839</f>
        <v>0</v>
      </c>
      <c r="R839" s="54">
        <f>Данные!R839</f>
        <v>0</v>
      </c>
      <c r="S839" s="54">
        <f>Данные!S839</f>
        <v>0</v>
      </c>
      <c r="T839" s="54">
        <f>Данные!T839</f>
        <v>0</v>
      </c>
      <c r="U839" s="54">
        <f>Данные!U839</f>
        <v>0</v>
      </c>
      <c r="V839" s="54">
        <f>Данные!V839</f>
        <v>0</v>
      </c>
      <c r="W839" s="54">
        <f ca="1">Данные!W839</f>
        <v>39</v>
      </c>
      <c r="X839" s="54" t="str">
        <f ca="1">Данные!X839</f>
        <v>2</v>
      </c>
      <c r="Y839" s="54" t="str">
        <f ca="1">Данные!Y839</f>
        <v>3</v>
      </c>
      <c r="Z839" s="54">
        <f>Данные!Z839</f>
        <v>0</v>
      </c>
      <c r="AA839" s="54">
        <f>Данные!AA839</f>
        <v>0</v>
      </c>
      <c r="AB839" s="101">
        <f t="shared" si="121"/>
        <v>850</v>
      </c>
      <c r="AC839" s="101" t="str">
        <f t="shared" si="122"/>
        <v>ИВТ (бак)</v>
      </c>
      <c r="AD839" s="101" t="str">
        <f t="shared" si="123"/>
        <v/>
      </c>
      <c r="AE839" s="102">
        <f t="shared" ca="1" si="124"/>
        <v>113.57000000000001</v>
      </c>
      <c r="AF839" s="103">
        <f t="shared" ca="1" si="125"/>
        <v>0.13361176470588237</v>
      </c>
      <c r="AG839" s="101"/>
      <c r="AH839" s="101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Q839" s="72">
        <v>0</v>
      </c>
      <c r="BR839" s="72">
        <v>0</v>
      </c>
      <c r="BS839" s="72">
        <v>0</v>
      </c>
      <c r="BT839" s="72">
        <v>0</v>
      </c>
      <c r="BU839" s="72">
        <v>0</v>
      </c>
      <c r="BV839" s="72">
        <v>0</v>
      </c>
      <c r="BW839" s="72">
        <v>0</v>
      </c>
      <c r="BX839" s="72">
        <v>0</v>
      </c>
      <c r="BY839" s="72">
        <v>0</v>
      </c>
      <c r="BZ839" s="72">
        <v>0</v>
      </c>
      <c r="CA839" s="72">
        <v>0</v>
      </c>
      <c r="CB839" s="72">
        <v>0</v>
      </c>
      <c r="CC839" s="72">
        <v>0</v>
      </c>
      <c r="CD839" s="72">
        <v>0</v>
      </c>
      <c r="CE839" s="72">
        <v>0</v>
      </c>
      <c r="CF839" s="72">
        <v>0</v>
      </c>
      <c r="CG839" s="72">
        <v>0</v>
      </c>
      <c r="CH839" s="72">
        <v>0</v>
      </c>
      <c r="CI839" s="72">
        <v>0</v>
      </c>
      <c r="CJ839" s="72">
        <v>0</v>
      </c>
      <c r="CK839" s="72">
        <v>0</v>
      </c>
      <c r="CL839" s="72">
        <v>0</v>
      </c>
      <c r="CM839" s="72">
        <v>0</v>
      </c>
      <c r="CN839" s="72">
        <v>0</v>
      </c>
      <c r="CO839" s="72">
        <v>0</v>
      </c>
      <c r="CP839" s="72">
        <v>0</v>
      </c>
      <c r="CQ839" s="72">
        <v>0</v>
      </c>
      <c r="CR839" s="72">
        <v>0</v>
      </c>
      <c r="CS839" s="72">
        <v>0</v>
      </c>
      <c r="CT839" s="72">
        <v>0</v>
      </c>
      <c r="CU839" s="72">
        <v>0</v>
      </c>
      <c r="CV839" s="72">
        <v>0</v>
      </c>
      <c r="CW839" s="72">
        <v>0</v>
      </c>
      <c r="CX839" s="72">
        <v>0</v>
      </c>
      <c r="CY839" s="72">
        <v>0</v>
      </c>
      <c r="CZ839" s="72">
        <v>0</v>
      </c>
      <c r="DA839" s="72">
        <v>0</v>
      </c>
      <c r="DB839" s="72">
        <v>0</v>
      </c>
      <c r="DC839" s="72">
        <v>0</v>
      </c>
      <c r="DD839" s="72">
        <v>0</v>
      </c>
      <c r="DE839" s="72">
        <v>0</v>
      </c>
      <c r="DF839" s="72">
        <v>0</v>
      </c>
      <c r="DG839" s="72">
        <v>0</v>
      </c>
      <c r="DH839" s="72">
        <v>0</v>
      </c>
      <c r="DI839" s="72">
        <v>0</v>
      </c>
      <c r="DJ839" s="72">
        <v>0</v>
      </c>
      <c r="DK839" s="72">
        <v>0</v>
      </c>
      <c r="DL839" s="72">
        <v>0</v>
      </c>
      <c r="DM839" s="72">
        <v>0</v>
      </c>
      <c r="DN839" s="72">
        <v>0</v>
      </c>
      <c r="DO839" s="72">
        <v>0</v>
      </c>
      <c r="DP839" s="72">
        <v>0</v>
      </c>
      <c r="DQ839" s="72">
        <v>0</v>
      </c>
      <c r="DR839" s="72">
        <v>0</v>
      </c>
      <c r="DS839" s="72">
        <v>0</v>
      </c>
      <c r="DT839" s="72">
        <v>0</v>
      </c>
      <c r="DU839" s="72">
        <v>0</v>
      </c>
      <c r="DV839" s="72">
        <v>0</v>
      </c>
      <c r="DW839" s="72">
        <v>0</v>
      </c>
      <c r="DX839" s="72">
        <v>0</v>
      </c>
      <c r="DY839" s="72">
        <v>0</v>
      </c>
      <c r="DZ839" s="72">
        <v>0</v>
      </c>
      <c r="EA839" s="72">
        <v>0</v>
      </c>
      <c r="EB839" s="72">
        <v>0</v>
      </c>
      <c r="EC839" s="72">
        <v>0</v>
      </c>
      <c r="ED839" s="72">
        <v>0</v>
      </c>
      <c r="EE839" s="72">
        <v>0</v>
      </c>
      <c r="EF839" s="72">
        <v>0</v>
      </c>
      <c r="EG839" s="72">
        <v>0</v>
      </c>
      <c r="EH839" s="72">
        <v>0</v>
      </c>
      <c r="EI839" s="72">
        <v>0</v>
      </c>
      <c r="EJ839" s="72">
        <v>0</v>
      </c>
      <c r="EK839" s="72">
        <v>0</v>
      </c>
      <c r="EL839" s="72">
        <v>0</v>
      </c>
    </row>
    <row r="840" spans="1:142" x14ac:dyDescent="0.35">
      <c r="A840" s="59">
        <f>Данные!A840</f>
        <v>6368</v>
      </c>
      <c r="B840" s="59">
        <f>Данные!B840</f>
        <v>2019</v>
      </c>
      <c r="C840" s="59" t="str">
        <f>Данные!C840</f>
        <v>компьютерных технологий и электронного обучения</v>
      </c>
      <c r="D840" s="59" t="str">
        <f>Данные!D840</f>
        <v>Ильина Татьяна Сергеевна</v>
      </c>
      <c r="E840" s="59" t="str">
        <f>Данные!E840</f>
        <v>нет</v>
      </c>
      <c r="F840" s="59" t="str">
        <f>Данные!F840</f>
        <v>старший преподаватель</v>
      </c>
      <c r="G840" s="59">
        <f>Данные!G840</f>
        <v>1</v>
      </c>
      <c r="H840" s="59" t="str">
        <f>Данные!H840</f>
        <v>2 курс (б) 2018 год/пост</v>
      </c>
      <c r="I840" s="59" t="str">
        <f>Данные!I840</f>
        <v>Модуль "Информационные технологии в математике и физике". Дисциплины и курсы по выбору. Основы компьютерной алгебры</v>
      </c>
      <c r="J840" s="59">
        <f>Данные!J840</f>
        <v>0</v>
      </c>
      <c r="K840" s="59">
        <f>Данные!K840</f>
        <v>0</v>
      </c>
      <c r="L840" s="59">
        <f>Данные!L840</f>
        <v>54</v>
      </c>
      <c r="M840" s="60">
        <f t="shared" si="117"/>
        <v>5.4</v>
      </c>
      <c r="N840" s="60">
        <f t="shared" ca="1" si="118"/>
        <v>14.870000000000001</v>
      </c>
      <c r="O840" s="60">
        <f t="shared" ca="1" si="119"/>
        <v>9.75</v>
      </c>
      <c r="P840" s="60">
        <f t="shared" ca="1" si="120"/>
        <v>9.75</v>
      </c>
      <c r="Q840" s="54">
        <f>Данные!Q840</f>
        <v>0</v>
      </c>
      <c r="R840" s="54">
        <f>Данные!R840</f>
        <v>0</v>
      </c>
      <c r="S840" s="54">
        <f>Данные!S840</f>
        <v>0</v>
      </c>
      <c r="T840" s="54">
        <f>Данные!T840</f>
        <v>0</v>
      </c>
      <c r="U840" s="54">
        <f>Данные!U840</f>
        <v>0</v>
      </c>
      <c r="V840" s="54">
        <f>Данные!V840</f>
        <v>0</v>
      </c>
      <c r="W840" s="54">
        <f ca="1">Данные!W840</f>
        <v>39</v>
      </c>
      <c r="X840" s="54" t="str">
        <f ca="1">Данные!X840</f>
        <v>2</v>
      </c>
      <c r="Y840" s="54" t="str">
        <f ca="1">Данные!Y840</f>
        <v>3</v>
      </c>
      <c r="Z840" s="54">
        <f>Данные!Z840</f>
        <v>0</v>
      </c>
      <c r="AA840" s="54">
        <f>Данные!AA840</f>
        <v>0</v>
      </c>
      <c r="AB840" s="101">
        <f t="shared" si="121"/>
        <v>850</v>
      </c>
      <c r="AC840" s="101" t="str">
        <f t="shared" si="122"/>
        <v>ИВТ (бак)</v>
      </c>
      <c r="AD840" s="101" t="str">
        <f t="shared" si="123"/>
        <v/>
      </c>
      <c r="AE840" s="102">
        <f t="shared" ca="1" si="124"/>
        <v>93.77</v>
      </c>
      <c r="AF840" s="103">
        <f t="shared" ca="1" si="125"/>
        <v>0.11031764705882352</v>
      </c>
      <c r="AG840" s="101"/>
      <c r="AH840" s="101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Q840" s="72">
        <v>0</v>
      </c>
      <c r="BR840" s="72">
        <v>0</v>
      </c>
      <c r="BS840" s="72">
        <v>0</v>
      </c>
      <c r="BT840" s="72">
        <v>0</v>
      </c>
      <c r="BU840" s="72">
        <v>0</v>
      </c>
      <c r="BV840" s="72">
        <v>0</v>
      </c>
      <c r="BW840" s="72">
        <v>0</v>
      </c>
      <c r="BX840" s="72">
        <v>0</v>
      </c>
      <c r="BY840" s="72">
        <v>0</v>
      </c>
      <c r="BZ840" s="72">
        <v>0</v>
      </c>
      <c r="CA840" s="72">
        <v>0</v>
      </c>
      <c r="CB840" s="72">
        <v>0</v>
      </c>
      <c r="CC840" s="72">
        <v>0</v>
      </c>
      <c r="CD840" s="72">
        <v>0</v>
      </c>
      <c r="CE840" s="72">
        <v>0</v>
      </c>
      <c r="CF840" s="72">
        <v>0</v>
      </c>
      <c r="CG840" s="72">
        <v>0</v>
      </c>
      <c r="CH840" s="72">
        <v>0</v>
      </c>
      <c r="CI840" s="72">
        <v>0</v>
      </c>
      <c r="CJ840" s="72">
        <v>0</v>
      </c>
      <c r="CK840" s="72">
        <v>0</v>
      </c>
      <c r="CL840" s="72">
        <v>0</v>
      </c>
      <c r="CM840" s="72">
        <v>0</v>
      </c>
      <c r="CN840" s="72">
        <v>0</v>
      </c>
      <c r="CO840" s="72">
        <v>0</v>
      </c>
      <c r="CP840" s="72">
        <v>0</v>
      </c>
      <c r="CQ840" s="72">
        <v>0</v>
      </c>
      <c r="CR840" s="72">
        <v>0</v>
      </c>
      <c r="CS840" s="72">
        <v>0</v>
      </c>
      <c r="CT840" s="72">
        <v>0</v>
      </c>
      <c r="CU840" s="72">
        <v>0</v>
      </c>
      <c r="CV840" s="72">
        <v>0</v>
      </c>
      <c r="CW840" s="72">
        <v>0</v>
      </c>
      <c r="CX840" s="72">
        <v>0</v>
      </c>
      <c r="CY840" s="72">
        <v>0</v>
      </c>
      <c r="CZ840" s="72">
        <v>0</v>
      </c>
      <c r="DA840" s="72">
        <v>0</v>
      </c>
      <c r="DB840" s="72">
        <v>0</v>
      </c>
      <c r="DC840" s="72">
        <v>0</v>
      </c>
      <c r="DD840" s="72">
        <v>0</v>
      </c>
      <c r="DE840" s="72">
        <v>0</v>
      </c>
      <c r="DF840" s="72">
        <v>0</v>
      </c>
      <c r="DG840" s="72">
        <v>0</v>
      </c>
      <c r="DH840" s="72">
        <v>0</v>
      </c>
      <c r="DI840" s="72">
        <v>0</v>
      </c>
      <c r="DJ840" s="72">
        <v>0</v>
      </c>
      <c r="DK840" s="72">
        <v>0</v>
      </c>
      <c r="DL840" s="72">
        <v>0</v>
      </c>
      <c r="DM840" s="72">
        <v>0</v>
      </c>
      <c r="DN840" s="72">
        <v>0</v>
      </c>
      <c r="DO840" s="72">
        <v>0</v>
      </c>
      <c r="DP840" s="72">
        <v>0</v>
      </c>
      <c r="DQ840" s="72">
        <v>0</v>
      </c>
      <c r="DR840" s="72">
        <v>0</v>
      </c>
      <c r="DS840" s="72">
        <v>0</v>
      </c>
      <c r="DT840" s="72">
        <v>0</v>
      </c>
      <c r="DU840" s="72">
        <v>0</v>
      </c>
      <c r="DV840" s="72">
        <v>0</v>
      </c>
      <c r="DW840" s="72">
        <v>0</v>
      </c>
      <c r="DX840" s="72">
        <v>0</v>
      </c>
      <c r="DY840" s="72">
        <v>0</v>
      </c>
      <c r="DZ840" s="72">
        <v>0</v>
      </c>
      <c r="EA840" s="72">
        <v>0</v>
      </c>
      <c r="EB840" s="72">
        <v>0</v>
      </c>
      <c r="EC840" s="72">
        <v>0</v>
      </c>
      <c r="ED840" s="72">
        <v>0</v>
      </c>
      <c r="EE840" s="72">
        <v>0</v>
      </c>
      <c r="EF840" s="72">
        <v>0</v>
      </c>
      <c r="EG840" s="72">
        <v>0</v>
      </c>
      <c r="EH840" s="72">
        <v>0</v>
      </c>
      <c r="EI840" s="72">
        <v>0</v>
      </c>
      <c r="EJ840" s="72">
        <v>0</v>
      </c>
      <c r="EK840" s="72">
        <v>0</v>
      </c>
      <c r="EL840" s="72">
        <v>0</v>
      </c>
    </row>
    <row r="841" spans="1:142" x14ac:dyDescent="0.35">
      <c r="A841" s="59">
        <f>Данные!A841</f>
        <v>6368</v>
      </c>
      <c r="B841" s="59">
        <f>Данные!B841</f>
        <v>2019</v>
      </c>
      <c r="C841" s="59" t="str">
        <f>Данные!C841</f>
        <v>компьютерных технологий и электронного обучения</v>
      </c>
      <c r="D841" s="59" t="str">
        <f>Данные!D841</f>
        <v>Шалденкова Анна Владимировна</v>
      </c>
      <c r="E841" s="59" t="str">
        <f>Данные!E841</f>
        <v>кандидат физ.-мат. наук</v>
      </c>
      <c r="F841" s="59" t="str">
        <f>Данные!F841</f>
        <v>доцент</v>
      </c>
      <c r="G841" s="59">
        <f>Данные!G841</f>
        <v>1</v>
      </c>
      <c r="H841" s="59" t="str">
        <f>Данные!H841</f>
        <v>2 курс (б) 2018 год/пост</v>
      </c>
      <c r="I841" s="59" t="str">
        <f>Данные!I841</f>
        <v>Модуль "Естественно-математический". Математические основы компьютерной графики</v>
      </c>
      <c r="J841" s="59">
        <f>Данные!J841</f>
        <v>0</v>
      </c>
      <c r="K841" s="59">
        <f>Данные!K841</f>
        <v>0</v>
      </c>
      <c r="L841" s="59">
        <f>Данные!L841</f>
        <v>20</v>
      </c>
      <c r="M841" s="60">
        <f t="shared" si="117"/>
        <v>2</v>
      </c>
      <c r="N841" s="60">
        <f t="shared" ca="1" si="118"/>
        <v>14.870000000000001</v>
      </c>
      <c r="O841" s="60">
        <f t="shared" ca="1" si="119"/>
        <v>9.75</v>
      </c>
      <c r="P841" s="60">
        <f t="shared" ca="1" si="120"/>
        <v>9.75</v>
      </c>
      <c r="Q841" s="54">
        <f>Данные!Q841</f>
        <v>0</v>
      </c>
      <c r="R841" s="54">
        <f>Данные!R841</f>
        <v>0</v>
      </c>
      <c r="S841" s="54">
        <f>Данные!S841</f>
        <v>0</v>
      </c>
      <c r="T841" s="54">
        <f>Данные!T841</f>
        <v>0</v>
      </c>
      <c r="U841" s="54">
        <f>Данные!U841</f>
        <v>0</v>
      </c>
      <c r="V841" s="54">
        <f>Данные!V841</f>
        <v>0</v>
      </c>
      <c r="W841" s="54">
        <f ca="1">Данные!W841</f>
        <v>39</v>
      </c>
      <c r="X841" s="54" t="str">
        <f ca="1">Данные!X841</f>
        <v>2</v>
      </c>
      <c r="Y841" s="54" t="str">
        <f ca="1">Данные!Y841</f>
        <v>3</v>
      </c>
      <c r="Z841" s="54">
        <f>Данные!Z841</f>
        <v>0</v>
      </c>
      <c r="AA841" s="54">
        <f>Данные!AA841</f>
        <v>0</v>
      </c>
      <c r="AB841" s="101">
        <f t="shared" si="121"/>
        <v>800</v>
      </c>
      <c r="AC841" s="101" t="str">
        <f t="shared" si="122"/>
        <v>ИВТ (бак)</v>
      </c>
      <c r="AD841" s="101" t="str">
        <f t="shared" si="123"/>
        <v/>
      </c>
      <c r="AE841" s="102">
        <f t="shared" ca="1" si="124"/>
        <v>56.370000000000005</v>
      </c>
      <c r="AF841" s="103">
        <f t="shared" ca="1" si="125"/>
        <v>7.0462500000000011E-2</v>
      </c>
      <c r="AG841" s="101"/>
      <c r="AH841" s="10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Q841" s="72">
        <v>0</v>
      </c>
      <c r="BR841" s="72">
        <v>0</v>
      </c>
      <c r="BS841" s="72">
        <v>0</v>
      </c>
      <c r="BT841" s="72">
        <v>0</v>
      </c>
      <c r="BU841" s="72">
        <v>0</v>
      </c>
      <c r="BV841" s="72">
        <v>0</v>
      </c>
      <c r="BW841" s="72">
        <v>0</v>
      </c>
      <c r="BX841" s="72">
        <v>0</v>
      </c>
      <c r="BY841" s="72">
        <v>0</v>
      </c>
      <c r="BZ841" s="72">
        <v>0</v>
      </c>
      <c r="CA841" s="72">
        <v>0</v>
      </c>
      <c r="CB841" s="72">
        <v>0</v>
      </c>
      <c r="CC841" s="72">
        <v>0</v>
      </c>
      <c r="CD841" s="72">
        <v>0</v>
      </c>
      <c r="CE841" s="72">
        <v>0</v>
      </c>
      <c r="CF841" s="72">
        <v>0</v>
      </c>
      <c r="CG841" s="72">
        <v>0</v>
      </c>
      <c r="CH841" s="72">
        <v>0</v>
      </c>
      <c r="CI841" s="72">
        <v>0</v>
      </c>
      <c r="CJ841" s="72">
        <v>0</v>
      </c>
      <c r="CK841" s="72">
        <v>0</v>
      </c>
      <c r="CL841" s="72">
        <v>0</v>
      </c>
      <c r="CM841" s="72">
        <v>0</v>
      </c>
      <c r="CN841" s="72">
        <v>0</v>
      </c>
      <c r="CO841" s="72">
        <v>0</v>
      </c>
      <c r="CP841" s="72">
        <v>0</v>
      </c>
      <c r="CQ841" s="72">
        <v>0</v>
      </c>
      <c r="CR841" s="72">
        <v>0</v>
      </c>
      <c r="CS841" s="72">
        <v>0</v>
      </c>
      <c r="CT841" s="72">
        <v>0</v>
      </c>
      <c r="CU841" s="72">
        <v>0</v>
      </c>
      <c r="CV841" s="72">
        <v>0</v>
      </c>
      <c r="CW841" s="72">
        <v>0</v>
      </c>
      <c r="CX841" s="72">
        <v>0</v>
      </c>
      <c r="CY841" s="72">
        <v>0</v>
      </c>
      <c r="CZ841" s="72">
        <v>0</v>
      </c>
      <c r="DA841" s="72">
        <v>0</v>
      </c>
      <c r="DB841" s="72">
        <v>0</v>
      </c>
      <c r="DC841" s="72">
        <v>0</v>
      </c>
      <c r="DD841" s="72">
        <v>0</v>
      </c>
      <c r="DE841" s="72">
        <v>0</v>
      </c>
      <c r="DF841" s="72">
        <v>0</v>
      </c>
      <c r="DG841" s="72">
        <v>0</v>
      </c>
      <c r="DH841" s="72">
        <v>0</v>
      </c>
      <c r="DI841" s="72">
        <v>0</v>
      </c>
      <c r="DJ841" s="72">
        <v>0</v>
      </c>
      <c r="DK841" s="72">
        <v>0</v>
      </c>
      <c r="DL841" s="72">
        <v>0</v>
      </c>
      <c r="DM841" s="72">
        <v>0</v>
      </c>
      <c r="DN841" s="72">
        <v>0</v>
      </c>
      <c r="DO841" s="72">
        <v>0</v>
      </c>
      <c r="DP841" s="72">
        <v>0</v>
      </c>
      <c r="DQ841" s="72">
        <v>0</v>
      </c>
      <c r="DR841" s="72">
        <v>0</v>
      </c>
      <c r="DS841" s="72">
        <v>0</v>
      </c>
      <c r="DT841" s="72">
        <v>0</v>
      </c>
      <c r="DU841" s="72">
        <v>0</v>
      </c>
      <c r="DV841" s="72">
        <v>0</v>
      </c>
      <c r="DW841" s="72">
        <v>0</v>
      </c>
      <c r="DX841" s="72">
        <v>0</v>
      </c>
      <c r="DY841" s="72">
        <v>0</v>
      </c>
      <c r="DZ841" s="72">
        <v>0</v>
      </c>
      <c r="EA841" s="72">
        <v>0</v>
      </c>
      <c r="EB841" s="72">
        <v>0</v>
      </c>
      <c r="EC841" s="72">
        <v>0</v>
      </c>
      <c r="ED841" s="72">
        <v>0</v>
      </c>
      <c r="EE841" s="72">
        <v>0</v>
      </c>
      <c r="EF841" s="72">
        <v>0</v>
      </c>
      <c r="EG841" s="72">
        <v>0</v>
      </c>
      <c r="EH841" s="72">
        <v>0</v>
      </c>
      <c r="EI841" s="72">
        <v>0</v>
      </c>
      <c r="EJ841" s="72">
        <v>0</v>
      </c>
      <c r="EK841" s="72">
        <v>0</v>
      </c>
      <c r="EL841" s="72">
        <v>0</v>
      </c>
    </row>
    <row r="842" spans="1:142" x14ac:dyDescent="0.35">
      <c r="A842" s="59">
        <f>Данные!A842</f>
        <v>6368</v>
      </c>
      <c r="B842" s="59">
        <f>Данные!B842</f>
        <v>2019</v>
      </c>
      <c r="C842" s="59" t="str">
        <f>Данные!C842</f>
        <v>компьютерных технологий и электронного обучения</v>
      </c>
      <c r="D842" s="59" t="str">
        <f>Данные!D842</f>
        <v>Шалденкова Анна Владимировна</v>
      </c>
      <c r="E842" s="59" t="str">
        <f>Данные!E842</f>
        <v>кандидат физ.-мат. наук</v>
      </c>
      <c r="F842" s="59" t="str">
        <f>Данные!F842</f>
        <v>доцент</v>
      </c>
      <c r="G842" s="59">
        <f>Данные!G842</f>
        <v>1</v>
      </c>
      <c r="H842" s="59" t="str">
        <f>Данные!H842</f>
        <v>2 курс (б) 2018 год/пост</v>
      </c>
      <c r="I842" s="59" t="str">
        <f>Данные!I842</f>
        <v>Модуль "Системное и прикладное программное обеспечение". Базы данных</v>
      </c>
      <c r="J842" s="59">
        <f>Данные!J842</f>
        <v>36</v>
      </c>
      <c r="K842" s="59">
        <f>Данные!K842</f>
        <v>0</v>
      </c>
      <c r="L842" s="59">
        <f>Данные!L842</f>
        <v>108</v>
      </c>
      <c r="M842" s="60">
        <f t="shared" si="117"/>
        <v>14.4</v>
      </c>
      <c r="N842" s="60">
        <f t="shared" ca="1" si="118"/>
        <v>14.870000000000001</v>
      </c>
      <c r="O842" s="60">
        <f t="shared" ca="1" si="119"/>
        <v>9.75</v>
      </c>
      <c r="P842" s="60">
        <f t="shared" ca="1" si="120"/>
        <v>9.75</v>
      </c>
      <c r="Q842" s="54">
        <f>Данные!Q842</f>
        <v>0</v>
      </c>
      <c r="R842" s="54">
        <f>Данные!R842</f>
        <v>0</v>
      </c>
      <c r="S842" s="54">
        <f>Данные!S842</f>
        <v>0</v>
      </c>
      <c r="T842" s="54">
        <f>Данные!T842</f>
        <v>0</v>
      </c>
      <c r="U842" s="54">
        <f>Данные!U842</f>
        <v>0</v>
      </c>
      <c r="V842" s="54">
        <f>Данные!V842</f>
        <v>0</v>
      </c>
      <c r="W842" s="54">
        <f ca="1">Данные!W842</f>
        <v>39</v>
      </c>
      <c r="X842" s="54" t="str">
        <f ca="1">Данные!X842</f>
        <v>2</v>
      </c>
      <c r="Y842" s="54" t="str">
        <f ca="1">Данные!Y842</f>
        <v>3</v>
      </c>
      <c r="Z842" s="54">
        <f>Данные!Z842</f>
        <v>0</v>
      </c>
      <c r="AA842" s="54">
        <f>Данные!AA842</f>
        <v>0</v>
      </c>
      <c r="AB842" s="101">
        <f t="shared" si="121"/>
        <v>800</v>
      </c>
      <c r="AC842" s="101" t="str">
        <f t="shared" si="122"/>
        <v>ИВТ (бак)</v>
      </c>
      <c r="AD842" s="101" t="str">
        <f t="shared" si="123"/>
        <v/>
      </c>
      <c r="AE842" s="102">
        <f t="shared" ca="1" si="124"/>
        <v>192.77</v>
      </c>
      <c r="AF842" s="103">
        <f t="shared" ca="1" si="125"/>
        <v>0.24096250000000002</v>
      </c>
      <c r="AG842" s="101"/>
      <c r="AH842" s="101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Q842" s="72">
        <v>0</v>
      </c>
      <c r="BR842" s="72">
        <v>0</v>
      </c>
      <c r="BS842" s="72">
        <v>0</v>
      </c>
      <c r="BT842" s="72">
        <v>0</v>
      </c>
      <c r="BU842" s="72">
        <v>0</v>
      </c>
      <c r="BV842" s="72">
        <v>0</v>
      </c>
      <c r="BW842" s="72">
        <v>0</v>
      </c>
      <c r="BX842" s="72">
        <v>0</v>
      </c>
      <c r="BY842" s="72">
        <v>0</v>
      </c>
      <c r="BZ842" s="72">
        <v>0</v>
      </c>
      <c r="CA842" s="72">
        <v>0</v>
      </c>
      <c r="CB842" s="72">
        <v>0</v>
      </c>
      <c r="CC842" s="72">
        <v>0</v>
      </c>
      <c r="CD842" s="72">
        <v>0</v>
      </c>
      <c r="CE842" s="72">
        <v>0</v>
      </c>
      <c r="CF842" s="72">
        <v>0</v>
      </c>
      <c r="CG842" s="72">
        <v>0</v>
      </c>
      <c r="CH842" s="72">
        <v>0</v>
      </c>
      <c r="CI842" s="72">
        <v>0</v>
      </c>
      <c r="CJ842" s="72">
        <v>0</v>
      </c>
      <c r="CK842" s="72">
        <v>0</v>
      </c>
      <c r="CL842" s="72">
        <v>0</v>
      </c>
      <c r="CM842" s="72">
        <v>0</v>
      </c>
      <c r="CN842" s="72">
        <v>0</v>
      </c>
      <c r="CO842" s="72">
        <v>0</v>
      </c>
      <c r="CP842" s="72">
        <v>0</v>
      </c>
      <c r="CQ842" s="72">
        <v>0</v>
      </c>
      <c r="CR842" s="72">
        <v>0</v>
      </c>
      <c r="CS842" s="72">
        <v>0</v>
      </c>
      <c r="CT842" s="72">
        <v>0</v>
      </c>
      <c r="CU842" s="72">
        <v>0</v>
      </c>
      <c r="CV842" s="72">
        <v>0</v>
      </c>
      <c r="CW842" s="72">
        <v>0</v>
      </c>
      <c r="CX842" s="72">
        <v>0</v>
      </c>
      <c r="CY842" s="72">
        <v>0</v>
      </c>
      <c r="CZ842" s="72">
        <v>0</v>
      </c>
      <c r="DA842" s="72">
        <v>0</v>
      </c>
      <c r="DB842" s="72">
        <v>0</v>
      </c>
      <c r="DC842" s="72">
        <v>0</v>
      </c>
      <c r="DD842" s="72">
        <v>0</v>
      </c>
      <c r="DE842" s="72">
        <v>0</v>
      </c>
      <c r="DF842" s="72">
        <v>0</v>
      </c>
      <c r="DG842" s="72">
        <v>0</v>
      </c>
      <c r="DH842" s="72">
        <v>0</v>
      </c>
      <c r="DI842" s="72">
        <v>0</v>
      </c>
      <c r="DJ842" s="72">
        <v>0</v>
      </c>
      <c r="DK842" s="72">
        <v>0</v>
      </c>
      <c r="DL842" s="72">
        <v>0</v>
      </c>
      <c r="DM842" s="72">
        <v>0</v>
      </c>
      <c r="DN842" s="72">
        <v>0</v>
      </c>
      <c r="DO842" s="72">
        <v>0</v>
      </c>
      <c r="DP842" s="72">
        <v>0</v>
      </c>
      <c r="DQ842" s="72">
        <v>0</v>
      </c>
      <c r="DR842" s="72">
        <v>0</v>
      </c>
      <c r="DS842" s="72">
        <v>0</v>
      </c>
      <c r="DT842" s="72">
        <v>0</v>
      </c>
      <c r="DU842" s="72">
        <v>0</v>
      </c>
      <c r="DV842" s="72">
        <v>0</v>
      </c>
      <c r="DW842" s="72">
        <v>0</v>
      </c>
      <c r="DX842" s="72">
        <v>0</v>
      </c>
      <c r="DY842" s="72">
        <v>0</v>
      </c>
      <c r="DZ842" s="72">
        <v>0</v>
      </c>
      <c r="EA842" s="72">
        <v>0</v>
      </c>
      <c r="EB842" s="72">
        <v>0</v>
      </c>
      <c r="EC842" s="72">
        <v>0</v>
      </c>
      <c r="ED842" s="72">
        <v>0</v>
      </c>
      <c r="EE842" s="72">
        <v>0</v>
      </c>
      <c r="EF842" s="72">
        <v>0</v>
      </c>
      <c r="EG842" s="72">
        <v>0</v>
      </c>
      <c r="EH842" s="72">
        <v>0</v>
      </c>
      <c r="EI842" s="72">
        <v>0</v>
      </c>
      <c r="EJ842" s="72">
        <v>0</v>
      </c>
      <c r="EK842" s="72">
        <v>0</v>
      </c>
      <c r="EL842" s="72">
        <v>0</v>
      </c>
    </row>
    <row r="843" spans="1:142" x14ac:dyDescent="0.35">
      <c r="A843" s="59">
        <f>Данные!A843</f>
        <v>6368</v>
      </c>
      <c r="B843" s="59">
        <f>Данные!B843</f>
        <v>2019</v>
      </c>
      <c r="C843" s="59" t="str">
        <f>Данные!C843</f>
        <v>современных европейских языков</v>
      </c>
      <c r="D843" s="59" t="str">
        <f>Данные!D843</f>
        <v>Кузнецова Надежда Леонидовна</v>
      </c>
      <c r="E843" s="59" t="str">
        <f>Данные!E843</f>
        <v>нет</v>
      </c>
      <c r="F843" s="59" t="str">
        <f>Данные!F843</f>
        <v>старший преподаватель</v>
      </c>
      <c r="G843" s="59">
        <f>Данные!G843</f>
        <v>0.75</v>
      </c>
      <c r="H843" s="59" t="str">
        <f>Данные!H843</f>
        <v>2 курс (б) 2018 год/пост</v>
      </c>
      <c r="I843" s="59" t="str">
        <f>Данные!I843</f>
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</c>
      <c r="J843" s="59">
        <f>Данные!J843</f>
        <v>0</v>
      </c>
      <c r="K843" s="59">
        <f>Данные!K843</f>
        <v>0</v>
      </c>
      <c r="L843" s="59">
        <f>Данные!L843</f>
        <v>36</v>
      </c>
      <c r="M843" s="60">
        <f t="shared" si="117"/>
        <v>3.6</v>
      </c>
      <c r="N843" s="60">
        <f t="shared" ca="1" si="118"/>
        <v>14.870000000000001</v>
      </c>
      <c r="O843" s="60">
        <f t="shared" ca="1" si="119"/>
        <v>9.75</v>
      </c>
      <c r="P843" s="60">
        <f t="shared" ca="1" si="120"/>
        <v>9.75</v>
      </c>
      <c r="Q843" s="54">
        <f>Данные!Q843</f>
        <v>0</v>
      </c>
      <c r="R843" s="54">
        <f>Данные!R843</f>
        <v>0</v>
      </c>
      <c r="S843" s="54">
        <f>Данные!S843</f>
        <v>0</v>
      </c>
      <c r="T843" s="54">
        <f>Данные!T843</f>
        <v>0</v>
      </c>
      <c r="U843" s="54">
        <f>Данные!U843</f>
        <v>0</v>
      </c>
      <c r="V843" s="54">
        <f>Данные!V843</f>
        <v>0</v>
      </c>
      <c r="W843" s="54">
        <f ca="1">Данные!W843</f>
        <v>39</v>
      </c>
      <c r="X843" s="54" t="str">
        <f ca="1">Данные!X843</f>
        <v>2</v>
      </c>
      <c r="Y843" s="54" t="str">
        <f ca="1">Данные!Y843</f>
        <v>3</v>
      </c>
      <c r="Z843" s="54">
        <f>Данные!Z843</f>
        <v>0</v>
      </c>
      <c r="AA843" s="54">
        <f>Данные!AA843</f>
        <v>0</v>
      </c>
      <c r="AB843" s="101">
        <f t="shared" si="121"/>
        <v>850</v>
      </c>
      <c r="AC843" s="101" t="str">
        <f t="shared" si="122"/>
        <v>ИВТ (бак)</v>
      </c>
      <c r="AD843" s="101" t="str">
        <f t="shared" si="123"/>
        <v/>
      </c>
      <c r="AE843" s="102">
        <f t="shared" ca="1" si="124"/>
        <v>73.97</v>
      </c>
      <c r="AF843" s="103">
        <f t="shared" ca="1" si="125"/>
        <v>8.7023529411764708E-2</v>
      </c>
      <c r="AG843" s="101"/>
      <c r="AH843" s="101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Q843" s="72">
        <v>0</v>
      </c>
      <c r="BR843" s="72">
        <v>0</v>
      </c>
      <c r="BS843" s="72">
        <v>0</v>
      </c>
      <c r="BT843" s="72">
        <v>0</v>
      </c>
      <c r="BU843" s="72">
        <v>0</v>
      </c>
      <c r="BV843" s="72">
        <v>0</v>
      </c>
      <c r="BW843" s="72">
        <v>0</v>
      </c>
      <c r="BX843" s="72">
        <v>0</v>
      </c>
      <c r="BY843" s="72">
        <v>0</v>
      </c>
      <c r="BZ843" s="72">
        <v>0</v>
      </c>
      <c r="CA843" s="72">
        <v>0</v>
      </c>
      <c r="CB843" s="72">
        <v>0</v>
      </c>
      <c r="CC843" s="72">
        <v>0</v>
      </c>
      <c r="CD843" s="72">
        <v>0</v>
      </c>
      <c r="CE843" s="72">
        <v>0</v>
      </c>
      <c r="CF843" s="72">
        <v>0</v>
      </c>
      <c r="CG843" s="72">
        <v>0</v>
      </c>
      <c r="CH843" s="72">
        <v>0</v>
      </c>
      <c r="CI843" s="72">
        <v>0</v>
      </c>
      <c r="CJ843" s="72">
        <v>0</v>
      </c>
      <c r="CK843" s="72">
        <v>0</v>
      </c>
      <c r="CL843" s="72">
        <v>0</v>
      </c>
      <c r="CM843" s="72">
        <v>0</v>
      </c>
      <c r="CN843" s="72">
        <v>0</v>
      </c>
      <c r="CO843" s="72">
        <v>0</v>
      </c>
      <c r="CP843" s="72">
        <v>0</v>
      </c>
      <c r="CQ843" s="72">
        <v>0</v>
      </c>
      <c r="CR843" s="72">
        <v>0</v>
      </c>
      <c r="CS843" s="72">
        <v>0</v>
      </c>
      <c r="CT843" s="72">
        <v>0</v>
      </c>
      <c r="CU843" s="72">
        <v>0</v>
      </c>
      <c r="CV843" s="72">
        <v>0</v>
      </c>
      <c r="CW843" s="72">
        <v>0</v>
      </c>
      <c r="CX843" s="72">
        <v>0</v>
      </c>
      <c r="CY843" s="72">
        <v>0</v>
      </c>
      <c r="CZ843" s="72">
        <v>0</v>
      </c>
      <c r="DA843" s="72">
        <v>0</v>
      </c>
      <c r="DB843" s="72">
        <v>0</v>
      </c>
      <c r="DC843" s="72">
        <v>0</v>
      </c>
      <c r="DD843" s="72">
        <v>0</v>
      </c>
      <c r="DE843" s="72">
        <v>0</v>
      </c>
      <c r="DF843" s="72">
        <v>0</v>
      </c>
      <c r="DG843" s="72">
        <v>0</v>
      </c>
      <c r="DH843" s="72">
        <v>0</v>
      </c>
      <c r="DI843" s="72">
        <v>0</v>
      </c>
      <c r="DJ843" s="72">
        <v>0</v>
      </c>
      <c r="DK843" s="72">
        <v>0</v>
      </c>
      <c r="DL843" s="72">
        <v>0</v>
      </c>
      <c r="DM843" s="72">
        <v>0</v>
      </c>
      <c r="DN843" s="72">
        <v>0</v>
      </c>
      <c r="DO843" s="72">
        <v>0</v>
      </c>
      <c r="DP843" s="72">
        <v>0</v>
      </c>
      <c r="DQ843" s="72">
        <v>0</v>
      </c>
      <c r="DR843" s="72">
        <v>0</v>
      </c>
      <c r="DS843" s="72">
        <v>0</v>
      </c>
      <c r="DT843" s="72">
        <v>0</v>
      </c>
      <c r="DU843" s="72">
        <v>0</v>
      </c>
      <c r="DV843" s="72">
        <v>0</v>
      </c>
      <c r="DW843" s="72">
        <v>0</v>
      </c>
      <c r="DX843" s="72">
        <v>0</v>
      </c>
      <c r="DY843" s="72">
        <v>0</v>
      </c>
      <c r="DZ843" s="72">
        <v>0</v>
      </c>
      <c r="EA843" s="72">
        <v>0</v>
      </c>
      <c r="EB843" s="72">
        <v>0</v>
      </c>
      <c r="EC843" s="72">
        <v>0</v>
      </c>
      <c r="ED843" s="72">
        <v>0</v>
      </c>
      <c r="EE843" s="72">
        <v>0</v>
      </c>
      <c r="EF843" s="72">
        <v>0</v>
      </c>
      <c r="EG843" s="72">
        <v>0</v>
      </c>
      <c r="EH843" s="72">
        <v>0</v>
      </c>
      <c r="EI843" s="72">
        <v>0</v>
      </c>
      <c r="EJ843" s="72">
        <v>0</v>
      </c>
      <c r="EK843" s="72">
        <v>0</v>
      </c>
      <c r="EL843" s="72">
        <v>0</v>
      </c>
    </row>
    <row r="844" spans="1:142" x14ac:dyDescent="0.35">
      <c r="A844" s="59">
        <f>Данные!A844</f>
        <v>6368</v>
      </c>
      <c r="B844" s="59">
        <f>Данные!B844</f>
        <v>2019</v>
      </c>
      <c r="C844" s="59" t="str">
        <f>Данные!C844</f>
        <v>современных европейских языков</v>
      </c>
      <c r="D844" s="59" t="str">
        <f>Данные!D844</f>
        <v>Кузнецова Надежда Леонидовна</v>
      </c>
      <c r="E844" s="59" t="str">
        <f>Данные!E844</f>
        <v>нет</v>
      </c>
      <c r="F844" s="59" t="str">
        <f>Данные!F844</f>
        <v>старший преподаватель</v>
      </c>
      <c r="G844" s="59">
        <f>Данные!G844</f>
        <v>0.75</v>
      </c>
      <c r="H844" s="59" t="str">
        <f>Данные!H844</f>
        <v>2 курс (б) 2018 год/пост</v>
      </c>
      <c r="I844" s="59" t="str">
        <f>Данные!I844</f>
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</c>
      <c r="J844" s="59">
        <f>Данные!J844</f>
        <v>0</v>
      </c>
      <c r="K844" s="59">
        <f>Данные!K844</f>
        <v>0</v>
      </c>
      <c r="L844" s="59">
        <f>Данные!L844</f>
        <v>0</v>
      </c>
      <c r="M844" s="60">
        <f t="shared" si="117"/>
        <v>0</v>
      </c>
      <c r="N844" s="60">
        <f t="shared" ca="1" si="118"/>
        <v>14.870000000000001</v>
      </c>
      <c r="O844" s="60">
        <f t="shared" ca="1" si="119"/>
        <v>9.75</v>
      </c>
      <c r="P844" s="60">
        <f t="shared" ca="1" si="120"/>
        <v>9.75</v>
      </c>
      <c r="Q844" s="54">
        <f>Данные!Q844</f>
        <v>0</v>
      </c>
      <c r="R844" s="54">
        <f>Данные!R844</f>
        <v>0</v>
      </c>
      <c r="S844" s="54">
        <f>Данные!S844</f>
        <v>0</v>
      </c>
      <c r="T844" s="54">
        <f>Данные!T844</f>
        <v>0</v>
      </c>
      <c r="U844" s="54">
        <f>Данные!U844</f>
        <v>0</v>
      </c>
      <c r="V844" s="54">
        <f>Данные!V844</f>
        <v>0</v>
      </c>
      <c r="W844" s="54">
        <f ca="1">Данные!W844</f>
        <v>39</v>
      </c>
      <c r="X844" s="54" t="str">
        <f ca="1">Данные!X844</f>
        <v>2</v>
      </c>
      <c r="Y844" s="54" t="str">
        <f ca="1">Данные!Y844</f>
        <v>3</v>
      </c>
      <c r="Z844" s="54">
        <f>Данные!Z844</f>
        <v>0</v>
      </c>
      <c r="AA844" s="54">
        <f>Данные!AA844</f>
        <v>0</v>
      </c>
      <c r="AB844" s="101">
        <f t="shared" si="121"/>
        <v>850</v>
      </c>
      <c r="AC844" s="101" t="str">
        <f t="shared" si="122"/>
        <v>ИВТ (бак)</v>
      </c>
      <c r="AD844" s="101" t="str">
        <f t="shared" si="123"/>
        <v/>
      </c>
      <c r="AE844" s="102">
        <f t="shared" ca="1" si="124"/>
        <v>34.370000000000005</v>
      </c>
      <c r="AF844" s="103">
        <f t="shared" ca="1" si="125"/>
        <v>4.0435294117647062E-2</v>
      </c>
      <c r="AG844" s="101"/>
      <c r="AH844" s="101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Q844" s="72">
        <v>0</v>
      </c>
      <c r="BR844" s="72">
        <v>0</v>
      </c>
      <c r="BS844" s="72">
        <v>0</v>
      </c>
      <c r="BT844" s="72">
        <v>0</v>
      </c>
      <c r="BU844" s="72">
        <v>0</v>
      </c>
      <c r="BV844" s="72">
        <v>0</v>
      </c>
      <c r="BW844" s="72">
        <v>0</v>
      </c>
      <c r="BX844" s="72">
        <v>0</v>
      </c>
      <c r="BY844" s="72">
        <v>0</v>
      </c>
      <c r="BZ844" s="72">
        <v>0</v>
      </c>
      <c r="CA844" s="72">
        <v>0</v>
      </c>
      <c r="CB844" s="72">
        <v>0</v>
      </c>
      <c r="CC844" s="72">
        <v>0</v>
      </c>
      <c r="CD844" s="72">
        <v>0</v>
      </c>
      <c r="CE844" s="72">
        <v>0</v>
      </c>
      <c r="CF844" s="72">
        <v>0</v>
      </c>
      <c r="CG844" s="72">
        <v>0</v>
      </c>
      <c r="CH844" s="72">
        <v>0</v>
      </c>
      <c r="CI844" s="72">
        <v>0</v>
      </c>
      <c r="CJ844" s="72">
        <v>0</v>
      </c>
      <c r="CK844" s="72">
        <v>0</v>
      </c>
      <c r="CL844" s="72">
        <v>0</v>
      </c>
      <c r="CM844" s="72">
        <v>0</v>
      </c>
      <c r="CN844" s="72">
        <v>0</v>
      </c>
      <c r="CO844" s="72">
        <v>0</v>
      </c>
      <c r="CP844" s="72">
        <v>0</v>
      </c>
      <c r="CQ844" s="72">
        <v>0</v>
      </c>
      <c r="CR844" s="72">
        <v>0</v>
      </c>
      <c r="CS844" s="72">
        <v>0</v>
      </c>
      <c r="CT844" s="72">
        <v>0</v>
      </c>
      <c r="CU844" s="72">
        <v>0</v>
      </c>
      <c r="CV844" s="72">
        <v>0</v>
      </c>
      <c r="CW844" s="72">
        <v>0</v>
      </c>
      <c r="CX844" s="72">
        <v>0</v>
      </c>
      <c r="CY844" s="72">
        <v>0</v>
      </c>
      <c r="CZ844" s="72">
        <v>0</v>
      </c>
      <c r="DA844" s="72">
        <v>0</v>
      </c>
      <c r="DB844" s="72">
        <v>0</v>
      </c>
      <c r="DC844" s="72">
        <v>0</v>
      </c>
      <c r="DD844" s="72">
        <v>0</v>
      </c>
      <c r="DE844" s="72">
        <v>0</v>
      </c>
      <c r="DF844" s="72">
        <v>0</v>
      </c>
      <c r="DG844" s="72">
        <v>0</v>
      </c>
      <c r="DH844" s="72">
        <v>0</v>
      </c>
      <c r="DI844" s="72">
        <v>0</v>
      </c>
      <c r="DJ844" s="72">
        <v>0</v>
      </c>
      <c r="DK844" s="72">
        <v>0</v>
      </c>
      <c r="DL844" s="72">
        <v>0</v>
      </c>
      <c r="DM844" s="72">
        <v>0</v>
      </c>
      <c r="DN844" s="72">
        <v>0</v>
      </c>
      <c r="DO844" s="72">
        <v>0</v>
      </c>
      <c r="DP844" s="72">
        <v>0</v>
      </c>
      <c r="DQ844" s="72">
        <v>0</v>
      </c>
      <c r="DR844" s="72">
        <v>0</v>
      </c>
      <c r="DS844" s="72">
        <v>0</v>
      </c>
      <c r="DT844" s="72">
        <v>0</v>
      </c>
      <c r="DU844" s="72">
        <v>0</v>
      </c>
      <c r="DV844" s="72">
        <v>0</v>
      </c>
      <c r="DW844" s="72">
        <v>0</v>
      </c>
      <c r="DX844" s="72">
        <v>0</v>
      </c>
      <c r="DY844" s="72">
        <v>0</v>
      </c>
      <c r="DZ844" s="72">
        <v>0</v>
      </c>
      <c r="EA844" s="72">
        <v>0</v>
      </c>
      <c r="EB844" s="72">
        <v>0</v>
      </c>
      <c r="EC844" s="72">
        <v>0</v>
      </c>
      <c r="ED844" s="72">
        <v>0</v>
      </c>
      <c r="EE844" s="72">
        <v>0</v>
      </c>
      <c r="EF844" s="72">
        <v>0</v>
      </c>
      <c r="EG844" s="72">
        <v>0</v>
      </c>
      <c r="EH844" s="72">
        <v>0</v>
      </c>
      <c r="EI844" s="72">
        <v>0</v>
      </c>
      <c r="EJ844" s="72">
        <v>0</v>
      </c>
      <c r="EK844" s="72">
        <v>0</v>
      </c>
      <c r="EL844" s="72">
        <v>0</v>
      </c>
    </row>
    <row r="845" spans="1:142" x14ac:dyDescent="0.35">
      <c r="A845" s="59">
        <f>Данные!A845</f>
        <v>6368</v>
      </c>
      <c r="B845" s="59">
        <f>Данные!B845</f>
        <v>2019</v>
      </c>
      <c r="C845" s="59" t="str">
        <f>Данные!C845</f>
        <v>современных европейских языков</v>
      </c>
      <c r="D845" s="59" t="str">
        <f>Данные!D845</f>
        <v>Порязь Надежда Вадимовна</v>
      </c>
      <c r="E845" s="59" t="str">
        <f>Данные!E845</f>
        <v>нет</v>
      </c>
      <c r="F845" s="59" t="str">
        <f>Данные!F845</f>
        <v>старший преподаватель</v>
      </c>
      <c r="G845" s="59">
        <f>Данные!G845</f>
        <v>0.5</v>
      </c>
      <c r="H845" s="59" t="str">
        <f>Данные!H845</f>
        <v>2 курс (б) 2018 год/пост</v>
      </c>
      <c r="I845" s="59" t="str">
        <f>Данные!I845</f>
        <v>Модуль "Коммуникативный". Деловое общение</v>
      </c>
      <c r="J845" s="59">
        <f>Данные!J845</f>
        <v>18</v>
      </c>
      <c r="K845" s="59">
        <f>Данные!K845</f>
        <v>36</v>
      </c>
      <c r="L845" s="59">
        <f>Данные!L845</f>
        <v>0</v>
      </c>
      <c r="M845" s="60">
        <f t="shared" si="117"/>
        <v>5.4</v>
      </c>
      <c r="N845" s="60">
        <f t="shared" ca="1" si="118"/>
        <v>14.870000000000001</v>
      </c>
      <c r="O845" s="60">
        <f t="shared" ca="1" si="119"/>
        <v>9.75</v>
      </c>
      <c r="P845" s="60">
        <f t="shared" ca="1" si="120"/>
        <v>9.75</v>
      </c>
      <c r="Q845" s="54">
        <f>Данные!Q845</f>
        <v>0</v>
      </c>
      <c r="R845" s="54">
        <f>Данные!R845</f>
        <v>0</v>
      </c>
      <c r="S845" s="54">
        <f>Данные!S845</f>
        <v>0</v>
      </c>
      <c r="T845" s="54">
        <f>Данные!T845</f>
        <v>0</v>
      </c>
      <c r="U845" s="54">
        <f>Данные!U845</f>
        <v>0</v>
      </c>
      <c r="V845" s="54">
        <f>Данные!V845</f>
        <v>0</v>
      </c>
      <c r="W845" s="54">
        <f ca="1">Данные!W845</f>
        <v>39</v>
      </c>
      <c r="X845" s="54" t="str">
        <f ca="1">Данные!X845</f>
        <v>2</v>
      </c>
      <c r="Y845" s="54" t="str">
        <f ca="1">Данные!Y845</f>
        <v>3</v>
      </c>
      <c r="Z845" s="54">
        <f>Данные!Z845</f>
        <v>0</v>
      </c>
      <c r="AA845" s="54" t="str">
        <f>Данные!AA845</f>
        <v>осн</v>
      </c>
      <c r="AB845" s="101">
        <f t="shared" si="121"/>
        <v>850</v>
      </c>
      <c r="AC845" s="101" t="str">
        <f t="shared" si="122"/>
        <v>ИВТ (бак)</v>
      </c>
      <c r="AD845" s="101" t="str">
        <f t="shared" si="123"/>
        <v/>
      </c>
      <c r="AE845" s="102">
        <f t="shared" ca="1" si="124"/>
        <v>93.77</v>
      </c>
      <c r="AF845" s="103">
        <f t="shared" ca="1" si="125"/>
        <v>0.11031764705882352</v>
      </c>
      <c r="AG845" s="101"/>
      <c r="AH845" s="101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Q845" s="72">
        <v>0</v>
      </c>
      <c r="BR845" s="72">
        <v>0</v>
      </c>
      <c r="BS845" s="72">
        <v>0</v>
      </c>
      <c r="BT845" s="72">
        <v>0</v>
      </c>
      <c r="BU845" s="72">
        <v>0</v>
      </c>
      <c r="BV845" s="72">
        <v>0</v>
      </c>
      <c r="BW845" s="72">
        <v>0</v>
      </c>
      <c r="BX845" s="72">
        <v>0</v>
      </c>
      <c r="BY845" s="72">
        <v>0</v>
      </c>
      <c r="BZ845" s="72">
        <v>0</v>
      </c>
      <c r="CA845" s="72">
        <v>0</v>
      </c>
      <c r="CB845" s="72">
        <v>0</v>
      </c>
      <c r="CC845" s="72">
        <v>0</v>
      </c>
      <c r="CD845" s="72">
        <v>0</v>
      </c>
      <c r="CE845" s="72">
        <v>0</v>
      </c>
      <c r="CF845" s="72">
        <v>0</v>
      </c>
      <c r="CG845" s="72">
        <v>0</v>
      </c>
      <c r="CH845" s="72">
        <v>0</v>
      </c>
      <c r="CI845" s="72">
        <v>0</v>
      </c>
      <c r="CJ845" s="72">
        <v>0</v>
      </c>
      <c r="CK845" s="72">
        <v>0</v>
      </c>
      <c r="CL845" s="72">
        <v>0</v>
      </c>
      <c r="CM845" s="72">
        <v>0</v>
      </c>
      <c r="CN845" s="72">
        <v>0</v>
      </c>
      <c r="CO845" s="72">
        <v>0</v>
      </c>
      <c r="CP845" s="72">
        <v>0</v>
      </c>
      <c r="CQ845" s="72">
        <v>0</v>
      </c>
      <c r="CR845" s="72">
        <v>0</v>
      </c>
      <c r="CS845" s="72">
        <v>0</v>
      </c>
      <c r="CT845" s="72">
        <v>0</v>
      </c>
      <c r="CU845" s="72">
        <v>0</v>
      </c>
      <c r="CV845" s="72">
        <v>0</v>
      </c>
      <c r="CW845" s="72">
        <v>0</v>
      </c>
      <c r="CX845" s="72">
        <v>0</v>
      </c>
      <c r="CY845" s="72">
        <v>0</v>
      </c>
      <c r="CZ845" s="72">
        <v>0</v>
      </c>
      <c r="DA845" s="72">
        <v>0</v>
      </c>
      <c r="DB845" s="72">
        <v>0</v>
      </c>
      <c r="DC845" s="72">
        <v>0</v>
      </c>
      <c r="DD845" s="72">
        <v>0</v>
      </c>
      <c r="DE845" s="72">
        <v>0</v>
      </c>
      <c r="DF845" s="72">
        <v>0</v>
      </c>
      <c r="DG845" s="72">
        <v>0</v>
      </c>
      <c r="DH845" s="72">
        <v>0</v>
      </c>
      <c r="DI845" s="72">
        <v>0</v>
      </c>
      <c r="DJ845" s="72">
        <v>0</v>
      </c>
      <c r="DK845" s="72">
        <v>0</v>
      </c>
      <c r="DL845" s="72">
        <v>0</v>
      </c>
      <c r="DM845" s="72">
        <v>0</v>
      </c>
      <c r="DN845" s="72">
        <v>0</v>
      </c>
      <c r="DO845" s="72">
        <v>0</v>
      </c>
      <c r="DP845" s="72">
        <v>0</v>
      </c>
      <c r="DQ845" s="72">
        <v>0</v>
      </c>
      <c r="DR845" s="72">
        <v>0</v>
      </c>
      <c r="DS845" s="72">
        <v>0</v>
      </c>
      <c r="DT845" s="72">
        <v>0</v>
      </c>
      <c r="DU845" s="72">
        <v>0</v>
      </c>
      <c r="DV845" s="72">
        <v>0</v>
      </c>
      <c r="DW845" s="72">
        <v>0</v>
      </c>
      <c r="DX845" s="72">
        <v>0</v>
      </c>
      <c r="DY845" s="72">
        <v>0</v>
      </c>
      <c r="DZ845" s="72">
        <v>0</v>
      </c>
      <c r="EA845" s="72">
        <v>0</v>
      </c>
      <c r="EB845" s="72">
        <v>0</v>
      </c>
      <c r="EC845" s="72">
        <v>0</v>
      </c>
      <c r="ED845" s="72">
        <v>0</v>
      </c>
      <c r="EE845" s="72">
        <v>0</v>
      </c>
      <c r="EF845" s="72">
        <v>0</v>
      </c>
      <c r="EG845" s="72">
        <v>0</v>
      </c>
      <c r="EH845" s="72">
        <v>0</v>
      </c>
      <c r="EI845" s="72">
        <v>0</v>
      </c>
      <c r="EJ845" s="72">
        <v>0</v>
      </c>
      <c r="EK845" s="72">
        <v>0</v>
      </c>
      <c r="EL845" s="72">
        <v>0</v>
      </c>
    </row>
    <row r="846" spans="1:142" x14ac:dyDescent="0.35">
      <c r="A846" s="59">
        <f>Данные!A846</f>
        <v>6368</v>
      </c>
      <c r="B846" s="59">
        <f>Данные!B846</f>
        <v>2019</v>
      </c>
      <c r="C846" s="59" t="str">
        <f>Данные!C846</f>
        <v>современных европейских языков</v>
      </c>
      <c r="D846" s="59" t="str">
        <f>Данные!D846</f>
        <v>Хахалина Марина Сергеевна</v>
      </c>
      <c r="E846" s="59" t="str">
        <f>Данные!E846</f>
        <v>кандидат химических наук</v>
      </c>
      <c r="F846" s="59" t="str">
        <f>Данные!F846</f>
        <v>старший преподаватель</v>
      </c>
      <c r="G846" s="59">
        <f>Данные!G846</f>
        <v>1</v>
      </c>
      <c r="H846" s="59" t="str">
        <f>Данные!H846</f>
        <v>2 курс (б) 2018 год/пост</v>
      </c>
      <c r="I846" s="59" t="str">
        <f>Данные!I846</f>
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</c>
      <c r="J846" s="59">
        <f>Данные!J846</f>
        <v>0</v>
      </c>
      <c r="K846" s="59">
        <f>Данные!K846</f>
        <v>0</v>
      </c>
      <c r="L846" s="59">
        <f>Данные!L846</f>
        <v>72</v>
      </c>
      <c r="M846" s="60">
        <f t="shared" si="117"/>
        <v>7.2</v>
      </c>
      <c r="N846" s="60">
        <f t="shared" ca="1" si="118"/>
        <v>14.870000000000001</v>
      </c>
      <c r="O846" s="60">
        <f t="shared" ca="1" si="119"/>
        <v>9.75</v>
      </c>
      <c r="P846" s="60">
        <f t="shared" ca="1" si="120"/>
        <v>9.75</v>
      </c>
      <c r="Q846" s="54">
        <f>Данные!Q846</f>
        <v>0</v>
      </c>
      <c r="R846" s="54">
        <f>Данные!R846</f>
        <v>0</v>
      </c>
      <c r="S846" s="54">
        <f>Данные!S846</f>
        <v>0</v>
      </c>
      <c r="T846" s="54">
        <f>Данные!T846</f>
        <v>0</v>
      </c>
      <c r="U846" s="54">
        <f>Данные!U846</f>
        <v>0</v>
      </c>
      <c r="V846" s="54">
        <f>Данные!V846</f>
        <v>0</v>
      </c>
      <c r="W846" s="54">
        <f ca="1">Данные!W846</f>
        <v>39</v>
      </c>
      <c r="X846" s="54" t="str">
        <f ca="1">Данные!X846</f>
        <v>2</v>
      </c>
      <c r="Y846" s="54" t="str">
        <f ca="1">Данные!Y846</f>
        <v>3</v>
      </c>
      <c r="Z846" s="54">
        <f>Данные!Z846</f>
        <v>0</v>
      </c>
      <c r="AA846" s="54" t="str">
        <f>Данные!AA846</f>
        <v>осн</v>
      </c>
      <c r="AB846" s="101">
        <f t="shared" si="121"/>
        <v>850</v>
      </c>
      <c r="AC846" s="101" t="str">
        <f t="shared" si="122"/>
        <v>ИВТ (бак)</v>
      </c>
      <c r="AD846" s="101" t="str">
        <f t="shared" si="123"/>
        <v/>
      </c>
      <c r="AE846" s="102">
        <f t="shared" ca="1" si="124"/>
        <v>113.57000000000001</v>
      </c>
      <c r="AF846" s="103">
        <f t="shared" ca="1" si="125"/>
        <v>0.13361176470588237</v>
      </c>
      <c r="AG846" s="101"/>
      <c r="AH846" s="101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Q846" s="72">
        <v>0</v>
      </c>
      <c r="BR846" s="72">
        <v>0</v>
      </c>
      <c r="BS846" s="72">
        <v>0</v>
      </c>
      <c r="BT846" s="72">
        <v>0</v>
      </c>
      <c r="BU846" s="72">
        <v>0</v>
      </c>
      <c r="BV846" s="72">
        <v>0</v>
      </c>
      <c r="BW846" s="72">
        <v>0</v>
      </c>
      <c r="BX846" s="72">
        <v>0</v>
      </c>
      <c r="BY846" s="72">
        <v>0</v>
      </c>
      <c r="BZ846" s="72">
        <v>0</v>
      </c>
      <c r="CA846" s="72">
        <v>0</v>
      </c>
      <c r="CB846" s="72">
        <v>0</v>
      </c>
      <c r="CC846" s="72">
        <v>0</v>
      </c>
      <c r="CD846" s="72">
        <v>0</v>
      </c>
      <c r="CE846" s="72">
        <v>0</v>
      </c>
      <c r="CF846" s="72">
        <v>0</v>
      </c>
      <c r="CG846" s="72">
        <v>0</v>
      </c>
      <c r="CH846" s="72">
        <v>0</v>
      </c>
      <c r="CI846" s="72">
        <v>0</v>
      </c>
      <c r="CJ846" s="72">
        <v>0</v>
      </c>
      <c r="CK846" s="72">
        <v>0</v>
      </c>
      <c r="CL846" s="72">
        <v>0</v>
      </c>
      <c r="CM846" s="72">
        <v>0</v>
      </c>
      <c r="CN846" s="72">
        <v>0</v>
      </c>
      <c r="CO846" s="72">
        <v>0</v>
      </c>
      <c r="CP846" s="72">
        <v>0</v>
      </c>
      <c r="CQ846" s="72">
        <v>0</v>
      </c>
      <c r="CR846" s="72">
        <v>0</v>
      </c>
      <c r="CS846" s="72">
        <v>0</v>
      </c>
      <c r="CT846" s="72">
        <v>0</v>
      </c>
      <c r="CU846" s="72">
        <v>0</v>
      </c>
      <c r="CV846" s="72">
        <v>0</v>
      </c>
      <c r="CW846" s="72">
        <v>0</v>
      </c>
      <c r="CX846" s="72">
        <v>0</v>
      </c>
      <c r="CY846" s="72">
        <v>0</v>
      </c>
      <c r="CZ846" s="72">
        <v>0</v>
      </c>
      <c r="DA846" s="72">
        <v>0</v>
      </c>
      <c r="DB846" s="72">
        <v>0</v>
      </c>
      <c r="DC846" s="72">
        <v>0</v>
      </c>
      <c r="DD846" s="72">
        <v>0</v>
      </c>
      <c r="DE846" s="72">
        <v>0</v>
      </c>
      <c r="DF846" s="72">
        <v>0</v>
      </c>
      <c r="DG846" s="72">
        <v>0</v>
      </c>
      <c r="DH846" s="72">
        <v>0</v>
      </c>
      <c r="DI846" s="72">
        <v>0</v>
      </c>
      <c r="DJ846" s="72">
        <v>0</v>
      </c>
      <c r="DK846" s="72">
        <v>0</v>
      </c>
      <c r="DL846" s="72">
        <v>0</v>
      </c>
      <c r="DM846" s="72">
        <v>0</v>
      </c>
      <c r="DN846" s="72">
        <v>0</v>
      </c>
      <c r="DO846" s="72">
        <v>0</v>
      </c>
      <c r="DP846" s="72">
        <v>0</v>
      </c>
      <c r="DQ846" s="72">
        <v>0</v>
      </c>
      <c r="DR846" s="72">
        <v>0</v>
      </c>
      <c r="DS846" s="72">
        <v>0</v>
      </c>
      <c r="DT846" s="72">
        <v>0</v>
      </c>
      <c r="DU846" s="72">
        <v>0</v>
      </c>
      <c r="DV846" s="72">
        <v>0</v>
      </c>
      <c r="DW846" s="72">
        <v>0</v>
      </c>
      <c r="DX846" s="72">
        <v>0</v>
      </c>
      <c r="DY846" s="72">
        <v>0</v>
      </c>
      <c r="DZ846" s="72">
        <v>0</v>
      </c>
      <c r="EA846" s="72">
        <v>0</v>
      </c>
      <c r="EB846" s="72">
        <v>0</v>
      </c>
      <c r="EC846" s="72">
        <v>0</v>
      </c>
      <c r="ED846" s="72">
        <v>0</v>
      </c>
      <c r="EE846" s="72">
        <v>0</v>
      </c>
      <c r="EF846" s="72">
        <v>0</v>
      </c>
      <c r="EG846" s="72">
        <v>0</v>
      </c>
      <c r="EH846" s="72">
        <v>0</v>
      </c>
      <c r="EI846" s="72">
        <v>0</v>
      </c>
      <c r="EJ846" s="72">
        <v>0</v>
      </c>
      <c r="EK846" s="72">
        <v>0</v>
      </c>
      <c r="EL846" s="72">
        <v>0</v>
      </c>
    </row>
    <row r="847" spans="1:142" x14ac:dyDescent="0.35">
      <c r="A847" s="59">
        <f>Данные!A847</f>
        <v>6368</v>
      </c>
      <c r="B847" s="59">
        <f>Данные!B847</f>
        <v>2019</v>
      </c>
      <c r="C847" s="59" t="str">
        <f>Данные!C847</f>
        <v>современных европейских языков</v>
      </c>
      <c r="D847" s="59" t="str">
        <f>Данные!D847</f>
        <v>Хахалина Марина Сергеевна</v>
      </c>
      <c r="E847" s="59" t="str">
        <f>Данные!E847</f>
        <v>кандидат химических наук</v>
      </c>
      <c r="F847" s="59" t="str">
        <f>Данные!F847</f>
        <v>старший преподаватель</v>
      </c>
      <c r="G847" s="59">
        <f>Данные!G847</f>
        <v>1</v>
      </c>
      <c r="H847" s="59" t="str">
        <f>Данные!H847</f>
        <v>2 курс (б) 2018 год/пост</v>
      </c>
      <c r="I847" s="59" t="str">
        <f>Данные!I847</f>
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</c>
      <c r="J847" s="59">
        <f>Данные!J847</f>
        <v>0</v>
      </c>
      <c r="K847" s="59">
        <f>Данные!K847</f>
        <v>0</v>
      </c>
      <c r="L847" s="59">
        <f>Данные!L847</f>
        <v>54</v>
      </c>
      <c r="M847" s="60">
        <f t="shared" si="117"/>
        <v>5.4</v>
      </c>
      <c r="N847" s="60">
        <f t="shared" ca="1" si="118"/>
        <v>14.870000000000001</v>
      </c>
      <c r="O847" s="60">
        <f t="shared" ca="1" si="119"/>
        <v>9.75</v>
      </c>
      <c r="P847" s="60">
        <f t="shared" ca="1" si="120"/>
        <v>9.75</v>
      </c>
      <c r="Q847" s="54">
        <f>Данные!Q847</f>
        <v>0</v>
      </c>
      <c r="R847" s="54">
        <f>Данные!R847</f>
        <v>0</v>
      </c>
      <c r="S847" s="54">
        <f>Данные!S847</f>
        <v>0</v>
      </c>
      <c r="T847" s="54">
        <f>Данные!T847</f>
        <v>0</v>
      </c>
      <c r="U847" s="54">
        <f>Данные!U847</f>
        <v>0</v>
      </c>
      <c r="V847" s="54">
        <f>Данные!V847</f>
        <v>0</v>
      </c>
      <c r="W847" s="54">
        <f ca="1">Данные!W847</f>
        <v>39</v>
      </c>
      <c r="X847" s="54" t="str">
        <f ca="1">Данные!X847</f>
        <v>2</v>
      </c>
      <c r="Y847" s="54" t="str">
        <f ca="1">Данные!Y847</f>
        <v>3</v>
      </c>
      <c r="Z847" s="54">
        <f>Данные!Z847</f>
        <v>0</v>
      </c>
      <c r="AA847" s="54" t="str">
        <f>Данные!AA847</f>
        <v>осн</v>
      </c>
      <c r="AB847" s="101">
        <f t="shared" si="121"/>
        <v>850</v>
      </c>
      <c r="AC847" s="101" t="str">
        <f t="shared" si="122"/>
        <v>ИВТ (бак)</v>
      </c>
      <c r="AD847" s="101" t="str">
        <f t="shared" si="123"/>
        <v/>
      </c>
      <c r="AE847" s="102">
        <f t="shared" ca="1" si="124"/>
        <v>93.77</v>
      </c>
      <c r="AF847" s="103">
        <f t="shared" ca="1" si="125"/>
        <v>0.11031764705882352</v>
      </c>
      <c r="AG847" s="101"/>
      <c r="AH847" s="101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Q847" s="72">
        <v>0</v>
      </c>
      <c r="BR847" s="72">
        <v>0</v>
      </c>
      <c r="BS847" s="72">
        <v>0</v>
      </c>
      <c r="BT847" s="72">
        <v>0</v>
      </c>
      <c r="BU847" s="72">
        <v>0</v>
      </c>
      <c r="BV847" s="72">
        <v>0</v>
      </c>
      <c r="BW847" s="72">
        <v>0</v>
      </c>
      <c r="BX847" s="72">
        <v>0</v>
      </c>
      <c r="BY847" s="72">
        <v>0</v>
      </c>
      <c r="BZ847" s="72">
        <v>0</v>
      </c>
      <c r="CA847" s="72">
        <v>0</v>
      </c>
      <c r="CB847" s="72">
        <v>0</v>
      </c>
      <c r="CC847" s="72">
        <v>0</v>
      </c>
      <c r="CD847" s="72">
        <v>0</v>
      </c>
      <c r="CE847" s="72">
        <v>0</v>
      </c>
      <c r="CF847" s="72">
        <v>0</v>
      </c>
      <c r="CG847" s="72">
        <v>0</v>
      </c>
      <c r="CH847" s="72">
        <v>0</v>
      </c>
      <c r="CI847" s="72">
        <v>0</v>
      </c>
      <c r="CJ847" s="72">
        <v>0</v>
      </c>
      <c r="CK847" s="72">
        <v>0</v>
      </c>
      <c r="CL847" s="72">
        <v>0</v>
      </c>
      <c r="CM847" s="72">
        <v>0</v>
      </c>
      <c r="CN847" s="72">
        <v>0</v>
      </c>
      <c r="CO847" s="72">
        <v>0</v>
      </c>
      <c r="CP847" s="72">
        <v>0</v>
      </c>
      <c r="CQ847" s="72">
        <v>0</v>
      </c>
      <c r="CR847" s="72">
        <v>0</v>
      </c>
      <c r="CS847" s="72">
        <v>0</v>
      </c>
      <c r="CT847" s="72">
        <v>0</v>
      </c>
      <c r="CU847" s="72">
        <v>0</v>
      </c>
      <c r="CV847" s="72">
        <v>0</v>
      </c>
      <c r="CW847" s="72">
        <v>0</v>
      </c>
      <c r="CX847" s="72">
        <v>0</v>
      </c>
      <c r="CY847" s="72">
        <v>0</v>
      </c>
      <c r="CZ847" s="72">
        <v>0</v>
      </c>
      <c r="DA847" s="72">
        <v>0</v>
      </c>
      <c r="DB847" s="72">
        <v>0</v>
      </c>
      <c r="DC847" s="72">
        <v>0</v>
      </c>
      <c r="DD847" s="72">
        <v>0</v>
      </c>
      <c r="DE847" s="72">
        <v>0</v>
      </c>
      <c r="DF847" s="72">
        <v>0</v>
      </c>
      <c r="DG847" s="72">
        <v>0</v>
      </c>
      <c r="DH847" s="72">
        <v>0</v>
      </c>
      <c r="DI847" s="72">
        <v>0</v>
      </c>
      <c r="DJ847" s="72">
        <v>0</v>
      </c>
      <c r="DK847" s="72">
        <v>0</v>
      </c>
      <c r="DL847" s="72">
        <v>0</v>
      </c>
      <c r="DM847" s="72">
        <v>0</v>
      </c>
      <c r="DN847" s="72">
        <v>0</v>
      </c>
      <c r="DO847" s="72">
        <v>0</v>
      </c>
      <c r="DP847" s="72">
        <v>0</v>
      </c>
      <c r="DQ847" s="72">
        <v>0</v>
      </c>
      <c r="DR847" s="72">
        <v>0</v>
      </c>
      <c r="DS847" s="72">
        <v>0</v>
      </c>
      <c r="DT847" s="72">
        <v>0</v>
      </c>
      <c r="DU847" s="72">
        <v>0</v>
      </c>
      <c r="DV847" s="72">
        <v>0</v>
      </c>
      <c r="DW847" s="72">
        <v>0</v>
      </c>
      <c r="DX847" s="72">
        <v>0</v>
      </c>
      <c r="DY847" s="72">
        <v>0</v>
      </c>
      <c r="DZ847" s="72">
        <v>0</v>
      </c>
      <c r="EA847" s="72">
        <v>0</v>
      </c>
      <c r="EB847" s="72">
        <v>0</v>
      </c>
      <c r="EC847" s="72">
        <v>0</v>
      </c>
      <c r="ED847" s="72">
        <v>0</v>
      </c>
      <c r="EE847" s="72">
        <v>0</v>
      </c>
      <c r="EF847" s="72">
        <v>0</v>
      </c>
      <c r="EG847" s="72">
        <v>0</v>
      </c>
      <c r="EH847" s="72">
        <v>0</v>
      </c>
      <c r="EI847" s="72">
        <v>0</v>
      </c>
      <c r="EJ847" s="72">
        <v>0</v>
      </c>
      <c r="EK847" s="72">
        <v>0</v>
      </c>
      <c r="EL847" s="72">
        <v>0</v>
      </c>
    </row>
    <row r="848" spans="1:142" x14ac:dyDescent="0.35">
      <c r="A848" s="59">
        <f>Данные!A848</f>
        <v>6368</v>
      </c>
      <c r="B848" s="59">
        <f>Данные!B848</f>
        <v>2019</v>
      </c>
      <c r="C848" s="59" t="str">
        <f>Данные!C848</f>
        <v>физической электроники</v>
      </c>
      <c r="D848" s="59" t="str">
        <f>Данные!D848</f>
        <v>Лужков Александр Альбертович</v>
      </c>
      <c r="E848" s="59" t="str">
        <f>Данные!E848</f>
        <v>кандидат физ.-мат. наук</v>
      </c>
      <c r="F848" s="59" t="str">
        <f>Данные!F848</f>
        <v>доцент</v>
      </c>
      <c r="G848" s="59">
        <f>Данные!G848</f>
        <v>1</v>
      </c>
      <c r="H848" s="59" t="str">
        <f>Данные!H848</f>
        <v>2 курс (б) 2018 год/пост</v>
      </c>
      <c r="I848" s="59" t="str">
        <f>Данные!I848</f>
        <v>Модуль "Естественно-математический". Физика</v>
      </c>
      <c r="J848" s="59">
        <f>Данные!J848</f>
        <v>0</v>
      </c>
      <c r="K848" s="59">
        <f>Данные!K848</f>
        <v>0</v>
      </c>
      <c r="L848" s="59">
        <f>Данные!L848</f>
        <v>144</v>
      </c>
      <c r="M848" s="60">
        <f t="shared" si="117"/>
        <v>14.4</v>
      </c>
      <c r="N848" s="60">
        <f t="shared" ca="1" si="118"/>
        <v>14.870000000000001</v>
      </c>
      <c r="O848" s="60">
        <f t="shared" ca="1" si="119"/>
        <v>9.75</v>
      </c>
      <c r="P848" s="60">
        <f t="shared" ca="1" si="120"/>
        <v>9.75</v>
      </c>
      <c r="Q848" s="54">
        <f>Данные!Q848</f>
        <v>0</v>
      </c>
      <c r="R848" s="54">
        <f>Данные!R848</f>
        <v>0</v>
      </c>
      <c r="S848" s="54">
        <f>Данные!S848</f>
        <v>0</v>
      </c>
      <c r="T848" s="54">
        <f>Данные!T848</f>
        <v>0</v>
      </c>
      <c r="U848" s="54">
        <f>Данные!U848</f>
        <v>0</v>
      </c>
      <c r="V848" s="54">
        <f>Данные!V848</f>
        <v>0</v>
      </c>
      <c r="W848" s="54">
        <f ca="1">Данные!W848</f>
        <v>39</v>
      </c>
      <c r="X848" s="54" t="str">
        <f ca="1">Данные!X848</f>
        <v>2</v>
      </c>
      <c r="Y848" s="54" t="str">
        <f ca="1">Данные!Y848</f>
        <v>3</v>
      </c>
      <c r="Z848" s="54">
        <f>Данные!Z848</f>
        <v>0</v>
      </c>
      <c r="AA848" s="54" t="str">
        <f>Данные!AA848</f>
        <v>доп</v>
      </c>
      <c r="AB848" s="101">
        <f t="shared" si="121"/>
        <v>800</v>
      </c>
      <c r="AC848" s="101" t="str">
        <f t="shared" si="122"/>
        <v>ИВТ (бак)</v>
      </c>
      <c r="AD848" s="101" t="str">
        <f t="shared" si="123"/>
        <v/>
      </c>
      <c r="AE848" s="102">
        <f t="shared" ca="1" si="124"/>
        <v>192.77</v>
      </c>
      <c r="AF848" s="103">
        <f t="shared" ca="1" si="125"/>
        <v>0.24096250000000002</v>
      </c>
      <c r="AG848" s="101"/>
      <c r="AH848" s="101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Q848" s="72">
        <v>0</v>
      </c>
      <c r="BR848" s="72">
        <v>0</v>
      </c>
      <c r="BS848" s="72">
        <v>0</v>
      </c>
      <c r="BT848" s="72">
        <v>0</v>
      </c>
      <c r="BU848" s="72">
        <v>0</v>
      </c>
      <c r="BV848" s="72">
        <v>0</v>
      </c>
      <c r="BW848" s="72">
        <v>0</v>
      </c>
      <c r="BX848" s="72">
        <v>0</v>
      </c>
      <c r="BY848" s="72">
        <v>0</v>
      </c>
      <c r="BZ848" s="72">
        <v>0</v>
      </c>
      <c r="CA848" s="72">
        <v>0</v>
      </c>
      <c r="CB848" s="72">
        <v>0</v>
      </c>
      <c r="CC848" s="72">
        <v>0</v>
      </c>
      <c r="CD848" s="72">
        <v>0</v>
      </c>
      <c r="CE848" s="72">
        <v>0</v>
      </c>
      <c r="CF848" s="72">
        <v>0</v>
      </c>
      <c r="CG848" s="72">
        <v>0</v>
      </c>
      <c r="CH848" s="72">
        <v>0</v>
      </c>
      <c r="CI848" s="72">
        <v>0</v>
      </c>
      <c r="CJ848" s="72">
        <v>0</v>
      </c>
      <c r="CK848" s="72">
        <v>0</v>
      </c>
      <c r="CL848" s="72">
        <v>0</v>
      </c>
      <c r="CM848" s="72">
        <v>0</v>
      </c>
      <c r="CN848" s="72">
        <v>0</v>
      </c>
      <c r="CO848" s="72">
        <v>0</v>
      </c>
      <c r="CP848" s="72">
        <v>0</v>
      </c>
      <c r="CQ848" s="72">
        <v>0</v>
      </c>
      <c r="CR848" s="72">
        <v>0</v>
      </c>
      <c r="CS848" s="72">
        <v>0</v>
      </c>
      <c r="CT848" s="72">
        <v>0</v>
      </c>
      <c r="CU848" s="72">
        <v>0</v>
      </c>
      <c r="CV848" s="72">
        <v>0</v>
      </c>
      <c r="CW848" s="72">
        <v>0</v>
      </c>
      <c r="CX848" s="72">
        <v>0</v>
      </c>
      <c r="CY848" s="72">
        <v>0</v>
      </c>
      <c r="CZ848" s="72">
        <v>0</v>
      </c>
      <c r="DA848" s="72">
        <v>0</v>
      </c>
      <c r="DB848" s="72">
        <v>0</v>
      </c>
      <c r="DC848" s="72">
        <v>0</v>
      </c>
      <c r="DD848" s="72">
        <v>0</v>
      </c>
      <c r="DE848" s="72">
        <v>0</v>
      </c>
      <c r="DF848" s="72">
        <v>0</v>
      </c>
      <c r="DG848" s="72">
        <v>0</v>
      </c>
      <c r="DH848" s="72">
        <v>0</v>
      </c>
      <c r="DI848" s="72">
        <v>0</v>
      </c>
      <c r="DJ848" s="72">
        <v>0</v>
      </c>
      <c r="DK848" s="72">
        <v>0</v>
      </c>
      <c r="DL848" s="72">
        <v>0</v>
      </c>
      <c r="DM848" s="72">
        <v>0</v>
      </c>
      <c r="DN848" s="72">
        <v>0</v>
      </c>
      <c r="DO848" s="72">
        <v>0</v>
      </c>
      <c r="DP848" s="72">
        <v>0</v>
      </c>
      <c r="DQ848" s="72">
        <v>0</v>
      </c>
      <c r="DR848" s="72">
        <v>0</v>
      </c>
      <c r="DS848" s="72">
        <v>0</v>
      </c>
      <c r="DT848" s="72">
        <v>0</v>
      </c>
      <c r="DU848" s="72">
        <v>0</v>
      </c>
      <c r="DV848" s="72">
        <v>0</v>
      </c>
      <c r="DW848" s="72">
        <v>0</v>
      </c>
      <c r="DX848" s="72">
        <v>0</v>
      </c>
      <c r="DY848" s="72">
        <v>0</v>
      </c>
      <c r="DZ848" s="72">
        <v>0</v>
      </c>
      <c r="EA848" s="72">
        <v>0</v>
      </c>
      <c r="EB848" s="72">
        <v>0</v>
      </c>
      <c r="EC848" s="72">
        <v>0</v>
      </c>
      <c r="ED848" s="72">
        <v>0</v>
      </c>
      <c r="EE848" s="72">
        <v>0</v>
      </c>
      <c r="EF848" s="72">
        <v>0</v>
      </c>
      <c r="EG848" s="72">
        <v>0</v>
      </c>
      <c r="EH848" s="72">
        <v>0</v>
      </c>
      <c r="EI848" s="72">
        <v>0</v>
      </c>
      <c r="EJ848" s="72">
        <v>0</v>
      </c>
      <c r="EK848" s="72">
        <v>0</v>
      </c>
      <c r="EL848" s="72">
        <v>0</v>
      </c>
    </row>
    <row r="849" spans="1:142" x14ac:dyDescent="0.35">
      <c r="A849" s="59">
        <f>Данные!A849</f>
        <v>6368</v>
      </c>
      <c r="B849" s="59">
        <f>Данные!B849</f>
        <v>2019</v>
      </c>
      <c r="C849" s="59" t="str">
        <f>Данные!C849</f>
        <v>физической электроники</v>
      </c>
      <c r="D849" s="59" t="str">
        <f>Данные!D849</f>
        <v>Серегин Павел Павлович</v>
      </c>
      <c r="E849" s="59" t="str">
        <f>Данные!E849</f>
        <v>доктор физ.-мат. наук</v>
      </c>
      <c r="F849" s="59" t="str">
        <f>Данные!F849</f>
        <v>профессор</v>
      </c>
      <c r="G849" s="59">
        <f>Данные!G849</f>
        <v>1</v>
      </c>
      <c r="H849" s="59" t="str">
        <f>Данные!H849</f>
        <v>2 курс (б) 2018 год/пост</v>
      </c>
      <c r="I849" s="59" t="str">
        <f>Данные!I849</f>
        <v>Модуль "Естественно-математический". Физика</v>
      </c>
      <c r="J849" s="59">
        <f>Данные!J849</f>
        <v>18</v>
      </c>
      <c r="K849" s="59">
        <f>Данные!K849</f>
        <v>0</v>
      </c>
      <c r="L849" s="59">
        <f>Данные!L849</f>
        <v>0</v>
      </c>
      <c r="M849" s="60">
        <f t="shared" si="117"/>
        <v>1.8</v>
      </c>
      <c r="N849" s="60">
        <f t="shared" ca="1" si="118"/>
        <v>14.870000000000001</v>
      </c>
      <c r="O849" s="60">
        <f t="shared" ca="1" si="119"/>
        <v>9.75</v>
      </c>
      <c r="P849" s="60">
        <f t="shared" ca="1" si="120"/>
        <v>9.75</v>
      </c>
      <c r="Q849" s="54">
        <f>Данные!Q849</f>
        <v>0</v>
      </c>
      <c r="R849" s="54">
        <f>Данные!R849</f>
        <v>0</v>
      </c>
      <c r="S849" s="54">
        <f>Данные!S849</f>
        <v>0</v>
      </c>
      <c r="T849" s="54">
        <f>Данные!T849</f>
        <v>0</v>
      </c>
      <c r="U849" s="54">
        <f>Данные!U849</f>
        <v>0</v>
      </c>
      <c r="V849" s="54">
        <f>Данные!V849</f>
        <v>0</v>
      </c>
      <c r="W849" s="54">
        <f ca="1">Данные!W849</f>
        <v>39</v>
      </c>
      <c r="X849" s="54" t="str">
        <f ca="1">Данные!X849</f>
        <v>2</v>
      </c>
      <c r="Y849" s="54" t="str">
        <f ca="1">Данные!Y849</f>
        <v>3</v>
      </c>
      <c r="Z849" s="54">
        <f>Данные!Z849</f>
        <v>0</v>
      </c>
      <c r="AA849" s="54" t="str">
        <f>Данные!AA849</f>
        <v>осн</v>
      </c>
      <c r="AB849" s="101">
        <f t="shared" si="121"/>
        <v>750</v>
      </c>
      <c r="AC849" s="101" t="str">
        <f t="shared" si="122"/>
        <v>ИВТ (бак)</v>
      </c>
      <c r="AD849" s="101" t="str">
        <f t="shared" si="123"/>
        <v/>
      </c>
      <c r="AE849" s="102">
        <f t="shared" ca="1" si="124"/>
        <v>54.17</v>
      </c>
      <c r="AF849" s="103">
        <f t="shared" ca="1" si="125"/>
        <v>7.2226666666666675E-2</v>
      </c>
      <c r="AG849" s="101"/>
      <c r="AH849" s="101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Q849" s="72">
        <v>0</v>
      </c>
      <c r="BR849" s="72">
        <v>0</v>
      </c>
      <c r="BS849" s="72">
        <v>0</v>
      </c>
      <c r="BT849" s="72">
        <v>0</v>
      </c>
      <c r="BU849" s="72">
        <v>0</v>
      </c>
      <c r="BV849" s="72">
        <v>0</v>
      </c>
      <c r="BW849" s="72">
        <v>0</v>
      </c>
      <c r="BX849" s="72">
        <v>0</v>
      </c>
      <c r="BY849" s="72">
        <v>0</v>
      </c>
      <c r="BZ849" s="72">
        <v>0</v>
      </c>
      <c r="CA849" s="72">
        <v>0</v>
      </c>
      <c r="CB849" s="72">
        <v>0</v>
      </c>
      <c r="CC849" s="72">
        <v>0</v>
      </c>
      <c r="CD849" s="72">
        <v>0</v>
      </c>
      <c r="CE849" s="72">
        <v>0</v>
      </c>
      <c r="CF849" s="72">
        <v>0</v>
      </c>
      <c r="CG849" s="72">
        <v>0</v>
      </c>
      <c r="CH849" s="72">
        <v>0</v>
      </c>
      <c r="CI849" s="72">
        <v>0</v>
      </c>
      <c r="CJ849" s="72">
        <v>0</v>
      </c>
      <c r="CK849" s="72">
        <v>0</v>
      </c>
      <c r="CL849" s="72">
        <v>0</v>
      </c>
      <c r="CM849" s="72">
        <v>0</v>
      </c>
      <c r="CN849" s="72">
        <v>0</v>
      </c>
      <c r="CO849" s="72">
        <v>0</v>
      </c>
      <c r="CP849" s="72">
        <v>0</v>
      </c>
      <c r="CQ849" s="72">
        <v>0</v>
      </c>
      <c r="CR849" s="72">
        <v>0</v>
      </c>
      <c r="CS849" s="72">
        <v>0</v>
      </c>
      <c r="CT849" s="72">
        <v>0</v>
      </c>
      <c r="CU849" s="72">
        <v>0</v>
      </c>
      <c r="CV849" s="72">
        <v>0</v>
      </c>
      <c r="CW849" s="72">
        <v>0</v>
      </c>
      <c r="CX849" s="72">
        <v>0</v>
      </c>
      <c r="CY849" s="72">
        <v>0</v>
      </c>
      <c r="CZ849" s="72">
        <v>0</v>
      </c>
      <c r="DA849" s="72">
        <v>0</v>
      </c>
      <c r="DB849" s="72">
        <v>0</v>
      </c>
      <c r="DC849" s="72">
        <v>0</v>
      </c>
      <c r="DD849" s="72">
        <v>0</v>
      </c>
      <c r="DE849" s="72">
        <v>0</v>
      </c>
      <c r="DF849" s="72">
        <v>0</v>
      </c>
      <c r="DG849" s="72">
        <v>0</v>
      </c>
      <c r="DH849" s="72">
        <v>0</v>
      </c>
      <c r="DI849" s="72">
        <v>0</v>
      </c>
      <c r="DJ849" s="72">
        <v>0</v>
      </c>
      <c r="DK849" s="72">
        <v>0</v>
      </c>
      <c r="DL849" s="72">
        <v>0</v>
      </c>
      <c r="DM849" s="72">
        <v>0</v>
      </c>
      <c r="DN849" s="72">
        <v>0</v>
      </c>
      <c r="DO849" s="72">
        <v>0</v>
      </c>
      <c r="DP849" s="72">
        <v>0</v>
      </c>
      <c r="DQ849" s="72">
        <v>0</v>
      </c>
      <c r="DR849" s="72">
        <v>0</v>
      </c>
      <c r="DS849" s="72">
        <v>0</v>
      </c>
      <c r="DT849" s="72">
        <v>0</v>
      </c>
      <c r="DU849" s="72">
        <v>0</v>
      </c>
      <c r="DV849" s="72">
        <v>0</v>
      </c>
      <c r="DW849" s="72">
        <v>0</v>
      </c>
      <c r="DX849" s="72">
        <v>0</v>
      </c>
      <c r="DY849" s="72">
        <v>0</v>
      </c>
      <c r="DZ849" s="72">
        <v>0</v>
      </c>
      <c r="EA849" s="72">
        <v>0</v>
      </c>
      <c r="EB849" s="72">
        <v>0</v>
      </c>
      <c r="EC849" s="72">
        <v>0</v>
      </c>
      <c r="ED849" s="72">
        <v>0</v>
      </c>
      <c r="EE849" s="72">
        <v>0</v>
      </c>
      <c r="EF849" s="72">
        <v>0</v>
      </c>
      <c r="EG849" s="72">
        <v>0</v>
      </c>
      <c r="EH849" s="72">
        <v>0</v>
      </c>
      <c r="EI849" s="72">
        <v>0</v>
      </c>
      <c r="EJ849" s="72">
        <v>0</v>
      </c>
      <c r="EK849" s="72">
        <v>0</v>
      </c>
      <c r="EL849" s="72">
        <v>0</v>
      </c>
    </row>
    <row r="850" spans="1:142" x14ac:dyDescent="0.35">
      <c r="A850" s="59">
        <f>Данные!A850</f>
        <v>6368</v>
      </c>
      <c r="B850" s="59">
        <f>Данные!B850</f>
        <v>2021</v>
      </c>
      <c r="C850" s="59" t="str">
        <f>Данные!C850</f>
        <v>компьютерных технологий и электронного обучения</v>
      </c>
      <c r="D850" s="59" t="str">
        <f>Данные!D850</f>
        <v>Атаян Ануш Михайловна</v>
      </c>
      <c r="E850" s="59" t="str">
        <f>Данные!E850</f>
        <v>кандидат педагогических наук</v>
      </c>
      <c r="F850" s="59" t="str">
        <f>Данные!F850</f>
        <v>доцент</v>
      </c>
      <c r="G850" s="59">
        <f>Данные!G850</f>
        <v>1</v>
      </c>
      <c r="H850" s="59" t="str">
        <f>Данные!H850</f>
        <v>4 курс 2018 год/пост</v>
      </c>
      <c r="I850" s="59" t="str">
        <f>Данные!I850</f>
        <v>Модуль "Информационные технологии в управлении IT-компании". IT-рекрутмент</v>
      </c>
      <c r="J850" s="59">
        <f>Данные!J850</f>
        <v>18</v>
      </c>
      <c r="K850" s="59">
        <f>Данные!K850</f>
        <v>0</v>
      </c>
      <c r="L850" s="59">
        <f>Данные!L850</f>
        <v>54</v>
      </c>
      <c r="M850" s="60">
        <f t="shared" si="117"/>
        <v>7.2</v>
      </c>
      <c r="N850" s="60">
        <f t="shared" ca="1" si="118"/>
        <v>14.870000000000001</v>
      </c>
      <c r="O850" s="60">
        <f t="shared" ca="1" si="119"/>
        <v>9.75</v>
      </c>
      <c r="P850" s="60">
        <f t="shared" ca="1" si="120"/>
        <v>9.75</v>
      </c>
      <c r="Q850" s="54">
        <f>Данные!Q850</f>
        <v>0</v>
      </c>
      <c r="R850" s="54">
        <f>Данные!R850</f>
        <v>0</v>
      </c>
      <c r="S850" s="54">
        <f>Данные!S850</f>
        <v>0</v>
      </c>
      <c r="T850" s="54">
        <f>Данные!T850</f>
        <v>0</v>
      </c>
      <c r="U850" s="54">
        <f>Данные!U850</f>
        <v>0</v>
      </c>
      <c r="V850" s="54">
        <f>Данные!V850</f>
        <v>0</v>
      </c>
      <c r="W850" s="54">
        <f ca="1">Данные!W850</f>
        <v>39</v>
      </c>
      <c r="X850" s="54" t="str">
        <f ca="1">Данные!X850</f>
        <v>2</v>
      </c>
      <c r="Y850" s="54" t="str">
        <f ca="1">Данные!Y850</f>
        <v>3</v>
      </c>
      <c r="Z850" s="54">
        <f>Данные!Z850</f>
        <v>0</v>
      </c>
      <c r="AA850" s="54" t="str">
        <f>Данные!AA850</f>
        <v>осн</v>
      </c>
      <c r="AB850" s="101">
        <f t="shared" si="121"/>
        <v>800</v>
      </c>
      <c r="AC850" s="101" t="str">
        <f t="shared" si="122"/>
        <v>ИВТ (бак)</v>
      </c>
      <c r="AD850" s="101" t="str">
        <f t="shared" si="123"/>
        <v/>
      </c>
      <c r="AE850" s="102">
        <f t="shared" ca="1" si="124"/>
        <v>113.57000000000001</v>
      </c>
      <c r="AF850" s="103">
        <f t="shared" ca="1" si="125"/>
        <v>0.14196250000000002</v>
      </c>
      <c r="AG850" s="101"/>
      <c r="AH850" s="101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Q850" s="72">
        <v>0</v>
      </c>
      <c r="BR850" s="72">
        <v>0</v>
      </c>
      <c r="BS850" s="72">
        <v>0</v>
      </c>
      <c r="BT850" s="72">
        <v>0</v>
      </c>
      <c r="BU850" s="72">
        <v>0</v>
      </c>
      <c r="BV850" s="72">
        <v>0</v>
      </c>
      <c r="BW850" s="72">
        <v>0</v>
      </c>
      <c r="BX850" s="72">
        <v>0</v>
      </c>
      <c r="BY850" s="72">
        <v>0</v>
      </c>
      <c r="BZ850" s="72">
        <v>0</v>
      </c>
      <c r="CA850" s="72">
        <v>0</v>
      </c>
      <c r="CB850" s="72">
        <v>0</v>
      </c>
      <c r="CC850" s="72">
        <v>0</v>
      </c>
      <c r="CD850" s="72">
        <v>0</v>
      </c>
      <c r="CE850" s="72">
        <v>0</v>
      </c>
      <c r="CF850" s="72">
        <v>0</v>
      </c>
      <c r="CG850" s="72">
        <v>0</v>
      </c>
      <c r="CH850" s="72">
        <v>0</v>
      </c>
      <c r="CI850" s="72">
        <v>0</v>
      </c>
      <c r="CJ850" s="72">
        <v>0</v>
      </c>
      <c r="CK850" s="72">
        <v>0</v>
      </c>
      <c r="CL850" s="72">
        <v>0</v>
      </c>
      <c r="CM850" s="72">
        <v>0</v>
      </c>
      <c r="CN850" s="72">
        <v>0</v>
      </c>
      <c r="CO850" s="72">
        <v>0</v>
      </c>
      <c r="CP850" s="72">
        <v>0</v>
      </c>
      <c r="CQ850" s="72">
        <v>0</v>
      </c>
      <c r="CR850" s="72">
        <v>0</v>
      </c>
      <c r="CS850" s="72">
        <v>0</v>
      </c>
      <c r="CT850" s="72">
        <v>0</v>
      </c>
      <c r="CU850" s="72">
        <v>0</v>
      </c>
      <c r="CV850" s="72">
        <v>0</v>
      </c>
      <c r="CW850" s="72">
        <v>0</v>
      </c>
      <c r="CX850" s="72">
        <v>0</v>
      </c>
      <c r="CY850" s="72">
        <v>0</v>
      </c>
      <c r="CZ850" s="72">
        <v>0</v>
      </c>
      <c r="DA850" s="72">
        <v>0</v>
      </c>
      <c r="DB850" s="72">
        <v>0</v>
      </c>
      <c r="DC850" s="72">
        <v>0</v>
      </c>
      <c r="DD850" s="72">
        <v>0</v>
      </c>
      <c r="DE850" s="72">
        <v>0</v>
      </c>
      <c r="DF850" s="72">
        <v>0</v>
      </c>
      <c r="DG850" s="72">
        <v>0</v>
      </c>
      <c r="DH850" s="72">
        <v>0</v>
      </c>
      <c r="DI850" s="72">
        <v>0</v>
      </c>
      <c r="DJ850" s="72">
        <v>0</v>
      </c>
      <c r="DK850" s="72">
        <v>0</v>
      </c>
      <c r="DL850" s="72">
        <v>0</v>
      </c>
      <c r="DM850" s="72">
        <v>0</v>
      </c>
      <c r="DN850" s="72">
        <v>0</v>
      </c>
      <c r="DO850" s="72">
        <v>0</v>
      </c>
      <c r="DP850" s="72">
        <v>0</v>
      </c>
      <c r="DQ850" s="72">
        <v>0</v>
      </c>
      <c r="DR850" s="72">
        <v>0</v>
      </c>
      <c r="DS850" s="72">
        <v>0</v>
      </c>
      <c r="DT850" s="72">
        <v>0</v>
      </c>
      <c r="DU850" s="72">
        <v>0</v>
      </c>
      <c r="DV850" s="72">
        <v>0</v>
      </c>
      <c r="DW850" s="72">
        <v>0</v>
      </c>
      <c r="DX850" s="72">
        <v>0</v>
      </c>
      <c r="DY850" s="72">
        <v>0</v>
      </c>
      <c r="DZ850" s="72">
        <v>0</v>
      </c>
      <c r="EA850" s="72">
        <v>0</v>
      </c>
      <c r="EB850" s="72">
        <v>0</v>
      </c>
      <c r="EC850" s="72">
        <v>0</v>
      </c>
      <c r="ED850" s="72">
        <v>0</v>
      </c>
      <c r="EE850" s="72">
        <v>0</v>
      </c>
      <c r="EF850" s="72">
        <v>0</v>
      </c>
      <c r="EG850" s="72">
        <v>0</v>
      </c>
      <c r="EH850" s="72">
        <v>0</v>
      </c>
      <c r="EI850" s="72">
        <v>0</v>
      </c>
      <c r="EJ850" s="72">
        <v>0</v>
      </c>
      <c r="EK850" s="72">
        <v>0</v>
      </c>
      <c r="EL850" s="72">
        <v>0</v>
      </c>
    </row>
    <row r="851" spans="1:142" x14ac:dyDescent="0.35">
      <c r="A851" s="59">
        <f>Данные!A851</f>
        <v>6368</v>
      </c>
      <c r="B851" s="59">
        <f>Данные!B851</f>
        <v>2021</v>
      </c>
      <c r="C851" s="59" t="str">
        <f>Данные!C851</f>
        <v>геологии и геоэкологии</v>
      </c>
      <c r="D851" s="59" t="str">
        <f>Данные!D851</f>
        <v>Любимов Александр Владимирович</v>
      </c>
      <c r="E851" s="59" t="str">
        <f>Данные!E851</f>
        <v>доктор сельскохоз. наук</v>
      </c>
      <c r="F851" s="59" t="str">
        <f>Данные!F851</f>
        <v>профессор</v>
      </c>
      <c r="G851" s="59">
        <f>Данные!G851</f>
        <v>1</v>
      </c>
      <c r="H851" s="59" t="str">
        <f>Данные!H851</f>
        <v>4 курс 2018 год/пост</v>
      </c>
      <c r="I851" s="59" t="str">
        <f>Данные!I851</f>
        <v>Модуль "Информационные технологии и системы". Геоинформационные системы</v>
      </c>
      <c r="J851" s="59">
        <f>Данные!J851</f>
        <v>18</v>
      </c>
      <c r="K851" s="59">
        <f>Данные!K851</f>
        <v>0</v>
      </c>
      <c r="L851" s="59">
        <f>Данные!L851</f>
        <v>54</v>
      </c>
      <c r="M851" s="60">
        <f t="shared" si="117"/>
        <v>7.2</v>
      </c>
      <c r="N851" s="60">
        <f t="shared" ca="1" si="118"/>
        <v>14.870000000000001</v>
      </c>
      <c r="O851" s="60">
        <f t="shared" ca="1" si="119"/>
        <v>9.75</v>
      </c>
      <c r="P851" s="60">
        <f t="shared" ca="1" si="120"/>
        <v>9.75</v>
      </c>
      <c r="Q851" s="54">
        <f>Данные!Q851</f>
        <v>0</v>
      </c>
      <c r="R851" s="54">
        <f>Данные!R851</f>
        <v>0</v>
      </c>
      <c r="S851" s="54">
        <f>Данные!S851</f>
        <v>0</v>
      </c>
      <c r="T851" s="54">
        <f>Данные!T851</f>
        <v>0</v>
      </c>
      <c r="U851" s="54">
        <f>Данные!U851</f>
        <v>0</v>
      </c>
      <c r="V851" s="54">
        <f>Данные!V851</f>
        <v>0</v>
      </c>
      <c r="W851" s="54">
        <f ca="1">Данные!W851</f>
        <v>39</v>
      </c>
      <c r="X851" s="54" t="str">
        <f ca="1">Данные!X851</f>
        <v>2</v>
      </c>
      <c r="Y851" s="54" t="str">
        <f ca="1">Данные!Y851</f>
        <v>3</v>
      </c>
      <c r="Z851" s="54">
        <f>Данные!Z851</f>
        <v>0</v>
      </c>
      <c r="AA851" s="54" t="str">
        <f>Данные!AA851</f>
        <v>доп</v>
      </c>
      <c r="AB851" s="101">
        <f t="shared" si="121"/>
        <v>750</v>
      </c>
      <c r="AC851" s="101" t="str">
        <f t="shared" si="122"/>
        <v>ИВТ (бак)</v>
      </c>
      <c r="AD851" s="101" t="str">
        <f t="shared" si="123"/>
        <v/>
      </c>
      <c r="AE851" s="102">
        <f t="shared" ca="1" si="124"/>
        <v>113.57000000000001</v>
      </c>
      <c r="AF851" s="103">
        <f t="shared" ca="1" si="125"/>
        <v>0.15142666666666668</v>
      </c>
      <c r="AG851" s="101"/>
      <c r="AH851" s="10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Q851" s="72">
        <v>0</v>
      </c>
      <c r="BR851" s="72">
        <v>0</v>
      </c>
      <c r="BS851" s="72">
        <v>0</v>
      </c>
      <c r="BT851" s="72">
        <v>0</v>
      </c>
      <c r="BU851" s="72">
        <v>0</v>
      </c>
      <c r="BV851" s="72">
        <v>0</v>
      </c>
      <c r="BW851" s="72">
        <v>0</v>
      </c>
      <c r="BX851" s="72">
        <v>0</v>
      </c>
      <c r="BY851" s="72">
        <v>0</v>
      </c>
      <c r="BZ851" s="72">
        <v>0</v>
      </c>
      <c r="CA851" s="72">
        <v>0</v>
      </c>
      <c r="CB851" s="72">
        <v>0</v>
      </c>
      <c r="CC851" s="72">
        <v>0</v>
      </c>
      <c r="CD851" s="72">
        <v>0</v>
      </c>
      <c r="CE851" s="72">
        <v>0</v>
      </c>
      <c r="CF851" s="72">
        <v>0</v>
      </c>
      <c r="CG851" s="72">
        <v>0</v>
      </c>
      <c r="CH851" s="72">
        <v>0</v>
      </c>
      <c r="CI851" s="72">
        <v>0</v>
      </c>
      <c r="CJ851" s="72">
        <v>0</v>
      </c>
      <c r="CK851" s="72">
        <v>0</v>
      </c>
      <c r="CL851" s="72">
        <v>0</v>
      </c>
      <c r="CM851" s="72">
        <v>0</v>
      </c>
      <c r="CN851" s="72">
        <v>0</v>
      </c>
      <c r="CO851" s="72">
        <v>0</v>
      </c>
      <c r="CP851" s="72">
        <v>0</v>
      </c>
      <c r="CQ851" s="72">
        <v>0</v>
      </c>
      <c r="CR851" s="72">
        <v>0</v>
      </c>
      <c r="CS851" s="72">
        <v>0</v>
      </c>
      <c r="CT851" s="72">
        <v>0</v>
      </c>
      <c r="CU851" s="72">
        <v>0</v>
      </c>
      <c r="CV851" s="72">
        <v>0</v>
      </c>
      <c r="CW851" s="72">
        <v>0</v>
      </c>
      <c r="CX851" s="72">
        <v>0</v>
      </c>
      <c r="CY851" s="72">
        <v>0</v>
      </c>
      <c r="CZ851" s="72">
        <v>0</v>
      </c>
      <c r="DA851" s="72">
        <v>0</v>
      </c>
      <c r="DB851" s="72">
        <v>0</v>
      </c>
      <c r="DC851" s="72">
        <v>0</v>
      </c>
      <c r="DD851" s="72">
        <v>0</v>
      </c>
      <c r="DE851" s="72">
        <v>0</v>
      </c>
      <c r="DF851" s="72">
        <v>0</v>
      </c>
      <c r="DG851" s="72">
        <v>0</v>
      </c>
      <c r="DH851" s="72">
        <v>0</v>
      </c>
      <c r="DI851" s="72">
        <v>0</v>
      </c>
      <c r="DJ851" s="72">
        <v>0</v>
      </c>
      <c r="DK851" s="72">
        <v>0</v>
      </c>
      <c r="DL851" s="72">
        <v>0</v>
      </c>
      <c r="DM851" s="72">
        <v>0</v>
      </c>
      <c r="DN851" s="72">
        <v>0</v>
      </c>
      <c r="DO851" s="72">
        <v>0</v>
      </c>
      <c r="DP851" s="72">
        <v>0</v>
      </c>
      <c r="DQ851" s="72">
        <v>0</v>
      </c>
      <c r="DR851" s="72">
        <v>0</v>
      </c>
      <c r="DS851" s="72">
        <v>0</v>
      </c>
      <c r="DT851" s="72">
        <v>0</v>
      </c>
      <c r="DU851" s="72">
        <v>0</v>
      </c>
      <c r="DV851" s="72">
        <v>0</v>
      </c>
      <c r="DW851" s="72">
        <v>0</v>
      </c>
      <c r="DX851" s="72">
        <v>0</v>
      </c>
      <c r="DY851" s="72">
        <v>0</v>
      </c>
      <c r="DZ851" s="72">
        <v>0</v>
      </c>
      <c r="EA851" s="72">
        <v>0</v>
      </c>
      <c r="EB851" s="72">
        <v>0</v>
      </c>
      <c r="EC851" s="72">
        <v>0</v>
      </c>
      <c r="ED851" s="72">
        <v>0</v>
      </c>
      <c r="EE851" s="72">
        <v>0</v>
      </c>
      <c r="EF851" s="72">
        <v>0</v>
      </c>
      <c r="EG851" s="72">
        <v>0</v>
      </c>
      <c r="EH851" s="72">
        <v>0</v>
      </c>
      <c r="EI851" s="72">
        <v>0</v>
      </c>
      <c r="EJ851" s="72">
        <v>0</v>
      </c>
      <c r="EK851" s="72">
        <v>0</v>
      </c>
      <c r="EL851" s="72">
        <v>0</v>
      </c>
    </row>
    <row r="852" spans="1:142" x14ac:dyDescent="0.35">
      <c r="A852" s="59">
        <f>Данные!A852</f>
        <v>6368</v>
      </c>
      <c r="B852" s="59">
        <f>Данные!B852</f>
        <v>2021</v>
      </c>
      <c r="C852" s="59" t="str">
        <f>Данные!C852</f>
        <v>современных европейских языков</v>
      </c>
      <c r="D852" s="59" t="str">
        <f>Данные!D852</f>
        <v>Кудрявцева Наталья Фаддеевна</v>
      </c>
      <c r="E852" s="59" t="str">
        <f>Данные!E852</f>
        <v>кандидат социологических наук</v>
      </c>
      <c r="F852" s="59" t="str">
        <f>Данные!F852</f>
        <v>доцент</v>
      </c>
      <c r="G852" s="59">
        <f>Данные!G852</f>
        <v>1</v>
      </c>
      <c r="H852" s="59" t="str">
        <f>Данные!H852</f>
        <v>4 курс 2018 год/пост</v>
      </c>
      <c r="I852" s="59" t="str">
        <f>Данные!I852</f>
        <v>Модуль "Основы профессионального общения на иностранном языке". Профессионально-ориентированная письменная коммуникация</v>
      </c>
      <c r="J852" s="59">
        <f>Данные!J852</f>
        <v>0</v>
      </c>
      <c r="K852" s="59">
        <f>Данные!K852</f>
        <v>0</v>
      </c>
      <c r="L852" s="59">
        <f>Данные!L852</f>
        <v>108</v>
      </c>
      <c r="M852" s="60">
        <f t="shared" si="117"/>
        <v>10.8</v>
      </c>
      <c r="N852" s="60">
        <f t="shared" ca="1" si="118"/>
        <v>14.870000000000001</v>
      </c>
      <c r="O852" s="60">
        <f t="shared" ca="1" si="119"/>
        <v>9.75</v>
      </c>
      <c r="P852" s="60">
        <f t="shared" ca="1" si="120"/>
        <v>9.75</v>
      </c>
      <c r="Q852" s="54">
        <f>Данные!Q852</f>
        <v>0</v>
      </c>
      <c r="R852" s="54">
        <f>Данные!R852</f>
        <v>0</v>
      </c>
      <c r="S852" s="54">
        <f>Данные!S852</f>
        <v>0</v>
      </c>
      <c r="T852" s="54">
        <f>Данные!T852</f>
        <v>0</v>
      </c>
      <c r="U852" s="54">
        <f>Данные!U852</f>
        <v>0</v>
      </c>
      <c r="V852" s="54">
        <f>Данные!V852</f>
        <v>0</v>
      </c>
      <c r="W852" s="54">
        <f ca="1">Данные!W852</f>
        <v>39</v>
      </c>
      <c r="X852" s="54" t="str">
        <f ca="1">Данные!X852</f>
        <v>2</v>
      </c>
      <c r="Y852" s="54" t="str">
        <f ca="1">Данные!Y852</f>
        <v>3</v>
      </c>
      <c r="Z852" s="54">
        <f>Данные!Z852</f>
        <v>0</v>
      </c>
      <c r="AA852" s="54" t="str">
        <f>Данные!AA852</f>
        <v>осн</v>
      </c>
      <c r="AB852" s="101">
        <f t="shared" si="121"/>
        <v>800</v>
      </c>
      <c r="AC852" s="101" t="str">
        <f t="shared" si="122"/>
        <v>ИВТ (бак)</v>
      </c>
      <c r="AD852" s="101" t="str">
        <f t="shared" si="123"/>
        <v/>
      </c>
      <c r="AE852" s="102">
        <f t="shared" ca="1" si="124"/>
        <v>153.16999999999999</v>
      </c>
      <c r="AF852" s="103">
        <f t="shared" ca="1" si="125"/>
        <v>0.19146249999999998</v>
      </c>
      <c r="AG852" s="101"/>
      <c r="AH852" s="101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Q852" s="72">
        <v>0</v>
      </c>
      <c r="BR852" s="72">
        <v>0</v>
      </c>
      <c r="BS852" s="72">
        <v>0</v>
      </c>
      <c r="BT852" s="72">
        <v>0</v>
      </c>
      <c r="BU852" s="72">
        <v>0</v>
      </c>
      <c r="BV852" s="72">
        <v>0</v>
      </c>
      <c r="BW852" s="72">
        <v>0</v>
      </c>
      <c r="BX852" s="72">
        <v>0</v>
      </c>
      <c r="BY852" s="72">
        <v>0</v>
      </c>
      <c r="BZ852" s="72">
        <v>0</v>
      </c>
      <c r="CA852" s="72">
        <v>0</v>
      </c>
      <c r="CB852" s="72">
        <v>0</v>
      </c>
      <c r="CC852" s="72">
        <v>0</v>
      </c>
      <c r="CD852" s="72">
        <v>0</v>
      </c>
      <c r="CE852" s="72">
        <v>0</v>
      </c>
      <c r="CF852" s="72">
        <v>0</v>
      </c>
      <c r="CG852" s="72">
        <v>0</v>
      </c>
      <c r="CH852" s="72">
        <v>0</v>
      </c>
      <c r="CI852" s="72">
        <v>0</v>
      </c>
      <c r="CJ852" s="72">
        <v>0</v>
      </c>
      <c r="CK852" s="72">
        <v>0</v>
      </c>
      <c r="CL852" s="72">
        <v>0</v>
      </c>
      <c r="CM852" s="72">
        <v>0</v>
      </c>
      <c r="CN852" s="72">
        <v>0</v>
      </c>
      <c r="CO852" s="72">
        <v>0</v>
      </c>
      <c r="CP852" s="72">
        <v>0</v>
      </c>
      <c r="CQ852" s="72">
        <v>0</v>
      </c>
      <c r="CR852" s="72">
        <v>0</v>
      </c>
      <c r="CS852" s="72">
        <v>0</v>
      </c>
      <c r="CT852" s="72">
        <v>0</v>
      </c>
      <c r="CU852" s="72">
        <v>0</v>
      </c>
      <c r="CV852" s="72">
        <v>0</v>
      </c>
      <c r="CW852" s="72">
        <v>0</v>
      </c>
      <c r="CX852" s="72">
        <v>0</v>
      </c>
      <c r="CY852" s="72">
        <v>0</v>
      </c>
      <c r="CZ852" s="72">
        <v>0</v>
      </c>
      <c r="DA852" s="72">
        <v>0</v>
      </c>
      <c r="DB852" s="72">
        <v>0</v>
      </c>
      <c r="DC852" s="72">
        <v>0</v>
      </c>
      <c r="DD852" s="72">
        <v>0</v>
      </c>
      <c r="DE852" s="72">
        <v>0</v>
      </c>
      <c r="DF852" s="72">
        <v>0</v>
      </c>
      <c r="DG852" s="72">
        <v>0</v>
      </c>
      <c r="DH852" s="72">
        <v>0</v>
      </c>
      <c r="DI852" s="72">
        <v>0</v>
      </c>
      <c r="DJ852" s="72">
        <v>0</v>
      </c>
      <c r="DK852" s="72">
        <v>0</v>
      </c>
      <c r="DL852" s="72">
        <v>0</v>
      </c>
      <c r="DM852" s="72">
        <v>0</v>
      </c>
      <c r="DN852" s="72">
        <v>0</v>
      </c>
      <c r="DO852" s="72">
        <v>0</v>
      </c>
      <c r="DP852" s="72">
        <v>0</v>
      </c>
      <c r="DQ852" s="72">
        <v>0</v>
      </c>
      <c r="DR852" s="72">
        <v>0</v>
      </c>
      <c r="DS852" s="72">
        <v>0</v>
      </c>
      <c r="DT852" s="72">
        <v>0</v>
      </c>
      <c r="DU852" s="72">
        <v>0</v>
      </c>
      <c r="DV852" s="72">
        <v>0</v>
      </c>
      <c r="DW852" s="72">
        <v>0</v>
      </c>
      <c r="DX852" s="72">
        <v>0</v>
      </c>
      <c r="DY852" s="72">
        <v>0</v>
      </c>
      <c r="DZ852" s="72">
        <v>0</v>
      </c>
      <c r="EA852" s="72">
        <v>0</v>
      </c>
      <c r="EB852" s="72">
        <v>0</v>
      </c>
      <c r="EC852" s="72">
        <v>0</v>
      </c>
      <c r="ED852" s="72">
        <v>0</v>
      </c>
      <c r="EE852" s="72">
        <v>0</v>
      </c>
      <c r="EF852" s="72">
        <v>0</v>
      </c>
      <c r="EG852" s="72">
        <v>0</v>
      </c>
      <c r="EH852" s="72">
        <v>0</v>
      </c>
      <c r="EI852" s="72">
        <v>0</v>
      </c>
      <c r="EJ852" s="72">
        <v>0</v>
      </c>
      <c r="EK852" s="72">
        <v>0</v>
      </c>
      <c r="EL852" s="72">
        <v>0</v>
      </c>
    </row>
    <row r="853" spans="1:142" x14ac:dyDescent="0.35">
      <c r="A853" s="59">
        <f>Данные!A853</f>
        <v>6368</v>
      </c>
      <c r="B853" s="59">
        <f>Данные!B853</f>
        <v>2021</v>
      </c>
      <c r="C853" s="59" t="str">
        <f>Данные!C853</f>
        <v>компьютерных технологий и электронного обучения</v>
      </c>
      <c r="D853" s="59" t="str">
        <f>Данные!D853</f>
        <v>Государев Илья Борисович</v>
      </c>
      <c r="E853" s="59" t="str">
        <f>Данные!E853</f>
        <v>кандидат педагогических наук</v>
      </c>
      <c r="F853" s="59" t="str">
        <f>Данные!F853</f>
        <v>доцент</v>
      </c>
      <c r="G853" s="59">
        <f>Данные!G853</f>
        <v>1</v>
      </c>
      <c r="H853" s="59" t="str">
        <f>Данные!H853</f>
        <v>4 курс 2018 год/пост</v>
      </c>
      <c r="I853" s="59" t="str">
        <f>Данные!I853</f>
        <v>Руководство ВКР</v>
      </c>
      <c r="J853" s="59">
        <f>Данные!J853</f>
        <v>0</v>
      </c>
      <c r="K853" s="59">
        <f>Данные!K853</f>
        <v>0</v>
      </c>
      <c r="L853" s="59">
        <f>Данные!L853</f>
        <v>0</v>
      </c>
      <c r="M853" s="60">
        <f t="shared" si="117"/>
        <v>0</v>
      </c>
      <c r="N853" s="60">
        <f t="shared" ca="1" si="118"/>
        <v>14.870000000000001</v>
      </c>
      <c r="O853" s="60">
        <f t="shared" ca="1" si="119"/>
        <v>9.75</v>
      </c>
      <c r="P853" s="60">
        <f t="shared" ca="1" si="120"/>
        <v>9.75</v>
      </c>
      <c r="Q853" s="54">
        <f>Данные!Q853</f>
        <v>0</v>
      </c>
      <c r="R853" s="54">
        <f>Данные!R853</f>
        <v>0</v>
      </c>
      <c r="S853" s="54">
        <f>Данные!S853</f>
        <v>0</v>
      </c>
      <c r="T853" s="54">
        <f>Данные!T853</f>
        <v>0</v>
      </c>
      <c r="U853" s="54">
        <f>Данные!U853</f>
        <v>0</v>
      </c>
      <c r="V853" s="54">
        <f>Данные!V853</f>
        <v>60</v>
      </c>
      <c r="W853" s="54">
        <f ca="1">Данные!W853</f>
        <v>39</v>
      </c>
      <c r="X853" s="54" t="str">
        <f ca="1">Данные!X853</f>
        <v>2</v>
      </c>
      <c r="Y853" s="54" t="str">
        <f ca="1">Данные!Y853</f>
        <v>3</v>
      </c>
      <c r="Z853" s="54">
        <f>Данные!Z853</f>
        <v>0</v>
      </c>
      <c r="AA853" s="54" t="str">
        <f>Данные!AA853</f>
        <v>доп</v>
      </c>
      <c r="AB853" s="101">
        <f t="shared" si="121"/>
        <v>800</v>
      </c>
      <c r="AC853" s="101" t="str">
        <f t="shared" si="122"/>
        <v>ИВТ (бак)</v>
      </c>
      <c r="AD853" s="101" t="str">
        <f t="shared" si="123"/>
        <v/>
      </c>
      <c r="AE853" s="102">
        <f t="shared" ca="1" si="124"/>
        <v>94.37</v>
      </c>
      <c r="AF853" s="103">
        <f t="shared" ca="1" si="125"/>
        <v>0.11796250000000001</v>
      </c>
      <c r="AG853" s="101"/>
      <c r="AH853" s="101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Q853" s="72">
        <v>0</v>
      </c>
      <c r="BR853" s="72">
        <v>0</v>
      </c>
      <c r="BS853" s="72">
        <v>0</v>
      </c>
      <c r="BT853" s="72">
        <v>0</v>
      </c>
      <c r="BU853" s="72">
        <v>0</v>
      </c>
      <c r="BV853" s="72">
        <v>0</v>
      </c>
      <c r="BW853" s="72">
        <v>0</v>
      </c>
      <c r="BX853" s="72">
        <v>0</v>
      </c>
      <c r="BY853" s="72">
        <v>0</v>
      </c>
      <c r="BZ853" s="72">
        <v>0</v>
      </c>
      <c r="CA853" s="72">
        <v>0</v>
      </c>
      <c r="CB853" s="72">
        <v>0</v>
      </c>
      <c r="CC853" s="72">
        <v>0</v>
      </c>
      <c r="CD853" s="72">
        <v>0</v>
      </c>
      <c r="CE853" s="72">
        <v>0</v>
      </c>
      <c r="CF853" s="72">
        <v>0</v>
      </c>
      <c r="CG853" s="72">
        <v>0</v>
      </c>
      <c r="CH853" s="72">
        <v>0</v>
      </c>
      <c r="CI853" s="72">
        <v>0</v>
      </c>
      <c r="CJ853" s="72">
        <v>0</v>
      </c>
      <c r="CK853" s="72">
        <v>0</v>
      </c>
      <c r="CL853" s="72">
        <v>0</v>
      </c>
      <c r="CM853" s="72">
        <v>0</v>
      </c>
      <c r="CN853" s="72">
        <v>0</v>
      </c>
      <c r="CO853" s="72">
        <v>0</v>
      </c>
      <c r="CP853" s="72">
        <v>0</v>
      </c>
      <c r="CQ853" s="72">
        <v>0</v>
      </c>
      <c r="CR853" s="72">
        <v>0</v>
      </c>
      <c r="CS853" s="72">
        <v>0</v>
      </c>
      <c r="CT853" s="72">
        <v>0</v>
      </c>
      <c r="CU853" s="72">
        <v>0</v>
      </c>
      <c r="CV853" s="72">
        <v>0</v>
      </c>
      <c r="CW853" s="72">
        <v>0</v>
      </c>
      <c r="CX853" s="72">
        <v>0</v>
      </c>
      <c r="CY853" s="72">
        <v>0</v>
      </c>
      <c r="CZ853" s="72">
        <v>0</v>
      </c>
      <c r="DA853" s="72">
        <v>0</v>
      </c>
      <c r="DB853" s="72">
        <v>0</v>
      </c>
      <c r="DC853" s="72">
        <v>0</v>
      </c>
      <c r="DD853" s="72">
        <v>0</v>
      </c>
      <c r="DE853" s="72">
        <v>0</v>
      </c>
      <c r="DF853" s="72">
        <v>0</v>
      </c>
      <c r="DG853" s="72">
        <v>0</v>
      </c>
      <c r="DH853" s="72">
        <v>0</v>
      </c>
      <c r="DI853" s="72">
        <v>0</v>
      </c>
      <c r="DJ853" s="72">
        <v>0</v>
      </c>
      <c r="DK853" s="72">
        <v>0</v>
      </c>
      <c r="DL853" s="72">
        <v>0</v>
      </c>
      <c r="DM853" s="72">
        <v>0</v>
      </c>
      <c r="DN853" s="72">
        <v>0</v>
      </c>
      <c r="DO853" s="72">
        <v>0</v>
      </c>
      <c r="DP853" s="72">
        <v>0</v>
      </c>
      <c r="DQ853" s="72">
        <v>0</v>
      </c>
      <c r="DR853" s="72">
        <v>0</v>
      </c>
      <c r="DS853" s="72">
        <v>0</v>
      </c>
      <c r="DT853" s="72">
        <v>0</v>
      </c>
      <c r="DU853" s="72">
        <v>0</v>
      </c>
      <c r="DV853" s="72">
        <v>0</v>
      </c>
      <c r="DW853" s="72">
        <v>0</v>
      </c>
      <c r="DX853" s="72">
        <v>0</v>
      </c>
      <c r="DY853" s="72">
        <v>0</v>
      </c>
      <c r="DZ853" s="72">
        <v>0</v>
      </c>
      <c r="EA853" s="72">
        <v>0</v>
      </c>
      <c r="EB853" s="72">
        <v>0</v>
      </c>
      <c r="EC853" s="72">
        <v>0</v>
      </c>
      <c r="ED853" s="72">
        <v>0</v>
      </c>
      <c r="EE853" s="72">
        <v>0</v>
      </c>
      <c r="EF853" s="72">
        <v>0</v>
      </c>
      <c r="EG853" s="72">
        <v>0</v>
      </c>
      <c r="EH853" s="72">
        <v>0</v>
      </c>
      <c r="EI853" s="72">
        <v>0</v>
      </c>
      <c r="EJ853" s="72">
        <v>0</v>
      </c>
      <c r="EK853" s="72">
        <v>0</v>
      </c>
      <c r="EL853" s="72">
        <v>0</v>
      </c>
    </row>
    <row r="854" spans="1:142" x14ac:dyDescent="0.35">
      <c r="A854" s="59">
        <f>Данные!A854</f>
        <v>6368</v>
      </c>
      <c r="B854" s="59">
        <f>Данные!B854</f>
        <v>2021</v>
      </c>
      <c r="C854" s="59" t="str">
        <f>Данные!C854</f>
        <v>компьютерных технологий и электронного обучения</v>
      </c>
      <c r="D854" s="59" t="str">
        <f>Данные!D854</f>
        <v>Авксентьева Елена Юрьевна</v>
      </c>
      <c r="E854" s="59" t="str">
        <f>Данные!E854</f>
        <v>кандидат педагогических наук</v>
      </c>
      <c r="F854" s="59" t="str">
        <f>Данные!F854</f>
        <v>доцент</v>
      </c>
      <c r="G854" s="59">
        <f>Данные!G854</f>
        <v>1</v>
      </c>
      <c r="H854" s="59" t="str">
        <f>Данные!H854</f>
        <v>4 курс 2018 год/пост</v>
      </c>
      <c r="I854" s="59" t="str">
        <f>Данные!I854</f>
        <v>Руководство ВКР</v>
      </c>
      <c r="J854" s="59">
        <f>Данные!J854</f>
        <v>0</v>
      </c>
      <c r="K854" s="59">
        <f>Данные!K854</f>
        <v>0</v>
      </c>
      <c r="L854" s="59">
        <f>Данные!L854</f>
        <v>0</v>
      </c>
      <c r="M854" s="60">
        <f t="shared" si="117"/>
        <v>0</v>
      </c>
      <c r="N854" s="60">
        <f t="shared" ca="1" si="118"/>
        <v>14.870000000000001</v>
      </c>
      <c r="O854" s="60">
        <f t="shared" ca="1" si="119"/>
        <v>9.75</v>
      </c>
      <c r="P854" s="60">
        <f t="shared" ca="1" si="120"/>
        <v>9.75</v>
      </c>
      <c r="Q854" s="54">
        <f>Данные!Q854</f>
        <v>0</v>
      </c>
      <c r="R854" s="54">
        <f>Данные!R854</f>
        <v>0</v>
      </c>
      <c r="S854" s="54">
        <f>Данные!S854</f>
        <v>0</v>
      </c>
      <c r="T854" s="54">
        <f>Данные!T854</f>
        <v>0</v>
      </c>
      <c r="U854" s="54">
        <f>Данные!U854</f>
        <v>0</v>
      </c>
      <c r="V854" s="54">
        <f>Данные!V854</f>
        <v>60</v>
      </c>
      <c r="W854" s="54">
        <f ca="1">Данные!W854</f>
        <v>39</v>
      </c>
      <c r="X854" s="54" t="str">
        <f ca="1">Данные!X854</f>
        <v>2</v>
      </c>
      <c r="Y854" s="54" t="str">
        <f ca="1">Данные!Y854</f>
        <v>3</v>
      </c>
      <c r="Z854" s="54">
        <f>Данные!Z854</f>
        <v>0</v>
      </c>
      <c r="AA854" s="54" t="str">
        <f>Данные!AA854</f>
        <v>доп</v>
      </c>
      <c r="AB854" s="101">
        <f t="shared" si="121"/>
        <v>800</v>
      </c>
      <c r="AC854" s="101" t="str">
        <f t="shared" si="122"/>
        <v>ИВТ (бак)</v>
      </c>
      <c r="AD854" s="101" t="str">
        <f t="shared" si="123"/>
        <v/>
      </c>
      <c r="AE854" s="102">
        <f t="shared" ca="1" si="124"/>
        <v>94.37</v>
      </c>
      <c r="AF854" s="103">
        <f t="shared" ca="1" si="125"/>
        <v>0.11796250000000001</v>
      </c>
      <c r="AG854" s="101"/>
      <c r="AH854" s="101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Q854" s="72">
        <v>0</v>
      </c>
      <c r="BR854" s="72">
        <v>0</v>
      </c>
      <c r="BS854" s="72">
        <v>0</v>
      </c>
      <c r="BT854" s="72">
        <v>0</v>
      </c>
      <c r="BU854" s="72">
        <v>0</v>
      </c>
      <c r="BV854" s="72">
        <v>0</v>
      </c>
      <c r="BW854" s="72">
        <v>0</v>
      </c>
      <c r="BX854" s="72">
        <v>0</v>
      </c>
      <c r="BY854" s="72">
        <v>0</v>
      </c>
      <c r="BZ854" s="72">
        <v>0</v>
      </c>
      <c r="CA854" s="72">
        <v>0</v>
      </c>
      <c r="CB854" s="72">
        <v>0</v>
      </c>
      <c r="CC854" s="72">
        <v>0</v>
      </c>
      <c r="CD854" s="72">
        <v>0</v>
      </c>
      <c r="CE854" s="72">
        <v>0</v>
      </c>
      <c r="CF854" s="72">
        <v>0</v>
      </c>
      <c r="CG854" s="72">
        <v>0</v>
      </c>
      <c r="CH854" s="72">
        <v>0</v>
      </c>
      <c r="CI854" s="72">
        <v>0</v>
      </c>
      <c r="CJ854" s="72">
        <v>0</v>
      </c>
      <c r="CK854" s="72">
        <v>0</v>
      </c>
      <c r="CL854" s="72">
        <v>0</v>
      </c>
      <c r="CM854" s="72">
        <v>0</v>
      </c>
      <c r="CN854" s="72">
        <v>0</v>
      </c>
      <c r="CO854" s="72">
        <v>0</v>
      </c>
      <c r="CP854" s="72">
        <v>0</v>
      </c>
      <c r="CQ854" s="72">
        <v>0</v>
      </c>
      <c r="CR854" s="72">
        <v>0</v>
      </c>
      <c r="CS854" s="72">
        <v>0</v>
      </c>
      <c r="CT854" s="72">
        <v>0</v>
      </c>
      <c r="CU854" s="72">
        <v>0</v>
      </c>
      <c r="CV854" s="72">
        <v>0</v>
      </c>
      <c r="CW854" s="72">
        <v>0</v>
      </c>
      <c r="CX854" s="72">
        <v>0</v>
      </c>
      <c r="CY854" s="72">
        <v>0</v>
      </c>
      <c r="CZ854" s="72">
        <v>0</v>
      </c>
      <c r="DA854" s="72">
        <v>0</v>
      </c>
      <c r="DB854" s="72">
        <v>0</v>
      </c>
      <c r="DC854" s="72">
        <v>0</v>
      </c>
      <c r="DD854" s="72">
        <v>0</v>
      </c>
      <c r="DE854" s="72">
        <v>0</v>
      </c>
      <c r="DF854" s="72">
        <v>0</v>
      </c>
      <c r="DG854" s="72">
        <v>0</v>
      </c>
      <c r="DH854" s="72">
        <v>0</v>
      </c>
      <c r="DI854" s="72">
        <v>0</v>
      </c>
      <c r="DJ854" s="72">
        <v>0</v>
      </c>
      <c r="DK854" s="72">
        <v>0</v>
      </c>
      <c r="DL854" s="72">
        <v>0</v>
      </c>
      <c r="DM854" s="72">
        <v>0</v>
      </c>
      <c r="DN854" s="72">
        <v>0</v>
      </c>
      <c r="DO854" s="72">
        <v>0</v>
      </c>
      <c r="DP854" s="72">
        <v>0</v>
      </c>
      <c r="DQ854" s="72">
        <v>0</v>
      </c>
      <c r="DR854" s="72">
        <v>0</v>
      </c>
      <c r="DS854" s="72">
        <v>0</v>
      </c>
      <c r="DT854" s="72">
        <v>0</v>
      </c>
      <c r="DU854" s="72">
        <v>0</v>
      </c>
      <c r="DV854" s="72">
        <v>0</v>
      </c>
      <c r="DW854" s="72">
        <v>0</v>
      </c>
      <c r="DX854" s="72">
        <v>0</v>
      </c>
      <c r="DY854" s="72">
        <v>0</v>
      </c>
      <c r="DZ854" s="72">
        <v>0</v>
      </c>
      <c r="EA854" s="72">
        <v>0</v>
      </c>
      <c r="EB854" s="72">
        <v>0</v>
      </c>
      <c r="EC854" s="72">
        <v>0</v>
      </c>
      <c r="ED854" s="72">
        <v>0</v>
      </c>
      <c r="EE854" s="72">
        <v>0</v>
      </c>
      <c r="EF854" s="72">
        <v>0</v>
      </c>
      <c r="EG854" s="72">
        <v>0</v>
      </c>
      <c r="EH854" s="72">
        <v>0</v>
      </c>
      <c r="EI854" s="72">
        <v>0</v>
      </c>
      <c r="EJ854" s="72">
        <v>0</v>
      </c>
      <c r="EK854" s="72">
        <v>0</v>
      </c>
      <c r="EL854" s="72">
        <v>0</v>
      </c>
    </row>
    <row r="855" spans="1:142" x14ac:dyDescent="0.35">
      <c r="A855" s="59">
        <f>Данные!A855</f>
        <v>6368</v>
      </c>
      <c r="B855" s="59">
        <f>Данные!B855</f>
        <v>2021</v>
      </c>
      <c r="C855" s="59" t="str">
        <f>Данные!C855</f>
        <v>компьютерных технологий и электронного обучения</v>
      </c>
      <c r="D855" s="59" t="str">
        <f>Данные!D855</f>
        <v>Воробьев Владимир Иванович</v>
      </c>
      <c r="E855" s="59" t="str">
        <f>Данные!E855</f>
        <v>доктор технических наук</v>
      </c>
      <c r="F855" s="59" t="str">
        <f>Данные!F855</f>
        <v>внешний</v>
      </c>
      <c r="G855" s="59">
        <f>Данные!G855</f>
        <v>1</v>
      </c>
      <c r="H855" s="59" t="str">
        <f>Данные!H855</f>
        <v>4 курс 2018 год/пост</v>
      </c>
      <c r="I855" s="59" t="str">
        <f>Данные!I855</f>
        <v>Руководство ВКР</v>
      </c>
      <c r="J855" s="59">
        <f>Данные!J855</f>
        <v>0</v>
      </c>
      <c r="K855" s="59">
        <f>Данные!K855</f>
        <v>0</v>
      </c>
      <c r="L855" s="59">
        <f>Данные!L855</f>
        <v>0</v>
      </c>
      <c r="M855" s="60">
        <f t="shared" si="117"/>
        <v>0</v>
      </c>
      <c r="N855" s="60">
        <f t="shared" ca="1" si="118"/>
        <v>14.870000000000001</v>
      </c>
      <c r="O855" s="60">
        <f t="shared" ca="1" si="119"/>
        <v>9.75</v>
      </c>
      <c r="P855" s="60">
        <f t="shared" ca="1" si="120"/>
        <v>9.75</v>
      </c>
      <c r="Q855" s="54">
        <f>Данные!Q855</f>
        <v>0</v>
      </c>
      <c r="R855" s="54">
        <f>Данные!R855</f>
        <v>0</v>
      </c>
      <c r="S855" s="54">
        <f>Данные!S855</f>
        <v>0</v>
      </c>
      <c r="T855" s="54">
        <f>Данные!T855</f>
        <v>0</v>
      </c>
      <c r="U855" s="54">
        <f>Данные!U855</f>
        <v>0</v>
      </c>
      <c r="V855" s="54">
        <f>Данные!V855</f>
        <v>200</v>
      </c>
      <c r="W855" s="54">
        <f ca="1">Данные!W855</f>
        <v>39</v>
      </c>
      <c r="X855" s="54" t="str">
        <f ca="1">Данные!X855</f>
        <v>2</v>
      </c>
      <c r="Y855" s="54" t="str">
        <f ca="1">Данные!Y855</f>
        <v>3</v>
      </c>
      <c r="Z855" s="54">
        <f>Данные!Z855</f>
        <v>0</v>
      </c>
      <c r="AA855" s="54" t="str">
        <f>Данные!AA855</f>
        <v>доп</v>
      </c>
      <c r="AB855" s="101">
        <f t="shared" si="121"/>
        <v>900</v>
      </c>
      <c r="AC855" s="101" t="str">
        <f t="shared" si="122"/>
        <v>ИВТ (бак)</v>
      </c>
      <c r="AD855" s="101" t="str">
        <f t="shared" si="123"/>
        <v/>
      </c>
      <c r="AE855" s="102">
        <f t="shared" ca="1" si="124"/>
        <v>234.37</v>
      </c>
      <c r="AF855" s="103">
        <f t="shared" ca="1" si="125"/>
        <v>0.26041111111111109</v>
      </c>
      <c r="AG855" s="101"/>
      <c r="AH855" s="101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Q855" s="72">
        <v>0</v>
      </c>
      <c r="BR855" s="72">
        <v>0</v>
      </c>
      <c r="BS855" s="72">
        <v>0</v>
      </c>
      <c r="BT855" s="72">
        <v>0</v>
      </c>
      <c r="BU855" s="72">
        <v>0</v>
      </c>
      <c r="BV855" s="72">
        <v>0</v>
      </c>
      <c r="BW855" s="72">
        <v>0</v>
      </c>
      <c r="BX855" s="72">
        <v>0</v>
      </c>
      <c r="BY855" s="72">
        <v>0</v>
      </c>
      <c r="BZ855" s="72">
        <v>0</v>
      </c>
      <c r="CA855" s="72">
        <v>0</v>
      </c>
      <c r="CB855" s="72">
        <v>0</v>
      </c>
      <c r="CC855" s="72">
        <v>0</v>
      </c>
      <c r="CD855" s="72">
        <v>0</v>
      </c>
      <c r="CE855" s="72">
        <v>0</v>
      </c>
      <c r="CF855" s="72">
        <v>0</v>
      </c>
      <c r="CG855" s="72">
        <v>0</v>
      </c>
      <c r="CH855" s="72">
        <v>0</v>
      </c>
      <c r="CI855" s="72">
        <v>0</v>
      </c>
      <c r="CJ855" s="72">
        <v>0</v>
      </c>
      <c r="CK855" s="72">
        <v>0</v>
      </c>
      <c r="CL855" s="72">
        <v>0</v>
      </c>
      <c r="CM855" s="72">
        <v>0</v>
      </c>
      <c r="CN855" s="72">
        <v>0</v>
      </c>
      <c r="CO855" s="72">
        <v>0</v>
      </c>
      <c r="CP855" s="72">
        <v>0</v>
      </c>
      <c r="CQ855" s="72">
        <v>0</v>
      </c>
      <c r="CR855" s="72">
        <v>0</v>
      </c>
      <c r="CS855" s="72">
        <v>0</v>
      </c>
      <c r="CT855" s="72">
        <v>0</v>
      </c>
      <c r="CU855" s="72">
        <v>0</v>
      </c>
      <c r="CV855" s="72">
        <v>0</v>
      </c>
      <c r="CW855" s="72">
        <v>0</v>
      </c>
      <c r="CX855" s="72">
        <v>0</v>
      </c>
      <c r="CY855" s="72">
        <v>0</v>
      </c>
      <c r="CZ855" s="72">
        <v>0</v>
      </c>
      <c r="DA855" s="72">
        <v>0</v>
      </c>
      <c r="DB855" s="72">
        <v>0</v>
      </c>
      <c r="DC855" s="72">
        <v>0</v>
      </c>
      <c r="DD855" s="72">
        <v>0</v>
      </c>
      <c r="DE855" s="72">
        <v>0</v>
      </c>
      <c r="DF855" s="72">
        <v>0</v>
      </c>
      <c r="DG855" s="72">
        <v>0</v>
      </c>
      <c r="DH855" s="72">
        <v>0</v>
      </c>
      <c r="DI855" s="72">
        <v>0</v>
      </c>
      <c r="DJ855" s="72">
        <v>0</v>
      </c>
      <c r="DK855" s="72">
        <v>0</v>
      </c>
      <c r="DL855" s="72">
        <v>0</v>
      </c>
      <c r="DM855" s="72">
        <v>0</v>
      </c>
      <c r="DN855" s="72">
        <v>0</v>
      </c>
      <c r="DO855" s="72">
        <v>0</v>
      </c>
      <c r="DP855" s="72">
        <v>0</v>
      </c>
      <c r="DQ855" s="72">
        <v>0</v>
      </c>
      <c r="DR855" s="72">
        <v>0</v>
      </c>
      <c r="DS855" s="72">
        <v>0</v>
      </c>
      <c r="DT855" s="72">
        <v>0</v>
      </c>
      <c r="DU855" s="72">
        <v>0</v>
      </c>
      <c r="DV855" s="72">
        <v>0</v>
      </c>
      <c r="DW855" s="72">
        <v>0</v>
      </c>
      <c r="DX855" s="72">
        <v>0</v>
      </c>
      <c r="DY855" s="72">
        <v>0</v>
      </c>
      <c r="DZ855" s="72">
        <v>0</v>
      </c>
      <c r="EA855" s="72">
        <v>0</v>
      </c>
      <c r="EB855" s="72">
        <v>0</v>
      </c>
      <c r="EC855" s="72">
        <v>0</v>
      </c>
      <c r="ED855" s="72">
        <v>0</v>
      </c>
      <c r="EE855" s="72">
        <v>0</v>
      </c>
      <c r="EF855" s="72">
        <v>0</v>
      </c>
      <c r="EG855" s="72">
        <v>0</v>
      </c>
      <c r="EH855" s="72">
        <v>0</v>
      </c>
      <c r="EI855" s="72">
        <v>0</v>
      </c>
      <c r="EJ855" s="72">
        <v>0</v>
      </c>
      <c r="EK855" s="72">
        <v>0</v>
      </c>
      <c r="EL855" s="72">
        <v>0</v>
      </c>
    </row>
    <row r="856" spans="1:142" x14ac:dyDescent="0.35">
      <c r="A856" s="59">
        <f>Данные!A856</f>
        <v>6368</v>
      </c>
      <c r="B856" s="59">
        <f>Данные!B856</f>
        <v>2021</v>
      </c>
      <c r="C856" s="59" t="str">
        <f>Данные!C856</f>
        <v>компьютерных технологий и электронного обучения</v>
      </c>
      <c r="D856" s="59" t="str">
        <f>Данные!D856</f>
        <v>Копыльцов Александр Васильевич</v>
      </c>
      <c r="E856" s="59" t="str">
        <f>Данные!E856</f>
        <v>доктор технических наук</v>
      </c>
      <c r="F856" s="59" t="str">
        <f>Данные!F856</f>
        <v>внешний</v>
      </c>
      <c r="G856" s="59">
        <f>Данные!G856</f>
        <v>1</v>
      </c>
      <c r="H856" s="59" t="str">
        <f>Данные!H856</f>
        <v>4 курс 2018 год/пост</v>
      </c>
      <c r="I856" s="59" t="str">
        <f>Данные!I856</f>
        <v>Руководство ВКР</v>
      </c>
      <c r="J856" s="59">
        <f>Данные!J856</f>
        <v>0</v>
      </c>
      <c r="K856" s="59">
        <f>Данные!K856</f>
        <v>0</v>
      </c>
      <c r="L856" s="59">
        <f>Данные!L856</f>
        <v>0</v>
      </c>
      <c r="M856" s="60">
        <f t="shared" si="117"/>
        <v>0</v>
      </c>
      <c r="N856" s="60">
        <f t="shared" ca="1" si="118"/>
        <v>14.870000000000001</v>
      </c>
      <c r="O856" s="60">
        <f t="shared" ca="1" si="119"/>
        <v>9.75</v>
      </c>
      <c r="P856" s="60">
        <f t="shared" ca="1" si="120"/>
        <v>9.75</v>
      </c>
      <c r="Q856" s="54">
        <f>Данные!Q856</f>
        <v>0</v>
      </c>
      <c r="R856" s="54">
        <f>Данные!R856</f>
        <v>0</v>
      </c>
      <c r="S856" s="54">
        <f>Данные!S856</f>
        <v>0</v>
      </c>
      <c r="T856" s="54">
        <f>Данные!T856</f>
        <v>0</v>
      </c>
      <c r="U856" s="54">
        <f>Данные!U856</f>
        <v>0</v>
      </c>
      <c r="V856" s="54">
        <f>Данные!V856</f>
        <v>200</v>
      </c>
      <c r="W856" s="54">
        <f ca="1">Данные!W856</f>
        <v>39</v>
      </c>
      <c r="X856" s="54" t="str">
        <f ca="1">Данные!X856</f>
        <v>2</v>
      </c>
      <c r="Y856" s="54" t="str">
        <f ca="1">Данные!Y856</f>
        <v>3</v>
      </c>
      <c r="Z856" s="54">
        <f>Данные!Z856</f>
        <v>0</v>
      </c>
      <c r="AA856" s="54" t="str">
        <f>Данные!AA856</f>
        <v>доп</v>
      </c>
      <c r="AB856" s="101">
        <f t="shared" si="121"/>
        <v>900</v>
      </c>
      <c r="AC856" s="101" t="str">
        <f t="shared" si="122"/>
        <v>ИВТ (бак)</v>
      </c>
      <c r="AD856" s="101" t="str">
        <f t="shared" si="123"/>
        <v/>
      </c>
      <c r="AE856" s="102">
        <f t="shared" ca="1" si="124"/>
        <v>234.37</v>
      </c>
      <c r="AF856" s="103">
        <f t="shared" ca="1" si="125"/>
        <v>0.26041111111111109</v>
      </c>
      <c r="AG856" s="101"/>
      <c r="AH856" s="101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Q856" s="72">
        <v>0</v>
      </c>
      <c r="BR856" s="72">
        <v>0</v>
      </c>
      <c r="BS856" s="72">
        <v>0</v>
      </c>
      <c r="BT856" s="72">
        <v>0</v>
      </c>
      <c r="BU856" s="72">
        <v>0</v>
      </c>
      <c r="BV856" s="72">
        <v>0</v>
      </c>
      <c r="BW856" s="72">
        <v>0</v>
      </c>
      <c r="BX856" s="72">
        <v>0</v>
      </c>
      <c r="BY856" s="72">
        <v>0</v>
      </c>
      <c r="BZ856" s="72">
        <v>0</v>
      </c>
      <c r="CA856" s="72">
        <v>0</v>
      </c>
      <c r="CB856" s="72">
        <v>0</v>
      </c>
      <c r="CC856" s="72">
        <v>0</v>
      </c>
      <c r="CD856" s="72">
        <v>0</v>
      </c>
      <c r="CE856" s="72">
        <v>0</v>
      </c>
      <c r="CF856" s="72">
        <v>0</v>
      </c>
      <c r="CG856" s="72">
        <v>0</v>
      </c>
      <c r="CH856" s="72">
        <v>0</v>
      </c>
      <c r="CI856" s="72">
        <v>0</v>
      </c>
      <c r="CJ856" s="72">
        <v>0</v>
      </c>
      <c r="CK856" s="72">
        <v>0</v>
      </c>
      <c r="CL856" s="72">
        <v>0</v>
      </c>
      <c r="CM856" s="72">
        <v>0</v>
      </c>
      <c r="CN856" s="72">
        <v>0</v>
      </c>
      <c r="CO856" s="72">
        <v>0</v>
      </c>
      <c r="CP856" s="72">
        <v>0</v>
      </c>
      <c r="CQ856" s="72">
        <v>0</v>
      </c>
      <c r="CR856" s="72">
        <v>0</v>
      </c>
      <c r="CS856" s="72">
        <v>0</v>
      </c>
      <c r="CT856" s="72">
        <v>0</v>
      </c>
      <c r="CU856" s="72">
        <v>0</v>
      </c>
      <c r="CV856" s="72">
        <v>0</v>
      </c>
      <c r="CW856" s="72">
        <v>0</v>
      </c>
      <c r="CX856" s="72">
        <v>0</v>
      </c>
      <c r="CY856" s="72">
        <v>0</v>
      </c>
      <c r="CZ856" s="72">
        <v>0</v>
      </c>
      <c r="DA856" s="72">
        <v>0</v>
      </c>
      <c r="DB856" s="72">
        <v>0</v>
      </c>
      <c r="DC856" s="72">
        <v>0</v>
      </c>
      <c r="DD856" s="72">
        <v>0</v>
      </c>
      <c r="DE856" s="72">
        <v>0</v>
      </c>
      <c r="DF856" s="72">
        <v>0</v>
      </c>
      <c r="DG856" s="72">
        <v>0</v>
      </c>
      <c r="DH856" s="72">
        <v>0</v>
      </c>
      <c r="DI856" s="72">
        <v>0</v>
      </c>
      <c r="DJ856" s="72">
        <v>0</v>
      </c>
      <c r="DK856" s="72">
        <v>0</v>
      </c>
      <c r="DL856" s="72">
        <v>0</v>
      </c>
      <c r="DM856" s="72">
        <v>0</v>
      </c>
      <c r="DN856" s="72">
        <v>0</v>
      </c>
      <c r="DO856" s="72">
        <v>0</v>
      </c>
      <c r="DP856" s="72">
        <v>0</v>
      </c>
      <c r="DQ856" s="72">
        <v>0</v>
      </c>
      <c r="DR856" s="72">
        <v>0</v>
      </c>
      <c r="DS856" s="72">
        <v>0</v>
      </c>
      <c r="DT856" s="72">
        <v>0</v>
      </c>
      <c r="DU856" s="72">
        <v>0</v>
      </c>
      <c r="DV856" s="72">
        <v>0</v>
      </c>
      <c r="DW856" s="72">
        <v>0</v>
      </c>
      <c r="DX856" s="72">
        <v>0</v>
      </c>
      <c r="DY856" s="72">
        <v>0</v>
      </c>
      <c r="DZ856" s="72">
        <v>0</v>
      </c>
      <c r="EA856" s="72">
        <v>0</v>
      </c>
      <c r="EB856" s="72">
        <v>0</v>
      </c>
      <c r="EC856" s="72">
        <v>0</v>
      </c>
      <c r="ED856" s="72">
        <v>0</v>
      </c>
      <c r="EE856" s="72">
        <v>0</v>
      </c>
      <c r="EF856" s="72">
        <v>0</v>
      </c>
      <c r="EG856" s="72">
        <v>0</v>
      </c>
      <c r="EH856" s="72">
        <v>0</v>
      </c>
      <c r="EI856" s="72">
        <v>0</v>
      </c>
      <c r="EJ856" s="72">
        <v>0</v>
      </c>
      <c r="EK856" s="72">
        <v>0</v>
      </c>
      <c r="EL856" s="72">
        <v>0</v>
      </c>
    </row>
    <row r="857" spans="1:142" x14ac:dyDescent="0.35">
      <c r="A857" s="59">
        <f>Данные!A857</f>
        <v>6368</v>
      </c>
      <c r="B857" s="59">
        <f>Данные!B857</f>
        <v>2021</v>
      </c>
      <c r="C857" s="59" t="str">
        <f>Данные!C857</f>
        <v>компьютерных технологий и электронного обучения</v>
      </c>
      <c r="D857" s="59" t="str">
        <f>Данные!D857</f>
        <v>Карпова Наталья Александровна</v>
      </c>
      <c r="E857" s="59" t="str">
        <f>Данные!E857</f>
        <v>кандидат технических наук</v>
      </c>
      <c r="F857" s="59" t="str">
        <f>Данные!F857</f>
        <v>доцент</v>
      </c>
      <c r="G857" s="59">
        <f>Данные!G857</f>
        <v>0.75</v>
      </c>
      <c r="H857" s="59" t="str">
        <f>Данные!H857</f>
        <v>4 курс 2018 год/пост</v>
      </c>
      <c r="I857" s="59" t="str">
        <f>Данные!I857</f>
        <v>Руководство ВКР</v>
      </c>
      <c r="J857" s="59">
        <f>Данные!J857</f>
        <v>0</v>
      </c>
      <c r="K857" s="59">
        <f>Данные!K857</f>
        <v>0</v>
      </c>
      <c r="L857" s="59">
        <f>Данные!L857</f>
        <v>0</v>
      </c>
      <c r="M857" s="60">
        <f t="shared" si="117"/>
        <v>0</v>
      </c>
      <c r="N857" s="60">
        <f t="shared" ca="1" si="118"/>
        <v>14.870000000000001</v>
      </c>
      <c r="O857" s="60">
        <f t="shared" ca="1" si="119"/>
        <v>9.75</v>
      </c>
      <c r="P857" s="60">
        <f t="shared" ca="1" si="120"/>
        <v>9.75</v>
      </c>
      <c r="Q857" s="54">
        <f>Данные!Q857</f>
        <v>0</v>
      </c>
      <c r="R857" s="54">
        <f>Данные!R857</f>
        <v>0</v>
      </c>
      <c r="S857" s="54">
        <f>Данные!S857</f>
        <v>0</v>
      </c>
      <c r="T857" s="54">
        <f>Данные!T857</f>
        <v>0</v>
      </c>
      <c r="U857" s="54">
        <f>Данные!U857</f>
        <v>0</v>
      </c>
      <c r="V857" s="54">
        <f>Данные!V857</f>
        <v>40</v>
      </c>
      <c r="W857" s="54">
        <f ca="1">Данные!W857</f>
        <v>39</v>
      </c>
      <c r="X857" s="54" t="str">
        <f ca="1">Данные!X857</f>
        <v>2</v>
      </c>
      <c r="Y857" s="54" t="str">
        <f ca="1">Данные!Y857</f>
        <v>3</v>
      </c>
      <c r="Z857" s="54">
        <f>Данные!Z857</f>
        <v>0</v>
      </c>
      <c r="AA857" s="54" t="str">
        <f>Данные!AA857</f>
        <v>осн</v>
      </c>
      <c r="AB857" s="101">
        <f t="shared" si="121"/>
        <v>800</v>
      </c>
      <c r="AC857" s="101" t="str">
        <f t="shared" si="122"/>
        <v>ИВТ (бак)</v>
      </c>
      <c r="AD857" s="101" t="str">
        <f t="shared" si="123"/>
        <v/>
      </c>
      <c r="AE857" s="102">
        <f t="shared" ca="1" si="124"/>
        <v>74.37</v>
      </c>
      <c r="AF857" s="103">
        <f t="shared" ca="1" si="125"/>
        <v>9.2962500000000003E-2</v>
      </c>
      <c r="AG857" s="101"/>
      <c r="AH857" s="101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Q857" s="72">
        <v>0</v>
      </c>
      <c r="BR857" s="72">
        <v>0</v>
      </c>
      <c r="BS857" s="72">
        <v>0</v>
      </c>
      <c r="BT857" s="72">
        <v>0</v>
      </c>
      <c r="BU857" s="72">
        <v>0</v>
      </c>
      <c r="BV857" s="72">
        <v>0</v>
      </c>
      <c r="BW857" s="72">
        <v>0</v>
      </c>
      <c r="BX857" s="72">
        <v>0</v>
      </c>
      <c r="BY857" s="72">
        <v>0</v>
      </c>
      <c r="BZ857" s="72">
        <v>0</v>
      </c>
      <c r="CA857" s="72">
        <v>0</v>
      </c>
      <c r="CB857" s="72">
        <v>0</v>
      </c>
      <c r="CC857" s="72">
        <v>0</v>
      </c>
      <c r="CD857" s="72">
        <v>0</v>
      </c>
      <c r="CE857" s="72">
        <v>0</v>
      </c>
      <c r="CF857" s="72">
        <v>0</v>
      </c>
      <c r="CG857" s="72">
        <v>0</v>
      </c>
      <c r="CH857" s="72">
        <v>0</v>
      </c>
      <c r="CI857" s="72">
        <v>0</v>
      </c>
      <c r="CJ857" s="72">
        <v>0</v>
      </c>
      <c r="CK857" s="72">
        <v>0</v>
      </c>
      <c r="CL857" s="72">
        <v>0</v>
      </c>
      <c r="CM857" s="72">
        <v>0</v>
      </c>
      <c r="CN857" s="72">
        <v>0</v>
      </c>
      <c r="CO857" s="72">
        <v>0</v>
      </c>
      <c r="CP857" s="72">
        <v>0</v>
      </c>
      <c r="CQ857" s="72">
        <v>0</v>
      </c>
      <c r="CR857" s="72">
        <v>0</v>
      </c>
      <c r="CS857" s="72">
        <v>0</v>
      </c>
      <c r="CT857" s="72">
        <v>0</v>
      </c>
      <c r="CU857" s="72">
        <v>0</v>
      </c>
      <c r="CV857" s="72">
        <v>0</v>
      </c>
      <c r="CW857" s="72">
        <v>0</v>
      </c>
      <c r="CX857" s="72">
        <v>0</v>
      </c>
      <c r="CY857" s="72">
        <v>0</v>
      </c>
      <c r="CZ857" s="72">
        <v>0</v>
      </c>
      <c r="DA857" s="72">
        <v>0</v>
      </c>
      <c r="DB857" s="72">
        <v>0</v>
      </c>
      <c r="DC857" s="72">
        <v>0</v>
      </c>
      <c r="DD857" s="72">
        <v>0</v>
      </c>
      <c r="DE857" s="72">
        <v>0</v>
      </c>
      <c r="DF857" s="72">
        <v>0</v>
      </c>
      <c r="DG857" s="72">
        <v>0</v>
      </c>
      <c r="DH857" s="72">
        <v>0</v>
      </c>
      <c r="DI857" s="72">
        <v>0</v>
      </c>
      <c r="DJ857" s="72">
        <v>0</v>
      </c>
      <c r="DK857" s="72">
        <v>0</v>
      </c>
      <c r="DL857" s="72">
        <v>0</v>
      </c>
      <c r="DM857" s="72">
        <v>0</v>
      </c>
      <c r="DN857" s="72">
        <v>0</v>
      </c>
      <c r="DO857" s="72">
        <v>0</v>
      </c>
      <c r="DP857" s="72">
        <v>0</v>
      </c>
      <c r="DQ857" s="72">
        <v>0</v>
      </c>
      <c r="DR857" s="72">
        <v>0</v>
      </c>
      <c r="DS857" s="72">
        <v>0</v>
      </c>
      <c r="DT857" s="72">
        <v>0</v>
      </c>
      <c r="DU857" s="72">
        <v>0</v>
      </c>
      <c r="DV857" s="72">
        <v>0</v>
      </c>
      <c r="DW857" s="72">
        <v>0</v>
      </c>
      <c r="DX857" s="72">
        <v>0</v>
      </c>
      <c r="DY857" s="72">
        <v>0</v>
      </c>
      <c r="DZ857" s="72">
        <v>0</v>
      </c>
      <c r="EA857" s="72">
        <v>0</v>
      </c>
      <c r="EB857" s="72">
        <v>0</v>
      </c>
      <c r="EC857" s="72">
        <v>0</v>
      </c>
      <c r="ED857" s="72">
        <v>0</v>
      </c>
      <c r="EE857" s="72">
        <v>0</v>
      </c>
      <c r="EF857" s="72">
        <v>0</v>
      </c>
      <c r="EG857" s="72">
        <v>0</v>
      </c>
      <c r="EH857" s="72">
        <v>0</v>
      </c>
      <c r="EI857" s="72">
        <v>0</v>
      </c>
      <c r="EJ857" s="72">
        <v>0</v>
      </c>
      <c r="EK857" s="72">
        <v>0</v>
      </c>
      <c r="EL857" s="72">
        <v>0</v>
      </c>
    </row>
    <row r="858" spans="1:142" x14ac:dyDescent="0.35">
      <c r="A858" s="59">
        <f>Данные!A858</f>
        <v>6368</v>
      </c>
      <c r="B858" s="59">
        <f>Данные!B858</f>
        <v>2021</v>
      </c>
      <c r="C858" s="59" t="str">
        <f>Данные!C858</f>
        <v>компьютерных технологий и электронного обучения</v>
      </c>
      <c r="D858" s="59" t="str">
        <f>Данные!D858</f>
        <v>Абрамян Геннадий Владимирович</v>
      </c>
      <c r="E858" s="59" t="str">
        <f>Данные!E858</f>
        <v>доктор педагогических наук</v>
      </c>
      <c r="F858" s="59" t="str">
        <f>Данные!F858</f>
        <v>профессор</v>
      </c>
      <c r="G858" s="59">
        <f>Данные!G858</f>
        <v>1</v>
      </c>
      <c r="H858" s="59" t="str">
        <f>Данные!H858</f>
        <v>4 курс 2018 год/пост</v>
      </c>
      <c r="I858" s="59" t="str">
        <f>Данные!I858</f>
        <v>Руководство ВКР</v>
      </c>
      <c r="J858" s="59">
        <f>Данные!J858</f>
        <v>0</v>
      </c>
      <c r="K858" s="59">
        <f>Данные!K858</f>
        <v>0</v>
      </c>
      <c r="L858" s="59">
        <f>Данные!L858</f>
        <v>0</v>
      </c>
      <c r="M858" s="60">
        <f t="shared" si="117"/>
        <v>0</v>
      </c>
      <c r="N858" s="60">
        <f t="shared" ca="1" si="118"/>
        <v>14.870000000000001</v>
      </c>
      <c r="O858" s="60">
        <f t="shared" ca="1" si="119"/>
        <v>9.75</v>
      </c>
      <c r="P858" s="60">
        <f t="shared" ca="1" si="120"/>
        <v>9.75</v>
      </c>
      <c r="Q858" s="54">
        <f>Данные!Q858</f>
        <v>0</v>
      </c>
      <c r="R858" s="54">
        <f>Данные!R858</f>
        <v>0</v>
      </c>
      <c r="S858" s="54">
        <f>Данные!S858</f>
        <v>0</v>
      </c>
      <c r="T858" s="54">
        <f>Данные!T858</f>
        <v>0</v>
      </c>
      <c r="U858" s="54">
        <f>Данные!U858</f>
        <v>0</v>
      </c>
      <c r="V858" s="54">
        <f>Данные!V858</f>
        <v>20</v>
      </c>
      <c r="W858" s="54">
        <f ca="1">Данные!W858</f>
        <v>39</v>
      </c>
      <c r="X858" s="54" t="str">
        <f ca="1">Данные!X858</f>
        <v>2</v>
      </c>
      <c r="Y858" s="54" t="str">
        <f ca="1">Данные!Y858</f>
        <v>3</v>
      </c>
      <c r="Z858" s="54">
        <f>Данные!Z858</f>
        <v>0</v>
      </c>
      <c r="AA858" s="54">
        <f>Данные!AA858</f>
        <v>0</v>
      </c>
      <c r="AB858" s="101">
        <f t="shared" si="121"/>
        <v>750</v>
      </c>
      <c r="AC858" s="101" t="str">
        <f t="shared" si="122"/>
        <v>ИВТ (бак)</v>
      </c>
      <c r="AD858" s="101" t="str">
        <f t="shared" si="123"/>
        <v/>
      </c>
      <c r="AE858" s="102">
        <f t="shared" ca="1" si="124"/>
        <v>54.370000000000005</v>
      </c>
      <c r="AF858" s="103">
        <f t="shared" ca="1" si="125"/>
        <v>7.249333333333334E-2</v>
      </c>
      <c r="AG858" s="101"/>
      <c r="AH858" s="101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Q858" s="72">
        <v>0</v>
      </c>
      <c r="BR858" s="72">
        <v>0</v>
      </c>
      <c r="BS858" s="72">
        <v>0</v>
      </c>
      <c r="BT858" s="72">
        <v>0</v>
      </c>
      <c r="BU858" s="72">
        <v>0</v>
      </c>
      <c r="BV858" s="72">
        <v>0</v>
      </c>
      <c r="BW858" s="72">
        <v>0</v>
      </c>
      <c r="BX858" s="72">
        <v>0</v>
      </c>
      <c r="BY858" s="72">
        <v>0</v>
      </c>
      <c r="BZ858" s="72">
        <v>0</v>
      </c>
      <c r="CA858" s="72">
        <v>0</v>
      </c>
      <c r="CB858" s="72">
        <v>0</v>
      </c>
      <c r="CC858" s="72">
        <v>0</v>
      </c>
      <c r="CD858" s="72">
        <v>0</v>
      </c>
      <c r="CE858" s="72">
        <v>0</v>
      </c>
      <c r="CF858" s="72">
        <v>0</v>
      </c>
      <c r="CG858" s="72">
        <v>0</v>
      </c>
      <c r="CH858" s="72">
        <v>0</v>
      </c>
      <c r="CI858" s="72">
        <v>0</v>
      </c>
      <c r="CJ858" s="72">
        <v>0</v>
      </c>
      <c r="CK858" s="72">
        <v>0</v>
      </c>
      <c r="CL858" s="72">
        <v>0</v>
      </c>
      <c r="CM858" s="72">
        <v>0</v>
      </c>
      <c r="CN858" s="72">
        <v>0</v>
      </c>
      <c r="CO858" s="72">
        <v>0</v>
      </c>
      <c r="CP858" s="72">
        <v>0</v>
      </c>
      <c r="CQ858" s="72">
        <v>0</v>
      </c>
      <c r="CR858" s="72">
        <v>0</v>
      </c>
      <c r="CS858" s="72">
        <v>0</v>
      </c>
      <c r="CT858" s="72">
        <v>0</v>
      </c>
      <c r="CU858" s="72">
        <v>0</v>
      </c>
      <c r="CV858" s="72">
        <v>0</v>
      </c>
      <c r="CW858" s="72">
        <v>0</v>
      </c>
      <c r="CX858" s="72">
        <v>0</v>
      </c>
      <c r="CY858" s="72">
        <v>0</v>
      </c>
      <c r="CZ858" s="72">
        <v>0</v>
      </c>
      <c r="DA858" s="72">
        <v>0</v>
      </c>
      <c r="DB858" s="72">
        <v>0</v>
      </c>
      <c r="DC858" s="72">
        <v>0</v>
      </c>
      <c r="DD858" s="72">
        <v>0</v>
      </c>
      <c r="DE858" s="72">
        <v>0</v>
      </c>
      <c r="DF858" s="72">
        <v>0</v>
      </c>
      <c r="DG858" s="72">
        <v>0</v>
      </c>
      <c r="DH858" s="72">
        <v>0</v>
      </c>
      <c r="DI858" s="72">
        <v>0</v>
      </c>
      <c r="DJ858" s="72">
        <v>0</v>
      </c>
      <c r="DK858" s="72">
        <v>0</v>
      </c>
      <c r="DL858" s="72">
        <v>0</v>
      </c>
      <c r="DM858" s="72">
        <v>0</v>
      </c>
      <c r="DN858" s="72">
        <v>0</v>
      </c>
      <c r="DO858" s="72">
        <v>0</v>
      </c>
      <c r="DP858" s="72">
        <v>0</v>
      </c>
      <c r="DQ858" s="72">
        <v>0</v>
      </c>
      <c r="DR858" s="72">
        <v>0</v>
      </c>
      <c r="DS858" s="72">
        <v>0</v>
      </c>
      <c r="DT858" s="72">
        <v>0</v>
      </c>
      <c r="DU858" s="72">
        <v>0</v>
      </c>
      <c r="DV858" s="72">
        <v>0</v>
      </c>
      <c r="DW858" s="72">
        <v>0</v>
      </c>
      <c r="DX858" s="72">
        <v>0</v>
      </c>
      <c r="DY858" s="72">
        <v>0</v>
      </c>
      <c r="DZ858" s="72">
        <v>0</v>
      </c>
      <c r="EA858" s="72">
        <v>0</v>
      </c>
      <c r="EB858" s="72">
        <v>0</v>
      </c>
      <c r="EC858" s="72">
        <v>0</v>
      </c>
      <c r="ED858" s="72">
        <v>0</v>
      </c>
      <c r="EE858" s="72">
        <v>0</v>
      </c>
      <c r="EF858" s="72">
        <v>0</v>
      </c>
      <c r="EG858" s="72">
        <v>0</v>
      </c>
      <c r="EH858" s="72">
        <v>0</v>
      </c>
      <c r="EI858" s="72">
        <v>0</v>
      </c>
      <c r="EJ858" s="72">
        <v>0</v>
      </c>
      <c r="EK858" s="72">
        <v>0</v>
      </c>
      <c r="EL858" s="72">
        <v>0</v>
      </c>
    </row>
    <row r="859" spans="1:142" x14ac:dyDescent="0.35">
      <c r="A859" s="59">
        <f>Данные!A859</f>
        <v>6368</v>
      </c>
      <c r="B859" s="59">
        <f>Данные!B859</f>
        <v>2021</v>
      </c>
      <c r="C859" s="59" t="str">
        <f>Данные!C859</f>
        <v>компьютерных технологий и электронного обучения</v>
      </c>
      <c r="D859" s="59" t="str">
        <f>Данные!D859</f>
        <v>Копыльцов Александр Васильевич</v>
      </c>
      <c r="E859" s="59" t="str">
        <f>Данные!E859</f>
        <v>доктор технических наук</v>
      </c>
      <c r="F859" s="59" t="str">
        <f>Данные!F859</f>
        <v>внешний</v>
      </c>
      <c r="G859" s="59">
        <f>Данные!G859</f>
        <v>1</v>
      </c>
      <c r="H859" s="59" t="str">
        <f>Данные!H859</f>
        <v>4 курс 2018 год/пост</v>
      </c>
      <c r="I859" s="59" t="str">
        <f>Данные!I859</f>
        <v>Участие в ГЭК (защита, экзамен)</v>
      </c>
      <c r="J859" s="59">
        <f>Данные!J859</f>
        <v>0</v>
      </c>
      <c r="K859" s="59">
        <f>Данные!K859</f>
        <v>0</v>
      </c>
      <c r="L859" s="59">
        <f>Данные!L859</f>
        <v>0</v>
      </c>
      <c r="M859" s="60">
        <f t="shared" si="117"/>
        <v>0</v>
      </c>
      <c r="N859" s="60">
        <f t="shared" ca="1" si="118"/>
        <v>14.870000000000001</v>
      </c>
      <c r="O859" s="60">
        <f t="shared" ca="1" si="119"/>
        <v>9.75</v>
      </c>
      <c r="P859" s="60">
        <f t="shared" ca="1" si="120"/>
        <v>9.75</v>
      </c>
      <c r="Q859" s="54">
        <f>Данные!Q859</f>
        <v>0</v>
      </c>
      <c r="R859" s="54">
        <f>Данные!R859</f>
        <v>7</v>
      </c>
      <c r="S859" s="54">
        <f>Данные!S859</f>
        <v>5</v>
      </c>
      <c r="T859" s="54">
        <f>Данные!T859</f>
        <v>0</v>
      </c>
      <c r="U859" s="54">
        <f>Данные!U859</f>
        <v>0</v>
      </c>
      <c r="V859" s="54">
        <f>Данные!V859</f>
        <v>0</v>
      </c>
      <c r="W859" s="54">
        <f ca="1">Данные!W859</f>
        <v>39</v>
      </c>
      <c r="X859" s="54" t="str">
        <f ca="1">Данные!X859</f>
        <v>2</v>
      </c>
      <c r="Y859" s="54" t="str">
        <f ca="1">Данные!Y859</f>
        <v>3</v>
      </c>
      <c r="Z859" s="54">
        <f>Данные!Z859</f>
        <v>0</v>
      </c>
      <c r="AA859" s="54" t="str">
        <f>Данные!AA859</f>
        <v>осн</v>
      </c>
      <c r="AB859" s="101">
        <f t="shared" si="121"/>
        <v>900</v>
      </c>
      <c r="AC859" s="101" t="str">
        <f t="shared" si="122"/>
        <v>ИВТ (бак)</v>
      </c>
      <c r="AD859" s="101" t="str">
        <f t="shared" si="123"/>
        <v/>
      </c>
      <c r="AE859" s="102">
        <f t="shared" ca="1" si="124"/>
        <v>46.370000000000005</v>
      </c>
      <c r="AF859" s="103">
        <f t="shared" ca="1" si="125"/>
        <v>5.1522222222222226E-2</v>
      </c>
      <c r="AG859" s="101"/>
      <c r="AH859" s="101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Q859" s="72">
        <v>0</v>
      </c>
      <c r="BR859" s="72">
        <v>0</v>
      </c>
      <c r="BS859" s="72">
        <v>0</v>
      </c>
      <c r="BT859" s="72">
        <v>0</v>
      </c>
      <c r="BU859" s="72">
        <v>0</v>
      </c>
      <c r="BV859" s="72">
        <v>0</v>
      </c>
      <c r="BW859" s="72">
        <v>0</v>
      </c>
      <c r="BX859" s="72">
        <v>0</v>
      </c>
      <c r="BY859" s="72">
        <v>0</v>
      </c>
      <c r="BZ859" s="72">
        <v>0</v>
      </c>
      <c r="CA859" s="72">
        <v>0</v>
      </c>
      <c r="CB859" s="72">
        <v>0</v>
      </c>
      <c r="CC859" s="72">
        <v>0</v>
      </c>
      <c r="CD859" s="72">
        <v>0</v>
      </c>
      <c r="CE859" s="72">
        <v>0</v>
      </c>
      <c r="CF859" s="72">
        <v>0</v>
      </c>
      <c r="CG859" s="72">
        <v>0</v>
      </c>
      <c r="CH859" s="72">
        <v>0</v>
      </c>
      <c r="CI859" s="72">
        <v>0</v>
      </c>
      <c r="CJ859" s="72">
        <v>0</v>
      </c>
      <c r="CK859" s="72">
        <v>0</v>
      </c>
      <c r="CL859" s="72">
        <v>0</v>
      </c>
      <c r="CM859" s="72">
        <v>0</v>
      </c>
      <c r="CN859" s="72">
        <v>0</v>
      </c>
      <c r="CO859" s="72">
        <v>0</v>
      </c>
      <c r="CP859" s="72">
        <v>0</v>
      </c>
      <c r="CQ859" s="72">
        <v>0</v>
      </c>
      <c r="CR859" s="72">
        <v>0</v>
      </c>
      <c r="CS859" s="72">
        <v>0</v>
      </c>
      <c r="CT859" s="72">
        <v>0</v>
      </c>
      <c r="CU859" s="72">
        <v>0</v>
      </c>
      <c r="CV859" s="72">
        <v>0</v>
      </c>
      <c r="CW859" s="72">
        <v>0</v>
      </c>
      <c r="CX859" s="72">
        <v>0</v>
      </c>
      <c r="CY859" s="72">
        <v>0</v>
      </c>
      <c r="CZ859" s="72">
        <v>0</v>
      </c>
      <c r="DA859" s="72">
        <v>0</v>
      </c>
      <c r="DB859" s="72">
        <v>0</v>
      </c>
      <c r="DC859" s="72">
        <v>0</v>
      </c>
      <c r="DD859" s="72">
        <v>0</v>
      </c>
      <c r="DE859" s="72">
        <v>0</v>
      </c>
      <c r="DF859" s="72">
        <v>0</v>
      </c>
      <c r="DG859" s="72">
        <v>0</v>
      </c>
      <c r="DH859" s="72">
        <v>0</v>
      </c>
      <c r="DI859" s="72">
        <v>0</v>
      </c>
      <c r="DJ859" s="72">
        <v>0</v>
      </c>
      <c r="DK859" s="72">
        <v>0</v>
      </c>
      <c r="DL859" s="72">
        <v>0</v>
      </c>
      <c r="DM859" s="72">
        <v>0</v>
      </c>
      <c r="DN859" s="72">
        <v>0</v>
      </c>
      <c r="DO859" s="72">
        <v>0</v>
      </c>
      <c r="DP859" s="72">
        <v>0</v>
      </c>
      <c r="DQ859" s="72">
        <v>0</v>
      </c>
      <c r="DR859" s="72">
        <v>0</v>
      </c>
      <c r="DS859" s="72">
        <v>0</v>
      </c>
      <c r="DT859" s="72">
        <v>0</v>
      </c>
      <c r="DU859" s="72">
        <v>0</v>
      </c>
      <c r="DV859" s="72">
        <v>0</v>
      </c>
      <c r="DW859" s="72">
        <v>0</v>
      </c>
      <c r="DX859" s="72">
        <v>0</v>
      </c>
      <c r="DY859" s="72">
        <v>0</v>
      </c>
      <c r="DZ859" s="72">
        <v>0</v>
      </c>
      <c r="EA859" s="72">
        <v>0</v>
      </c>
      <c r="EB859" s="72">
        <v>0</v>
      </c>
      <c r="EC859" s="72">
        <v>0</v>
      </c>
      <c r="ED859" s="72">
        <v>0</v>
      </c>
      <c r="EE859" s="72">
        <v>0</v>
      </c>
      <c r="EF859" s="72">
        <v>0</v>
      </c>
      <c r="EG859" s="72">
        <v>0</v>
      </c>
      <c r="EH859" s="72">
        <v>0</v>
      </c>
      <c r="EI859" s="72">
        <v>0</v>
      </c>
      <c r="EJ859" s="72">
        <v>0</v>
      </c>
      <c r="EK859" s="72">
        <v>0</v>
      </c>
      <c r="EL859" s="72">
        <v>0</v>
      </c>
    </row>
    <row r="860" spans="1:142" x14ac:dyDescent="0.35">
      <c r="A860" s="59">
        <f>Данные!A860</f>
        <v>6368</v>
      </c>
      <c r="B860" s="59">
        <f>Данные!B860</f>
        <v>2021</v>
      </c>
      <c r="C860" s="59" t="str">
        <f>Данные!C860</f>
        <v>компьютерных технологий и электронного обучения</v>
      </c>
      <c r="D860" s="59" t="str">
        <f>Данные!D860</f>
        <v>Карпова Наталья Александровна</v>
      </c>
      <c r="E860" s="59" t="str">
        <f>Данные!E860</f>
        <v>кандидат технических наук</v>
      </c>
      <c r="F860" s="59" t="str">
        <f>Данные!F860</f>
        <v>доцент</v>
      </c>
      <c r="G860" s="59">
        <f>Данные!G860</f>
        <v>0.75</v>
      </c>
      <c r="H860" s="59" t="str">
        <f>Данные!H860</f>
        <v>4 курс 2018 год/пост</v>
      </c>
      <c r="I860" s="59" t="str">
        <f>Данные!I860</f>
        <v>Участие в ГЭК (защита, экзамен)</v>
      </c>
      <c r="J860" s="59">
        <f>Данные!J860</f>
        <v>0</v>
      </c>
      <c r="K860" s="59">
        <f>Данные!K860</f>
        <v>0</v>
      </c>
      <c r="L860" s="59">
        <f>Данные!L860</f>
        <v>0</v>
      </c>
      <c r="M860" s="60">
        <f t="shared" si="117"/>
        <v>0</v>
      </c>
      <c r="N860" s="60">
        <f t="shared" ca="1" si="118"/>
        <v>14.870000000000001</v>
      </c>
      <c r="O860" s="60">
        <f t="shared" ca="1" si="119"/>
        <v>9.75</v>
      </c>
      <c r="P860" s="60">
        <f t="shared" ca="1" si="120"/>
        <v>9.75</v>
      </c>
      <c r="Q860" s="54">
        <f>Данные!Q860</f>
        <v>0</v>
      </c>
      <c r="R860" s="54">
        <f>Данные!R860</f>
        <v>7</v>
      </c>
      <c r="S860" s="54">
        <f>Данные!S860</f>
        <v>5</v>
      </c>
      <c r="T860" s="54">
        <f>Данные!T860</f>
        <v>0</v>
      </c>
      <c r="U860" s="54">
        <f>Данные!U860</f>
        <v>0</v>
      </c>
      <c r="V860" s="54">
        <f>Данные!V860</f>
        <v>0</v>
      </c>
      <c r="W860" s="54">
        <f ca="1">Данные!W860</f>
        <v>39</v>
      </c>
      <c r="X860" s="54" t="str">
        <f ca="1">Данные!X860</f>
        <v>2</v>
      </c>
      <c r="Y860" s="54" t="str">
        <f ca="1">Данные!Y860</f>
        <v>3</v>
      </c>
      <c r="Z860" s="54">
        <f>Данные!Z860</f>
        <v>0</v>
      </c>
      <c r="AA860" s="54" t="str">
        <f>Данные!AA860</f>
        <v>осн</v>
      </c>
      <c r="AB860" s="101">
        <f t="shared" si="121"/>
        <v>800</v>
      </c>
      <c r="AC860" s="101" t="str">
        <f t="shared" si="122"/>
        <v>ИВТ (бак)</v>
      </c>
      <c r="AD860" s="101" t="str">
        <f t="shared" si="123"/>
        <v/>
      </c>
      <c r="AE860" s="102">
        <f t="shared" ca="1" si="124"/>
        <v>46.370000000000005</v>
      </c>
      <c r="AF860" s="103">
        <f t="shared" ca="1" si="125"/>
        <v>5.7962500000000007E-2</v>
      </c>
      <c r="AG860" s="101"/>
      <c r="AH860" s="101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Q860" s="72">
        <v>0</v>
      </c>
      <c r="BR860" s="72">
        <v>0</v>
      </c>
      <c r="BS860" s="72">
        <v>0</v>
      </c>
      <c r="BT860" s="72">
        <v>0</v>
      </c>
      <c r="BU860" s="72">
        <v>0</v>
      </c>
      <c r="BV860" s="72">
        <v>0</v>
      </c>
      <c r="BW860" s="72">
        <v>0</v>
      </c>
      <c r="BX860" s="72">
        <v>0</v>
      </c>
      <c r="BY860" s="72">
        <v>0</v>
      </c>
      <c r="BZ860" s="72">
        <v>0</v>
      </c>
      <c r="CA860" s="72">
        <v>0</v>
      </c>
      <c r="CB860" s="72">
        <v>0</v>
      </c>
      <c r="CC860" s="72">
        <v>0</v>
      </c>
      <c r="CD860" s="72">
        <v>0</v>
      </c>
      <c r="CE860" s="72">
        <v>0</v>
      </c>
      <c r="CF860" s="72">
        <v>0</v>
      </c>
      <c r="CG860" s="72">
        <v>0</v>
      </c>
      <c r="CH860" s="72">
        <v>0</v>
      </c>
      <c r="CI860" s="72">
        <v>0</v>
      </c>
      <c r="CJ860" s="72">
        <v>0</v>
      </c>
      <c r="CK860" s="72">
        <v>0</v>
      </c>
      <c r="CL860" s="72">
        <v>0</v>
      </c>
      <c r="CM860" s="72">
        <v>0</v>
      </c>
      <c r="CN860" s="72">
        <v>0</v>
      </c>
      <c r="CO860" s="72">
        <v>0</v>
      </c>
      <c r="CP860" s="72">
        <v>0</v>
      </c>
      <c r="CQ860" s="72">
        <v>0</v>
      </c>
      <c r="CR860" s="72">
        <v>0</v>
      </c>
      <c r="CS860" s="72">
        <v>0</v>
      </c>
      <c r="CT860" s="72">
        <v>0</v>
      </c>
      <c r="CU860" s="72">
        <v>0</v>
      </c>
      <c r="CV860" s="72">
        <v>0</v>
      </c>
      <c r="CW860" s="72">
        <v>0</v>
      </c>
      <c r="CX860" s="72">
        <v>0</v>
      </c>
      <c r="CY860" s="72">
        <v>0</v>
      </c>
      <c r="CZ860" s="72">
        <v>0</v>
      </c>
      <c r="DA860" s="72">
        <v>0</v>
      </c>
      <c r="DB860" s="72">
        <v>0</v>
      </c>
      <c r="DC860" s="72">
        <v>0</v>
      </c>
      <c r="DD860" s="72">
        <v>0</v>
      </c>
      <c r="DE860" s="72">
        <v>0</v>
      </c>
      <c r="DF860" s="72">
        <v>0</v>
      </c>
      <c r="DG860" s="72">
        <v>0</v>
      </c>
      <c r="DH860" s="72">
        <v>0</v>
      </c>
      <c r="DI860" s="72">
        <v>0</v>
      </c>
      <c r="DJ860" s="72">
        <v>0</v>
      </c>
      <c r="DK860" s="72">
        <v>0</v>
      </c>
      <c r="DL860" s="72">
        <v>0</v>
      </c>
      <c r="DM860" s="72">
        <v>0</v>
      </c>
      <c r="DN860" s="72">
        <v>0</v>
      </c>
      <c r="DO860" s="72">
        <v>0</v>
      </c>
      <c r="DP860" s="72">
        <v>0</v>
      </c>
      <c r="DQ860" s="72">
        <v>0</v>
      </c>
      <c r="DR860" s="72">
        <v>0</v>
      </c>
      <c r="DS860" s="72">
        <v>0</v>
      </c>
      <c r="DT860" s="72">
        <v>0</v>
      </c>
      <c r="DU860" s="72">
        <v>0</v>
      </c>
      <c r="DV860" s="72">
        <v>0</v>
      </c>
      <c r="DW860" s="72">
        <v>0</v>
      </c>
      <c r="DX860" s="72">
        <v>0</v>
      </c>
      <c r="DY860" s="72">
        <v>0</v>
      </c>
      <c r="DZ860" s="72">
        <v>0</v>
      </c>
      <c r="EA860" s="72">
        <v>0</v>
      </c>
      <c r="EB860" s="72">
        <v>0</v>
      </c>
      <c r="EC860" s="72">
        <v>0</v>
      </c>
      <c r="ED860" s="72">
        <v>0</v>
      </c>
      <c r="EE860" s="72">
        <v>0</v>
      </c>
      <c r="EF860" s="72">
        <v>0</v>
      </c>
      <c r="EG860" s="72">
        <v>0</v>
      </c>
      <c r="EH860" s="72">
        <v>0</v>
      </c>
      <c r="EI860" s="72">
        <v>0</v>
      </c>
      <c r="EJ860" s="72">
        <v>0</v>
      </c>
      <c r="EK860" s="72">
        <v>0</v>
      </c>
      <c r="EL860" s="72">
        <v>0</v>
      </c>
    </row>
    <row r="861" spans="1:142" x14ac:dyDescent="0.35">
      <c r="A861" s="59">
        <f>Данные!A861</f>
        <v>6368</v>
      </c>
      <c r="B861" s="59">
        <f>Данные!B861</f>
        <v>2021</v>
      </c>
      <c r="C861" s="59" t="str">
        <f>Данные!C861</f>
        <v>компьютерных технологий и электронного обучения</v>
      </c>
      <c r="D861" s="59" t="str">
        <f>Данные!D861</f>
        <v>Власова Елена Зотиковна</v>
      </c>
      <c r="E861" s="59" t="str">
        <f>Данные!E861</f>
        <v>доктор педагогических наук</v>
      </c>
      <c r="F861" s="59" t="str">
        <f>Данные!F861</f>
        <v>заведующий кафедрой</v>
      </c>
      <c r="G861" s="59">
        <f>Данные!G861</f>
        <v>1</v>
      </c>
      <c r="H861" s="59" t="str">
        <f>Данные!H861</f>
        <v>4 курс 2018 год/пост</v>
      </c>
      <c r="I861" s="59" t="str">
        <f>Данные!I861</f>
        <v>Участие в ГЭК (защита, экзамен)</v>
      </c>
      <c r="J861" s="59">
        <f>Данные!J861</f>
        <v>0</v>
      </c>
      <c r="K861" s="59">
        <f>Данные!K861</f>
        <v>0</v>
      </c>
      <c r="L861" s="59">
        <f>Данные!L861</f>
        <v>0</v>
      </c>
      <c r="M861" s="60">
        <f t="shared" si="117"/>
        <v>0</v>
      </c>
      <c r="N861" s="60">
        <f t="shared" ca="1" si="118"/>
        <v>14.870000000000001</v>
      </c>
      <c r="O861" s="60">
        <f t="shared" ca="1" si="119"/>
        <v>9.75</v>
      </c>
      <c r="P861" s="60">
        <f t="shared" ca="1" si="120"/>
        <v>9.75</v>
      </c>
      <c r="Q861" s="54">
        <f>Данные!Q861</f>
        <v>0</v>
      </c>
      <c r="R861" s="54">
        <f>Данные!R861</f>
        <v>6</v>
      </c>
      <c r="S861" s="54">
        <f>Данные!S861</f>
        <v>3</v>
      </c>
      <c r="T861" s="54">
        <f>Данные!T861</f>
        <v>0</v>
      </c>
      <c r="U861" s="54">
        <f>Данные!U861</f>
        <v>0</v>
      </c>
      <c r="V861" s="54">
        <f>Данные!V861</f>
        <v>0</v>
      </c>
      <c r="W861" s="54">
        <f ca="1">Данные!W861</f>
        <v>39</v>
      </c>
      <c r="X861" s="54" t="str">
        <f ca="1">Данные!X861</f>
        <v>2</v>
      </c>
      <c r="Y861" s="54" t="str">
        <f ca="1">Данные!Y861</f>
        <v>3</v>
      </c>
      <c r="Z861" s="54">
        <f>Данные!Z861</f>
        <v>0</v>
      </c>
      <c r="AA861" s="54" t="str">
        <f>Данные!AA861</f>
        <v>осн</v>
      </c>
      <c r="AB861" s="101">
        <f t="shared" si="121"/>
        <v>700</v>
      </c>
      <c r="AC861" s="101" t="str">
        <f t="shared" si="122"/>
        <v>ИВТ (бак)</v>
      </c>
      <c r="AD861" s="101" t="str">
        <f t="shared" si="123"/>
        <v/>
      </c>
      <c r="AE861" s="102">
        <f t="shared" ca="1" si="124"/>
        <v>43.370000000000005</v>
      </c>
      <c r="AF861" s="103">
        <f t="shared" ca="1" si="125"/>
        <v>6.1957142857142863E-2</v>
      </c>
      <c r="AG861" s="101"/>
      <c r="AH861" s="10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</row>
    <row r="862" spans="1:142" x14ac:dyDescent="0.35">
      <c r="A862" s="59">
        <f>Данные!A862</f>
        <v>6368</v>
      </c>
      <c r="B862" s="59">
        <f>Данные!B862</f>
        <v>2021</v>
      </c>
      <c r="C862" s="59" t="str">
        <f>Данные!C862</f>
        <v>компьютерных технологий и электронного обучения</v>
      </c>
      <c r="D862" s="59" t="str">
        <f>Данные!D862</f>
        <v>Воробьев Владимир Иванович</v>
      </c>
      <c r="E862" s="59" t="str">
        <f>Данные!E862</f>
        <v>доктор технических наук</v>
      </c>
      <c r="F862" s="59" t="str">
        <f>Данные!F862</f>
        <v>внешний</v>
      </c>
      <c r="G862" s="59">
        <f>Данные!G862</f>
        <v>1</v>
      </c>
      <c r="H862" s="59" t="str">
        <f>Данные!H862</f>
        <v>4 курс 2018 год/пост</v>
      </c>
      <c r="I862" s="59" t="str">
        <f>Данные!I862</f>
        <v>Предэкзаменационная консультация перед государственным экзаменом</v>
      </c>
      <c r="J862" s="59">
        <f>Данные!J862</f>
        <v>0</v>
      </c>
      <c r="K862" s="59">
        <f>Данные!K862</f>
        <v>0</v>
      </c>
      <c r="L862" s="59">
        <f>Данные!L862</f>
        <v>0</v>
      </c>
      <c r="M862" s="60">
        <f t="shared" si="117"/>
        <v>0</v>
      </c>
      <c r="N862" s="60">
        <f t="shared" ca="1" si="118"/>
        <v>14.870000000000001</v>
      </c>
      <c r="O862" s="60">
        <f t="shared" ca="1" si="119"/>
        <v>9.75</v>
      </c>
      <c r="P862" s="60">
        <f t="shared" ca="1" si="120"/>
        <v>9.75</v>
      </c>
      <c r="Q862" s="54">
        <f>Данные!Q862</f>
        <v>0</v>
      </c>
      <c r="R862" s="54">
        <f>Данные!R862</f>
        <v>0</v>
      </c>
      <c r="S862" s="54">
        <f>Данные!S862</f>
        <v>0</v>
      </c>
      <c r="T862" s="54">
        <f>Данные!T862</f>
        <v>0</v>
      </c>
      <c r="U862" s="54">
        <f>Данные!U862</f>
        <v>0</v>
      </c>
      <c r="V862" s="54">
        <f>Данные!V862</f>
        <v>0</v>
      </c>
      <c r="W862" s="54">
        <f ca="1">Данные!W862</f>
        <v>39</v>
      </c>
      <c r="X862" s="54" t="str">
        <f ca="1">Данные!X862</f>
        <v>2</v>
      </c>
      <c r="Y862" s="54" t="str">
        <f ca="1">Данные!Y862</f>
        <v>3</v>
      </c>
      <c r="Z862" s="54">
        <f>Данные!Z862</f>
        <v>0</v>
      </c>
      <c r="AA862" s="54" t="str">
        <f>Данные!AA862</f>
        <v>осн</v>
      </c>
      <c r="AB862" s="101">
        <f>VLOOKUP(F862, $BN$3:$BO$15, 2, 0)</f>
        <v>900</v>
      </c>
      <c r="AC862" s="101" t="str">
        <f t="shared" si="122"/>
        <v>ИВТ (бак)</v>
      </c>
      <c r="AD862" s="101" t="str">
        <f>IF(IFERROR(MATCH(H862, $AK$4:$AN$4, 0), 0)=1, "2015–2016", IF(IFERROR(MATCH(H862, $AO$4:$AR$4, 0), 0)=1, "2016–2017", IF(IFERROR(MATCH(H862, $AS$4:$AV$4, 0), 0)=1, "2017–2018", IF(IFERROR(MATCH(H862, $AW$4:$AZ$4, 0), 0)=1, "2018–2019", IF(IFERROR(MATCH(H862, $BA$4:$BD$4, 0), 0)=1, "2019–2020", IF(IFERROR(MATCH(H862, $BE$4:$BH$4, 0), 0)=1, "2020–2021", IF(IFERROR(MATCH(H862, $BI$4:$BL$4, 0), 0)=1, "2021–2022", "")))))))</f>
        <v/>
      </c>
      <c r="AE862" s="102">
        <f t="shared" ca="1" si="124"/>
        <v>34.370000000000005</v>
      </c>
      <c r="AF862" s="103">
        <f t="shared" ca="1" si="125"/>
        <v>3.8188888888888897E-2</v>
      </c>
      <c r="AG862" s="101"/>
      <c r="AH862" s="101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</row>
  </sheetData>
  <mergeCells count="15">
    <mergeCell ref="BI1:BL1"/>
    <mergeCell ref="J2:V2"/>
    <mergeCell ref="AK8:AN8"/>
    <mergeCell ref="AO8:AR8"/>
    <mergeCell ref="AS8:AV8"/>
    <mergeCell ref="AW8:AZ8"/>
    <mergeCell ref="BA8:BD8"/>
    <mergeCell ref="BE8:BH8"/>
    <mergeCell ref="BI8:BL8"/>
    <mergeCell ref="AK1:AN1"/>
    <mergeCell ref="AO1:AR1"/>
    <mergeCell ref="AS1:AV1"/>
    <mergeCell ref="AW1:AZ1"/>
    <mergeCell ref="BA1:BD1"/>
    <mergeCell ref="BE1:BH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AI862"/>
  <sheetViews>
    <sheetView zoomScale="85" zoomScaleNormal="85" workbookViewId="0">
      <pane ySplit="2" topLeftCell="A23" activePane="bottomLeft" state="frozen"/>
      <selection pane="bottomLeft"/>
    </sheetView>
  </sheetViews>
  <sheetFormatPr defaultColWidth="26.81640625" defaultRowHeight="14.5" x14ac:dyDescent="0.35"/>
  <cols>
    <col min="1" max="1" width="9.7265625" customWidth="1"/>
    <col min="2" max="2" width="11.1796875" customWidth="1"/>
    <col min="7" max="7" width="14.1796875" customWidth="1"/>
    <col min="8" max="8" width="10.54296875" customWidth="1"/>
    <col min="9" max="9" width="43.36328125" customWidth="1"/>
    <col min="10" max="10" width="9.54296875" customWidth="1"/>
    <col min="11" max="11" width="9.81640625" customWidth="1"/>
    <col min="12" max="12" width="9" customWidth="1"/>
    <col min="13" max="13" width="10.26953125" customWidth="1"/>
    <col min="14" max="15" width="8.54296875" customWidth="1"/>
    <col min="16" max="16" width="7.54296875" customWidth="1"/>
    <col min="17" max="17" width="10" customWidth="1"/>
    <col min="18" max="18" width="9.26953125" customWidth="1"/>
    <col min="19" max="19" width="11" customWidth="1"/>
    <col min="20" max="20" width="16.36328125" customWidth="1"/>
    <col min="21" max="21" width="13.54296875" customWidth="1"/>
    <col min="22" max="22" width="12.26953125" customWidth="1"/>
    <col min="23" max="25" width="10.81640625" customWidth="1"/>
    <col min="26" max="26" width="34.36328125" customWidth="1"/>
    <col min="27" max="27" width="14.81640625" customWidth="1"/>
    <col min="28" max="28" width="12.7265625" customWidth="1"/>
    <col min="29" max="29" width="21.36328125" customWidth="1"/>
    <col min="30" max="30" width="13.54296875" customWidth="1"/>
    <col min="31" max="31" width="16.1796875" customWidth="1"/>
    <col min="32" max="32" width="21" customWidth="1"/>
    <col min="33" max="33" width="16.7265625" style="15" customWidth="1"/>
    <col min="34" max="34" width="19.36328125" style="15" customWidth="1"/>
    <col min="35" max="35" width="9.1796875" style="15" customWidth="1"/>
  </cols>
  <sheetData>
    <row r="1" spans="1:35" s="6" customFormat="1" ht="44" thickBot="1" x14ac:dyDescent="0.4">
      <c r="A1" s="1"/>
      <c r="B1" s="2"/>
      <c r="C1" s="3"/>
      <c r="D1" s="8"/>
      <c r="E1" s="3"/>
      <c r="F1" s="3"/>
      <c r="G1" s="3"/>
      <c r="H1" s="2"/>
      <c r="I1" s="3"/>
      <c r="J1" s="25" t="s">
        <v>10</v>
      </c>
      <c r="K1" s="25" t="s">
        <v>11</v>
      </c>
      <c r="L1" s="25" t="s">
        <v>12</v>
      </c>
      <c r="M1" s="14" t="s">
        <v>284</v>
      </c>
      <c r="N1" s="14" t="s">
        <v>285</v>
      </c>
      <c r="O1" s="14" t="s">
        <v>286</v>
      </c>
      <c r="P1" s="14" t="s">
        <v>287</v>
      </c>
      <c r="Q1" s="14" t="s">
        <v>288</v>
      </c>
      <c r="R1" s="14" t="s">
        <v>303</v>
      </c>
      <c r="S1" s="14" t="s">
        <v>304</v>
      </c>
      <c r="T1" s="7" t="s">
        <v>13</v>
      </c>
      <c r="U1" s="25" t="s">
        <v>14</v>
      </c>
      <c r="V1" s="25" t="s">
        <v>17</v>
      </c>
      <c r="W1" s="2"/>
      <c r="X1" s="2"/>
      <c r="Y1" s="2"/>
      <c r="Z1" s="3"/>
      <c r="AA1" s="4"/>
      <c r="AB1" s="35" t="s">
        <v>289</v>
      </c>
      <c r="AC1" s="9" t="s">
        <v>314</v>
      </c>
      <c r="AD1" s="9" t="s">
        <v>290</v>
      </c>
      <c r="AE1" s="5" t="s">
        <v>291</v>
      </c>
      <c r="AF1" s="26" t="s">
        <v>292</v>
      </c>
      <c r="AG1" s="26" t="s">
        <v>376</v>
      </c>
      <c r="AH1" s="26" t="s">
        <v>377</v>
      </c>
      <c r="AI1" s="5"/>
    </row>
    <row r="2" spans="1:35" s="6" customFormat="1" ht="29" x14ac:dyDescent="0.35">
      <c r="A2" s="37" t="s">
        <v>7</v>
      </c>
      <c r="B2" s="38" t="s">
        <v>29</v>
      </c>
      <c r="C2" s="39" t="s">
        <v>2</v>
      </c>
      <c r="D2" s="39" t="s">
        <v>3</v>
      </c>
      <c r="E2" s="39" t="s">
        <v>4</v>
      </c>
      <c r="F2" s="39" t="s">
        <v>5</v>
      </c>
      <c r="G2" s="39" t="s">
        <v>6</v>
      </c>
      <c r="H2" s="38" t="s">
        <v>8</v>
      </c>
      <c r="I2" s="39" t="s">
        <v>9</v>
      </c>
      <c r="J2" s="110" t="s">
        <v>16</v>
      </c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38" t="s">
        <v>18</v>
      </c>
      <c r="X2" s="34" t="s">
        <v>378</v>
      </c>
      <c r="Y2" s="34" t="s">
        <v>379</v>
      </c>
      <c r="Z2" s="39" t="s">
        <v>15</v>
      </c>
      <c r="AA2" s="40" t="s">
        <v>19</v>
      </c>
      <c r="AB2" s="24"/>
      <c r="AC2" s="24"/>
      <c r="AD2" s="24"/>
      <c r="AE2" s="24"/>
      <c r="AF2" s="27"/>
      <c r="AG2" s="27"/>
      <c r="AH2" s="28"/>
      <c r="AI2" s="5"/>
    </row>
    <row r="3" spans="1:35" x14ac:dyDescent="0.3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2"/>
      <c r="AC3" s="42"/>
      <c r="AD3" s="42"/>
      <c r="AE3" s="43"/>
      <c r="AF3" s="23"/>
      <c r="AG3" s="5"/>
      <c r="AH3" s="5"/>
      <c r="AI3" s="5"/>
    </row>
    <row r="4" spans="1:35" x14ac:dyDescent="0.3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2"/>
      <c r="AC4" s="42"/>
      <c r="AD4" s="42"/>
      <c r="AE4" s="43"/>
      <c r="AF4" s="23"/>
      <c r="AG4" s="5"/>
      <c r="AH4" s="5"/>
      <c r="AI4" s="5"/>
    </row>
    <row r="5" spans="1:35" x14ac:dyDescent="0.3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2"/>
      <c r="AC5" s="42"/>
      <c r="AD5" s="42"/>
      <c r="AE5" s="43"/>
      <c r="AF5" s="23"/>
      <c r="AG5" s="5"/>
      <c r="AH5" s="5"/>
      <c r="AI5" s="5"/>
    </row>
    <row r="6" spans="1:35" x14ac:dyDescent="0.35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2"/>
      <c r="AC6" s="42"/>
      <c r="AD6" s="42"/>
      <c r="AE6" s="43"/>
      <c r="AF6" s="23"/>
      <c r="AG6" s="5"/>
      <c r="AH6" s="5"/>
      <c r="AI6" s="5"/>
    </row>
    <row r="7" spans="1:35" x14ac:dyDescent="0.3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2"/>
      <c r="AC7" s="42"/>
      <c r="AD7" s="42"/>
      <c r="AE7" s="43"/>
      <c r="AF7" s="23"/>
      <c r="AG7" s="5"/>
      <c r="AH7" s="5"/>
      <c r="AI7" s="5"/>
    </row>
    <row r="8" spans="1:35" x14ac:dyDescent="0.3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2"/>
      <c r="AC8" s="42"/>
      <c r="AD8" s="42"/>
      <c r="AE8" s="43"/>
      <c r="AF8" s="23"/>
      <c r="AG8" s="5"/>
      <c r="AH8" s="5"/>
      <c r="AI8" s="5"/>
    </row>
    <row r="9" spans="1:35" x14ac:dyDescent="0.3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2"/>
      <c r="AC9" s="42"/>
      <c r="AD9" s="42"/>
      <c r="AE9" s="43"/>
      <c r="AF9" s="23"/>
      <c r="AG9" s="5"/>
      <c r="AH9" s="5"/>
      <c r="AI9" s="5"/>
    </row>
    <row r="10" spans="1:35" x14ac:dyDescent="0.3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2"/>
      <c r="AC10" s="42"/>
      <c r="AD10" s="42"/>
      <c r="AE10" s="43"/>
      <c r="AF10" s="23"/>
      <c r="AG10" s="5"/>
      <c r="AH10" s="5"/>
      <c r="AI10" s="5"/>
    </row>
    <row r="11" spans="1:35" x14ac:dyDescent="0.3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2"/>
      <c r="AC11" s="42"/>
      <c r="AD11" s="42"/>
      <c r="AE11" s="43"/>
      <c r="AF11" s="23"/>
      <c r="AG11" s="5"/>
      <c r="AH11" s="5"/>
      <c r="AI11" s="5"/>
    </row>
    <row r="12" spans="1:35" x14ac:dyDescent="0.35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2"/>
      <c r="AC12" s="42"/>
      <c r="AD12" s="42"/>
      <c r="AE12" s="43"/>
      <c r="AF12" s="23"/>
      <c r="AG12" s="5"/>
      <c r="AH12" s="5"/>
      <c r="AI12" s="5"/>
    </row>
    <row r="13" spans="1:35" x14ac:dyDescent="0.35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2"/>
      <c r="AC13" s="42"/>
      <c r="AD13" s="42"/>
      <c r="AE13" s="43"/>
      <c r="AF13" s="23"/>
      <c r="AG13" s="5"/>
      <c r="AH13" s="5"/>
      <c r="AI13" s="5"/>
    </row>
    <row r="14" spans="1:35" x14ac:dyDescent="0.3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2"/>
      <c r="AC14" s="42"/>
      <c r="AD14" s="42"/>
      <c r="AE14" s="43"/>
      <c r="AF14" s="23"/>
      <c r="AG14" s="5"/>
      <c r="AH14" s="5"/>
      <c r="AI14" s="5"/>
    </row>
    <row r="15" spans="1:35" x14ac:dyDescent="0.3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2"/>
      <c r="AC15" s="42"/>
      <c r="AD15" s="42"/>
      <c r="AE15" s="43"/>
      <c r="AF15" s="23"/>
      <c r="AG15" s="5"/>
      <c r="AH15" s="5"/>
      <c r="AI15" s="5"/>
    </row>
    <row r="16" spans="1:35" x14ac:dyDescent="0.35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2"/>
      <c r="AC16" s="42"/>
      <c r="AD16" s="42"/>
      <c r="AE16" s="43"/>
      <c r="AF16" s="23"/>
      <c r="AG16" s="5"/>
      <c r="AH16" s="5"/>
      <c r="AI16" s="5"/>
    </row>
    <row r="17" spans="1:35" x14ac:dyDescent="0.35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2"/>
      <c r="AC17" s="42"/>
      <c r="AD17" s="42"/>
      <c r="AE17" s="43"/>
      <c r="AF17" s="23"/>
      <c r="AG17" s="5"/>
      <c r="AH17" s="5"/>
      <c r="AI17" s="5"/>
    </row>
    <row r="18" spans="1:35" x14ac:dyDescent="0.35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2"/>
      <c r="AC18" s="42"/>
      <c r="AD18" s="42"/>
      <c r="AE18" s="43"/>
      <c r="AF18" s="23"/>
      <c r="AG18" s="5"/>
      <c r="AH18" s="5"/>
      <c r="AI18" s="5"/>
    </row>
    <row r="19" spans="1:35" x14ac:dyDescent="0.3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2"/>
      <c r="AC19" s="42"/>
      <c r="AD19" s="42"/>
      <c r="AE19" s="43"/>
      <c r="AF19" s="23"/>
      <c r="AG19" s="5"/>
      <c r="AH19" s="5"/>
      <c r="AI19" s="5"/>
    </row>
    <row r="20" spans="1:35" x14ac:dyDescent="0.3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2"/>
      <c r="AC20" s="42"/>
      <c r="AD20" s="42"/>
      <c r="AE20" s="43"/>
      <c r="AF20" s="23"/>
      <c r="AG20" s="5"/>
      <c r="AH20" s="5"/>
      <c r="AI20" s="5"/>
    </row>
    <row r="21" spans="1:35" x14ac:dyDescent="0.3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2"/>
      <c r="AC21" s="42"/>
      <c r="AD21" s="42"/>
      <c r="AE21" s="43"/>
      <c r="AF21" s="23"/>
      <c r="AG21" s="5"/>
      <c r="AH21" s="5"/>
      <c r="AI21" s="5"/>
    </row>
    <row r="22" spans="1:35" x14ac:dyDescent="0.3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2"/>
      <c r="AC22" s="42"/>
      <c r="AD22" s="42"/>
      <c r="AE22" s="43"/>
      <c r="AF22" s="23"/>
      <c r="AG22" s="5"/>
      <c r="AH22" s="5"/>
      <c r="AI22" s="5"/>
    </row>
    <row r="23" spans="1:35" x14ac:dyDescent="0.3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2"/>
      <c r="AC23" s="42"/>
      <c r="AD23" s="42"/>
      <c r="AE23" s="43"/>
      <c r="AF23" s="23"/>
      <c r="AG23" s="5"/>
      <c r="AH23" s="5"/>
      <c r="AI23" s="5"/>
    </row>
    <row r="24" spans="1:35" x14ac:dyDescent="0.3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2"/>
      <c r="AC24" s="42"/>
      <c r="AD24" s="42"/>
      <c r="AE24" s="43"/>
      <c r="AF24" s="23"/>
      <c r="AG24" s="5"/>
      <c r="AH24" s="5"/>
      <c r="AI24" s="5"/>
    </row>
    <row r="25" spans="1:35" x14ac:dyDescent="0.3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2"/>
      <c r="AC25" s="42"/>
      <c r="AD25" s="42"/>
      <c r="AE25" s="43"/>
      <c r="AF25" s="23"/>
      <c r="AG25" s="5"/>
      <c r="AH25" s="5"/>
      <c r="AI25" s="5"/>
    </row>
    <row r="26" spans="1:35" x14ac:dyDescent="0.3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2"/>
      <c r="AC26" s="42"/>
      <c r="AD26" s="42"/>
      <c r="AE26" s="43"/>
      <c r="AF26" s="23"/>
      <c r="AG26" s="5"/>
      <c r="AH26" s="5"/>
      <c r="AI26" s="5"/>
    </row>
    <row r="27" spans="1:35" x14ac:dyDescent="0.3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2"/>
      <c r="AC27" s="42"/>
      <c r="AD27" s="42"/>
      <c r="AE27" s="43"/>
      <c r="AF27" s="23"/>
      <c r="AG27" s="5"/>
      <c r="AH27" s="5"/>
      <c r="AI27" s="5"/>
    </row>
    <row r="28" spans="1:35" x14ac:dyDescent="0.3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2"/>
      <c r="AC28" s="42"/>
      <c r="AD28" s="42"/>
      <c r="AE28" s="43"/>
      <c r="AF28" s="23"/>
      <c r="AG28" s="5"/>
      <c r="AH28" s="5"/>
      <c r="AI28" s="5"/>
    </row>
    <row r="29" spans="1:35" x14ac:dyDescent="0.3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2"/>
      <c r="AC29" s="42"/>
      <c r="AD29" s="42"/>
      <c r="AE29" s="43"/>
      <c r="AF29" s="23"/>
      <c r="AG29" s="5"/>
      <c r="AH29" s="5"/>
      <c r="AI29" s="5"/>
    </row>
    <row r="30" spans="1:35" x14ac:dyDescent="0.3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2"/>
      <c r="AC30" s="42"/>
      <c r="AD30" s="42"/>
      <c r="AE30" s="43"/>
      <c r="AF30" s="23"/>
      <c r="AG30" s="5"/>
      <c r="AH30" s="5"/>
      <c r="AI30" s="5"/>
    </row>
    <row r="31" spans="1:35" x14ac:dyDescent="0.3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2"/>
      <c r="AC31" s="42"/>
      <c r="AD31" s="42"/>
      <c r="AE31" s="43"/>
      <c r="AF31" s="23"/>
      <c r="AG31" s="5"/>
      <c r="AH31" s="5"/>
      <c r="AI31" s="5"/>
    </row>
    <row r="32" spans="1:35" x14ac:dyDescent="0.3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2"/>
      <c r="AC32" s="42"/>
      <c r="AD32" s="42"/>
      <c r="AE32" s="43"/>
      <c r="AF32" s="23"/>
      <c r="AG32" s="5"/>
      <c r="AH32" s="5"/>
      <c r="AI32" s="5"/>
    </row>
    <row r="33" spans="1:35" x14ac:dyDescent="0.3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2"/>
      <c r="AC33" s="42"/>
      <c r="AD33" s="42"/>
      <c r="AE33" s="43"/>
      <c r="AF33" s="23"/>
      <c r="AG33" s="5"/>
      <c r="AH33" s="5"/>
      <c r="AI33" s="5"/>
    </row>
    <row r="34" spans="1:35" x14ac:dyDescent="0.3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2"/>
      <c r="AC34" s="42"/>
      <c r="AD34" s="42"/>
      <c r="AE34" s="43"/>
      <c r="AF34" s="23"/>
      <c r="AG34" s="5"/>
      <c r="AH34" s="5"/>
      <c r="AI34" s="5"/>
    </row>
    <row r="35" spans="1:35" x14ac:dyDescent="0.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2"/>
      <c r="AC35" s="42"/>
      <c r="AD35" s="42"/>
      <c r="AE35" s="43"/>
      <c r="AF35" s="23"/>
      <c r="AG35" s="5"/>
      <c r="AH35" s="5"/>
      <c r="AI35" s="5"/>
    </row>
    <row r="36" spans="1:35" x14ac:dyDescent="0.35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2"/>
      <c r="AC36" s="42"/>
      <c r="AD36" s="42"/>
      <c r="AE36" s="43"/>
      <c r="AF36" s="23"/>
      <c r="AG36" s="5"/>
      <c r="AH36" s="5"/>
      <c r="AI36" s="5"/>
    </row>
    <row r="37" spans="1:35" x14ac:dyDescent="0.35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2"/>
      <c r="AC37" s="42"/>
      <c r="AD37" s="42"/>
      <c r="AE37" s="43"/>
      <c r="AF37" s="23"/>
      <c r="AG37" s="5"/>
      <c r="AH37" s="5"/>
      <c r="AI37" s="5"/>
    </row>
    <row r="38" spans="1:35" x14ac:dyDescent="0.35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2"/>
      <c r="AC38" s="42"/>
      <c r="AD38" s="42"/>
      <c r="AE38" s="43"/>
      <c r="AF38" s="23"/>
      <c r="AG38" s="5"/>
      <c r="AH38" s="5"/>
      <c r="AI38" s="5"/>
    </row>
    <row r="39" spans="1:35" x14ac:dyDescent="0.35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2"/>
      <c r="AC39" s="42"/>
      <c r="AD39" s="42"/>
      <c r="AE39" s="43"/>
      <c r="AF39" s="23"/>
      <c r="AG39" s="5"/>
      <c r="AH39" s="5"/>
      <c r="AI39" s="5"/>
    </row>
    <row r="40" spans="1:35" x14ac:dyDescent="0.35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2"/>
      <c r="AC40" s="42"/>
      <c r="AD40" s="42"/>
      <c r="AE40" s="43"/>
      <c r="AF40" s="23"/>
      <c r="AG40" s="5"/>
      <c r="AH40" s="5"/>
      <c r="AI40" s="5"/>
    </row>
    <row r="41" spans="1:35" x14ac:dyDescent="0.35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2"/>
      <c r="AC41" s="42"/>
      <c r="AD41" s="42"/>
      <c r="AE41" s="43"/>
      <c r="AF41" s="23"/>
      <c r="AG41" s="5"/>
      <c r="AH41" s="5"/>
      <c r="AI41" s="5"/>
    </row>
    <row r="42" spans="1:35" x14ac:dyDescent="0.3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2"/>
      <c r="AC42" s="42"/>
      <c r="AD42" s="42"/>
      <c r="AE42" s="43"/>
      <c r="AF42" s="23"/>
      <c r="AG42" s="5"/>
      <c r="AH42" s="5"/>
      <c r="AI42" s="5"/>
    </row>
    <row r="43" spans="1:35" x14ac:dyDescent="0.35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2"/>
      <c r="AC43" s="42"/>
      <c r="AD43" s="42"/>
      <c r="AE43" s="43"/>
      <c r="AF43" s="23"/>
      <c r="AG43" s="5"/>
      <c r="AH43" s="5"/>
      <c r="AI43" s="5"/>
    </row>
    <row r="44" spans="1:35" x14ac:dyDescent="0.3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2"/>
      <c r="AC44" s="42"/>
      <c r="AD44" s="42"/>
      <c r="AE44" s="43"/>
      <c r="AF44" s="23"/>
      <c r="AG44" s="5"/>
      <c r="AH44" s="5"/>
      <c r="AI44" s="5"/>
    </row>
    <row r="45" spans="1:35" x14ac:dyDescent="0.3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2"/>
      <c r="AC45" s="42"/>
      <c r="AD45" s="42"/>
      <c r="AE45" s="43"/>
      <c r="AF45" s="23"/>
      <c r="AG45" s="5"/>
      <c r="AH45" s="5"/>
      <c r="AI45" s="5"/>
    </row>
    <row r="46" spans="1:35" x14ac:dyDescent="0.35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2"/>
      <c r="AC46" s="42"/>
      <c r="AD46" s="42"/>
      <c r="AE46" s="43"/>
      <c r="AF46" s="23"/>
      <c r="AG46" s="5"/>
      <c r="AH46" s="5"/>
      <c r="AI46" s="5"/>
    </row>
    <row r="47" spans="1:35" x14ac:dyDescent="0.3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2"/>
      <c r="AC47" s="42"/>
      <c r="AD47" s="42"/>
      <c r="AE47" s="43"/>
      <c r="AF47" s="23"/>
      <c r="AG47" s="5"/>
      <c r="AH47" s="5"/>
      <c r="AI47" s="5"/>
    </row>
    <row r="48" spans="1:35" x14ac:dyDescent="0.35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2"/>
      <c r="AC48" s="42"/>
      <c r="AD48" s="42"/>
      <c r="AE48" s="43"/>
      <c r="AF48" s="23"/>
      <c r="AG48" s="5"/>
      <c r="AH48" s="5"/>
      <c r="AI48" s="5"/>
    </row>
    <row r="49" spans="1:35" x14ac:dyDescent="0.35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2"/>
      <c r="AC49" s="42"/>
      <c r="AD49" s="42"/>
      <c r="AE49" s="43"/>
      <c r="AF49" s="23"/>
      <c r="AG49" s="5"/>
      <c r="AH49" s="5"/>
      <c r="AI49" s="5"/>
    </row>
    <row r="50" spans="1:35" x14ac:dyDescent="0.35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2"/>
      <c r="AC50" s="42"/>
      <c r="AD50" s="42"/>
      <c r="AE50" s="43"/>
      <c r="AF50" s="23"/>
      <c r="AG50" s="5"/>
      <c r="AH50" s="5"/>
      <c r="AI50" s="5"/>
    </row>
    <row r="51" spans="1:35" x14ac:dyDescent="0.35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2"/>
      <c r="AC51" s="42"/>
      <c r="AD51" s="42"/>
      <c r="AE51" s="43"/>
      <c r="AF51" s="23"/>
      <c r="AG51" s="5"/>
      <c r="AH51" s="5"/>
      <c r="AI51" s="5"/>
    </row>
    <row r="52" spans="1:35" x14ac:dyDescent="0.35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2"/>
      <c r="AC52" s="42"/>
      <c r="AD52" s="42"/>
      <c r="AE52" s="43"/>
      <c r="AF52" s="23"/>
      <c r="AG52" s="5"/>
      <c r="AH52" s="5"/>
      <c r="AI52" s="5"/>
    </row>
    <row r="53" spans="1:35" x14ac:dyDescent="0.35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2"/>
      <c r="AC53" s="42"/>
      <c r="AD53" s="42"/>
      <c r="AE53" s="43"/>
      <c r="AF53" s="23"/>
      <c r="AG53" s="5"/>
      <c r="AH53" s="5"/>
      <c r="AI53" s="5"/>
    </row>
    <row r="54" spans="1:35" x14ac:dyDescent="0.35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2"/>
      <c r="AC54" s="42"/>
      <c r="AD54" s="42"/>
      <c r="AE54" s="43"/>
      <c r="AF54" s="23"/>
      <c r="AG54" s="5"/>
      <c r="AH54" s="5"/>
      <c r="AI54" s="5"/>
    </row>
    <row r="55" spans="1:35" x14ac:dyDescent="0.3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2"/>
      <c r="AC55" s="42"/>
      <c r="AD55" s="42"/>
      <c r="AE55" s="43"/>
      <c r="AF55" s="23"/>
      <c r="AG55" s="5"/>
      <c r="AH55" s="5"/>
      <c r="AI55" s="5"/>
    </row>
    <row r="56" spans="1:35" x14ac:dyDescent="0.35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2"/>
      <c r="AC56" s="42"/>
      <c r="AD56" s="42"/>
      <c r="AE56" s="43"/>
      <c r="AF56" s="23"/>
      <c r="AG56" s="5"/>
      <c r="AH56" s="5"/>
      <c r="AI56" s="5"/>
    </row>
    <row r="57" spans="1:35" x14ac:dyDescent="0.3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2"/>
      <c r="AC57" s="42"/>
      <c r="AD57" s="42"/>
      <c r="AE57" s="43"/>
      <c r="AF57" s="23"/>
      <c r="AG57" s="5"/>
      <c r="AH57" s="5"/>
      <c r="AI57" s="5"/>
    </row>
    <row r="58" spans="1:35" x14ac:dyDescent="0.3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2"/>
      <c r="AC58" s="42"/>
      <c r="AD58" s="42"/>
      <c r="AE58" s="43"/>
      <c r="AF58" s="23"/>
      <c r="AG58" s="5"/>
      <c r="AH58" s="5"/>
      <c r="AI58" s="5"/>
    </row>
    <row r="59" spans="1:35" x14ac:dyDescent="0.35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2"/>
      <c r="AC59" s="42"/>
      <c r="AD59" s="42"/>
      <c r="AE59" s="43"/>
      <c r="AF59" s="23"/>
      <c r="AG59" s="5"/>
      <c r="AH59" s="5"/>
      <c r="AI59" s="5"/>
    </row>
    <row r="60" spans="1:35" x14ac:dyDescent="0.35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2"/>
      <c r="AC60" s="42"/>
      <c r="AD60" s="42"/>
      <c r="AE60" s="43"/>
      <c r="AF60" s="23"/>
      <c r="AG60" s="5"/>
      <c r="AH60" s="5"/>
      <c r="AI60" s="5"/>
    </row>
    <row r="61" spans="1:35" x14ac:dyDescent="0.35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2"/>
      <c r="AC61" s="42"/>
      <c r="AD61" s="42"/>
      <c r="AE61" s="43"/>
      <c r="AF61" s="23"/>
      <c r="AG61" s="5"/>
      <c r="AH61" s="5"/>
      <c r="AI61" s="5"/>
    </row>
    <row r="62" spans="1:35" x14ac:dyDescent="0.35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2"/>
      <c r="AC62" s="42"/>
      <c r="AD62" s="42"/>
      <c r="AE62" s="43"/>
      <c r="AF62" s="23"/>
      <c r="AG62" s="5"/>
      <c r="AH62" s="5"/>
      <c r="AI62" s="5"/>
    </row>
    <row r="63" spans="1:35" x14ac:dyDescent="0.35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2"/>
      <c r="AC63" s="42"/>
      <c r="AD63" s="42"/>
      <c r="AE63" s="43"/>
      <c r="AF63" s="23"/>
      <c r="AG63" s="5"/>
      <c r="AH63" s="5"/>
      <c r="AI63" s="5"/>
    </row>
    <row r="64" spans="1:35" x14ac:dyDescent="0.35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2"/>
      <c r="AC64" s="42"/>
      <c r="AD64" s="42"/>
      <c r="AE64" s="43"/>
      <c r="AF64" s="23"/>
      <c r="AG64" s="5"/>
      <c r="AH64" s="5"/>
      <c r="AI64" s="5"/>
    </row>
    <row r="65" spans="1:35" x14ac:dyDescent="0.3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2"/>
      <c r="AC65" s="42"/>
      <c r="AD65" s="42"/>
      <c r="AE65" s="43"/>
      <c r="AF65" s="23"/>
      <c r="AG65" s="5"/>
      <c r="AH65" s="5"/>
      <c r="AI65" s="5"/>
    </row>
    <row r="66" spans="1:35" x14ac:dyDescent="0.35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2"/>
      <c r="AC66" s="42"/>
      <c r="AD66" s="42"/>
      <c r="AE66" s="43"/>
      <c r="AF66" s="23"/>
      <c r="AG66" s="5"/>
      <c r="AH66" s="5"/>
      <c r="AI66" s="5"/>
    </row>
    <row r="67" spans="1:35" x14ac:dyDescent="0.35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2"/>
      <c r="AC67" s="42"/>
      <c r="AD67" s="42"/>
      <c r="AE67" s="43"/>
      <c r="AF67" s="23"/>
      <c r="AG67" s="5"/>
      <c r="AH67" s="5"/>
      <c r="AI67" s="5"/>
    </row>
    <row r="68" spans="1:35" x14ac:dyDescent="0.35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2"/>
      <c r="AC68" s="42"/>
      <c r="AD68" s="42"/>
      <c r="AE68" s="43"/>
      <c r="AF68" s="23"/>
      <c r="AG68" s="5"/>
      <c r="AH68" s="5"/>
      <c r="AI68" s="5"/>
    </row>
    <row r="69" spans="1:35" x14ac:dyDescent="0.35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2"/>
      <c r="AC69" s="42"/>
      <c r="AD69" s="42"/>
      <c r="AE69" s="43"/>
      <c r="AF69" s="23"/>
      <c r="AG69" s="5"/>
      <c r="AH69" s="5"/>
      <c r="AI69" s="5"/>
    </row>
    <row r="70" spans="1:35" x14ac:dyDescent="0.35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2"/>
      <c r="AC70" s="42"/>
      <c r="AD70" s="42"/>
      <c r="AE70" s="43"/>
      <c r="AF70" s="23"/>
      <c r="AG70" s="5"/>
      <c r="AH70" s="5"/>
      <c r="AI70" s="5"/>
    </row>
    <row r="71" spans="1:35" x14ac:dyDescent="0.35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2"/>
      <c r="AC71" s="42"/>
      <c r="AD71" s="42"/>
      <c r="AE71" s="43"/>
      <c r="AF71" s="23"/>
      <c r="AG71" s="5"/>
      <c r="AH71" s="5"/>
      <c r="AI71" s="5"/>
    </row>
    <row r="72" spans="1:35" x14ac:dyDescent="0.35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2"/>
      <c r="AC72" s="42"/>
      <c r="AD72" s="42"/>
      <c r="AE72" s="43"/>
      <c r="AF72" s="23"/>
      <c r="AG72" s="5"/>
      <c r="AH72" s="5"/>
      <c r="AI72" s="5"/>
    </row>
    <row r="73" spans="1:35" x14ac:dyDescent="0.35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2"/>
      <c r="AC73" s="42"/>
      <c r="AD73" s="42"/>
      <c r="AE73" s="43"/>
      <c r="AF73" s="23"/>
      <c r="AG73" s="5"/>
      <c r="AH73" s="5"/>
      <c r="AI73" s="5"/>
    </row>
    <row r="74" spans="1:35" x14ac:dyDescent="0.35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2"/>
      <c r="AC74" s="42"/>
      <c r="AD74" s="42"/>
      <c r="AE74" s="43"/>
      <c r="AF74" s="23"/>
      <c r="AG74" s="5"/>
      <c r="AH74" s="5"/>
      <c r="AI74" s="5"/>
    </row>
    <row r="75" spans="1:35" x14ac:dyDescent="0.3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2"/>
      <c r="AC75" s="42"/>
      <c r="AD75" s="42"/>
      <c r="AE75" s="43"/>
      <c r="AF75" s="23"/>
      <c r="AG75" s="5"/>
      <c r="AH75" s="5"/>
      <c r="AI75" s="5"/>
    </row>
    <row r="76" spans="1:35" x14ac:dyDescent="0.35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2"/>
      <c r="AC76" s="42"/>
      <c r="AD76" s="42"/>
      <c r="AE76" s="43"/>
      <c r="AF76" s="23"/>
      <c r="AG76" s="5"/>
      <c r="AH76" s="5"/>
      <c r="AI76" s="5"/>
    </row>
    <row r="77" spans="1:35" x14ac:dyDescent="0.35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2"/>
      <c r="AC77" s="42"/>
      <c r="AD77" s="42"/>
      <c r="AE77" s="43"/>
      <c r="AF77" s="23"/>
      <c r="AG77" s="5"/>
      <c r="AH77" s="5"/>
      <c r="AI77" s="5"/>
    </row>
    <row r="78" spans="1:35" x14ac:dyDescent="0.35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2"/>
      <c r="AC78" s="42"/>
      <c r="AD78" s="42"/>
      <c r="AE78" s="43"/>
      <c r="AF78" s="23"/>
      <c r="AG78" s="5"/>
      <c r="AH78" s="5"/>
      <c r="AI78" s="5"/>
    </row>
    <row r="79" spans="1:35" x14ac:dyDescent="0.35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2"/>
      <c r="AC79" s="42"/>
      <c r="AD79" s="42"/>
      <c r="AE79" s="43"/>
      <c r="AF79" s="23"/>
      <c r="AG79" s="5"/>
      <c r="AH79" s="5"/>
      <c r="AI79" s="5"/>
    </row>
    <row r="80" spans="1:35" x14ac:dyDescent="0.35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2"/>
      <c r="AC80" s="42"/>
      <c r="AD80" s="42"/>
      <c r="AE80" s="43"/>
      <c r="AF80" s="23"/>
      <c r="AG80" s="5"/>
      <c r="AH80" s="5"/>
      <c r="AI80" s="5"/>
    </row>
    <row r="81" spans="1:35" x14ac:dyDescent="0.35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2"/>
      <c r="AC81" s="42"/>
      <c r="AD81" s="42"/>
      <c r="AE81" s="43"/>
      <c r="AF81" s="23"/>
      <c r="AG81" s="5"/>
      <c r="AH81" s="5"/>
      <c r="AI81" s="5"/>
    </row>
    <row r="82" spans="1:35" x14ac:dyDescent="0.35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2"/>
      <c r="AC82" s="42"/>
      <c r="AD82" s="42"/>
      <c r="AE82" s="43"/>
      <c r="AF82" s="23"/>
      <c r="AG82" s="5"/>
      <c r="AH82" s="5"/>
      <c r="AI82" s="5"/>
    </row>
    <row r="83" spans="1:35" x14ac:dyDescent="0.35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2"/>
      <c r="AC83" s="42"/>
      <c r="AD83" s="42"/>
      <c r="AE83" s="43"/>
      <c r="AF83" s="23"/>
      <c r="AG83" s="5"/>
      <c r="AH83" s="5"/>
      <c r="AI83" s="5"/>
    </row>
    <row r="84" spans="1:35" x14ac:dyDescent="0.35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2"/>
      <c r="AC84" s="42"/>
      <c r="AD84" s="42"/>
      <c r="AE84" s="43"/>
      <c r="AF84" s="23"/>
      <c r="AG84" s="5"/>
      <c r="AH84" s="5"/>
      <c r="AI84" s="5"/>
    </row>
    <row r="85" spans="1:35" x14ac:dyDescent="0.3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2"/>
      <c r="AC85" s="42"/>
      <c r="AD85" s="42"/>
      <c r="AE85" s="43"/>
      <c r="AF85" s="23"/>
      <c r="AG85" s="5"/>
      <c r="AH85" s="5"/>
      <c r="AI85" s="5"/>
    </row>
    <row r="86" spans="1:35" x14ac:dyDescent="0.35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2"/>
      <c r="AC86" s="42"/>
      <c r="AD86" s="42"/>
      <c r="AE86" s="43"/>
      <c r="AF86" s="23"/>
      <c r="AG86" s="5"/>
      <c r="AH86" s="5"/>
      <c r="AI86" s="5"/>
    </row>
    <row r="87" spans="1:35" x14ac:dyDescent="0.35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2"/>
      <c r="AC87" s="42"/>
      <c r="AD87" s="42"/>
      <c r="AE87" s="43"/>
      <c r="AF87" s="23"/>
      <c r="AG87" s="5"/>
      <c r="AH87" s="5"/>
      <c r="AI87" s="5"/>
    </row>
    <row r="88" spans="1:35" x14ac:dyDescent="0.35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2"/>
      <c r="AC88" s="42"/>
      <c r="AD88" s="42"/>
      <c r="AE88" s="43"/>
      <c r="AF88" s="23"/>
      <c r="AG88" s="5"/>
      <c r="AH88" s="5"/>
      <c r="AI88" s="5"/>
    </row>
    <row r="89" spans="1:35" x14ac:dyDescent="0.3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2"/>
      <c r="AC89" s="42"/>
      <c r="AD89" s="42"/>
      <c r="AE89" s="43"/>
      <c r="AF89" s="23"/>
      <c r="AG89" s="5"/>
      <c r="AH89" s="5"/>
      <c r="AI89" s="5"/>
    </row>
    <row r="90" spans="1:35" x14ac:dyDescent="0.3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2"/>
      <c r="AC90" s="42"/>
      <c r="AD90" s="42"/>
      <c r="AE90" s="43"/>
      <c r="AF90" s="23"/>
      <c r="AG90" s="5"/>
      <c r="AH90" s="5"/>
      <c r="AI90" s="5"/>
    </row>
    <row r="91" spans="1:35" x14ac:dyDescent="0.35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2"/>
      <c r="AC91" s="42"/>
      <c r="AD91" s="42"/>
      <c r="AE91" s="43"/>
      <c r="AF91" s="23"/>
      <c r="AG91" s="5"/>
      <c r="AH91" s="5"/>
      <c r="AI91" s="5"/>
    </row>
    <row r="92" spans="1:35" x14ac:dyDescent="0.35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2"/>
      <c r="AC92" s="42"/>
      <c r="AD92" s="42"/>
      <c r="AE92" s="43"/>
      <c r="AF92" s="23"/>
      <c r="AG92" s="5"/>
      <c r="AH92" s="5"/>
      <c r="AI92" s="5"/>
    </row>
    <row r="93" spans="1:35" x14ac:dyDescent="0.35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2"/>
      <c r="AC93" s="42"/>
      <c r="AD93" s="42"/>
      <c r="AE93" s="43"/>
      <c r="AF93" s="23"/>
      <c r="AG93" s="5"/>
      <c r="AH93" s="5"/>
      <c r="AI93" s="5"/>
    </row>
    <row r="94" spans="1:35" x14ac:dyDescent="0.35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2"/>
      <c r="AC94" s="42"/>
      <c r="AD94" s="42"/>
      <c r="AE94" s="43"/>
      <c r="AF94" s="23"/>
      <c r="AG94" s="5"/>
      <c r="AH94" s="5"/>
      <c r="AI94" s="5"/>
    </row>
    <row r="95" spans="1:35" x14ac:dyDescent="0.3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2"/>
      <c r="AC95" s="42"/>
      <c r="AD95" s="42"/>
      <c r="AE95" s="43"/>
      <c r="AF95" s="23"/>
      <c r="AG95" s="5"/>
      <c r="AH95" s="5"/>
      <c r="AI95" s="5"/>
    </row>
    <row r="96" spans="1:35" x14ac:dyDescent="0.35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2"/>
      <c r="AC96" s="42"/>
      <c r="AD96" s="42"/>
      <c r="AE96" s="43"/>
      <c r="AF96" s="23"/>
      <c r="AG96" s="5"/>
      <c r="AH96" s="5"/>
      <c r="AI96" s="5"/>
    </row>
    <row r="97" spans="1:35" x14ac:dyDescent="0.35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2"/>
      <c r="AC97" s="42"/>
      <c r="AD97" s="42"/>
      <c r="AE97" s="43"/>
      <c r="AF97" s="23"/>
      <c r="AG97" s="5"/>
      <c r="AH97" s="5"/>
      <c r="AI97" s="5"/>
    </row>
    <row r="98" spans="1:35" x14ac:dyDescent="0.35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2"/>
      <c r="AC98" s="42"/>
      <c r="AD98" s="42"/>
      <c r="AE98" s="43"/>
      <c r="AF98" s="23"/>
      <c r="AG98" s="5"/>
      <c r="AH98" s="5"/>
      <c r="AI98" s="5"/>
    </row>
    <row r="99" spans="1:35" x14ac:dyDescent="0.35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2"/>
      <c r="AC99" s="42"/>
      <c r="AD99" s="42"/>
      <c r="AE99" s="43"/>
      <c r="AF99" s="23"/>
      <c r="AG99" s="5"/>
      <c r="AH99" s="5"/>
      <c r="AI99" s="5"/>
    </row>
    <row r="100" spans="1:35" x14ac:dyDescent="0.35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2"/>
      <c r="AC100" s="42"/>
      <c r="AD100" s="42"/>
      <c r="AE100" s="43"/>
      <c r="AF100" s="23"/>
      <c r="AG100" s="5"/>
      <c r="AH100" s="5"/>
      <c r="AI100" s="5"/>
    </row>
    <row r="101" spans="1:35" x14ac:dyDescent="0.35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2"/>
      <c r="AC101" s="42"/>
      <c r="AD101" s="42"/>
      <c r="AE101" s="43"/>
      <c r="AF101" s="23"/>
      <c r="AG101" s="5"/>
      <c r="AH101" s="5"/>
      <c r="AI101" s="5"/>
    </row>
    <row r="102" spans="1:35" x14ac:dyDescent="0.35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2"/>
      <c r="AC102" s="42"/>
      <c r="AD102" s="42"/>
      <c r="AE102" s="43"/>
      <c r="AF102" s="23"/>
      <c r="AG102" s="5"/>
      <c r="AH102" s="5"/>
      <c r="AI102" s="5"/>
    </row>
    <row r="103" spans="1:35" x14ac:dyDescent="0.35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2"/>
      <c r="AC103" s="42"/>
      <c r="AD103" s="42"/>
      <c r="AE103" s="43"/>
      <c r="AF103" s="23"/>
      <c r="AG103" s="5"/>
      <c r="AH103" s="5"/>
      <c r="AI103" s="5"/>
    </row>
    <row r="104" spans="1:35" x14ac:dyDescent="0.35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2"/>
      <c r="AC104" s="42"/>
      <c r="AD104" s="42"/>
      <c r="AE104" s="43"/>
      <c r="AF104" s="23"/>
      <c r="AG104" s="5"/>
      <c r="AH104" s="5"/>
      <c r="AI104" s="5"/>
    </row>
    <row r="105" spans="1:35" x14ac:dyDescent="0.3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2"/>
      <c r="AC105" s="42"/>
      <c r="AD105" s="42"/>
      <c r="AE105" s="43"/>
      <c r="AF105" s="23"/>
      <c r="AG105" s="5"/>
      <c r="AH105" s="5"/>
      <c r="AI105" s="5"/>
    </row>
    <row r="106" spans="1:35" x14ac:dyDescent="0.35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2"/>
      <c r="AC106" s="42"/>
      <c r="AD106" s="42"/>
      <c r="AE106" s="43"/>
      <c r="AF106" s="23"/>
      <c r="AG106" s="5"/>
      <c r="AH106" s="5"/>
      <c r="AI106" s="5"/>
    </row>
    <row r="107" spans="1:35" x14ac:dyDescent="0.35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2"/>
      <c r="AC107" s="42"/>
      <c r="AD107" s="42"/>
      <c r="AE107" s="43"/>
      <c r="AF107" s="23"/>
      <c r="AG107" s="5"/>
      <c r="AH107" s="5"/>
      <c r="AI107" s="5"/>
    </row>
    <row r="108" spans="1:35" x14ac:dyDescent="0.35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2"/>
      <c r="AC108" s="42"/>
      <c r="AD108" s="42"/>
      <c r="AE108" s="43"/>
      <c r="AF108" s="23"/>
      <c r="AG108" s="5"/>
      <c r="AH108" s="5"/>
      <c r="AI108" s="5"/>
    </row>
    <row r="109" spans="1:35" x14ac:dyDescent="0.35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2"/>
      <c r="AC109" s="42"/>
      <c r="AD109" s="42"/>
      <c r="AE109" s="43"/>
      <c r="AF109" s="23"/>
      <c r="AG109" s="5"/>
      <c r="AH109" s="5"/>
      <c r="AI109" s="5"/>
    </row>
    <row r="110" spans="1:35" x14ac:dyDescent="0.35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2"/>
      <c r="AC110" s="42"/>
      <c r="AD110" s="42"/>
      <c r="AE110" s="43"/>
      <c r="AF110" s="23"/>
      <c r="AG110" s="5"/>
      <c r="AH110" s="5"/>
      <c r="AI110" s="5"/>
    </row>
    <row r="111" spans="1:35" x14ac:dyDescent="0.35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2"/>
      <c r="AC111" s="42"/>
      <c r="AD111" s="42"/>
      <c r="AE111" s="43"/>
      <c r="AF111" s="23"/>
      <c r="AG111" s="5"/>
      <c r="AH111" s="5"/>
      <c r="AI111" s="5"/>
    </row>
    <row r="112" spans="1:35" x14ac:dyDescent="0.35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2"/>
      <c r="AC112" s="42"/>
      <c r="AD112" s="42"/>
      <c r="AE112" s="43"/>
      <c r="AF112" s="23"/>
      <c r="AG112" s="5"/>
      <c r="AH112" s="5"/>
      <c r="AI112" s="5"/>
    </row>
    <row r="113" spans="1:35" x14ac:dyDescent="0.35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2"/>
      <c r="AC113" s="42"/>
      <c r="AD113" s="42"/>
      <c r="AE113" s="43"/>
      <c r="AF113" s="23"/>
      <c r="AG113" s="5"/>
      <c r="AH113" s="5"/>
      <c r="AI113" s="5"/>
    </row>
    <row r="114" spans="1:35" x14ac:dyDescent="0.35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2"/>
      <c r="AC114" s="42"/>
      <c r="AD114" s="42"/>
      <c r="AE114" s="43"/>
      <c r="AF114" s="23"/>
      <c r="AG114" s="5"/>
      <c r="AH114" s="5"/>
      <c r="AI114" s="5"/>
    </row>
    <row r="115" spans="1:35" x14ac:dyDescent="0.3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2"/>
      <c r="AC115" s="42"/>
      <c r="AD115" s="42"/>
      <c r="AE115" s="43"/>
      <c r="AF115" s="23"/>
      <c r="AG115" s="5"/>
      <c r="AH115" s="5"/>
      <c r="AI115" s="5"/>
    </row>
    <row r="116" spans="1:35" x14ac:dyDescent="0.35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2"/>
      <c r="AC116" s="42"/>
      <c r="AD116" s="42"/>
      <c r="AE116" s="43"/>
      <c r="AF116" s="23"/>
      <c r="AG116" s="5"/>
      <c r="AH116" s="5"/>
      <c r="AI116" s="5"/>
    </row>
    <row r="117" spans="1:35" x14ac:dyDescent="0.35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2"/>
      <c r="AC117" s="42"/>
      <c r="AD117" s="42"/>
      <c r="AE117" s="43"/>
      <c r="AF117" s="23"/>
      <c r="AG117" s="5"/>
      <c r="AH117" s="5"/>
      <c r="AI117" s="5"/>
    </row>
    <row r="118" spans="1:35" x14ac:dyDescent="0.35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2"/>
      <c r="AC118" s="42"/>
      <c r="AD118" s="42"/>
      <c r="AE118" s="43"/>
      <c r="AF118" s="23"/>
      <c r="AG118" s="5"/>
      <c r="AH118" s="5"/>
      <c r="AI118" s="5"/>
    </row>
    <row r="119" spans="1:35" x14ac:dyDescent="0.35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2"/>
      <c r="AC119" s="42"/>
      <c r="AD119" s="42"/>
      <c r="AE119" s="43"/>
      <c r="AF119" s="23"/>
      <c r="AG119" s="5"/>
      <c r="AH119" s="5"/>
      <c r="AI119" s="5"/>
    </row>
    <row r="120" spans="1:35" x14ac:dyDescent="0.3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2"/>
      <c r="AC120" s="42"/>
      <c r="AD120" s="42"/>
      <c r="AE120" s="43"/>
      <c r="AF120" s="23"/>
      <c r="AG120" s="5"/>
      <c r="AH120" s="5"/>
      <c r="AI120" s="5"/>
    </row>
    <row r="121" spans="1:35" x14ac:dyDescent="0.35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2"/>
      <c r="AC121" s="42"/>
      <c r="AD121" s="42"/>
      <c r="AE121" s="43"/>
      <c r="AF121" s="23"/>
      <c r="AG121" s="5"/>
      <c r="AH121" s="5"/>
      <c r="AI121" s="5"/>
    </row>
    <row r="122" spans="1:35" x14ac:dyDescent="0.35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2"/>
      <c r="AC122" s="42"/>
      <c r="AD122" s="42"/>
      <c r="AE122" s="43"/>
      <c r="AF122" s="23"/>
      <c r="AG122" s="5"/>
      <c r="AH122" s="5"/>
      <c r="AI122" s="5"/>
    </row>
    <row r="123" spans="1:35" x14ac:dyDescent="0.35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2"/>
      <c r="AC123" s="42"/>
      <c r="AD123" s="42"/>
      <c r="AE123" s="43"/>
      <c r="AF123" s="23"/>
      <c r="AG123" s="5"/>
      <c r="AH123" s="5"/>
      <c r="AI123" s="5"/>
    </row>
    <row r="124" spans="1:35" x14ac:dyDescent="0.35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2"/>
      <c r="AC124" s="42"/>
      <c r="AD124" s="42"/>
      <c r="AE124" s="43"/>
      <c r="AF124" s="23"/>
      <c r="AG124" s="5"/>
      <c r="AH124" s="5"/>
      <c r="AI124" s="5"/>
    </row>
    <row r="125" spans="1:35" x14ac:dyDescent="0.3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2"/>
      <c r="AC125" s="42"/>
      <c r="AD125" s="42"/>
      <c r="AE125" s="43"/>
      <c r="AF125" s="23"/>
      <c r="AG125" s="5"/>
      <c r="AH125" s="5"/>
      <c r="AI125" s="5"/>
    </row>
    <row r="126" spans="1:35" x14ac:dyDescent="0.35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2"/>
      <c r="AC126" s="42"/>
      <c r="AD126" s="42"/>
      <c r="AE126" s="43"/>
      <c r="AF126" s="23"/>
      <c r="AG126" s="5"/>
      <c r="AH126" s="5"/>
      <c r="AI126" s="5"/>
    </row>
    <row r="127" spans="1:35" x14ac:dyDescent="0.35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2"/>
      <c r="AC127" s="42"/>
      <c r="AD127" s="42"/>
      <c r="AE127" s="43"/>
      <c r="AF127" s="23"/>
      <c r="AG127" s="5"/>
      <c r="AH127" s="5"/>
      <c r="AI127" s="5"/>
    </row>
    <row r="128" spans="1:35" x14ac:dyDescent="0.35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2"/>
      <c r="AC128" s="42"/>
      <c r="AD128" s="42"/>
      <c r="AE128" s="43"/>
      <c r="AF128" s="23"/>
      <c r="AG128" s="5"/>
      <c r="AH128" s="5"/>
      <c r="AI128" s="5"/>
    </row>
    <row r="129" spans="1:35" x14ac:dyDescent="0.35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2"/>
      <c r="AC129" s="42"/>
      <c r="AD129" s="42"/>
      <c r="AE129" s="43"/>
      <c r="AF129" s="23"/>
      <c r="AG129" s="5"/>
      <c r="AH129" s="5"/>
      <c r="AI129" s="5"/>
    </row>
    <row r="130" spans="1:35" x14ac:dyDescent="0.35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2"/>
      <c r="AC130" s="42"/>
      <c r="AD130" s="42"/>
      <c r="AE130" s="43"/>
      <c r="AF130" s="23"/>
      <c r="AG130" s="5"/>
      <c r="AH130" s="5"/>
      <c r="AI130" s="5"/>
    </row>
    <row r="131" spans="1:35" x14ac:dyDescent="0.35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2"/>
      <c r="AC131" s="42"/>
      <c r="AD131" s="42"/>
      <c r="AE131" s="43"/>
      <c r="AF131" s="23"/>
      <c r="AG131" s="5"/>
      <c r="AH131" s="5"/>
      <c r="AI131" s="5"/>
    </row>
    <row r="132" spans="1:35" x14ac:dyDescent="0.35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2"/>
      <c r="AC132" s="42"/>
      <c r="AD132" s="42"/>
      <c r="AE132" s="43"/>
      <c r="AF132" s="23"/>
      <c r="AG132" s="5"/>
      <c r="AH132" s="5"/>
      <c r="AI132" s="5"/>
    </row>
    <row r="133" spans="1:35" x14ac:dyDescent="0.35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2"/>
      <c r="AC133" s="42"/>
      <c r="AD133" s="42"/>
      <c r="AE133" s="43"/>
      <c r="AF133" s="23"/>
      <c r="AG133" s="5"/>
      <c r="AH133" s="5"/>
      <c r="AI133" s="5"/>
    </row>
    <row r="134" spans="1:35" x14ac:dyDescent="0.35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2"/>
      <c r="AC134" s="42"/>
      <c r="AD134" s="42"/>
      <c r="AE134" s="43"/>
      <c r="AF134" s="23"/>
      <c r="AG134" s="5"/>
      <c r="AH134" s="5"/>
      <c r="AI134" s="5"/>
    </row>
    <row r="135" spans="1:35" x14ac:dyDescent="0.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2"/>
      <c r="AC135" s="42"/>
      <c r="AD135" s="42"/>
      <c r="AE135" s="43"/>
      <c r="AF135" s="23"/>
      <c r="AG135" s="5"/>
      <c r="AH135" s="5"/>
      <c r="AI135" s="5"/>
    </row>
    <row r="136" spans="1:35" x14ac:dyDescent="0.35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2"/>
      <c r="AC136" s="42"/>
      <c r="AD136" s="42"/>
      <c r="AE136" s="43"/>
      <c r="AF136" s="23"/>
      <c r="AG136" s="36"/>
      <c r="AH136" s="36"/>
      <c r="AI136" s="36"/>
    </row>
    <row r="137" spans="1:35" x14ac:dyDescent="0.35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2"/>
      <c r="AC137" s="42"/>
      <c r="AD137" s="42"/>
      <c r="AE137" s="43"/>
      <c r="AF137" s="23"/>
      <c r="AG137" s="36"/>
      <c r="AH137" s="36"/>
      <c r="AI137" s="36"/>
    </row>
    <row r="138" spans="1:35" x14ac:dyDescent="0.35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2"/>
      <c r="AC138" s="42"/>
      <c r="AD138" s="42"/>
      <c r="AE138" s="43"/>
      <c r="AF138" s="23"/>
      <c r="AG138" s="36"/>
      <c r="AH138" s="36"/>
      <c r="AI138" s="36"/>
    </row>
    <row r="139" spans="1:35" x14ac:dyDescent="0.35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2"/>
      <c r="AC139" s="42"/>
      <c r="AD139" s="42"/>
      <c r="AE139" s="43"/>
      <c r="AF139" s="23"/>
      <c r="AG139" s="36"/>
      <c r="AH139" s="36"/>
      <c r="AI139" s="36"/>
    </row>
    <row r="140" spans="1:35" x14ac:dyDescent="0.35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2"/>
      <c r="AC140" s="42"/>
      <c r="AD140" s="42"/>
      <c r="AE140" s="43"/>
      <c r="AF140" s="23"/>
      <c r="AG140" s="36"/>
      <c r="AH140" s="36"/>
      <c r="AI140" s="36"/>
    </row>
    <row r="141" spans="1:35" x14ac:dyDescent="0.35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2"/>
      <c r="AC141" s="42"/>
      <c r="AD141" s="42"/>
      <c r="AE141" s="43"/>
      <c r="AF141" s="23"/>
      <c r="AG141" s="36"/>
      <c r="AH141" s="36"/>
      <c r="AI141" s="36"/>
    </row>
    <row r="142" spans="1:35" x14ac:dyDescent="0.35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2"/>
      <c r="AC142" s="42"/>
      <c r="AD142" s="42"/>
      <c r="AE142" s="43"/>
      <c r="AF142" s="23"/>
      <c r="AG142" s="36"/>
      <c r="AH142" s="36"/>
      <c r="AI142" s="36"/>
    </row>
    <row r="143" spans="1:35" x14ac:dyDescent="0.35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2"/>
      <c r="AC143" s="42"/>
      <c r="AD143" s="42"/>
      <c r="AE143" s="43"/>
      <c r="AF143" s="23"/>
      <c r="AG143" s="36"/>
      <c r="AH143" s="36"/>
      <c r="AI143" s="36"/>
    </row>
    <row r="144" spans="1:35" x14ac:dyDescent="0.35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2"/>
      <c r="AC144" s="42"/>
      <c r="AD144" s="42"/>
      <c r="AE144" s="43"/>
      <c r="AF144" s="23"/>
      <c r="AG144" s="36"/>
      <c r="AH144" s="36"/>
      <c r="AI144" s="36"/>
    </row>
    <row r="145" spans="1:35" x14ac:dyDescent="0.3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2"/>
      <c r="AC145" s="42"/>
      <c r="AD145" s="42"/>
      <c r="AE145" s="43"/>
      <c r="AF145" s="23"/>
      <c r="AG145" s="36"/>
      <c r="AH145" s="36"/>
      <c r="AI145" s="36"/>
    </row>
    <row r="146" spans="1:35" x14ac:dyDescent="0.35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2"/>
      <c r="AC146" s="42"/>
      <c r="AD146" s="42"/>
      <c r="AE146" s="43"/>
      <c r="AF146" s="23"/>
      <c r="AG146" s="36"/>
      <c r="AH146" s="36"/>
      <c r="AI146" s="36"/>
    </row>
    <row r="147" spans="1:35" x14ac:dyDescent="0.35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2"/>
      <c r="AC147" s="42"/>
      <c r="AD147" s="42"/>
      <c r="AE147" s="43"/>
      <c r="AF147" s="23"/>
      <c r="AG147" s="36"/>
      <c r="AH147" s="36"/>
      <c r="AI147" s="36"/>
    </row>
    <row r="148" spans="1:35" x14ac:dyDescent="0.35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2"/>
      <c r="AC148" s="42"/>
      <c r="AD148" s="42"/>
      <c r="AE148" s="43"/>
      <c r="AF148" s="23"/>
      <c r="AG148" s="36"/>
      <c r="AH148" s="36"/>
      <c r="AI148" s="36"/>
    </row>
    <row r="149" spans="1:35" x14ac:dyDescent="0.35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2"/>
      <c r="AC149" s="42"/>
      <c r="AD149" s="42"/>
      <c r="AE149" s="43"/>
      <c r="AF149" s="23"/>
      <c r="AG149" s="36"/>
      <c r="AH149" s="36"/>
      <c r="AI149" s="36"/>
    </row>
    <row r="150" spans="1:35" x14ac:dyDescent="0.35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2"/>
      <c r="AC150" s="42"/>
      <c r="AD150" s="42"/>
      <c r="AE150" s="43"/>
      <c r="AF150" s="23"/>
      <c r="AG150" s="36"/>
      <c r="AH150" s="36"/>
      <c r="AI150" s="36"/>
    </row>
    <row r="151" spans="1:35" x14ac:dyDescent="0.35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2"/>
      <c r="AC151" s="42"/>
      <c r="AD151" s="42"/>
      <c r="AE151" s="43"/>
      <c r="AF151" s="23"/>
      <c r="AG151" s="36"/>
      <c r="AH151" s="36"/>
      <c r="AI151" s="36"/>
    </row>
    <row r="152" spans="1:35" x14ac:dyDescent="0.35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2"/>
      <c r="AC152" s="42"/>
      <c r="AD152" s="42"/>
      <c r="AE152" s="43"/>
      <c r="AF152" s="23"/>
      <c r="AG152" s="36"/>
      <c r="AH152" s="36"/>
      <c r="AI152" s="36"/>
    </row>
    <row r="153" spans="1:35" x14ac:dyDescent="0.35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2"/>
      <c r="AC153" s="42"/>
      <c r="AD153" s="42"/>
      <c r="AE153" s="43"/>
      <c r="AF153" s="23"/>
      <c r="AG153" s="36"/>
      <c r="AH153" s="36"/>
      <c r="AI153" s="36"/>
    </row>
    <row r="154" spans="1:35" x14ac:dyDescent="0.35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2"/>
      <c r="AC154" s="42"/>
      <c r="AD154" s="42"/>
      <c r="AE154" s="43"/>
      <c r="AF154" s="23"/>
      <c r="AG154" s="36"/>
      <c r="AH154" s="36"/>
      <c r="AI154" s="36"/>
    </row>
    <row r="155" spans="1:35" x14ac:dyDescent="0.3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2"/>
      <c r="AC155" s="42"/>
      <c r="AD155" s="42"/>
      <c r="AE155" s="43"/>
      <c r="AF155" s="23"/>
      <c r="AG155" s="36"/>
      <c r="AH155" s="36"/>
      <c r="AI155" s="36"/>
    </row>
    <row r="156" spans="1:35" x14ac:dyDescent="0.35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2"/>
      <c r="AC156" s="42"/>
      <c r="AD156" s="42"/>
      <c r="AE156" s="43"/>
      <c r="AF156" s="23"/>
      <c r="AG156" s="36"/>
      <c r="AH156" s="36"/>
      <c r="AI156" s="36"/>
    </row>
    <row r="157" spans="1:35" x14ac:dyDescent="0.35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2"/>
      <c r="AC157" s="42"/>
      <c r="AD157" s="42"/>
      <c r="AE157" s="43"/>
      <c r="AF157" s="23"/>
      <c r="AG157" s="36"/>
      <c r="AH157" s="36"/>
      <c r="AI157" s="36"/>
    </row>
    <row r="158" spans="1:35" x14ac:dyDescent="0.35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2"/>
      <c r="AC158" s="42"/>
      <c r="AD158" s="42"/>
      <c r="AE158" s="43"/>
      <c r="AF158" s="23"/>
      <c r="AG158" s="36"/>
      <c r="AH158" s="36"/>
      <c r="AI158" s="36"/>
    </row>
    <row r="159" spans="1:35" x14ac:dyDescent="0.35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2"/>
      <c r="AC159" s="42"/>
      <c r="AD159" s="42"/>
      <c r="AE159" s="43"/>
      <c r="AF159" s="23"/>
      <c r="AG159" s="36"/>
      <c r="AH159" s="36"/>
      <c r="AI159" s="36"/>
    </row>
    <row r="160" spans="1:35" x14ac:dyDescent="0.35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2"/>
      <c r="AC160" s="42"/>
      <c r="AD160" s="42"/>
      <c r="AE160" s="43"/>
      <c r="AF160" s="23"/>
      <c r="AG160" s="36"/>
      <c r="AH160" s="36"/>
      <c r="AI160" s="36"/>
    </row>
    <row r="161" spans="1:35" x14ac:dyDescent="0.35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2"/>
      <c r="AC161" s="42"/>
      <c r="AD161" s="42"/>
      <c r="AE161" s="43"/>
      <c r="AF161" s="23"/>
      <c r="AG161" s="36"/>
      <c r="AH161" s="36"/>
      <c r="AI161" s="36"/>
    </row>
    <row r="162" spans="1:35" x14ac:dyDescent="0.35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2"/>
      <c r="AC162" s="42"/>
      <c r="AD162" s="42"/>
      <c r="AE162" s="43"/>
      <c r="AF162" s="23"/>
      <c r="AG162" s="36"/>
      <c r="AH162" s="36"/>
      <c r="AI162" s="36"/>
    </row>
    <row r="163" spans="1:35" x14ac:dyDescent="0.35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2"/>
      <c r="AC163" s="42"/>
      <c r="AD163" s="42"/>
      <c r="AE163" s="43"/>
      <c r="AF163" s="23"/>
      <c r="AG163" s="36"/>
      <c r="AH163" s="36"/>
      <c r="AI163" s="36"/>
    </row>
    <row r="164" spans="1:35" x14ac:dyDescent="0.35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2"/>
      <c r="AC164" s="42"/>
      <c r="AD164" s="42"/>
      <c r="AE164" s="43"/>
      <c r="AF164" s="23"/>
      <c r="AG164" s="36"/>
      <c r="AH164" s="36"/>
      <c r="AI164" s="36"/>
    </row>
    <row r="165" spans="1:35" x14ac:dyDescent="0.3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2"/>
      <c r="AC165" s="42"/>
      <c r="AD165" s="42"/>
      <c r="AE165" s="43"/>
      <c r="AF165" s="23"/>
      <c r="AG165" s="36"/>
      <c r="AH165" s="36"/>
      <c r="AI165" s="36"/>
    </row>
    <row r="166" spans="1:35" x14ac:dyDescent="0.35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2"/>
      <c r="AC166" s="42"/>
      <c r="AD166" s="42"/>
      <c r="AE166" s="43"/>
      <c r="AF166" s="23"/>
      <c r="AG166" s="36"/>
      <c r="AH166" s="36"/>
      <c r="AI166" s="36"/>
    </row>
    <row r="167" spans="1:35" x14ac:dyDescent="0.35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2"/>
      <c r="AC167" s="42"/>
      <c r="AD167" s="42"/>
      <c r="AE167" s="43"/>
      <c r="AF167" s="23"/>
      <c r="AG167" s="36"/>
      <c r="AH167" s="36"/>
      <c r="AI167" s="36"/>
    </row>
    <row r="168" spans="1:35" x14ac:dyDescent="0.35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2"/>
      <c r="AC168" s="42"/>
      <c r="AD168" s="42"/>
      <c r="AE168" s="43"/>
      <c r="AF168" s="23"/>
      <c r="AG168" s="36"/>
      <c r="AH168" s="36"/>
      <c r="AI168" s="36"/>
    </row>
    <row r="169" spans="1:35" x14ac:dyDescent="0.35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2"/>
      <c r="AC169" s="42"/>
      <c r="AD169" s="42"/>
      <c r="AE169" s="43"/>
      <c r="AF169" s="23"/>
      <c r="AG169" s="36"/>
      <c r="AH169" s="36"/>
      <c r="AI169" s="36"/>
    </row>
    <row r="170" spans="1:35" x14ac:dyDescent="0.35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2"/>
      <c r="AC170" s="42"/>
      <c r="AD170" s="42"/>
      <c r="AE170" s="43"/>
      <c r="AF170" s="23"/>
      <c r="AG170" s="36"/>
      <c r="AH170" s="36"/>
      <c r="AI170" s="36"/>
    </row>
    <row r="171" spans="1:35" x14ac:dyDescent="0.35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2"/>
      <c r="AC171" s="42"/>
      <c r="AD171" s="42"/>
      <c r="AE171" s="43"/>
      <c r="AF171" s="23"/>
      <c r="AG171" s="36"/>
      <c r="AH171" s="36"/>
      <c r="AI171" s="36"/>
    </row>
    <row r="172" spans="1:35" x14ac:dyDescent="0.35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2"/>
      <c r="AC172" s="42"/>
      <c r="AD172" s="42"/>
      <c r="AE172" s="43"/>
      <c r="AF172" s="23"/>
      <c r="AG172" s="36"/>
      <c r="AH172" s="36"/>
      <c r="AI172" s="36"/>
    </row>
    <row r="173" spans="1:35" x14ac:dyDescent="0.35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2"/>
      <c r="AC173" s="42"/>
      <c r="AD173" s="42"/>
      <c r="AE173" s="43"/>
      <c r="AF173" s="23"/>
      <c r="AG173" s="36"/>
      <c r="AH173" s="36"/>
      <c r="AI173" s="36"/>
    </row>
    <row r="174" spans="1:35" x14ac:dyDescent="0.35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2"/>
      <c r="AC174" s="42"/>
      <c r="AD174" s="42"/>
      <c r="AE174" s="43"/>
      <c r="AF174" s="23"/>
      <c r="AG174" s="36"/>
      <c r="AH174" s="36"/>
      <c r="AI174" s="36"/>
    </row>
    <row r="175" spans="1:35" x14ac:dyDescent="0.3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2"/>
      <c r="AC175" s="42"/>
      <c r="AD175" s="42"/>
      <c r="AE175" s="43"/>
      <c r="AF175" s="23"/>
      <c r="AG175" s="36"/>
      <c r="AH175" s="36"/>
      <c r="AI175" s="36"/>
    </row>
    <row r="176" spans="1:35" x14ac:dyDescent="0.35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2"/>
      <c r="AC176" s="42"/>
      <c r="AD176" s="42"/>
      <c r="AE176" s="43"/>
      <c r="AF176" s="23"/>
      <c r="AG176" s="36"/>
      <c r="AH176" s="36"/>
      <c r="AI176" s="36"/>
    </row>
    <row r="177" spans="1:35" x14ac:dyDescent="0.35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2"/>
      <c r="AC177" s="42"/>
      <c r="AD177" s="42"/>
      <c r="AE177" s="43"/>
      <c r="AF177" s="23"/>
      <c r="AG177" s="36"/>
      <c r="AH177" s="36"/>
      <c r="AI177" s="36"/>
    </row>
    <row r="178" spans="1:35" x14ac:dyDescent="0.35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2"/>
      <c r="AC178" s="42"/>
      <c r="AD178" s="42"/>
      <c r="AE178" s="43"/>
      <c r="AF178" s="23"/>
      <c r="AG178" s="36"/>
      <c r="AH178" s="36"/>
      <c r="AI178" s="36"/>
    </row>
    <row r="179" spans="1:35" x14ac:dyDescent="0.35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2"/>
      <c r="AC179" s="42"/>
      <c r="AD179" s="42"/>
      <c r="AE179" s="43"/>
      <c r="AF179" s="23"/>
      <c r="AG179" s="36"/>
      <c r="AH179" s="36"/>
      <c r="AI179" s="36"/>
    </row>
    <row r="180" spans="1:35" x14ac:dyDescent="0.35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2"/>
      <c r="AC180" s="42"/>
      <c r="AD180" s="42"/>
      <c r="AE180" s="43"/>
      <c r="AF180" s="23"/>
      <c r="AG180" s="36"/>
      <c r="AH180" s="36"/>
      <c r="AI180" s="36"/>
    </row>
    <row r="181" spans="1:35" x14ac:dyDescent="0.35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2"/>
      <c r="AC181" s="42"/>
      <c r="AD181" s="42"/>
      <c r="AE181" s="43"/>
      <c r="AF181" s="23"/>
      <c r="AG181" s="36"/>
      <c r="AH181" s="36"/>
      <c r="AI181" s="36"/>
    </row>
    <row r="182" spans="1:35" x14ac:dyDescent="0.35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2"/>
      <c r="AC182" s="42"/>
      <c r="AD182" s="42"/>
      <c r="AE182" s="43"/>
      <c r="AF182" s="23"/>
      <c r="AG182" s="36"/>
      <c r="AH182" s="36"/>
      <c r="AI182" s="36"/>
    </row>
    <row r="183" spans="1:35" x14ac:dyDescent="0.35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2"/>
      <c r="AC183" s="42"/>
      <c r="AD183" s="42"/>
      <c r="AE183" s="43"/>
      <c r="AF183" s="23"/>
      <c r="AG183" s="36"/>
      <c r="AH183" s="36"/>
      <c r="AI183" s="36"/>
    </row>
    <row r="184" spans="1:35" x14ac:dyDescent="0.35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2"/>
      <c r="AC184" s="42"/>
      <c r="AD184" s="42"/>
      <c r="AE184" s="43"/>
      <c r="AF184" s="23"/>
      <c r="AG184" s="36"/>
      <c r="AH184" s="36"/>
      <c r="AI184" s="36"/>
    </row>
    <row r="185" spans="1:35" x14ac:dyDescent="0.3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2"/>
      <c r="AC185" s="42"/>
      <c r="AD185" s="42"/>
      <c r="AE185" s="43"/>
      <c r="AF185" s="23"/>
      <c r="AG185" s="36"/>
      <c r="AH185" s="36"/>
      <c r="AI185" s="36"/>
    </row>
    <row r="186" spans="1:35" x14ac:dyDescent="0.35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2"/>
      <c r="AC186" s="42"/>
      <c r="AD186" s="42"/>
      <c r="AE186" s="43"/>
      <c r="AF186" s="23"/>
      <c r="AG186" s="36"/>
      <c r="AH186" s="36"/>
      <c r="AI186" s="36"/>
    </row>
    <row r="187" spans="1:35" x14ac:dyDescent="0.35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2"/>
      <c r="AC187" s="42"/>
      <c r="AD187" s="42"/>
      <c r="AE187" s="43"/>
      <c r="AF187" s="23"/>
      <c r="AG187" s="36"/>
      <c r="AH187" s="36"/>
      <c r="AI187" s="36"/>
    </row>
    <row r="188" spans="1:35" x14ac:dyDescent="0.35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2"/>
      <c r="AC188" s="42"/>
      <c r="AD188" s="42"/>
      <c r="AE188" s="43"/>
      <c r="AF188" s="23"/>
      <c r="AG188" s="36"/>
      <c r="AH188" s="36"/>
      <c r="AI188" s="36"/>
    </row>
    <row r="189" spans="1:35" x14ac:dyDescent="0.35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2"/>
      <c r="AC189" s="42"/>
      <c r="AD189" s="42"/>
      <c r="AE189" s="43"/>
      <c r="AF189" s="23"/>
      <c r="AG189" s="36"/>
      <c r="AH189" s="36"/>
      <c r="AI189" s="36"/>
    </row>
    <row r="190" spans="1:35" x14ac:dyDescent="0.35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2"/>
      <c r="AC190" s="42"/>
      <c r="AD190" s="42"/>
      <c r="AE190" s="43"/>
      <c r="AF190" s="23"/>
      <c r="AG190" s="36"/>
      <c r="AH190" s="36"/>
      <c r="AI190" s="36"/>
    </row>
    <row r="191" spans="1:35" x14ac:dyDescent="0.35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2"/>
      <c r="AC191" s="42"/>
      <c r="AD191" s="42"/>
      <c r="AE191" s="43"/>
      <c r="AF191" s="23"/>
      <c r="AG191" s="36"/>
      <c r="AH191" s="36"/>
      <c r="AI191" s="36"/>
    </row>
    <row r="192" spans="1:35" x14ac:dyDescent="0.35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2"/>
      <c r="AC192" s="42"/>
      <c r="AD192" s="42"/>
      <c r="AE192" s="43"/>
      <c r="AF192" s="23"/>
      <c r="AG192" s="36"/>
      <c r="AH192" s="36"/>
      <c r="AI192" s="36"/>
    </row>
    <row r="193" spans="1:35" x14ac:dyDescent="0.35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2"/>
      <c r="AC193" s="42"/>
      <c r="AD193" s="42"/>
      <c r="AE193" s="43"/>
      <c r="AF193" s="23"/>
      <c r="AG193" s="36"/>
      <c r="AH193" s="36"/>
      <c r="AI193" s="36"/>
    </row>
    <row r="194" spans="1:35" x14ac:dyDescent="0.35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2"/>
      <c r="AC194" s="42"/>
      <c r="AD194" s="42"/>
      <c r="AE194" s="43"/>
      <c r="AF194" s="23"/>
      <c r="AG194" s="36"/>
      <c r="AH194" s="36"/>
      <c r="AI194" s="36"/>
    </row>
    <row r="195" spans="1:35" x14ac:dyDescent="0.3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2"/>
      <c r="AC195" s="42"/>
      <c r="AD195" s="42"/>
      <c r="AE195" s="43"/>
      <c r="AF195" s="23"/>
      <c r="AG195" s="36"/>
      <c r="AH195" s="36"/>
      <c r="AI195" s="36"/>
    </row>
    <row r="196" spans="1:35" x14ac:dyDescent="0.35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2"/>
      <c r="AC196" s="42"/>
      <c r="AD196" s="42"/>
      <c r="AE196" s="43"/>
      <c r="AF196" s="23"/>
      <c r="AG196" s="36"/>
      <c r="AH196" s="36"/>
      <c r="AI196" s="36"/>
    </row>
    <row r="197" spans="1:35" x14ac:dyDescent="0.35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2"/>
      <c r="AC197" s="42"/>
      <c r="AD197" s="42"/>
      <c r="AE197" s="43"/>
      <c r="AF197" s="23"/>
      <c r="AG197" s="36"/>
      <c r="AH197" s="36"/>
      <c r="AI197" s="36"/>
    </row>
    <row r="198" spans="1:35" x14ac:dyDescent="0.35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2"/>
      <c r="AC198" s="42"/>
      <c r="AD198" s="42"/>
      <c r="AE198" s="43"/>
      <c r="AF198" s="23"/>
      <c r="AG198" s="36"/>
      <c r="AH198" s="36"/>
      <c r="AI198" s="36"/>
    </row>
    <row r="199" spans="1:35" x14ac:dyDescent="0.35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2"/>
      <c r="AC199" s="42"/>
      <c r="AD199" s="42"/>
      <c r="AE199" s="43"/>
      <c r="AF199" s="23"/>
      <c r="AG199" s="36"/>
      <c r="AH199" s="36"/>
      <c r="AI199" s="36"/>
    </row>
    <row r="200" spans="1:35" x14ac:dyDescent="0.35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2"/>
      <c r="AC200" s="42"/>
      <c r="AD200" s="42"/>
      <c r="AE200" s="43"/>
      <c r="AF200" s="23"/>
      <c r="AG200" s="36"/>
      <c r="AH200" s="36"/>
      <c r="AI200" s="36"/>
    </row>
    <row r="201" spans="1:35" x14ac:dyDescent="0.35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2"/>
      <c r="AC201" s="42"/>
      <c r="AD201" s="42"/>
      <c r="AE201" s="43"/>
      <c r="AF201" s="23"/>
      <c r="AG201" s="36"/>
      <c r="AH201" s="36"/>
      <c r="AI201" s="36"/>
    </row>
    <row r="202" spans="1:35" x14ac:dyDescent="0.35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2"/>
      <c r="AC202" s="42"/>
      <c r="AD202" s="42"/>
      <c r="AE202" s="43"/>
      <c r="AF202" s="23"/>
      <c r="AG202" s="36"/>
      <c r="AH202" s="36"/>
      <c r="AI202" s="36"/>
    </row>
    <row r="203" spans="1:35" x14ac:dyDescent="0.35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2"/>
      <c r="AC203" s="42"/>
      <c r="AD203" s="42"/>
      <c r="AE203" s="43"/>
      <c r="AF203" s="23"/>
      <c r="AG203" s="36"/>
      <c r="AH203" s="36"/>
      <c r="AI203" s="36"/>
    </row>
    <row r="204" spans="1:35" x14ac:dyDescent="0.35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2"/>
      <c r="AC204" s="42"/>
      <c r="AD204" s="42"/>
      <c r="AE204" s="43"/>
      <c r="AF204" s="23"/>
      <c r="AG204" s="36"/>
      <c r="AH204" s="36"/>
      <c r="AI204" s="36"/>
    </row>
    <row r="205" spans="1:35" x14ac:dyDescent="0.3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2"/>
      <c r="AC205" s="42"/>
      <c r="AD205" s="42"/>
      <c r="AE205" s="43"/>
      <c r="AF205" s="23"/>
      <c r="AG205" s="36"/>
      <c r="AH205" s="36"/>
      <c r="AI205" s="36"/>
    </row>
    <row r="206" spans="1:35" x14ac:dyDescent="0.35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2"/>
      <c r="AC206" s="42"/>
      <c r="AD206" s="42"/>
      <c r="AE206" s="43"/>
      <c r="AF206" s="23"/>
      <c r="AG206" s="36"/>
      <c r="AH206" s="36"/>
      <c r="AI206" s="36"/>
    </row>
    <row r="207" spans="1:35" x14ac:dyDescent="0.35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2"/>
      <c r="AC207" s="42"/>
      <c r="AD207" s="42"/>
      <c r="AE207" s="43"/>
      <c r="AF207" s="23"/>
      <c r="AG207" s="36"/>
      <c r="AH207" s="36"/>
      <c r="AI207" s="36"/>
    </row>
    <row r="208" spans="1:35" x14ac:dyDescent="0.35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2"/>
      <c r="AC208" s="42"/>
      <c r="AD208" s="42"/>
      <c r="AE208" s="43"/>
      <c r="AF208" s="23"/>
      <c r="AG208" s="36"/>
      <c r="AH208" s="36"/>
      <c r="AI208" s="36"/>
    </row>
    <row r="209" spans="1:35" x14ac:dyDescent="0.35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2"/>
      <c r="AC209" s="42"/>
      <c r="AD209" s="42"/>
      <c r="AE209" s="43"/>
      <c r="AF209" s="23"/>
      <c r="AG209" s="36"/>
      <c r="AH209" s="36"/>
      <c r="AI209" s="36"/>
    </row>
    <row r="210" spans="1:35" x14ac:dyDescent="0.35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2"/>
      <c r="AC210" s="42"/>
      <c r="AD210" s="42"/>
      <c r="AE210" s="43"/>
      <c r="AF210" s="23"/>
      <c r="AG210" s="36"/>
      <c r="AH210" s="36"/>
      <c r="AI210" s="36"/>
    </row>
    <row r="211" spans="1:35" x14ac:dyDescent="0.35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2"/>
      <c r="AC211" s="42"/>
      <c r="AD211" s="42"/>
      <c r="AE211" s="43"/>
      <c r="AF211" s="23"/>
      <c r="AG211" s="36"/>
      <c r="AH211" s="36"/>
      <c r="AI211" s="36"/>
    </row>
    <row r="212" spans="1:35" x14ac:dyDescent="0.35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2"/>
      <c r="AC212" s="42"/>
      <c r="AD212" s="42"/>
      <c r="AE212" s="43"/>
      <c r="AF212" s="23"/>
      <c r="AG212" s="36"/>
      <c r="AH212" s="36"/>
      <c r="AI212" s="36"/>
    </row>
    <row r="213" spans="1:35" x14ac:dyDescent="0.35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2"/>
      <c r="AC213" s="42"/>
      <c r="AD213" s="42"/>
      <c r="AE213" s="43"/>
      <c r="AF213" s="23"/>
      <c r="AG213" s="36"/>
      <c r="AH213" s="36"/>
      <c r="AI213" s="36"/>
    </row>
    <row r="214" spans="1:35" x14ac:dyDescent="0.35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2"/>
      <c r="AC214" s="42"/>
      <c r="AD214" s="42"/>
      <c r="AE214" s="43"/>
      <c r="AF214" s="23"/>
      <c r="AG214" s="36"/>
      <c r="AH214" s="36"/>
      <c r="AI214" s="36"/>
    </row>
    <row r="215" spans="1:35" x14ac:dyDescent="0.3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2"/>
      <c r="AC215" s="42"/>
      <c r="AD215" s="42"/>
      <c r="AE215" s="43"/>
      <c r="AF215" s="23"/>
      <c r="AG215" s="36"/>
      <c r="AH215" s="36"/>
      <c r="AI215" s="36"/>
    </row>
    <row r="216" spans="1:35" x14ac:dyDescent="0.35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2"/>
      <c r="AC216" s="42"/>
      <c r="AD216" s="42"/>
      <c r="AE216" s="43"/>
      <c r="AF216" s="23"/>
      <c r="AG216" s="36"/>
      <c r="AH216" s="36"/>
      <c r="AI216" s="36"/>
    </row>
    <row r="217" spans="1:35" x14ac:dyDescent="0.35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2"/>
      <c r="AC217" s="42"/>
      <c r="AD217" s="42"/>
      <c r="AE217" s="43"/>
      <c r="AF217" s="23"/>
      <c r="AG217" s="36"/>
      <c r="AH217" s="36"/>
      <c r="AI217" s="36"/>
    </row>
    <row r="218" spans="1:35" x14ac:dyDescent="0.35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2"/>
      <c r="AC218" s="42"/>
      <c r="AD218" s="42"/>
      <c r="AE218" s="43"/>
      <c r="AF218" s="23"/>
      <c r="AG218" s="36"/>
      <c r="AH218" s="36"/>
      <c r="AI218" s="36"/>
    </row>
    <row r="219" spans="1:35" x14ac:dyDescent="0.35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2"/>
      <c r="AC219" s="42"/>
      <c r="AD219" s="42"/>
      <c r="AE219" s="43"/>
      <c r="AF219" s="23"/>
      <c r="AG219" s="36"/>
      <c r="AH219" s="36"/>
      <c r="AI219" s="36"/>
    </row>
    <row r="220" spans="1:35" x14ac:dyDescent="0.35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2"/>
      <c r="AC220" s="42"/>
      <c r="AD220" s="42"/>
      <c r="AE220" s="43"/>
      <c r="AF220" s="23"/>
      <c r="AG220" s="36"/>
      <c r="AH220" s="36"/>
      <c r="AI220" s="36"/>
    </row>
    <row r="221" spans="1:35" x14ac:dyDescent="0.35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2"/>
      <c r="AC221" s="42"/>
      <c r="AD221" s="42"/>
      <c r="AE221" s="43"/>
      <c r="AF221" s="23"/>
      <c r="AG221" s="36"/>
      <c r="AH221" s="36"/>
      <c r="AI221" s="36"/>
    </row>
    <row r="222" spans="1:35" x14ac:dyDescent="0.35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2"/>
      <c r="AC222" s="42"/>
      <c r="AD222" s="42"/>
      <c r="AE222" s="43"/>
      <c r="AF222" s="23"/>
      <c r="AG222" s="36"/>
      <c r="AH222" s="36"/>
      <c r="AI222" s="36"/>
    </row>
    <row r="223" spans="1:35" x14ac:dyDescent="0.35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2"/>
      <c r="AC223" s="42"/>
      <c r="AD223" s="42"/>
      <c r="AE223" s="43"/>
      <c r="AF223" s="23"/>
      <c r="AG223" s="36"/>
      <c r="AH223" s="36"/>
      <c r="AI223" s="36"/>
    </row>
    <row r="224" spans="1:35" x14ac:dyDescent="0.35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2"/>
      <c r="AC224" s="42"/>
      <c r="AD224" s="42"/>
      <c r="AE224" s="43"/>
      <c r="AF224" s="23"/>
      <c r="AG224" s="36"/>
      <c r="AH224" s="36"/>
      <c r="AI224" s="36"/>
    </row>
    <row r="225" spans="1:35" x14ac:dyDescent="0.3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2"/>
      <c r="AC225" s="42"/>
      <c r="AD225" s="42"/>
      <c r="AE225" s="43"/>
      <c r="AF225" s="23"/>
      <c r="AG225" s="36"/>
      <c r="AH225" s="36"/>
      <c r="AI225" s="36"/>
    </row>
    <row r="226" spans="1:35" x14ac:dyDescent="0.35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2"/>
      <c r="AC226" s="42"/>
      <c r="AD226" s="42"/>
      <c r="AE226" s="43"/>
      <c r="AF226" s="23"/>
      <c r="AG226" s="36"/>
      <c r="AH226" s="36"/>
      <c r="AI226" s="36"/>
    </row>
    <row r="227" spans="1:35" x14ac:dyDescent="0.35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2"/>
      <c r="AC227" s="42"/>
      <c r="AD227" s="42"/>
      <c r="AE227" s="43"/>
      <c r="AF227" s="23"/>
      <c r="AG227" s="36"/>
      <c r="AH227" s="36"/>
      <c r="AI227" s="36"/>
    </row>
    <row r="228" spans="1:35" x14ac:dyDescent="0.35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2"/>
      <c r="AC228" s="42"/>
      <c r="AD228" s="42"/>
      <c r="AE228" s="43"/>
      <c r="AF228" s="23"/>
      <c r="AG228" s="36"/>
      <c r="AH228" s="36"/>
      <c r="AI228" s="36"/>
    </row>
    <row r="229" spans="1:35" x14ac:dyDescent="0.35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2"/>
      <c r="AC229" s="42"/>
      <c r="AD229" s="42"/>
      <c r="AE229" s="43"/>
      <c r="AF229" s="23"/>
      <c r="AG229" s="36"/>
      <c r="AH229" s="36"/>
      <c r="AI229" s="36"/>
    </row>
    <row r="230" spans="1:35" x14ac:dyDescent="0.35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2"/>
      <c r="AC230" s="42"/>
      <c r="AD230" s="42"/>
      <c r="AE230" s="43"/>
      <c r="AF230" s="23"/>
      <c r="AG230" s="36"/>
      <c r="AH230" s="36"/>
      <c r="AI230" s="36"/>
    </row>
    <row r="231" spans="1:35" x14ac:dyDescent="0.35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2"/>
      <c r="AC231" s="42"/>
      <c r="AD231" s="42"/>
      <c r="AE231" s="43"/>
      <c r="AF231" s="23"/>
      <c r="AG231" s="36"/>
      <c r="AH231" s="36"/>
      <c r="AI231" s="36"/>
    </row>
    <row r="232" spans="1:35" x14ac:dyDescent="0.35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2"/>
      <c r="AC232" s="42"/>
      <c r="AD232" s="42"/>
      <c r="AE232" s="43"/>
      <c r="AF232" s="23"/>
      <c r="AG232" s="36"/>
      <c r="AH232" s="36"/>
      <c r="AI232" s="36"/>
    </row>
    <row r="233" spans="1:35" x14ac:dyDescent="0.35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2"/>
      <c r="AC233" s="42"/>
      <c r="AD233" s="42"/>
      <c r="AE233" s="43"/>
      <c r="AF233" s="23"/>
      <c r="AG233" s="36"/>
      <c r="AH233" s="36"/>
      <c r="AI233" s="36"/>
    </row>
    <row r="234" spans="1:35" x14ac:dyDescent="0.35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2"/>
      <c r="AC234" s="42"/>
      <c r="AD234" s="42"/>
      <c r="AE234" s="43"/>
      <c r="AF234" s="23"/>
      <c r="AG234" s="36"/>
      <c r="AH234" s="36"/>
      <c r="AI234" s="36"/>
    </row>
    <row r="235" spans="1:35" x14ac:dyDescent="0.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2"/>
      <c r="AC235" s="42"/>
      <c r="AD235" s="42"/>
      <c r="AE235" s="43"/>
      <c r="AF235" s="23"/>
      <c r="AG235" s="36"/>
      <c r="AH235" s="36"/>
      <c r="AI235" s="36"/>
    </row>
    <row r="236" spans="1:35" x14ac:dyDescent="0.35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2"/>
      <c r="AC236" s="42"/>
      <c r="AD236" s="42"/>
      <c r="AE236" s="43"/>
      <c r="AF236" s="23"/>
      <c r="AG236" s="36"/>
      <c r="AH236" s="36"/>
      <c r="AI236" s="36"/>
    </row>
    <row r="237" spans="1:35" x14ac:dyDescent="0.35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2"/>
      <c r="AC237" s="42"/>
      <c r="AD237" s="42"/>
      <c r="AE237" s="43"/>
      <c r="AF237" s="23"/>
      <c r="AG237" s="36"/>
      <c r="AH237" s="36"/>
      <c r="AI237" s="36"/>
    </row>
    <row r="238" spans="1:35" x14ac:dyDescent="0.35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2"/>
      <c r="AC238" s="42"/>
      <c r="AD238" s="42"/>
      <c r="AE238" s="43"/>
      <c r="AF238" s="23"/>
      <c r="AG238" s="36"/>
      <c r="AH238" s="36"/>
      <c r="AI238" s="36"/>
    </row>
    <row r="239" spans="1:35" x14ac:dyDescent="0.35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2"/>
      <c r="AC239" s="42"/>
      <c r="AD239" s="42"/>
      <c r="AE239" s="43"/>
      <c r="AF239" s="23"/>
      <c r="AG239" s="36"/>
      <c r="AH239" s="36"/>
      <c r="AI239" s="36"/>
    </row>
    <row r="240" spans="1:35" x14ac:dyDescent="0.35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2"/>
      <c r="AC240" s="42"/>
      <c r="AD240" s="42"/>
      <c r="AE240" s="43"/>
      <c r="AF240" s="23"/>
      <c r="AG240" s="36"/>
      <c r="AH240" s="36"/>
      <c r="AI240" s="36"/>
    </row>
    <row r="241" spans="1:35" x14ac:dyDescent="0.35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2"/>
      <c r="AC241" s="42"/>
      <c r="AD241" s="42"/>
      <c r="AE241" s="43"/>
      <c r="AF241" s="23"/>
      <c r="AG241" s="36"/>
      <c r="AH241" s="36"/>
      <c r="AI241" s="36"/>
    </row>
    <row r="242" spans="1:35" x14ac:dyDescent="0.35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2"/>
      <c r="AC242" s="42"/>
      <c r="AD242" s="42"/>
      <c r="AE242" s="43"/>
      <c r="AF242" s="23"/>
      <c r="AG242" s="36"/>
      <c r="AH242" s="36"/>
      <c r="AI242" s="36"/>
    </row>
    <row r="243" spans="1:35" x14ac:dyDescent="0.35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2"/>
      <c r="AC243" s="42"/>
      <c r="AD243" s="42"/>
      <c r="AE243" s="43"/>
      <c r="AF243" s="23"/>
      <c r="AG243" s="36"/>
      <c r="AH243" s="36"/>
      <c r="AI243" s="36"/>
    </row>
    <row r="244" spans="1:35" x14ac:dyDescent="0.35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2"/>
      <c r="AC244" s="42"/>
      <c r="AD244" s="42"/>
      <c r="AE244" s="43"/>
      <c r="AF244" s="23"/>
      <c r="AG244" s="36"/>
      <c r="AH244" s="36"/>
      <c r="AI244" s="36"/>
    </row>
    <row r="245" spans="1:35" x14ac:dyDescent="0.3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2"/>
      <c r="AC245" s="42"/>
      <c r="AD245" s="42"/>
      <c r="AE245" s="43"/>
      <c r="AF245" s="23"/>
      <c r="AG245" s="36"/>
      <c r="AH245" s="36"/>
      <c r="AI245" s="36"/>
    </row>
    <row r="246" spans="1:35" x14ac:dyDescent="0.35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2"/>
      <c r="AC246" s="42"/>
      <c r="AD246" s="42"/>
      <c r="AE246" s="43"/>
      <c r="AF246" s="23"/>
      <c r="AG246" s="36"/>
      <c r="AH246" s="36"/>
      <c r="AI246" s="36"/>
    </row>
    <row r="247" spans="1:35" x14ac:dyDescent="0.35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2"/>
      <c r="AC247" s="42"/>
      <c r="AD247" s="42"/>
      <c r="AE247" s="43"/>
      <c r="AF247" s="23"/>
      <c r="AG247" s="36"/>
      <c r="AH247" s="36"/>
      <c r="AI247" s="36"/>
    </row>
    <row r="248" spans="1:35" x14ac:dyDescent="0.35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2"/>
      <c r="AC248" s="42"/>
      <c r="AD248" s="42"/>
      <c r="AE248" s="43"/>
      <c r="AF248" s="23"/>
      <c r="AG248" s="36"/>
      <c r="AH248" s="36"/>
      <c r="AI248" s="36"/>
    </row>
    <row r="249" spans="1:35" x14ac:dyDescent="0.35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2"/>
      <c r="AC249" s="42"/>
      <c r="AD249" s="42"/>
      <c r="AE249" s="43"/>
      <c r="AF249" s="23"/>
      <c r="AG249" s="36"/>
      <c r="AH249" s="36"/>
      <c r="AI249" s="36"/>
    </row>
    <row r="250" spans="1:35" x14ac:dyDescent="0.35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2"/>
      <c r="AC250" s="42"/>
      <c r="AD250" s="42"/>
      <c r="AE250" s="43"/>
      <c r="AF250" s="23"/>
      <c r="AG250" s="36"/>
      <c r="AH250" s="36"/>
      <c r="AI250" s="36"/>
    </row>
    <row r="251" spans="1:35" x14ac:dyDescent="0.35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2"/>
      <c r="AC251" s="42"/>
      <c r="AD251" s="42"/>
      <c r="AE251" s="43"/>
      <c r="AF251" s="23"/>
      <c r="AG251" s="36"/>
      <c r="AH251" s="36"/>
      <c r="AI251" s="36"/>
    </row>
    <row r="252" spans="1:35" x14ac:dyDescent="0.35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2"/>
      <c r="AC252" s="42"/>
      <c r="AD252" s="42"/>
      <c r="AE252" s="43"/>
      <c r="AF252" s="23"/>
      <c r="AG252" s="36"/>
      <c r="AH252" s="36"/>
      <c r="AI252" s="36"/>
    </row>
    <row r="253" spans="1:35" x14ac:dyDescent="0.35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2"/>
      <c r="AC253" s="42"/>
      <c r="AD253" s="42"/>
      <c r="AE253" s="43"/>
      <c r="AF253" s="23"/>
      <c r="AG253" s="36"/>
      <c r="AH253" s="36"/>
      <c r="AI253" s="36"/>
    </row>
    <row r="254" spans="1:35" x14ac:dyDescent="0.35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2"/>
      <c r="AC254" s="42"/>
      <c r="AD254" s="42"/>
      <c r="AE254" s="43"/>
      <c r="AF254" s="23"/>
      <c r="AG254" s="36"/>
      <c r="AH254" s="36"/>
      <c r="AI254" s="36"/>
    </row>
    <row r="255" spans="1:35" x14ac:dyDescent="0.3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2"/>
      <c r="AC255" s="42"/>
      <c r="AD255" s="42"/>
      <c r="AE255" s="43"/>
      <c r="AF255" s="23"/>
      <c r="AG255" s="36"/>
      <c r="AH255" s="36"/>
      <c r="AI255" s="36"/>
    </row>
    <row r="256" spans="1:35" x14ac:dyDescent="0.35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2"/>
      <c r="AC256" s="42"/>
      <c r="AD256" s="42"/>
      <c r="AE256" s="43"/>
      <c r="AF256" s="23"/>
      <c r="AG256" s="36"/>
      <c r="AH256" s="36"/>
      <c r="AI256" s="36"/>
    </row>
    <row r="257" spans="1:35" x14ac:dyDescent="0.35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2"/>
      <c r="AC257" s="42"/>
      <c r="AD257" s="42"/>
      <c r="AE257" s="43"/>
      <c r="AF257" s="23"/>
      <c r="AG257" s="36"/>
      <c r="AH257" s="36"/>
      <c r="AI257" s="36"/>
    </row>
    <row r="258" spans="1:35" x14ac:dyDescent="0.35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2"/>
      <c r="AC258" s="42"/>
      <c r="AD258" s="42"/>
      <c r="AE258" s="43"/>
      <c r="AF258" s="23"/>
      <c r="AG258" s="36"/>
      <c r="AH258" s="36"/>
      <c r="AI258" s="36"/>
    </row>
    <row r="259" spans="1:35" x14ac:dyDescent="0.35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2"/>
      <c r="AC259" s="42"/>
      <c r="AD259" s="42"/>
      <c r="AE259" s="43"/>
      <c r="AF259" s="23"/>
      <c r="AG259" s="36"/>
      <c r="AH259" s="36"/>
      <c r="AI259" s="36"/>
    </row>
    <row r="260" spans="1:35" x14ac:dyDescent="0.35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2"/>
      <c r="AC260" s="42"/>
      <c r="AD260" s="42"/>
      <c r="AE260" s="43"/>
      <c r="AF260" s="23"/>
      <c r="AG260" s="36"/>
      <c r="AH260" s="36"/>
      <c r="AI260" s="36"/>
    </row>
    <row r="261" spans="1:35" x14ac:dyDescent="0.35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2"/>
      <c r="AC261" s="42"/>
      <c r="AD261" s="42"/>
      <c r="AE261" s="43"/>
      <c r="AF261" s="23"/>
      <c r="AG261" s="36"/>
      <c r="AH261" s="36"/>
      <c r="AI261" s="36"/>
    </row>
    <row r="262" spans="1:35" x14ac:dyDescent="0.35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2"/>
      <c r="AC262" s="42"/>
      <c r="AD262" s="42"/>
      <c r="AE262" s="43"/>
      <c r="AF262" s="23"/>
      <c r="AG262" s="36"/>
      <c r="AH262" s="36"/>
      <c r="AI262" s="36"/>
    </row>
    <row r="263" spans="1:35" x14ac:dyDescent="0.35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2"/>
      <c r="AC263" s="42"/>
      <c r="AD263" s="42"/>
      <c r="AE263" s="43"/>
      <c r="AF263" s="23"/>
      <c r="AG263" s="36"/>
      <c r="AH263" s="36"/>
      <c r="AI263" s="36"/>
    </row>
    <row r="264" spans="1:35" x14ac:dyDescent="0.35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2"/>
      <c r="AC264" s="42"/>
      <c r="AD264" s="42"/>
      <c r="AE264" s="43"/>
      <c r="AF264" s="23"/>
      <c r="AG264" s="36"/>
      <c r="AH264" s="36"/>
      <c r="AI264" s="36"/>
    </row>
    <row r="265" spans="1:35" x14ac:dyDescent="0.3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2"/>
      <c r="AC265" s="42"/>
      <c r="AD265" s="42"/>
      <c r="AE265" s="43"/>
      <c r="AF265" s="23"/>
      <c r="AG265" s="36"/>
      <c r="AH265" s="36"/>
      <c r="AI265" s="36"/>
    </row>
    <row r="266" spans="1:35" x14ac:dyDescent="0.35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2"/>
      <c r="AC266" s="42"/>
      <c r="AD266" s="42"/>
      <c r="AE266" s="43"/>
      <c r="AF266" s="23"/>
      <c r="AG266" s="36"/>
      <c r="AH266" s="36"/>
      <c r="AI266" s="36"/>
    </row>
    <row r="267" spans="1:35" x14ac:dyDescent="0.35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2"/>
      <c r="AC267" s="42"/>
      <c r="AD267" s="42"/>
      <c r="AE267" s="43"/>
      <c r="AF267" s="23"/>
      <c r="AG267" s="36"/>
      <c r="AH267" s="36"/>
      <c r="AI267" s="36"/>
    </row>
    <row r="268" spans="1:35" x14ac:dyDescent="0.35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2"/>
      <c r="AC268" s="42"/>
      <c r="AD268" s="42"/>
      <c r="AE268" s="43"/>
      <c r="AF268" s="23"/>
      <c r="AG268" s="36"/>
      <c r="AH268" s="36"/>
      <c r="AI268" s="36"/>
    </row>
    <row r="269" spans="1:35" x14ac:dyDescent="0.35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2"/>
      <c r="AC269" s="42"/>
      <c r="AD269" s="42"/>
      <c r="AE269" s="43"/>
      <c r="AF269" s="23"/>
      <c r="AG269" s="36"/>
      <c r="AH269" s="36"/>
      <c r="AI269" s="36"/>
    </row>
    <row r="270" spans="1:35" x14ac:dyDescent="0.35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2"/>
      <c r="AC270" s="42"/>
      <c r="AD270" s="42"/>
      <c r="AE270" s="43"/>
      <c r="AF270" s="23"/>
      <c r="AG270" s="36"/>
      <c r="AH270" s="36"/>
      <c r="AI270" s="36"/>
    </row>
    <row r="271" spans="1:35" x14ac:dyDescent="0.35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2"/>
      <c r="AC271" s="42"/>
      <c r="AD271" s="42"/>
      <c r="AE271" s="43"/>
      <c r="AF271" s="23"/>
      <c r="AG271" s="36"/>
      <c r="AH271" s="36"/>
      <c r="AI271" s="36"/>
    </row>
    <row r="272" spans="1:35" x14ac:dyDescent="0.35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2"/>
      <c r="AC272" s="42"/>
      <c r="AD272" s="42"/>
      <c r="AE272" s="43"/>
      <c r="AF272" s="23"/>
      <c r="AG272" s="36"/>
      <c r="AH272" s="36"/>
      <c r="AI272" s="36"/>
    </row>
    <row r="273" spans="1:35" x14ac:dyDescent="0.35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2"/>
      <c r="AC273" s="42"/>
      <c r="AD273" s="42"/>
      <c r="AE273" s="43"/>
      <c r="AF273" s="23"/>
      <c r="AG273" s="36"/>
      <c r="AH273" s="36"/>
      <c r="AI273" s="36"/>
    </row>
    <row r="274" spans="1:35" x14ac:dyDescent="0.35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2"/>
      <c r="AC274" s="42"/>
      <c r="AD274" s="42"/>
      <c r="AE274" s="43"/>
      <c r="AF274" s="23"/>
      <c r="AG274" s="36"/>
      <c r="AH274" s="36"/>
      <c r="AI274" s="36"/>
    </row>
    <row r="275" spans="1:35" x14ac:dyDescent="0.3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2"/>
      <c r="AC275" s="42"/>
      <c r="AD275" s="42"/>
      <c r="AE275" s="43"/>
      <c r="AF275" s="23"/>
      <c r="AG275" s="36"/>
      <c r="AH275" s="36"/>
      <c r="AI275" s="36"/>
    </row>
    <row r="276" spans="1:35" x14ac:dyDescent="0.35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2"/>
      <c r="AC276" s="42"/>
      <c r="AD276" s="42"/>
      <c r="AE276" s="43"/>
      <c r="AF276" s="23"/>
      <c r="AG276" s="36"/>
      <c r="AH276" s="36"/>
      <c r="AI276" s="36"/>
    </row>
    <row r="277" spans="1:35" x14ac:dyDescent="0.35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2"/>
      <c r="AC277" s="42"/>
      <c r="AD277" s="42"/>
      <c r="AE277" s="43"/>
      <c r="AF277" s="23"/>
      <c r="AG277" s="36"/>
      <c r="AH277" s="36"/>
      <c r="AI277" s="36"/>
    </row>
    <row r="278" spans="1:35" x14ac:dyDescent="0.35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2"/>
      <c r="AC278" s="42"/>
      <c r="AD278" s="42"/>
      <c r="AE278" s="43"/>
      <c r="AF278" s="23"/>
      <c r="AG278" s="36"/>
      <c r="AH278" s="36"/>
      <c r="AI278" s="36"/>
    </row>
    <row r="279" spans="1:35" x14ac:dyDescent="0.35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2"/>
      <c r="AC279" s="42"/>
      <c r="AD279" s="42"/>
      <c r="AE279" s="43"/>
      <c r="AF279" s="23"/>
      <c r="AG279" s="36"/>
      <c r="AH279" s="36"/>
      <c r="AI279" s="36"/>
    </row>
    <row r="280" spans="1:35" x14ac:dyDescent="0.35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2"/>
      <c r="AC280" s="42"/>
      <c r="AD280" s="42"/>
      <c r="AE280" s="43"/>
      <c r="AF280" s="23"/>
      <c r="AG280" s="36"/>
      <c r="AH280" s="36"/>
      <c r="AI280" s="36"/>
    </row>
    <row r="281" spans="1:35" x14ac:dyDescent="0.35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2"/>
      <c r="AC281" s="42"/>
      <c r="AD281" s="42"/>
      <c r="AE281" s="43"/>
      <c r="AF281" s="23"/>
      <c r="AG281" s="36"/>
      <c r="AH281" s="36"/>
      <c r="AI281" s="36"/>
    </row>
    <row r="282" spans="1:35" x14ac:dyDescent="0.35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2"/>
      <c r="AC282" s="42"/>
      <c r="AD282" s="42"/>
      <c r="AE282" s="43"/>
      <c r="AF282" s="23"/>
      <c r="AG282" s="36"/>
      <c r="AH282" s="36"/>
      <c r="AI282" s="36"/>
    </row>
    <row r="283" spans="1:35" x14ac:dyDescent="0.35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2"/>
      <c r="AC283" s="42"/>
      <c r="AD283" s="42"/>
      <c r="AE283" s="43"/>
      <c r="AF283" s="23"/>
      <c r="AG283" s="36"/>
      <c r="AH283" s="36"/>
      <c r="AI283" s="36"/>
    </row>
    <row r="284" spans="1:35" x14ac:dyDescent="0.35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2"/>
      <c r="AC284" s="42"/>
      <c r="AD284" s="42"/>
      <c r="AE284" s="43"/>
      <c r="AF284" s="23"/>
      <c r="AG284" s="36"/>
      <c r="AH284" s="36"/>
      <c r="AI284" s="36"/>
    </row>
    <row r="285" spans="1:35" x14ac:dyDescent="0.3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2"/>
      <c r="AC285" s="42"/>
      <c r="AD285" s="42"/>
      <c r="AE285" s="43"/>
      <c r="AF285" s="23"/>
      <c r="AG285" s="36"/>
      <c r="AH285" s="36"/>
      <c r="AI285" s="36"/>
    </row>
    <row r="286" spans="1:35" x14ac:dyDescent="0.35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2"/>
      <c r="AC286" s="42"/>
      <c r="AD286" s="42"/>
      <c r="AE286" s="43"/>
      <c r="AF286" s="23"/>
      <c r="AG286" s="36"/>
      <c r="AH286" s="36"/>
      <c r="AI286" s="36"/>
    </row>
    <row r="287" spans="1:35" x14ac:dyDescent="0.35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2"/>
      <c r="AC287" s="42"/>
      <c r="AD287" s="42"/>
      <c r="AE287" s="43"/>
      <c r="AF287" s="23"/>
      <c r="AG287" s="36"/>
      <c r="AH287" s="36"/>
      <c r="AI287" s="36"/>
    </row>
    <row r="288" spans="1:35" x14ac:dyDescent="0.35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2"/>
      <c r="AC288" s="42"/>
      <c r="AD288" s="42"/>
      <c r="AE288" s="43"/>
      <c r="AF288" s="23"/>
      <c r="AG288" s="36"/>
      <c r="AH288" s="36"/>
      <c r="AI288" s="36"/>
    </row>
    <row r="289" spans="1:35" x14ac:dyDescent="0.35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2"/>
      <c r="AC289" s="42"/>
      <c r="AD289" s="42"/>
      <c r="AE289" s="43"/>
      <c r="AF289" s="23"/>
      <c r="AG289" s="36"/>
      <c r="AH289" s="36"/>
      <c r="AI289" s="36"/>
    </row>
    <row r="290" spans="1:35" x14ac:dyDescent="0.35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2"/>
      <c r="AC290" s="42"/>
      <c r="AD290" s="42"/>
      <c r="AE290" s="43"/>
      <c r="AF290" s="23"/>
      <c r="AG290" s="36"/>
      <c r="AH290" s="36"/>
      <c r="AI290" s="36"/>
    </row>
    <row r="291" spans="1:35" x14ac:dyDescent="0.35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2"/>
      <c r="AC291" s="42"/>
      <c r="AD291" s="42"/>
      <c r="AE291" s="43"/>
      <c r="AF291" s="23"/>
      <c r="AG291" s="36"/>
      <c r="AH291" s="36"/>
      <c r="AI291" s="36"/>
    </row>
    <row r="292" spans="1:35" x14ac:dyDescent="0.35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2"/>
      <c r="AC292" s="42"/>
      <c r="AD292" s="42"/>
      <c r="AE292" s="43"/>
      <c r="AF292" s="23"/>
      <c r="AG292" s="36"/>
      <c r="AH292" s="36"/>
      <c r="AI292" s="36"/>
    </row>
    <row r="293" spans="1:35" x14ac:dyDescent="0.35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2"/>
      <c r="AC293" s="42"/>
      <c r="AD293" s="42"/>
      <c r="AE293" s="43"/>
      <c r="AF293" s="23"/>
      <c r="AG293" s="36"/>
      <c r="AH293" s="36"/>
      <c r="AI293" s="36"/>
    </row>
    <row r="294" spans="1:35" x14ac:dyDescent="0.35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2"/>
      <c r="AC294" s="42"/>
      <c r="AD294" s="42"/>
      <c r="AE294" s="43"/>
      <c r="AF294" s="23"/>
      <c r="AG294" s="36"/>
      <c r="AH294" s="36"/>
      <c r="AI294" s="36"/>
    </row>
    <row r="295" spans="1:35" x14ac:dyDescent="0.3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2"/>
      <c r="AC295" s="42"/>
      <c r="AD295" s="42"/>
      <c r="AE295" s="43"/>
      <c r="AF295" s="23"/>
      <c r="AG295" s="36"/>
      <c r="AH295" s="36"/>
      <c r="AI295" s="36"/>
    </row>
    <row r="296" spans="1:35" x14ac:dyDescent="0.35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2"/>
      <c r="AC296" s="42"/>
      <c r="AD296" s="42"/>
      <c r="AE296" s="43"/>
      <c r="AF296" s="23"/>
      <c r="AG296" s="36"/>
      <c r="AH296" s="36"/>
      <c r="AI296" s="36"/>
    </row>
    <row r="297" spans="1:35" x14ac:dyDescent="0.35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2"/>
      <c r="AC297" s="42"/>
      <c r="AD297" s="42"/>
      <c r="AE297" s="43"/>
      <c r="AF297" s="23"/>
      <c r="AG297" s="36"/>
      <c r="AH297" s="36"/>
      <c r="AI297" s="36"/>
    </row>
    <row r="298" spans="1:35" x14ac:dyDescent="0.35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2"/>
      <c r="AC298" s="42"/>
      <c r="AD298" s="42"/>
      <c r="AE298" s="43"/>
      <c r="AF298" s="23"/>
      <c r="AG298" s="36"/>
      <c r="AH298" s="36"/>
      <c r="AI298" s="36"/>
    </row>
    <row r="299" spans="1:35" x14ac:dyDescent="0.35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2"/>
      <c r="AC299" s="42"/>
      <c r="AD299" s="42"/>
      <c r="AE299" s="43"/>
      <c r="AF299" s="23"/>
      <c r="AG299" s="36"/>
      <c r="AH299" s="36"/>
      <c r="AI299" s="36"/>
    </row>
    <row r="300" spans="1:35" x14ac:dyDescent="0.35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2"/>
      <c r="AC300" s="42"/>
      <c r="AD300" s="42"/>
      <c r="AE300" s="43"/>
      <c r="AF300" s="23"/>
      <c r="AG300" s="36"/>
      <c r="AH300" s="36"/>
      <c r="AI300" s="36"/>
    </row>
    <row r="301" spans="1:35" x14ac:dyDescent="0.35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2"/>
      <c r="AC301" s="42"/>
      <c r="AD301" s="42"/>
      <c r="AE301" s="43"/>
      <c r="AF301" s="23"/>
      <c r="AG301" s="36"/>
      <c r="AH301" s="36"/>
      <c r="AI301" s="36"/>
    </row>
    <row r="302" spans="1:35" x14ac:dyDescent="0.35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2"/>
      <c r="AC302" s="42"/>
      <c r="AD302" s="42"/>
      <c r="AE302" s="43"/>
      <c r="AF302" s="23"/>
      <c r="AG302" s="36"/>
      <c r="AH302" s="36"/>
      <c r="AI302" s="36"/>
    </row>
    <row r="303" spans="1:35" x14ac:dyDescent="0.35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2"/>
      <c r="AC303" s="42"/>
      <c r="AD303" s="42"/>
      <c r="AE303" s="43"/>
      <c r="AF303" s="23"/>
      <c r="AG303" s="36"/>
      <c r="AH303" s="36"/>
      <c r="AI303" s="36"/>
    </row>
    <row r="304" spans="1:35" x14ac:dyDescent="0.35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2"/>
      <c r="AC304" s="42"/>
      <c r="AD304" s="42"/>
      <c r="AE304" s="43"/>
      <c r="AF304" s="23"/>
      <c r="AG304" s="36"/>
      <c r="AH304" s="36"/>
      <c r="AI304" s="36"/>
    </row>
    <row r="305" spans="1:35" x14ac:dyDescent="0.3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2"/>
      <c r="AC305" s="42"/>
      <c r="AD305" s="42"/>
      <c r="AE305" s="43"/>
      <c r="AF305" s="23"/>
      <c r="AG305" s="36"/>
      <c r="AH305" s="36"/>
      <c r="AI305" s="36"/>
    </row>
    <row r="306" spans="1:35" x14ac:dyDescent="0.35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2"/>
      <c r="AC306" s="42"/>
      <c r="AD306" s="42"/>
      <c r="AE306" s="43"/>
      <c r="AF306" s="23"/>
      <c r="AG306" s="36"/>
      <c r="AH306" s="36"/>
      <c r="AI306" s="36"/>
    </row>
    <row r="307" spans="1:35" x14ac:dyDescent="0.35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2"/>
      <c r="AC307" s="42"/>
      <c r="AD307" s="42"/>
      <c r="AE307" s="43"/>
      <c r="AF307" s="23"/>
      <c r="AG307" s="36"/>
      <c r="AH307" s="36"/>
      <c r="AI307" s="36"/>
    </row>
    <row r="308" spans="1:35" x14ac:dyDescent="0.35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2"/>
      <c r="AC308" s="42"/>
      <c r="AD308" s="42"/>
      <c r="AE308" s="43"/>
      <c r="AF308" s="23"/>
      <c r="AG308" s="36"/>
      <c r="AH308" s="36"/>
      <c r="AI308" s="36"/>
    </row>
    <row r="309" spans="1:35" x14ac:dyDescent="0.35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2"/>
      <c r="AC309" s="42"/>
      <c r="AD309" s="42"/>
      <c r="AE309" s="43"/>
      <c r="AF309" s="23"/>
      <c r="AG309" s="36"/>
      <c r="AH309" s="36"/>
      <c r="AI309" s="36"/>
    </row>
    <row r="310" spans="1:35" x14ac:dyDescent="0.35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2"/>
      <c r="AC310" s="42"/>
      <c r="AD310" s="42"/>
      <c r="AE310" s="43"/>
      <c r="AF310" s="23"/>
      <c r="AG310" s="36"/>
      <c r="AH310" s="36"/>
      <c r="AI310" s="36"/>
    </row>
    <row r="311" spans="1:35" x14ac:dyDescent="0.35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2"/>
      <c r="AC311" s="42"/>
      <c r="AD311" s="42"/>
      <c r="AE311" s="43"/>
      <c r="AF311" s="23"/>
      <c r="AG311" s="36"/>
      <c r="AH311" s="36"/>
      <c r="AI311" s="36"/>
    </row>
    <row r="312" spans="1:35" x14ac:dyDescent="0.35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2"/>
      <c r="AC312" s="42"/>
      <c r="AD312" s="42"/>
      <c r="AE312" s="43"/>
      <c r="AF312" s="23"/>
      <c r="AG312" s="36"/>
      <c r="AH312" s="36"/>
      <c r="AI312" s="36"/>
    </row>
    <row r="313" spans="1:35" x14ac:dyDescent="0.35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2"/>
      <c r="AC313" s="42"/>
      <c r="AD313" s="42"/>
      <c r="AE313" s="43"/>
      <c r="AF313" s="23"/>
      <c r="AG313" s="36"/>
      <c r="AH313" s="36"/>
      <c r="AI313" s="36"/>
    </row>
    <row r="314" spans="1:35" x14ac:dyDescent="0.35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2"/>
      <c r="AC314" s="42"/>
      <c r="AD314" s="42"/>
      <c r="AE314" s="43"/>
      <c r="AF314" s="23"/>
      <c r="AG314" s="36"/>
      <c r="AH314" s="36"/>
      <c r="AI314" s="36"/>
    </row>
    <row r="315" spans="1:35" x14ac:dyDescent="0.3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2"/>
      <c r="AC315" s="42"/>
      <c r="AD315" s="42"/>
      <c r="AE315" s="43"/>
      <c r="AF315" s="23"/>
      <c r="AG315" s="36"/>
      <c r="AH315" s="36"/>
      <c r="AI315" s="36"/>
    </row>
    <row r="316" spans="1:35" x14ac:dyDescent="0.35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2"/>
      <c r="AC316" s="42"/>
      <c r="AD316" s="42"/>
      <c r="AE316" s="43"/>
      <c r="AF316" s="23"/>
      <c r="AG316" s="36"/>
      <c r="AH316" s="36"/>
      <c r="AI316" s="36"/>
    </row>
    <row r="317" spans="1:35" x14ac:dyDescent="0.35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2"/>
      <c r="AC317" s="42"/>
      <c r="AD317" s="42"/>
      <c r="AE317" s="43"/>
      <c r="AF317" s="23"/>
      <c r="AG317" s="36"/>
      <c r="AH317" s="36"/>
      <c r="AI317" s="36"/>
    </row>
    <row r="318" spans="1:35" x14ac:dyDescent="0.35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2"/>
      <c r="AC318" s="42"/>
      <c r="AD318" s="42"/>
      <c r="AE318" s="43"/>
      <c r="AF318" s="23"/>
      <c r="AG318" s="36"/>
      <c r="AH318" s="36"/>
      <c r="AI318" s="36"/>
    </row>
    <row r="319" spans="1:35" x14ac:dyDescent="0.35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2"/>
      <c r="AC319" s="42"/>
      <c r="AD319" s="42"/>
      <c r="AE319" s="43"/>
      <c r="AF319" s="23"/>
      <c r="AG319" s="36"/>
      <c r="AH319" s="36"/>
      <c r="AI319" s="36"/>
    </row>
    <row r="320" spans="1:35" x14ac:dyDescent="0.35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2"/>
      <c r="AC320" s="42"/>
      <c r="AD320" s="42"/>
      <c r="AE320" s="43"/>
      <c r="AF320" s="23"/>
      <c r="AG320" s="36"/>
      <c r="AH320" s="36"/>
      <c r="AI320" s="36"/>
    </row>
    <row r="321" spans="1:35" x14ac:dyDescent="0.35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2"/>
      <c r="AC321" s="42"/>
      <c r="AD321" s="42"/>
      <c r="AE321" s="43"/>
      <c r="AF321" s="23"/>
      <c r="AG321" s="36"/>
      <c r="AH321" s="36"/>
      <c r="AI321" s="36"/>
    </row>
    <row r="322" spans="1:35" x14ac:dyDescent="0.35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2"/>
      <c r="AC322" s="42"/>
      <c r="AD322" s="42"/>
      <c r="AE322" s="43"/>
      <c r="AF322" s="23"/>
      <c r="AG322" s="36"/>
      <c r="AH322" s="36"/>
      <c r="AI322" s="36"/>
    </row>
    <row r="323" spans="1:35" x14ac:dyDescent="0.35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2"/>
      <c r="AC323" s="42"/>
      <c r="AD323" s="42"/>
      <c r="AE323" s="43"/>
      <c r="AF323" s="23"/>
      <c r="AG323" s="36"/>
      <c r="AH323" s="36"/>
      <c r="AI323" s="36"/>
    </row>
    <row r="324" spans="1:35" x14ac:dyDescent="0.35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2"/>
      <c r="AC324" s="42"/>
      <c r="AD324" s="42"/>
      <c r="AE324" s="43"/>
      <c r="AF324" s="23"/>
      <c r="AG324" s="36"/>
      <c r="AH324" s="36"/>
      <c r="AI324" s="36"/>
    </row>
    <row r="325" spans="1:35" x14ac:dyDescent="0.3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2"/>
      <c r="AC325" s="42"/>
      <c r="AD325" s="42"/>
      <c r="AE325" s="43"/>
      <c r="AF325" s="23"/>
      <c r="AG325" s="36"/>
      <c r="AH325" s="36"/>
      <c r="AI325" s="36"/>
    </row>
    <row r="326" spans="1:35" x14ac:dyDescent="0.35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2"/>
      <c r="AC326" s="42"/>
      <c r="AD326" s="42"/>
      <c r="AE326" s="43"/>
      <c r="AF326" s="23"/>
      <c r="AG326" s="36"/>
      <c r="AH326" s="36"/>
      <c r="AI326" s="36"/>
    </row>
    <row r="327" spans="1:35" x14ac:dyDescent="0.35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2"/>
      <c r="AC327" s="42"/>
      <c r="AD327" s="42"/>
      <c r="AE327" s="43"/>
      <c r="AF327" s="23"/>
      <c r="AG327" s="36"/>
      <c r="AH327" s="36"/>
      <c r="AI327" s="36"/>
    </row>
    <row r="328" spans="1:35" x14ac:dyDescent="0.35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2"/>
      <c r="AC328" s="42"/>
      <c r="AD328" s="42"/>
      <c r="AE328" s="43"/>
      <c r="AF328" s="23"/>
      <c r="AG328" s="36"/>
      <c r="AH328" s="36"/>
      <c r="AI328" s="36"/>
    </row>
    <row r="329" spans="1:35" x14ac:dyDescent="0.35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2"/>
      <c r="AC329" s="42"/>
      <c r="AD329" s="42"/>
      <c r="AE329" s="43"/>
      <c r="AF329" s="23"/>
      <c r="AG329" s="36"/>
      <c r="AH329" s="36"/>
      <c r="AI329" s="36"/>
    </row>
    <row r="330" spans="1:35" x14ac:dyDescent="0.35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2"/>
      <c r="AC330" s="42"/>
      <c r="AD330" s="42"/>
      <c r="AE330" s="43"/>
      <c r="AF330" s="23"/>
      <c r="AG330" s="36"/>
      <c r="AH330" s="36"/>
      <c r="AI330" s="36"/>
    </row>
    <row r="331" spans="1:35" x14ac:dyDescent="0.35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2"/>
      <c r="AC331" s="42"/>
      <c r="AD331" s="42"/>
      <c r="AE331" s="43"/>
      <c r="AF331" s="23"/>
      <c r="AG331" s="36"/>
      <c r="AH331" s="36"/>
      <c r="AI331" s="36"/>
    </row>
    <row r="332" spans="1:35" x14ac:dyDescent="0.35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2"/>
      <c r="AC332" s="42"/>
      <c r="AD332" s="42"/>
      <c r="AE332" s="43"/>
      <c r="AF332" s="23"/>
      <c r="AG332" s="36"/>
      <c r="AH332" s="36"/>
      <c r="AI332" s="36"/>
    </row>
    <row r="333" spans="1:35" x14ac:dyDescent="0.35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2"/>
      <c r="AC333" s="42"/>
      <c r="AD333" s="42"/>
      <c r="AE333" s="43"/>
      <c r="AF333" s="23"/>
      <c r="AG333" s="36"/>
      <c r="AH333" s="36"/>
      <c r="AI333" s="36"/>
    </row>
    <row r="334" spans="1:35" x14ac:dyDescent="0.35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2"/>
      <c r="AC334" s="42"/>
      <c r="AD334" s="42"/>
      <c r="AE334" s="43"/>
      <c r="AF334" s="23"/>
      <c r="AG334" s="36"/>
      <c r="AH334" s="36"/>
      <c r="AI334" s="36"/>
    </row>
    <row r="335" spans="1:35" x14ac:dyDescent="0.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2"/>
      <c r="AC335" s="42"/>
      <c r="AD335" s="42"/>
      <c r="AE335" s="43"/>
      <c r="AF335" s="23"/>
      <c r="AG335" s="36"/>
      <c r="AH335" s="36"/>
      <c r="AI335" s="36"/>
    </row>
    <row r="336" spans="1:35" x14ac:dyDescent="0.35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2"/>
      <c r="AC336" s="42"/>
      <c r="AD336" s="42"/>
      <c r="AE336" s="43"/>
      <c r="AF336" s="23"/>
      <c r="AG336" s="36"/>
      <c r="AH336" s="36"/>
      <c r="AI336" s="36"/>
    </row>
    <row r="337" spans="1:35" x14ac:dyDescent="0.35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2"/>
      <c r="AC337" s="42"/>
      <c r="AD337" s="42"/>
      <c r="AE337" s="43"/>
      <c r="AF337" s="23"/>
      <c r="AG337" s="36"/>
      <c r="AH337" s="36"/>
      <c r="AI337" s="36"/>
    </row>
    <row r="338" spans="1:35" x14ac:dyDescent="0.35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2"/>
      <c r="AC338" s="42"/>
      <c r="AD338" s="42"/>
      <c r="AE338" s="43"/>
      <c r="AF338" s="23"/>
      <c r="AG338" s="36"/>
      <c r="AH338" s="36"/>
      <c r="AI338" s="36"/>
    </row>
    <row r="339" spans="1:35" x14ac:dyDescent="0.35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2"/>
      <c r="AC339" s="42"/>
      <c r="AD339" s="42"/>
      <c r="AE339" s="43"/>
      <c r="AF339" s="23"/>
      <c r="AG339" s="36"/>
      <c r="AH339" s="36"/>
      <c r="AI339" s="36"/>
    </row>
    <row r="340" spans="1:35" x14ac:dyDescent="0.35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2"/>
      <c r="AC340" s="42"/>
      <c r="AD340" s="42"/>
      <c r="AE340" s="43"/>
      <c r="AF340" s="23"/>
      <c r="AG340" s="36"/>
      <c r="AH340" s="36"/>
      <c r="AI340" s="36"/>
    </row>
    <row r="341" spans="1:35" x14ac:dyDescent="0.35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2"/>
      <c r="AC341" s="42"/>
      <c r="AD341" s="42"/>
      <c r="AE341" s="43"/>
      <c r="AF341" s="23"/>
      <c r="AG341" s="36"/>
      <c r="AH341" s="36"/>
      <c r="AI341" s="36"/>
    </row>
    <row r="342" spans="1:35" x14ac:dyDescent="0.35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2"/>
      <c r="AC342" s="42"/>
      <c r="AD342" s="42"/>
      <c r="AE342" s="43"/>
      <c r="AF342" s="23"/>
      <c r="AG342" s="36"/>
      <c r="AH342" s="36"/>
      <c r="AI342" s="36"/>
    </row>
    <row r="343" spans="1:35" x14ac:dyDescent="0.35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2"/>
      <c r="AC343" s="42"/>
      <c r="AD343" s="42"/>
      <c r="AE343" s="43"/>
      <c r="AF343" s="23"/>
      <c r="AG343" s="36"/>
      <c r="AH343" s="36"/>
      <c r="AI343" s="36"/>
    </row>
    <row r="344" spans="1:35" x14ac:dyDescent="0.35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2"/>
      <c r="AC344" s="42"/>
      <c r="AD344" s="42"/>
      <c r="AE344" s="43"/>
      <c r="AF344" s="23"/>
      <c r="AG344" s="36"/>
      <c r="AH344" s="36"/>
      <c r="AI344" s="36"/>
    </row>
    <row r="345" spans="1:35" x14ac:dyDescent="0.3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2"/>
      <c r="AC345" s="42"/>
      <c r="AD345" s="42"/>
      <c r="AE345" s="43"/>
      <c r="AF345" s="23"/>
      <c r="AG345" s="36"/>
      <c r="AH345" s="36"/>
      <c r="AI345" s="36"/>
    </row>
    <row r="346" spans="1:35" x14ac:dyDescent="0.35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2"/>
      <c r="AC346" s="42"/>
      <c r="AD346" s="42"/>
      <c r="AE346" s="43"/>
      <c r="AF346" s="23"/>
      <c r="AG346" s="36"/>
      <c r="AH346" s="36"/>
      <c r="AI346" s="36"/>
    </row>
    <row r="347" spans="1:35" x14ac:dyDescent="0.35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2"/>
      <c r="AC347" s="42"/>
      <c r="AD347" s="42"/>
      <c r="AE347" s="43"/>
      <c r="AF347" s="23"/>
      <c r="AG347" s="36"/>
      <c r="AH347" s="36"/>
      <c r="AI347" s="36"/>
    </row>
    <row r="348" spans="1:35" x14ac:dyDescent="0.35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2"/>
      <c r="AC348" s="42"/>
      <c r="AD348" s="42"/>
      <c r="AE348" s="43"/>
      <c r="AF348" s="23"/>
      <c r="AG348" s="36"/>
      <c r="AH348" s="36"/>
      <c r="AI348" s="36"/>
    </row>
    <row r="349" spans="1:35" x14ac:dyDescent="0.35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2"/>
      <c r="AC349" s="42"/>
      <c r="AD349" s="42"/>
      <c r="AE349" s="43"/>
      <c r="AF349" s="23"/>
      <c r="AG349" s="36"/>
      <c r="AH349" s="36"/>
      <c r="AI349" s="36"/>
    </row>
    <row r="350" spans="1:35" x14ac:dyDescent="0.35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2"/>
      <c r="AC350" s="42"/>
      <c r="AD350" s="42"/>
      <c r="AE350" s="43"/>
      <c r="AF350" s="23"/>
      <c r="AG350" s="36"/>
      <c r="AH350" s="36"/>
      <c r="AI350" s="36"/>
    </row>
    <row r="351" spans="1:35" x14ac:dyDescent="0.35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2"/>
      <c r="AC351" s="42"/>
      <c r="AD351" s="42"/>
      <c r="AE351" s="43"/>
      <c r="AF351" s="23"/>
      <c r="AG351" s="36"/>
      <c r="AH351" s="36"/>
      <c r="AI351" s="36"/>
    </row>
    <row r="352" spans="1:35" x14ac:dyDescent="0.35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2"/>
      <c r="AC352" s="42"/>
      <c r="AD352" s="42"/>
      <c r="AE352" s="43"/>
      <c r="AF352" s="23"/>
      <c r="AG352" s="36"/>
      <c r="AH352" s="36"/>
      <c r="AI352" s="36"/>
    </row>
    <row r="353" spans="1:35" x14ac:dyDescent="0.35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2"/>
      <c r="AC353" s="42"/>
      <c r="AD353" s="42"/>
      <c r="AE353" s="43"/>
      <c r="AF353" s="23"/>
      <c r="AG353" s="36"/>
      <c r="AH353" s="36"/>
      <c r="AI353" s="36"/>
    </row>
    <row r="354" spans="1:35" x14ac:dyDescent="0.35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2"/>
      <c r="AC354" s="42"/>
      <c r="AD354" s="42"/>
      <c r="AE354" s="43"/>
      <c r="AF354" s="23"/>
      <c r="AG354" s="36"/>
      <c r="AH354" s="36"/>
      <c r="AI354" s="36"/>
    </row>
    <row r="355" spans="1:35" x14ac:dyDescent="0.3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2"/>
      <c r="AC355" s="42"/>
      <c r="AD355" s="42"/>
      <c r="AE355" s="43"/>
      <c r="AF355" s="23"/>
      <c r="AG355" s="36"/>
      <c r="AH355" s="36"/>
      <c r="AI355" s="36"/>
    </row>
    <row r="356" spans="1:35" x14ac:dyDescent="0.35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2"/>
      <c r="AC356" s="42"/>
      <c r="AD356" s="42"/>
      <c r="AE356" s="43"/>
      <c r="AF356" s="23"/>
      <c r="AG356" s="36"/>
      <c r="AH356" s="36"/>
      <c r="AI356" s="36"/>
    </row>
    <row r="357" spans="1:35" x14ac:dyDescent="0.35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2"/>
      <c r="AC357" s="42"/>
      <c r="AD357" s="42"/>
      <c r="AE357" s="43"/>
      <c r="AF357" s="23"/>
      <c r="AG357" s="36"/>
      <c r="AH357" s="36"/>
      <c r="AI357" s="36"/>
    </row>
    <row r="358" spans="1:35" x14ac:dyDescent="0.35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2"/>
      <c r="AC358" s="42"/>
      <c r="AD358" s="42"/>
      <c r="AE358" s="43"/>
      <c r="AF358" s="23"/>
      <c r="AG358" s="36"/>
      <c r="AH358" s="36"/>
      <c r="AI358" s="36"/>
    </row>
    <row r="359" spans="1:35" x14ac:dyDescent="0.35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2"/>
      <c r="AC359" s="42"/>
      <c r="AD359" s="42"/>
      <c r="AE359" s="43"/>
      <c r="AF359" s="23"/>
      <c r="AG359" s="36"/>
      <c r="AH359" s="36"/>
      <c r="AI359" s="36"/>
    </row>
    <row r="360" spans="1:35" x14ac:dyDescent="0.35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2"/>
      <c r="AC360" s="42"/>
      <c r="AD360" s="42"/>
      <c r="AE360" s="43"/>
      <c r="AF360" s="23"/>
      <c r="AG360" s="36"/>
      <c r="AH360" s="36"/>
      <c r="AI360" s="36"/>
    </row>
    <row r="361" spans="1:35" x14ac:dyDescent="0.35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2"/>
      <c r="AC361" s="42"/>
      <c r="AD361" s="42"/>
      <c r="AE361" s="43"/>
      <c r="AF361" s="23"/>
      <c r="AG361" s="36"/>
      <c r="AH361" s="36"/>
      <c r="AI361" s="36"/>
    </row>
    <row r="362" spans="1:35" x14ac:dyDescent="0.35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2"/>
      <c r="AC362" s="42"/>
      <c r="AD362" s="42"/>
      <c r="AE362" s="43"/>
      <c r="AF362" s="23"/>
      <c r="AG362" s="36"/>
      <c r="AH362" s="36"/>
      <c r="AI362" s="36"/>
    </row>
    <row r="363" spans="1:35" x14ac:dyDescent="0.35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2"/>
      <c r="AC363" s="42"/>
      <c r="AD363" s="42"/>
      <c r="AE363" s="43"/>
      <c r="AF363" s="23"/>
      <c r="AG363" s="36"/>
      <c r="AH363" s="36"/>
      <c r="AI363" s="36"/>
    </row>
    <row r="364" spans="1:35" x14ac:dyDescent="0.35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2"/>
      <c r="AC364" s="42"/>
      <c r="AD364" s="42"/>
      <c r="AE364" s="43"/>
      <c r="AF364" s="23"/>
      <c r="AG364" s="36"/>
      <c r="AH364" s="36"/>
      <c r="AI364" s="36"/>
    </row>
    <row r="365" spans="1:35" x14ac:dyDescent="0.3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2"/>
      <c r="AC365" s="42"/>
      <c r="AD365" s="42"/>
      <c r="AE365" s="43"/>
      <c r="AF365" s="23"/>
      <c r="AG365" s="36"/>
      <c r="AH365" s="36"/>
      <c r="AI365" s="36"/>
    </row>
    <row r="366" spans="1:35" x14ac:dyDescent="0.35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2"/>
      <c r="AC366" s="42"/>
      <c r="AD366" s="42"/>
      <c r="AE366" s="43"/>
      <c r="AF366" s="23"/>
      <c r="AG366" s="36"/>
      <c r="AH366" s="36"/>
      <c r="AI366" s="36"/>
    </row>
    <row r="367" spans="1:35" x14ac:dyDescent="0.35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2"/>
      <c r="AC367" s="42"/>
      <c r="AD367" s="42"/>
      <c r="AE367" s="43"/>
      <c r="AF367" s="23"/>
      <c r="AG367" s="36"/>
      <c r="AH367" s="36"/>
      <c r="AI367" s="36"/>
    </row>
    <row r="368" spans="1:35" x14ac:dyDescent="0.35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2"/>
      <c r="AC368" s="42"/>
      <c r="AD368" s="42"/>
      <c r="AE368" s="43"/>
      <c r="AF368" s="23"/>
      <c r="AG368" s="36"/>
      <c r="AH368" s="36"/>
      <c r="AI368" s="36"/>
    </row>
    <row r="369" spans="1:35" x14ac:dyDescent="0.35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2"/>
      <c r="AC369" s="42"/>
      <c r="AD369" s="42"/>
      <c r="AE369" s="43"/>
      <c r="AF369" s="23"/>
      <c r="AG369" s="36"/>
      <c r="AH369" s="36"/>
      <c r="AI369" s="36"/>
    </row>
    <row r="370" spans="1:35" x14ac:dyDescent="0.35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2"/>
      <c r="AC370" s="42"/>
      <c r="AD370" s="42"/>
      <c r="AE370" s="43"/>
      <c r="AF370" s="23"/>
      <c r="AG370" s="36"/>
      <c r="AH370" s="36"/>
      <c r="AI370" s="36"/>
    </row>
    <row r="371" spans="1:35" x14ac:dyDescent="0.35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2"/>
      <c r="AC371" s="42"/>
      <c r="AD371" s="42"/>
      <c r="AE371" s="43"/>
      <c r="AF371" s="23"/>
      <c r="AG371" s="36"/>
      <c r="AH371" s="36"/>
      <c r="AI371" s="36"/>
    </row>
    <row r="372" spans="1:35" x14ac:dyDescent="0.35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2"/>
      <c r="AC372" s="42"/>
      <c r="AD372" s="42"/>
      <c r="AE372" s="43"/>
      <c r="AF372" s="23"/>
      <c r="AG372" s="36"/>
      <c r="AH372" s="36"/>
      <c r="AI372" s="36"/>
    </row>
    <row r="373" spans="1:35" x14ac:dyDescent="0.35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2"/>
      <c r="AC373" s="42"/>
      <c r="AD373" s="42"/>
      <c r="AE373" s="43"/>
      <c r="AF373" s="23"/>
      <c r="AG373" s="36"/>
      <c r="AH373" s="36"/>
      <c r="AI373" s="36"/>
    </row>
    <row r="374" spans="1:35" x14ac:dyDescent="0.35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2"/>
      <c r="AC374" s="42"/>
      <c r="AD374" s="42"/>
      <c r="AE374" s="43"/>
      <c r="AF374" s="23"/>
      <c r="AG374" s="36"/>
      <c r="AH374" s="36"/>
      <c r="AI374" s="36"/>
    </row>
    <row r="375" spans="1:35" x14ac:dyDescent="0.3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2"/>
      <c r="AC375" s="42"/>
      <c r="AD375" s="42"/>
      <c r="AE375" s="43"/>
      <c r="AF375" s="23"/>
      <c r="AG375" s="36"/>
      <c r="AH375" s="36"/>
      <c r="AI375" s="36"/>
    </row>
    <row r="376" spans="1:35" x14ac:dyDescent="0.35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2"/>
      <c r="AC376" s="42"/>
      <c r="AD376" s="42"/>
      <c r="AE376" s="43"/>
      <c r="AF376" s="23"/>
      <c r="AG376" s="36"/>
      <c r="AH376" s="36"/>
      <c r="AI376" s="36"/>
    </row>
    <row r="377" spans="1:35" x14ac:dyDescent="0.35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2"/>
      <c r="AC377" s="42"/>
      <c r="AD377" s="42"/>
      <c r="AE377" s="43"/>
      <c r="AF377" s="23"/>
      <c r="AG377" s="36"/>
      <c r="AH377" s="36"/>
      <c r="AI377" s="36"/>
    </row>
    <row r="378" spans="1:35" x14ac:dyDescent="0.35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2"/>
      <c r="AC378" s="42"/>
      <c r="AD378" s="42"/>
      <c r="AE378" s="43"/>
      <c r="AF378" s="23"/>
      <c r="AG378" s="36"/>
      <c r="AH378" s="36"/>
      <c r="AI378" s="36"/>
    </row>
    <row r="379" spans="1:35" x14ac:dyDescent="0.35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2"/>
      <c r="AC379" s="42"/>
      <c r="AD379" s="42"/>
      <c r="AE379" s="43"/>
      <c r="AF379" s="23"/>
      <c r="AG379" s="36"/>
      <c r="AH379" s="36"/>
      <c r="AI379" s="36"/>
    </row>
    <row r="380" spans="1:35" x14ac:dyDescent="0.35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2"/>
      <c r="AC380" s="42"/>
      <c r="AD380" s="42"/>
      <c r="AE380" s="43"/>
      <c r="AF380" s="23"/>
      <c r="AG380" s="36"/>
      <c r="AH380" s="36"/>
      <c r="AI380" s="36"/>
    </row>
    <row r="381" spans="1:35" x14ac:dyDescent="0.35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2"/>
      <c r="AC381" s="42"/>
      <c r="AD381" s="42"/>
      <c r="AE381" s="43"/>
      <c r="AF381" s="23"/>
      <c r="AG381" s="36"/>
      <c r="AH381" s="36"/>
      <c r="AI381" s="36"/>
    </row>
    <row r="382" spans="1:35" x14ac:dyDescent="0.35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2"/>
      <c r="AC382" s="42"/>
      <c r="AD382" s="42"/>
      <c r="AE382" s="43"/>
      <c r="AF382" s="23"/>
      <c r="AG382" s="36"/>
      <c r="AH382" s="36"/>
      <c r="AI382" s="36"/>
    </row>
    <row r="383" spans="1:35" x14ac:dyDescent="0.35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2"/>
      <c r="AC383" s="42"/>
      <c r="AD383" s="42"/>
      <c r="AE383" s="43"/>
      <c r="AF383" s="23"/>
      <c r="AG383" s="36"/>
      <c r="AH383" s="36"/>
      <c r="AI383" s="36"/>
    </row>
    <row r="384" spans="1:35" x14ac:dyDescent="0.35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2"/>
      <c r="AC384" s="42"/>
      <c r="AD384" s="42"/>
      <c r="AE384" s="43"/>
      <c r="AF384" s="23"/>
      <c r="AG384" s="36"/>
      <c r="AH384" s="36"/>
      <c r="AI384" s="36"/>
    </row>
    <row r="385" spans="1:35" x14ac:dyDescent="0.3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2"/>
      <c r="AC385" s="42"/>
      <c r="AD385" s="42"/>
      <c r="AE385" s="43"/>
      <c r="AF385" s="23"/>
      <c r="AG385" s="36"/>
      <c r="AH385" s="36"/>
      <c r="AI385" s="36"/>
    </row>
    <row r="386" spans="1:35" x14ac:dyDescent="0.35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2"/>
      <c r="AC386" s="42"/>
      <c r="AD386" s="42"/>
      <c r="AE386" s="43"/>
      <c r="AF386" s="23"/>
      <c r="AG386" s="36"/>
      <c r="AH386" s="36"/>
      <c r="AI386" s="36"/>
    </row>
    <row r="387" spans="1:35" x14ac:dyDescent="0.35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2"/>
      <c r="AC387" s="42"/>
      <c r="AD387" s="42"/>
      <c r="AE387" s="43"/>
      <c r="AF387" s="23"/>
      <c r="AG387" s="36"/>
      <c r="AH387" s="36"/>
      <c r="AI387" s="36"/>
    </row>
    <row r="388" spans="1:35" x14ac:dyDescent="0.35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2"/>
      <c r="AC388" s="42"/>
      <c r="AD388" s="42"/>
      <c r="AE388" s="43"/>
      <c r="AF388" s="23"/>
      <c r="AG388" s="36"/>
      <c r="AH388" s="36"/>
      <c r="AI388" s="36"/>
    </row>
    <row r="389" spans="1:35" x14ac:dyDescent="0.35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2"/>
      <c r="AC389" s="42"/>
      <c r="AD389" s="42"/>
      <c r="AE389" s="43"/>
      <c r="AF389" s="23"/>
      <c r="AG389" s="36"/>
      <c r="AH389" s="36"/>
      <c r="AI389" s="36"/>
    </row>
    <row r="390" spans="1:35" x14ac:dyDescent="0.35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2"/>
      <c r="AC390" s="42"/>
      <c r="AD390" s="42"/>
      <c r="AE390" s="43"/>
      <c r="AF390" s="23"/>
      <c r="AG390" s="36"/>
      <c r="AH390" s="36"/>
      <c r="AI390" s="36"/>
    </row>
    <row r="391" spans="1:35" x14ac:dyDescent="0.35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2"/>
      <c r="AC391" s="42"/>
      <c r="AD391" s="42"/>
      <c r="AE391" s="43"/>
      <c r="AF391" s="23"/>
      <c r="AG391" s="36"/>
      <c r="AH391" s="36"/>
      <c r="AI391" s="36"/>
    </row>
    <row r="392" spans="1:35" x14ac:dyDescent="0.35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2"/>
      <c r="AC392" s="42"/>
      <c r="AD392" s="42"/>
      <c r="AE392" s="43"/>
      <c r="AF392" s="23"/>
      <c r="AG392" s="36"/>
      <c r="AH392" s="36"/>
      <c r="AI392" s="36"/>
    </row>
    <row r="393" spans="1:35" x14ac:dyDescent="0.35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2"/>
      <c r="AC393" s="42"/>
      <c r="AD393" s="42"/>
      <c r="AE393" s="43"/>
      <c r="AF393" s="23"/>
      <c r="AG393" s="36"/>
      <c r="AH393" s="36"/>
      <c r="AI393" s="36"/>
    </row>
    <row r="394" spans="1:35" x14ac:dyDescent="0.35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2"/>
      <c r="AC394" s="42"/>
      <c r="AD394" s="42"/>
      <c r="AE394" s="43"/>
      <c r="AF394" s="23"/>
      <c r="AG394" s="36"/>
      <c r="AH394" s="36"/>
      <c r="AI394" s="36"/>
    </row>
    <row r="395" spans="1:35" x14ac:dyDescent="0.3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2"/>
      <c r="AC395" s="42"/>
      <c r="AD395" s="42"/>
      <c r="AE395" s="43"/>
      <c r="AF395" s="23"/>
      <c r="AG395" s="36"/>
      <c r="AH395" s="36"/>
      <c r="AI395" s="36"/>
    </row>
    <row r="396" spans="1:35" x14ac:dyDescent="0.35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2"/>
      <c r="AC396" s="42"/>
      <c r="AD396" s="42"/>
      <c r="AE396" s="43"/>
      <c r="AF396" s="23"/>
      <c r="AG396" s="36"/>
      <c r="AH396" s="36"/>
      <c r="AI396" s="36"/>
    </row>
    <row r="397" spans="1:35" x14ac:dyDescent="0.35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2"/>
      <c r="AC397" s="42"/>
      <c r="AD397" s="42"/>
      <c r="AE397" s="43"/>
      <c r="AF397" s="23"/>
      <c r="AG397" s="36"/>
      <c r="AH397" s="36"/>
      <c r="AI397" s="36"/>
    </row>
    <row r="398" spans="1:35" x14ac:dyDescent="0.35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2"/>
      <c r="AC398" s="42"/>
      <c r="AD398" s="42"/>
      <c r="AE398" s="43"/>
      <c r="AF398" s="23"/>
      <c r="AG398" s="36"/>
      <c r="AH398" s="36"/>
      <c r="AI398" s="36"/>
    </row>
    <row r="399" spans="1:35" x14ac:dyDescent="0.35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2"/>
      <c r="AC399" s="42"/>
      <c r="AD399" s="42"/>
      <c r="AE399" s="43"/>
      <c r="AF399" s="23"/>
      <c r="AG399" s="36"/>
      <c r="AH399" s="36"/>
      <c r="AI399" s="36"/>
    </row>
    <row r="400" spans="1:35" x14ac:dyDescent="0.35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2"/>
      <c r="AC400" s="42"/>
      <c r="AD400" s="42"/>
      <c r="AE400" s="43"/>
      <c r="AF400" s="23"/>
      <c r="AG400" s="36"/>
      <c r="AH400" s="36"/>
      <c r="AI400" s="36"/>
    </row>
    <row r="401" spans="1:35" x14ac:dyDescent="0.35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2"/>
      <c r="AC401" s="42"/>
      <c r="AD401" s="42"/>
      <c r="AE401" s="43"/>
      <c r="AF401" s="23"/>
      <c r="AG401" s="36"/>
      <c r="AH401" s="36"/>
      <c r="AI401" s="36"/>
    </row>
    <row r="402" spans="1:35" x14ac:dyDescent="0.35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2"/>
      <c r="AC402" s="42"/>
      <c r="AD402" s="42"/>
      <c r="AE402" s="43"/>
      <c r="AF402" s="23"/>
      <c r="AG402" s="36"/>
      <c r="AH402" s="36"/>
      <c r="AI402" s="36"/>
    </row>
    <row r="403" spans="1:35" x14ac:dyDescent="0.35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2"/>
      <c r="AC403" s="42"/>
      <c r="AD403" s="42"/>
      <c r="AE403" s="43"/>
      <c r="AF403" s="23"/>
      <c r="AG403" s="36"/>
      <c r="AH403" s="36"/>
      <c r="AI403" s="36"/>
    </row>
    <row r="404" spans="1:35" x14ac:dyDescent="0.35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2"/>
      <c r="AC404" s="42"/>
      <c r="AD404" s="42"/>
      <c r="AE404" s="43"/>
      <c r="AF404" s="23"/>
      <c r="AG404" s="36"/>
      <c r="AH404" s="36"/>
      <c r="AI404" s="36"/>
    </row>
    <row r="405" spans="1:35" x14ac:dyDescent="0.3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2"/>
      <c r="AC405" s="42"/>
      <c r="AD405" s="42"/>
      <c r="AE405" s="43"/>
      <c r="AF405" s="23"/>
      <c r="AG405" s="36"/>
      <c r="AH405" s="36"/>
      <c r="AI405" s="36"/>
    </row>
    <row r="406" spans="1:35" x14ac:dyDescent="0.35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2"/>
      <c r="AC406" s="42"/>
      <c r="AD406" s="42"/>
      <c r="AE406" s="43"/>
      <c r="AF406" s="23"/>
      <c r="AG406" s="36"/>
      <c r="AH406" s="36"/>
      <c r="AI406" s="36"/>
    </row>
    <row r="407" spans="1:35" x14ac:dyDescent="0.35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2"/>
      <c r="AC407" s="42"/>
      <c r="AD407" s="42"/>
      <c r="AE407" s="43"/>
      <c r="AF407" s="23"/>
      <c r="AG407" s="36"/>
      <c r="AH407" s="36"/>
      <c r="AI407" s="36"/>
    </row>
    <row r="408" spans="1:35" x14ac:dyDescent="0.35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2"/>
      <c r="AC408" s="42"/>
      <c r="AD408" s="42"/>
      <c r="AE408" s="43"/>
      <c r="AF408" s="23"/>
      <c r="AG408" s="36"/>
      <c r="AH408" s="36"/>
      <c r="AI408" s="36"/>
    </row>
    <row r="409" spans="1:35" x14ac:dyDescent="0.35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2"/>
      <c r="AC409" s="42"/>
      <c r="AD409" s="42"/>
      <c r="AE409" s="43"/>
      <c r="AF409" s="23"/>
      <c r="AG409" s="36"/>
      <c r="AH409" s="36"/>
      <c r="AI409" s="36"/>
    </row>
    <row r="410" spans="1:35" x14ac:dyDescent="0.35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2"/>
      <c r="AC410" s="42"/>
      <c r="AD410" s="42"/>
      <c r="AE410" s="43"/>
      <c r="AF410" s="23"/>
      <c r="AG410" s="36"/>
      <c r="AH410" s="36"/>
      <c r="AI410" s="36"/>
    </row>
    <row r="411" spans="1:35" x14ac:dyDescent="0.35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2"/>
      <c r="AC411" s="42"/>
      <c r="AD411" s="42"/>
      <c r="AE411" s="43"/>
      <c r="AF411" s="23"/>
      <c r="AG411" s="36"/>
      <c r="AH411" s="36"/>
      <c r="AI411" s="36"/>
    </row>
    <row r="412" spans="1:35" x14ac:dyDescent="0.35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2"/>
      <c r="AC412" s="42"/>
      <c r="AD412" s="42"/>
      <c r="AE412" s="43"/>
      <c r="AF412" s="23"/>
      <c r="AG412" s="36"/>
      <c r="AH412" s="36"/>
      <c r="AI412" s="36"/>
    </row>
    <row r="413" spans="1:35" x14ac:dyDescent="0.35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2"/>
      <c r="AC413" s="42"/>
      <c r="AD413" s="42"/>
      <c r="AE413" s="43"/>
      <c r="AF413" s="23"/>
      <c r="AG413" s="36"/>
      <c r="AH413" s="36"/>
      <c r="AI413" s="36"/>
    </row>
    <row r="414" spans="1:35" x14ac:dyDescent="0.35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2"/>
      <c r="AC414" s="42"/>
      <c r="AD414" s="42"/>
      <c r="AE414" s="43"/>
      <c r="AF414" s="23"/>
      <c r="AG414" s="36"/>
      <c r="AH414" s="36"/>
      <c r="AI414" s="36"/>
    </row>
    <row r="415" spans="1:35" x14ac:dyDescent="0.3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2"/>
      <c r="AC415" s="42"/>
      <c r="AD415" s="42"/>
      <c r="AE415" s="43"/>
      <c r="AF415" s="23"/>
      <c r="AG415" s="36"/>
      <c r="AH415" s="36"/>
      <c r="AI415" s="36"/>
    </row>
    <row r="416" spans="1:35" x14ac:dyDescent="0.35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2"/>
      <c r="AC416" s="42"/>
      <c r="AD416" s="42"/>
      <c r="AE416" s="43"/>
      <c r="AF416" s="23"/>
      <c r="AG416" s="36"/>
      <c r="AH416" s="36"/>
      <c r="AI416" s="36"/>
    </row>
    <row r="417" spans="1:35" x14ac:dyDescent="0.35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2"/>
      <c r="AC417" s="42"/>
      <c r="AD417" s="42"/>
      <c r="AE417" s="43"/>
      <c r="AF417" s="23"/>
      <c r="AG417" s="36"/>
      <c r="AH417" s="36"/>
      <c r="AI417" s="36"/>
    </row>
    <row r="418" spans="1:35" x14ac:dyDescent="0.35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2"/>
      <c r="AC418" s="42"/>
      <c r="AD418" s="42"/>
      <c r="AE418" s="43"/>
      <c r="AF418" s="23"/>
      <c r="AG418" s="36"/>
      <c r="AH418" s="36"/>
      <c r="AI418" s="36"/>
    </row>
    <row r="419" spans="1:35" x14ac:dyDescent="0.35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2"/>
      <c r="AC419" s="42"/>
      <c r="AD419" s="42"/>
      <c r="AE419" s="43"/>
      <c r="AF419" s="23"/>
      <c r="AG419" s="36"/>
      <c r="AH419" s="36"/>
      <c r="AI419" s="36"/>
    </row>
    <row r="420" spans="1:35" x14ac:dyDescent="0.35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2"/>
      <c r="AC420" s="42"/>
      <c r="AD420" s="42"/>
      <c r="AE420" s="43"/>
      <c r="AF420" s="23"/>
      <c r="AG420" s="36"/>
      <c r="AH420" s="36"/>
      <c r="AI420" s="36"/>
    </row>
    <row r="421" spans="1:35" x14ac:dyDescent="0.35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2"/>
      <c r="AC421" s="42"/>
      <c r="AD421" s="42"/>
      <c r="AE421" s="43"/>
      <c r="AF421" s="23"/>
      <c r="AG421" s="36"/>
      <c r="AH421" s="36"/>
      <c r="AI421" s="36"/>
    </row>
    <row r="422" spans="1:35" x14ac:dyDescent="0.35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2"/>
      <c r="AC422" s="42"/>
      <c r="AD422" s="42"/>
      <c r="AE422" s="43"/>
      <c r="AF422" s="23"/>
      <c r="AG422" s="36"/>
      <c r="AH422" s="36"/>
      <c r="AI422" s="36"/>
    </row>
    <row r="423" spans="1:35" x14ac:dyDescent="0.35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2"/>
      <c r="AC423" s="42"/>
      <c r="AD423" s="42"/>
      <c r="AE423" s="43"/>
      <c r="AF423" s="23"/>
      <c r="AG423" s="36"/>
      <c r="AH423" s="36"/>
      <c r="AI423" s="36"/>
    </row>
    <row r="424" spans="1:35" x14ac:dyDescent="0.35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2"/>
      <c r="AC424" s="42"/>
      <c r="AD424" s="42"/>
      <c r="AE424" s="43"/>
      <c r="AF424" s="23"/>
      <c r="AG424" s="36"/>
      <c r="AH424" s="36"/>
      <c r="AI424" s="36"/>
    </row>
    <row r="425" spans="1:35" x14ac:dyDescent="0.3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2"/>
      <c r="AC425" s="42"/>
      <c r="AD425" s="42"/>
      <c r="AE425" s="43"/>
      <c r="AF425" s="23"/>
      <c r="AG425" s="36"/>
      <c r="AH425" s="36"/>
      <c r="AI425" s="36"/>
    </row>
    <row r="426" spans="1:35" x14ac:dyDescent="0.35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2"/>
      <c r="AC426" s="42"/>
      <c r="AD426" s="42"/>
      <c r="AE426" s="43"/>
      <c r="AF426" s="23"/>
      <c r="AG426" s="36"/>
      <c r="AH426" s="36"/>
      <c r="AI426" s="36"/>
    </row>
    <row r="427" spans="1:35" x14ac:dyDescent="0.35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2"/>
      <c r="AC427" s="42"/>
      <c r="AD427" s="42"/>
      <c r="AE427" s="43"/>
      <c r="AF427" s="23"/>
      <c r="AG427" s="36"/>
      <c r="AH427" s="36"/>
      <c r="AI427" s="36"/>
    </row>
    <row r="428" spans="1:35" x14ac:dyDescent="0.35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2"/>
      <c r="AC428" s="42"/>
      <c r="AD428" s="42"/>
      <c r="AE428" s="43"/>
      <c r="AF428" s="23"/>
      <c r="AG428" s="36"/>
      <c r="AH428" s="36"/>
      <c r="AI428" s="36"/>
    </row>
    <row r="429" spans="1:35" x14ac:dyDescent="0.35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2"/>
      <c r="AC429" s="42"/>
      <c r="AD429" s="42"/>
      <c r="AE429" s="43"/>
      <c r="AF429" s="23"/>
      <c r="AG429" s="36"/>
      <c r="AH429" s="36"/>
      <c r="AI429" s="36"/>
    </row>
    <row r="430" spans="1:35" x14ac:dyDescent="0.35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2"/>
      <c r="AC430" s="42"/>
      <c r="AD430" s="42"/>
      <c r="AE430" s="43"/>
      <c r="AF430" s="23"/>
      <c r="AG430" s="36"/>
      <c r="AH430" s="36"/>
      <c r="AI430" s="36"/>
    </row>
    <row r="431" spans="1:35" x14ac:dyDescent="0.35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2"/>
      <c r="AC431" s="42"/>
      <c r="AD431" s="42"/>
      <c r="AE431" s="43"/>
      <c r="AF431" s="23"/>
      <c r="AG431" s="36"/>
      <c r="AH431" s="36"/>
      <c r="AI431" s="36"/>
    </row>
    <row r="432" spans="1:35" x14ac:dyDescent="0.35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2"/>
      <c r="AC432" s="42"/>
      <c r="AD432" s="42"/>
      <c r="AE432" s="43"/>
      <c r="AF432" s="23"/>
      <c r="AG432" s="36"/>
      <c r="AH432" s="36"/>
      <c r="AI432" s="36"/>
    </row>
    <row r="433" spans="1:35" x14ac:dyDescent="0.35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2"/>
      <c r="AC433" s="42"/>
      <c r="AD433" s="42"/>
      <c r="AE433" s="43"/>
      <c r="AF433" s="23"/>
      <c r="AG433" s="36"/>
      <c r="AH433" s="36"/>
      <c r="AI433" s="36"/>
    </row>
    <row r="434" spans="1:35" x14ac:dyDescent="0.35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2"/>
      <c r="AC434" s="42"/>
      <c r="AD434" s="42"/>
      <c r="AE434" s="43"/>
      <c r="AF434" s="23"/>
      <c r="AG434" s="36"/>
      <c r="AH434" s="36"/>
      <c r="AI434" s="36"/>
    </row>
    <row r="435" spans="1:35" x14ac:dyDescent="0.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2"/>
      <c r="AC435" s="42"/>
      <c r="AD435" s="42"/>
      <c r="AE435" s="43"/>
      <c r="AF435" s="23"/>
      <c r="AG435" s="36"/>
      <c r="AH435" s="36"/>
      <c r="AI435" s="36"/>
    </row>
    <row r="436" spans="1:35" x14ac:dyDescent="0.35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2"/>
      <c r="AC436" s="42"/>
      <c r="AD436" s="42"/>
      <c r="AE436" s="43"/>
      <c r="AF436" s="23"/>
      <c r="AG436" s="36"/>
      <c r="AH436" s="36"/>
      <c r="AI436" s="36"/>
    </row>
    <row r="437" spans="1:35" x14ac:dyDescent="0.35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2"/>
      <c r="AC437" s="42"/>
      <c r="AD437" s="42"/>
      <c r="AE437" s="43"/>
      <c r="AF437" s="23"/>
      <c r="AG437" s="36"/>
      <c r="AH437" s="36"/>
      <c r="AI437" s="36"/>
    </row>
    <row r="438" spans="1:35" x14ac:dyDescent="0.35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2"/>
      <c r="AC438" s="42"/>
      <c r="AD438" s="42"/>
      <c r="AE438" s="43"/>
      <c r="AF438" s="23"/>
      <c r="AG438" s="36"/>
      <c r="AH438" s="36"/>
      <c r="AI438" s="36"/>
    </row>
    <row r="439" spans="1:35" x14ac:dyDescent="0.35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2"/>
      <c r="AC439" s="42"/>
      <c r="AD439" s="42"/>
      <c r="AE439" s="43"/>
      <c r="AF439" s="23"/>
      <c r="AG439" s="36"/>
      <c r="AH439" s="36"/>
      <c r="AI439" s="36"/>
    </row>
    <row r="440" spans="1:35" x14ac:dyDescent="0.35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2"/>
      <c r="AC440" s="42"/>
      <c r="AD440" s="42"/>
      <c r="AE440" s="43"/>
      <c r="AF440" s="23"/>
      <c r="AG440" s="36"/>
      <c r="AH440" s="36"/>
      <c r="AI440" s="36"/>
    </row>
    <row r="441" spans="1:35" x14ac:dyDescent="0.35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2"/>
      <c r="AC441" s="42"/>
      <c r="AD441" s="42"/>
      <c r="AE441" s="43"/>
      <c r="AF441" s="23"/>
      <c r="AG441" s="36"/>
      <c r="AH441" s="36"/>
      <c r="AI441" s="36"/>
    </row>
    <row r="442" spans="1:35" x14ac:dyDescent="0.35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2"/>
      <c r="AC442" s="42"/>
      <c r="AD442" s="42"/>
      <c r="AE442" s="43"/>
      <c r="AF442" s="23"/>
      <c r="AG442" s="36"/>
      <c r="AH442" s="36"/>
      <c r="AI442" s="36"/>
    </row>
    <row r="443" spans="1:35" x14ac:dyDescent="0.35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2"/>
      <c r="AC443" s="42"/>
      <c r="AD443" s="42"/>
      <c r="AE443" s="43"/>
      <c r="AF443" s="23"/>
      <c r="AG443" s="36"/>
      <c r="AH443" s="36"/>
      <c r="AI443" s="36"/>
    </row>
    <row r="444" spans="1:35" x14ac:dyDescent="0.35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2"/>
      <c r="AC444" s="42"/>
      <c r="AD444" s="42"/>
      <c r="AE444" s="43"/>
      <c r="AF444" s="23"/>
      <c r="AG444" s="36"/>
      <c r="AH444" s="36"/>
      <c r="AI444" s="36"/>
    </row>
    <row r="445" spans="1:35" x14ac:dyDescent="0.3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2"/>
      <c r="AC445" s="42"/>
      <c r="AD445" s="42"/>
      <c r="AE445" s="43"/>
      <c r="AF445" s="23"/>
      <c r="AG445" s="36"/>
      <c r="AH445" s="36"/>
      <c r="AI445" s="36"/>
    </row>
    <row r="446" spans="1:35" x14ac:dyDescent="0.35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2"/>
      <c r="AC446" s="42"/>
      <c r="AD446" s="42"/>
      <c r="AE446" s="43"/>
      <c r="AF446" s="23"/>
      <c r="AG446" s="36"/>
      <c r="AH446" s="36"/>
      <c r="AI446" s="36"/>
    </row>
    <row r="447" spans="1:35" x14ac:dyDescent="0.35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2"/>
      <c r="AC447" s="42"/>
      <c r="AD447" s="42"/>
      <c r="AE447" s="43"/>
      <c r="AF447" s="23"/>
      <c r="AG447" s="36"/>
      <c r="AH447" s="36"/>
      <c r="AI447" s="36"/>
    </row>
    <row r="448" spans="1:35" x14ac:dyDescent="0.35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2"/>
      <c r="AC448" s="42"/>
      <c r="AD448" s="42"/>
      <c r="AE448" s="43"/>
      <c r="AF448" s="23"/>
      <c r="AG448" s="36"/>
      <c r="AH448" s="36"/>
      <c r="AI448" s="36"/>
    </row>
    <row r="449" spans="1:35" x14ac:dyDescent="0.35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2"/>
      <c r="AC449" s="42"/>
      <c r="AD449" s="42"/>
      <c r="AE449" s="43"/>
      <c r="AF449" s="23"/>
      <c r="AG449" s="36"/>
      <c r="AH449" s="36"/>
      <c r="AI449" s="36"/>
    </row>
    <row r="450" spans="1:35" x14ac:dyDescent="0.35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2"/>
      <c r="AC450" s="42"/>
      <c r="AD450" s="42"/>
      <c r="AE450" s="43"/>
      <c r="AF450" s="23"/>
      <c r="AG450" s="36"/>
      <c r="AH450" s="36"/>
      <c r="AI450" s="36"/>
    </row>
    <row r="451" spans="1:35" x14ac:dyDescent="0.35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2"/>
      <c r="AC451" s="42"/>
      <c r="AD451" s="42"/>
      <c r="AE451" s="43"/>
      <c r="AF451" s="23"/>
      <c r="AG451" s="36"/>
      <c r="AH451" s="36"/>
      <c r="AI451" s="36"/>
    </row>
    <row r="452" spans="1:35" x14ac:dyDescent="0.35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2"/>
      <c r="AC452" s="42"/>
      <c r="AD452" s="42"/>
      <c r="AE452" s="43"/>
      <c r="AF452" s="23"/>
      <c r="AG452" s="36"/>
      <c r="AH452" s="36"/>
      <c r="AI452" s="36"/>
    </row>
    <row r="453" spans="1:35" x14ac:dyDescent="0.35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2"/>
      <c r="AC453" s="42"/>
      <c r="AD453" s="42"/>
      <c r="AE453" s="43"/>
      <c r="AF453" s="23"/>
      <c r="AG453" s="36"/>
      <c r="AH453" s="36"/>
      <c r="AI453" s="36"/>
    </row>
    <row r="454" spans="1:35" x14ac:dyDescent="0.35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2"/>
      <c r="AC454" s="42"/>
      <c r="AD454" s="42"/>
      <c r="AE454" s="43"/>
      <c r="AF454" s="23"/>
      <c r="AG454" s="36"/>
      <c r="AH454" s="36"/>
      <c r="AI454" s="36"/>
    </row>
    <row r="455" spans="1:35" x14ac:dyDescent="0.3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2"/>
      <c r="AC455" s="42"/>
      <c r="AD455" s="42"/>
      <c r="AE455" s="43"/>
      <c r="AF455" s="23"/>
      <c r="AG455" s="36"/>
      <c r="AH455" s="36"/>
      <c r="AI455" s="36"/>
    </row>
    <row r="456" spans="1:35" x14ac:dyDescent="0.35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2"/>
      <c r="AC456" s="42"/>
      <c r="AD456" s="42"/>
      <c r="AE456" s="43"/>
      <c r="AF456" s="23"/>
      <c r="AG456" s="36"/>
      <c r="AH456" s="36"/>
      <c r="AI456" s="36"/>
    </row>
    <row r="457" spans="1:35" x14ac:dyDescent="0.35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2"/>
      <c r="AC457" s="42"/>
      <c r="AD457" s="42"/>
      <c r="AE457" s="43"/>
      <c r="AF457" s="23"/>
      <c r="AG457" s="36"/>
      <c r="AH457" s="36"/>
      <c r="AI457" s="36"/>
    </row>
    <row r="458" spans="1:35" x14ac:dyDescent="0.35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2"/>
      <c r="AC458" s="42"/>
      <c r="AD458" s="42"/>
      <c r="AE458" s="43"/>
      <c r="AF458" s="23"/>
      <c r="AG458" s="36"/>
      <c r="AH458" s="36"/>
      <c r="AI458" s="36"/>
    </row>
    <row r="459" spans="1:35" x14ac:dyDescent="0.35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2"/>
      <c r="AC459" s="42"/>
      <c r="AD459" s="42"/>
      <c r="AE459" s="43"/>
      <c r="AF459" s="23"/>
      <c r="AG459" s="36"/>
      <c r="AH459" s="36"/>
      <c r="AI459" s="36"/>
    </row>
    <row r="460" spans="1:35" x14ac:dyDescent="0.35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2"/>
      <c r="AC460" s="42"/>
      <c r="AD460" s="42"/>
      <c r="AE460" s="43"/>
      <c r="AF460" s="23"/>
      <c r="AG460" s="36"/>
      <c r="AH460" s="36"/>
      <c r="AI460" s="36"/>
    </row>
    <row r="461" spans="1:35" x14ac:dyDescent="0.35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2"/>
      <c r="AC461" s="42"/>
      <c r="AD461" s="42"/>
      <c r="AE461" s="43"/>
      <c r="AF461" s="23"/>
      <c r="AG461" s="36"/>
      <c r="AH461" s="36"/>
      <c r="AI461" s="36"/>
    </row>
    <row r="462" spans="1:35" x14ac:dyDescent="0.35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2"/>
      <c r="AC462" s="42"/>
      <c r="AD462" s="42"/>
      <c r="AE462" s="43"/>
      <c r="AF462" s="23"/>
      <c r="AG462" s="36"/>
      <c r="AH462" s="36"/>
      <c r="AI462" s="36"/>
    </row>
    <row r="463" spans="1:35" x14ac:dyDescent="0.35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2"/>
      <c r="AC463" s="42"/>
      <c r="AD463" s="42"/>
      <c r="AE463" s="43"/>
      <c r="AF463" s="23"/>
      <c r="AG463" s="36"/>
      <c r="AH463" s="36"/>
      <c r="AI463" s="36"/>
    </row>
    <row r="464" spans="1:35" x14ac:dyDescent="0.35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2"/>
      <c r="AC464" s="42"/>
      <c r="AD464" s="42"/>
      <c r="AE464" s="43"/>
      <c r="AF464" s="23"/>
      <c r="AG464" s="36"/>
      <c r="AH464" s="36"/>
      <c r="AI464" s="36"/>
    </row>
    <row r="465" spans="1:35" x14ac:dyDescent="0.3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2"/>
      <c r="AC465" s="42"/>
      <c r="AD465" s="42"/>
      <c r="AE465" s="43"/>
      <c r="AF465" s="23"/>
      <c r="AG465" s="36"/>
      <c r="AH465" s="36"/>
      <c r="AI465" s="36"/>
    </row>
    <row r="466" spans="1:35" x14ac:dyDescent="0.35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2"/>
      <c r="AC466" s="42"/>
      <c r="AD466" s="42"/>
      <c r="AE466" s="43"/>
      <c r="AF466" s="23"/>
      <c r="AG466" s="36"/>
      <c r="AH466" s="36"/>
      <c r="AI466" s="36"/>
    </row>
    <row r="467" spans="1:35" x14ac:dyDescent="0.35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2"/>
      <c r="AC467" s="42"/>
      <c r="AD467" s="42"/>
      <c r="AE467" s="43"/>
      <c r="AF467" s="23"/>
      <c r="AG467" s="36"/>
      <c r="AH467" s="36"/>
      <c r="AI467" s="36"/>
    </row>
    <row r="468" spans="1:35" x14ac:dyDescent="0.35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2"/>
      <c r="AC468" s="42"/>
      <c r="AD468" s="42"/>
      <c r="AE468" s="43"/>
      <c r="AF468" s="23"/>
      <c r="AG468" s="36"/>
      <c r="AH468" s="36"/>
      <c r="AI468" s="36"/>
    </row>
    <row r="469" spans="1:35" x14ac:dyDescent="0.35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2"/>
      <c r="AC469" s="42"/>
      <c r="AD469" s="42"/>
      <c r="AE469" s="43"/>
      <c r="AF469" s="23"/>
      <c r="AG469" s="36"/>
      <c r="AH469" s="36"/>
      <c r="AI469" s="36"/>
    </row>
    <row r="470" spans="1:35" x14ac:dyDescent="0.35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2"/>
      <c r="AC470" s="42"/>
      <c r="AD470" s="42"/>
      <c r="AE470" s="43"/>
      <c r="AF470" s="23"/>
      <c r="AG470" s="36"/>
      <c r="AH470" s="36"/>
      <c r="AI470" s="36"/>
    </row>
    <row r="471" spans="1:35" x14ac:dyDescent="0.35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2"/>
      <c r="AC471" s="42"/>
      <c r="AD471" s="42"/>
      <c r="AE471" s="43"/>
      <c r="AF471" s="23"/>
      <c r="AG471" s="36"/>
      <c r="AH471" s="36"/>
      <c r="AI471" s="36"/>
    </row>
    <row r="472" spans="1:35" x14ac:dyDescent="0.35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2"/>
      <c r="AC472" s="42"/>
      <c r="AD472" s="42"/>
      <c r="AE472" s="43"/>
      <c r="AF472" s="23"/>
      <c r="AG472" s="36"/>
      <c r="AH472" s="36"/>
      <c r="AI472" s="36"/>
    </row>
    <row r="473" spans="1:35" x14ac:dyDescent="0.35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2"/>
      <c r="AC473" s="42"/>
      <c r="AD473" s="42"/>
      <c r="AE473" s="43"/>
      <c r="AF473" s="23"/>
      <c r="AG473" s="36"/>
      <c r="AH473" s="36"/>
      <c r="AI473" s="36"/>
    </row>
    <row r="474" spans="1:35" x14ac:dyDescent="0.35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2"/>
      <c r="AC474" s="42"/>
      <c r="AD474" s="42"/>
      <c r="AE474" s="43"/>
      <c r="AF474" s="23"/>
      <c r="AG474" s="36"/>
      <c r="AH474" s="36"/>
      <c r="AI474" s="36"/>
    </row>
    <row r="475" spans="1:35" x14ac:dyDescent="0.3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2"/>
      <c r="AC475" s="42"/>
      <c r="AD475" s="42"/>
      <c r="AE475" s="43"/>
      <c r="AF475" s="23"/>
      <c r="AG475" s="36"/>
      <c r="AH475" s="36"/>
      <c r="AI475" s="36"/>
    </row>
    <row r="476" spans="1:35" x14ac:dyDescent="0.35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2"/>
      <c r="AC476" s="42"/>
      <c r="AD476" s="42"/>
      <c r="AE476" s="43"/>
      <c r="AF476" s="23"/>
      <c r="AG476" s="36"/>
      <c r="AH476" s="36"/>
      <c r="AI476" s="36"/>
    </row>
    <row r="477" spans="1:35" x14ac:dyDescent="0.35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2"/>
      <c r="AC477" s="42"/>
      <c r="AD477" s="42"/>
      <c r="AE477" s="43"/>
      <c r="AF477" s="23"/>
      <c r="AG477" s="36"/>
      <c r="AH477" s="36"/>
      <c r="AI477" s="36"/>
    </row>
    <row r="478" spans="1:35" x14ac:dyDescent="0.35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2"/>
      <c r="AC478" s="42"/>
      <c r="AD478" s="42"/>
      <c r="AE478" s="43"/>
      <c r="AF478" s="23"/>
      <c r="AG478" s="36"/>
      <c r="AH478" s="36"/>
      <c r="AI478" s="36"/>
    </row>
    <row r="479" spans="1:35" x14ac:dyDescent="0.35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2"/>
      <c r="AC479" s="42"/>
      <c r="AD479" s="42"/>
      <c r="AE479" s="43"/>
      <c r="AF479" s="23"/>
      <c r="AG479" s="36"/>
      <c r="AH479" s="36"/>
      <c r="AI479" s="36"/>
    </row>
    <row r="480" spans="1:35" x14ac:dyDescent="0.35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2"/>
      <c r="AC480" s="42"/>
      <c r="AD480" s="42"/>
      <c r="AE480" s="43"/>
      <c r="AF480" s="23"/>
      <c r="AG480" s="36"/>
      <c r="AH480" s="36"/>
      <c r="AI480" s="36"/>
    </row>
    <row r="481" spans="1:35" x14ac:dyDescent="0.35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2"/>
      <c r="AC481" s="42"/>
      <c r="AD481" s="42"/>
      <c r="AE481" s="43"/>
      <c r="AF481" s="23"/>
      <c r="AG481" s="36"/>
      <c r="AH481" s="36"/>
      <c r="AI481" s="36"/>
    </row>
    <row r="482" spans="1:35" x14ac:dyDescent="0.35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2"/>
      <c r="AC482" s="42"/>
      <c r="AD482" s="42"/>
      <c r="AE482" s="43"/>
      <c r="AF482" s="23"/>
      <c r="AG482" s="36"/>
      <c r="AH482" s="36"/>
      <c r="AI482" s="36"/>
    </row>
    <row r="483" spans="1:35" x14ac:dyDescent="0.35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2"/>
      <c r="AC483" s="42"/>
      <c r="AD483" s="42"/>
      <c r="AE483" s="43"/>
      <c r="AF483" s="23"/>
      <c r="AG483" s="36"/>
      <c r="AH483" s="36"/>
      <c r="AI483" s="36"/>
    </row>
    <row r="484" spans="1:35" x14ac:dyDescent="0.35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2"/>
      <c r="AC484" s="42"/>
      <c r="AD484" s="42"/>
      <c r="AE484" s="43"/>
      <c r="AF484" s="23"/>
      <c r="AG484" s="36"/>
      <c r="AH484" s="36"/>
      <c r="AI484" s="36"/>
    </row>
    <row r="485" spans="1:35" x14ac:dyDescent="0.3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2"/>
      <c r="AC485" s="42"/>
      <c r="AD485" s="42"/>
      <c r="AE485" s="43"/>
      <c r="AF485" s="23"/>
      <c r="AG485" s="36"/>
      <c r="AH485" s="36"/>
      <c r="AI485" s="36"/>
    </row>
    <row r="486" spans="1:35" x14ac:dyDescent="0.35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2"/>
      <c r="AC486" s="42"/>
      <c r="AD486" s="42"/>
      <c r="AE486" s="43"/>
      <c r="AF486" s="23"/>
      <c r="AG486" s="36"/>
      <c r="AH486" s="36"/>
      <c r="AI486" s="36"/>
    </row>
    <row r="487" spans="1:35" x14ac:dyDescent="0.35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2"/>
      <c r="AC487" s="42"/>
      <c r="AD487" s="42"/>
      <c r="AE487" s="43"/>
      <c r="AF487" s="23"/>
      <c r="AG487" s="36"/>
      <c r="AH487" s="36"/>
      <c r="AI487" s="36"/>
    </row>
    <row r="488" spans="1:35" x14ac:dyDescent="0.35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2"/>
      <c r="AC488" s="42"/>
      <c r="AD488" s="42"/>
      <c r="AE488" s="43"/>
      <c r="AF488" s="23"/>
      <c r="AG488" s="36"/>
      <c r="AH488" s="36"/>
      <c r="AI488" s="36"/>
    </row>
    <row r="489" spans="1:35" x14ac:dyDescent="0.35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2"/>
      <c r="AC489" s="42"/>
      <c r="AD489" s="42"/>
      <c r="AE489" s="43"/>
      <c r="AF489" s="23"/>
      <c r="AG489" s="36"/>
      <c r="AH489" s="36"/>
      <c r="AI489" s="36"/>
    </row>
    <row r="490" spans="1:35" x14ac:dyDescent="0.35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2"/>
      <c r="AC490" s="42"/>
      <c r="AD490" s="42"/>
      <c r="AE490" s="43"/>
      <c r="AF490" s="23"/>
      <c r="AG490" s="36"/>
      <c r="AH490" s="36"/>
      <c r="AI490" s="36"/>
    </row>
    <row r="491" spans="1:35" x14ac:dyDescent="0.35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2"/>
      <c r="AC491" s="42"/>
      <c r="AD491" s="42"/>
      <c r="AE491" s="43"/>
      <c r="AF491" s="23"/>
      <c r="AG491" s="36"/>
      <c r="AH491" s="36"/>
      <c r="AI491" s="36"/>
    </row>
    <row r="492" spans="1:35" x14ac:dyDescent="0.35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2"/>
      <c r="AC492" s="42"/>
      <c r="AD492" s="42"/>
      <c r="AE492" s="43"/>
      <c r="AF492" s="23"/>
      <c r="AG492" s="36"/>
      <c r="AH492" s="36"/>
      <c r="AI492" s="36"/>
    </row>
    <row r="493" spans="1:35" x14ac:dyDescent="0.35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2"/>
      <c r="AC493" s="42"/>
      <c r="AD493" s="42"/>
      <c r="AE493" s="43"/>
      <c r="AF493" s="23"/>
      <c r="AG493" s="36"/>
      <c r="AH493" s="36"/>
      <c r="AI493" s="36"/>
    </row>
    <row r="494" spans="1:35" x14ac:dyDescent="0.35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2"/>
      <c r="AC494" s="42"/>
      <c r="AD494" s="42"/>
      <c r="AE494" s="43"/>
      <c r="AF494" s="23"/>
      <c r="AG494" s="36"/>
      <c r="AH494" s="36"/>
      <c r="AI494" s="36"/>
    </row>
    <row r="495" spans="1:35" x14ac:dyDescent="0.3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2"/>
      <c r="AC495" s="42"/>
      <c r="AD495" s="42"/>
      <c r="AE495" s="43"/>
      <c r="AF495" s="23"/>
      <c r="AG495" s="36"/>
      <c r="AH495" s="36"/>
      <c r="AI495" s="36"/>
    </row>
    <row r="496" spans="1:35" x14ac:dyDescent="0.35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2"/>
      <c r="AC496" s="42"/>
      <c r="AD496" s="42"/>
      <c r="AE496" s="43"/>
      <c r="AF496" s="23"/>
      <c r="AG496" s="36"/>
      <c r="AH496" s="36"/>
      <c r="AI496" s="36"/>
    </row>
    <row r="497" spans="1:35" x14ac:dyDescent="0.35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2"/>
      <c r="AC497" s="42"/>
      <c r="AD497" s="42"/>
      <c r="AE497" s="43"/>
      <c r="AF497" s="23"/>
      <c r="AG497" s="36"/>
      <c r="AH497" s="36"/>
      <c r="AI497" s="36"/>
    </row>
    <row r="498" spans="1:35" x14ac:dyDescent="0.35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2"/>
      <c r="AC498" s="42"/>
      <c r="AD498" s="42"/>
      <c r="AE498" s="43"/>
      <c r="AF498" s="23"/>
      <c r="AG498" s="36"/>
      <c r="AH498" s="36"/>
      <c r="AI498" s="36"/>
    </row>
    <row r="499" spans="1:35" x14ac:dyDescent="0.35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2"/>
      <c r="AC499" s="42"/>
      <c r="AD499" s="42"/>
      <c r="AE499" s="43"/>
      <c r="AF499" s="23"/>
      <c r="AG499" s="36"/>
      <c r="AH499" s="36"/>
      <c r="AI499" s="36"/>
    </row>
    <row r="500" spans="1:35" x14ac:dyDescent="0.35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2"/>
      <c r="AC500" s="42"/>
      <c r="AD500" s="42"/>
      <c r="AE500" s="43"/>
      <c r="AF500" s="23"/>
      <c r="AG500" s="36"/>
      <c r="AH500" s="36"/>
      <c r="AI500" s="36"/>
    </row>
    <row r="501" spans="1:35" x14ac:dyDescent="0.35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2"/>
      <c r="AC501" s="42"/>
      <c r="AD501" s="42"/>
      <c r="AE501" s="43"/>
      <c r="AF501" s="23"/>
      <c r="AG501" s="36"/>
      <c r="AH501" s="36"/>
      <c r="AI501" s="36"/>
    </row>
    <row r="502" spans="1:35" x14ac:dyDescent="0.35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2"/>
      <c r="AC502" s="42"/>
      <c r="AD502" s="42"/>
      <c r="AE502" s="43"/>
      <c r="AF502" s="23"/>
      <c r="AG502" s="36"/>
      <c r="AH502" s="36"/>
      <c r="AI502" s="36"/>
    </row>
    <row r="503" spans="1:35" x14ac:dyDescent="0.35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2"/>
      <c r="AC503" s="42"/>
      <c r="AD503" s="42"/>
      <c r="AE503" s="43"/>
      <c r="AF503" s="23"/>
      <c r="AG503" s="36"/>
      <c r="AH503" s="36"/>
      <c r="AI503" s="36"/>
    </row>
    <row r="504" spans="1:35" x14ac:dyDescent="0.35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2"/>
      <c r="AC504" s="42"/>
      <c r="AD504" s="42"/>
      <c r="AE504" s="43"/>
      <c r="AF504" s="23"/>
      <c r="AG504" s="36"/>
      <c r="AH504" s="36"/>
      <c r="AI504" s="36"/>
    </row>
    <row r="505" spans="1:35" x14ac:dyDescent="0.3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2"/>
      <c r="AC505" s="42"/>
      <c r="AD505" s="42"/>
      <c r="AE505" s="43"/>
      <c r="AF505" s="23"/>
      <c r="AG505" s="36"/>
      <c r="AH505" s="36"/>
      <c r="AI505" s="36"/>
    </row>
    <row r="506" spans="1:35" x14ac:dyDescent="0.35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2"/>
      <c r="AC506" s="42"/>
      <c r="AD506" s="42"/>
      <c r="AE506" s="43"/>
      <c r="AF506" s="23"/>
      <c r="AG506" s="36"/>
      <c r="AH506" s="36"/>
      <c r="AI506" s="36"/>
    </row>
    <row r="507" spans="1:35" x14ac:dyDescent="0.35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2"/>
      <c r="AC507" s="42"/>
      <c r="AD507" s="42"/>
      <c r="AE507" s="43"/>
      <c r="AF507" s="23"/>
      <c r="AG507" s="36"/>
      <c r="AH507" s="36"/>
      <c r="AI507" s="36"/>
    </row>
    <row r="508" spans="1:35" x14ac:dyDescent="0.35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2"/>
      <c r="AC508" s="42"/>
      <c r="AD508" s="42"/>
      <c r="AE508" s="43"/>
      <c r="AF508" s="23"/>
      <c r="AG508" s="36"/>
      <c r="AH508" s="36"/>
      <c r="AI508" s="36"/>
    </row>
    <row r="509" spans="1:35" x14ac:dyDescent="0.35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2"/>
      <c r="AC509" s="42"/>
      <c r="AD509" s="42"/>
      <c r="AE509" s="43"/>
      <c r="AF509" s="23"/>
      <c r="AG509" s="36"/>
      <c r="AH509" s="36"/>
      <c r="AI509" s="36"/>
    </row>
    <row r="510" spans="1:35" x14ac:dyDescent="0.35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2"/>
      <c r="AC510" s="42"/>
      <c r="AD510" s="42"/>
      <c r="AE510" s="43"/>
      <c r="AF510" s="23"/>
      <c r="AG510" s="36"/>
      <c r="AH510" s="36"/>
      <c r="AI510" s="36"/>
    </row>
    <row r="511" spans="1:35" x14ac:dyDescent="0.35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2"/>
      <c r="AC511" s="42"/>
      <c r="AD511" s="42"/>
      <c r="AE511" s="43"/>
      <c r="AF511" s="23"/>
      <c r="AG511" s="36"/>
      <c r="AH511" s="36"/>
      <c r="AI511" s="36"/>
    </row>
    <row r="512" spans="1:35" x14ac:dyDescent="0.35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2"/>
      <c r="AC512" s="42"/>
      <c r="AD512" s="42"/>
      <c r="AE512" s="43"/>
      <c r="AF512" s="23"/>
      <c r="AG512" s="36"/>
      <c r="AH512" s="36"/>
      <c r="AI512" s="36"/>
    </row>
    <row r="513" spans="1:35" x14ac:dyDescent="0.35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2"/>
      <c r="AC513" s="42"/>
      <c r="AD513" s="42"/>
      <c r="AE513" s="43"/>
      <c r="AF513" s="23"/>
      <c r="AG513" s="36"/>
      <c r="AH513" s="36"/>
      <c r="AI513" s="36"/>
    </row>
    <row r="514" spans="1:35" x14ac:dyDescent="0.35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2"/>
      <c r="AC514" s="42"/>
      <c r="AD514" s="42"/>
      <c r="AE514" s="43"/>
      <c r="AF514" s="23"/>
      <c r="AG514" s="36"/>
      <c r="AH514" s="36"/>
      <c r="AI514" s="36"/>
    </row>
    <row r="515" spans="1:35" x14ac:dyDescent="0.3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2"/>
      <c r="AC515" s="42"/>
      <c r="AD515" s="42"/>
      <c r="AE515" s="43"/>
      <c r="AF515" s="23"/>
      <c r="AG515" s="36"/>
      <c r="AH515" s="36"/>
      <c r="AI515" s="36"/>
    </row>
    <row r="516" spans="1:35" x14ac:dyDescent="0.35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2"/>
      <c r="AC516" s="42"/>
      <c r="AD516" s="42"/>
      <c r="AE516" s="43"/>
      <c r="AF516" s="23"/>
      <c r="AG516" s="36"/>
      <c r="AH516" s="36"/>
      <c r="AI516" s="36"/>
    </row>
    <row r="517" spans="1:35" x14ac:dyDescent="0.35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2"/>
      <c r="AC517" s="42"/>
      <c r="AD517" s="42"/>
      <c r="AE517" s="43"/>
      <c r="AF517" s="23"/>
      <c r="AG517" s="36"/>
      <c r="AH517" s="36"/>
      <c r="AI517" s="36"/>
    </row>
    <row r="518" spans="1:35" x14ac:dyDescent="0.35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2"/>
      <c r="AC518" s="42"/>
      <c r="AD518" s="42"/>
      <c r="AE518" s="43"/>
      <c r="AF518" s="23"/>
      <c r="AG518" s="36"/>
      <c r="AH518" s="36"/>
      <c r="AI518" s="36"/>
    </row>
    <row r="519" spans="1:35" x14ac:dyDescent="0.35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2"/>
      <c r="AC519" s="42"/>
      <c r="AD519" s="42"/>
      <c r="AE519" s="43"/>
      <c r="AF519" s="23"/>
      <c r="AG519" s="36"/>
      <c r="AH519" s="36"/>
      <c r="AI519" s="36"/>
    </row>
    <row r="520" spans="1:35" x14ac:dyDescent="0.35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2"/>
      <c r="AC520" s="42"/>
      <c r="AD520" s="42"/>
      <c r="AE520" s="43"/>
      <c r="AF520" s="23"/>
      <c r="AG520" s="36"/>
      <c r="AH520" s="36"/>
      <c r="AI520" s="36"/>
    </row>
    <row r="521" spans="1:35" x14ac:dyDescent="0.35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2"/>
      <c r="AC521" s="42"/>
      <c r="AD521" s="42"/>
      <c r="AE521" s="43"/>
      <c r="AF521" s="23"/>
      <c r="AG521" s="36"/>
      <c r="AH521" s="36"/>
      <c r="AI521" s="36"/>
    </row>
    <row r="522" spans="1:35" x14ac:dyDescent="0.35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2"/>
      <c r="AC522" s="42"/>
      <c r="AD522" s="42"/>
      <c r="AE522" s="43"/>
      <c r="AF522" s="23"/>
      <c r="AG522" s="36"/>
      <c r="AH522" s="36"/>
      <c r="AI522" s="36"/>
    </row>
    <row r="523" spans="1:35" x14ac:dyDescent="0.35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2"/>
      <c r="AC523" s="42"/>
      <c r="AD523" s="42"/>
      <c r="AE523" s="43"/>
      <c r="AF523" s="23"/>
      <c r="AG523" s="36"/>
      <c r="AH523" s="36"/>
      <c r="AI523" s="36"/>
    </row>
    <row r="524" spans="1:35" x14ac:dyDescent="0.35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2"/>
      <c r="AC524" s="42"/>
      <c r="AD524" s="42"/>
      <c r="AE524" s="43"/>
      <c r="AF524" s="23"/>
      <c r="AG524" s="36"/>
      <c r="AH524" s="36"/>
      <c r="AI524" s="36"/>
    </row>
    <row r="525" spans="1:35" x14ac:dyDescent="0.3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2"/>
      <c r="AC525" s="42"/>
      <c r="AD525" s="42"/>
      <c r="AE525" s="43"/>
      <c r="AF525" s="23"/>
      <c r="AG525" s="36"/>
      <c r="AH525" s="36"/>
      <c r="AI525" s="36"/>
    </row>
    <row r="526" spans="1:35" x14ac:dyDescent="0.35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2"/>
      <c r="AC526" s="42"/>
      <c r="AD526" s="42"/>
      <c r="AE526" s="43"/>
      <c r="AF526" s="23"/>
      <c r="AG526" s="36"/>
      <c r="AH526" s="36"/>
      <c r="AI526" s="36"/>
    </row>
    <row r="527" spans="1:35" x14ac:dyDescent="0.35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2"/>
      <c r="AC527" s="42"/>
      <c r="AD527" s="42"/>
      <c r="AE527" s="43"/>
      <c r="AF527" s="23"/>
      <c r="AG527" s="36"/>
      <c r="AH527" s="36"/>
      <c r="AI527" s="36"/>
    </row>
    <row r="528" spans="1:35" x14ac:dyDescent="0.35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2"/>
      <c r="AC528" s="42"/>
      <c r="AD528" s="42"/>
      <c r="AE528" s="43"/>
      <c r="AF528" s="23"/>
      <c r="AG528" s="36"/>
      <c r="AH528" s="36"/>
      <c r="AI528" s="36"/>
    </row>
    <row r="529" spans="1:35" x14ac:dyDescent="0.35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2"/>
      <c r="AC529" s="42"/>
      <c r="AD529" s="42"/>
      <c r="AE529" s="43"/>
      <c r="AF529" s="23"/>
      <c r="AG529" s="36"/>
      <c r="AH529" s="36"/>
      <c r="AI529" s="36"/>
    </row>
    <row r="530" spans="1:35" x14ac:dyDescent="0.35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2"/>
      <c r="AC530" s="42"/>
      <c r="AD530" s="42"/>
      <c r="AE530" s="43"/>
      <c r="AF530" s="23"/>
      <c r="AG530" s="36"/>
      <c r="AH530" s="36"/>
      <c r="AI530" s="36"/>
    </row>
    <row r="531" spans="1:35" x14ac:dyDescent="0.35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2"/>
      <c r="AC531" s="42"/>
      <c r="AD531" s="42"/>
      <c r="AE531" s="43"/>
      <c r="AF531" s="23"/>
      <c r="AG531" s="36"/>
      <c r="AH531" s="36"/>
      <c r="AI531" s="36"/>
    </row>
    <row r="532" spans="1:35" x14ac:dyDescent="0.35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2"/>
      <c r="AC532" s="42"/>
      <c r="AD532" s="42"/>
      <c r="AE532" s="43"/>
      <c r="AF532" s="23"/>
      <c r="AG532" s="36"/>
      <c r="AH532" s="36"/>
      <c r="AI532" s="36"/>
    </row>
    <row r="533" spans="1:35" x14ac:dyDescent="0.35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2"/>
      <c r="AC533" s="42"/>
      <c r="AD533" s="42"/>
      <c r="AE533" s="43"/>
      <c r="AF533" s="23"/>
      <c r="AG533" s="36"/>
      <c r="AH533" s="36"/>
      <c r="AI533" s="36"/>
    </row>
    <row r="534" spans="1:35" x14ac:dyDescent="0.35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2"/>
      <c r="AC534" s="42"/>
      <c r="AD534" s="42"/>
      <c r="AE534" s="43"/>
      <c r="AF534" s="23"/>
      <c r="AG534" s="36"/>
      <c r="AH534" s="36"/>
      <c r="AI534" s="36"/>
    </row>
    <row r="535" spans="1:35" x14ac:dyDescent="0.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2"/>
      <c r="AC535" s="42"/>
      <c r="AD535" s="42"/>
      <c r="AE535" s="43"/>
      <c r="AF535" s="23"/>
      <c r="AG535" s="36"/>
      <c r="AH535" s="36"/>
      <c r="AI535" s="36"/>
    </row>
    <row r="536" spans="1:35" x14ac:dyDescent="0.35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2"/>
      <c r="AC536" s="42"/>
      <c r="AD536" s="42"/>
      <c r="AE536" s="43"/>
      <c r="AF536" s="23"/>
      <c r="AG536" s="36"/>
      <c r="AH536" s="36"/>
      <c r="AI536" s="36"/>
    </row>
    <row r="537" spans="1:35" x14ac:dyDescent="0.35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2"/>
      <c r="AC537" s="42"/>
      <c r="AD537" s="42"/>
      <c r="AE537" s="43"/>
      <c r="AF537" s="23"/>
      <c r="AG537" s="36"/>
      <c r="AH537" s="36"/>
      <c r="AI537" s="36"/>
    </row>
    <row r="538" spans="1:35" x14ac:dyDescent="0.35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2"/>
      <c r="AC538" s="42"/>
      <c r="AD538" s="42"/>
      <c r="AE538" s="43"/>
      <c r="AF538" s="23"/>
      <c r="AG538" s="36"/>
      <c r="AH538" s="36"/>
      <c r="AI538" s="36"/>
    </row>
    <row r="539" spans="1:35" x14ac:dyDescent="0.35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2"/>
      <c r="AC539" s="42"/>
      <c r="AD539" s="42"/>
      <c r="AE539" s="43"/>
      <c r="AF539" s="23"/>
      <c r="AG539" s="36"/>
      <c r="AH539" s="36"/>
      <c r="AI539" s="36"/>
    </row>
    <row r="540" spans="1:35" x14ac:dyDescent="0.35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2"/>
      <c r="AC540" s="42"/>
      <c r="AD540" s="42"/>
      <c r="AE540" s="43"/>
      <c r="AF540" s="23"/>
      <c r="AG540" s="36"/>
      <c r="AH540" s="36"/>
      <c r="AI540" s="36"/>
    </row>
    <row r="541" spans="1:35" x14ac:dyDescent="0.35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2"/>
      <c r="AC541" s="42"/>
      <c r="AD541" s="42"/>
      <c r="AE541" s="43"/>
      <c r="AF541" s="23"/>
      <c r="AG541" s="36"/>
      <c r="AH541" s="36"/>
      <c r="AI541" s="36"/>
    </row>
    <row r="542" spans="1:35" x14ac:dyDescent="0.35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2"/>
      <c r="AC542" s="42"/>
      <c r="AD542" s="42"/>
      <c r="AE542" s="43"/>
      <c r="AF542" s="23"/>
      <c r="AG542" s="36"/>
      <c r="AH542" s="36"/>
      <c r="AI542" s="36"/>
    </row>
    <row r="543" spans="1:35" x14ac:dyDescent="0.35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2"/>
      <c r="AC543" s="42"/>
      <c r="AD543" s="42"/>
      <c r="AE543" s="43"/>
      <c r="AF543" s="23"/>
      <c r="AG543" s="36"/>
      <c r="AH543" s="36"/>
      <c r="AI543" s="36"/>
    </row>
    <row r="544" spans="1:35" x14ac:dyDescent="0.35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2"/>
      <c r="AC544" s="42"/>
      <c r="AD544" s="42"/>
      <c r="AE544" s="43"/>
      <c r="AF544" s="23"/>
      <c r="AG544" s="36"/>
      <c r="AH544" s="36"/>
      <c r="AI544" s="36"/>
    </row>
    <row r="545" spans="1:35" x14ac:dyDescent="0.3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2"/>
      <c r="AC545" s="42"/>
      <c r="AD545" s="42"/>
      <c r="AE545" s="43"/>
      <c r="AF545" s="23"/>
      <c r="AG545" s="36"/>
      <c r="AH545" s="36"/>
      <c r="AI545" s="36"/>
    </row>
    <row r="546" spans="1:35" x14ac:dyDescent="0.35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2"/>
      <c r="AC546" s="42"/>
      <c r="AD546" s="42"/>
      <c r="AE546" s="43"/>
      <c r="AF546" s="23"/>
      <c r="AG546" s="36"/>
      <c r="AH546" s="36"/>
      <c r="AI546" s="36"/>
    </row>
    <row r="547" spans="1:35" x14ac:dyDescent="0.35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2"/>
      <c r="AC547" s="42"/>
      <c r="AD547" s="42"/>
      <c r="AE547" s="43"/>
      <c r="AF547" s="23"/>
      <c r="AG547" s="36"/>
      <c r="AH547" s="36"/>
      <c r="AI547" s="36"/>
    </row>
    <row r="548" spans="1:35" x14ac:dyDescent="0.35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2"/>
      <c r="AC548" s="42"/>
      <c r="AD548" s="42"/>
      <c r="AE548" s="43"/>
      <c r="AF548" s="23"/>
      <c r="AG548" s="36"/>
      <c r="AH548" s="36"/>
      <c r="AI548" s="36"/>
    </row>
    <row r="549" spans="1:35" x14ac:dyDescent="0.35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2"/>
      <c r="AC549" s="42"/>
      <c r="AD549" s="42"/>
      <c r="AE549" s="43"/>
      <c r="AF549" s="23"/>
      <c r="AG549" s="36"/>
      <c r="AH549" s="36"/>
      <c r="AI549" s="36"/>
    </row>
    <row r="550" spans="1:35" x14ac:dyDescent="0.35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2"/>
      <c r="AC550" s="42"/>
      <c r="AD550" s="42"/>
      <c r="AE550" s="43"/>
      <c r="AF550" s="23"/>
      <c r="AG550" s="36"/>
      <c r="AH550" s="36"/>
      <c r="AI550" s="36"/>
    </row>
    <row r="551" spans="1:35" x14ac:dyDescent="0.35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2"/>
      <c r="AC551" s="42"/>
      <c r="AD551" s="42"/>
      <c r="AE551" s="43"/>
      <c r="AF551" s="23"/>
      <c r="AG551" s="36"/>
      <c r="AH551" s="36"/>
      <c r="AI551" s="36"/>
    </row>
    <row r="552" spans="1:35" x14ac:dyDescent="0.35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2"/>
      <c r="AC552" s="42"/>
      <c r="AD552" s="42"/>
      <c r="AE552" s="43"/>
      <c r="AF552" s="23"/>
      <c r="AG552" s="36"/>
      <c r="AH552" s="36"/>
      <c r="AI552" s="36"/>
    </row>
    <row r="553" spans="1:35" x14ac:dyDescent="0.35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2"/>
      <c r="AC553" s="42"/>
      <c r="AD553" s="42"/>
      <c r="AE553" s="43"/>
      <c r="AF553" s="23"/>
      <c r="AG553" s="36"/>
      <c r="AH553" s="36"/>
      <c r="AI553" s="36"/>
    </row>
    <row r="554" spans="1:35" x14ac:dyDescent="0.35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2"/>
      <c r="AC554" s="42"/>
      <c r="AD554" s="42"/>
      <c r="AE554" s="43"/>
      <c r="AF554" s="23"/>
      <c r="AG554" s="36"/>
      <c r="AH554" s="36"/>
      <c r="AI554" s="36"/>
    </row>
    <row r="555" spans="1:35" x14ac:dyDescent="0.3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2"/>
      <c r="AC555" s="42"/>
      <c r="AD555" s="42"/>
      <c r="AE555" s="43"/>
      <c r="AF555" s="23"/>
      <c r="AG555" s="36"/>
      <c r="AH555" s="36"/>
      <c r="AI555" s="36"/>
    </row>
    <row r="556" spans="1:35" x14ac:dyDescent="0.35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2"/>
      <c r="AC556" s="42"/>
      <c r="AD556" s="42"/>
      <c r="AE556" s="43"/>
      <c r="AF556" s="23"/>
      <c r="AG556" s="36"/>
      <c r="AH556" s="36"/>
      <c r="AI556" s="36"/>
    </row>
    <row r="557" spans="1:35" x14ac:dyDescent="0.35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2"/>
      <c r="AC557" s="42"/>
      <c r="AD557" s="42"/>
      <c r="AE557" s="43"/>
      <c r="AF557" s="23"/>
      <c r="AG557" s="36"/>
      <c r="AH557" s="36"/>
      <c r="AI557" s="36"/>
    </row>
    <row r="558" spans="1:35" x14ac:dyDescent="0.35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2"/>
      <c r="AC558" s="42"/>
      <c r="AD558" s="42"/>
      <c r="AE558" s="43"/>
      <c r="AF558" s="23"/>
      <c r="AG558" s="36"/>
      <c r="AH558" s="36"/>
      <c r="AI558" s="36"/>
    </row>
    <row r="559" spans="1:35" x14ac:dyDescent="0.35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2"/>
      <c r="AC559" s="42"/>
      <c r="AD559" s="42"/>
      <c r="AE559" s="43"/>
      <c r="AF559" s="23"/>
      <c r="AG559" s="36"/>
      <c r="AH559" s="36"/>
      <c r="AI559" s="36"/>
    </row>
    <row r="560" spans="1:35" x14ac:dyDescent="0.35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2"/>
      <c r="AC560" s="42"/>
      <c r="AD560" s="42"/>
      <c r="AE560" s="43"/>
      <c r="AF560" s="23"/>
      <c r="AG560" s="36"/>
      <c r="AH560" s="36"/>
      <c r="AI560" s="36"/>
    </row>
    <row r="561" spans="1:35" x14ac:dyDescent="0.35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2"/>
      <c r="AC561" s="42"/>
      <c r="AD561" s="42"/>
      <c r="AE561" s="43"/>
      <c r="AF561" s="23"/>
      <c r="AG561" s="36"/>
      <c r="AH561" s="36"/>
      <c r="AI561" s="36"/>
    </row>
    <row r="562" spans="1:35" x14ac:dyDescent="0.35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2"/>
      <c r="AC562" s="42"/>
      <c r="AD562" s="42"/>
      <c r="AE562" s="43"/>
      <c r="AF562" s="23"/>
      <c r="AG562" s="36"/>
      <c r="AH562" s="36"/>
      <c r="AI562" s="36"/>
    </row>
    <row r="563" spans="1:35" x14ac:dyDescent="0.35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2"/>
      <c r="AC563" s="42"/>
      <c r="AD563" s="42"/>
      <c r="AE563" s="43"/>
      <c r="AF563" s="23"/>
      <c r="AG563" s="36"/>
      <c r="AH563" s="36"/>
      <c r="AI563" s="36"/>
    </row>
    <row r="564" spans="1:35" x14ac:dyDescent="0.35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2"/>
      <c r="AC564" s="42"/>
      <c r="AD564" s="42"/>
      <c r="AE564" s="43"/>
      <c r="AF564" s="23"/>
      <c r="AG564" s="36"/>
      <c r="AH564" s="36"/>
      <c r="AI564" s="36"/>
    </row>
    <row r="565" spans="1:35" x14ac:dyDescent="0.3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2"/>
      <c r="AC565" s="42"/>
      <c r="AD565" s="42"/>
      <c r="AE565" s="43"/>
      <c r="AF565" s="23"/>
      <c r="AG565" s="36"/>
      <c r="AH565" s="36"/>
      <c r="AI565" s="36"/>
    </row>
    <row r="566" spans="1:35" x14ac:dyDescent="0.35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2"/>
      <c r="AC566" s="42"/>
      <c r="AD566" s="42"/>
      <c r="AE566" s="43"/>
      <c r="AF566" s="23"/>
      <c r="AG566" s="36"/>
      <c r="AH566" s="36"/>
      <c r="AI566" s="36"/>
    </row>
    <row r="567" spans="1:35" x14ac:dyDescent="0.35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2"/>
      <c r="AC567" s="42"/>
      <c r="AD567" s="42"/>
      <c r="AE567" s="43"/>
      <c r="AF567" s="23"/>
      <c r="AG567" s="36"/>
      <c r="AH567" s="36"/>
      <c r="AI567" s="36"/>
    </row>
    <row r="568" spans="1:35" x14ac:dyDescent="0.35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2"/>
      <c r="AC568" s="42"/>
      <c r="AD568" s="42"/>
      <c r="AE568" s="43"/>
      <c r="AF568" s="23"/>
      <c r="AG568" s="36"/>
      <c r="AH568" s="36"/>
      <c r="AI568" s="36"/>
    </row>
    <row r="569" spans="1:35" x14ac:dyDescent="0.35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2"/>
      <c r="AC569" s="42"/>
      <c r="AD569" s="42"/>
      <c r="AE569" s="43"/>
      <c r="AF569" s="23"/>
      <c r="AG569" s="36"/>
      <c r="AH569" s="36"/>
      <c r="AI569" s="36"/>
    </row>
    <row r="570" spans="1:35" x14ac:dyDescent="0.35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2"/>
      <c r="AC570" s="42"/>
      <c r="AD570" s="42"/>
      <c r="AE570" s="43"/>
      <c r="AF570" s="23"/>
      <c r="AG570" s="36"/>
      <c r="AH570" s="36"/>
      <c r="AI570" s="36"/>
    </row>
    <row r="571" spans="1:35" x14ac:dyDescent="0.35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2"/>
      <c r="AC571" s="42"/>
      <c r="AD571" s="42"/>
      <c r="AE571" s="43"/>
      <c r="AF571" s="23"/>
      <c r="AG571" s="36"/>
      <c r="AH571" s="36"/>
      <c r="AI571" s="36"/>
    </row>
    <row r="572" spans="1:35" x14ac:dyDescent="0.35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2"/>
      <c r="AC572" s="42"/>
      <c r="AD572" s="42"/>
      <c r="AE572" s="43"/>
      <c r="AF572" s="23"/>
      <c r="AG572" s="36"/>
      <c r="AH572" s="36"/>
      <c r="AI572" s="36"/>
    </row>
    <row r="573" spans="1:35" x14ac:dyDescent="0.35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2"/>
      <c r="AC573" s="42"/>
      <c r="AD573" s="42"/>
      <c r="AE573" s="43"/>
      <c r="AF573" s="23"/>
      <c r="AG573" s="36"/>
      <c r="AH573" s="36"/>
      <c r="AI573" s="36"/>
    </row>
    <row r="574" spans="1:35" x14ac:dyDescent="0.35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2"/>
      <c r="AC574" s="42"/>
      <c r="AD574" s="42"/>
      <c r="AE574" s="43"/>
      <c r="AF574" s="23"/>
      <c r="AG574" s="36"/>
      <c r="AH574" s="36"/>
      <c r="AI574" s="36"/>
    </row>
    <row r="575" spans="1:35" x14ac:dyDescent="0.3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2"/>
      <c r="AC575" s="42"/>
      <c r="AD575" s="42"/>
      <c r="AE575" s="43"/>
      <c r="AF575" s="23"/>
      <c r="AG575" s="36"/>
      <c r="AH575" s="36"/>
      <c r="AI575" s="36"/>
    </row>
    <row r="576" spans="1:35" x14ac:dyDescent="0.35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2"/>
      <c r="AC576" s="42"/>
      <c r="AD576" s="42"/>
      <c r="AE576" s="43"/>
      <c r="AF576" s="23"/>
      <c r="AG576" s="36"/>
      <c r="AH576" s="36"/>
      <c r="AI576" s="36"/>
    </row>
    <row r="577" spans="1:35" x14ac:dyDescent="0.35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2"/>
      <c r="AC577" s="42"/>
      <c r="AD577" s="42"/>
      <c r="AE577" s="43"/>
      <c r="AF577" s="23"/>
      <c r="AG577" s="36"/>
      <c r="AH577" s="36"/>
      <c r="AI577" s="36"/>
    </row>
    <row r="578" spans="1:35" x14ac:dyDescent="0.35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2"/>
      <c r="AC578" s="42"/>
      <c r="AD578" s="42"/>
      <c r="AE578" s="43"/>
      <c r="AF578" s="23"/>
      <c r="AG578" s="36"/>
      <c r="AH578" s="36"/>
      <c r="AI578" s="36"/>
    </row>
    <row r="579" spans="1:35" x14ac:dyDescent="0.35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2"/>
      <c r="AC579" s="42"/>
      <c r="AD579" s="42"/>
      <c r="AE579" s="43"/>
      <c r="AF579" s="23"/>
      <c r="AG579" s="36"/>
      <c r="AH579" s="36"/>
      <c r="AI579" s="36"/>
    </row>
    <row r="580" spans="1:35" x14ac:dyDescent="0.35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2"/>
      <c r="AC580" s="42"/>
      <c r="AD580" s="42"/>
      <c r="AE580" s="43"/>
      <c r="AF580" s="23"/>
      <c r="AG580" s="36"/>
      <c r="AH580" s="36"/>
      <c r="AI580" s="36"/>
    </row>
    <row r="581" spans="1:35" x14ac:dyDescent="0.35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2"/>
      <c r="AC581" s="42"/>
      <c r="AD581" s="42"/>
      <c r="AE581" s="43"/>
      <c r="AF581" s="23"/>
      <c r="AG581" s="36"/>
      <c r="AH581" s="36"/>
      <c r="AI581" s="36"/>
    </row>
    <row r="582" spans="1:35" x14ac:dyDescent="0.35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2"/>
      <c r="AC582" s="42"/>
      <c r="AD582" s="42"/>
      <c r="AE582" s="43"/>
      <c r="AF582" s="23"/>
      <c r="AG582" s="36"/>
      <c r="AH582" s="36"/>
      <c r="AI582" s="36"/>
    </row>
    <row r="583" spans="1:35" x14ac:dyDescent="0.35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2"/>
      <c r="AC583" s="42"/>
      <c r="AD583" s="42"/>
      <c r="AE583" s="43"/>
      <c r="AF583" s="23"/>
      <c r="AG583" s="36"/>
      <c r="AH583" s="36"/>
      <c r="AI583" s="36"/>
    </row>
    <row r="584" spans="1:35" x14ac:dyDescent="0.35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2"/>
      <c r="AC584" s="42"/>
      <c r="AD584" s="42"/>
      <c r="AE584" s="43"/>
      <c r="AF584" s="23"/>
      <c r="AG584" s="36"/>
      <c r="AH584" s="36"/>
      <c r="AI584" s="36"/>
    </row>
    <row r="585" spans="1:35" x14ac:dyDescent="0.3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2"/>
      <c r="AC585" s="42"/>
      <c r="AD585" s="42"/>
      <c r="AE585" s="43"/>
      <c r="AF585" s="23"/>
      <c r="AG585" s="36"/>
      <c r="AH585" s="36"/>
      <c r="AI585" s="36"/>
    </row>
    <row r="586" spans="1:35" x14ac:dyDescent="0.35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2"/>
      <c r="AC586" s="42"/>
      <c r="AD586" s="42"/>
      <c r="AE586" s="43"/>
      <c r="AF586" s="23"/>
      <c r="AG586" s="36"/>
      <c r="AH586" s="36"/>
      <c r="AI586" s="36"/>
    </row>
    <row r="587" spans="1:35" x14ac:dyDescent="0.35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2"/>
      <c r="AC587" s="42"/>
      <c r="AD587" s="42"/>
      <c r="AE587" s="43"/>
      <c r="AF587" s="23"/>
      <c r="AG587" s="36"/>
      <c r="AH587" s="36"/>
      <c r="AI587" s="36"/>
    </row>
    <row r="588" spans="1:35" x14ac:dyDescent="0.35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2"/>
      <c r="AC588" s="42"/>
      <c r="AD588" s="42"/>
      <c r="AE588" s="43"/>
      <c r="AF588" s="23"/>
      <c r="AG588" s="36"/>
      <c r="AH588" s="36"/>
      <c r="AI588" s="36"/>
    </row>
    <row r="589" spans="1:35" x14ac:dyDescent="0.35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2"/>
      <c r="AC589" s="42"/>
      <c r="AD589" s="42"/>
      <c r="AE589" s="43"/>
      <c r="AF589" s="23"/>
      <c r="AG589" s="36"/>
      <c r="AH589" s="36"/>
      <c r="AI589" s="36"/>
    </row>
    <row r="590" spans="1:35" x14ac:dyDescent="0.35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2"/>
      <c r="AC590" s="42"/>
      <c r="AD590" s="42"/>
      <c r="AE590" s="43"/>
      <c r="AF590" s="23"/>
      <c r="AG590" s="36"/>
      <c r="AH590" s="36"/>
      <c r="AI590" s="36"/>
    </row>
    <row r="591" spans="1:35" x14ac:dyDescent="0.35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2"/>
      <c r="AC591" s="42"/>
      <c r="AD591" s="42"/>
      <c r="AE591" s="43"/>
      <c r="AF591" s="23"/>
      <c r="AG591" s="36"/>
      <c r="AH591" s="36"/>
      <c r="AI591" s="36"/>
    </row>
    <row r="592" spans="1:35" x14ac:dyDescent="0.35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2"/>
      <c r="AC592" s="42"/>
      <c r="AD592" s="42"/>
      <c r="AE592" s="43"/>
      <c r="AF592" s="23"/>
      <c r="AG592" s="36"/>
      <c r="AH592" s="36"/>
      <c r="AI592" s="36"/>
    </row>
    <row r="593" spans="1:35" x14ac:dyDescent="0.35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2"/>
      <c r="AC593" s="42"/>
      <c r="AD593" s="42"/>
      <c r="AE593" s="43"/>
      <c r="AF593" s="23"/>
      <c r="AG593" s="36"/>
      <c r="AH593" s="36"/>
      <c r="AI593" s="36"/>
    </row>
    <row r="594" spans="1:35" x14ac:dyDescent="0.35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2"/>
      <c r="AC594" s="42"/>
      <c r="AD594" s="42"/>
      <c r="AE594" s="43"/>
      <c r="AF594" s="23"/>
      <c r="AG594" s="36"/>
      <c r="AH594" s="36"/>
      <c r="AI594" s="36"/>
    </row>
    <row r="595" spans="1:35" x14ac:dyDescent="0.3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2"/>
      <c r="AC595" s="42"/>
      <c r="AD595" s="42"/>
      <c r="AE595" s="43"/>
      <c r="AF595" s="23"/>
      <c r="AG595" s="36"/>
      <c r="AH595" s="36"/>
      <c r="AI595" s="36"/>
    </row>
    <row r="596" spans="1:35" x14ac:dyDescent="0.35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2"/>
      <c r="AC596" s="42"/>
      <c r="AD596" s="42"/>
      <c r="AE596" s="43"/>
      <c r="AF596" s="23"/>
      <c r="AG596" s="36"/>
      <c r="AH596" s="36"/>
      <c r="AI596" s="36"/>
    </row>
    <row r="597" spans="1:35" x14ac:dyDescent="0.35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2"/>
      <c r="AC597" s="42"/>
      <c r="AD597" s="42"/>
      <c r="AE597" s="43"/>
      <c r="AF597" s="23"/>
      <c r="AG597" s="36"/>
      <c r="AH597" s="36"/>
      <c r="AI597" s="36"/>
    </row>
    <row r="598" spans="1:35" x14ac:dyDescent="0.35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2"/>
      <c r="AC598" s="42"/>
      <c r="AD598" s="42"/>
      <c r="AE598" s="43"/>
      <c r="AF598" s="23"/>
      <c r="AG598" s="36"/>
      <c r="AH598" s="36"/>
      <c r="AI598" s="36"/>
    </row>
    <row r="599" spans="1:35" x14ac:dyDescent="0.35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2"/>
      <c r="AC599" s="42"/>
      <c r="AD599" s="42"/>
      <c r="AE599" s="43"/>
      <c r="AF599" s="23"/>
      <c r="AG599" s="36"/>
      <c r="AH599" s="36"/>
      <c r="AI599" s="36"/>
    </row>
    <row r="600" spans="1:35" x14ac:dyDescent="0.35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2"/>
      <c r="AC600" s="42"/>
      <c r="AD600" s="42"/>
      <c r="AE600" s="43"/>
      <c r="AF600" s="23"/>
      <c r="AG600" s="36"/>
      <c r="AH600" s="36"/>
      <c r="AI600" s="36"/>
    </row>
    <row r="601" spans="1:35" x14ac:dyDescent="0.35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2"/>
      <c r="AC601" s="42"/>
      <c r="AD601" s="42"/>
      <c r="AE601" s="43"/>
      <c r="AF601" s="23"/>
      <c r="AG601" s="36"/>
      <c r="AH601" s="36"/>
      <c r="AI601" s="36"/>
    </row>
    <row r="602" spans="1:35" x14ac:dyDescent="0.35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2"/>
      <c r="AC602" s="42"/>
      <c r="AD602" s="42"/>
      <c r="AE602" s="43"/>
      <c r="AF602" s="23"/>
      <c r="AG602" s="36"/>
      <c r="AH602" s="36"/>
      <c r="AI602" s="36"/>
    </row>
    <row r="603" spans="1:35" x14ac:dyDescent="0.35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2"/>
      <c r="AC603" s="42"/>
      <c r="AD603" s="42"/>
      <c r="AE603" s="43"/>
      <c r="AF603" s="23"/>
      <c r="AG603" s="36"/>
      <c r="AH603" s="36"/>
      <c r="AI603" s="36"/>
    </row>
    <row r="604" spans="1:35" x14ac:dyDescent="0.35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2"/>
      <c r="AC604" s="42"/>
      <c r="AD604" s="42"/>
      <c r="AE604" s="43"/>
      <c r="AF604" s="23"/>
      <c r="AG604" s="36"/>
      <c r="AH604" s="36"/>
      <c r="AI604" s="36"/>
    </row>
    <row r="605" spans="1:35" x14ac:dyDescent="0.3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2"/>
      <c r="AC605" s="42"/>
      <c r="AD605" s="42"/>
      <c r="AE605" s="43"/>
      <c r="AF605" s="23"/>
      <c r="AG605" s="36"/>
      <c r="AH605" s="36"/>
      <c r="AI605" s="36"/>
    </row>
    <row r="606" spans="1:35" x14ac:dyDescent="0.35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2"/>
      <c r="AC606" s="42"/>
      <c r="AD606" s="42"/>
      <c r="AE606" s="43"/>
      <c r="AF606" s="23"/>
      <c r="AG606" s="36"/>
      <c r="AH606" s="36"/>
      <c r="AI606" s="36"/>
    </row>
    <row r="607" spans="1:35" x14ac:dyDescent="0.35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2"/>
      <c r="AC607" s="42"/>
      <c r="AD607" s="42"/>
      <c r="AE607" s="43"/>
      <c r="AF607" s="23"/>
      <c r="AG607" s="36"/>
      <c r="AH607" s="36"/>
      <c r="AI607" s="36"/>
    </row>
    <row r="608" spans="1:35" x14ac:dyDescent="0.35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2"/>
      <c r="AC608" s="42"/>
      <c r="AD608" s="42"/>
      <c r="AE608" s="43"/>
      <c r="AF608" s="23"/>
      <c r="AG608" s="36"/>
      <c r="AH608" s="36"/>
      <c r="AI608" s="36"/>
    </row>
    <row r="609" spans="1:35" x14ac:dyDescent="0.35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2"/>
      <c r="AC609" s="42"/>
      <c r="AD609" s="42"/>
      <c r="AE609" s="43"/>
      <c r="AF609" s="23"/>
      <c r="AG609" s="36"/>
      <c r="AH609" s="36"/>
      <c r="AI609" s="36"/>
    </row>
    <row r="610" spans="1:35" x14ac:dyDescent="0.35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2"/>
      <c r="AC610" s="42"/>
      <c r="AD610" s="42"/>
      <c r="AE610" s="43"/>
      <c r="AF610" s="23"/>
      <c r="AG610" s="36"/>
      <c r="AH610" s="36"/>
      <c r="AI610" s="36"/>
    </row>
    <row r="611" spans="1:35" x14ac:dyDescent="0.35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2"/>
      <c r="AC611" s="42"/>
      <c r="AD611" s="42"/>
      <c r="AE611" s="43"/>
      <c r="AF611" s="23"/>
      <c r="AG611" s="36"/>
      <c r="AH611" s="36"/>
      <c r="AI611" s="36"/>
    </row>
    <row r="612" spans="1:35" x14ac:dyDescent="0.35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2"/>
      <c r="AC612" s="42"/>
      <c r="AD612" s="42"/>
      <c r="AE612" s="43"/>
      <c r="AF612" s="23"/>
      <c r="AG612" s="36"/>
      <c r="AH612" s="36"/>
      <c r="AI612" s="36"/>
    </row>
    <row r="613" spans="1:35" x14ac:dyDescent="0.35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2"/>
      <c r="AC613" s="42"/>
      <c r="AD613" s="42"/>
      <c r="AE613" s="43"/>
      <c r="AF613" s="23"/>
      <c r="AG613" s="36"/>
      <c r="AH613" s="36"/>
      <c r="AI613" s="36"/>
    </row>
    <row r="614" spans="1:35" x14ac:dyDescent="0.35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2"/>
      <c r="AC614" s="42"/>
      <c r="AD614" s="42"/>
      <c r="AE614" s="43"/>
      <c r="AF614" s="23"/>
      <c r="AG614" s="36"/>
      <c r="AH614" s="36"/>
      <c r="AI614" s="36"/>
    </row>
    <row r="615" spans="1:35" x14ac:dyDescent="0.3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2"/>
      <c r="AC615" s="42"/>
      <c r="AD615" s="42"/>
      <c r="AE615" s="43"/>
      <c r="AF615" s="23"/>
      <c r="AG615" s="36"/>
      <c r="AH615" s="36"/>
      <c r="AI615" s="36"/>
    </row>
    <row r="616" spans="1:35" x14ac:dyDescent="0.35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2"/>
      <c r="AC616" s="42"/>
      <c r="AD616" s="42"/>
      <c r="AE616" s="43"/>
      <c r="AF616" s="23"/>
      <c r="AG616" s="36"/>
      <c r="AH616" s="36"/>
      <c r="AI616" s="36"/>
    </row>
    <row r="617" spans="1:35" x14ac:dyDescent="0.35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2"/>
      <c r="AC617" s="42"/>
      <c r="AD617" s="42"/>
      <c r="AE617" s="43"/>
      <c r="AF617" s="23"/>
      <c r="AG617" s="36"/>
      <c r="AH617" s="36"/>
      <c r="AI617" s="36"/>
    </row>
    <row r="618" spans="1:35" x14ac:dyDescent="0.35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2"/>
      <c r="AC618" s="42"/>
      <c r="AD618" s="42"/>
      <c r="AE618" s="43"/>
      <c r="AF618" s="23"/>
      <c r="AG618" s="36"/>
      <c r="AH618" s="36"/>
      <c r="AI618" s="36"/>
    </row>
    <row r="619" spans="1:35" x14ac:dyDescent="0.35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2"/>
      <c r="AC619" s="42"/>
      <c r="AD619" s="42"/>
      <c r="AE619" s="43"/>
      <c r="AF619" s="23"/>
      <c r="AG619" s="36"/>
      <c r="AH619" s="36"/>
      <c r="AI619" s="36"/>
    </row>
    <row r="620" spans="1:35" x14ac:dyDescent="0.35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2"/>
      <c r="AC620" s="42"/>
      <c r="AD620" s="42"/>
      <c r="AE620" s="43"/>
      <c r="AF620" s="23"/>
      <c r="AG620" s="36"/>
      <c r="AH620" s="36"/>
      <c r="AI620" s="36"/>
    </row>
    <row r="621" spans="1:35" x14ac:dyDescent="0.35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2"/>
      <c r="AC621" s="42"/>
      <c r="AD621" s="42"/>
      <c r="AE621" s="43"/>
      <c r="AF621" s="23"/>
      <c r="AG621" s="36"/>
      <c r="AH621" s="36"/>
      <c r="AI621" s="36"/>
    </row>
    <row r="622" spans="1:35" x14ac:dyDescent="0.35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2"/>
      <c r="AC622" s="42"/>
      <c r="AD622" s="42"/>
      <c r="AE622" s="43"/>
      <c r="AF622" s="23"/>
      <c r="AG622" s="36"/>
      <c r="AH622" s="36"/>
      <c r="AI622" s="36"/>
    </row>
    <row r="623" spans="1:35" x14ac:dyDescent="0.35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2"/>
      <c r="AC623" s="42"/>
      <c r="AD623" s="42"/>
      <c r="AE623" s="43"/>
      <c r="AF623" s="23"/>
      <c r="AG623" s="36"/>
      <c r="AH623" s="36"/>
      <c r="AI623" s="36"/>
    </row>
    <row r="624" spans="1:35" x14ac:dyDescent="0.35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2"/>
      <c r="AC624" s="42"/>
      <c r="AD624" s="42"/>
      <c r="AE624" s="43"/>
      <c r="AF624" s="23"/>
      <c r="AG624" s="36"/>
      <c r="AH624" s="36"/>
      <c r="AI624" s="36"/>
    </row>
    <row r="625" spans="1:35" x14ac:dyDescent="0.3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2"/>
      <c r="AC625" s="42"/>
      <c r="AD625" s="42"/>
      <c r="AE625" s="43"/>
      <c r="AF625" s="23"/>
      <c r="AG625" s="36"/>
      <c r="AH625" s="36"/>
      <c r="AI625" s="36"/>
    </row>
    <row r="626" spans="1:35" x14ac:dyDescent="0.35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2"/>
      <c r="AC626" s="42"/>
      <c r="AD626" s="42"/>
      <c r="AE626" s="43"/>
      <c r="AF626" s="23"/>
      <c r="AG626" s="36"/>
      <c r="AH626" s="36"/>
      <c r="AI626" s="36"/>
    </row>
    <row r="627" spans="1:35" x14ac:dyDescent="0.35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2"/>
      <c r="AC627" s="42"/>
      <c r="AD627" s="42"/>
      <c r="AE627" s="43"/>
      <c r="AF627" s="23"/>
      <c r="AG627" s="36"/>
      <c r="AH627" s="36"/>
      <c r="AI627" s="36"/>
    </row>
    <row r="628" spans="1:35" x14ac:dyDescent="0.35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2"/>
      <c r="AC628" s="42"/>
      <c r="AD628" s="42"/>
      <c r="AE628" s="43"/>
      <c r="AF628" s="23"/>
      <c r="AG628" s="36"/>
      <c r="AH628" s="36"/>
      <c r="AI628" s="36"/>
    </row>
    <row r="629" spans="1:35" x14ac:dyDescent="0.35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2"/>
      <c r="AC629" s="42"/>
      <c r="AD629" s="42"/>
      <c r="AE629" s="43"/>
      <c r="AF629" s="23"/>
      <c r="AG629" s="36"/>
      <c r="AH629" s="36"/>
      <c r="AI629" s="36"/>
    </row>
    <row r="630" spans="1:35" x14ac:dyDescent="0.35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2"/>
      <c r="AC630" s="42"/>
      <c r="AD630" s="42"/>
      <c r="AE630" s="43"/>
      <c r="AF630" s="23"/>
      <c r="AG630" s="36"/>
      <c r="AH630" s="36"/>
      <c r="AI630" s="36"/>
    </row>
    <row r="631" spans="1:35" x14ac:dyDescent="0.35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2"/>
      <c r="AC631" s="42"/>
      <c r="AD631" s="42"/>
      <c r="AE631" s="43"/>
      <c r="AF631" s="23"/>
      <c r="AG631" s="36"/>
      <c r="AH631" s="36"/>
      <c r="AI631" s="36"/>
    </row>
    <row r="632" spans="1:35" x14ac:dyDescent="0.35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2"/>
      <c r="AC632" s="42"/>
      <c r="AD632" s="42"/>
      <c r="AE632" s="43"/>
      <c r="AF632" s="23"/>
      <c r="AG632" s="36"/>
      <c r="AH632" s="36"/>
      <c r="AI632" s="36"/>
    </row>
    <row r="633" spans="1:35" x14ac:dyDescent="0.35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2"/>
      <c r="AC633" s="42"/>
      <c r="AD633" s="42"/>
      <c r="AE633" s="43"/>
      <c r="AF633" s="23"/>
      <c r="AG633" s="36"/>
      <c r="AH633" s="36"/>
      <c r="AI633" s="36"/>
    </row>
    <row r="634" spans="1:35" x14ac:dyDescent="0.35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2"/>
      <c r="AC634" s="42"/>
      <c r="AD634" s="42"/>
      <c r="AE634" s="43"/>
      <c r="AF634" s="23"/>
      <c r="AG634" s="36"/>
      <c r="AH634" s="36"/>
      <c r="AI634" s="36"/>
    </row>
    <row r="635" spans="1:35" x14ac:dyDescent="0.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2"/>
      <c r="AC635" s="42"/>
      <c r="AD635" s="42"/>
      <c r="AE635" s="43"/>
      <c r="AF635" s="23"/>
      <c r="AG635" s="36"/>
      <c r="AH635" s="36"/>
      <c r="AI635" s="36"/>
    </row>
    <row r="636" spans="1:35" x14ac:dyDescent="0.35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2"/>
      <c r="AC636" s="42"/>
      <c r="AD636" s="42"/>
      <c r="AE636" s="43"/>
      <c r="AF636" s="23"/>
      <c r="AG636" s="36"/>
      <c r="AH636" s="36"/>
      <c r="AI636" s="36"/>
    </row>
    <row r="637" spans="1:35" x14ac:dyDescent="0.35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2"/>
      <c r="AC637" s="42"/>
      <c r="AD637" s="42"/>
      <c r="AE637" s="43"/>
      <c r="AF637" s="23"/>
      <c r="AG637" s="36"/>
      <c r="AH637" s="36"/>
      <c r="AI637" s="36"/>
    </row>
    <row r="638" spans="1:35" x14ac:dyDescent="0.35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2"/>
      <c r="AC638" s="42"/>
      <c r="AD638" s="42"/>
      <c r="AE638" s="43"/>
      <c r="AF638" s="23"/>
      <c r="AG638" s="36"/>
      <c r="AH638" s="36"/>
      <c r="AI638" s="36"/>
    </row>
    <row r="639" spans="1:35" x14ac:dyDescent="0.35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2"/>
      <c r="AC639" s="42"/>
      <c r="AD639" s="42"/>
      <c r="AE639" s="43"/>
      <c r="AF639" s="23"/>
      <c r="AG639" s="36"/>
      <c r="AH639" s="36"/>
      <c r="AI639" s="36"/>
    </row>
    <row r="640" spans="1:35" x14ac:dyDescent="0.35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2"/>
      <c r="AC640" s="42"/>
      <c r="AD640" s="42"/>
      <c r="AE640" s="43"/>
      <c r="AF640" s="23"/>
      <c r="AG640" s="36"/>
      <c r="AH640" s="36"/>
      <c r="AI640" s="36"/>
    </row>
    <row r="641" spans="1:35" x14ac:dyDescent="0.35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2"/>
      <c r="AC641" s="42"/>
      <c r="AD641" s="42"/>
      <c r="AE641" s="43"/>
      <c r="AF641" s="23"/>
      <c r="AG641" s="36"/>
      <c r="AH641" s="36"/>
      <c r="AI641" s="36"/>
    </row>
    <row r="642" spans="1:35" x14ac:dyDescent="0.35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2"/>
      <c r="AC642" s="42"/>
      <c r="AD642" s="42"/>
      <c r="AE642" s="43"/>
      <c r="AF642" s="23"/>
      <c r="AG642" s="36"/>
      <c r="AH642" s="36"/>
      <c r="AI642" s="36"/>
    </row>
    <row r="643" spans="1:35" x14ac:dyDescent="0.35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2"/>
      <c r="AC643" s="42"/>
      <c r="AD643" s="42"/>
      <c r="AE643" s="43"/>
      <c r="AF643" s="23"/>
      <c r="AG643" s="36"/>
      <c r="AH643" s="36"/>
      <c r="AI643" s="36"/>
    </row>
    <row r="644" spans="1:35" x14ac:dyDescent="0.35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2"/>
      <c r="AC644" s="42"/>
      <c r="AD644" s="42"/>
      <c r="AE644" s="43"/>
      <c r="AF644" s="23"/>
      <c r="AG644" s="36"/>
      <c r="AH644" s="36"/>
      <c r="AI644" s="36"/>
    </row>
    <row r="645" spans="1:35" x14ac:dyDescent="0.3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2"/>
      <c r="AC645" s="42"/>
      <c r="AD645" s="42"/>
      <c r="AE645" s="43"/>
      <c r="AF645" s="23"/>
      <c r="AG645" s="36"/>
      <c r="AH645" s="36"/>
      <c r="AI645" s="36"/>
    </row>
    <row r="646" spans="1:35" x14ac:dyDescent="0.35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2"/>
      <c r="AC646" s="42"/>
      <c r="AD646" s="42"/>
      <c r="AE646" s="43"/>
      <c r="AF646" s="23"/>
      <c r="AG646" s="36"/>
      <c r="AH646" s="36"/>
      <c r="AI646" s="36"/>
    </row>
    <row r="647" spans="1:35" x14ac:dyDescent="0.35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2"/>
      <c r="AC647" s="42"/>
      <c r="AD647" s="42"/>
      <c r="AE647" s="43"/>
      <c r="AF647" s="23"/>
      <c r="AG647" s="36"/>
      <c r="AH647" s="36"/>
      <c r="AI647" s="36"/>
    </row>
    <row r="648" spans="1:35" x14ac:dyDescent="0.35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2"/>
      <c r="AC648" s="42"/>
      <c r="AD648" s="42"/>
      <c r="AE648" s="43"/>
      <c r="AF648" s="23"/>
      <c r="AG648" s="36"/>
      <c r="AH648" s="36"/>
      <c r="AI648" s="36"/>
    </row>
    <row r="649" spans="1:35" x14ac:dyDescent="0.35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2"/>
      <c r="AC649" s="42"/>
      <c r="AD649" s="42"/>
      <c r="AE649" s="43"/>
      <c r="AF649" s="23"/>
      <c r="AG649" s="36"/>
      <c r="AH649" s="36"/>
      <c r="AI649" s="36"/>
    </row>
    <row r="650" spans="1:35" x14ac:dyDescent="0.35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2"/>
      <c r="AC650" s="42"/>
      <c r="AD650" s="42"/>
      <c r="AE650" s="43"/>
      <c r="AF650" s="23"/>
      <c r="AG650" s="36"/>
      <c r="AH650" s="36"/>
      <c r="AI650" s="36"/>
    </row>
    <row r="651" spans="1:35" x14ac:dyDescent="0.35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2"/>
      <c r="AC651" s="42"/>
      <c r="AD651" s="42"/>
      <c r="AE651" s="43"/>
      <c r="AF651" s="23"/>
      <c r="AG651" s="36"/>
      <c r="AH651" s="36"/>
      <c r="AI651" s="36"/>
    </row>
    <row r="652" spans="1:35" x14ac:dyDescent="0.35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2"/>
      <c r="AC652" s="42"/>
      <c r="AD652" s="42"/>
      <c r="AE652" s="43"/>
      <c r="AF652" s="23"/>
      <c r="AG652" s="36"/>
      <c r="AH652" s="36"/>
      <c r="AI652" s="36"/>
    </row>
    <row r="653" spans="1:35" x14ac:dyDescent="0.35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2"/>
      <c r="AC653" s="42"/>
      <c r="AD653" s="42"/>
      <c r="AE653" s="43"/>
      <c r="AF653" s="23"/>
      <c r="AG653" s="36"/>
      <c r="AH653" s="36"/>
      <c r="AI653" s="36"/>
    </row>
    <row r="654" spans="1:35" x14ac:dyDescent="0.35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2"/>
      <c r="AC654" s="42"/>
      <c r="AD654" s="42"/>
      <c r="AE654" s="43"/>
      <c r="AF654" s="23"/>
      <c r="AG654" s="36"/>
      <c r="AH654" s="36"/>
      <c r="AI654" s="36"/>
    </row>
    <row r="655" spans="1:35" x14ac:dyDescent="0.3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2"/>
      <c r="AC655" s="42"/>
      <c r="AD655" s="42"/>
      <c r="AE655" s="43"/>
      <c r="AF655" s="23"/>
      <c r="AG655" s="36"/>
      <c r="AH655" s="36"/>
      <c r="AI655" s="36"/>
    </row>
    <row r="656" spans="1:35" x14ac:dyDescent="0.35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2"/>
      <c r="AC656" s="42"/>
      <c r="AD656" s="42"/>
      <c r="AE656" s="43"/>
      <c r="AF656" s="23"/>
      <c r="AG656" s="36"/>
      <c r="AH656" s="36"/>
      <c r="AI656" s="36"/>
    </row>
    <row r="657" spans="1:35" x14ac:dyDescent="0.35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2"/>
      <c r="AC657" s="42"/>
      <c r="AD657" s="42"/>
      <c r="AE657" s="43"/>
      <c r="AF657" s="23"/>
      <c r="AG657" s="36"/>
      <c r="AH657" s="36"/>
      <c r="AI657" s="36"/>
    </row>
    <row r="658" spans="1:35" x14ac:dyDescent="0.35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2"/>
      <c r="AC658" s="42"/>
      <c r="AD658" s="42"/>
      <c r="AE658" s="43"/>
      <c r="AF658" s="23"/>
      <c r="AG658" s="36"/>
      <c r="AH658" s="36"/>
      <c r="AI658" s="36"/>
    </row>
    <row r="659" spans="1:35" x14ac:dyDescent="0.35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2"/>
      <c r="AC659" s="42"/>
      <c r="AD659" s="42"/>
      <c r="AE659" s="43"/>
      <c r="AF659" s="23"/>
      <c r="AG659" s="36"/>
      <c r="AH659" s="36"/>
      <c r="AI659" s="36"/>
    </row>
    <row r="660" spans="1:35" x14ac:dyDescent="0.35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2"/>
      <c r="AC660" s="42"/>
      <c r="AD660" s="42"/>
      <c r="AE660" s="43"/>
      <c r="AF660" s="23"/>
      <c r="AG660" s="36"/>
      <c r="AH660" s="36"/>
      <c r="AI660" s="36"/>
    </row>
    <row r="661" spans="1:35" x14ac:dyDescent="0.35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2"/>
      <c r="AC661" s="42"/>
      <c r="AD661" s="42"/>
      <c r="AE661" s="43"/>
      <c r="AF661" s="23"/>
      <c r="AG661" s="36"/>
      <c r="AH661" s="36"/>
      <c r="AI661" s="36"/>
    </row>
    <row r="662" spans="1:35" x14ac:dyDescent="0.35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2"/>
      <c r="AC662" s="42"/>
      <c r="AD662" s="42"/>
      <c r="AE662" s="43"/>
      <c r="AF662" s="23"/>
      <c r="AG662" s="36"/>
      <c r="AH662" s="36"/>
      <c r="AI662" s="36"/>
    </row>
    <row r="663" spans="1:35" x14ac:dyDescent="0.35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2"/>
      <c r="AC663" s="42"/>
      <c r="AD663" s="42"/>
      <c r="AE663" s="43"/>
      <c r="AF663" s="23"/>
      <c r="AG663" s="36"/>
      <c r="AH663" s="36"/>
      <c r="AI663" s="36"/>
    </row>
    <row r="664" spans="1:35" x14ac:dyDescent="0.35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2"/>
      <c r="AC664" s="42"/>
      <c r="AD664" s="42"/>
      <c r="AE664" s="43"/>
      <c r="AF664" s="23"/>
      <c r="AG664" s="36"/>
      <c r="AH664" s="36"/>
      <c r="AI664" s="36"/>
    </row>
    <row r="665" spans="1:35" x14ac:dyDescent="0.3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2"/>
      <c r="AC665" s="42"/>
      <c r="AD665" s="42"/>
      <c r="AE665" s="43"/>
      <c r="AF665" s="23"/>
      <c r="AG665" s="36"/>
      <c r="AH665" s="36"/>
      <c r="AI665" s="36"/>
    </row>
    <row r="666" spans="1:35" x14ac:dyDescent="0.35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2"/>
      <c r="AC666" s="42"/>
      <c r="AD666" s="42"/>
      <c r="AE666" s="43"/>
      <c r="AF666" s="23"/>
      <c r="AG666" s="36"/>
      <c r="AH666" s="36"/>
      <c r="AI666" s="36"/>
    </row>
    <row r="667" spans="1:35" x14ac:dyDescent="0.35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2"/>
      <c r="AC667" s="42"/>
      <c r="AD667" s="42"/>
      <c r="AE667" s="43"/>
      <c r="AF667" s="23"/>
      <c r="AG667" s="36"/>
      <c r="AH667" s="36"/>
      <c r="AI667" s="36"/>
    </row>
    <row r="668" spans="1:35" x14ac:dyDescent="0.35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2"/>
      <c r="AC668" s="42"/>
      <c r="AD668" s="42"/>
      <c r="AE668" s="43"/>
      <c r="AF668" s="23"/>
      <c r="AG668" s="36"/>
      <c r="AH668" s="36"/>
      <c r="AI668" s="36"/>
    </row>
    <row r="669" spans="1:35" x14ac:dyDescent="0.35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2"/>
      <c r="AC669" s="42"/>
      <c r="AD669" s="42"/>
      <c r="AE669" s="43"/>
      <c r="AF669" s="23"/>
      <c r="AG669" s="36"/>
      <c r="AH669" s="36"/>
      <c r="AI669" s="36"/>
    </row>
    <row r="670" spans="1:35" x14ac:dyDescent="0.35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2"/>
      <c r="AC670" s="42"/>
      <c r="AD670" s="42"/>
      <c r="AE670" s="43"/>
      <c r="AF670" s="23"/>
      <c r="AG670" s="36"/>
      <c r="AH670" s="36"/>
      <c r="AI670" s="36"/>
    </row>
    <row r="671" spans="1:35" x14ac:dyDescent="0.35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2"/>
      <c r="AC671" s="42"/>
      <c r="AD671" s="42"/>
      <c r="AE671" s="43"/>
      <c r="AF671" s="23"/>
      <c r="AG671" s="36"/>
      <c r="AH671" s="36"/>
      <c r="AI671" s="36"/>
    </row>
    <row r="672" spans="1:35" x14ac:dyDescent="0.35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2"/>
      <c r="AC672" s="42"/>
      <c r="AD672" s="42"/>
      <c r="AE672" s="43"/>
      <c r="AF672" s="23"/>
      <c r="AG672" s="36"/>
      <c r="AH672" s="36"/>
      <c r="AI672" s="36"/>
    </row>
    <row r="673" spans="1:35" x14ac:dyDescent="0.35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2"/>
      <c r="AC673" s="42"/>
      <c r="AD673" s="42"/>
      <c r="AE673" s="43"/>
      <c r="AF673" s="23"/>
      <c r="AG673" s="36"/>
      <c r="AH673" s="36"/>
      <c r="AI673" s="36"/>
    </row>
    <row r="674" spans="1:35" x14ac:dyDescent="0.35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2"/>
      <c r="AC674" s="42"/>
      <c r="AD674" s="42"/>
      <c r="AE674" s="43"/>
      <c r="AF674" s="23"/>
      <c r="AG674" s="36"/>
      <c r="AH674" s="36"/>
      <c r="AI674" s="36"/>
    </row>
    <row r="675" spans="1:35" x14ac:dyDescent="0.3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2"/>
      <c r="AC675" s="42"/>
      <c r="AD675" s="42"/>
      <c r="AE675" s="43"/>
      <c r="AF675" s="23"/>
      <c r="AG675" s="36"/>
      <c r="AH675" s="36"/>
      <c r="AI675" s="36"/>
    </row>
    <row r="676" spans="1:35" x14ac:dyDescent="0.35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2"/>
      <c r="AC676" s="42"/>
      <c r="AD676" s="42"/>
      <c r="AE676" s="43"/>
      <c r="AF676" s="23"/>
      <c r="AG676" s="36"/>
      <c r="AH676" s="36"/>
      <c r="AI676" s="36"/>
    </row>
    <row r="677" spans="1:35" x14ac:dyDescent="0.35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2"/>
      <c r="AC677" s="42"/>
      <c r="AD677" s="42"/>
      <c r="AE677" s="43"/>
      <c r="AF677" s="23"/>
      <c r="AG677" s="36"/>
      <c r="AH677" s="36"/>
      <c r="AI677" s="36"/>
    </row>
    <row r="678" spans="1:35" x14ac:dyDescent="0.35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2"/>
      <c r="AC678" s="42"/>
      <c r="AD678" s="42"/>
      <c r="AE678" s="43"/>
      <c r="AF678" s="23"/>
      <c r="AG678" s="36"/>
      <c r="AH678" s="36"/>
      <c r="AI678" s="36"/>
    </row>
    <row r="679" spans="1:35" x14ac:dyDescent="0.35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2"/>
      <c r="AC679" s="42"/>
      <c r="AD679" s="42"/>
      <c r="AE679" s="43"/>
      <c r="AF679" s="23"/>
      <c r="AG679" s="36"/>
      <c r="AH679" s="36"/>
      <c r="AI679" s="36"/>
    </row>
    <row r="680" spans="1:35" x14ac:dyDescent="0.35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2"/>
      <c r="AC680" s="42"/>
      <c r="AD680" s="42"/>
      <c r="AE680" s="43"/>
      <c r="AF680" s="23"/>
      <c r="AG680" s="36"/>
      <c r="AH680" s="36"/>
      <c r="AI680" s="36"/>
    </row>
    <row r="681" spans="1:35" x14ac:dyDescent="0.35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2"/>
      <c r="AC681" s="42"/>
      <c r="AD681" s="42"/>
      <c r="AE681" s="43"/>
      <c r="AF681" s="23"/>
      <c r="AG681" s="36"/>
      <c r="AH681" s="36"/>
      <c r="AI681" s="36"/>
    </row>
    <row r="682" spans="1:35" x14ac:dyDescent="0.35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2"/>
      <c r="AC682" s="42"/>
      <c r="AD682" s="42"/>
      <c r="AE682" s="43"/>
      <c r="AF682" s="23"/>
      <c r="AG682" s="36"/>
      <c r="AH682" s="36"/>
      <c r="AI682" s="36"/>
    </row>
    <row r="683" spans="1:35" x14ac:dyDescent="0.35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2"/>
      <c r="AC683" s="42"/>
      <c r="AD683" s="42"/>
      <c r="AE683" s="43"/>
      <c r="AF683" s="23"/>
      <c r="AG683" s="36"/>
      <c r="AH683" s="36"/>
      <c r="AI683" s="36"/>
    </row>
    <row r="684" spans="1:35" x14ac:dyDescent="0.35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2"/>
      <c r="AC684" s="42"/>
      <c r="AD684" s="42"/>
      <c r="AE684" s="43"/>
      <c r="AF684" s="23"/>
      <c r="AG684" s="36"/>
      <c r="AH684" s="36"/>
      <c r="AI684" s="36"/>
    </row>
    <row r="685" spans="1:35" x14ac:dyDescent="0.3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2"/>
      <c r="AC685" s="42"/>
      <c r="AD685" s="42"/>
      <c r="AE685" s="43"/>
      <c r="AF685" s="23"/>
      <c r="AG685" s="36"/>
      <c r="AH685" s="36"/>
      <c r="AI685" s="36"/>
    </row>
    <row r="686" spans="1:35" x14ac:dyDescent="0.35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2"/>
      <c r="AC686" s="42"/>
      <c r="AD686" s="42"/>
      <c r="AE686" s="43"/>
      <c r="AF686" s="23"/>
      <c r="AG686" s="36"/>
      <c r="AH686" s="36"/>
      <c r="AI686" s="36"/>
    </row>
    <row r="687" spans="1:35" x14ac:dyDescent="0.35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2"/>
      <c r="AC687" s="42"/>
      <c r="AD687" s="42"/>
      <c r="AE687" s="43"/>
      <c r="AF687" s="23"/>
      <c r="AG687" s="36"/>
      <c r="AH687" s="36"/>
      <c r="AI687" s="36"/>
    </row>
    <row r="688" spans="1:35" x14ac:dyDescent="0.35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2"/>
      <c r="AC688" s="42"/>
      <c r="AD688" s="42"/>
      <c r="AE688" s="43"/>
      <c r="AF688" s="23"/>
      <c r="AG688" s="36"/>
      <c r="AH688" s="36"/>
      <c r="AI688" s="36"/>
    </row>
    <row r="689" spans="1:35" x14ac:dyDescent="0.35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2"/>
      <c r="AC689" s="42"/>
      <c r="AD689" s="42"/>
      <c r="AE689" s="43"/>
      <c r="AF689" s="23"/>
      <c r="AG689" s="36"/>
      <c r="AH689" s="36"/>
      <c r="AI689" s="36"/>
    </row>
    <row r="690" spans="1:35" x14ac:dyDescent="0.35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2"/>
      <c r="AC690" s="42"/>
      <c r="AD690" s="42"/>
      <c r="AE690" s="43"/>
      <c r="AF690" s="23"/>
      <c r="AG690" s="36"/>
      <c r="AH690" s="36"/>
      <c r="AI690" s="36"/>
    </row>
    <row r="691" spans="1:35" x14ac:dyDescent="0.35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2"/>
      <c r="AC691" s="42"/>
      <c r="AD691" s="42"/>
      <c r="AE691" s="43"/>
      <c r="AF691" s="23"/>
      <c r="AG691" s="36"/>
      <c r="AH691" s="36"/>
      <c r="AI691" s="36"/>
    </row>
    <row r="692" spans="1:35" x14ac:dyDescent="0.35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2"/>
      <c r="AC692" s="42"/>
      <c r="AD692" s="42"/>
      <c r="AE692" s="43"/>
      <c r="AF692" s="23"/>
      <c r="AG692" s="36"/>
      <c r="AH692" s="36"/>
      <c r="AI692" s="36"/>
    </row>
    <row r="693" spans="1:35" x14ac:dyDescent="0.35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2"/>
      <c r="AC693" s="42"/>
      <c r="AD693" s="42"/>
      <c r="AE693" s="43"/>
      <c r="AF693" s="23"/>
      <c r="AG693" s="36"/>
      <c r="AH693" s="36"/>
      <c r="AI693" s="36"/>
    </row>
    <row r="694" spans="1:35" x14ac:dyDescent="0.35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2"/>
      <c r="AC694" s="42"/>
      <c r="AD694" s="42"/>
      <c r="AE694" s="43"/>
      <c r="AF694" s="23"/>
      <c r="AG694" s="36"/>
      <c r="AH694" s="36"/>
      <c r="AI694" s="36"/>
    </row>
    <row r="695" spans="1:35" x14ac:dyDescent="0.3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2"/>
      <c r="AC695" s="42"/>
      <c r="AD695" s="42"/>
      <c r="AE695" s="43"/>
      <c r="AF695" s="23"/>
      <c r="AG695" s="36"/>
      <c r="AH695" s="36"/>
      <c r="AI695" s="36"/>
    </row>
    <row r="696" spans="1:35" x14ac:dyDescent="0.35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2"/>
      <c r="AC696" s="42"/>
      <c r="AD696" s="42"/>
      <c r="AE696" s="43"/>
      <c r="AF696" s="23"/>
      <c r="AG696" s="36"/>
      <c r="AH696" s="36"/>
      <c r="AI696" s="36"/>
    </row>
    <row r="697" spans="1:35" x14ac:dyDescent="0.35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2"/>
      <c r="AC697" s="42"/>
      <c r="AD697" s="42"/>
      <c r="AE697" s="43"/>
      <c r="AF697" s="23"/>
      <c r="AG697" s="36"/>
      <c r="AH697" s="36"/>
      <c r="AI697" s="36"/>
    </row>
    <row r="698" spans="1:35" x14ac:dyDescent="0.35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2"/>
      <c r="AC698" s="42"/>
      <c r="AD698" s="42"/>
      <c r="AE698" s="43"/>
      <c r="AF698" s="23"/>
      <c r="AG698" s="36"/>
      <c r="AH698" s="36"/>
      <c r="AI698" s="36"/>
    </row>
    <row r="699" spans="1:35" x14ac:dyDescent="0.35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2"/>
      <c r="AC699" s="42"/>
      <c r="AD699" s="42"/>
      <c r="AE699" s="43"/>
      <c r="AF699" s="23"/>
      <c r="AG699" s="36"/>
      <c r="AH699" s="36"/>
      <c r="AI699" s="36"/>
    </row>
    <row r="700" spans="1:35" x14ac:dyDescent="0.35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2"/>
      <c r="AC700" s="42"/>
      <c r="AD700" s="42"/>
      <c r="AE700" s="43"/>
      <c r="AF700" s="23"/>
      <c r="AG700" s="36"/>
      <c r="AH700" s="36"/>
      <c r="AI700" s="36"/>
    </row>
    <row r="701" spans="1:35" x14ac:dyDescent="0.35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2"/>
      <c r="AC701" s="42"/>
      <c r="AD701" s="42"/>
      <c r="AE701" s="43"/>
      <c r="AF701" s="23"/>
      <c r="AG701" s="36"/>
      <c r="AH701" s="36"/>
      <c r="AI701" s="36"/>
    </row>
    <row r="702" spans="1:35" x14ac:dyDescent="0.35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2"/>
      <c r="AC702" s="42"/>
      <c r="AD702" s="42"/>
      <c r="AE702" s="43"/>
      <c r="AF702" s="23"/>
      <c r="AG702" s="36"/>
      <c r="AH702" s="36"/>
      <c r="AI702" s="36"/>
    </row>
    <row r="703" spans="1:35" x14ac:dyDescent="0.35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2"/>
      <c r="AC703" s="42"/>
      <c r="AD703" s="42"/>
      <c r="AE703" s="43"/>
      <c r="AF703" s="23"/>
      <c r="AG703" s="36"/>
      <c r="AH703" s="36"/>
      <c r="AI703" s="36"/>
    </row>
    <row r="704" spans="1:35" x14ac:dyDescent="0.35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2"/>
      <c r="AC704" s="42"/>
      <c r="AD704" s="42"/>
      <c r="AE704" s="43"/>
      <c r="AF704" s="23"/>
      <c r="AG704" s="36"/>
      <c r="AH704" s="36"/>
      <c r="AI704" s="36"/>
    </row>
    <row r="705" spans="1:35" x14ac:dyDescent="0.3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2"/>
      <c r="AC705" s="42"/>
      <c r="AD705" s="42"/>
      <c r="AE705" s="43"/>
      <c r="AF705" s="23"/>
      <c r="AG705" s="36"/>
      <c r="AH705" s="36"/>
      <c r="AI705" s="36"/>
    </row>
    <row r="706" spans="1:35" x14ac:dyDescent="0.35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2"/>
      <c r="AC706" s="42"/>
      <c r="AD706" s="42"/>
      <c r="AE706" s="43"/>
      <c r="AF706" s="23"/>
      <c r="AG706" s="36"/>
      <c r="AH706" s="36"/>
      <c r="AI706" s="36"/>
    </row>
    <row r="707" spans="1:35" x14ac:dyDescent="0.35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2"/>
      <c r="AC707" s="42"/>
      <c r="AD707" s="42"/>
      <c r="AE707" s="43"/>
      <c r="AF707" s="23"/>
      <c r="AG707" s="36"/>
      <c r="AH707" s="36"/>
      <c r="AI707" s="36"/>
    </row>
    <row r="708" spans="1:35" x14ac:dyDescent="0.35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2"/>
      <c r="AC708" s="42"/>
      <c r="AD708" s="42"/>
      <c r="AE708" s="43"/>
      <c r="AF708" s="23"/>
      <c r="AG708" s="36"/>
      <c r="AH708" s="36"/>
      <c r="AI708" s="36"/>
    </row>
    <row r="709" spans="1:35" x14ac:dyDescent="0.35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2"/>
      <c r="AC709" s="42"/>
      <c r="AD709" s="42"/>
      <c r="AE709" s="43"/>
      <c r="AF709" s="23"/>
      <c r="AG709" s="36"/>
      <c r="AH709" s="36"/>
      <c r="AI709" s="36"/>
    </row>
    <row r="710" spans="1:35" x14ac:dyDescent="0.35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2"/>
      <c r="AC710" s="42"/>
      <c r="AD710" s="42"/>
      <c r="AE710" s="43"/>
      <c r="AF710" s="23"/>
      <c r="AG710" s="36"/>
      <c r="AH710" s="36"/>
      <c r="AI710" s="36"/>
    </row>
    <row r="711" spans="1:35" x14ac:dyDescent="0.35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2"/>
      <c r="AC711" s="42"/>
      <c r="AD711" s="42"/>
      <c r="AE711" s="43"/>
      <c r="AF711" s="23"/>
      <c r="AG711" s="36"/>
      <c r="AH711" s="36"/>
      <c r="AI711" s="36"/>
    </row>
    <row r="712" spans="1:35" x14ac:dyDescent="0.35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2"/>
      <c r="AC712" s="42"/>
      <c r="AD712" s="42"/>
      <c r="AE712" s="43"/>
      <c r="AF712" s="23"/>
      <c r="AG712" s="36"/>
      <c r="AH712" s="36"/>
      <c r="AI712" s="36"/>
    </row>
    <row r="713" spans="1:35" x14ac:dyDescent="0.35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2"/>
      <c r="AC713" s="42"/>
      <c r="AD713" s="42"/>
      <c r="AE713" s="43"/>
      <c r="AF713" s="23"/>
      <c r="AG713" s="36"/>
      <c r="AH713" s="36"/>
      <c r="AI713" s="36"/>
    </row>
    <row r="714" spans="1:35" x14ac:dyDescent="0.35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2"/>
      <c r="AC714" s="42"/>
      <c r="AD714" s="42"/>
      <c r="AE714" s="43"/>
      <c r="AF714" s="23"/>
      <c r="AG714" s="36"/>
      <c r="AH714" s="36"/>
      <c r="AI714" s="36"/>
    </row>
    <row r="715" spans="1:35" x14ac:dyDescent="0.3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2"/>
      <c r="AC715" s="42"/>
      <c r="AD715" s="42"/>
      <c r="AE715" s="43"/>
      <c r="AF715" s="23"/>
      <c r="AG715" s="36"/>
      <c r="AH715" s="36"/>
      <c r="AI715" s="36"/>
    </row>
    <row r="716" spans="1:35" x14ac:dyDescent="0.35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2"/>
      <c r="AC716" s="42"/>
      <c r="AD716" s="42"/>
      <c r="AE716" s="43"/>
      <c r="AF716" s="23"/>
      <c r="AG716" s="36"/>
      <c r="AH716" s="36"/>
      <c r="AI716" s="36"/>
    </row>
    <row r="717" spans="1:35" x14ac:dyDescent="0.35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2"/>
      <c r="AC717" s="42"/>
      <c r="AD717" s="42"/>
      <c r="AE717" s="43"/>
      <c r="AF717" s="23"/>
      <c r="AG717" s="36"/>
      <c r="AH717" s="36"/>
      <c r="AI717" s="36"/>
    </row>
    <row r="718" spans="1:35" x14ac:dyDescent="0.35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2"/>
      <c r="AC718" s="42"/>
      <c r="AD718" s="42"/>
      <c r="AE718" s="43"/>
      <c r="AF718" s="23"/>
      <c r="AG718" s="36"/>
      <c r="AH718" s="36"/>
      <c r="AI718" s="36"/>
    </row>
    <row r="719" spans="1:35" x14ac:dyDescent="0.35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2"/>
      <c r="AC719" s="42"/>
      <c r="AD719" s="42"/>
      <c r="AE719" s="43"/>
      <c r="AF719" s="23"/>
      <c r="AG719" s="36"/>
      <c r="AH719" s="36"/>
      <c r="AI719" s="36"/>
    </row>
    <row r="720" spans="1:35" x14ac:dyDescent="0.35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2"/>
      <c r="AC720" s="42"/>
      <c r="AD720" s="42"/>
      <c r="AE720" s="43"/>
      <c r="AF720" s="23"/>
      <c r="AG720" s="36"/>
      <c r="AH720" s="36"/>
      <c r="AI720" s="36"/>
    </row>
    <row r="721" spans="1:35" x14ac:dyDescent="0.35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2"/>
      <c r="AC721" s="42"/>
      <c r="AD721" s="42"/>
      <c r="AE721" s="43"/>
      <c r="AF721" s="23"/>
      <c r="AG721" s="36"/>
      <c r="AH721" s="36"/>
      <c r="AI721" s="36"/>
    </row>
    <row r="722" spans="1:35" x14ac:dyDescent="0.35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2"/>
      <c r="AC722" s="42"/>
      <c r="AD722" s="42"/>
      <c r="AE722" s="43"/>
      <c r="AF722" s="23"/>
      <c r="AG722" s="36"/>
      <c r="AH722" s="36"/>
      <c r="AI722" s="36"/>
    </row>
    <row r="723" spans="1:35" x14ac:dyDescent="0.35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2"/>
      <c r="AC723" s="42"/>
      <c r="AD723" s="42"/>
      <c r="AE723" s="43"/>
      <c r="AF723" s="23"/>
      <c r="AG723" s="36"/>
      <c r="AH723" s="36"/>
      <c r="AI723" s="36"/>
    </row>
    <row r="724" spans="1:35" x14ac:dyDescent="0.35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2"/>
      <c r="AC724" s="42"/>
      <c r="AD724" s="42"/>
      <c r="AE724" s="43"/>
      <c r="AF724" s="23"/>
      <c r="AG724" s="36"/>
      <c r="AH724" s="36"/>
      <c r="AI724" s="36"/>
    </row>
    <row r="725" spans="1:35" x14ac:dyDescent="0.3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2"/>
      <c r="AC725" s="42"/>
      <c r="AD725" s="42"/>
      <c r="AE725" s="43"/>
      <c r="AF725" s="23"/>
      <c r="AG725" s="36"/>
      <c r="AH725" s="36"/>
      <c r="AI725" s="36"/>
    </row>
    <row r="726" spans="1:35" x14ac:dyDescent="0.35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2"/>
      <c r="AC726" s="42"/>
      <c r="AD726" s="42"/>
      <c r="AE726" s="43"/>
      <c r="AF726" s="23"/>
      <c r="AG726" s="36"/>
      <c r="AH726" s="36"/>
      <c r="AI726" s="36"/>
    </row>
    <row r="727" spans="1:35" x14ac:dyDescent="0.35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2"/>
      <c r="AC727" s="42"/>
      <c r="AD727" s="42"/>
      <c r="AE727" s="43"/>
      <c r="AF727" s="23"/>
      <c r="AG727" s="36"/>
      <c r="AH727" s="36"/>
      <c r="AI727" s="36"/>
    </row>
    <row r="728" spans="1:35" x14ac:dyDescent="0.35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2"/>
      <c r="AC728" s="42"/>
      <c r="AD728" s="42"/>
      <c r="AE728" s="43"/>
      <c r="AF728" s="23"/>
      <c r="AG728" s="36"/>
      <c r="AH728" s="36"/>
      <c r="AI728" s="36"/>
    </row>
    <row r="729" spans="1:35" x14ac:dyDescent="0.35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2"/>
      <c r="AC729" s="42"/>
      <c r="AD729" s="42"/>
      <c r="AE729" s="43"/>
      <c r="AF729" s="23"/>
      <c r="AG729" s="36"/>
      <c r="AH729" s="36"/>
      <c r="AI729" s="36"/>
    </row>
    <row r="730" spans="1:35" x14ac:dyDescent="0.35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2"/>
      <c r="AC730" s="42"/>
      <c r="AD730" s="42"/>
      <c r="AE730" s="43"/>
      <c r="AF730" s="23"/>
      <c r="AG730" s="36"/>
      <c r="AH730" s="36"/>
      <c r="AI730" s="36"/>
    </row>
    <row r="731" spans="1:35" x14ac:dyDescent="0.35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2"/>
      <c r="AC731" s="42"/>
      <c r="AD731" s="42"/>
      <c r="AE731" s="43"/>
      <c r="AF731" s="23"/>
      <c r="AG731" s="36"/>
      <c r="AH731" s="36"/>
      <c r="AI731" s="36"/>
    </row>
    <row r="732" spans="1:35" x14ac:dyDescent="0.35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2"/>
      <c r="AC732" s="42"/>
      <c r="AD732" s="42"/>
      <c r="AE732" s="43"/>
      <c r="AF732" s="23"/>
      <c r="AG732" s="36"/>
      <c r="AH732" s="36"/>
      <c r="AI732" s="36"/>
    </row>
    <row r="733" spans="1:35" x14ac:dyDescent="0.35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2"/>
      <c r="AC733" s="42"/>
      <c r="AD733" s="42"/>
      <c r="AE733" s="43"/>
      <c r="AF733" s="23"/>
      <c r="AG733" s="36"/>
      <c r="AH733" s="36"/>
      <c r="AI733" s="36"/>
    </row>
    <row r="734" spans="1:35" x14ac:dyDescent="0.35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2"/>
      <c r="AC734" s="42"/>
      <c r="AD734" s="42"/>
      <c r="AE734" s="43"/>
      <c r="AF734" s="23"/>
      <c r="AG734" s="36"/>
      <c r="AH734" s="36"/>
      <c r="AI734" s="36"/>
    </row>
    <row r="735" spans="1:35" x14ac:dyDescent="0.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2"/>
      <c r="AC735" s="42"/>
      <c r="AD735" s="42"/>
      <c r="AE735" s="43"/>
      <c r="AF735" s="23"/>
      <c r="AG735" s="36"/>
      <c r="AH735" s="36"/>
      <c r="AI735" s="36"/>
    </row>
    <row r="736" spans="1:35" x14ac:dyDescent="0.35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2"/>
      <c r="AC736" s="42"/>
      <c r="AD736" s="42"/>
      <c r="AE736" s="43"/>
      <c r="AF736" s="23"/>
      <c r="AG736" s="36"/>
      <c r="AH736" s="36"/>
      <c r="AI736" s="36"/>
    </row>
    <row r="737" spans="1:35" x14ac:dyDescent="0.35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2"/>
      <c r="AC737" s="42"/>
      <c r="AD737" s="42"/>
      <c r="AE737" s="43"/>
      <c r="AF737" s="23"/>
      <c r="AG737" s="36"/>
      <c r="AH737" s="36"/>
      <c r="AI737" s="36"/>
    </row>
    <row r="738" spans="1:35" x14ac:dyDescent="0.35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2"/>
      <c r="AC738" s="42"/>
      <c r="AD738" s="42"/>
      <c r="AE738" s="43"/>
      <c r="AF738" s="23"/>
      <c r="AG738" s="36"/>
      <c r="AH738" s="36"/>
      <c r="AI738" s="36"/>
    </row>
    <row r="739" spans="1:35" x14ac:dyDescent="0.35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2"/>
      <c r="AC739" s="42"/>
      <c r="AD739" s="42"/>
      <c r="AE739" s="43"/>
      <c r="AF739" s="23"/>
      <c r="AG739" s="36"/>
      <c r="AH739" s="36"/>
      <c r="AI739" s="36"/>
    </row>
    <row r="740" spans="1:35" x14ac:dyDescent="0.35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2"/>
      <c r="AC740" s="42"/>
      <c r="AD740" s="42"/>
      <c r="AE740" s="43"/>
      <c r="AF740" s="23"/>
      <c r="AG740" s="36"/>
      <c r="AH740" s="36"/>
      <c r="AI740" s="36"/>
    </row>
    <row r="741" spans="1:35" x14ac:dyDescent="0.35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2"/>
      <c r="AC741" s="42"/>
      <c r="AD741" s="42"/>
      <c r="AE741" s="43"/>
      <c r="AF741" s="23"/>
      <c r="AG741" s="36"/>
      <c r="AH741" s="36"/>
      <c r="AI741" s="36"/>
    </row>
    <row r="742" spans="1:35" x14ac:dyDescent="0.35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2"/>
      <c r="AC742" s="42"/>
      <c r="AD742" s="42"/>
      <c r="AE742" s="43"/>
      <c r="AF742" s="23"/>
      <c r="AG742" s="36"/>
      <c r="AH742" s="36"/>
      <c r="AI742" s="36"/>
    </row>
    <row r="743" spans="1:35" x14ac:dyDescent="0.35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2"/>
      <c r="AC743" s="42"/>
      <c r="AD743" s="42"/>
      <c r="AE743" s="43"/>
      <c r="AF743" s="23"/>
      <c r="AG743" s="36"/>
      <c r="AH743" s="36"/>
      <c r="AI743" s="36"/>
    </row>
    <row r="744" spans="1:35" x14ac:dyDescent="0.35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2"/>
      <c r="AC744" s="42"/>
      <c r="AD744" s="42"/>
      <c r="AE744" s="43"/>
      <c r="AF744" s="23"/>
      <c r="AG744" s="36"/>
      <c r="AH744" s="36"/>
      <c r="AI744" s="36"/>
    </row>
    <row r="745" spans="1:35" x14ac:dyDescent="0.3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2"/>
      <c r="AC745" s="42"/>
      <c r="AD745" s="42"/>
      <c r="AE745" s="43"/>
      <c r="AF745" s="23"/>
      <c r="AG745" s="36"/>
      <c r="AH745" s="36"/>
      <c r="AI745" s="36"/>
    </row>
    <row r="746" spans="1:35" x14ac:dyDescent="0.35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2"/>
      <c r="AC746" s="42"/>
      <c r="AD746" s="42"/>
      <c r="AE746" s="43"/>
      <c r="AF746" s="23"/>
      <c r="AG746" s="36"/>
      <c r="AH746" s="36"/>
      <c r="AI746" s="36"/>
    </row>
    <row r="747" spans="1:35" x14ac:dyDescent="0.35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2"/>
      <c r="AC747" s="42"/>
      <c r="AD747" s="42"/>
      <c r="AE747" s="43"/>
      <c r="AF747" s="23"/>
      <c r="AG747" s="36"/>
      <c r="AH747" s="36"/>
      <c r="AI747" s="36"/>
    </row>
    <row r="748" spans="1:35" x14ac:dyDescent="0.35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2"/>
      <c r="AC748" s="42"/>
      <c r="AD748" s="42"/>
      <c r="AE748" s="43"/>
      <c r="AF748" s="23"/>
      <c r="AG748" s="36"/>
      <c r="AH748" s="36"/>
      <c r="AI748" s="36"/>
    </row>
    <row r="749" spans="1:35" x14ac:dyDescent="0.35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2"/>
      <c r="AC749" s="42"/>
      <c r="AD749" s="42"/>
      <c r="AE749" s="43"/>
      <c r="AF749" s="23"/>
      <c r="AG749" s="36"/>
      <c r="AH749" s="36"/>
      <c r="AI749" s="36"/>
    </row>
    <row r="750" spans="1:35" x14ac:dyDescent="0.35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2"/>
      <c r="AC750" s="42"/>
      <c r="AD750" s="42"/>
      <c r="AE750" s="43"/>
      <c r="AF750" s="23"/>
      <c r="AG750" s="36"/>
      <c r="AH750" s="36"/>
      <c r="AI750" s="36"/>
    </row>
    <row r="751" spans="1:35" x14ac:dyDescent="0.35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2"/>
      <c r="AC751" s="42"/>
      <c r="AD751" s="42"/>
      <c r="AE751" s="43"/>
      <c r="AF751" s="23"/>
      <c r="AG751" s="36"/>
      <c r="AH751" s="36"/>
      <c r="AI751" s="36"/>
    </row>
    <row r="752" spans="1:35" x14ac:dyDescent="0.35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2"/>
      <c r="AC752" s="42"/>
      <c r="AD752" s="42"/>
      <c r="AE752" s="43"/>
      <c r="AF752" s="23"/>
      <c r="AG752" s="36"/>
      <c r="AH752" s="36"/>
      <c r="AI752" s="36"/>
    </row>
    <row r="753" spans="1:35" x14ac:dyDescent="0.35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2"/>
      <c r="AC753" s="42"/>
      <c r="AD753" s="42"/>
      <c r="AE753" s="43"/>
      <c r="AF753" s="23"/>
      <c r="AG753" s="36"/>
      <c r="AH753" s="36"/>
      <c r="AI753" s="36"/>
    </row>
    <row r="754" spans="1:35" x14ac:dyDescent="0.35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2"/>
      <c r="AC754" s="42"/>
      <c r="AD754" s="42"/>
      <c r="AE754" s="43"/>
      <c r="AF754" s="23"/>
      <c r="AG754" s="36"/>
      <c r="AH754" s="36"/>
      <c r="AI754" s="36"/>
    </row>
    <row r="755" spans="1:35" x14ac:dyDescent="0.3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2"/>
      <c r="AC755" s="42"/>
      <c r="AD755" s="42"/>
      <c r="AE755" s="43"/>
      <c r="AF755" s="23"/>
      <c r="AG755" s="36"/>
      <c r="AH755" s="36"/>
      <c r="AI755" s="36"/>
    </row>
    <row r="756" spans="1:35" x14ac:dyDescent="0.35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2"/>
      <c r="AC756" s="42"/>
      <c r="AD756" s="42"/>
      <c r="AE756" s="43"/>
      <c r="AF756" s="23"/>
      <c r="AG756" s="36"/>
      <c r="AH756" s="36"/>
      <c r="AI756" s="36"/>
    </row>
    <row r="757" spans="1:35" x14ac:dyDescent="0.35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2"/>
      <c r="AC757" s="42"/>
      <c r="AD757" s="42"/>
      <c r="AE757" s="43"/>
      <c r="AF757" s="23"/>
      <c r="AG757" s="36"/>
      <c r="AH757" s="36"/>
      <c r="AI757" s="36"/>
    </row>
    <row r="758" spans="1:35" x14ac:dyDescent="0.35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2"/>
      <c r="AC758" s="42"/>
      <c r="AD758" s="42"/>
      <c r="AE758" s="43"/>
      <c r="AF758" s="23"/>
      <c r="AG758" s="36"/>
      <c r="AH758" s="36"/>
      <c r="AI758" s="36"/>
    </row>
    <row r="759" spans="1:35" x14ac:dyDescent="0.35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2"/>
      <c r="AC759" s="42"/>
      <c r="AD759" s="42"/>
      <c r="AE759" s="43"/>
      <c r="AF759" s="23"/>
      <c r="AG759" s="36"/>
      <c r="AH759" s="36"/>
      <c r="AI759" s="36"/>
    </row>
    <row r="760" spans="1:35" x14ac:dyDescent="0.35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2"/>
      <c r="AC760" s="42"/>
      <c r="AD760" s="42"/>
      <c r="AE760" s="43"/>
      <c r="AF760" s="23"/>
      <c r="AG760" s="36"/>
      <c r="AH760" s="36"/>
      <c r="AI760" s="36"/>
    </row>
    <row r="761" spans="1:35" x14ac:dyDescent="0.35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2"/>
      <c r="AC761" s="42"/>
      <c r="AD761" s="42"/>
      <c r="AE761" s="43"/>
      <c r="AF761" s="23"/>
      <c r="AG761" s="36"/>
      <c r="AH761" s="36"/>
      <c r="AI761" s="36"/>
    </row>
    <row r="762" spans="1:35" x14ac:dyDescent="0.35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2"/>
      <c r="AC762" s="42"/>
      <c r="AD762" s="42"/>
      <c r="AE762" s="43"/>
      <c r="AF762" s="23"/>
      <c r="AG762" s="36"/>
      <c r="AH762" s="36"/>
      <c r="AI762" s="36"/>
    </row>
    <row r="763" spans="1:35" x14ac:dyDescent="0.35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2"/>
      <c r="AC763" s="42"/>
      <c r="AD763" s="42"/>
      <c r="AE763" s="43"/>
      <c r="AF763" s="23"/>
      <c r="AG763" s="36"/>
      <c r="AH763" s="36"/>
      <c r="AI763" s="36"/>
    </row>
    <row r="764" spans="1:35" x14ac:dyDescent="0.35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2"/>
      <c r="AC764" s="42"/>
      <c r="AD764" s="42"/>
      <c r="AE764" s="43"/>
      <c r="AF764" s="23"/>
      <c r="AG764" s="36"/>
      <c r="AH764" s="36"/>
      <c r="AI764" s="36"/>
    </row>
    <row r="765" spans="1:35" x14ac:dyDescent="0.3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2"/>
      <c r="AC765" s="42"/>
      <c r="AD765" s="42"/>
      <c r="AE765" s="43"/>
      <c r="AF765" s="23"/>
      <c r="AG765" s="36"/>
      <c r="AH765" s="36"/>
      <c r="AI765" s="36"/>
    </row>
    <row r="766" spans="1:35" x14ac:dyDescent="0.35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2"/>
      <c r="AC766" s="42"/>
      <c r="AD766" s="42"/>
      <c r="AE766" s="43"/>
      <c r="AF766" s="23"/>
      <c r="AG766" s="36"/>
      <c r="AH766" s="36"/>
      <c r="AI766" s="36"/>
    </row>
    <row r="767" spans="1:35" x14ac:dyDescent="0.35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2"/>
      <c r="AC767" s="42"/>
      <c r="AD767" s="42"/>
      <c r="AE767" s="43"/>
      <c r="AF767" s="23"/>
      <c r="AG767" s="36"/>
      <c r="AH767" s="36"/>
      <c r="AI767" s="36"/>
    </row>
    <row r="768" spans="1:35" x14ac:dyDescent="0.35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2"/>
      <c r="AC768" s="42"/>
      <c r="AD768" s="42"/>
      <c r="AE768" s="43"/>
      <c r="AF768" s="23"/>
      <c r="AG768" s="36"/>
      <c r="AH768" s="36"/>
      <c r="AI768" s="36"/>
    </row>
    <row r="769" spans="1:35" x14ac:dyDescent="0.35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2"/>
      <c r="AC769" s="42"/>
      <c r="AD769" s="42"/>
      <c r="AE769" s="43"/>
      <c r="AF769" s="23"/>
      <c r="AG769" s="36"/>
      <c r="AH769" s="36"/>
      <c r="AI769" s="36"/>
    </row>
    <row r="770" spans="1:35" x14ac:dyDescent="0.35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2"/>
      <c r="AC770" s="42"/>
      <c r="AD770" s="42"/>
      <c r="AE770" s="43"/>
      <c r="AF770" s="23"/>
      <c r="AG770" s="36"/>
      <c r="AH770" s="36"/>
      <c r="AI770" s="36"/>
    </row>
    <row r="771" spans="1:35" x14ac:dyDescent="0.35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2"/>
      <c r="AC771" s="42"/>
      <c r="AD771" s="42"/>
      <c r="AE771" s="43"/>
      <c r="AF771" s="23"/>
      <c r="AG771" s="36"/>
      <c r="AH771" s="36"/>
      <c r="AI771" s="36"/>
    </row>
    <row r="772" spans="1:35" x14ac:dyDescent="0.35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2"/>
      <c r="AC772" s="42"/>
      <c r="AD772" s="42"/>
      <c r="AE772" s="43"/>
      <c r="AF772" s="23"/>
      <c r="AG772" s="36"/>
      <c r="AH772" s="36"/>
      <c r="AI772" s="36"/>
    </row>
    <row r="773" spans="1:35" x14ac:dyDescent="0.35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2"/>
      <c r="AC773" s="42"/>
      <c r="AD773" s="42"/>
      <c r="AE773" s="43"/>
      <c r="AF773" s="23"/>
      <c r="AG773" s="36"/>
      <c r="AH773" s="36"/>
      <c r="AI773" s="36"/>
    </row>
    <row r="774" spans="1:35" x14ac:dyDescent="0.35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2"/>
      <c r="AC774" s="42"/>
      <c r="AD774" s="42"/>
      <c r="AE774" s="43"/>
      <c r="AF774" s="23"/>
      <c r="AG774" s="36"/>
      <c r="AH774" s="36"/>
      <c r="AI774" s="36"/>
    </row>
    <row r="775" spans="1:35" x14ac:dyDescent="0.3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2"/>
      <c r="AC775" s="42"/>
      <c r="AD775" s="42"/>
      <c r="AE775" s="43"/>
      <c r="AF775" s="23"/>
      <c r="AG775" s="36"/>
      <c r="AH775" s="36"/>
      <c r="AI775" s="36"/>
    </row>
    <row r="776" spans="1:35" x14ac:dyDescent="0.35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2"/>
      <c r="AC776" s="42"/>
      <c r="AD776" s="42"/>
      <c r="AE776" s="43"/>
      <c r="AF776" s="23"/>
      <c r="AG776" s="36"/>
      <c r="AH776" s="36"/>
      <c r="AI776" s="36"/>
    </row>
    <row r="777" spans="1:35" x14ac:dyDescent="0.35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2"/>
      <c r="AC777" s="42"/>
      <c r="AD777" s="42"/>
      <c r="AE777" s="43"/>
      <c r="AF777" s="23"/>
      <c r="AG777" s="36"/>
      <c r="AH777" s="36"/>
      <c r="AI777" s="36"/>
    </row>
    <row r="778" spans="1:35" x14ac:dyDescent="0.35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2"/>
      <c r="AC778" s="42"/>
      <c r="AD778" s="42"/>
      <c r="AE778" s="43"/>
      <c r="AF778" s="23"/>
      <c r="AG778" s="36"/>
      <c r="AH778" s="36"/>
      <c r="AI778" s="36"/>
    </row>
    <row r="779" spans="1:35" x14ac:dyDescent="0.35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2"/>
      <c r="AC779" s="42"/>
      <c r="AD779" s="42"/>
      <c r="AE779" s="43"/>
      <c r="AF779" s="23"/>
      <c r="AG779" s="36"/>
      <c r="AH779" s="36"/>
      <c r="AI779" s="36"/>
    </row>
    <row r="780" spans="1:35" x14ac:dyDescent="0.35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2"/>
      <c r="AC780" s="42"/>
      <c r="AD780" s="42"/>
      <c r="AE780" s="43"/>
      <c r="AF780" s="23"/>
      <c r="AG780" s="36"/>
      <c r="AH780" s="36"/>
      <c r="AI780" s="36"/>
    </row>
    <row r="781" spans="1:35" x14ac:dyDescent="0.35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2"/>
      <c r="AC781" s="42"/>
      <c r="AD781" s="42"/>
      <c r="AE781" s="43"/>
      <c r="AF781" s="23"/>
      <c r="AG781" s="36"/>
      <c r="AH781" s="36"/>
      <c r="AI781" s="36"/>
    </row>
    <row r="782" spans="1:35" x14ac:dyDescent="0.35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2"/>
      <c r="AC782" s="42"/>
      <c r="AD782" s="42"/>
      <c r="AE782" s="43"/>
      <c r="AF782" s="23"/>
      <c r="AG782" s="36"/>
      <c r="AH782" s="36"/>
      <c r="AI782" s="36"/>
    </row>
    <row r="783" spans="1:35" x14ac:dyDescent="0.35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2"/>
      <c r="AC783" s="42"/>
      <c r="AD783" s="42"/>
      <c r="AE783" s="43"/>
      <c r="AF783" s="23"/>
      <c r="AG783" s="36"/>
      <c r="AH783" s="36"/>
      <c r="AI783" s="36"/>
    </row>
    <row r="784" spans="1:35" x14ac:dyDescent="0.35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2"/>
      <c r="AC784" s="42"/>
      <c r="AD784" s="42"/>
      <c r="AE784" s="43"/>
      <c r="AF784" s="23"/>
      <c r="AG784" s="36"/>
      <c r="AH784" s="36"/>
      <c r="AI784" s="36"/>
    </row>
    <row r="785" spans="1:35" x14ac:dyDescent="0.3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2"/>
      <c r="AC785" s="42"/>
      <c r="AD785" s="42"/>
      <c r="AE785" s="43"/>
      <c r="AF785" s="23"/>
      <c r="AG785" s="36"/>
      <c r="AH785" s="36"/>
      <c r="AI785" s="36"/>
    </row>
    <row r="786" spans="1:35" x14ac:dyDescent="0.35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2"/>
      <c r="AC786" s="42"/>
      <c r="AD786" s="42"/>
      <c r="AE786" s="43"/>
      <c r="AF786" s="23"/>
      <c r="AG786" s="36"/>
      <c r="AH786" s="36"/>
      <c r="AI786" s="36"/>
    </row>
    <row r="787" spans="1:35" x14ac:dyDescent="0.35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2"/>
      <c r="AC787" s="42"/>
      <c r="AD787" s="42"/>
      <c r="AE787" s="43"/>
      <c r="AF787" s="23"/>
      <c r="AG787" s="36"/>
      <c r="AH787" s="36"/>
      <c r="AI787" s="36"/>
    </row>
    <row r="788" spans="1:35" x14ac:dyDescent="0.35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2"/>
      <c r="AC788" s="42"/>
      <c r="AD788" s="42"/>
      <c r="AE788" s="43"/>
      <c r="AF788" s="23"/>
      <c r="AG788" s="36"/>
      <c r="AH788" s="36"/>
      <c r="AI788" s="36"/>
    </row>
    <row r="789" spans="1:35" x14ac:dyDescent="0.35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2"/>
      <c r="AC789" s="42"/>
      <c r="AD789" s="42"/>
      <c r="AE789" s="43"/>
      <c r="AF789" s="23"/>
      <c r="AG789" s="36"/>
      <c r="AH789" s="36"/>
      <c r="AI789" s="36"/>
    </row>
    <row r="790" spans="1:35" x14ac:dyDescent="0.35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2"/>
      <c r="AC790" s="42"/>
      <c r="AD790" s="42"/>
      <c r="AE790" s="43"/>
      <c r="AF790" s="23"/>
      <c r="AG790" s="36"/>
      <c r="AH790" s="36"/>
      <c r="AI790" s="36"/>
    </row>
    <row r="791" spans="1:35" x14ac:dyDescent="0.35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2"/>
      <c r="AC791" s="42"/>
      <c r="AD791" s="42"/>
      <c r="AE791" s="43"/>
      <c r="AF791" s="23"/>
      <c r="AG791" s="36"/>
      <c r="AH791" s="36"/>
      <c r="AI791" s="36"/>
    </row>
    <row r="792" spans="1:35" x14ac:dyDescent="0.35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2"/>
      <c r="AC792" s="42"/>
      <c r="AD792" s="42"/>
      <c r="AE792" s="43"/>
      <c r="AF792" s="23"/>
      <c r="AG792" s="36"/>
      <c r="AH792" s="36"/>
      <c r="AI792" s="36"/>
    </row>
    <row r="793" spans="1:35" x14ac:dyDescent="0.35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2"/>
      <c r="AC793" s="42"/>
      <c r="AD793" s="42"/>
      <c r="AE793" s="43"/>
      <c r="AF793" s="23"/>
      <c r="AG793" s="36"/>
      <c r="AH793" s="36"/>
      <c r="AI793" s="36"/>
    </row>
    <row r="794" spans="1:35" x14ac:dyDescent="0.35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2"/>
      <c r="AC794" s="42"/>
      <c r="AD794" s="42"/>
      <c r="AE794" s="43"/>
      <c r="AF794" s="23"/>
      <c r="AG794" s="36"/>
      <c r="AH794" s="36"/>
      <c r="AI794" s="36"/>
    </row>
    <row r="795" spans="1:35" x14ac:dyDescent="0.3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2"/>
      <c r="AC795" s="42"/>
      <c r="AD795" s="42"/>
      <c r="AE795" s="43"/>
      <c r="AF795" s="23"/>
      <c r="AG795" s="36"/>
      <c r="AH795" s="36"/>
      <c r="AI795" s="36"/>
    </row>
    <row r="796" spans="1:35" x14ac:dyDescent="0.35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2"/>
      <c r="AC796" s="42"/>
      <c r="AD796" s="42"/>
      <c r="AE796" s="43"/>
      <c r="AF796" s="23"/>
      <c r="AG796" s="36"/>
      <c r="AH796" s="36"/>
      <c r="AI796" s="36"/>
    </row>
    <row r="797" spans="1:35" x14ac:dyDescent="0.35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2"/>
      <c r="AC797" s="42"/>
      <c r="AD797" s="42"/>
      <c r="AE797" s="43"/>
      <c r="AF797" s="23"/>
      <c r="AG797" s="36"/>
      <c r="AH797" s="36"/>
      <c r="AI797" s="36"/>
    </row>
    <row r="798" spans="1:35" x14ac:dyDescent="0.35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2"/>
      <c r="AC798" s="42"/>
      <c r="AD798" s="42"/>
      <c r="AE798" s="43"/>
      <c r="AF798" s="23"/>
      <c r="AG798" s="36"/>
      <c r="AH798" s="36"/>
      <c r="AI798" s="36"/>
    </row>
    <row r="799" spans="1:35" x14ac:dyDescent="0.35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2"/>
      <c r="AC799" s="42"/>
      <c r="AD799" s="42"/>
      <c r="AE799" s="43"/>
      <c r="AF799" s="23"/>
      <c r="AG799" s="36"/>
      <c r="AH799" s="36"/>
      <c r="AI799" s="36"/>
    </row>
    <row r="800" spans="1:35" x14ac:dyDescent="0.35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2"/>
      <c r="AC800" s="42"/>
      <c r="AD800" s="42"/>
      <c r="AE800" s="43"/>
      <c r="AF800" s="23"/>
      <c r="AG800" s="36"/>
      <c r="AH800" s="36"/>
      <c r="AI800" s="36"/>
    </row>
    <row r="801" spans="1:35" x14ac:dyDescent="0.35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2"/>
      <c r="AC801" s="42"/>
      <c r="AD801" s="42"/>
      <c r="AE801" s="43"/>
      <c r="AF801" s="23"/>
      <c r="AG801" s="36"/>
      <c r="AH801" s="36"/>
      <c r="AI801" s="36"/>
    </row>
    <row r="802" spans="1:35" x14ac:dyDescent="0.35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2"/>
      <c r="AC802" s="42"/>
      <c r="AD802" s="42"/>
      <c r="AE802" s="43"/>
      <c r="AF802" s="23"/>
      <c r="AG802" s="36"/>
      <c r="AH802" s="36"/>
      <c r="AI802" s="36"/>
    </row>
    <row r="803" spans="1:35" x14ac:dyDescent="0.35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2"/>
      <c r="AC803" s="42"/>
      <c r="AD803" s="42"/>
      <c r="AE803" s="43"/>
      <c r="AF803" s="23"/>
      <c r="AG803" s="36"/>
      <c r="AH803" s="36"/>
      <c r="AI803" s="36"/>
    </row>
    <row r="804" spans="1:35" x14ac:dyDescent="0.35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2"/>
      <c r="AC804" s="42"/>
      <c r="AD804" s="42"/>
      <c r="AE804" s="43"/>
      <c r="AF804" s="23"/>
      <c r="AG804" s="36"/>
      <c r="AH804" s="36"/>
      <c r="AI804" s="36"/>
    </row>
    <row r="805" spans="1:35" x14ac:dyDescent="0.3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2"/>
      <c r="AC805" s="42"/>
      <c r="AD805" s="42"/>
      <c r="AE805" s="43"/>
      <c r="AF805" s="23"/>
      <c r="AG805" s="36"/>
      <c r="AH805" s="36"/>
      <c r="AI805" s="36"/>
    </row>
    <row r="806" spans="1:35" x14ac:dyDescent="0.35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2"/>
      <c r="AC806" s="42"/>
      <c r="AD806" s="42"/>
      <c r="AE806" s="43"/>
      <c r="AF806" s="23"/>
      <c r="AG806" s="36"/>
      <c r="AH806" s="36"/>
      <c r="AI806" s="36"/>
    </row>
    <row r="807" spans="1:35" x14ac:dyDescent="0.35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2"/>
      <c r="AC807" s="42"/>
      <c r="AD807" s="42"/>
      <c r="AE807" s="43"/>
      <c r="AF807" s="23"/>
      <c r="AG807" s="36"/>
      <c r="AH807" s="36"/>
      <c r="AI807" s="36"/>
    </row>
    <row r="808" spans="1:35" x14ac:dyDescent="0.35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2"/>
      <c r="AC808" s="42"/>
      <c r="AD808" s="42"/>
      <c r="AE808" s="43"/>
      <c r="AF808" s="23"/>
      <c r="AG808" s="36"/>
      <c r="AH808" s="36"/>
      <c r="AI808" s="36"/>
    </row>
    <row r="809" spans="1:35" x14ac:dyDescent="0.35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2"/>
      <c r="AC809" s="42"/>
      <c r="AD809" s="42"/>
      <c r="AE809" s="43"/>
      <c r="AF809" s="23"/>
      <c r="AG809" s="36"/>
      <c r="AH809" s="36"/>
      <c r="AI809" s="36"/>
    </row>
    <row r="810" spans="1:35" x14ac:dyDescent="0.35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2"/>
      <c r="AC810" s="42"/>
      <c r="AD810" s="42"/>
      <c r="AE810" s="43"/>
      <c r="AF810" s="23"/>
      <c r="AG810" s="36"/>
      <c r="AH810" s="36"/>
      <c r="AI810" s="36"/>
    </row>
    <row r="811" spans="1:35" x14ac:dyDescent="0.35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2"/>
      <c r="AC811" s="42"/>
      <c r="AD811" s="42"/>
      <c r="AE811" s="43"/>
      <c r="AF811" s="23"/>
      <c r="AG811" s="36"/>
      <c r="AH811" s="36"/>
      <c r="AI811" s="36"/>
    </row>
    <row r="812" spans="1:35" x14ac:dyDescent="0.35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2"/>
      <c r="AC812" s="42"/>
      <c r="AD812" s="42"/>
      <c r="AE812" s="43"/>
      <c r="AF812" s="23"/>
      <c r="AG812" s="36"/>
      <c r="AH812" s="36"/>
      <c r="AI812" s="36"/>
    </row>
    <row r="813" spans="1:35" x14ac:dyDescent="0.35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2"/>
      <c r="AC813" s="42"/>
      <c r="AD813" s="42"/>
      <c r="AE813" s="43"/>
      <c r="AF813" s="23"/>
      <c r="AG813" s="36"/>
      <c r="AH813" s="36"/>
      <c r="AI813" s="36"/>
    </row>
    <row r="814" spans="1:35" x14ac:dyDescent="0.35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2"/>
      <c r="AC814" s="42"/>
      <c r="AD814" s="42"/>
      <c r="AE814" s="43"/>
      <c r="AF814" s="23"/>
      <c r="AG814" s="36"/>
      <c r="AH814" s="36"/>
      <c r="AI814" s="36"/>
    </row>
    <row r="815" spans="1:35" x14ac:dyDescent="0.3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2"/>
      <c r="AC815" s="42"/>
      <c r="AD815" s="42"/>
      <c r="AE815" s="43"/>
      <c r="AF815" s="23"/>
      <c r="AG815" s="36"/>
      <c r="AH815" s="36"/>
      <c r="AI815" s="36"/>
    </row>
    <row r="816" spans="1:35" x14ac:dyDescent="0.35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2"/>
      <c r="AC816" s="42"/>
      <c r="AD816" s="42"/>
      <c r="AE816" s="43"/>
      <c r="AF816" s="23"/>
      <c r="AG816" s="36"/>
      <c r="AH816" s="36"/>
      <c r="AI816" s="36"/>
    </row>
    <row r="817" spans="1:35" x14ac:dyDescent="0.35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2"/>
      <c r="AC817" s="42"/>
      <c r="AD817" s="42"/>
      <c r="AE817" s="43"/>
      <c r="AF817" s="23"/>
      <c r="AG817" s="36"/>
      <c r="AH817" s="36"/>
      <c r="AI817" s="36"/>
    </row>
    <row r="818" spans="1:35" x14ac:dyDescent="0.35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2"/>
      <c r="AC818" s="42"/>
      <c r="AD818" s="42"/>
      <c r="AE818" s="43"/>
      <c r="AF818" s="23"/>
      <c r="AG818" s="36"/>
      <c r="AH818" s="36"/>
      <c r="AI818" s="36"/>
    </row>
    <row r="819" spans="1:35" x14ac:dyDescent="0.35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2"/>
      <c r="AC819" s="42"/>
      <c r="AD819" s="42"/>
      <c r="AE819" s="43"/>
      <c r="AF819" s="23"/>
      <c r="AG819" s="36"/>
      <c r="AH819" s="36"/>
      <c r="AI819" s="36"/>
    </row>
    <row r="820" spans="1:35" x14ac:dyDescent="0.35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2"/>
      <c r="AC820" s="42"/>
      <c r="AD820" s="42"/>
      <c r="AE820" s="43"/>
      <c r="AF820" s="23"/>
      <c r="AG820" s="36"/>
      <c r="AH820" s="36"/>
      <c r="AI820" s="36"/>
    </row>
    <row r="821" spans="1:35" x14ac:dyDescent="0.35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2"/>
      <c r="AC821" s="42"/>
      <c r="AD821" s="42"/>
      <c r="AE821" s="43"/>
      <c r="AF821" s="23"/>
      <c r="AG821" s="36"/>
      <c r="AH821" s="36"/>
      <c r="AI821" s="36"/>
    </row>
    <row r="822" spans="1:35" x14ac:dyDescent="0.35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2"/>
      <c r="AC822" s="42"/>
      <c r="AD822" s="42"/>
      <c r="AE822" s="43"/>
      <c r="AF822" s="23"/>
      <c r="AG822" s="36"/>
      <c r="AH822" s="36"/>
      <c r="AI822" s="36"/>
    </row>
    <row r="823" spans="1:35" x14ac:dyDescent="0.35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2"/>
      <c r="AC823" s="42"/>
      <c r="AD823" s="42"/>
      <c r="AE823" s="43"/>
      <c r="AF823" s="23"/>
      <c r="AG823" s="36"/>
      <c r="AH823" s="36"/>
      <c r="AI823" s="36"/>
    </row>
    <row r="824" spans="1:35" x14ac:dyDescent="0.35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2"/>
      <c r="AC824" s="42"/>
      <c r="AD824" s="42"/>
      <c r="AE824" s="43"/>
      <c r="AF824" s="23"/>
      <c r="AG824" s="36"/>
      <c r="AH824" s="36"/>
      <c r="AI824" s="36"/>
    </row>
    <row r="825" spans="1:35" x14ac:dyDescent="0.3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2"/>
      <c r="AC825" s="42"/>
      <c r="AD825" s="42"/>
      <c r="AE825" s="43"/>
      <c r="AF825" s="23"/>
      <c r="AG825" s="36"/>
      <c r="AH825" s="36"/>
      <c r="AI825" s="36"/>
    </row>
    <row r="826" spans="1:35" x14ac:dyDescent="0.35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2"/>
      <c r="AC826" s="42"/>
      <c r="AD826" s="42"/>
      <c r="AE826" s="43"/>
      <c r="AF826" s="23"/>
      <c r="AG826" s="36"/>
      <c r="AH826" s="36"/>
      <c r="AI826" s="36"/>
    </row>
    <row r="827" spans="1:35" x14ac:dyDescent="0.35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2"/>
      <c r="AC827" s="42"/>
      <c r="AD827" s="42"/>
      <c r="AE827" s="43"/>
      <c r="AF827" s="23"/>
      <c r="AG827" s="36"/>
      <c r="AH827" s="36"/>
      <c r="AI827" s="36"/>
    </row>
    <row r="828" spans="1:35" x14ac:dyDescent="0.35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2"/>
      <c r="AC828" s="42"/>
      <c r="AD828" s="42"/>
      <c r="AE828" s="43"/>
      <c r="AF828" s="23"/>
      <c r="AG828" s="36"/>
      <c r="AH828" s="36"/>
      <c r="AI828" s="36"/>
    </row>
    <row r="829" spans="1:35" x14ac:dyDescent="0.35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2"/>
      <c r="AC829" s="42"/>
      <c r="AD829" s="42"/>
      <c r="AE829" s="43"/>
      <c r="AF829" s="23"/>
      <c r="AG829" s="36"/>
      <c r="AH829" s="36"/>
      <c r="AI829" s="36"/>
    </row>
    <row r="830" spans="1:35" x14ac:dyDescent="0.35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2"/>
      <c r="AC830" s="42"/>
      <c r="AD830" s="42"/>
      <c r="AE830" s="43"/>
      <c r="AF830" s="23"/>
      <c r="AG830" s="36"/>
      <c r="AH830" s="36"/>
      <c r="AI830" s="36"/>
    </row>
    <row r="831" spans="1:35" x14ac:dyDescent="0.35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2"/>
      <c r="AC831" s="42"/>
      <c r="AD831" s="42"/>
      <c r="AE831" s="43"/>
      <c r="AF831" s="23"/>
      <c r="AG831" s="36"/>
      <c r="AH831" s="36"/>
      <c r="AI831" s="36"/>
    </row>
    <row r="832" spans="1:35" x14ac:dyDescent="0.35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2"/>
      <c r="AC832" s="42"/>
      <c r="AD832" s="42"/>
      <c r="AE832" s="43"/>
      <c r="AF832" s="23"/>
      <c r="AG832" s="36"/>
      <c r="AH832" s="36"/>
      <c r="AI832" s="36"/>
    </row>
    <row r="833" spans="1:35" x14ac:dyDescent="0.35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2"/>
      <c r="AC833" s="42"/>
      <c r="AD833" s="42"/>
      <c r="AE833" s="43"/>
      <c r="AF833" s="23"/>
      <c r="AG833" s="36"/>
      <c r="AH833" s="36"/>
      <c r="AI833" s="36"/>
    </row>
    <row r="834" spans="1:35" x14ac:dyDescent="0.35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2"/>
      <c r="AC834" s="42"/>
      <c r="AD834" s="42"/>
      <c r="AE834" s="43"/>
      <c r="AF834" s="23"/>
      <c r="AG834" s="36"/>
      <c r="AH834" s="36"/>
      <c r="AI834" s="36"/>
    </row>
    <row r="835" spans="1:35" x14ac:dyDescent="0.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2"/>
      <c r="AC835" s="42"/>
      <c r="AD835" s="42"/>
      <c r="AE835" s="43"/>
      <c r="AF835" s="23"/>
      <c r="AG835" s="36"/>
      <c r="AH835" s="36"/>
      <c r="AI835" s="36"/>
    </row>
    <row r="836" spans="1:35" x14ac:dyDescent="0.35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2"/>
      <c r="AC836" s="42"/>
      <c r="AD836" s="42"/>
      <c r="AE836" s="43"/>
      <c r="AF836" s="23"/>
      <c r="AG836" s="36"/>
      <c r="AH836" s="36"/>
      <c r="AI836" s="36"/>
    </row>
    <row r="837" spans="1:35" x14ac:dyDescent="0.35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2"/>
      <c r="AC837" s="42"/>
      <c r="AD837" s="42"/>
      <c r="AE837" s="43"/>
      <c r="AF837" s="23"/>
      <c r="AG837" s="36"/>
      <c r="AH837" s="36"/>
      <c r="AI837" s="36"/>
    </row>
    <row r="838" spans="1:35" x14ac:dyDescent="0.35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2"/>
      <c r="AC838" s="42"/>
      <c r="AD838" s="42"/>
      <c r="AE838" s="43"/>
      <c r="AF838" s="23"/>
      <c r="AG838" s="36"/>
      <c r="AH838" s="36"/>
      <c r="AI838" s="36"/>
    </row>
    <row r="839" spans="1:35" x14ac:dyDescent="0.35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2"/>
      <c r="AC839" s="42"/>
      <c r="AD839" s="42"/>
      <c r="AE839" s="43"/>
      <c r="AF839" s="23"/>
      <c r="AG839" s="36"/>
      <c r="AH839" s="36"/>
      <c r="AI839" s="36"/>
    </row>
    <row r="840" spans="1:35" x14ac:dyDescent="0.35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2"/>
      <c r="AC840" s="42"/>
      <c r="AD840" s="42"/>
      <c r="AE840" s="43"/>
      <c r="AF840" s="23"/>
      <c r="AG840" s="36"/>
      <c r="AH840" s="36"/>
      <c r="AI840" s="36"/>
    </row>
    <row r="841" spans="1:35" x14ac:dyDescent="0.35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2"/>
      <c r="AC841" s="42"/>
      <c r="AD841" s="42"/>
      <c r="AE841" s="43"/>
      <c r="AF841" s="23"/>
      <c r="AG841" s="36"/>
      <c r="AH841" s="36"/>
      <c r="AI841" s="36"/>
    </row>
    <row r="842" spans="1:35" x14ac:dyDescent="0.35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2"/>
      <c r="AC842" s="42"/>
      <c r="AD842" s="42"/>
      <c r="AE842" s="43"/>
      <c r="AF842" s="23"/>
      <c r="AG842" s="36"/>
      <c r="AH842" s="36"/>
      <c r="AI842" s="36"/>
    </row>
    <row r="843" spans="1:35" x14ac:dyDescent="0.35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2"/>
      <c r="AC843" s="42"/>
      <c r="AD843" s="42"/>
      <c r="AE843" s="43"/>
      <c r="AF843" s="23"/>
      <c r="AG843" s="36"/>
      <c r="AH843" s="36"/>
      <c r="AI843" s="36"/>
    </row>
    <row r="844" spans="1:35" x14ac:dyDescent="0.35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2"/>
      <c r="AC844" s="42"/>
      <c r="AD844" s="42"/>
      <c r="AE844" s="43"/>
      <c r="AF844" s="23"/>
      <c r="AG844" s="36"/>
      <c r="AH844" s="36"/>
      <c r="AI844" s="36"/>
    </row>
    <row r="845" spans="1:35" x14ac:dyDescent="0.3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2"/>
      <c r="AC845" s="42"/>
      <c r="AD845" s="42"/>
      <c r="AE845" s="43"/>
      <c r="AF845" s="23"/>
      <c r="AG845" s="36"/>
      <c r="AH845" s="36"/>
      <c r="AI845" s="36"/>
    </row>
    <row r="846" spans="1:35" x14ac:dyDescent="0.35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2"/>
      <c r="AC846" s="42"/>
      <c r="AD846" s="42"/>
      <c r="AE846" s="43"/>
      <c r="AF846" s="23"/>
      <c r="AG846" s="36"/>
      <c r="AH846" s="36"/>
      <c r="AI846" s="36"/>
    </row>
    <row r="847" spans="1:35" x14ac:dyDescent="0.35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2"/>
      <c r="AC847" s="42"/>
      <c r="AD847" s="42"/>
      <c r="AE847" s="43"/>
      <c r="AF847" s="23"/>
      <c r="AG847" s="36"/>
      <c r="AH847" s="36"/>
      <c r="AI847" s="36"/>
    </row>
    <row r="848" spans="1:35" x14ac:dyDescent="0.35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2"/>
      <c r="AC848" s="42"/>
      <c r="AD848" s="42"/>
      <c r="AE848" s="43"/>
      <c r="AF848" s="23"/>
      <c r="AG848" s="36"/>
      <c r="AH848" s="36"/>
      <c r="AI848" s="36"/>
    </row>
    <row r="849" spans="1:35" x14ac:dyDescent="0.35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2"/>
      <c r="AC849" s="42"/>
      <c r="AD849" s="42"/>
      <c r="AE849" s="43"/>
      <c r="AF849" s="23"/>
      <c r="AG849" s="36"/>
      <c r="AH849" s="36"/>
      <c r="AI849" s="36"/>
    </row>
    <row r="850" spans="1:35" x14ac:dyDescent="0.35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2"/>
      <c r="AC850" s="42"/>
      <c r="AD850" s="42"/>
      <c r="AE850" s="43"/>
      <c r="AF850" s="23"/>
      <c r="AG850" s="36"/>
      <c r="AH850" s="36"/>
      <c r="AI850" s="36"/>
    </row>
    <row r="851" spans="1:35" x14ac:dyDescent="0.35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2"/>
      <c r="AC851" s="42"/>
      <c r="AD851" s="42"/>
      <c r="AE851" s="43"/>
      <c r="AF851" s="23"/>
      <c r="AG851" s="36"/>
      <c r="AH851" s="36"/>
      <c r="AI851" s="36"/>
    </row>
    <row r="852" spans="1:35" x14ac:dyDescent="0.35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2"/>
      <c r="AC852" s="42"/>
      <c r="AD852" s="42"/>
      <c r="AE852" s="43"/>
      <c r="AF852" s="23"/>
      <c r="AG852" s="36"/>
      <c r="AH852" s="36"/>
      <c r="AI852" s="36"/>
    </row>
    <row r="853" spans="1:35" x14ac:dyDescent="0.35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2"/>
      <c r="AC853" s="42"/>
      <c r="AD853" s="42"/>
      <c r="AE853" s="43"/>
      <c r="AF853" s="23"/>
      <c r="AG853" s="36"/>
      <c r="AH853" s="36"/>
      <c r="AI853" s="36"/>
    </row>
    <row r="854" spans="1:35" x14ac:dyDescent="0.35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2"/>
      <c r="AC854" s="42"/>
      <c r="AD854" s="42"/>
      <c r="AE854" s="43"/>
      <c r="AF854" s="23"/>
      <c r="AG854" s="36"/>
      <c r="AH854" s="36"/>
      <c r="AI854" s="36"/>
    </row>
    <row r="855" spans="1:35" x14ac:dyDescent="0.3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2"/>
      <c r="AC855" s="42"/>
      <c r="AD855" s="42"/>
      <c r="AE855" s="43"/>
      <c r="AF855" s="23"/>
      <c r="AG855" s="36"/>
      <c r="AH855" s="36"/>
      <c r="AI855" s="36"/>
    </row>
    <row r="856" spans="1:35" x14ac:dyDescent="0.35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2"/>
      <c r="AC856" s="42"/>
      <c r="AD856" s="42"/>
      <c r="AE856" s="43"/>
      <c r="AF856" s="23"/>
      <c r="AG856" s="36"/>
      <c r="AH856" s="36"/>
      <c r="AI856" s="36"/>
    </row>
    <row r="857" spans="1:35" x14ac:dyDescent="0.35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2"/>
      <c r="AC857" s="42"/>
      <c r="AD857" s="42"/>
      <c r="AE857" s="43"/>
      <c r="AF857" s="23"/>
      <c r="AG857" s="36"/>
      <c r="AH857" s="36"/>
      <c r="AI857" s="36"/>
    </row>
    <row r="858" spans="1:35" x14ac:dyDescent="0.35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2"/>
      <c r="AC858" s="42"/>
      <c r="AD858" s="42"/>
      <c r="AE858" s="43"/>
      <c r="AF858" s="23"/>
      <c r="AG858" s="36"/>
      <c r="AH858" s="36"/>
      <c r="AI858" s="36"/>
    </row>
    <row r="859" spans="1:35" x14ac:dyDescent="0.35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2"/>
      <c r="AC859" s="42"/>
      <c r="AD859" s="42"/>
      <c r="AE859" s="43"/>
      <c r="AF859" s="23"/>
      <c r="AG859" s="36"/>
      <c r="AH859" s="36"/>
      <c r="AI859" s="36"/>
    </row>
    <row r="860" spans="1:35" x14ac:dyDescent="0.35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2"/>
      <c r="AC860" s="42"/>
      <c r="AD860" s="42"/>
      <c r="AE860" s="43"/>
      <c r="AF860" s="23"/>
      <c r="AG860" s="36"/>
      <c r="AH860" s="36"/>
      <c r="AI860" s="36"/>
    </row>
    <row r="861" spans="1:35" x14ac:dyDescent="0.35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2"/>
      <c r="AC861" s="42"/>
      <c r="AD861" s="42"/>
      <c r="AE861" s="43"/>
      <c r="AF861" s="23"/>
      <c r="AG861" s="36"/>
      <c r="AH861" s="36"/>
      <c r="AI861" s="36"/>
    </row>
    <row r="862" spans="1:35" x14ac:dyDescent="0.35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2"/>
      <c r="AC862" s="42"/>
      <c r="AD862" s="42"/>
      <c r="AE862" s="43"/>
      <c r="AF862" s="23"/>
      <c r="AG862" s="36"/>
      <c r="AH862" s="36"/>
      <c r="AI862" s="36"/>
    </row>
  </sheetData>
  <mergeCells count="1">
    <mergeCell ref="J2: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75"/>
  <sheetViews>
    <sheetView topLeftCell="CN1" workbookViewId="0">
      <selection activeCell="BR11" sqref="BR11"/>
    </sheetView>
  </sheetViews>
  <sheetFormatPr defaultRowHeight="14.5" x14ac:dyDescent="0.35"/>
  <cols>
    <col min="1" max="1" width="37.1796875" customWidth="1"/>
    <col min="3" max="77" width="22.7265625" style="72" customWidth="1"/>
  </cols>
  <sheetData>
    <row r="1" spans="1:77" ht="29" x14ac:dyDescent="0.35">
      <c r="A1" t="s">
        <v>43</v>
      </c>
      <c r="C1" s="72" t="s">
        <v>43</v>
      </c>
      <c r="D1" s="72" t="s">
        <v>70</v>
      </c>
      <c r="E1" s="72" t="s">
        <v>72</v>
      </c>
      <c r="F1" s="72" t="s">
        <v>383</v>
      </c>
      <c r="G1" s="72" t="s">
        <v>115</v>
      </c>
      <c r="H1" s="72" t="s">
        <v>190</v>
      </c>
      <c r="I1" s="72" t="s">
        <v>225</v>
      </c>
      <c r="J1" s="72" t="s">
        <v>122</v>
      </c>
      <c r="K1" s="72" t="s">
        <v>52</v>
      </c>
      <c r="L1" s="72" t="s">
        <v>118</v>
      </c>
      <c r="M1" s="72" t="s">
        <v>226</v>
      </c>
      <c r="N1" s="72" t="s">
        <v>100</v>
      </c>
      <c r="O1" s="72" t="s">
        <v>39</v>
      </c>
      <c r="P1" s="72" t="s">
        <v>96</v>
      </c>
      <c r="Q1" s="72" t="s">
        <v>309</v>
      </c>
      <c r="R1" s="72" t="s">
        <v>116</v>
      </c>
      <c r="S1" s="72" t="s">
        <v>311</v>
      </c>
      <c r="T1" s="72" t="s">
        <v>173</v>
      </c>
      <c r="U1" s="72" t="s">
        <v>114</v>
      </c>
      <c r="V1" s="72" t="s">
        <v>36</v>
      </c>
      <c r="W1" s="72" t="s">
        <v>130</v>
      </c>
      <c r="X1" s="72" t="s">
        <v>93</v>
      </c>
      <c r="Y1" s="72" t="s">
        <v>269</v>
      </c>
      <c r="Z1" s="72" t="s">
        <v>104</v>
      </c>
      <c r="AA1" s="72" t="s">
        <v>262</v>
      </c>
      <c r="AB1" s="72" t="s">
        <v>83</v>
      </c>
      <c r="AC1" s="72" t="s">
        <v>57</v>
      </c>
      <c r="AD1" s="72" t="s">
        <v>135</v>
      </c>
      <c r="AE1" s="72" t="s">
        <v>84</v>
      </c>
      <c r="AF1" s="72" t="s">
        <v>120</v>
      </c>
      <c r="AG1" s="72" t="s">
        <v>123</v>
      </c>
      <c r="AH1" s="72" t="s">
        <v>85</v>
      </c>
      <c r="AI1" s="72" t="s">
        <v>169</v>
      </c>
      <c r="AJ1" s="72" t="s">
        <v>73</v>
      </c>
      <c r="AK1" s="72" t="s">
        <v>117</v>
      </c>
      <c r="AL1" s="72" t="s">
        <v>317</v>
      </c>
      <c r="AM1" s="72" t="s">
        <v>110</v>
      </c>
      <c r="AN1" s="72" t="s">
        <v>68</v>
      </c>
      <c r="AO1" s="72" t="s">
        <v>312</v>
      </c>
      <c r="AP1" s="72" t="s">
        <v>108</v>
      </c>
      <c r="AQ1" s="72" t="s">
        <v>381</v>
      </c>
      <c r="AR1" s="72" t="s">
        <v>229</v>
      </c>
      <c r="AS1" s="72" t="s">
        <v>186</v>
      </c>
      <c r="AT1" s="72" t="s">
        <v>59</v>
      </c>
      <c r="AU1" s="72" t="s">
        <v>112</v>
      </c>
      <c r="AV1" s="72" t="s">
        <v>220</v>
      </c>
      <c r="AW1" s="72" t="s">
        <v>49</v>
      </c>
      <c r="AX1" s="72" t="s">
        <v>156</v>
      </c>
      <c r="AY1" s="72" t="s">
        <v>98</v>
      </c>
      <c r="AZ1" s="72" t="s">
        <v>32</v>
      </c>
      <c r="BA1" s="72" t="s">
        <v>106</v>
      </c>
      <c r="BB1" s="72" t="s">
        <v>382</v>
      </c>
      <c r="BC1" s="72" t="s">
        <v>97</v>
      </c>
      <c r="BD1" s="72" t="s">
        <v>152</v>
      </c>
      <c r="BE1" s="72" t="s">
        <v>65</v>
      </c>
      <c r="BF1" s="72" t="s">
        <v>79</v>
      </c>
      <c r="BG1" s="72" t="s">
        <v>113</v>
      </c>
      <c r="BH1" s="72" t="s">
        <v>60</v>
      </c>
      <c r="BI1" s="72" t="s">
        <v>223</v>
      </c>
      <c r="BJ1" s="72" t="s">
        <v>227</v>
      </c>
      <c r="BK1" s="72" t="s">
        <v>188</v>
      </c>
      <c r="BL1" s="72" t="s">
        <v>121</v>
      </c>
      <c r="BM1" s="72" t="s">
        <v>89</v>
      </c>
      <c r="BN1" s="72" t="s">
        <v>380</v>
      </c>
      <c r="BO1" s="72" t="s">
        <v>140</v>
      </c>
      <c r="BP1" s="72" t="s">
        <v>272</v>
      </c>
      <c r="BQ1" s="72" t="s">
        <v>102</v>
      </c>
      <c r="BR1" s="72" t="s">
        <v>41</v>
      </c>
      <c r="BS1" s="72" t="s">
        <v>92</v>
      </c>
      <c r="BT1" s="72" t="s">
        <v>80</v>
      </c>
      <c r="BU1" s="72" t="s">
        <v>62</v>
      </c>
      <c r="BV1" s="72" t="s">
        <v>150</v>
      </c>
      <c r="BW1" s="72" t="s">
        <v>224</v>
      </c>
      <c r="BX1" s="72" t="s">
        <v>34</v>
      </c>
      <c r="BY1" s="72" t="s">
        <v>266</v>
      </c>
    </row>
    <row r="2" spans="1:77" x14ac:dyDescent="0.35">
      <c r="A2" t="s">
        <v>70</v>
      </c>
    </row>
    <row r="3" spans="1:77" x14ac:dyDescent="0.35">
      <c r="A3" t="s">
        <v>72</v>
      </c>
    </row>
    <row r="4" spans="1:77" x14ac:dyDescent="0.35">
      <c r="A4" t="s">
        <v>383</v>
      </c>
    </row>
    <row r="5" spans="1:77" x14ac:dyDescent="0.35">
      <c r="A5" t="s">
        <v>115</v>
      </c>
    </row>
    <row r="6" spans="1:77" x14ac:dyDescent="0.35">
      <c r="A6" t="s">
        <v>190</v>
      </c>
    </row>
    <row r="7" spans="1:77" x14ac:dyDescent="0.35">
      <c r="A7" t="s">
        <v>225</v>
      </c>
    </row>
    <row r="8" spans="1:77" x14ac:dyDescent="0.35">
      <c r="A8" t="s">
        <v>122</v>
      </c>
    </row>
    <row r="9" spans="1:77" x14ac:dyDescent="0.35">
      <c r="A9" t="s">
        <v>52</v>
      </c>
    </row>
    <row r="10" spans="1:77" x14ac:dyDescent="0.35">
      <c r="A10" t="s">
        <v>118</v>
      </c>
    </row>
    <row r="11" spans="1:77" x14ac:dyDescent="0.35">
      <c r="A11" t="s">
        <v>226</v>
      </c>
    </row>
    <row r="12" spans="1:77" x14ac:dyDescent="0.35">
      <c r="A12" t="s">
        <v>100</v>
      </c>
    </row>
    <row r="13" spans="1:77" x14ac:dyDescent="0.35">
      <c r="A13" t="s">
        <v>39</v>
      </c>
    </row>
    <row r="14" spans="1:77" x14ac:dyDescent="0.35">
      <c r="A14" t="s">
        <v>96</v>
      </c>
    </row>
    <row r="15" spans="1:77" x14ac:dyDescent="0.35">
      <c r="A15" t="s">
        <v>309</v>
      </c>
    </row>
    <row r="16" spans="1:77" x14ac:dyDescent="0.35">
      <c r="A16" t="s">
        <v>116</v>
      </c>
    </row>
    <row r="17" spans="1:1" x14ac:dyDescent="0.35">
      <c r="A17" t="s">
        <v>311</v>
      </c>
    </row>
    <row r="18" spans="1:1" x14ac:dyDescent="0.35">
      <c r="A18" t="s">
        <v>173</v>
      </c>
    </row>
    <row r="19" spans="1:1" x14ac:dyDescent="0.35">
      <c r="A19" t="s">
        <v>114</v>
      </c>
    </row>
    <row r="20" spans="1:1" x14ac:dyDescent="0.35">
      <c r="A20" t="s">
        <v>36</v>
      </c>
    </row>
    <row r="21" spans="1:1" x14ac:dyDescent="0.35">
      <c r="A21" t="s">
        <v>130</v>
      </c>
    </row>
    <row r="22" spans="1:1" x14ac:dyDescent="0.35">
      <c r="A22" t="s">
        <v>93</v>
      </c>
    </row>
    <row r="23" spans="1:1" x14ac:dyDescent="0.35">
      <c r="A23" t="s">
        <v>269</v>
      </c>
    </row>
    <row r="24" spans="1:1" x14ac:dyDescent="0.35">
      <c r="A24" t="s">
        <v>104</v>
      </c>
    </row>
    <row r="25" spans="1:1" x14ac:dyDescent="0.35">
      <c r="A25" t="s">
        <v>262</v>
      </c>
    </row>
    <row r="26" spans="1:1" x14ac:dyDescent="0.35">
      <c r="A26" t="s">
        <v>83</v>
      </c>
    </row>
    <row r="27" spans="1:1" x14ac:dyDescent="0.35">
      <c r="A27" t="s">
        <v>57</v>
      </c>
    </row>
    <row r="28" spans="1:1" x14ac:dyDescent="0.35">
      <c r="A28" t="s">
        <v>135</v>
      </c>
    </row>
    <row r="29" spans="1:1" x14ac:dyDescent="0.35">
      <c r="A29" t="s">
        <v>84</v>
      </c>
    </row>
    <row r="30" spans="1:1" x14ac:dyDescent="0.35">
      <c r="A30" t="s">
        <v>120</v>
      </c>
    </row>
    <row r="31" spans="1:1" x14ac:dyDescent="0.35">
      <c r="A31" t="s">
        <v>123</v>
      </c>
    </row>
    <row r="32" spans="1:1" x14ac:dyDescent="0.35">
      <c r="A32" t="s">
        <v>85</v>
      </c>
    </row>
    <row r="33" spans="1:1" x14ac:dyDescent="0.35">
      <c r="A33" t="s">
        <v>169</v>
      </c>
    </row>
    <row r="34" spans="1:1" x14ac:dyDescent="0.35">
      <c r="A34" t="s">
        <v>73</v>
      </c>
    </row>
    <row r="35" spans="1:1" x14ac:dyDescent="0.35">
      <c r="A35" t="s">
        <v>117</v>
      </c>
    </row>
    <row r="36" spans="1:1" x14ac:dyDescent="0.35">
      <c r="A36" t="s">
        <v>317</v>
      </c>
    </row>
    <row r="37" spans="1:1" x14ac:dyDescent="0.35">
      <c r="A37" t="s">
        <v>110</v>
      </c>
    </row>
    <row r="38" spans="1:1" x14ac:dyDescent="0.35">
      <c r="A38" t="s">
        <v>68</v>
      </c>
    </row>
    <row r="39" spans="1:1" x14ac:dyDescent="0.35">
      <c r="A39" t="s">
        <v>312</v>
      </c>
    </row>
    <row r="40" spans="1:1" x14ac:dyDescent="0.35">
      <c r="A40" t="s">
        <v>108</v>
      </c>
    </row>
    <row r="41" spans="1:1" x14ac:dyDescent="0.35">
      <c r="A41" t="s">
        <v>381</v>
      </c>
    </row>
    <row r="42" spans="1:1" x14ac:dyDescent="0.35">
      <c r="A42" t="s">
        <v>229</v>
      </c>
    </row>
    <row r="43" spans="1:1" x14ac:dyDescent="0.35">
      <c r="A43" t="s">
        <v>186</v>
      </c>
    </row>
    <row r="44" spans="1:1" x14ac:dyDescent="0.35">
      <c r="A44" t="s">
        <v>59</v>
      </c>
    </row>
    <row r="45" spans="1:1" x14ac:dyDescent="0.35">
      <c r="A45" t="s">
        <v>112</v>
      </c>
    </row>
    <row r="46" spans="1:1" x14ac:dyDescent="0.35">
      <c r="A46" t="s">
        <v>220</v>
      </c>
    </row>
    <row r="47" spans="1:1" x14ac:dyDescent="0.35">
      <c r="A47" t="s">
        <v>49</v>
      </c>
    </row>
    <row r="48" spans="1:1" x14ac:dyDescent="0.35">
      <c r="A48" t="s">
        <v>156</v>
      </c>
    </row>
    <row r="49" spans="1:1" x14ac:dyDescent="0.35">
      <c r="A49" t="s">
        <v>98</v>
      </c>
    </row>
    <row r="50" spans="1:1" x14ac:dyDescent="0.35">
      <c r="A50" t="s">
        <v>32</v>
      </c>
    </row>
    <row r="51" spans="1:1" x14ac:dyDescent="0.35">
      <c r="A51" t="s">
        <v>106</v>
      </c>
    </row>
    <row r="52" spans="1:1" x14ac:dyDescent="0.35">
      <c r="A52" t="s">
        <v>382</v>
      </c>
    </row>
    <row r="53" spans="1:1" x14ac:dyDescent="0.35">
      <c r="A53" t="s">
        <v>97</v>
      </c>
    </row>
    <row r="54" spans="1:1" x14ac:dyDescent="0.35">
      <c r="A54" t="s">
        <v>152</v>
      </c>
    </row>
    <row r="55" spans="1:1" x14ac:dyDescent="0.35">
      <c r="A55" t="s">
        <v>65</v>
      </c>
    </row>
    <row r="56" spans="1:1" x14ac:dyDescent="0.35">
      <c r="A56" t="s">
        <v>79</v>
      </c>
    </row>
    <row r="57" spans="1:1" x14ac:dyDescent="0.35">
      <c r="A57" t="s">
        <v>113</v>
      </c>
    </row>
    <row r="58" spans="1:1" x14ac:dyDescent="0.35">
      <c r="A58" t="s">
        <v>60</v>
      </c>
    </row>
    <row r="59" spans="1:1" x14ac:dyDescent="0.35">
      <c r="A59" t="s">
        <v>223</v>
      </c>
    </row>
    <row r="60" spans="1:1" x14ac:dyDescent="0.35">
      <c r="A60" t="s">
        <v>227</v>
      </c>
    </row>
    <row r="61" spans="1:1" x14ac:dyDescent="0.35">
      <c r="A61" t="s">
        <v>188</v>
      </c>
    </row>
    <row r="62" spans="1:1" x14ac:dyDescent="0.35">
      <c r="A62" t="s">
        <v>121</v>
      </c>
    </row>
    <row r="63" spans="1:1" x14ac:dyDescent="0.35">
      <c r="A63" t="s">
        <v>89</v>
      </c>
    </row>
    <row r="64" spans="1:1" x14ac:dyDescent="0.35">
      <c r="A64" t="s">
        <v>380</v>
      </c>
    </row>
    <row r="65" spans="1:1" x14ac:dyDescent="0.35">
      <c r="A65" t="s">
        <v>140</v>
      </c>
    </row>
    <row r="66" spans="1:1" x14ac:dyDescent="0.35">
      <c r="A66" t="s">
        <v>272</v>
      </c>
    </row>
    <row r="67" spans="1:1" x14ac:dyDescent="0.35">
      <c r="A67" t="s">
        <v>102</v>
      </c>
    </row>
    <row r="68" spans="1:1" x14ac:dyDescent="0.35">
      <c r="A68" t="s">
        <v>41</v>
      </c>
    </row>
    <row r="69" spans="1:1" x14ac:dyDescent="0.35">
      <c r="A69" t="s">
        <v>92</v>
      </c>
    </row>
    <row r="70" spans="1:1" x14ac:dyDescent="0.35">
      <c r="A70" t="s">
        <v>80</v>
      </c>
    </row>
    <row r="71" spans="1:1" x14ac:dyDescent="0.35">
      <c r="A71" t="s">
        <v>62</v>
      </c>
    </row>
    <row r="72" spans="1:1" x14ac:dyDescent="0.35">
      <c r="A72" t="s">
        <v>150</v>
      </c>
    </row>
    <row r="73" spans="1:1" x14ac:dyDescent="0.35">
      <c r="A73" t="s">
        <v>224</v>
      </c>
    </row>
    <row r="74" spans="1:1" x14ac:dyDescent="0.35">
      <c r="A74" t="s">
        <v>34</v>
      </c>
    </row>
    <row r="75" spans="1:1" x14ac:dyDescent="0.35">
      <c r="A75" t="s">
        <v>266</v>
      </c>
    </row>
  </sheetData>
  <sortState ref="A1:A880">
    <sortCondition ref="A1:A8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Данные</vt:lpstr>
      <vt:lpstr>Данные, контроль</vt:lpstr>
      <vt:lpstr>ИВТ 2015 (за 4 года)</vt:lpstr>
      <vt:lpstr>Преподаватели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ivc</dc:creator>
  <cp:lastModifiedBy>Ольга</cp:lastModifiedBy>
  <dcterms:created xsi:type="dcterms:W3CDTF">2018-09-04T07:13:44Z</dcterms:created>
  <dcterms:modified xsi:type="dcterms:W3CDTF">2024-12-11T12:10:25Z</dcterms:modified>
</cp:coreProperties>
</file>