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f0d4a8a008de216/Рабочий стол/учеба/РГПУ/ИТ и С бизнес-аналитики/Зачёт/"/>
    </mc:Choice>
  </mc:AlternateContent>
  <xr:revisionPtr revIDLastSave="2" documentId="11_AD4DF75460589B3ACB72843C47DC75685BDEDD96" xr6:coauthVersionLast="47" xr6:coauthVersionMax="47" xr10:uidLastSave="{B8FC8599-F3F7-4F5B-89F9-DA0028B71ACF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22" i="1" s="1"/>
  <c r="C17" i="1"/>
  <c r="D17" i="1"/>
  <c r="C19" i="1"/>
  <c r="D20" i="1"/>
  <c r="C5" i="1"/>
  <c r="D5" i="1"/>
  <c r="B5" i="1"/>
  <c r="D22" i="1" l="1"/>
  <c r="D23" i="1" s="1"/>
  <c r="C22" i="1"/>
  <c r="C23" i="1" s="1"/>
  <c r="C25" i="1" s="1"/>
  <c r="B23" i="1"/>
  <c r="C26" i="1" l="1"/>
  <c r="D25" i="1"/>
  <c r="D26" i="1"/>
</calcChain>
</file>

<file path=xl/sharedStrings.xml><?xml version="1.0" encoding="utf-8"?>
<sst xmlns="http://schemas.openxmlformats.org/spreadsheetml/2006/main" count="33" uniqueCount="33">
  <si>
    <t>AS-IS</t>
  </si>
  <si>
    <t>Вариант 1 (Мобильные терминалы)</t>
  </si>
  <si>
    <t>Вариант 2 (RFID-система)</t>
  </si>
  <si>
    <t>Доходы</t>
  </si>
  <si>
    <t>Средняя прибыль с продажи (руб.)</t>
  </si>
  <si>
    <t>Общая выручка</t>
  </si>
  <si>
    <t>Расходы</t>
  </si>
  <si>
    <t>Зарплаты:</t>
  </si>
  <si>
    <t>Итого расходов</t>
  </si>
  <si>
    <t>Итоговая прибыль</t>
  </si>
  <si>
    <t>Окупаемость (мес)</t>
  </si>
  <si>
    <t>Параметры</t>
  </si>
  <si>
    <t>Продавцы-кассиры (3 чел *40000)</t>
  </si>
  <si>
    <t>Бухгалтер</t>
  </si>
  <si>
    <t xml:space="preserve">Кладовщик </t>
  </si>
  <si>
    <t xml:space="preserve">Старший смены </t>
  </si>
  <si>
    <t>Маркетолог</t>
  </si>
  <si>
    <t>Аренда помещения</t>
  </si>
  <si>
    <t>Коммунальные платежи</t>
  </si>
  <si>
    <t>Затраты на товар</t>
  </si>
  <si>
    <t>Продажи (ед./мес)</t>
  </si>
  <si>
    <t xml:space="preserve">Закупка товаров </t>
  </si>
  <si>
    <t>Технологические затраты</t>
  </si>
  <si>
    <t>Амортизация терминалов</t>
  </si>
  <si>
    <t>Амортизация RFID-системы</t>
  </si>
  <si>
    <t>Обслуживание ПО</t>
  </si>
  <si>
    <t>Аренда и коммунальные услуги:</t>
  </si>
  <si>
    <t>Вывод</t>
  </si>
  <si>
    <t>Единовременные инвестиции</t>
  </si>
  <si>
    <t>Рост прибыли vs AS-IS</t>
  </si>
  <si>
    <t>Оптимальный вариант</t>
  </si>
  <si>
    <t>Приемлемый вариант</t>
  </si>
  <si>
    <t>Не приемлемый вариант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</si>
</sst>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name val="Segoe UI"/>
      <family val="2"/>
      <charset val="204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6" borderId="0" xfId="0" applyFont="1" applyFill="1"/>
    <xf numFmtId="0" fontId="0" fillId="0" borderId="0" xfId="0" applyFill="1" applyBorder="1"/>
    <xf numFmtId="0" fontId="4" fillId="0" borderId="0" xfId="0" applyFont="1"/>
    <xf numFmtId="0" fontId="5" fillId="0" borderId="0" xfId="0" applyFont="1" applyFill="1" applyBorder="1"/>
    <xf numFmtId="9" fontId="5" fillId="0" borderId="0" xfId="1" applyFont="1" applyFill="1" applyBorder="1"/>
    <xf numFmtId="0" fontId="5" fillId="8" borderId="0" xfId="0" applyFont="1" applyFill="1" applyBorder="1"/>
    <xf numFmtId="0" fontId="5" fillId="4" borderId="0" xfId="0" applyFont="1" applyFill="1" applyBorder="1"/>
    <xf numFmtId="0" fontId="5" fillId="9" borderId="0" xfId="0" applyFont="1" applyFill="1" applyBorder="1"/>
    <xf numFmtId="0" fontId="3" fillId="0" borderId="0" xfId="0" applyFont="1" applyFill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H12" sqref="H12"/>
    </sheetView>
  </sheetViews>
  <sheetFormatPr defaultRowHeight="14.4" x14ac:dyDescent="0.3"/>
  <cols>
    <col min="1" max="1" width="33.6640625" bestFit="1" customWidth="1"/>
    <col min="2" max="2" width="22.6640625" bestFit="1" customWidth="1"/>
    <col min="3" max="3" width="33.109375" bestFit="1" customWidth="1"/>
    <col min="4" max="4" width="23.33203125" bestFit="1" customWidth="1"/>
  </cols>
  <sheetData>
    <row r="1" spans="1:4" x14ac:dyDescent="0.3">
      <c r="A1" s="1" t="s">
        <v>11</v>
      </c>
      <c r="B1" s="1" t="s">
        <v>0</v>
      </c>
      <c r="C1" s="1" t="s">
        <v>1</v>
      </c>
      <c r="D1" s="1" t="s">
        <v>2</v>
      </c>
    </row>
    <row r="2" spans="1:4" x14ac:dyDescent="0.3">
      <c r="A2" s="3" t="s">
        <v>3</v>
      </c>
      <c r="B2" s="4"/>
      <c r="C2" s="4"/>
      <c r="D2" s="4"/>
    </row>
    <row r="3" spans="1:4" x14ac:dyDescent="0.3">
      <c r="A3" t="s">
        <v>20</v>
      </c>
      <c r="B3">
        <v>3000</v>
      </c>
      <c r="C3">
        <v>3200</v>
      </c>
      <c r="D3">
        <v>3400</v>
      </c>
    </row>
    <row r="4" spans="1:4" x14ac:dyDescent="0.3">
      <c r="A4" t="s">
        <v>4</v>
      </c>
      <c r="B4">
        <v>300</v>
      </c>
      <c r="C4">
        <v>300</v>
      </c>
      <c r="D4">
        <v>300</v>
      </c>
    </row>
    <row r="5" spans="1:4" x14ac:dyDescent="0.3">
      <c r="A5" s="10" t="s">
        <v>5</v>
      </c>
      <c r="B5" s="10">
        <f>B3*B4</f>
        <v>900000</v>
      </c>
      <c r="C5" s="10">
        <f t="shared" ref="C5:D5" si="0">C3*C4</f>
        <v>960000</v>
      </c>
      <c r="D5" s="10">
        <f t="shared" si="0"/>
        <v>1020000</v>
      </c>
    </row>
    <row r="6" spans="1:4" x14ac:dyDescent="0.3">
      <c r="A6" s="5" t="s">
        <v>6</v>
      </c>
      <c r="B6" s="6"/>
      <c r="C6" s="6"/>
      <c r="D6" s="6"/>
    </row>
    <row r="7" spans="1:4" x14ac:dyDescent="0.3">
      <c r="A7" s="11" t="s">
        <v>7</v>
      </c>
      <c r="B7" s="9"/>
      <c r="C7" s="9"/>
      <c r="D7" s="9"/>
    </row>
    <row r="8" spans="1:4" x14ac:dyDescent="0.3">
      <c r="A8" t="s">
        <v>12</v>
      </c>
      <c r="B8">
        <v>120000</v>
      </c>
      <c r="C8">
        <v>120000</v>
      </c>
      <c r="D8">
        <v>120000</v>
      </c>
    </row>
    <row r="9" spans="1:4" x14ac:dyDescent="0.3">
      <c r="A9" t="s">
        <v>15</v>
      </c>
      <c r="B9">
        <v>50000</v>
      </c>
      <c r="C9">
        <v>50000</v>
      </c>
      <c r="D9">
        <v>50000</v>
      </c>
    </row>
    <row r="10" spans="1:4" x14ac:dyDescent="0.3">
      <c r="A10" t="s">
        <v>14</v>
      </c>
      <c r="B10">
        <v>40000</v>
      </c>
      <c r="C10">
        <v>40000</v>
      </c>
      <c r="D10">
        <v>40000</v>
      </c>
    </row>
    <row r="11" spans="1:4" x14ac:dyDescent="0.3">
      <c r="A11" t="s">
        <v>13</v>
      </c>
      <c r="B11">
        <v>50000</v>
      </c>
      <c r="C11">
        <v>50000</v>
      </c>
      <c r="D11">
        <v>50000</v>
      </c>
    </row>
    <row r="12" spans="1:4" x14ac:dyDescent="0.3">
      <c r="A12" t="s">
        <v>16</v>
      </c>
      <c r="B12">
        <v>35000</v>
      </c>
      <c r="C12">
        <v>35000</v>
      </c>
      <c r="D12">
        <v>35000</v>
      </c>
    </row>
    <row r="13" spans="1:4" x14ac:dyDescent="0.3">
      <c r="A13" s="11" t="s">
        <v>26</v>
      </c>
      <c r="B13" s="9"/>
      <c r="C13" s="9"/>
      <c r="D13" s="9"/>
    </row>
    <row r="14" spans="1:4" x14ac:dyDescent="0.3">
      <c r="A14" t="s">
        <v>17</v>
      </c>
      <c r="B14">
        <v>120000</v>
      </c>
      <c r="C14">
        <v>120000</v>
      </c>
      <c r="D14">
        <v>120000</v>
      </c>
    </row>
    <row r="15" spans="1:4" x14ac:dyDescent="0.3">
      <c r="A15" t="s">
        <v>18</v>
      </c>
      <c r="B15">
        <v>12000</v>
      </c>
      <c r="C15">
        <v>12000</v>
      </c>
      <c r="D15">
        <v>12000</v>
      </c>
    </row>
    <row r="16" spans="1:4" x14ac:dyDescent="0.3">
      <c r="A16" s="11" t="s">
        <v>19</v>
      </c>
      <c r="B16" s="9"/>
      <c r="C16" s="9"/>
      <c r="D16" s="9"/>
    </row>
    <row r="17" spans="1:4" x14ac:dyDescent="0.3">
      <c r="A17" t="s">
        <v>21</v>
      </c>
      <c r="B17">
        <f>140*B3</f>
        <v>420000</v>
      </c>
      <c r="C17">
        <f t="shared" ref="C17:D17" si="1">140*C3</f>
        <v>448000</v>
      </c>
      <c r="D17">
        <f t="shared" si="1"/>
        <v>476000</v>
      </c>
    </row>
    <row r="18" spans="1:4" x14ac:dyDescent="0.3">
      <c r="A18" s="11" t="s">
        <v>22</v>
      </c>
      <c r="B18" s="9"/>
      <c r="C18" s="9"/>
      <c r="D18" s="9"/>
    </row>
    <row r="19" spans="1:4" x14ac:dyDescent="0.3">
      <c r="A19" t="s">
        <v>23</v>
      </c>
      <c r="B19">
        <v>0</v>
      </c>
      <c r="C19">
        <f>ROUNDUP(80000/12,0)</f>
        <v>6667</v>
      </c>
      <c r="D19">
        <v>0</v>
      </c>
    </row>
    <row r="20" spans="1:4" x14ac:dyDescent="0.3">
      <c r="A20" t="s">
        <v>24</v>
      </c>
      <c r="B20">
        <v>0</v>
      </c>
      <c r="C20">
        <v>0</v>
      </c>
      <c r="D20">
        <f>120000/12</f>
        <v>10000</v>
      </c>
    </row>
    <row r="21" spans="1:4" x14ac:dyDescent="0.3">
      <c r="A21" t="s">
        <v>25</v>
      </c>
      <c r="B21">
        <v>5000</v>
      </c>
      <c r="C21">
        <v>5000</v>
      </c>
      <c r="D21">
        <v>5000</v>
      </c>
    </row>
    <row r="22" spans="1:4" x14ac:dyDescent="0.3">
      <c r="A22" s="5" t="s">
        <v>8</v>
      </c>
      <c r="B22" s="6">
        <f>SUM(B8:B21)</f>
        <v>852000</v>
      </c>
      <c r="C22" s="6">
        <f>SUM(C8:C21)</f>
        <v>886667</v>
      </c>
      <c r="D22" s="6">
        <f>SUM(D8:D21)</f>
        <v>918000</v>
      </c>
    </row>
    <row r="23" spans="1:4" x14ac:dyDescent="0.3">
      <c r="A23" s="7" t="s">
        <v>9</v>
      </c>
      <c r="B23" s="8">
        <f>B5-B22</f>
        <v>48000</v>
      </c>
      <c r="C23" s="8">
        <f>C5-C22</f>
        <v>73333</v>
      </c>
      <c r="D23" s="8">
        <f>D5-D22</f>
        <v>102000</v>
      </c>
    </row>
    <row r="24" spans="1:4" x14ac:dyDescent="0.3">
      <c r="A24" s="19" t="s">
        <v>28</v>
      </c>
      <c r="B24" s="12">
        <v>0</v>
      </c>
      <c r="C24" s="12">
        <v>80000</v>
      </c>
      <c r="D24" s="12">
        <v>120000</v>
      </c>
    </row>
    <row r="25" spans="1:4" x14ac:dyDescent="0.3">
      <c r="A25" s="13" t="s">
        <v>10</v>
      </c>
      <c r="B25" s="14">
        <v>0</v>
      </c>
      <c r="C25" s="14">
        <f>C24/C23</f>
        <v>1.0909140496093164</v>
      </c>
      <c r="D25" s="14">
        <f>D24/D23</f>
        <v>1.1764705882352942</v>
      </c>
    </row>
    <row r="26" spans="1:4" x14ac:dyDescent="0.3">
      <c r="A26" s="2" t="s">
        <v>29</v>
      </c>
      <c r="B26" s="14">
        <v>0</v>
      </c>
      <c r="C26" s="15">
        <f>C23/B23</f>
        <v>1.5277708333333333</v>
      </c>
      <c r="D26" s="15">
        <f>D23/B23</f>
        <v>2.125</v>
      </c>
    </row>
    <row r="27" spans="1:4" x14ac:dyDescent="0.3">
      <c r="A27" s="2" t="s">
        <v>27</v>
      </c>
      <c r="B27" s="17" t="s">
        <v>32</v>
      </c>
      <c r="C27" s="16" t="s">
        <v>31</v>
      </c>
      <c r="D27" s="18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 Gnevnov</cp:lastModifiedBy>
  <dcterms:created xsi:type="dcterms:W3CDTF">2015-06-05T18:19:34Z</dcterms:created>
  <dcterms:modified xsi:type="dcterms:W3CDTF">2025-06-26T20:38:33Z</dcterms:modified>
</cp:coreProperties>
</file>