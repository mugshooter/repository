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ИТ и С бизнес-аналитики/ЛР 9/"/>
    </mc:Choice>
  </mc:AlternateContent>
  <xr:revisionPtr revIDLastSave="3" documentId="11_AD4DF75460589B3ACB72843C47DC75685BDEDD96" xr6:coauthVersionLast="47" xr6:coauthVersionMax="47" xr10:uidLastSave="{8CDDF004-EB03-4751-BA54-AC0D37C18F61}"/>
  <bookViews>
    <workbookView xWindow="-108" yWindow="-108" windowWidth="23256" windowHeight="13176" xr2:uid="{00000000-000D-0000-FFFF-FFFF00000000}"/>
  </bookViews>
  <sheets>
    <sheet name="1. AS 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H29" i="1" s="1"/>
  <c r="H30" i="1" s="1"/>
  <c r="H31" i="1"/>
  <c r="H36" i="1"/>
  <c r="G28" i="1"/>
  <c r="G29" i="1" s="1"/>
  <c r="G30" i="1" s="1"/>
  <c r="G31" i="1"/>
  <c r="G36" i="1"/>
  <c r="F28" i="1"/>
  <c r="F29" i="1" s="1"/>
  <c r="F30" i="1" s="1"/>
  <c r="F31" i="1"/>
  <c r="F36" i="1"/>
  <c r="E28" i="1"/>
  <c r="E29" i="1"/>
  <c r="E30" i="1" s="1"/>
  <c r="E31" i="1"/>
  <c r="E36" i="1"/>
  <c r="D36" i="1"/>
  <c r="D28" i="1"/>
  <c r="D29" i="1"/>
  <c r="D30" i="1"/>
  <c r="D31" i="1"/>
  <c r="C17" i="1"/>
  <c r="C28" i="1" s="1"/>
  <c r="C29" i="1" s="1"/>
  <c r="C30" i="1" s="1"/>
  <c r="C23" i="1"/>
  <c r="C36" i="1"/>
  <c r="C13" i="1"/>
  <c r="C16" i="1"/>
  <c r="C31" i="1" l="1"/>
</calcChain>
</file>

<file path=xl/sharedStrings.xml><?xml version="1.0" encoding="utf-8"?>
<sst xmlns="http://schemas.openxmlformats.org/spreadsheetml/2006/main" count="78" uniqueCount="74">
  <si>
    <t>Наименование сценария</t>
  </si>
  <si>
    <t>Параметры сценария</t>
  </si>
  <si>
    <t>1. AS IS</t>
  </si>
  <si>
    <t>Количество поступающих заказов в день, шт</t>
  </si>
  <si>
    <t>Средняя маржа по заказу, руб</t>
  </si>
  <si>
    <t>Стоимость доставки</t>
  </si>
  <si>
    <t>Зарплата Менеджера, руб в час</t>
  </si>
  <si>
    <t>Зарплата Кладовщика, руб в месяц</t>
  </si>
  <si>
    <t>Транспортные расходы Курьера, руб. за доставку</t>
  </si>
  <si>
    <t>Количество Менеджеров, чел.</t>
  </si>
  <si>
    <t>Количество Курьеров, чел.</t>
  </si>
  <si>
    <t>Доходы (Продуктивность)</t>
  </si>
  <si>
    <t>Затраты( Себестоимость)</t>
  </si>
  <si>
    <t>Постоянные издержки</t>
  </si>
  <si>
    <t>Переменные издержки</t>
  </si>
  <si>
    <t>Эффективность</t>
  </si>
  <si>
    <t>Выводы</t>
  </si>
  <si>
    <t>Количество полученных заказов, шт. в месяц</t>
  </si>
  <si>
    <t>Количество успешно выполненных заказов, шт. в месяц</t>
  </si>
  <si>
    <t>Количество отказов покупателей от заказа при получении, шт в месяц</t>
  </si>
  <si>
    <t>Маржинальная прибыль, руб. в месяц</t>
  </si>
  <si>
    <t>Аренда склада, руб. месяц</t>
  </si>
  <si>
    <t>Реклама, руб. месяц</t>
  </si>
  <si>
    <t>Иные постоянные издержки, руб. в месяц</t>
  </si>
  <si>
    <t>Зарплата Менеджера, руб в месяц</t>
  </si>
  <si>
    <t>Зарплата Курьера, руб за доставку</t>
  </si>
  <si>
    <t>Зарплата Курьеров, руб в месяц</t>
  </si>
  <si>
    <t>Транспортные расходы Курьера, руб. за месяц</t>
  </si>
  <si>
    <t>Чистая прибыль, руб. месяц</t>
  </si>
  <si>
    <t>Чистая прибыль с 1-го заказа, руб.</t>
  </si>
  <si>
    <t>Чистая прибыль с 1-го заказа, % от маржи</t>
  </si>
  <si>
    <t>Себестоимость обработки 1-го заказа, руб.</t>
  </si>
  <si>
    <t>Средняя длительность обрамотки заказа, мин.</t>
  </si>
  <si>
    <t>Максимальное среднее время ожидания ресурса, мин.                                 Какой ресурс                                                                                                                        На какой ресурс</t>
  </si>
  <si>
    <t>Средняя загрузка Менеджера, % от рабочего времени</t>
  </si>
  <si>
    <t>Средняя загрузка Курьера, % от рабочего времени</t>
  </si>
  <si>
    <t>Доля заказов от заказов при получении, % от общего количества заказов</t>
  </si>
  <si>
    <t xml:space="preserve">30 000 </t>
  </si>
  <si>
    <t xml:space="preserve">10 000 </t>
  </si>
  <si>
    <t xml:space="preserve">20 000 </t>
  </si>
  <si>
    <t>2 ч. 57 мин</t>
  </si>
  <si>
    <t>9 мин                                                                       Курьер                                                  Доставка заказа покупателю</t>
  </si>
  <si>
    <t>16,28%</t>
  </si>
  <si>
    <t>27,92%</t>
  </si>
  <si>
    <t>Мало заказов</t>
  </si>
  <si>
    <t>Недозагрузка ресурсов</t>
  </si>
  <si>
    <t>Нехватка ресурсов</t>
  </si>
  <si>
    <t>2. Усиливаем рекламу</t>
  </si>
  <si>
    <t>3. Плюс 1 курьер</t>
  </si>
  <si>
    <t>4.1. Платная доставка</t>
  </si>
  <si>
    <t>4.2 Предоплата</t>
  </si>
  <si>
    <t>4д. 16ч. 24 мин.                                  Курьер                                                                         Доставка заказа покупателю</t>
  </si>
  <si>
    <t>48,21%</t>
  </si>
  <si>
    <t>84,58%</t>
  </si>
  <si>
    <t>42,29%</t>
  </si>
  <si>
    <t>1 д. 9 ч. 50 мин.</t>
  </si>
  <si>
    <t>4 д. 5 ч. 43 мин.</t>
  </si>
  <si>
    <t>Много отказов при получении</t>
  </si>
  <si>
    <t>4 ч. 04 мин.</t>
  </si>
  <si>
    <t>18 мин.                                  Курьер                                                                         Доставка заказа покупателю</t>
  </si>
  <si>
    <t>34,24%</t>
  </si>
  <si>
    <t>39,81%</t>
  </si>
  <si>
    <t>Приемлемый вариант</t>
  </si>
  <si>
    <t>3 ч. 05 мин.</t>
  </si>
  <si>
    <t>7 мин.                                  Менеджер                                                                         Визуальный контроль заказа</t>
  </si>
  <si>
    <t>6ч. 37 мин.                                  Менеджер                                                                         Оформление документов по заказу</t>
  </si>
  <si>
    <t>26,19%</t>
  </si>
  <si>
    <t>27,57%</t>
  </si>
  <si>
    <t>Приемлемый вариань</t>
  </si>
  <si>
    <t>4.3 Плат. дост. +  Предоплата</t>
  </si>
  <si>
    <t>2 ч. 52 мин.</t>
  </si>
  <si>
    <t>2 мин.                                               Менеджер                                                                         Выдача заказа курьеру</t>
  </si>
  <si>
    <t>18,33%</t>
  </si>
  <si>
    <t>13,96%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</si>
</sst>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/>
    <xf numFmtId="0" fontId="2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7" borderId="0" xfId="0" applyFont="1" applyFill="1"/>
    <xf numFmtId="0" fontId="1" fillId="8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3" fillId="5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1" fillId="11" borderId="0" xfId="0" applyFont="1" applyFill="1"/>
    <xf numFmtId="0" fontId="1" fillId="11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B13" workbookViewId="0">
      <selection activeCell="I39" sqref="I39"/>
    </sheetView>
  </sheetViews>
  <sheetFormatPr defaultRowHeight="14.4" x14ac:dyDescent="0.3"/>
  <cols>
    <col min="1" max="1" width="2.77734375" customWidth="1"/>
    <col min="2" max="2" width="65.77734375" bestFit="1" customWidth="1"/>
    <col min="3" max="3" width="32.109375" customWidth="1"/>
    <col min="4" max="4" width="26.33203125" bestFit="1" customWidth="1"/>
    <col min="5" max="5" width="27.5546875" bestFit="1" customWidth="1"/>
    <col min="6" max="7" width="26.109375" bestFit="1" customWidth="1"/>
    <col min="8" max="8" width="33.33203125" bestFit="1" customWidth="1"/>
  </cols>
  <sheetData>
    <row r="1" spans="1:8" ht="18" x14ac:dyDescent="0.35">
      <c r="A1" s="2"/>
      <c r="B1" s="2" t="s">
        <v>0</v>
      </c>
      <c r="C1" s="2" t="s">
        <v>2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69</v>
      </c>
    </row>
    <row r="2" spans="1:8" x14ac:dyDescent="0.3">
      <c r="A2" s="1"/>
      <c r="B2" s="1" t="s">
        <v>1</v>
      </c>
      <c r="C2" s="1"/>
      <c r="D2" s="1"/>
      <c r="E2" s="1"/>
      <c r="F2" s="1"/>
      <c r="G2" s="1"/>
      <c r="H2" s="1"/>
    </row>
    <row r="3" spans="1:8" x14ac:dyDescent="0.3">
      <c r="B3" t="s">
        <v>3</v>
      </c>
      <c r="C3" s="10">
        <v>10</v>
      </c>
      <c r="D3" s="18">
        <v>30</v>
      </c>
      <c r="E3" s="18">
        <v>30</v>
      </c>
      <c r="F3" s="18">
        <v>25</v>
      </c>
      <c r="G3" s="18">
        <v>20</v>
      </c>
      <c r="H3" s="18">
        <v>10</v>
      </c>
    </row>
    <row r="4" spans="1:8" x14ac:dyDescent="0.3">
      <c r="B4" t="s">
        <v>4</v>
      </c>
      <c r="C4" s="10">
        <v>1000</v>
      </c>
      <c r="D4" s="10">
        <v>1000</v>
      </c>
      <c r="E4" s="10">
        <v>1000</v>
      </c>
      <c r="F4" s="10">
        <v>1000</v>
      </c>
      <c r="G4" s="10">
        <v>1000</v>
      </c>
      <c r="H4" s="10">
        <v>1000</v>
      </c>
    </row>
    <row r="5" spans="1:8" x14ac:dyDescent="0.3">
      <c r="B5" t="s">
        <v>5</v>
      </c>
      <c r="C5" s="10">
        <v>0</v>
      </c>
      <c r="D5" s="10">
        <v>0</v>
      </c>
      <c r="E5" s="10">
        <v>0</v>
      </c>
      <c r="F5" s="18">
        <v>200</v>
      </c>
      <c r="G5" s="10">
        <v>0</v>
      </c>
      <c r="H5" s="10">
        <v>200</v>
      </c>
    </row>
    <row r="6" spans="1:8" x14ac:dyDescent="0.3">
      <c r="B6" t="s">
        <v>6</v>
      </c>
      <c r="C6" s="10">
        <v>300</v>
      </c>
      <c r="D6" s="10">
        <v>300</v>
      </c>
      <c r="E6" s="10">
        <v>300</v>
      </c>
      <c r="F6" s="10">
        <v>300</v>
      </c>
      <c r="G6" s="10">
        <v>300</v>
      </c>
      <c r="H6" s="10">
        <v>300</v>
      </c>
    </row>
    <row r="7" spans="1:8" x14ac:dyDescent="0.3">
      <c r="B7" t="s">
        <v>7</v>
      </c>
      <c r="C7" s="10">
        <v>30000</v>
      </c>
      <c r="D7" s="10">
        <v>30000</v>
      </c>
      <c r="E7" s="10">
        <v>30000</v>
      </c>
      <c r="F7" s="10">
        <v>30000</v>
      </c>
      <c r="G7" s="10">
        <v>30000</v>
      </c>
      <c r="H7" s="10">
        <v>30000</v>
      </c>
    </row>
    <row r="8" spans="1:8" x14ac:dyDescent="0.3">
      <c r="B8" t="s">
        <v>25</v>
      </c>
      <c r="C8" s="10">
        <v>200</v>
      </c>
      <c r="D8" s="10">
        <v>200</v>
      </c>
      <c r="E8" s="10">
        <v>200</v>
      </c>
      <c r="F8" s="10">
        <v>200</v>
      </c>
      <c r="G8" s="10">
        <v>200</v>
      </c>
      <c r="H8" s="10">
        <v>200</v>
      </c>
    </row>
    <row r="9" spans="1:8" x14ac:dyDescent="0.3">
      <c r="B9" t="s">
        <v>8</v>
      </c>
      <c r="C9" s="10">
        <v>50</v>
      </c>
      <c r="D9" s="10">
        <v>50</v>
      </c>
      <c r="E9" s="10">
        <v>50</v>
      </c>
      <c r="F9" s="10">
        <v>50</v>
      </c>
      <c r="G9" s="10">
        <v>50</v>
      </c>
      <c r="H9" s="10">
        <v>50</v>
      </c>
    </row>
    <row r="10" spans="1:8" x14ac:dyDescent="0.3">
      <c r="B10" t="s">
        <v>9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</row>
    <row r="11" spans="1:8" x14ac:dyDescent="0.3">
      <c r="B11" t="s">
        <v>10</v>
      </c>
      <c r="C11" s="10">
        <v>1</v>
      </c>
      <c r="D11" s="10">
        <v>1</v>
      </c>
      <c r="E11" s="18">
        <v>2</v>
      </c>
      <c r="F11" s="18">
        <v>2</v>
      </c>
      <c r="G11" s="18">
        <v>2</v>
      </c>
      <c r="H11" s="18">
        <v>2</v>
      </c>
    </row>
    <row r="12" spans="1:8" x14ac:dyDescent="0.3">
      <c r="A12" s="3"/>
      <c r="B12" s="3" t="s">
        <v>11</v>
      </c>
      <c r="C12" s="11">
        <v>115000</v>
      </c>
      <c r="D12" s="11">
        <v>362000</v>
      </c>
      <c r="E12" s="11">
        <v>362000</v>
      </c>
      <c r="F12" s="11">
        <v>494000</v>
      </c>
      <c r="G12" s="11">
        <v>297000</v>
      </c>
      <c r="H12" s="11">
        <v>352000</v>
      </c>
    </row>
    <row r="13" spans="1:8" x14ac:dyDescent="0.3">
      <c r="B13" t="s">
        <v>17</v>
      </c>
      <c r="C13" s="10">
        <f>C3*30</f>
        <v>300</v>
      </c>
      <c r="D13" s="10">
        <v>900</v>
      </c>
      <c r="E13" s="10">
        <v>900</v>
      </c>
      <c r="F13" s="10">
        <v>750</v>
      </c>
      <c r="G13" s="10">
        <v>600</v>
      </c>
      <c r="H13" s="10">
        <v>300</v>
      </c>
    </row>
    <row r="14" spans="1:8" x14ac:dyDescent="0.3">
      <c r="B14" t="s">
        <v>18</v>
      </c>
      <c r="C14" s="10">
        <v>115</v>
      </c>
      <c r="D14" s="10">
        <v>362</v>
      </c>
      <c r="E14" s="10">
        <v>362</v>
      </c>
      <c r="F14" s="10">
        <v>294</v>
      </c>
      <c r="G14" s="10">
        <v>297</v>
      </c>
      <c r="H14" s="10">
        <v>152</v>
      </c>
    </row>
    <row r="15" spans="1:8" x14ac:dyDescent="0.3">
      <c r="B15" t="s">
        <v>19</v>
      </c>
      <c r="C15" s="10">
        <v>70</v>
      </c>
      <c r="D15" s="10">
        <v>190</v>
      </c>
      <c r="E15" s="10">
        <v>190</v>
      </c>
      <c r="F15" s="10">
        <v>157</v>
      </c>
      <c r="G15" s="10">
        <v>65</v>
      </c>
      <c r="H15" s="10">
        <v>33</v>
      </c>
    </row>
    <row r="16" spans="1:8" x14ac:dyDescent="0.3">
      <c r="B16" t="s">
        <v>20</v>
      </c>
      <c r="C16" s="10">
        <f>C4*(C14+C5)</f>
        <v>115000</v>
      </c>
      <c r="D16" s="10">
        <v>362000</v>
      </c>
      <c r="E16" s="10">
        <v>362000</v>
      </c>
      <c r="F16" s="10">
        <v>494000</v>
      </c>
      <c r="G16" s="10">
        <v>297000</v>
      </c>
      <c r="H16" s="10">
        <v>352000</v>
      </c>
    </row>
    <row r="17" spans="1:8" x14ac:dyDescent="0.3">
      <c r="A17" s="4"/>
      <c r="B17" s="4" t="s">
        <v>12</v>
      </c>
      <c r="C17" s="12">
        <f>C18+C23</f>
        <v>155875</v>
      </c>
      <c r="D17" s="17">
        <v>366390</v>
      </c>
      <c r="E17" s="17">
        <v>366390</v>
      </c>
      <c r="F17" s="17">
        <v>319245</v>
      </c>
      <c r="G17" s="17">
        <v>287415</v>
      </c>
      <c r="H17" s="17">
        <v>200300</v>
      </c>
    </row>
    <row r="18" spans="1:8" x14ac:dyDescent="0.3">
      <c r="A18" s="5"/>
      <c r="B18" s="5" t="s">
        <v>13</v>
      </c>
      <c r="C18" s="13">
        <v>70000</v>
      </c>
      <c r="D18" s="13">
        <v>110000</v>
      </c>
      <c r="E18" s="13">
        <v>110000</v>
      </c>
      <c r="F18" s="13">
        <v>110000</v>
      </c>
      <c r="G18" s="13">
        <v>110000</v>
      </c>
      <c r="H18" s="13">
        <v>110000</v>
      </c>
    </row>
    <row r="19" spans="1:8" x14ac:dyDescent="0.3">
      <c r="B19" t="s">
        <v>7</v>
      </c>
      <c r="C19" s="10" t="s">
        <v>37</v>
      </c>
      <c r="D19" s="10">
        <v>30000</v>
      </c>
      <c r="E19" s="10">
        <v>30000</v>
      </c>
      <c r="F19" s="10">
        <v>30000</v>
      </c>
      <c r="G19" s="10">
        <v>30000</v>
      </c>
      <c r="H19" s="10">
        <v>30000</v>
      </c>
    </row>
    <row r="20" spans="1:8" x14ac:dyDescent="0.3">
      <c r="B20" t="s">
        <v>21</v>
      </c>
      <c r="C20" s="10" t="s">
        <v>38</v>
      </c>
      <c r="D20" s="10">
        <v>10000</v>
      </c>
      <c r="E20" s="10">
        <v>10000</v>
      </c>
      <c r="F20" s="10">
        <v>10000</v>
      </c>
      <c r="G20" s="10">
        <v>10000</v>
      </c>
      <c r="H20" s="10">
        <v>10000</v>
      </c>
    </row>
    <row r="21" spans="1:8" x14ac:dyDescent="0.3">
      <c r="B21" t="s">
        <v>22</v>
      </c>
      <c r="C21" s="10" t="s">
        <v>38</v>
      </c>
      <c r="D21" s="18">
        <v>50000</v>
      </c>
      <c r="E21" s="18">
        <v>50000</v>
      </c>
      <c r="F21" s="18">
        <v>50000</v>
      </c>
      <c r="G21" s="18">
        <v>50000</v>
      </c>
      <c r="H21" s="18">
        <v>50000</v>
      </c>
    </row>
    <row r="22" spans="1:8" x14ac:dyDescent="0.3">
      <c r="B22" t="s">
        <v>23</v>
      </c>
      <c r="C22" s="10" t="s">
        <v>39</v>
      </c>
      <c r="D22" s="10">
        <v>20000</v>
      </c>
      <c r="E22" s="10">
        <v>20000</v>
      </c>
      <c r="F22" s="10">
        <v>20000</v>
      </c>
      <c r="G22" s="10">
        <v>20000</v>
      </c>
      <c r="H22" s="10">
        <v>20000</v>
      </c>
    </row>
    <row r="23" spans="1:8" x14ac:dyDescent="0.3">
      <c r="A23" s="6"/>
      <c r="B23" s="7" t="s">
        <v>14</v>
      </c>
      <c r="C23" s="14">
        <f>C24+C25+C26</f>
        <v>85875</v>
      </c>
      <c r="D23" s="14">
        <v>256390</v>
      </c>
      <c r="E23" s="14">
        <v>256390</v>
      </c>
      <c r="F23" s="14">
        <v>209245</v>
      </c>
      <c r="G23" s="14">
        <v>177415</v>
      </c>
      <c r="H23" s="14">
        <v>90300</v>
      </c>
    </row>
    <row r="24" spans="1:8" x14ac:dyDescent="0.3">
      <c r="B24" t="s">
        <v>24</v>
      </c>
      <c r="C24" s="10">
        <v>35175</v>
      </c>
      <c r="D24" s="10">
        <v>104140</v>
      </c>
      <c r="E24" s="10">
        <v>104140</v>
      </c>
      <c r="F24" s="10">
        <v>85995</v>
      </c>
      <c r="G24" s="10">
        <v>78165</v>
      </c>
      <c r="H24" s="10">
        <v>39600</v>
      </c>
    </row>
    <row r="25" spans="1:8" x14ac:dyDescent="0.3">
      <c r="B25" t="s">
        <v>26</v>
      </c>
      <c r="C25" s="10">
        <v>40200</v>
      </c>
      <c r="D25" s="10">
        <v>121800</v>
      </c>
      <c r="E25" s="10">
        <v>121800</v>
      </c>
      <c r="F25" s="10">
        <v>98600</v>
      </c>
      <c r="G25" s="10">
        <v>79400</v>
      </c>
      <c r="H25" s="10">
        <v>40200</v>
      </c>
    </row>
    <row r="26" spans="1:8" x14ac:dyDescent="0.3">
      <c r="B26" t="s">
        <v>27</v>
      </c>
      <c r="C26" s="10">
        <v>10500</v>
      </c>
      <c r="D26" s="10">
        <v>30450</v>
      </c>
      <c r="E26" s="10">
        <v>30450</v>
      </c>
      <c r="F26" s="10">
        <v>24650</v>
      </c>
      <c r="G26" s="10">
        <v>19850</v>
      </c>
      <c r="H26" s="10">
        <v>10500</v>
      </c>
    </row>
    <row r="27" spans="1:8" x14ac:dyDescent="0.3">
      <c r="A27" s="8"/>
      <c r="B27" s="8" t="s">
        <v>15</v>
      </c>
      <c r="C27" s="15"/>
      <c r="D27" s="15"/>
      <c r="E27" s="15"/>
      <c r="F27" s="15"/>
      <c r="G27" s="15"/>
      <c r="H27" s="15"/>
    </row>
    <row r="28" spans="1:8" x14ac:dyDescent="0.3">
      <c r="B28" t="s">
        <v>28</v>
      </c>
      <c r="C28" s="10">
        <f>C12-C17</f>
        <v>-40875</v>
      </c>
      <c r="D28" s="10">
        <f>D12-D17</f>
        <v>-4390</v>
      </c>
      <c r="E28" s="10">
        <f>E12-E17</f>
        <v>-4390</v>
      </c>
      <c r="F28" s="10">
        <f t="shared" ref="F28:G28" si="0">F12-F17</f>
        <v>174755</v>
      </c>
      <c r="G28" s="10">
        <f t="shared" si="0"/>
        <v>9585</v>
      </c>
      <c r="H28" s="10">
        <f t="shared" ref="H28" si="1">H12-H17</f>
        <v>151700</v>
      </c>
    </row>
    <row r="29" spans="1:8" x14ac:dyDescent="0.3">
      <c r="B29" t="s">
        <v>29</v>
      </c>
      <c r="C29" s="10">
        <f>C28/C13</f>
        <v>-136.25</v>
      </c>
      <c r="D29" s="10">
        <f>D28/D13</f>
        <v>-4.8777777777777782</v>
      </c>
      <c r="E29" s="10">
        <f>E28/E13</f>
        <v>-4.8777777777777782</v>
      </c>
      <c r="F29" s="10">
        <f t="shared" ref="F29:H29" si="2">F28/F13</f>
        <v>233.00666666666666</v>
      </c>
      <c r="G29" s="10">
        <f t="shared" si="2"/>
        <v>15.975</v>
      </c>
      <c r="H29" s="10">
        <f t="shared" si="2"/>
        <v>505.66666666666669</v>
      </c>
    </row>
    <row r="30" spans="1:8" x14ac:dyDescent="0.3">
      <c r="B30" t="s">
        <v>30</v>
      </c>
      <c r="C30" s="10">
        <f>C29/C4</f>
        <v>-0.13625000000000001</v>
      </c>
      <c r="D30" s="10">
        <f>D29/D4</f>
        <v>-4.8777777777777786E-3</v>
      </c>
      <c r="E30" s="10">
        <f>E29/E4</f>
        <v>-4.8777777777777786E-3</v>
      </c>
      <c r="F30" s="10">
        <f t="shared" ref="F30:H30" si="3">F29/F4</f>
        <v>0.23300666666666667</v>
      </c>
      <c r="G30" s="10">
        <f t="shared" si="3"/>
        <v>1.5975E-2</v>
      </c>
      <c r="H30" s="10">
        <f t="shared" si="3"/>
        <v>0.50566666666666671</v>
      </c>
    </row>
    <row r="31" spans="1:8" x14ac:dyDescent="0.3">
      <c r="B31" t="s">
        <v>31</v>
      </c>
      <c r="C31" s="10">
        <f>C17/C13</f>
        <v>519.58333333333337</v>
      </c>
      <c r="D31" s="10">
        <f>D17/D13</f>
        <v>407.1</v>
      </c>
      <c r="E31" s="10">
        <f>E17/E13</f>
        <v>407.1</v>
      </c>
      <c r="F31" s="10">
        <f t="shared" ref="F31:G31" si="4">F17/F13</f>
        <v>425.66</v>
      </c>
      <c r="G31" s="10">
        <f t="shared" si="4"/>
        <v>479.02499999999998</v>
      </c>
      <c r="H31" s="10">
        <f t="shared" ref="H31" si="5">H17/H13</f>
        <v>667.66666666666663</v>
      </c>
    </row>
    <row r="32" spans="1:8" x14ac:dyDescent="0.3">
      <c r="B32" t="s">
        <v>32</v>
      </c>
      <c r="C32" s="10" t="s">
        <v>40</v>
      </c>
      <c r="D32" s="10" t="s">
        <v>56</v>
      </c>
      <c r="E32" s="10" t="s">
        <v>55</v>
      </c>
      <c r="F32" s="10" t="s">
        <v>58</v>
      </c>
      <c r="G32" s="10" t="s">
        <v>63</v>
      </c>
      <c r="H32" s="10" t="s">
        <v>70</v>
      </c>
    </row>
    <row r="33" spans="1:8" ht="49.8" customHeight="1" x14ac:dyDescent="0.3">
      <c r="B33" s="9" t="s">
        <v>33</v>
      </c>
      <c r="C33" s="16" t="s">
        <v>41</v>
      </c>
      <c r="D33" s="16" t="s">
        <v>51</v>
      </c>
      <c r="E33" s="16" t="s">
        <v>65</v>
      </c>
      <c r="F33" s="16" t="s">
        <v>59</v>
      </c>
      <c r="G33" s="16" t="s">
        <v>64</v>
      </c>
      <c r="H33" s="16" t="s">
        <v>71</v>
      </c>
    </row>
    <row r="34" spans="1:8" x14ac:dyDescent="0.3">
      <c r="B34" t="s">
        <v>34</v>
      </c>
      <c r="C34" s="10" t="s">
        <v>42</v>
      </c>
      <c r="D34" s="10" t="s">
        <v>52</v>
      </c>
      <c r="E34" s="10" t="s">
        <v>52</v>
      </c>
      <c r="F34" s="10" t="s">
        <v>61</v>
      </c>
      <c r="G34" s="10" t="s">
        <v>66</v>
      </c>
      <c r="H34" s="10" t="s">
        <v>72</v>
      </c>
    </row>
    <row r="35" spans="1:8" x14ac:dyDescent="0.3">
      <c r="B35" t="s">
        <v>35</v>
      </c>
      <c r="C35" s="10" t="s">
        <v>43</v>
      </c>
      <c r="D35" s="10" t="s">
        <v>53</v>
      </c>
      <c r="E35" s="10" t="s">
        <v>54</v>
      </c>
      <c r="F35" s="10" t="s">
        <v>60</v>
      </c>
      <c r="G35" s="10" t="s">
        <v>67</v>
      </c>
      <c r="H35" s="10" t="s">
        <v>73</v>
      </c>
    </row>
    <row r="36" spans="1:8" x14ac:dyDescent="0.3">
      <c r="B36" t="s">
        <v>36</v>
      </c>
      <c r="C36" s="10">
        <f>(C15/C13)*100</f>
        <v>23.333333333333332</v>
      </c>
      <c r="D36" s="10">
        <f>(D15/D13)*100</f>
        <v>21.111111111111111</v>
      </c>
      <c r="E36" s="10">
        <f>(E15/E13)*100</f>
        <v>21.111111111111111</v>
      </c>
      <c r="F36" s="10">
        <f t="shared" ref="F36:G36" si="6">(F15/F13)*100</f>
        <v>20.933333333333334</v>
      </c>
      <c r="G36" s="10">
        <f t="shared" si="6"/>
        <v>10.833333333333334</v>
      </c>
      <c r="H36" s="10">
        <f t="shared" ref="H36" si="7">(H15/H13)*100</f>
        <v>11</v>
      </c>
    </row>
    <row r="37" spans="1:8" x14ac:dyDescent="0.3">
      <c r="A37" s="21"/>
      <c r="B37" s="21" t="s">
        <v>16</v>
      </c>
      <c r="C37" s="22"/>
      <c r="D37" s="22"/>
      <c r="E37" s="22"/>
      <c r="F37" s="22"/>
      <c r="G37" s="22"/>
      <c r="H37" s="22"/>
    </row>
    <row r="38" spans="1:8" x14ac:dyDescent="0.3">
      <c r="C38" s="10" t="s">
        <v>44</v>
      </c>
      <c r="D38" s="10" t="s">
        <v>46</v>
      </c>
      <c r="E38" s="10" t="s">
        <v>57</v>
      </c>
      <c r="F38" s="19" t="s">
        <v>62</v>
      </c>
      <c r="G38" s="20" t="s">
        <v>62</v>
      </c>
      <c r="H38" s="20" t="s">
        <v>68</v>
      </c>
    </row>
    <row r="39" spans="1:8" x14ac:dyDescent="0.3">
      <c r="C39" s="10" t="s">
        <v>45</v>
      </c>
      <c r="D39" s="10"/>
      <c r="E39" s="10"/>
      <c r="F39" s="10"/>
      <c r="G39" s="10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 AS 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2025-05-21T19:37:27Z</dcterms:modified>
</cp:coreProperties>
</file>