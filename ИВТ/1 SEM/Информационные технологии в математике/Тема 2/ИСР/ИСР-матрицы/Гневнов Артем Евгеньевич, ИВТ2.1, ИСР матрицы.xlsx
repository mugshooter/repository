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rtyom\OneDrive\Рабочий стол\учеба\РГПУ\ИТ в математике\Тема 2\ИСР-матрицы\"/>
    </mc:Choice>
  </mc:AlternateContent>
  <xr:revisionPtr revIDLastSave="0" documentId="13_ncr:1_{8753A6DA-7E81-4E01-9240-CA0E26727AD6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  <sheet name="Задание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6" l="1" a="1"/>
  <c r="P26" i="6" s="1"/>
  <c r="O19" i="6" a="1"/>
  <c r="O19" i="6" s="1"/>
  <c r="N13" i="6" a="1"/>
  <c r="N13" i="6" s="1"/>
  <c r="M8" i="6" a="1"/>
  <c r="M8" i="6" s="1"/>
  <c r="M3" i="6" a="1"/>
  <c r="M3" i="6" s="1"/>
  <c r="G26" i="5"/>
  <c r="F19" i="5"/>
  <c r="E13" i="5"/>
  <c r="D8" i="5"/>
  <c r="C3" i="5"/>
  <c r="A30" i="4" a="1"/>
  <c r="A30" i="4" s="1"/>
  <c r="O20" i="4" a="1"/>
  <c r="O20" i="4" s="1"/>
  <c r="K20" i="4" a="1"/>
  <c r="K20" i="4" s="1"/>
  <c r="G20" i="4" a="1"/>
  <c r="G20" i="4" s="1"/>
  <c r="A20" i="4" a="1"/>
  <c r="A20" i="4" s="1"/>
  <c r="P23" i="3" a="1"/>
  <c r="P23" i="3" s="1"/>
  <c r="M23" i="3" a="1"/>
  <c r="M23" i="3" s="1"/>
  <c r="J23" i="3" a="1"/>
  <c r="J23" i="3" s="1"/>
  <c r="G23" i="3" a="1"/>
  <c r="G23" i="3" s="1"/>
  <c r="A23" i="3" a="1"/>
  <c r="A23" i="3" s="1"/>
  <c r="M3" i="2" a="1"/>
  <c r="M3" i="2" s="1"/>
  <c r="A10" i="2" a="1"/>
  <c r="A10" i="2" s="1"/>
  <c r="H3" i="2" a="1"/>
  <c r="H3" i="2" s="1"/>
  <c r="D3" i="2" a="1"/>
  <c r="D3" i="2" s="1"/>
  <c r="A3" i="2" a="1"/>
  <c r="A3" i="2" s="1"/>
  <c r="V42" i="1"/>
  <c r="W42" i="1"/>
  <c r="X42" i="1"/>
  <c r="V43" i="1"/>
  <c r="W43" i="1"/>
  <c r="X43" i="1"/>
  <c r="W41" i="1"/>
  <c r="X41" i="1"/>
  <c r="V41" i="1"/>
  <c r="R42" i="1"/>
  <c r="S42" i="1"/>
  <c r="T42" i="1"/>
  <c r="R43" i="1"/>
  <c r="S43" i="1"/>
  <c r="T43" i="1"/>
  <c r="S41" i="1"/>
  <c r="T41" i="1"/>
  <c r="R41" i="1"/>
  <c r="N42" i="1"/>
  <c r="O42" i="1"/>
  <c r="P42" i="1"/>
  <c r="N43" i="1"/>
  <c r="O43" i="1"/>
  <c r="P43" i="1"/>
  <c r="O41" i="1"/>
  <c r="P41" i="1"/>
  <c r="N41" i="1"/>
  <c r="L41" i="1"/>
  <c r="L42" i="1"/>
  <c r="L43" i="1"/>
  <c r="H41" i="1"/>
  <c r="I41" i="1"/>
  <c r="J41" i="1"/>
  <c r="K41" i="1"/>
  <c r="H42" i="1"/>
  <c r="I42" i="1"/>
  <c r="J42" i="1"/>
  <c r="K42" i="1"/>
  <c r="H43" i="1"/>
  <c r="I43" i="1"/>
  <c r="J43" i="1"/>
  <c r="K43" i="1"/>
  <c r="G42" i="1"/>
  <c r="G43" i="1"/>
  <c r="G41" i="1"/>
  <c r="A42" i="1"/>
  <c r="B42" i="1"/>
  <c r="C42" i="1"/>
  <c r="D42" i="1"/>
  <c r="E42" i="1"/>
  <c r="A43" i="1"/>
  <c r="B43" i="1"/>
  <c r="C43" i="1"/>
  <c r="D43" i="1"/>
  <c r="E43" i="1"/>
  <c r="A44" i="1"/>
  <c r="B44" i="1"/>
  <c r="C44" i="1"/>
  <c r="D44" i="1"/>
  <c r="E44" i="1"/>
  <c r="A45" i="1"/>
  <c r="B45" i="1"/>
  <c r="C45" i="1"/>
  <c r="D45" i="1"/>
  <c r="E45" i="1"/>
  <c r="B41" i="1"/>
  <c r="C41" i="1"/>
  <c r="D41" i="1"/>
  <c r="E41" i="1"/>
  <c r="A41" i="1"/>
  <c r="B33" i="1"/>
  <c r="C33" i="1"/>
  <c r="E33" i="1"/>
  <c r="F33" i="1"/>
  <c r="G33" i="1"/>
  <c r="I33" i="1"/>
  <c r="J33" i="1"/>
  <c r="K33" i="1"/>
  <c r="M33" i="1"/>
  <c r="N33" i="1"/>
  <c r="O33" i="1"/>
  <c r="Q33" i="1"/>
  <c r="R33" i="1"/>
  <c r="S33" i="1"/>
  <c r="B34" i="1"/>
  <c r="C34" i="1"/>
  <c r="E34" i="1"/>
  <c r="F34" i="1"/>
  <c r="G34" i="1"/>
  <c r="I34" i="1"/>
  <c r="J34" i="1"/>
  <c r="K34" i="1"/>
  <c r="M34" i="1"/>
  <c r="N34" i="1"/>
  <c r="O34" i="1"/>
  <c r="Q34" i="1"/>
  <c r="R34" i="1"/>
  <c r="S34" i="1"/>
  <c r="B35" i="1"/>
  <c r="C35" i="1"/>
  <c r="E35" i="1"/>
  <c r="F35" i="1"/>
  <c r="G35" i="1"/>
  <c r="I35" i="1"/>
  <c r="J35" i="1"/>
  <c r="K35" i="1"/>
  <c r="M35" i="1"/>
  <c r="N35" i="1"/>
  <c r="O35" i="1"/>
  <c r="Q35" i="1"/>
  <c r="R35" i="1"/>
  <c r="S35" i="1"/>
  <c r="A34" i="1"/>
  <c r="A35" i="1"/>
  <c r="A33" i="1"/>
  <c r="S27" i="1"/>
  <c r="Q26" i="1"/>
  <c r="R26" i="1"/>
  <c r="S26" i="1"/>
  <c r="Q27" i="1"/>
  <c r="R27" i="1"/>
  <c r="R25" i="1"/>
  <c r="S25" i="1"/>
  <c r="Q25" i="1"/>
  <c r="M26" i="1"/>
  <c r="N26" i="1"/>
  <c r="O26" i="1"/>
  <c r="M27" i="1"/>
  <c r="N27" i="1"/>
  <c r="O27" i="1"/>
  <c r="N25" i="1"/>
  <c r="O25" i="1"/>
  <c r="M25" i="1"/>
  <c r="I26" i="1"/>
  <c r="J26" i="1"/>
  <c r="K26" i="1"/>
  <c r="I27" i="1"/>
  <c r="J27" i="1"/>
  <c r="K27" i="1"/>
  <c r="J25" i="1"/>
  <c r="K25" i="1"/>
  <c r="I25" i="1"/>
  <c r="E26" i="1"/>
  <c r="F26" i="1"/>
  <c r="G26" i="1"/>
  <c r="E27" i="1"/>
  <c r="F27" i="1"/>
  <c r="G27" i="1"/>
  <c r="F25" i="1"/>
  <c r="G25" i="1"/>
  <c r="E25" i="1"/>
  <c r="B25" i="1"/>
  <c r="C25" i="1"/>
  <c r="B26" i="1"/>
  <c r="C26" i="1"/>
  <c r="B27" i="1"/>
  <c r="C27" i="1"/>
  <c r="A26" i="1"/>
  <c r="A27" i="1"/>
  <c r="A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<sst xmlns="http://schemas.openxmlformats.org/spreadsheetml/2006/main" count="73" uniqueCount="47">
  <si>
    <t>Матрица А</t>
  </si>
  <si>
    <t>Матрица В</t>
  </si>
  <si>
    <t>Матрица С</t>
  </si>
  <si>
    <t>Матрица D</t>
  </si>
  <si>
    <t>Матрица E</t>
  </si>
  <si>
    <t>Матрица F</t>
  </si>
  <si>
    <t>Матрица G</t>
  </si>
  <si>
    <t>Матрица H</t>
  </si>
  <si>
    <t>Матрица I</t>
  </si>
  <si>
    <t>Матрица J</t>
  </si>
  <si>
    <t>Матрица K</t>
  </si>
  <si>
    <t>Матрица L</t>
  </si>
  <si>
    <t>Сложение</t>
  </si>
  <si>
    <t>Матрица M = A+F</t>
  </si>
  <si>
    <t>Матрица N = B+G</t>
  </si>
  <si>
    <t>Матрица O = C+H</t>
  </si>
  <si>
    <t>Матрица P= D+I</t>
  </si>
  <si>
    <t>Матрица Q= E+J</t>
  </si>
  <si>
    <t>Вычитание</t>
  </si>
  <si>
    <t>k</t>
  </si>
  <si>
    <t>Умножение матрицы на число</t>
  </si>
  <si>
    <t>Матрица R = A-F</t>
  </si>
  <si>
    <t>Матрица S = B-G</t>
  </si>
  <si>
    <t>Матрица T = C-H</t>
  </si>
  <si>
    <t>Матрица U= D-I</t>
  </si>
  <si>
    <t>Матрица V= E-J</t>
  </si>
  <si>
    <t>Матрица W = k*K</t>
  </si>
  <si>
    <t>Матрица X = k*L</t>
  </si>
  <si>
    <t>Матрица AA = k*I</t>
  </si>
  <si>
    <t>Матрица AB = k*V</t>
  </si>
  <si>
    <t>Матрица AC = k*S</t>
  </si>
  <si>
    <t>Матрица A</t>
  </si>
  <si>
    <t>Матрица B</t>
  </si>
  <si>
    <t>Матрица C</t>
  </si>
  <si>
    <t>Умножение</t>
  </si>
  <si>
    <t>Матрица E= B*A</t>
  </si>
  <si>
    <t>Матрица I= A*F</t>
  </si>
  <si>
    <t>Матрица J= B*A</t>
  </si>
  <si>
    <t>Матрица K= B*F</t>
  </si>
  <si>
    <t>Матрица M= A*G</t>
  </si>
  <si>
    <t>Матрица G =АТ</t>
  </si>
  <si>
    <t>Матрица H = ВТ</t>
  </si>
  <si>
    <t>Матрица I = CТ</t>
  </si>
  <si>
    <t>Матрица J = DТ</t>
  </si>
  <si>
    <t>Матрица K = FТ</t>
  </si>
  <si>
    <t>определитель</t>
  </si>
  <si>
    <t>Обратная матрица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</si>
</sst>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3" fillId="0" borderId="2" xfId="0" applyFont="1" applyFill="1" applyBorder="1" applyAlignment="1"/>
    <xf numFmtId="0" fontId="3" fillId="0" borderId="0" xfId="0" applyFont="1" applyAlignment="1"/>
    <xf numFmtId="0" fontId="2" fillId="7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zoomScaleNormal="100" workbookViewId="0">
      <selection activeCell="A13" sqref="A13:E19"/>
    </sheetView>
  </sheetViews>
  <sheetFormatPr defaultRowHeight="15.6" x14ac:dyDescent="0.3"/>
  <cols>
    <col min="1" max="16384" width="8.88671875" style="2"/>
  </cols>
  <sheetData>
    <row r="1" spans="1:19" x14ac:dyDescent="0.3">
      <c r="A1" s="1" t="s">
        <v>0</v>
      </c>
      <c r="B1" s="1"/>
      <c r="E1" s="1" t="s">
        <v>1</v>
      </c>
      <c r="F1" s="1"/>
      <c r="I1" s="1" t="s">
        <v>2</v>
      </c>
      <c r="J1" s="1"/>
      <c r="M1" s="1" t="s">
        <v>3</v>
      </c>
      <c r="N1" s="1"/>
      <c r="Q1" s="1" t="s">
        <v>4</v>
      </c>
      <c r="R1" s="1"/>
    </row>
    <row r="3" spans="1:19" x14ac:dyDescent="0.3">
      <c r="A3" s="3">
        <v>1</v>
      </c>
      <c r="B3" s="3">
        <v>2</v>
      </c>
      <c r="C3" s="3">
        <v>8</v>
      </c>
      <c r="E3" s="3">
        <v>7</v>
      </c>
      <c r="F3" s="3">
        <v>3</v>
      </c>
      <c r="G3" s="3">
        <v>9</v>
      </c>
      <c r="I3" s="3">
        <v>1</v>
      </c>
      <c r="J3" s="3">
        <v>7</v>
      </c>
      <c r="K3" s="3">
        <v>5</v>
      </c>
      <c r="M3" s="3">
        <v>5</v>
      </c>
      <c r="N3" s="3">
        <v>3</v>
      </c>
      <c r="O3" s="3">
        <v>11</v>
      </c>
      <c r="Q3" s="3">
        <v>6</v>
      </c>
      <c r="R3" s="3">
        <v>3</v>
      </c>
      <c r="S3" s="3">
        <v>2</v>
      </c>
    </row>
    <row r="4" spans="1:19" x14ac:dyDescent="0.3">
      <c r="A4" s="3">
        <v>3</v>
      </c>
      <c r="B4" s="3">
        <v>4</v>
      </c>
      <c r="C4" s="3">
        <v>4</v>
      </c>
      <c r="E4" s="3">
        <v>1</v>
      </c>
      <c r="F4" s="3">
        <v>4</v>
      </c>
      <c r="G4" s="3">
        <v>23</v>
      </c>
      <c r="I4" s="3">
        <v>9</v>
      </c>
      <c r="J4" s="3">
        <v>12</v>
      </c>
      <c r="K4" s="3">
        <v>4</v>
      </c>
      <c r="M4" s="3">
        <v>3</v>
      </c>
      <c r="N4" s="3">
        <v>7</v>
      </c>
      <c r="O4" s="3">
        <v>4</v>
      </c>
      <c r="Q4" s="3">
        <v>3</v>
      </c>
      <c r="R4" s="3">
        <v>5</v>
      </c>
      <c r="S4" s="3">
        <v>6</v>
      </c>
    </row>
    <row r="5" spans="1:19" x14ac:dyDescent="0.3">
      <c r="A5" s="3">
        <v>1</v>
      </c>
      <c r="B5" s="3">
        <v>2</v>
      </c>
      <c r="C5" s="3">
        <v>6</v>
      </c>
      <c r="E5" s="3">
        <v>5</v>
      </c>
      <c r="F5" s="3">
        <v>7</v>
      </c>
      <c r="G5" s="3">
        <v>8</v>
      </c>
      <c r="I5" s="3">
        <v>15</v>
      </c>
      <c r="J5" s="3">
        <v>32</v>
      </c>
      <c r="K5" s="3">
        <v>7</v>
      </c>
      <c r="M5" s="3">
        <v>12</v>
      </c>
      <c r="N5" s="3">
        <v>53</v>
      </c>
      <c r="O5" s="3">
        <v>6</v>
      </c>
      <c r="Q5" s="3">
        <v>15</v>
      </c>
      <c r="R5" s="3">
        <v>3</v>
      </c>
      <c r="S5" s="3">
        <v>9</v>
      </c>
    </row>
    <row r="7" spans="1:19" x14ac:dyDescent="0.3">
      <c r="A7" s="1" t="s">
        <v>5</v>
      </c>
      <c r="B7" s="1"/>
      <c r="E7" s="1" t="s">
        <v>6</v>
      </c>
      <c r="F7" s="1"/>
      <c r="I7" s="1" t="s">
        <v>7</v>
      </c>
      <c r="J7" s="1"/>
      <c r="M7" s="1" t="s">
        <v>8</v>
      </c>
      <c r="N7" s="1"/>
      <c r="Q7" s="1" t="s">
        <v>9</v>
      </c>
      <c r="R7" s="1"/>
    </row>
    <row r="9" spans="1:19" x14ac:dyDescent="0.3">
      <c r="A9" s="3">
        <v>6</v>
      </c>
      <c r="B9" s="3">
        <v>4</v>
      </c>
      <c r="C9" s="3">
        <v>2</v>
      </c>
      <c r="E9" s="3">
        <v>5</v>
      </c>
      <c r="F9" s="3">
        <v>5</v>
      </c>
      <c r="G9" s="3">
        <v>2</v>
      </c>
      <c r="I9" s="3">
        <v>6</v>
      </c>
      <c r="J9" s="3">
        <v>34</v>
      </c>
      <c r="K9" s="3">
        <v>4</v>
      </c>
      <c r="M9" s="3">
        <v>9</v>
      </c>
      <c r="N9" s="3">
        <v>43</v>
      </c>
      <c r="O9" s="3">
        <v>3</v>
      </c>
      <c r="Q9" s="3">
        <v>64</v>
      </c>
      <c r="R9" s="3">
        <v>3</v>
      </c>
      <c r="S9" s="3">
        <v>5</v>
      </c>
    </row>
    <row r="10" spans="1:19" x14ac:dyDescent="0.3">
      <c r="A10" s="3">
        <v>7</v>
      </c>
      <c r="B10" s="3">
        <v>3</v>
      </c>
      <c r="C10" s="3">
        <v>5</v>
      </c>
      <c r="E10" s="3">
        <v>3</v>
      </c>
      <c r="F10" s="3">
        <v>4</v>
      </c>
      <c r="G10" s="3">
        <v>53</v>
      </c>
      <c r="I10" s="3">
        <v>6</v>
      </c>
      <c r="J10" s="3">
        <v>2</v>
      </c>
      <c r="K10" s="3">
        <v>5</v>
      </c>
      <c r="M10" s="3">
        <v>4</v>
      </c>
      <c r="N10" s="3">
        <v>6</v>
      </c>
      <c r="O10" s="3">
        <v>7</v>
      </c>
      <c r="Q10" s="3">
        <v>6</v>
      </c>
      <c r="R10" s="3">
        <v>21</v>
      </c>
      <c r="S10" s="3">
        <v>4</v>
      </c>
    </row>
    <row r="11" spans="1:19" x14ac:dyDescent="0.3">
      <c r="A11" s="3">
        <v>3</v>
      </c>
      <c r="B11" s="3">
        <v>8</v>
      </c>
      <c r="C11" s="3">
        <v>3</v>
      </c>
      <c r="E11" s="3">
        <v>1</v>
      </c>
      <c r="F11" s="3">
        <v>2</v>
      </c>
      <c r="G11" s="3">
        <v>5</v>
      </c>
      <c r="I11" s="3">
        <v>3</v>
      </c>
      <c r="J11" s="3">
        <v>7</v>
      </c>
      <c r="K11" s="3">
        <v>7</v>
      </c>
      <c r="M11" s="3">
        <v>53</v>
      </c>
      <c r="N11" s="3">
        <v>4</v>
      </c>
      <c r="O11" s="3">
        <v>5</v>
      </c>
      <c r="Q11" s="3">
        <v>23</v>
      </c>
      <c r="R11" s="3">
        <v>13</v>
      </c>
      <c r="S11" s="3">
        <v>2</v>
      </c>
    </row>
    <row r="13" spans="1:19" x14ac:dyDescent="0.3">
      <c r="A13" s="4" t="s">
        <v>10</v>
      </c>
      <c r="B13" s="4"/>
      <c r="G13" s="4" t="s">
        <v>11</v>
      </c>
      <c r="H13" s="4"/>
    </row>
    <row r="15" spans="1:19" x14ac:dyDescent="0.3">
      <c r="A15" s="3">
        <v>51</v>
      </c>
      <c r="B15" s="3">
        <v>6</v>
      </c>
      <c r="C15" s="3">
        <v>9</v>
      </c>
      <c r="D15" s="3">
        <v>4</v>
      </c>
      <c r="E15" s="3">
        <v>7</v>
      </c>
      <c r="G15" s="3">
        <v>1</v>
      </c>
      <c r="H15" s="3">
        <v>4</v>
      </c>
      <c r="I15" s="3">
        <v>3</v>
      </c>
      <c r="J15" s="3">
        <v>6</v>
      </c>
      <c r="K15" s="3">
        <v>9</v>
      </c>
      <c r="L15" s="3">
        <v>14</v>
      </c>
      <c r="N15" s="3" t="s">
        <v>19</v>
      </c>
      <c r="O15" s="3">
        <v>4</v>
      </c>
    </row>
    <row r="16" spans="1:19" x14ac:dyDescent="0.3">
      <c r="A16" s="3">
        <v>43</v>
      </c>
      <c r="B16" s="3">
        <v>65</v>
      </c>
      <c r="C16" s="3">
        <v>32</v>
      </c>
      <c r="D16" s="3">
        <v>5</v>
      </c>
      <c r="E16" s="3">
        <v>4</v>
      </c>
      <c r="G16" s="3">
        <v>44</v>
      </c>
      <c r="H16" s="3">
        <v>11</v>
      </c>
      <c r="I16" s="3">
        <v>1</v>
      </c>
      <c r="J16" s="3">
        <v>53</v>
      </c>
      <c r="K16" s="3">
        <v>6</v>
      </c>
      <c r="L16" s="3">
        <v>3</v>
      </c>
    </row>
    <row r="17" spans="1:19" x14ac:dyDescent="0.3">
      <c r="A17" s="3">
        <v>2</v>
      </c>
      <c r="B17" s="3">
        <v>5</v>
      </c>
      <c r="C17" s="3">
        <v>15</v>
      </c>
      <c r="D17" s="3">
        <v>1</v>
      </c>
      <c r="E17" s="3">
        <v>1</v>
      </c>
      <c r="G17" s="3">
        <v>22</v>
      </c>
      <c r="H17" s="3">
        <v>5</v>
      </c>
      <c r="I17" s="3">
        <v>9</v>
      </c>
      <c r="J17" s="3">
        <v>8</v>
      </c>
      <c r="K17" s="3">
        <v>4</v>
      </c>
      <c r="L17" s="3">
        <v>52</v>
      </c>
    </row>
    <row r="18" spans="1:19" x14ac:dyDescent="0.3">
      <c r="A18" s="3">
        <v>7</v>
      </c>
      <c r="B18" s="3">
        <v>36</v>
      </c>
      <c r="C18" s="3">
        <v>6</v>
      </c>
      <c r="D18" s="3">
        <v>7</v>
      </c>
      <c r="E18" s="3">
        <v>1</v>
      </c>
    </row>
    <row r="19" spans="1:19" x14ac:dyDescent="0.3">
      <c r="A19" s="3">
        <v>0</v>
      </c>
      <c r="B19" s="3">
        <v>5</v>
      </c>
      <c r="C19" s="3">
        <v>7</v>
      </c>
      <c r="D19" s="3">
        <v>0</v>
      </c>
      <c r="E19" s="3">
        <v>9</v>
      </c>
    </row>
    <row r="21" spans="1:19" x14ac:dyDescent="0.3">
      <c r="A21" s="4" t="s">
        <v>12</v>
      </c>
      <c r="B21" s="4"/>
    </row>
    <row r="23" spans="1:19" x14ac:dyDescent="0.3">
      <c r="A23" s="1" t="s">
        <v>13</v>
      </c>
      <c r="B23" s="1"/>
      <c r="E23" s="1" t="s">
        <v>14</v>
      </c>
      <c r="F23" s="1"/>
      <c r="I23" s="1" t="s">
        <v>15</v>
      </c>
      <c r="J23" s="1"/>
      <c r="M23" s="1" t="s">
        <v>16</v>
      </c>
      <c r="N23" s="1"/>
      <c r="Q23" s="1" t="s">
        <v>17</v>
      </c>
      <c r="R23" s="1"/>
    </row>
    <row r="25" spans="1:19" x14ac:dyDescent="0.3">
      <c r="A25" s="5">
        <f>A3+A9</f>
        <v>7</v>
      </c>
      <c r="B25" s="5">
        <f t="shared" ref="B25:C25" si="0">B3+B9</f>
        <v>6</v>
      </c>
      <c r="C25" s="5">
        <f t="shared" si="0"/>
        <v>10</v>
      </c>
      <c r="E25" s="5">
        <f>E3+E9</f>
        <v>12</v>
      </c>
      <c r="F25" s="5">
        <f t="shared" ref="F25:G25" si="1">F3+F9</f>
        <v>8</v>
      </c>
      <c r="G25" s="5">
        <f t="shared" si="1"/>
        <v>11</v>
      </c>
      <c r="I25" s="5">
        <f>I3+I9</f>
        <v>7</v>
      </c>
      <c r="J25" s="5">
        <f t="shared" ref="J25:K25" si="2">J3+J9</f>
        <v>41</v>
      </c>
      <c r="K25" s="5">
        <f t="shared" si="2"/>
        <v>9</v>
      </c>
      <c r="M25" s="5">
        <f>M3+M9</f>
        <v>14</v>
      </c>
      <c r="N25" s="5">
        <f t="shared" ref="N25:O25" si="3">N3+N9</f>
        <v>46</v>
      </c>
      <c r="O25" s="5">
        <f t="shared" si="3"/>
        <v>14</v>
      </c>
      <c r="Q25" s="5">
        <f>Q3+Q9</f>
        <v>70</v>
      </c>
      <c r="R25" s="5">
        <f t="shared" ref="R25:S25" si="4">R3+R9</f>
        <v>6</v>
      </c>
      <c r="S25" s="5">
        <f t="shared" si="4"/>
        <v>7</v>
      </c>
    </row>
    <row r="26" spans="1:19" x14ac:dyDescent="0.3">
      <c r="A26" s="5">
        <f t="shared" ref="A26:C27" si="5">A4+A10</f>
        <v>10</v>
      </c>
      <c r="B26" s="5">
        <f t="shared" si="5"/>
        <v>7</v>
      </c>
      <c r="C26" s="5">
        <f t="shared" si="5"/>
        <v>9</v>
      </c>
      <c r="E26" s="5">
        <f t="shared" ref="E26:G26" si="6">E4+E10</f>
        <v>4</v>
      </c>
      <c r="F26" s="5">
        <f t="shared" si="6"/>
        <v>8</v>
      </c>
      <c r="G26" s="5">
        <f t="shared" si="6"/>
        <v>76</v>
      </c>
      <c r="I26" s="5">
        <f t="shared" ref="I26:K26" si="7">I4+I10</f>
        <v>15</v>
      </c>
      <c r="J26" s="5">
        <f t="shared" si="7"/>
        <v>14</v>
      </c>
      <c r="K26" s="5">
        <f t="shared" si="7"/>
        <v>9</v>
      </c>
      <c r="M26" s="5">
        <f t="shared" ref="M26:O26" si="8">M4+M10</f>
        <v>7</v>
      </c>
      <c r="N26" s="5">
        <f t="shared" si="8"/>
        <v>13</v>
      </c>
      <c r="O26" s="5">
        <f t="shared" si="8"/>
        <v>11</v>
      </c>
      <c r="Q26" s="5">
        <f t="shared" ref="Q26:S26" si="9">Q4+Q10</f>
        <v>9</v>
      </c>
      <c r="R26" s="5">
        <f t="shared" si="9"/>
        <v>26</v>
      </c>
      <c r="S26" s="5">
        <f t="shared" si="9"/>
        <v>10</v>
      </c>
    </row>
    <row r="27" spans="1:19" x14ac:dyDescent="0.3">
      <c r="A27" s="5">
        <f t="shared" si="5"/>
        <v>4</v>
      </c>
      <c r="B27" s="5">
        <f t="shared" si="5"/>
        <v>10</v>
      </c>
      <c r="C27" s="5">
        <f t="shared" si="5"/>
        <v>9</v>
      </c>
      <c r="E27" s="5">
        <f t="shared" ref="E27:G27" si="10">E5+E11</f>
        <v>6</v>
      </c>
      <c r="F27" s="5">
        <f t="shared" si="10"/>
        <v>9</v>
      </c>
      <c r="G27" s="5">
        <f t="shared" si="10"/>
        <v>13</v>
      </c>
      <c r="I27" s="5">
        <f t="shared" ref="I27:K27" si="11">I5+I11</f>
        <v>18</v>
      </c>
      <c r="J27" s="5">
        <f t="shared" si="11"/>
        <v>39</v>
      </c>
      <c r="K27" s="5">
        <f t="shared" si="11"/>
        <v>14</v>
      </c>
      <c r="M27" s="5">
        <f t="shared" ref="M27:O27" si="12">M5+M11</f>
        <v>65</v>
      </c>
      <c r="N27" s="5">
        <f t="shared" si="12"/>
        <v>57</v>
      </c>
      <c r="O27" s="5">
        <f t="shared" si="12"/>
        <v>11</v>
      </c>
      <c r="Q27" s="5">
        <f t="shared" ref="Q27:S27" si="13">Q5+Q11</f>
        <v>38</v>
      </c>
      <c r="R27" s="5">
        <f t="shared" si="13"/>
        <v>16</v>
      </c>
      <c r="S27" s="5">
        <f>S5+S11</f>
        <v>11</v>
      </c>
    </row>
    <row r="29" spans="1:19" x14ac:dyDescent="0.3">
      <c r="A29" s="4" t="s">
        <v>18</v>
      </c>
      <c r="B29" s="4"/>
    </row>
    <row r="31" spans="1:19" x14ac:dyDescent="0.3">
      <c r="A31" s="1" t="s">
        <v>21</v>
      </c>
      <c r="B31" s="1"/>
      <c r="E31" s="1" t="s">
        <v>22</v>
      </c>
      <c r="F31" s="1"/>
      <c r="I31" s="1" t="s">
        <v>23</v>
      </c>
      <c r="J31" s="1"/>
      <c r="M31" s="1" t="s">
        <v>24</v>
      </c>
      <c r="N31" s="1"/>
      <c r="Q31" s="1" t="s">
        <v>25</v>
      </c>
      <c r="R31" s="1"/>
    </row>
    <row r="33" spans="1:24" x14ac:dyDescent="0.3">
      <c r="A33" s="6">
        <f>A3-A9</f>
        <v>-5</v>
      </c>
      <c r="B33" s="6">
        <f t="shared" ref="B33:S35" si="14">B3-B9</f>
        <v>-2</v>
      </c>
      <c r="C33" s="6">
        <f t="shared" si="14"/>
        <v>6</v>
      </c>
      <c r="E33" s="6">
        <f t="shared" si="14"/>
        <v>2</v>
      </c>
      <c r="F33" s="6">
        <f t="shared" si="14"/>
        <v>-2</v>
      </c>
      <c r="G33" s="6">
        <f t="shared" si="14"/>
        <v>7</v>
      </c>
      <c r="I33" s="6">
        <f t="shared" si="14"/>
        <v>-5</v>
      </c>
      <c r="J33" s="6">
        <f t="shared" si="14"/>
        <v>-27</v>
      </c>
      <c r="K33" s="6">
        <f t="shared" si="14"/>
        <v>1</v>
      </c>
      <c r="M33" s="6">
        <f t="shared" si="14"/>
        <v>-4</v>
      </c>
      <c r="N33" s="6">
        <f t="shared" si="14"/>
        <v>-40</v>
      </c>
      <c r="O33" s="6">
        <f t="shared" si="14"/>
        <v>8</v>
      </c>
      <c r="Q33" s="6">
        <f t="shared" si="14"/>
        <v>-58</v>
      </c>
      <c r="R33" s="6">
        <f t="shared" si="14"/>
        <v>0</v>
      </c>
      <c r="S33" s="6">
        <f t="shared" si="14"/>
        <v>-3</v>
      </c>
    </row>
    <row r="34" spans="1:24" x14ac:dyDescent="0.3">
      <c r="A34" s="6">
        <f t="shared" ref="A34:P35" si="15">A4-A10</f>
        <v>-4</v>
      </c>
      <c r="B34" s="6">
        <f t="shared" si="15"/>
        <v>1</v>
      </c>
      <c r="C34" s="6">
        <f t="shared" si="15"/>
        <v>-1</v>
      </c>
      <c r="E34" s="6">
        <f t="shared" si="15"/>
        <v>-2</v>
      </c>
      <c r="F34" s="6">
        <f t="shared" si="15"/>
        <v>0</v>
      </c>
      <c r="G34" s="6">
        <f t="shared" si="15"/>
        <v>-30</v>
      </c>
      <c r="I34" s="6">
        <f t="shared" si="15"/>
        <v>3</v>
      </c>
      <c r="J34" s="6">
        <f t="shared" si="15"/>
        <v>10</v>
      </c>
      <c r="K34" s="6">
        <f t="shared" si="15"/>
        <v>-1</v>
      </c>
      <c r="M34" s="6">
        <f t="shared" si="15"/>
        <v>-1</v>
      </c>
      <c r="N34" s="6">
        <f t="shared" si="15"/>
        <v>1</v>
      </c>
      <c r="O34" s="6">
        <f t="shared" si="15"/>
        <v>-3</v>
      </c>
      <c r="Q34" s="6">
        <f t="shared" si="14"/>
        <v>-3</v>
      </c>
      <c r="R34" s="6">
        <f t="shared" si="14"/>
        <v>-16</v>
      </c>
      <c r="S34" s="6">
        <f t="shared" si="14"/>
        <v>2</v>
      </c>
    </row>
    <row r="35" spans="1:24" x14ac:dyDescent="0.3">
      <c r="A35" s="6">
        <f t="shared" si="15"/>
        <v>-2</v>
      </c>
      <c r="B35" s="6">
        <f t="shared" si="14"/>
        <v>-6</v>
      </c>
      <c r="C35" s="6">
        <f t="shared" si="14"/>
        <v>3</v>
      </c>
      <c r="E35" s="6">
        <f t="shared" si="14"/>
        <v>4</v>
      </c>
      <c r="F35" s="6">
        <f t="shared" si="14"/>
        <v>5</v>
      </c>
      <c r="G35" s="6">
        <f t="shared" si="14"/>
        <v>3</v>
      </c>
      <c r="I35" s="6">
        <f t="shared" si="14"/>
        <v>12</v>
      </c>
      <c r="J35" s="6">
        <f t="shared" si="14"/>
        <v>25</v>
      </c>
      <c r="K35" s="6">
        <f t="shared" si="14"/>
        <v>0</v>
      </c>
      <c r="M35" s="6">
        <f t="shared" si="14"/>
        <v>-41</v>
      </c>
      <c r="N35" s="6">
        <f t="shared" si="14"/>
        <v>49</v>
      </c>
      <c r="O35" s="6">
        <f t="shared" si="14"/>
        <v>1</v>
      </c>
      <c r="Q35" s="6">
        <f t="shared" si="14"/>
        <v>-8</v>
      </c>
      <c r="R35" s="6">
        <f t="shared" si="14"/>
        <v>-10</v>
      </c>
      <c r="S35" s="6">
        <f t="shared" si="14"/>
        <v>7</v>
      </c>
    </row>
    <row r="37" spans="1:24" x14ac:dyDescent="0.3">
      <c r="A37" s="4" t="s">
        <v>20</v>
      </c>
      <c r="B37" s="4"/>
      <c r="C37" s="4"/>
      <c r="D37" s="4"/>
      <c r="E37" s="4"/>
    </row>
    <row r="39" spans="1:24" x14ac:dyDescent="0.3">
      <c r="A39" s="4" t="s">
        <v>26</v>
      </c>
      <c r="B39" s="4"/>
      <c r="G39" s="4" t="s">
        <v>27</v>
      </c>
      <c r="H39" s="4"/>
      <c r="N39" s="4" t="s">
        <v>28</v>
      </c>
      <c r="O39" s="4"/>
      <c r="R39" s="4" t="s">
        <v>29</v>
      </c>
      <c r="S39" s="4"/>
      <c r="V39" s="4" t="s">
        <v>30</v>
      </c>
      <c r="W39" s="4"/>
    </row>
    <row r="41" spans="1:24" x14ac:dyDescent="0.3">
      <c r="A41" s="7">
        <f>$O$15*A15</f>
        <v>204</v>
      </c>
      <c r="B41" s="7">
        <f t="shared" ref="B41:E41" si="16">$O$15*B15</f>
        <v>24</v>
      </c>
      <c r="C41" s="7">
        <f t="shared" si="16"/>
        <v>36</v>
      </c>
      <c r="D41" s="7">
        <f t="shared" si="16"/>
        <v>16</v>
      </c>
      <c r="E41" s="7">
        <f t="shared" si="16"/>
        <v>28</v>
      </c>
      <c r="G41" s="7">
        <f>$O$15*G15</f>
        <v>4</v>
      </c>
      <c r="H41" s="7">
        <f t="shared" ref="H41:K41" si="17">$O$15*H15</f>
        <v>16</v>
      </c>
      <c r="I41" s="7">
        <f t="shared" si="17"/>
        <v>12</v>
      </c>
      <c r="J41" s="7">
        <f t="shared" si="17"/>
        <v>24</v>
      </c>
      <c r="K41" s="7">
        <f t="shared" si="17"/>
        <v>36</v>
      </c>
      <c r="L41" s="7">
        <f>$O$15*L15</f>
        <v>56</v>
      </c>
      <c r="N41" s="7">
        <f>$O$15*M9</f>
        <v>36</v>
      </c>
      <c r="O41" s="7">
        <f t="shared" ref="O41:P41" si="18">$O$15*N9</f>
        <v>172</v>
      </c>
      <c r="P41" s="7">
        <f t="shared" si="18"/>
        <v>12</v>
      </c>
      <c r="R41" s="7">
        <f>$O$15*Q33</f>
        <v>-232</v>
      </c>
      <c r="S41" s="7">
        <f t="shared" ref="S41:T41" si="19">$O$15*R33</f>
        <v>0</v>
      </c>
      <c r="T41" s="7">
        <f t="shared" si="19"/>
        <v>-12</v>
      </c>
      <c r="V41" s="7">
        <f>$O$15*E33</f>
        <v>8</v>
      </c>
      <c r="W41" s="7">
        <f t="shared" ref="W41:X41" si="20">$O$15*F33</f>
        <v>-8</v>
      </c>
      <c r="X41" s="7">
        <f t="shared" si="20"/>
        <v>28</v>
      </c>
    </row>
    <row r="42" spans="1:24" x14ac:dyDescent="0.3">
      <c r="A42" s="7">
        <f t="shared" ref="A42:E42" si="21">$O$15*A16</f>
        <v>172</v>
      </c>
      <c r="B42" s="7">
        <f t="shared" si="21"/>
        <v>260</v>
      </c>
      <c r="C42" s="7">
        <f t="shared" si="21"/>
        <v>128</v>
      </c>
      <c r="D42" s="7">
        <f t="shared" si="21"/>
        <v>20</v>
      </c>
      <c r="E42" s="7">
        <f t="shared" si="21"/>
        <v>16</v>
      </c>
      <c r="G42" s="7">
        <f t="shared" ref="G42:K43" si="22">$O$15*G16</f>
        <v>176</v>
      </c>
      <c r="H42" s="7">
        <f t="shared" si="22"/>
        <v>44</v>
      </c>
      <c r="I42" s="7">
        <f t="shared" si="22"/>
        <v>4</v>
      </c>
      <c r="J42" s="7">
        <f t="shared" si="22"/>
        <v>212</v>
      </c>
      <c r="K42" s="7">
        <f t="shared" si="22"/>
        <v>24</v>
      </c>
      <c r="L42" s="7">
        <f t="shared" ref="L42" si="23">$O$15*L16</f>
        <v>12</v>
      </c>
      <c r="N42" s="7">
        <f t="shared" ref="N42:P42" si="24">$O$15*M10</f>
        <v>16</v>
      </c>
      <c r="O42" s="7">
        <f t="shared" si="24"/>
        <v>24</v>
      </c>
      <c r="P42" s="7">
        <f t="shared" si="24"/>
        <v>28</v>
      </c>
      <c r="R42" s="7">
        <f t="shared" ref="R42:T42" si="25">$O$15*Q34</f>
        <v>-12</v>
      </c>
      <c r="S42" s="7">
        <f t="shared" si="25"/>
        <v>-64</v>
      </c>
      <c r="T42" s="7">
        <f t="shared" si="25"/>
        <v>8</v>
      </c>
      <c r="V42" s="7">
        <f t="shared" ref="V42:V43" si="26">$O$15*E34</f>
        <v>-8</v>
      </c>
      <c r="W42" s="7">
        <f t="shared" ref="W42:W43" si="27">$O$15*F34</f>
        <v>0</v>
      </c>
      <c r="X42" s="7">
        <f t="shared" ref="X42:X43" si="28">$O$15*G34</f>
        <v>-120</v>
      </c>
    </row>
    <row r="43" spans="1:24" x14ac:dyDescent="0.3">
      <c r="A43" s="7">
        <f t="shared" ref="A43:E43" si="29">$O$15*A17</f>
        <v>8</v>
      </c>
      <c r="B43" s="7">
        <f t="shared" si="29"/>
        <v>20</v>
      </c>
      <c r="C43" s="7">
        <f t="shared" si="29"/>
        <v>60</v>
      </c>
      <c r="D43" s="7">
        <f t="shared" si="29"/>
        <v>4</v>
      </c>
      <c r="E43" s="7">
        <f t="shared" si="29"/>
        <v>4</v>
      </c>
      <c r="G43" s="7">
        <f t="shared" si="22"/>
        <v>88</v>
      </c>
      <c r="H43" s="7">
        <f t="shared" si="22"/>
        <v>20</v>
      </c>
      <c r="I43" s="7">
        <f t="shared" si="22"/>
        <v>36</v>
      </c>
      <c r="J43" s="7">
        <f t="shared" si="22"/>
        <v>32</v>
      </c>
      <c r="K43" s="7">
        <f t="shared" si="22"/>
        <v>16</v>
      </c>
      <c r="L43" s="7">
        <f t="shared" ref="L43" si="30">$O$15*L17</f>
        <v>208</v>
      </c>
      <c r="N43" s="7">
        <f t="shared" ref="N43:P43" si="31">$O$15*M11</f>
        <v>212</v>
      </c>
      <c r="O43" s="7">
        <f t="shared" si="31"/>
        <v>16</v>
      </c>
      <c r="P43" s="7">
        <f t="shared" si="31"/>
        <v>20</v>
      </c>
      <c r="R43" s="7">
        <f t="shared" ref="R43:T43" si="32">$O$15*Q35</f>
        <v>-32</v>
      </c>
      <c r="S43" s="7">
        <f t="shared" si="32"/>
        <v>-40</v>
      </c>
      <c r="T43" s="7">
        <f t="shared" si="32"/>
        <v>28</v>
      </c>
      <c r="V43" s="7">
        <f t="shared" si="26"/>
        <v>16</v>
      </c>
      <c r="W43" s="7">
        <f t="shared" si="27"/>
        <v>20</v>
      </c>
      <c r="X43" s="7">
        <f t="shared" si="28"/>
        <v>12</v>
      </c>
    </row>
    <row r="44" spans="1:24" x14ac:dyDescent="0.3">
      <c r="A44" s="7">
        <f t="shared" ref="A44:E44" si="33">$O$15*A18</f>
        <v>28</v>
      </c>
      <c r="B44" s="7">
        <f t="shared" si="33"/>
        <v>144</v>
      </c>
      <c r="C44" s="7">
        <f t="shared" si="33"/>
        <v>24</v>
      </c>
      <c r="D44" s="7">
        <f t="shared" si="33"/>
        <v>28</v>
      </c>
      <c r="E44" s="7">
        <f t="shared" si="33"/>
        <v>4</v>
      </c>
    </row>
    <row r="45" spans="1:24" x14ac:dyDescent="0.3">
      <c r="A45" s="7">
        <f t="shared" ref="A45:E45" si="34">$O$15*A19</f>
        <v>0</v>
      </c>
      <c r="B45" s="7">
        <f t="shared" si="34"/>
        <v>20</v>
      </c>
      <c r="C45" s="7">
        <f t="shared" si="34"/>
        <v>28</v>
      </c>
      <c r="D45" s="7">
        <f t="shared" si="34"/>
        <v>0</v>
      </c>
      <c r="E45" s="7">
        <f t="shared" si="34"/>
        <v>36</v>
      </c>
    </row>
  </sheetData>
  <mergeCells count="30">
    <mergeCell ref="A37:E37"/>
    <mergeCell ref="A39:B39"/>
    <mergeCell ref="G39:H39"/>
    <mergeCell ref="N39:O39"/>
    <mergeCell ref="R39:S39"/>
    <mergeCell ref="V39:W39"/>
    <mergeCell ref="M23:N23"/>
    <mergeCell ref="Q23:R23"/>
    <mergeCell ref="A29:B29"/>
    <mergeCell ref="A31:B31"/>
    <mergeCell ref="E31:F31"/>
    <mergeCell ref="I31:J31"/>
    <mergeCell ref="M31:N31"/>
    <mergeCell ref="Q31:R31"/>
    <mergeCell ref="A13:B13"/>
    <mergeCell ref="G13:H13"/>
    <mergeCell ref="A21:B21"/>
    <mergeCell ref="A23:B23"/>
    <mergeCell ref="E23:F23"/>
    <mergeCell ref="I23:J23"/>
    <mergeCell ref="E1:F1"/>
    <mergeCell ref="I1:J1"/>
    <mergeCell ref="Q1:R1"/>
    <mergeCell ref="A7:B7"/>
    <mergeCell ref="E7:F7"/>
    <mergeCell ref="I7:J7"/>
    <mergeCell ref="M7:N7"/>
    <mergeCell ref="Q7:R7"/>
    <mergeCell ref="A1:B1"/>
    <mergeCell ref="M1:N1"/>
  </mergeCells>
  <pageMargins left="0.7" right="0.7" top="0.75" bottom="0.75" header="0.3" footer="0.3"/>
  <pageSetup paperSize="9" orientation="portrait" r:id="rId1"/>
  <headerFooter>
    <oddHeader>&amp;LГневнов Артем Евгеньевич, Группа2, подгруппа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2F4C-152F-43DD-8A7F-D3E9C8D706C0}">
  <dimension ref="A3:Q25"/>
  <sheetViews>
    <sheetView zoomScaleNormal="100" workbookViewId="0">
      <selection activeCell="R14" sqref="R14"/>
    </sheetView>
  </sheetViews>
  <sheetFormatPr defaultRowHeight="15.6" x14ac:dyDescent="0.3"/>
  <cols>
    <col min="1" max="16384" width="8.88671875" style="2"/>
  </cols>
  <sheetData>
    <row r="3" spans="1:17" x14ac:dyDescent="0.3">
      <c r="A3" s="8" cm="1">
        <f t="array" ref="A3:B4">_xlfn.MUNIT(2)</f>
        <v>1</v>
      </c>
      <c r="B3" s="8">
        <v>0</v>
      </c>
      <c r="D3" s="8" cm="1">
        <f t="array" ref="D3:F5">_xlfn.MUNIT(3)</f>
        <v>1</v>
      </c>
      <c r="E3" s="8">
        <v>0</v>
      </c>
      <c r="F3" s="8">
        <v>0</v>
      </c>
      <c r="H3" s="8" cm="1">
        <f t="array" ref="H3:K6">_xlfn.MUNIT(4)</f>
        <v>1</v>
      </c>
      <c r="I3" s="8">
        <v>0</v>
      </c>
      <c r="J3" s="8">
        <v>0</v>
      </c>
      <c r="K3" s="8">
        <v>0</v>
      </c>
      <c r="M3" s="8" cm="1">
        <f t="array" ref="M3:Q7">_xlfn.MUNIT(5)</f>
        <v>1</v>
      </c>
      <c r="N3" s="8">
        <v>0</v>
      </c>
      <c r="O3" s="8">
        <v>0</v>
      </c>
      <c r="P3" s="8">
        <v>0</v>
      </c>
      <c r="Q3" s="8">
        <v>0</v>
      </c>
    </row>
    <row r="4" spans="1:17" x14ac:dyDescent="0.3">
      <c r="A4" s="8">
        <v>0</v>
      </c>
      <c r="B4" s="8">
        <v>1</v>
      </c>
      <c r="D4" s="8">
        <v>0</v>
      </c>
      <c r="E4" s="8">
        <v>1</v>
      </c>
      <c r="F4" s="8">
        <v>0</v>
      </c>
      <c r="H4" s="8">
        <v>0</v>
      </c>
      <c r="I4" s="8">
        <v>1</v>
      </c>
      <c r="J4" s="8">
        <v>0</v>
      </c>
      <c r="K4" s="8">
        <v>0</v>
      </c>
      <c r="M4" s="8">
        <v>0</v>
      </c>
      <c r="N4" s="8">
        <v>1</v>
      </c>
      <c r="O4" s="8">
        <v>0</v>
      </c>
      <c r="P4" s="8">
        <v>0</v>
      </c>
      <c r="Q4" s="8">
        <v>0</v>
      </c>
    </row>
    <row r="5" spans="1:17" x14ac:dyDescent="0.3">
      <c r="D5" s="8">
        <v>0</v>
      </c>
      <c r="E5" s="8">
        <v>0</v>
      </c>
      <c r="F5" s="8">
        <v>1</v>
      </c>
      <c r="H5" s="8">
        <v>0</v>
      </c>
      <c r="I5" s="8">
        <v>0</v>
      </c>
      <c r="J5" s="8">
        <v>1</v>
      </c>
      <c r="K5" s="8">
        <v>0</v>
      </c>
      <c r="M5" s="8">
        <v>0</v>
      </c>
      <c r="N5" s="8">
        <v>0</v>
      </c>
      <c r="O5" s="8">
        <v>1</v>
      </c>
      <c r="P5" s="8">
        <v>0</v>
      </c>
      <c r="Q5" s="8">
        <v>0</v>
      </c>
    </row>
    <row r="6" spans="1:17" x14ac:dyDescent="0.3">
      <c r="H6" s="8">
        <v>0</v>
      </c>
      <c r="I6" s="8">
        <v>0</v>
      </c>
      <c r="J6" s="8">
        <v>0</v>
      </c>
      <c r="K6" s="8">
        <v>1</v>
      </c>
      <c r="M6" s="8">
        <v>0</v>
      </c>
      <c r="N6" s="8">
        <v>0</v>
      </c>
      <c r="O6" s="8">
        <v>0</v>
      </c>
      <c r="P6" s="8">
        <v>1</v>
      </c>
      <c r="Q6" s="8">
        <v>0</v>
      </c>
    </row>
    <row r="7" spans="1:17" x14ac:dyDescent="0.3">
      <c r="M7" s="8">
        <v>0</v>
      </c>
      <c r="N7" s="8">
        <v>0</v>
      </c>
      <c r="O7" s="8">
        <v>0</v>
      </c>
      <c r="P7" s="8">
        <v>0</v>
      </c>
      <c r="Q7" s="8">
        <v>1</v>
      </c>
    </row>
    <row r="10" spans="1:17" x14ac:dyDescent="0.3">
      <c r="A10" s="8" cm="1">
        <f t="array" ref="A10:P25">_xlfn.MUNIT(16)</f>
        <v>1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</row>
    <row r="11" spans="1:17" x14ac:dyDescent="0.3">
      <c r="A11" s="8">
        <v>0</v>
      </c>
      <c r="B11" s="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</row>
    <row r="12" spans="1:17" x14ac:dyDescent="0.3">
      <c r="A12" s="8">
        <v>0</v>
      </c>
      <c r="B12" s="8">
        <v>0</v>
      </c>
      <c r="C12" s="8">
        <v>1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</row>
    <row r="13" spans="1:17" x14ac:dyDescent="0.3">
      <c r="A13" s="8">
        <v>0</v>
      </c>
      <c r="B13" s="8">
        <v>0</v>
      </c>
      <c r="C13" s="8">
        <v>0</v>
      </c>
      <c r="D13" s="8">
        <v>1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</row>
    <row r="14" spans="1:17" x14ac:dyDescent="0.3">
      <c r="A14" s="8">
        <v>0</v>
      </c>
      <c r="B14" s="8">
        <v>0</v>
      </c>
      <c r="C14" s="8">
        <v>0</v>
      </c>
      <c r="D14" s="8">
        <v>0</v>
      </c>
      <c r="E14" s="8">
        <v>1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</row>
    <row r="15" spans="1:17" x14ac:dyDescent="0.3">
      <c r="A15" s="8">
        <v>0</v>
      </c>
      <c r="B15" s="8">
        <v>0</v>
      </c>
      <c r="C15" s="8">
        <v>0</v>
      </c>
      <c r="D15" s="8">
        <v>0</v>
      </c>
      <c r="E15" s="8">
        <v>0</v>
      </c>
      <c r="F15" s="8">
        <v>1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</row>
    <row r="16" spans="1:17" x14ac:dyDescent="0.3">
      <c r="A16" s="8">
        <v>0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1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</row>
    <row r="17" spans="1:16" x14ac:dyDescent="0.3">
      <c r="A17" s="8">
        <v>0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1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</row>
    <row r="18" spans="1:16" x14ac:dyDescent="0.3">
      <c r="A18" s="8">
        <v>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1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</row>
    <row r="19" spans="1:16" x14ac:dyDescent="0.3">
      <c r="A19" s="8">
        <v>0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</row>
    <row r="20" spans="1:16" x14ac:dyDescent="0.3">
      <c r="A20" s="8">
        <v>0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1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</row>
    <row r="21" spans="1:16" x14ac:dyDescent="0.3">
      <c r="A21" s="8">
        <v>0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1</v>
      </c>
      <c r="M21" s="8">
        <v>0</v>
      </c>
      <c r="N21" s="8">
        <v>0</v>
      </c>
      <c r="O21" s="8">
        <v>0</v>
      </c>
      <c r="P21" s="8">
        <v>0</v>
      </c>
    </row>
    <row r="22" spans="1:16" x14ac:dyDescent="0.3">
      <c r="A22" s="8">
        <v>0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</v>
      </c>
      <c r="N22" s="8">
        <v>0</v>
      </c>
      <c r="O22" s="8">
        <v>0</v>
      </c>
      <c r="P22" s="8">
        <v>0</v>
      </c>
    </row>
    <row r="23" spans="1:16" x14ac:dyDescent="0.3">
      <c r="A23" s="8">
        <v>0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1</v>
      </c>
      <c r="O23" s="8">
        <v>0</v>
      </c>
      <c r="P23" s="8">
        <v>0</v>
      </c>
    </row>
    <row r="24" spans="1:16" x14ac:dyDescent="0.3">
      <c r="A24" s="8">
        <v>0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1</v>
      </c>
      <c r="P24" s="8">
        <v>0</v>
      </c>
    </row>
    <row r="25" spans="1:16" x14ac:dyDescent="0.3">
      <c r="A25" s="8">
        <v>0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1</v>
      </c>
    </row>
  </sheetData>
  <pageMargins left="0.7" right="0.7" top="0.75" bottom="0.75" header="0.3" footer="0.3"/>
  <pageSetup paperSize="9" orientation="portrait" r:id="rId1"/>
  <headerFooter>
    <oddHeader>&amp;LГневнов Артем Евгеньевич, Группа2, подгруппа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D0F8-F892-4DF8-A66D-82B894122738}">
  <dimension ref="A1:T27"/>
  <sheetViews>
    <sheetView zoomScaleNormal="100" workbookViewId="0">
      <selection activeCell="A9" sqref="A9:C12"/>
    </sheetView>
  </sheetViews>
  <sheetFormatPr defaultRowHeight="15.6" x14ac:dyDescent="0.3"/>
  <cols>
    <col min="1" max="16384" width="8.88671875" style="2"/>
  </cols>
  <sheetData>
    <row r="1" spans="1:14" x14ac:dyDescent="0.3">
      <c r="A1" s="4" t="s">
        <v>31</v>
      </c>
      <c r="B1" s="4"/>
      <c r="G1" s="4" t="s">
        <v>32</v>
      </c>
      <c r="H1" s="4"/>
      <c r="M1" s="4" t="s">
        <v>5</v>
      </c>
      <c r="N1" s="4"/>
    </row>
    <row r="3" spans="1:14" x14ac:dyDescent="0.3">
      <c r="A3" s="8">
        <v>51</v>
      </c>
      <c r="B3" s="8">
        <v>6</v>
      </c>
      <c r="C3" s="8">
        <v>9</v>
      </c>
      <c r="D3" s="8">
        <v>4</v>
      </c>
      <c r="E3" s="8">
        <v>7</v>
      </c>
      <c r="G3" s="8">
        <v>1</v>
      </c>
      <c r="H3" s="8">
        <v>4</v>
      </c>
      <c r="I3" s="8">
        <v>3</v>
      </c>
      <c r="J3" s="8">
        <v>6</v>
      </c>
      <c r="K3" s="8">
        <v>9</v>
      </c>
      <c r="M3" s="8">
        <v>1</v>
      </c>
      <c r="N3" s="8">
        <v>2</v>
      </c>
    </row>
    <row r="4" spans="1:14" x14ac:dyDescent="0.3">
      <c r="A4" s="8">
        <v>43</v>
      </c>
      <c r="B4" s="8">
        <v>65</v>
      </c>
      <c r="C4" s="8">
        <v>32</v>
      </c>
      <c r="D4" s="8">
        <v>5</v>
      </c>
      <c r="E4" s="8">
        <v>4</v>
      </c>
      <c r="G4" s="8">
        <v>44</v>
      </c>
      <c r="H4" s="8">
        <v>11</v>
      </c>
      <c r="I4" s="8">
        <v>1</v>
      </c>
      <c r="J4" s="8">
        <v>53</v>
      </c>
      <c r="K4" s="8">
        <v>6</v>
      </c>
      <c r="M4" s="8">
        <v>2</v>
      </c>
      <c r="N4" s="8">
        <v>2</v>
      </c>
    </row>
    <row r="5" spans="1:14" x14ac:dyDescent="0.3">
      <c r="A5" s="8">
        <v>2</v>
      </c>
      <c r="B5" s="8">
        <v>5</v>
      </c>
      <c r="C5" s="8">
        <v>15</v>
      </c>
      <c r="D5" s="8">
        <v>1</v>
      </c>
      <c r="E5" s="8">
        <v>1</v>
      </c>
      <c r="G5" s="8">
        <v>22</v>
      </c>
      <c r="H5" s="8">
        <v>5</v>
      </c>
      <c r="I5" s="8">
        <v>9</v>
      </c>
      <c r="J5" s="8">
        <v>8</v>
      </c>
      <c r="K5" s="8">
        <v>4</v>
      </c>
      <c r="M5" s="8">
        <v>3</v>
      </c>
      <c r="N5" s="8">
        <v>2</v>
      </c>
    </row>
    <row r="6" spans="1:14" x14ac:dyDescent="0.3">
      <c r="A6" s="8">
        <v>7</v>
      </c>
      <c r="B6" s="8">
        <v>36</v>
      </c>
      <c r="C6" s="8">
        <v>6</v>
      </c>
      <c r="D6" s="8">
        <v>7</v>
      </c>
      <c r="E6" s="8">
        <v>1</v>
      </c>
      <c r="M6" s="8">
        <v>4</v>
      </c>
      <c r="N6" s="8">
        <v>2</v>
      </c>
    </row>
    <row r="7" spans="1:14" x14ac:dyDescent="0.3">
      <c r="A7" s="8">
        <v>0</v>
      </c>
      <c r="B7" s="8">
        <v>5</v>
      </c>
      <c r="C7" s="8">
        <v>7</v>
      </c>
      <c r="D7" s="8">
        <v>0</v>
      </c>
      <c r="E7" s="8">
        <v>9</v>
      </c>
      <c r="M7" s="8">
        <v>5</v>
      </c>
      <c r="N7" s="8">
        <v>2</v>
      </c>
    </row>
    <row r="9" spans="1:14" x14ac:dyDescent="0.3">
      <c r="A9" s="4" t="s">
        <v>33</v>
      </c>
      <c r="B9" s="4"/>
      <c r="E9" s="4" t="s">
        <v>3</v>
      </c>
      <c r="F9" s="4"/>
      <c r="I9" s="4" t="s">
        <v>6</v>
      </c>
      <c r="J9" s="4"/>
    </row>
    <row r="11" spans="1:14" x14ac:dyDescent="0.3">
      <c r="A11" s="8">
        <v>1</v>
      </c>
      <c r="B11" s="8">
        <v>3</v>
      </c>
      <c r="C11" s="8">
        <v>5</v>
      </c>
      <c r="E11" s="8">
        <v>4</v>
      </c>
      <c r="F11" s="8">
        <v>1</v>
      </c>
      <c r="I11" s="8">
        <v>45</v>
      </c>
      <c r="J11" s="8">
        <v>6</v>
      </c>
      <c r="K11" s="8">
        <v>3</v>
      </c>
      <c r="L11" s="8">
        <v>7</v>
      </c>
      <c r="M11" s="8">
        <v>7</v>
      </c>
    </row>
    <row r="12" spans="1:14" x14ac:dyDescent="0.3">
      <c r="A12" s="8">
        <v>5</v>
      </c>
      <c r="B12" s="8">
        <v>3</v>
      </c>
      <c r="C12" s="8">
        <v>6</v>
      </c>
      <c r="E12" s="8">
        <v>2</v>
      </c>
      <c r="F12" s="8">
        <v>2</v>
      </c>
      <c r="I12" s="8">
        <v>43</v>
      </c>
      <c r="J12" s="8">
        <v>523</v>
      </c>
      <c r="K12" s="8">
        <v>12</v>
      </c>
      <c r="L12" s="8">
        <v>6</v>
      </c>
      <c r="M12" s="8">
        <v>64</v>
      </c>
    </row>
    <row r="13" spans="1:14" x14ac:dyDescent="0.3">
      <c r="E13" s="8">
        <v>6</v>
      </c>
      <c r="F13" s="8">
        <v>6</v>
      </c>
      <c r="I13" s="8">
        <v>42</v>
      </c>
      <c r="J13" s="8">
        <v>5</v>
      </c>
      <c r="K13" s="8">
        <v>15</v>
      </c>
      <c r="L13" s="8">
        <v>1</v>
      </c>
      <c r="M13" s="8">
        <v>1</v>
      </c>
    </row>
    <row r="14" spans="1:14" x14ac:dyDescent="0.3">
      <c r="I14" s="8">
        <v>7</v>
      </c>
      <c r="J14" s="8">
        <v>36</v>
      </c>
      <c r="K14" s="8">
        <v>63</v>
      </c>
      <c r="L14" s="8">
        <v>64</v>
      </c>
      <c r="M14" s="8">
        <v>1</v>
      </c>
    </row>
    <row r="15" spans="1:14" x14ac:dyDescent="0.3">
      <c r="I15" s="8">
        <v>0</v>
      </c>
      <c r="J15" s="8">
        <v>54</v>
      </c>
      <c r="K15" s="8">
        <v>7</v>
      </c>
      <c r="L15" s="8">
        <v>74</v>
      </c>
      <c r="M15" s="8">
        <v>1</v>
      </c>
    </row>
    <row r="19" spans="1:20" x14ac:dyDescent="0.3">
      <c r="A19" s="4" t="s">
        <v>34</v>
      </c>
      <c r="B19" s="4"/>
    </row>
    <row r="21" spans="1:20" x14ac:dyDescent="0.3">
      <c r="A21" s="4" t="s">
        <v>35</v>
      </c>
      <c r="B21" s="4"/>
      <c r="G21" s="4" t="s">
        <v>36</v>
      </c>
      <c r="H21" s="4"/>
      <c r="J21" s="4" t="s">
        <v>37</v>
      </c>
      <c r="K21" s="4"/>
      <c r="M21" s="4" t="s">
        <v>38</v>
      </c>
      <c r="N21" s="4"/>
      <c r="P21" s="4" t="s">
        <v>39</v>
      </c>
      <c r="Q21" s="4"/>
    </row>
    <row r="23" spans="1:20" x14ac:dyDescent="0.3">
      <c r="A23" s="5" cm="1">
        <f t="array" ref="A23:E25">MMULT(G3:K5,A3:E7)</f>
        <v>271</v>
      </c>
      <c r="B23" s="5">
        <v>542</v>
      </c>
      <c r="C23" s="5">
        <v>281</v>
      </c>
      <c r="D23" s="5">
        <v>69</v>
      </c>
      <c r="E23" s="5">
        <v>113</v>
      </c>
      <c r="G23" s="5" cm="1">
        <f t="array" ref="G23:H27">MMULT(A3:E7,M3:N7)</f>
        <v>141</v>
      </c>
      <c r="H23" s="5">
        <v>154</v>
      </c>
      <c r="J23" s="5" cm="1">
        <f t="array" ref="J23:K24">MMULT(A11:C12,E11:F13)</f>
        <v>40</v>
      </c>
      <c r="K23" s="5">
        <v>37</v>
      </c>
      <c r="M23" s="5" cm="1">
        <f t="array" ref="M23:N25">MMULT(G3:K5,M3:N7)</f>
        <v>87</v>
      </c>
      <c r="N23" s="5">
        <v>46</v>
      </c>
      <c r="P23" s="5" cm="1">
        <f t="array" ref="P23:T27">MMULT(A3:E7,I11:M15)</f>
        <v>2959</v>
      </c>
      <c r="Q23" s="5">
        <v>4011</v>
      </c>
      <c r="R23" s="5">
        <v>661</v>
      </c>
      <c r="S23" s="5">
        <v>1176</v>
      </c>
      <c r="T23" s="5">
        <v>761</v>
      </c>
    </row>
    <row r="24" spans="1:20" x14ac:dyDescent="0.3">
      <c r="A24" s="5">
        <v>3090</v>
      </c>
      <c r="B24" s="5">
        <v>2922</v>
      </c>
      <c r="C24" s="5">
        <v>1123</v>
      </c>
      <c r="D24" s="5">
        <v>603</v>
      </c>
      <c r="E24" s="5">
        <v>460</v>
      </c>
      <c r="G24" s="5">
        <v>309</v>
      </c>
      <c r="H24" s="5">
        <v>298</v>
      </c>
      <c r="J24" s="5">
        <v>62</v>
      </c>
      <c r="K24" s="5">
        <v>47</v>
      </c>
      <c r="M24" s="5">
        <v>311</v>
      </c>
      <c r="N24" s="5">
        <v>230</v>
      </c>
      <c r="P24" s="5">
        <v>6109</v>
      </c>
      <c r="Q24" s="5">
        <v>34809</v>
      </c>
      <c r="R24" s="5">
        <v>1732</v>
      </c>
      <c r="S24" s="5">
        <v>1339</v>
      </c>
      <c r="T24" s="5">
        <v>4502</v>
      </c>
    </row>
    <row r="25" spans="1:20" x14ac:dyDescent="0.3">
      <c r="A25" s="5">
        <v>1411</v>
      </c>
      <c r="B25" s="5">
        <v>810</v>
      </c>
      <c r="C25" s="5">
        <v>569</v>
      </c>
      <c r="D25" s="5">
        <v>178</v>
      </c>
      <c r="E25" s="5">
        <v>227</v>
      </c>
      <c r="G25" s="5">
        <v>66</v>
      </c>
      <c r="H25" s="5">
        <v>48</v>
      </c>
      <c r="M25" s="5">
        <v>111</v>
      </c>
      <c r="N25" s="5">
        <v>96</v>
      </c>
      <c r="P25" s="5">
        <v>942</v>
      </c>
      <c r="Q25" s="5">
        <v>2792</v>
      </c>
      <c r="R25" s="5">
        <v>361</v>
      </c>
      <c r="S25" s="5">
        <v>197</v>
      </c>
      <c r="T25" s="5">
        <v>351</v>
      </c>
    </row>
    <row r="26" spans="1:20" x14ac:dyDescent="0.3">
      <c r="G26" s="5">
        <v>130</v>
      </c>
      <c r="H26" s="5">
        <v>114</v>
      </c>
      <c r="P26" s="5">
        <v>2164</v>
      </c>
      <c r="Q26" s="5">
        <v>19206</v>
      </c>
      <c r="R26" s="5">
        <v>991</v>
      </c>
      <c r="S26" s="5">
        <v>793</v>
      </c>
      <c r="T26" s="5">
        <v>2367</v>
      </c>
    </row>
    <row r="27" spans="1:20" x14ac:dyDescent="0.3">
      <c r="G27" s="5">
        <v>76</v>
      </c>
      <c r="H27" s="5">
        <v>42</v>
      </c>
      <c r="P27" s="5">
        <v>509</v>
      </c>
      <c r="Q27" s="5">
        <v>3136</v>
      </c>
      <c r="R27" s="5">
        <v>228</v>
      </c>
      <c r="S27" s="5">
        <v>703</v>
      </c>
      <c r="T27" s="5">
        <v>336</v>
      </c>
    </row>
  </sheetData>
  <mergeCells count="12">
    <mergeCell ref="M1:N1"/>
    <mergeCell ref="G21:H21"/>
    <mergeCell ref="J21:K21"/>
    <mergeCell ref="M21:N21"/>
    <mergeCell ref="I9:J9"/>
    <mergeCell ref="P21:Q21"/>
    <mergeCell ref="A1:B1"/>
    <mergeCell ref="G1:H1"/>
    <mergeCell ref="A9:B9"/>
    <mergeCell ref="E9:F9"/>
    <mergeCell ref="A19:B19"/>
    <mergeCell ref="A21:B21"/>
  </mergeCells>
  <pageMargins left="0.7" right="0.7" top="0.75" bottom="0.75" header="0.3" footer="0.3"/>
  <pageSetup paperSize="9" orientation="portrait" r:id="rId1"/>
  <headerFooter>
    <oddHeader>&amp;LГневнов Артем Евгеньевич, Группа2, подгруппа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3FF4-ABBA-4D85-8626-51648E55BD6F}">
  <dimension ref="A1:S32"/>
  <sheetViews>
    <sheetView topLeftCell="A7" zoomScaleNormal="100" workbookViewId="0">
      <selection activeCell="F27" sqref="F27"/>
    </sheetView>
  </sheetViews>
  <sheetFormatPr defaultRowHeight="15.6" x14ac:dyDescent="0.3"/>
  <cols>
    <col min="1" max="16384" width="8.88671875" style="2"/>
  </cols>
  <sheetData>
    <row r="1" spans="1:12" x14ac:dyDescent="0.3">
      <c r="A1" s="4" t="s">
        <v>31</v>
      </c>
      <c r="B1" s="4"/>
      <c r="G1" s="4" t="s">
        <v>32</v>
      </c>
      <c r="H1" s="4"/>
    </row>
    <row r="3" spans="1:12" x14ac:dyDescent="0.3">
      <c r="A3" s="3">
        <v>51</v>
      </c>
      <c r="B3" s="3">
        <v>6</v>
      </c>
      <c r="C3" s="3">
        <v>9</v>
      </c>
      <c r="D3" s="3">
        <v>4</v>
      </c>
      <c r="E3" s="3">
        <v>7</v>
      </c>
      <c r="G3" s="3">
        <v>1</v>
      </c>
      <c r="H3" s="3">
        <v>4</v>
      </c>
      <c r="I3" s="3">
        <v>3</v>
      </c>
      <c r="J3" s="3">
        <v>6</v>
      </c>
      <c r="K3" s="3">
        <v>9</v>
      </c>
      <c r="L3" s="3">
        <v>14</v>
      </c>
    </row>
    <row r="4" spans="1:12" x14ac:dyDescent="0.3">
      <c r="A4" s="3">
        <v>43</v>
      </c>
      <c r="B4" s="3">
        <v>65</v>
      </c>
      <c r="C4" s="3">
        <v>32</v>
      </c>
      <c r="D4" s="3">
        <v>5</v>
      </c>
      <c r="E4" s="3">
        <v>4</v>
      </c>
      <c r="G4" s="3">
        <v>44</v>
      </c>
      <c r="H4" s="3">
        <v>11</v>
      </c>
      <c r="I4" s="3">
        <v>1</v>
      </c>
      <c r="J4" s="3">
        <v>53</v>
      </c>
      <c r="K4" s="3">
        <v>6</v>
      </c>
      <c r="L4" s="3">
        <v>3</v>
      </c>
    </row>
    <row r="5" spans="1:12" x14ac:dyDescent="0.3">
      <c r="A5" s="3">
        <v>2</v>
      </c>
      <c r="B5" s="3">
        <v>5</v>
      </c>
      <c r="C5" s="3">
        <v>15</v>
      </c>
      <c r="D5" s="3">
        <v>1</v>
      </c>
      <c r="E5" s="3">
        <v>1</v>
      </c>
      <c r="G5" s="3">
        <v>22</v>
      </c>
      <c r="H5" s="3">
        <v>5</v>
      </c>
      <c r="I5" s="3">
        <v>9</v>
      </c>
      <c r="J5" s="3">
        <v>8</v>
      </c>
      <c r="K5" s="3">
        <v>4</v>
      </c>
      <c r="L5" s="3">
        <v>52</v>
      </c>
    </row>
    <row r="6" spans="1:12" x14ac:dyDescent="0.3">
      <c r="A6" s="3">
        <v>7</v>
      </c>
      <c r="B6" s="3">
        <v>36</v>
      </c>
      <c r="C6" s="3">
        <v>6</v>
      </c>
      <c r="D6" s="3">
        <v>7</v>
      </c>
      <c r="E6" s="3">
        <v>1</v>
      </c>
    </row>
    <row r="7" spans="1:12" x14ac:dyDescent="0.3">
      <c r="A7" s="3">
        <v>0</v>
      </c>
      <c r="B7" s="3">
        <v>5</v>
      </c>
      <c r="C7" s="3">
        <v>7</v>
      </c>
      <c r="D7" s="3">
        <v>0</v>
      </c>
      <c r="E7" s="3">
        <v>9</v>
      </c>
    </row>
    <row r="9" spans="1:12" x14ac:dyDescent="0.3">
      <c r="A9" s="1" t="s">
        <v>2</v>
      </c>
      <c r="B9" s="1"/>
      <c r="E9" s="4" t="s">
        <v>3</v>
      </c>
      <c r="F9" s="4"/>
      <c r="H9" s="9" t="s">
        <v>5</v>
      </c>
      <c r="I9" s="9"/>
      <c r="J9" s="10"/>
    </row>
    <row r="10" spans="1:12" x14ac:dyDescent="0.3">
      <c r="H10" s="11"/>
      <c r="I10" s="11"/>
      <c r="J10" s="11"/>
    </row>
    <row r="11" spans="1:12" x14ac:dyDescent="0.3">
      <c r="A11" s="3">
        <v>1</v>
      </c>
      <c r="B11" s="3">
        <v>7</v>
      </c>
      <c r="C11" s="3">
        <v>5</v>
      </c>
      <c r="E11" s="3">
        <v>1</v>
      </c>
      <c r="F11" s="3">
        <v>2</v>
      </c>
      <c r="H11" s="3">
        <v>1</v>
      </c>
      <c r="I11" s="3">
        <v>3</v>
      </c>
      <c r="J11" s="3">
        <v>5</v>
      </c>
    </row>
    <row r="12" spans="1:12" x14ac:dyDescent="0.3">
      <c r="A12" s="3">
        <v>9</v>
      </c>
      <c r="B12" s="3">
        <v>12</v>
      </c>
      <c r="C12" s="3">
        <v>4</v>
      </c>
      <c r="E12" s="3">
        <v>2</v>
      </c>
      <c r="F12" s="3">
        <v>2</v>
      </c>
      <c r="H12" s="3">
        <v>5</v>
      </c>
      <c r="I12" s="3">
        <v>3</v>
      </c>
      <c r="J12" s="3">
        <v>6</v>
      </c>
    </row>
    <row r="13" spans="1:12" x14ac:dyDescent="0.3">
      <c r="A13" s="3">
        <v>15</v>
      </c>
      <c r="B13" s="3">
        <v>32</v>
      </c>
      <c r="C13" s="3">
        <v>7</v>
      </c>
      <c r="E13" s="3">
        <v>3</v>
      </c>
      <c r="F13" s="3">
        <v>2</v>
      </c>
    </row>
    <row r="14" spans="1:12" x14ac:dyDescent="0.3">
      <c r="E14" s="3">
        <v>4</v>
      </c>
      <c r="F14" s="3">
        <v>2</v>
      </c>
    </row>
    <row r="15" spans="1:12" x14ac:dyDescent="0.3">
      <c r="E15" s="3">
        <v>5</v>
      </c>
      <c r="F15" s="3">
        <v>2</v>
      </c>
    </row>
    <row r="18" spans="1:19" x14ac:dyDescent="0.3">
      <c r="A18" s="9" t="s">
        <v>40</v>
      </c>
      <c r="B18" s="9"/>
      <c r="G18" s="1" t="s">
        <v>41</v>
      </c>
      <c r="H18" s="1"/>
      <c r="K18" s="1" t="s">
        <v>42</v>
      </c>
      <c r="L18" s="1"/>
      <c r="O18" s="1" t="s">
        <v>43</v>
      </c>
      <c r="P18" s="1"/>
    </row>
    <row r="20" spans="1:19" x14ac:dyDescent="0.3">
      <c r="A20" s="5" cm="1">
        <f t="array" ref="A20:E24">TRANSPOSE(A3:E7)</f>
        <v>51</v>
      </c>
      <c r="B20" s="5">
        <v>43</v>
      </c>
      <c r="C20" s="5">
        <v>2</v>
      </c>
      <c r="D20" s="5">
        <v>7</v>
      </c>
      <c r="E20" s="5">
        <v>0</v>
      </c>
      <c r="G20" s="5" cm="1">
        <f t="array" ref="G20:I25">TRANSPOSE(G3:L5)</f>
        <v>1</v>
      </c>
      <c r="H20" s="5">
        <v>44</v>
      </c>
      <c r="I20" s="5">
        <v>22</v>
      </c>
      <c r="K20" s="5" cm="1">
        <f t="array" ref="K20:M22">TRANSPOSE(A11:C13)</f>
        <v>1</v>
      </c>
      <c r="L20" s="5">
        <v>9</v>
      </c>
      <c r="M20" s="5">
        <v>15</v>
      </c>
      <c r="O20" s="5" cm="1">
        <f t="array" ref="O20:S21">TRANSPOSE(E11:F15)</f>
        <v>1</v>
      </c>
      <c r="P20" s="5">
        <v>2</v>
      </c>
      <c r="Q20" s="5">
        <v>3</v>
      </c>
      <c r="R20" s="5">
        <v>4</v>
      </c>
      <c r="S20" s="5">
        <v>5</v>
      </c>
    </row>
    <row r="21" spans="1:19" x14ac:dyDescent="0.3">
      <c r="A21" s="5">
        <v>6</v>
      </c>
      <c r="B21" s="5">
        <v>65</v>
      </c>
      <c r="C21" s="5">
        <v>5</v>
      </c>
      <c r="D21" s="5">
        <v>36</v>
      </c>
      <c r="E21" s="5">
        <v>5</v>
      </c>
      <c r="G21" s="5">
        <v>4</v>
      </c>
      <c r="H21" s="5">
        <v>11</v>
      </c>
      <c r="I21" s="5">
        <v>5</v>
      </c>
      <c r="K21" s="5">
        <v>7</v>
      </c>
      <c r="L21" s="5">
        <v>12</v>
      </c>
      <c r="M21" s="5">
        <v>32</v>
      </c>
      <c r="O21" s="5">
        <v>2</v>
      </c>
      <c r="P21" s="5">
        <v>2</v>
      </c>
      <c r="Q21" s="5">
        <v>2</v>
      </c>
      <c r="R21" s="5">
        <v>2</v>
      </c>
      <c r="S21" s="5">
        <v>2</v>
      </c>
    </row>
    <row r="22" spans="1:19" x14ac:dyDescent="0.3">
      <c r="A22" s="5">
        <v>9</v>
      </c>
      <c r="B22" s="5">
        <v>32</v>
      </c>
      <c r="C22" s="5">
        <v>15</v>
      </c>
      <c r="D22" s="5">
        <v>6</v>
      </c>
      <c r="E22" s="5">
        <v>7</v>
      </c>
      <c r="G22" s="5">
        <v>3</v>
      </c>
      <c r="H22" s="5">
        <v>1</v>
      </c>
      <c r="I22" s="5">
        <v>9</v>
      </c>
      <c r="K22" s="5">
        <v>5</v>
      </c>
      <c r="L22" s="5">
        <v>4</v>
      </c>
      <c r="M22" s="5">
        <v>7</v>
      </c>
    </row>
    <row r="23" spans="1:19" x14ac:dyDescent="0.3">
      <c r="A23" s="5">
        <v>4</v>
      </c>
      <c r="B23" s="5">
        <v>5</v>
      </c>
      <c r="C23" s="5">
        <v>1</v>
      </c>
      <c r="D23" s="5">
        <v>7</v>
      </c>
      <c r="E23" s="5">
        <v>0</v>
      </c>
      <c r="G23" s="5">
        <v>6</v>
      </c>
      <c r="H23" s="5">
        <v>53</v>
      </c>
      <c r="I23" s="5">
        <v>8</v>
      </c>
    </row>
    <row r="24" spans="1:19" x14ac:dyDescent="0.3">
      <c r="A24" s="5">
        <v>7</v>
      </c>
      <c r="B24" s="5">
        <v>4</v>
      </c>
      <c r="C24" s="5">
        <v>1</v>
      </c>
      <c r="D24" s="5">
        <v>1</v>
      </c>
      <c r="E24" s="5">
        <v>9</v>
      </c>
      <c r="G24" s="5">
        <v>9</v>
      </c>
      <c r="H24" s="5">
        <v>6</v>
      </c>
      <c r="I24" s="5">
        <v>4</v>
      </c>
    </row>
    <row r="25" spans="1:19" x14ac:dyDescent="0.3">
      <c r="G25" s="5">
        <v>14</v>
      </c>
      <c r="H25" s="5">
        <v>3</v>
      </c>
      <c r="I25" s="5">
        <v>52</v>
      </c>
    </row>
    <row r="28" spans="1:19" x14ac:dyDescent="0.3">
      <c r="A28" s="1" t="s">
        <v>44</v>
      </c>
      <c r="B28" s="1"/>
    </row>
    <row r="30" spans="1:19" x14ac:dyDescent="0.3">
      <c r="A30" s="5" cm="1">
        <f t="array" ref="A30:B32">TRANSPOSE(H11:J12)</f>
        <v>1</v>
      </c>
      <c r="B30" s="5">
        <v>5</v>
      </c>
    </row>
    <row r="31" spans="1:19" x14ac:dyDescent="0.3">
      <c r="A31" s="5">
        <v>3</v>
      </c>
      <c r="B31" s="5">
        <v>3</v>
      </c>
    </row>
    <row r="32" spans="1:19" x14ac:dyDescent="0.3">
      <c r="A32" s="5">
        <v>5</v>
      </c>
      <c r="B32" s="5">
        <v>6</v>
      </c>
    </row>
  </sheetData>
  <mergeCells count="10">
    <mergeCell ref="K18:L18"/>
    <mergeCell ref="O18:P18"/>
    <mergeCell ref="A28:B28"/>
    <mergeCell ref="A1:B1"/>
    <mergeCell ref="G1:H1"/>
    <mergeCell ref="A9:B9"/>
    <mergeCell ref="E9:F9"/>
    <mergeCell ref="H9:I9"/>
    <mergeCell ref="A18:B18"/>
    <mergeCell ref="G18:H18"/>
  </mergeCells>
  <pageMargins left="0.7" right="0.7" top="0.75" bottom="0.75" header="0.3" footer="0.3"/>
  <pageSetup paperSize="9" orientation="portrait" r:id="rId1"/>
  <headerFooter>
    <oddHeader>&amp;LГневнов Артем Евгеньевич, Группа2, подгруппа 1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AFDA-BE1A-47C1-89A4-404FD33C86AF}">
  <dimension ref="A1:H30"/>
  <sheetViews>
    <sheetView topLeftCell="A4" zoomScaleNormal="100" workbookViewId="0">
      <selection sqref="A1:H30"/>
    </sheetView>
  </sheetViews>
  <sheetFormatPr defaultRowHeight="15.6" x14ac:dyDescent="0.3"/>
  <cols>
    <col min="1" max="5" width="8.88671875" style="2"/>
    <col min="6" max="6" width="10.5546875" style="2" bestFit="1" customWidth="1"/>
    <col min="7" max="16384" width="8.88671875" style="2"/>
  </cols>
  <sheetData>
    <row r="1" spans="1:6" x14ac:dyDescent="0.3">
      <c r="A1" s="4" t="s">
        <v>31</v>
      </c>
      <c r="B1" s="4"/>
      <c r="C1" s="12" t="s">
        <v>45</v>
      </c>
      <c r="E1" s="12"/>
    </row>
    <row r="3" spans="1:6" x14ac:dyDescent="0.3">
      <c r="A3" s="3">
        <v>4</v>
      </c>
      <c r="C3" s="13">
        <f>MDETERM(A3)</f>
        <v>4</v>
      </c>
    </row>
    <row r="6" spans="1:6" x14ac:dyDescent="0.3">
      <c r="A6" s="4" t="s">
        <v>32</v>
      </c>
      <c r="B6" s="4"/>
      <c r="D6" s="4" t="s">
        <v>45</v>
      </c>
      <c r="E6" s="4"/>
    </row>
    <row r="8" spans="1:6" x14ac:dyDescent="0.3">
      <c r="A8" s="3">
        <v>1</v>
      </c>
      <c r="B8" s="3">
        <v>2</v>
      </c>
      <c r="D8" s="13">
        <f>MDETERM(A8:B9)</f>
        <v>-2</v>
      </c>
    </row>
    <row r="9" spans="1:6" x14ac:dyDescent="0.3">
      <c r="A9" s="3">
        <v>3</v>
      </c>
      <c r="B9" s="3">
        <v>4</v>
      </c>
    </row>
    <row r="11" spans="1:6" x14ac:dyDescent="0.3">
      <c r="A11" s="1" t="s">
        <v>33</v>
      </c>
      <c r="B11" s="1"/>
      <c r="E11" s="4" t="s">
        <v>45</v>
      </c>
      <c r="F11" s="4"/>
    </row>
    <row r="13" spans="1:6" x14ac:dyDescent="0.3">
      <c r="A13" s="3">
        <v>6</v>
      </c>
      <c r="B13" s="3">
        <v>34</v>
      </c>
      <c r="C13" s="3">
        <v>4</v>
      </c>
      <c r="E13" s="13">
        <f>MDETERM(A13:C15)</f>
        <v>-900</v>
      </c>
    </row>
    <row r="14" spans="1:6" x14ac:dyDescent="0.3">
      <c r="A14" s="3">
        <v>6</v>
      </c>
      <c r="B14" s="3">
        <v>2</v>
      </c>
      <c r="C14" s="3">
        <v>5</v>
      </c>
    </row>
    <row r="15" spans="1:6" x14ac:dyDescent="0.3">
      <c r="A15" s="3">
        <v>3</v>
      </c>
      <c r="B15" s="3">
        <v>7</v>
      </c>
      <c r="C15" s="3">
        <v>7</v>
      </c>
    </row>
    <row r="17" spans="1:8" x14ac:dyDescent="0.3">
      <c r="A17" s="1" t="s">
        <v>3</v>
      </c>
      <c r="B17" s="1"/>
      <c r="F17" s="4" t="s">
        <v>45</v>
      </c>
      <c r="G17" s="4"/>
    </row>
    <row r="19" spans="1:8" x14ac:dyDescent="0.3">
      <c r="A19" s="3">
        <v>4</v>
      </c>
      <c r="B19" s="3">
        <v>6</v>
      </c>
      <c r="C19" s="3">
        <v>1</v>
      </c>
      <c r="D19" s="3">
        <v>52</v>
      </c>
      <c r="F19" s="13">
        <f>MDETERM(A19:D22)</f>
        <v>-17787256.000000004</v>
      </c>
    </row>
    <row r="20" spans="1:8" x14ac:dyDescent="0.3">
      <c r="A20" s="3">
        <v>532</v>
      </c>
      <c r="B20" s="3">
        <v>12</v>
      </c>
      <c r="C20" s="3">
        <v>42</v>
      </c>
      <c r="D20" s="3">
        <v>41</v>
      </c>
    </row>
    <row r="21" spans="1:8" x14ac:dyDescent="0.3">
      <c r="A21" s="3">
        <v>122</v>
      </c>
      <c r="B21" s="3">
        <v>24</v>
      </c>
      <c r="C21" s="3">
        <v>6</v>
      </c>
      <c r="D21" s="3">
        <v>0</v>
      </c>
    </row>
    <row r="22" spans="1:8" x14ac:dyDescent="0.3">
      <c r="A22" s="3">
        <v>1</v>
      </c>
      <c r="B22" s="3">
        <v>2</v>
      </c>
      <c r="C22" s="3">
        <v>42</v>
      </c>
      <c r="D22" s="3">
        <v>425</v>
      </c>
    </row>
    <row r="24" spans="1:8" x14ac:dyDescent="0.3">
      <c r="A24" s="4" t="s">
        <v>5</v>
      </c>
      <c r="B24" s="4"/>
      <c r="G24" s="4" t="s">
        <v>45</v>
      </c>
      <c r="H24" s="4"/>
    </row>
    <row r="26" spans="1:8" x14ac:dyDescent="0.3">
      <c r="A26" s="3">
        <v>51</v>
      </c>
      <c r="B26" s="3">
        <v>6</v>
      </c>
      <c r="C26" s="3">
        <v>9</v>
      </c>
      <c r="D26" s="3">
        <v>4</v>
      </c>
      <c r="E26" s="3">
        <v>7</v>
      </c>
      <c r="G26" s="13">
        <f>MDETERM(A26:E30)</f>
        <v>2095268.0000000002</v>
      </c>
    </row>
    <row r="27" spans="1:8" x14ac:dyDescent="0.3">
      <c r="A27" s="3">
        <v>43</v>
      </c>
      <c r="B27" s="3">
        <v>65</v>
      </c>
      <c r="C27" s="3">
        <v>32</v>
      </c>
      <c r="D27" s="3">
        <v>5</v>
      </c>
      <c r="E27" s="3">
        <v>4</v>
      </c>
    </row>
    <row r="28" spans="1:8" x14ac:dyDescent="0.3">
      <c r="A28" s="3">
        <v>2</v>
      </c>
      <c r="B28" s="3">
        <v>5</v>
      </c>
      <c r="C28" s="3">
        <v>15</v>
      </c>
      <c r="D28" s="3">
        <v>1</v>
      </c>
      <c r="E28" s="3">
        <v>1</v>
      </c>
    </row>
    <row r="29" spans="1:8" x14ac:dyDescent="0.3">
      <c r="A29" s="3">
        <v>7</v>
      </c>
      <c r="B29" s="3">
        <v>36</v>
      </c>
      <c r="C29" s="3">
        <v>6</v>
      </c>
      <c r="D29" s="3">
        <v>7</v>
      </c>
      <c r="E29" s="3">
        <v>1</v>
      </c>
    </row>
    <row r="30" spans="1:8" x14ac:dyDescent="0.3">
      <c r="A30" s="3">
        <v>0</v>
      </c>
      <c r="B30" s="3">
        <v>5</v>
      </c>
      <c r="C30" s="3">
        <v>7</v>
      </c>
      <c r="D30" s="3">
        <v>0</v>
      </c>
      <c r="E30" s="3">
        <v>9</v>
      </c>
    </row>
  </sheetData>
  <mergeCells count="9">
    <mergeCell ref="A11:B11"/>
    <mergeCell ref="A24:B24"/>
    <mergeCell ref="A1:B1"/>
    <mergeCell ref="A6:B6"/>
    <mergeCell ref="D6:E6"/>
    <mergeCell ref="E11:F11"/>
    <mergeCell ref="A17:B17"/>
    <mergeCell ref="F17:G17"/>
    <mergeCell ref="G24:H24"/>
  </mergeCells>
  <pageMargins left="0.7" right="0.7" top="0.75" bottom="0.75" header="0.3" footer="0.3"/>
  <pageSetup paperSize="9" orientation="portrait" r:id="rId1"/>
  <headerFooter>
    <oddHeader>&amp;LГневнов Артем Евгеньевич, Группа2, подгруппа 1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2E95-C396-42AB-91A4-8B4C4A289704}">
  <dimension ref="J1:T30"/>
  <sheetViews>
    <sheetView tabSelected="1" topLeftCell="J16" zoomScaleNormal="100" workbookViewId="0">
      <selection activeCell="N11" sqref="N11:P11"/>
    </sheetView>
  </sheetViews>
  <sheetFormatPr defaultRowHeight="15.6" x14ac:dyDescent="0.3"/>
  <cols>
    <col min="1" max="16384" width="8.88671875" style="2"/>
  </cols>
  <sheetData>
    <row r="1" spans="10:16" x14ac:dyDescent="0.3">
      <c r="J1" s="4" t="s">
        <v>31</v>
      </c>
      <c r="K1" s="4"/>
      <c r="L1" s="12"/>
      <c r="M1" s="4" t="s">
        <v>46</v>
      </c>
      <c r="N1" s="4"/>
      <c r="O1" s="4"/>
    </row>
    <row r="3" spans="10:16" x14ac:dyDescent="0.3">
      <c r="J3" s="3">
        <v>4</v>
      </c>
      <c r="L3" s="14"/>
      <c r="M3" s="15" cm="1">
        <f t="array" ref="M3">MINVERSE(J3)</f>
        <v>0.25</v>
      </c>
    </row>
    <row r="6" spans="10:16" x14ac:dyDescent="0.3">
      <c r="J6" s="4" t="s">
        <v>32</v>
      </c>
      <c r="K6" s="4"/>
      <c r="M6" s="4" t="s">
        <v>46</v>
      </c>
      <c r="N6" s="4"/>
      <c r="O6" s="4"/>
    </row>
    <row r="8" spans="10:16" x14ac:dyDescent="0.3">
      <c r="J8" s="3">
        <v>1</v>
      </c>
      <c r="K8" s="3">
        <v>2</v>
      </c>
      <c r="M8" s="15" cm="1">
        <f t="array" ref="M8:N9">MINVERSE(J8:K9)</f>
        <v>-1.9999999999999998</v>
      </c>
      <c r="N8" s="15">
        <v>0.99999999999999989</v>
      </c>
    </row>
    <row r="9" spans="10:16" x14ac:dyDescent="0.3">
      <c r="J9" s="3">
        <v>3</v>
      </c>
      <c r="K9" s="3">
        <v>4</v>
      </c>
      <c r="M9" s="15">
        <v>1.4999999999999998</v>
      </c>
      <c r="N9" s="15">
        <v>-0.49999999999999989</v>
      </c>
    </row>
    <row r="11" spans="10:16" x14ac:dyDescent="0.3">
      <c r="J11" s="1" t="s">
        <v>33</v>
      </c>
      <c r="K11" s="1"/>
      <c r="N11" s="4" t="s">
        <v>46</v>
      </c>
      <c r="O11" s="4"/>
      <c r="P11" s="4"/>
    </row>
    <row r="13" spans="10:16" x14ac:dyDescent="0.3">
      <c r="J13" s="3">
        <v>6</v>
      </c>
      <c r="K13" s="3">
        <v>34</v>
      </c>
      <c r="L13" s="3">
        <v>4</v>
      </c>
      <c r="N13" s="15" cm="1">
        <f t="array" ref="N13:P15">MINVERSE(J13:L15)</f>
        <v>2.3333333333333331E-2</v>
      </c>
      <c r="O13" s="15">
        <v>0.23333333333333331</v>
      </c>
      <c r="P13" s="15">
        <v>-0.18000000000000002</v>
      </c>
    </row>
    <row r="14" spans="10:16" x14ac:dyDescent="0.3">
      <c r="J14" s="3">
        <v>6</v>
      </c>
      <c r="K14" s="3">
        <v>2</v>
      </c>
      <c r="L14" s="3">
        <v>5</v>
      </c>
      <c r="N14" s="15">
        <v>0.03</v>
      </c>
      <c r="O14" s="15">
        <v>-3.3333333333333333E-2</v>
      </c>
      <c r="P14" s="15">
        <v>6.6666666666666671E-3</v>
      </c>
    </row>
    <row r="15" spans="10:16" x14ac:dyDescent="0.3">
      <c r="J15" s="3">
        <v>3</v>
      </c>
      <c r="K15" s="3">
        <v>7</v>
      </c>
      <c r="L15" s="3">
        <v>7</v>
      </c>
      <c r="N15" s="15">
        <v>-0.04</v>
      </c>
      <c r="O15" s="15">
        <v>-6.6666666666666666E-2</v>
      </c>
      <c r="P15" s="15">
        <v>0.21333333333333335</v>
      </c>
    </row>
    <row r="17" spans="10:20" x14ac:dyDescent="0.3">
      <c r="J17" s="1" t="s">
        <v>3</v>
      </c>
      <c r="K17" s="1"/>
      <c r="O17" s="4" t="s">
        <v>46</v>
      </c>
      <c r="P17" s="4"/>
      <c r="Q17" s="4"/>
    </row>
    <row r="19" spans="10:20" x14ac:dyDescent="0.3">
      <c r="J19" s="3">
        <v>4</v>
      </c>
      <c r="K19" s="3">
        <v>6</v>
      </c>
      <c r="L19" s="3">
        <v>1</v>
      </c>
      <c r="M19" s="3">
        <v>52</v>
      </c>
      <c r="O19" s="15" cm="1">
        <f t="array" ref="O19:R22">MINVERSE(J19:M22)</f>
        <v>2.0068525465647993E-2</v>
      </c>
      <c r="P19" s="15">
        <v>3.1984697358603265E-3</v>
      </c>
      <c r="Q19" s="15">
        <v>-6.3860327866198125E-3</v>
      </c>
      <c r="R19" s="15">
        <v>-2.7640013726681623E-3</v>
      </c>
    </row>
    <row r="20" spans="10:20" x14ac:dyDescent="0.3">
      <c r="J20" s="3">
        <v>532</v>
      </c>
      <c r="K20" s="3">
        <v>12</v>
      </c>
      <c r="L20" s="3">
        <v>42</v>
      </c>
      <c r="M20" s="3">
        <v>41</v>
      </c>
      <c r="O20" s="15">
        <v>-3.4365165711900708E-2</v>
      </c>
      <c r="P20" s="15">
        <v>-1.2620608822406334E-2</v>
      </c>
      <c r="Q20" s="15">
        <v>5.6116412784523929E-2</v>
      </c>
      <c r="R20" s="15">
        <v>5.4221966558529325E-3</v>
      </c>
    </row>
    <row r="21" spans="10:20" x14ac:dyDescent="0.3">
      <c r="J21" s="3">
        <v>122</v>
      </c>
      <c r="K21" s="3">
        <v>24</v>
      </c>
      <c r="L21" s="3">
        <v>6</v>
      </c>
      <c r="M21" s="3">
        <v>0</v>
      </c>
      <c r="O21" s="15">
        <v>-0.27059935495390636</v>
      </c>
      <c r="P21" s="15">
        <v>-1.4553116006201293E-2</v>
      </c>
      <c r="Q21" s="15">
        <v>7.2050348856507157E-2</v>
      </c>
      <c r="R21" s="15">
        <v>3.4512574620840897E-2</v>
      </c>
    </row>
    <row r="22" spans="10:20" x14ac:dyDescent="0.3">
      <c r="J22" s="3">
        <v>1</v>
      </c>
      <c r="K22" s="3">
        <v>2</v>
      </c>
      <c r="L22" s="3">
        <v>42</v>
      </c>
      <c r="M22" s="3">
        <v>425</v>
      </c>
      <c r="O22" s="15">
        <v>2.6856081680052279E-2</v>
      </c>
      <c r="P22" s="15">
        <v>1.4900555768691921E-3</v>
      </c>
      <c r="Q22" s="15">
        <v>-7.3693210464840673E-3</v>
      </c>
      <c r="R22" s="15">
        <v>-1.0767259435631891E-3</v>
      </c>
    </row>
    <row r="24" spans="10:20" x14ac:dyDescent="0.3">
      <c r="J24" s="4" t="s">
        <v>5</v>
      </c>
      <c r="K24" s="4"/>
      <c r="P24" s="4" t="s">
        <v>46</v>
      </c>
      <c r="Q24" s="4"/>
      <c r="R24" s="4"/>
    </row>
    <row r="26" spans="10:20" x14ac:dyDescent="0.3">
      <c r="J26" s="3">
        <v>51</v>
      </c>
      <c r="K26" s="3">
        <v>6</v>
      </c>
      <c r="L26" s="3">
        <v>9</v>
      </c>
      <c r="M26" s="3">
        <v>4</v>
      </c>
      <c r="N26" s="3">
        <v>7</v>
      </c>
      <c r="P26" s="15" cm="1">
        <f t="array" ref="P26:T30">MINVERSE(J26:N30)</f>
        <v>1.5647163035945759E-2</v>
      </c>
      <c r="Q26" s="15">
        <v>7.3408270445594571E-3</v>
      </c>
      <c r="R26" s="15">
        <v>-1.4368090382709989E-2</v>
      </c>
      <c r="S26" s="15">
        <v>-1.213209956912433E-2</v>
      </c>
      <c r="T26" s="15">
        <v>-1.2488139942002645E-2</v>
      </c>
    </row>
    <row r="27" spans="10:20" x14ac:dyDescent="0.3">
      <c r="J27" s="3">
        <v>43</v>
      </c>
      <c r="K27" s="3">
        <v>65</v>
      </c>
      <c r="L27" s="3">
        <v>32</v>
      </c>
      <c r="M27" s="3">
        <v>5</v>
      </c>
      <c r="N27" s="3">
        <v>4</v>
      </c>
      <c r="P27" s="15">
        <v>-1.4641086486311058E-2</v>
      </c>
      <c r="Q27" s="15">
        <v>1.9027160248712816E-2</v>
      </c>
      <c r="R27" s="15">
        <v>-3.4901024594467152E-2</v>
      </c>
      <c r="S27" s="15">
        <v>-2.3863295769323964E-4</v>
      </c>
      <c r="T27" s="15">
        <v>6.8354024401651734E-3</v>
      </c>
    </row>
    <row r="28" spans="10:20" x14ac:dyDescent="0.3">
      <c r="J28" s="3">
        <v>2</v>
      </c>
      <c r="K28" s="3">
        <v>5</v>
      </c>
      <c r="L28" s="3">
        <v>15</v>
      </c>
      <c r="M28" s="3">
        <v>1</v>
      </c>
      <c r="N28" s="3">
        <v>1</v>
      </c>
      <c r="P28" s="15">
        <v>-1.8336556469148581E-3</v>
      </c>
      <c r="Q28" s="15">
        <v>3.2931348161667354E-4</v>
      </c>
      <c r="R28" s="15">
        <v>7.3667903103564789E-2</v>
      </c>
      <c r="S28" s="15">
        <v>-9.7114068462841024E-3</v>
      </c>
      <c r="T28" s="15">
        <v>-5.8264622950381529E-3</v>
      </c>
    </row>
    <row r="29" spans="10:20" x14ac:dyDescent="0.3">
      <c r="J29" s="3">
        <v>7</v>
      </c>
      <c r="K29" s="3">
        <v>36</v>
      </c>
      <c r="L29" s="3">
        <v>6</v>
      </c>
      <c r="M29" s="3">
        <v>7</v>
      </c>
      <c r="N29" s="3">
        <v>1</v>
      </c>
      <c r="P29" s="15">
        <v>5.9855827512280052E-2</v>
      </c>
      <c r="Q29" s="15">
        <v>-0.10393038026639077</v>
      </c>
      <c r="R29" s="15">
        <v>0.1361305570456858</v>
      </c>
      <c r="S29" s="15">
        <v>0.16344257631959253</v>
      </c>
      <c r="T29" s="15">
        <v>-3.364915609840842E-2</v>
      </c>
    </row>
    <row r="30" spans="10:20" x14ac:dyDescent="0.3">
      <c r="J30" s="3">
        <v>0</v>
      </c>
      <c r="K30" s="3">
        <v>5</v>
      </c>
      <c r="L30" s="3">
        <v>7</v>
      </c>
      <c r="M30" s="3">
        <v>0</v>
      </c>
      <c r="N30" s="3">
        <v>9</v>
      </c>
      <c r="P30" s="15">
        <v>9.5601135511065895E-3</v>
      </c>
      <c r="Q30" s="15">
        <v>-1.0826777290542308E-2</v>
      </c>
      <c r="R30" s="15">
        <v>-3.7907799861401976E-2</v>
      </c>
      <c r="S30" s="15">
        <v>7.6858903013838804E-3</v>
      </c>
      <c r="T30" s="15">
        <v>0.11184535820716013</v>
      </c>
    </row>
  </sheetData>
  <mergeCells count="10">
    <mergeCell ref="J24:K24"/>
    <mergeCell ref="M6:O6"/>
    <mergeCell ref="M1:O1"/>
    <mergeCell ref="P24:R24"/>
    <mergeCell ref="O17:Q17"/>
    <mergeCell ref="N11:P11"/>
    <mergeCell ref="J1:K1"/>
    <mergeCell ref="J6:K6"/>
    <mergeCell ref="J11:K11"/>
    <mergeCell ref="J17:K17"/>
  </mergeCells>
  <pageMargins left="0.7" right="0.7" top="0.75" bottom="0.75" header="0.3" footer="0.3"/>
  <pageSetup paperSize="9" orientation="portrait" r:id="rId1"/>
  <headerFooter>
    <oddHeader>&amp;LГневнов Артем Евгеньевич, Группа2, подгруппа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</vt:lpstr>
      <vt:lpstr>Задание 2</vt:lpstr>
      <vt:lpstr>Задание 3</vt:lpstr>
      <vt:lpstr>Задание 4</vt:lpstr>
      <vt:lpstr>Задание 5</vt:lpstr>
      <vt:lpstr>Задание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Artyom Gnevnov</dc:creator>
  <cp:lastModifiedBy>Artyom Gnevnov</cp:lastModifiedBy>
  <dcterms:created xsi:type="dcterms:W3CDTF">2015-06-05T18:19:34Z</dcterms:created>
  <dcterms:modified xsi:type="dcterms:W3CDTF">2022-10-21T10:37:21Z</dcterms:modified>
</cp:coreProperties>
</file>