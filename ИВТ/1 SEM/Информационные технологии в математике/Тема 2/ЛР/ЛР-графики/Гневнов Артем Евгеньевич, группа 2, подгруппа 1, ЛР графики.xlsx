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rtyom\OneDrive\Рабочий стол\учеба\РГПУ\ИТ в математике\Тема 2\"/>
    </mc:Choice>
  </mc:AlternateContent>
  <xr:revisionPtr revIDLastSave="0" documentId="13_ncr:1_{F8EF12F3-E672-435C-85E3-D9C9DF2251D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D2" i="4"/>
  <c r="E2" i="4"/>
  <c r="F2" i="4"/>
  <c r="G2" i="4"/>
  <c r="H2" i="4"/>
  <c r="I2" i="4"/>
  <c r="J2" i="4"/>
  <c r="K2" i="4"/>
  <c r="L2" i="4"/>
  <c r="C2" i="4"/>
  <c r="B2" i="4"/>
  <c r="B3" i="3" l="1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C2" i="3"/>
  <c r="D2" i="3"/>
  <c r="E2" i="3"/>
  <c r="F2" i="3"/>
  <c r="G2" i="3"/>
  <c r="H2" i="3"/>
  <c r="I2" i="3"/>
  <c r="J2" i="3"/>
  <c r="K2" i="3"/>
  <c r="L2" i="3"/>
  <c r="B2" i="3"/>
  <c r="C85" i="2"/>
  <c r="D85" i="2"/>
  <c r="E85" i="2"/>
  <c r="F85" i="2"/>
  <c r="G85" i="2"/>
  <c r="H85" i="2"/>
  <c r="B85" i="2"/>
  <c r="C69" i="2"/>
  <c r="D69" i="2"/>
  <c r="E69" i="2"/>
  <c r="F69" i="2"/>
  <c r="G69" i="2"/>
  <c r="H69" i="2"/>
  <c r="B69" i="2"/>
  <c r="H53" i="2"/>
  <c r="I53" i="2"/>
  <c r="J53" i="2"/>
  <c r="K53" i="2"/>
  <c r="L53" i="2"/>
  <c r="M53" i="2"/>
  <c r="N53" i="2"/>
  <c r="O53" i="2"/>
  <c r="C53" i="2"/>
  <c r="D53" i="2"/>
  <c r="E53" i="2"/>
  <c r="F53" i="2"/>
  <c r="G53" i="2"/>
  <c r="B53" i="2"/>
  <c r="C37" i="2"/>
  <c r="D37" i="2"/>
  <c r="E37" i="2"/>
  <c r="F37" i="2"/>
  <c r="G37" i="2"/>
  <c r="H37" i="2"/>
  <c r="I37" i="2"/>
  <c r="J37" i="2"/>
  <c r="B37" i="2"/>
  <c r="D21" i="2"/>
  <c r="E21" i="2"/>
  <c r="F21" i="2"/>
  <c r="G21" i="2"/>
  <c r="H21" i="2"/>
  <c r="C21" i="2"/>
  <c r="B21" i="2"/>
  <c r="C2" i="2"/>
  <c r="D2" i="2"/>
  <c r="E2" i="2"/>
  <c r="F2" i="2"/>
  <c r="G2" i="2"/>
  <c r="H2" i="2"/>
  <c r="B2" i="2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<sst xmlns="http://schemas.openxmlformats.org/spreadsheetml/2006/main" count="18" uniqueCount="6">
  <si>
    <t>k</t>
  </si>
  <si>
    <t>b</t>
  </si>
  <si>
    <t>x</t>
  </si>
  <si>
    <t>y</t>
  </si>
  <si>
    <t>a =</t>
  </si>
  <si>
    <t>b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</si>
</sst>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 k*x+b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1'!$A$5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1'!$B$5:$H$5</c:f>
              <c:numCache>
                <c:formatCode>General</c:formatCode>
                <c:ptCount val="7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7B-4531-8F4D-F2D94ABA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63616"/>
        <c:axId val="1226964032"/>
      </c:scatterChart>
      <c:valAx>
        <c:axId val="122696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4544794400699916"/>
              <c:y val="0.53199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6964032"/>
        <c:crosses val="autoZero"/>
        <c:crossBetween val="midCat"/>
      </c:valAx>
      <c:valAx>
        <c:axId val="12269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52777777777777779"/>
              <c:y val="0.12862277631962676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696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y=2^x+3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527777777777777E-2"/>
          <c:y val="0.13640769903762032"/>
          <c:w val="0.89939588801399828"/>
          <c:h val="0.676320501603966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2'!$A$2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2'!$B$1:$H$1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2'!$B$2:$H$2</c:f>
              <c:numCache>
                <c:formatCode>General</c:formatCode>
                <c:ptCount val="7"/>
                <c:pt idx="0">
                  <c:v>3.125</c:v>
                </c:pt>
                <c:pt idx="1">
                  <c:v>3.25</c:v>
                </c:pt>
                <c:pt idx="2">
                  <c:v>3.5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9-4E70-83DE-1011E2785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681888"/>
        <c:axId val="1303684384"/>
      </c:scatterChart>
      <c:valAx>
        <c:axId val="130368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3809383202099739"/>
              <c:y val="0.68319444444444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3684384"/>
        <c:crosses val="autoZero"/>
        <c:crossBetween val="midCat"/>
      </c:valAx>
      <c:valAx>
        <c:axId val="13036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53888888888888886"/>
              <c:y val="6.911286089238846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3681888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y=x^0,5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2'!$B$20:$H$20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'Задание 2'!$B$21:$H$21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3-4915-B3DB-456BD5F74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41824"/>
        <c:axId val="1297342240"/>
      </c:scatterChart>
      <c:valAx>
        <c:axId val="129734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4756124234470673"/>
              <c:y val="0.59530074365704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7342240"/>
        <c:crosses val="autoZero"/>
        <c:crossBetween val="midCat"/>
      </c:valAx>
      <c:valAx>
        <c:axId val="12973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125"/>
              <c:y val="9.55362350539515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7341824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</a:t>
            </a:r>
            <a:r>
              <a:rPr lang="en-US" baseline="0"/>
              <a:t> 7 abs(x)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6826334208223973E-2"/>
          <c:y val="0.19486111111111112"/>
          <c:w val="0.9223958880139983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2'!$A$37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2'!$B$36:$J$36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xVal>
          <c:yVal>
            <c:numRef>
              <c:f>'Задание 2'!$B$37:$J$37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0-4D5E-A52A-C28592617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98704"/>
        <c:axId val="631699120"/>
      </c:scatterChart>
      <c:valAx>
        <c:axId val="63169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49562839020122484"/>
              <c:y val="0.1101618547681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699120"/>
        <c:crosses val="autoZero"/>
        <c:crossBetween val="midCat"/>
      </c:valAx>
      <c:valAx>
        <c:axId val="6316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2777777777777781"/>
              <c:y val="0.78814049285505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698704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y=1/x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2'!$A$53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2'!$B$52:$O$52</c:f>
              <c:numCache>
                <c:formatCode>General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-2.5</c:v>
                </c:pt>
                <c:pt idx="3">
                  <c:v>-2</c:v>
                </c:pt>
                <c:pt idx="4">
                  <c:v>-1</c:v>
                </c:pt>
                <c:pt idx="5">
                  <c:v>-0.5</c:v>
                </c:pt>
                <c:pt idx="6">
                  <c:v>-0.25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2.5</c:v>
                </c:pt>
                <c:pt idx="12">
                  <c:v>4</c:v>
                </c:pt>
                <c:pt idx="13">
                  <c:v>5</c:v>
                </c:pt>
              </c:numCache>
            </c:numRef>
          </c:xVal>
          <c:yVal>
            <c:numRef>
              <c:f>'Задание 2'!$B$53:$O$53</c:f>
              <c:numCache>
                <c:formatCode>General</c:formatCode>
                <c:ptCount val="14"/>
                <c:pt idx="0">
                  <c:v>-0.2</c:v>
                </c:pt>
                <c:pt idx="1">
                  <c:v>-0.25</c:v>
                </c:pt>
                <c:pt idx="2">
                  <c:v>-0.4</c:v>
                </c:pt>
                <c:pt idx="3">
                  <c:v>-0.5</c:v>
                </c:pt>
                <c:pt idx="4">
                  <c:v>-1</c:v>
                </c:pt>
                <c:pt idx="5">
                  <c:v>-2</c:v>
                </c:pt>
                <c:pt idx="6">
                  <c:v>-4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0.5</c:v>
                </c:pt>
                <c:pt idx="11">
                  <c:v>0.4</c:v>
                </c:pt>
                <c:pt idx="12">
                  <c:v>0.25</c:v>
                </c:pt>
                <c:pt idx="13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7F-4BAF-93AF-CCCE0FCB3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79551"/>
        <c:axId val="105969567"/>
      </c:scatterChart>
      <c:valAx>
        <c:axId val="10597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3904855643044616"/>
              <c:y val="0.34067111402741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969567"/>
        <c:crosses val="autoZero"/>
        <c:crossBetween val="midCat"/>
      </c:valAx>
      <c:valAx>
        <c:axId val="1059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52500000000000002"/>
              <c:y val="8.21062992125984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979551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y=ln(x)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2'!$A$69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2'!$B$68:$H$68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'Задание 2'!$B$69:$H$69</c:f>
              <c:numCache>
                <c:formatCode>General</c:formatCode>
                <c:ptCount val="7"/>
                <c:pt idx="0">
                  <c:v>-1.3862943611198906</c:v>
                </c:pt>
                <c:pt idx="1">
                  <c:v>-0.69314718055994529</c:v>
                </c:pt>
                <c:pt idx="2">
                  <c:v>0</c:v>
                </c:pt>
                <c:pt idx="3">
                  <c:v>0.69314718055994529</c:v>
                </c:pt>
                <c:pt idx="4">
                  <c:v>1.0986122886681098</c:v>
                </c:pt>
                <c:pt idx="5">
                  <c:v>1.3862943611198906</c:v>
                </c:pt>
                <c:pt idx="6">
                  <c:v>1.6094379124341003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15-4A43-BEF0-E7FF3C0D8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356319"/>
        <c:axId val="2064356735"/>
      </c:scatterChart>
      <c:valAx>
        <c:axId val="206435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4150568678915159"/>
              <c:y val="0.3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4356735"/>
        <c:crosses val="autoZero"/>
        <c:crossBetween val="midCat"/>
      </c:valAx>
      <c:valAx>
        <c:axId val="20643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14444444444444443"/>
              <c:y val="5.481445027704870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4356319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y=ln(5)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2'!$A$85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2'!$B$84:$H$84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'Задание 2'!$B$85:$H$85</c:f>
              <c:numCache>
                <c:formatCode>General</c:formatCode>
                <c:ptCount val="7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7-4744-9179-6ACE5466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40047"/>
        <c:axId val="40637135"/>
      </c:scatterChart>
      <c:valAx>
        <c:axId val="4064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94073490813648297"/>
              <c:y val="0.59993037328667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37135"/>
        <c:crosses val="autoZero"/>
        <c:crossBetween val="midCat"/>
      </c:valAx>
      <c:valAx>
        <c:axId val="406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0.14722222222222223"/>
              <c:y val="7.19017935258092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40047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Гиперболический параболоид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B-4C06-94CC-D3DFB97171C3}"/>
            </c:ext>
          </c:extLst>
        </c:ser>
        <c:ser>
          <c:idx val="1"/>
          <c:order val="1"/>
          <c:tx>
            <c:strRef>
              <c:f>'Задание 3'!$A$3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B-4C06-94CC-D3DFB97171C3}"/>
            </c:ext>
          </c:extLst>
        </c:ser>
        <c:ser>
          <c:idx val="2"/>
          <c:order val="2"/>
          <c:tx>
            <c:strRef>
              <c:f>'Задание 3'!$A$4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B-4C06-94CC-D3DFB97171C3}"/>
            </c:ext>
          </c:extLst>
        </c:ser>
        <c:ser>
          <c:idx val="3"/>
          <c:order val="3"/>
          <c:tx>
            <c:strRef>
              <c:f>'Задание 3'!$A$5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DB-4C06-94CC-D3DFB97171C3}"/>
            </c:ext>
          </c:extLst>
        </c:ser>
        <c:ser>
          <c:idx val="4"/>
          <c:order val="4"/>
          <c:tx>
            <c:strRef>
              <c:f>'Задание 3'!$A$6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DB-4C06-94CC-D3DFB97171C3}"/>
            </c:ext>
          </c:extLst>
        </c:ser>
        <c:ser>
          <c:idx val="5"/>
          <c:order val="5"/>
          <c:tx>
            <c:strRef>
              <c:f>'Задание 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DB-4C06-94CC-D3DFB97171C3}"/>
            </c:ext>
          </c:extLst>
        </c:ser>
        <c:ser>
          <c:idx val="6"/>
          <c:order val="6"/>
          <c:tx>
            <c:strRef>
              <c:f>'Задание 3'!$A$8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DB-4C06-94CC-D3DFB97171C3}"/>
            </c:ext>
          </c:extLst>
        </c:ser>
        <c:ser>
          <c:idx val="7"/>
          <c:order val="7"/>
          <c:tx>
            <c:strRef>
              <c:f>'Задание 3'!$A$9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DB-4C06-94CC-D3DFB97171C3}"/>
            </c:ext>
          </c:extLst>
        </c:ser>
        <c:ser>
          <c:idx val="8"/>
          <c:order val="8"/>
          <c:tx>
            <c:strRef>
              <c:f>'Задание 3'!$A$10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DB-4C06-94CC-D3DFB97171C3}"/>
            </c:ext>
          </c:extLst>
        </c:ser>
        <c:ser>
          <c:idx val="9"/>
          <c:order val="9"/>
          <c:tx>
            <c:strRef>
              <c:f>'Задание 3'!$A$11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DB-4C06-94CC-D3DFB97171C3}"/>
            </c:ext>
          </c:extLst>
        </c:ser>
        <c:ser>
          <c:idx val="10"/>
          <c:order val="10"/>
          <c:tx>
            <c:strRef>
              <c:f>'Задание 3'!$A$12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DB-4C06-94CC-D3DFB97171C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0936383"/>
        <c:axId val="46540383"/>
        <c:axId val="65798975"/>
      </c:surface3DChart>
      <c:catAx>
        <c:axId val="70936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40383"/>
        <c:crosses val="autoZero"/>
        <c:auto val="1"/>
        <c:lblAlgn val="ctr"/>
        <c:lblOffset val="100"/>
        <c:noMultiLvlLbl val="0"/>
      </c:catAx>
      <c:valAx>
        <c:axId val="465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36383"/>
        <c:crosses val="autoZero"/>
        <c:crossBetween val="midCat"/>
      </c:valAx>
      <c:serAx>
        <c:axId val="657989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40383"/>
        <c:crosses val="autoZero"/>
      </c:ser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Гиперболический параболоид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4'!$A$2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4'!$B$2:$L$2</c:f>
              <c:numCache>
                <c:formatCode>General</c:formatCode>
                <c:ptCount val="11"/>
                <c:pt idx="0">
                  <c:v>11.284722222222221</c:v>
                </c:pt>
                <c:pt idx="1">
                  <c:v>6.2222222222222223</c:v>
                </c:pt>
                <c:pt idx="2">
                  <c:v>2.2847222222222223</c:v>
                </c:pt>
                <c:pt idx="3">
                  <c:v>-0.52777777777777768</c:v>
                </c:pt>
                <c:pt idx="4">
                  <c:v>-2.2152777777777777</c:v>
                </c:pt>
                <c:pt idx="5">
                  <c:v>-2.7777777777777777</c:v>
                </c:pt>
                <c:pt idx="6">
                  <c:v>-2.2152777777777777</c:v>
                </c:pt>
                <c:pt idx="7">
                  <c:v>-0.52777777777777768</c:v>
                </c:pt>
                <c:pt idx="8">
                  <c:v>2.2847222222222223</c:v>
                </c:pt>
                <c:pt idx="9">
                  <c:v>6.2222222222222223</c:v>
                </c:pt>
                <c:pt idx="10">
                  <c:v>11.284722222222221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7-4199-866F-9F2F4CBFDC84}"/>
            </c:ext>
          </c:extLst>
        </c:ser>
        <c:ser>
          <c:idx val="1"/>
          <c:order val="1"/>
          <c:tx>
            <c:strRef>
              <c:f>'Задание 4'!$A$3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4'!$B$3:$L$3</c:f>
              <c:numCache>
                <c:formatCode>General</c:formatCode>
                <c:ptCount val="11"/>
                <c:pt idx="0">
                  <c:v>12.284722222222221</c:v>
                </c:pt>
                <c:pt idx="1">
                  <c:v>7.2222222222222223</c:v>
                </c:pt>
                <c:pt idx="2">
                  <c:v>3.2847222222222223</c:v>
                </c:pt>
                <c:pt idx="3">
                  <c:v>0.47222222222222232</c:v>
                </c:pt>
                <c:pt idx="4">
                  <c:v>-1.2152777777777777</c:v>
                </c:pt>
                <c:pt idx="5">
                  <c:v>-1.7777777777777777</c:v>
                </c:pt>
                <c:pt idx="6">
                  <c:v>-1.2152777777777777</c:v>
                </c:pt>
                <c:pt idx="7">
                  <c:v>0.47222222222222232</c:v>
                </c:pt>
                <c:pt idx="8">
                  <c:v>3.2847222222222223</c:v>
                </c:pt>
                <c:pt idx="9">
                  <c:v>7.2222222222222223</c:v>
                </c:pt>
                <c:pt idx="10">
                  <c:v>12.284722222222221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7-4199-866F-9F2F4CBFDC84}"/>
            </c:ext>
          </c:extLst>
        </c:ser>
        <c:ser>
          <c:idx val="2"/>
          <c:order val="2"/>
          <c:tx>
            <c:strRef>
              <c:f>'Задание 4'!$A$4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4'!$B$4:$L$4</c:f>
              <c:numCache>
                <c:formatCode>General</c:formatCode>
                <c:ptCount val="11"/>
                <c:pt idx="0">
                  <c:v>13.0625</c:v>
                </c:pt>
                <c:pt idx="1">
                  <c:v>8</c:v>
                </c:pt>
                <c:pt idx="2">
                  <c:v>4.0625</c:v>
                </c:pt>
                <c:pt idx="3">
                  <c:v>1.25</c:v>
                </c:pt>
                <c:pt idx="4">
                  <c:v>-0.4375</c:v>
                </c:pt>
                <c:pt idx="5">
                  <c:v>-1</c:v>
                </c:pt>
                <c:pt idx="6">
                  <c:v>-0.4375</c:v>
                </c:pt>
                <c:pt idx="7">
                  <c:v>1.25</c:v>
                </c:pt>
                <c:pt idx="8">
                  <c:v>4.0625</c:v>
                </c:pt>
                <c:pt idx="9">
                  <c:v>8</c:v>
                </c:pt>
                <c:pt idx="10">
                  <c:v>13.0625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D7-4199-866F-9F2F4CBFDC84}"/>
            </c:ext>
          </c:extLst>
        </c:ser>
        <c:ser>
          <c:idx val="3"/>
          <c:order val="3"/>
          <c:tx>
            <c:strRef>
              <c:f>'Задание 4'!$A$5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4'!$B$5:$L$5</c:f>
              <c:numCache>
                <c:formatCode>General</c:formatCode>
                <c:ptCount val="11"/>
                <c:pt idx="0">
                  <c:v>13.618055555555555</c:v>
                </c:pt>
                <c:pt idx="1">
                  <c:v>8.5555555555555554</c:v>
                </c:pt>
                <c:pt idx="2">
                  <c:v>4.6180555555555554</c:v>
                </c:pt>
                <c:pt idx="3">
                  <c:v>1.8055555555555556</c:v>
                </c:pt>
                <c:pt idx="4">
                  <c:v>0.11805555555555558</c:v>
                </c:pt>
                <c:pt idx="5">
                  <c:v>-0.44444444444444442</c:v>
                </c:pt>
                <c:pt idx="6">
                  <c:v>0.11805555555555558</c:v>
                </c:pt>
                <c:pt idx="7">
                  <c:v>1.8055555555555556</c:v>
                </c:pt>
                <c:pt idx="8">
                  <c:v>4.6180555555555554</c:v>
                </c:pt>
                <c:pt idx="9">
                  <c:v>8.5555555555555554</c:v>
                </c:pt>
                <c:pt idx="10">
                  <c:v>13.618055555555555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D7-4199-866F-9F2F4CBFDC84}"/>
            </c:ext>
          </c:extLst>
        </c:ser>
        <c:ser>
          <c:idx val="4"/>
          <c:order val="4"/>
          <c:tx>
            <c:strRef>
              <c:f>'Задание 4'!$A$6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4'!$B$6:$L$6</c:f>
              <c:numCache>
                <c:formatCode>General</c:formatCode>
                <c:ptCount val="11"/>
                <c:pt idx="0">
                  <c:v>13.951388888888889</c:v>
                </c:pt>
                <c:pt idx="1">
                  <c:v>8.8888888888888893</c:v>
                </c:pt>
                <c:pt idx="2">
                  <c:v>4.9513888888888893</c:v>
                </c:pt>
                <c:pt idx="3">
                  <c:v>2.1388888888888888</c:v>
                </c:pt>
                <c:pt idx="4">
                  <c:v>0.4513888888888889</c:v>
                </c:pt>
                <c:pt idx="5">
                  <c:v>-0.1111111111111111</c:v>
                </c:pt>
                <c:pt idx="6">
                  <c:v>0.4513888888888889</c:v>
                </c:pt>
                <c:pt idx="7">
                  <c:v>2.1388888888888888</c:v>
                </c:pt>
                <c:pt idx="8">
                  <c:v>4.9513888888888893</c:v>
                </c:pt>
                <c:pt idx="9">
                  <c:v>8.8888888888888893</c:v>
                </c:pt>
                <c:pt idx="10">
                  <c:v>13.951388888888889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D7-4199-866F-9F2F4CBFDC84}"/>
            </c:ext>
          </c:extLst>
        </c:ser>
        <c:ser>
          <c:idx val="5"/>
          <c:order val="5"/>
          <c:tx>
            <c:strRef>
              <c:f>'Задание 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4'!$B$7:$L$7</c:f>
              <c:numCache>
                <c:formatCode>General</c:formatCode>
                <c:ptCount val="11"/>
                <c:pt idx="0">
                  <c:v>14.0625</c:v>
                </c:pt>
                <c:pt idx="1">
                  <c:v>9</c:v>
                </c:pt>
                <c:pt idx="2">
                  <c:v>5.0625</c:v>
                </c:pt>
                <c:pt idx="3">
                  <c:v>2.25</c:v>
                </c:pt>
                <c:pt idx="4">
                  <c:v>0.5625</c:v>
                </c:pt>
                <c:pt idx="5">
                  <c:v>0</c:v>
                </c:pt>
                <c:pt idx="6">
                  <c:v>0.5625</c:v>
                </c:pt>
                <c:pt idx="7">
                  <c:v>2.25</c:v>
                </c:pt>
                <c:pt idx="8">
                  <c:v>5.0625</c:v>
                </c:pt>
                <c:pt idx="9">
                  <c:v>9</c:v>
                </c:pt>
                <c:pt idx="10">
                  <c:v>14.0625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D7-4199-866F-9F2F4CBFDC84}"/>
            </c:ext>
          </c:extLst>
        </c:ser>
        <c:ser>
          <c:idx val="6"/>
          <c:order val="6"/>
          <c:tx>
            <c:strRef>
              <c:f>'Задание 4'!$A$8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4'!$B$8:$L$8</c:f>
              <c:numCache>
                <c:formatCode>General</c:formatCode>
                <c:ptCount val="11"/>
                <c:pt idx="0">
                  <c:v>13.951388888888889</c:v>
                </c:pt>
                <c:pt idx="1">
                  <c:v>8.8888888888888893</c:v>
                </c:pt>
                <c:pt idx="2">
                  <c:v>4.9513888888888893</c:v>
                </c:pt>
                <c:pt idx="3">
                  <c:v>2.1388888888888888</c:v>
                </c:pt>
                <c:pt idx="4">
                  <c:v>0.4513888888888889</c:v>
                </c:pt>
                <c:pt idx="5">
                  <c:v>-0.1111111111111111</c:v>
                </c:pt>
                <c:pt idx="6">
                  <c:v>0.4513888888888889</c:v>
                </c:pt>
                <c:pt idx="7">
                  <c:v>2.1388888888888888</c:v>
                </c:pt>
                <c:pt idx="8">
                  <c:v>4.9513888888888893</c:v>
                </c:pt>
                <c:pt idx="9">
                  <c:v>8.8888888888888893</c:v>
                </c:pt>
                <c:pt idx="10">
                  <c:v>13.951388888888889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D7-4199-866F-9F2F4CBFDC84}"/>
            </c:ext>
          </c:extLst>
        </c:ser>
        <c:ser>
          <c:idx val="7"/>
          <c:order val="7"/>
          <c:tx>
            <c:strRef>
              <c:f>'Задание 4'!$A$9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4'!$B$9:$L$9</c:f>
              <c:numCache>
                <c:formatCode>General</c:formatCode>
                <c:ptCount val="11"/>
                <c:pt idx="0">
                  <c:v>13.618055555555555</c:v>
                </c:pt>
                <c:pt idx="1">
                  <c:v>8.5555555555555554</c:v>
                </c:pt>
                <c:pt idx="2">
                  <c:v>4.6180555555555554</c:v>
                </c:pt>
                <c:pt idx="3">
                  <c:v>1.8055555555555556</c:v>
                </c:pt>
                <c:pt idx="4">
                  <c:v>0.11805555555555558</c:v>
                </c:pt>
                <c:pt idx="5">
                  <c:v>-0.44444444444444442</c:v>
                </c:pt>
                <c:pt idx="6">
                  <c:v>0.11805555555555558</c:v>
                </c:pt>
                <c:pt idx="7">
                  <c:v>1.8055555555555556</c:v>
                </c:pt>
                <c:pt idx="8">
                  <c:v>4.6180555555555554</c:v>
                </c:pt>
                <c:pt idx="9">
                  <c:v>8.5555555555555554</c:v>
                </c:pt>
                <c:pt idx="10">
                  <c:v>13.618055555555555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D7-4199-866F-9F2F4CBFDC84}"/>
            </c:ext>
          </c:extLst>
        </c:ser>
        <c:ser>
          <c:idx val="8"/>
          <c:order val="8"/>
          <c:tx>
            <c:strRef>
              <c:f>'Задание 4'!$A$10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4'!$B$10:$L$10</c:f>
              <c:numCache>
                <c:formatCode>General</c:formatCode>
                <c:ptCount val="11"/>
                <c:pt idx="0">
                  <c:v>13.0625</c:v>
                </c:pt>
                <c:pt idx="1">
                  <c:v>8</c:v>
                </c:pt>
                <c:pt idx="2">
                  <c:v>4.0625</c:v>
                </c:pt>
                <c:pt idx="3">
                  <c:v>1.25</c:v>
                </c:pt>
                <c:pt idx="4">
                  <c:v>-0.4375</c:v>
                </c:pt>
                <c:pt idx="5">
                  <c:v>-1</c:v>
                </c:pt>
                <c:pt idx="6">
                  <c:v>-0.4375</c:v>
                </c:pt>
                <c:pt idx="7">
                  <c:v>1.25</c:v>
                </c:pt>
                <c:pt idx="8">
                  <c:v>4.0625</c:v>
                </c:pt>
                <c:pt idx="9">
                  <c:v>8</c:v>
                </c:pt>
                <c:pt idx="10">
                  <c:v>13.0625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D7-4199-866F-9F2F4CBFDC84}"/>
            </c:ext>
          </c:extLst>
        </c:ser>
        <c:ser>
          <c:idx val="9"/>
          <c:order val="9"/>
          <c:tx>
            <c:strRef>
              <c:f>'Задание 4'!$A$11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4'!$B$11:$L$11</c:f>
              <c:numCache>
                <c:formatCode>General</c:formatCode>
                <c:ptCount val="11"/>
                <c:pt idx="0">
                  <c:v>12.284722222222221</c:v>
                </c:pt>
                <c:pt idx="1">
                  <c:v>7.2222222222222223</c:v>
                </c:pt>
                <c:pt idx="2">
                  <c:v>3.2847222222222223</c:v>
                </c:pt>
                <c:pt idx="3">
                  <c:v>0.47222222222222232</c:v>
                </c:pt>
                <c:pt idx="4">
                  <c:v>-1.2152777777777777</c:v>
                </c:pt>
                <c:pt idx="5">
                  <c:v>-1.7777777777777777</c:v>
                </c:pt>
                <c:pt idx="6">
                  <c:v>-1.2152777777777777</c:v>
                </c:pt>
                <c:pt idx="7">
                  <c:v>0.47222222222222232</c:v>
                </c:pt>
                <c:pt idx="8">
                  <c:v>3.2847222222222223</c:v>
                </c:pt>
                <c:pt idx="9">
                  <c:v>7.2222222222222223</c:v>
                </c:pt>
                <c:pt idx="10">
                  <c:v>12.284722222222221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D7-4199-866F-9F2F4CBFDC84}"/>
            </c:ext>
          </c:extLst>
        </c:ser>
        <c:ser>
          <c:idx val="10"/>
          <c:order val="10"/>
          <c:tx>
            <c:strRef>
              <c:f>'Задание 4'!$A$12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4'!$B$1:$L$1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4'!$B$12:$L$12</c:f>
              <c:numCache>
                <c:formatCode>General</c:formatCode>
                <c:ptCount val="11"/>
                <c:pt idx="0">
                  <c:v>11.284722222222221</c:v>
                </c:pt>
                <c:pt idx="1">
                  <c:v>6.2222222222222223</c:v>
                </c:pt>
                <c:pt idx="2">
                  <c:v>2.2847222222222223</c:v>
                </c:pt>
                <c:pt idx="3">
                  <c:v>-0.52777777777777768</c:v>
                </c:pt>
                <c:pt idx="4">
                  <c:v>-2.2152777777777777</c:v>
                </c:pt>
                <c:pt idx="5">
                  <c:v>-2.7777777777777777</c:v>
                </c:pt>
                <c:pt idx="6">
                  <c:v>-2.2152777777777777</c:v>
                </c:pt>
                <c:pt idx="7">
                  <c:v>-0.52777777777777768</c:v>
                </c:pt>
                <c:pt idx="8">
                  <c:v>2.2847222222222223</c:v>
                </c:pt>
                <c:pt idx="9">
                  <c:v>6.2222222222222223</c:v>
                </c:pt>
                <c:pt idx="10">
                  <c:v>11.284722222222221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D7-4199-866F-9F2F4CBFDC8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725813983"/>
        <c:axId val="1725811903"/>
        <c:axId val="33813711"/>
      </c:surface3DChart>
      <c:catAx>
        <c:axId val="1725813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5811903"/>
        <c:crosses val="autoZero"/>
        <c:auto val="1"/>
        <c:lblAlgn val="ctr"/>
        <c:lblOffset val="100"/>
        <c:noMultiLvlLbl val="0"/>
      </c:catAx>
      <c:valAx>
        <c:axId val="17258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5813983"/>
        <c:crosses val="autoZero"/>
        <c:crossBetween val="midCat"/>
      </c:valAx>
      <c:serAx>
        <c:axId val="338137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5811903"/>
        <c:crosses val="autoZero"/>
      </c:serAx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220980</xdr:rowOff>
    </xdr:from>
    <xdr:to>
      <xdr:col>7</xdr:col>
      <xdr:colOff>419100</xdr:colOff>
      <xdr:row>19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10F2A6D-9CDE-4166-8000-33730385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304800</xdr:colOff>
      <xdr:row>18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CA7F997-B2EF-4F1D-B75E-E69AA6B57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304800</xdr:colOff>
      <xdr:row>34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D847D40-AC0C-454A-A054-2E6C70CA0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205740</xdr:rowOff>
    </xdr:from>
    <xdr:to>
      <xdr:col>7</xdr:col>
      <xdr:colOff>304800</xdr:colOff>
      <xdr:row>49</xdr:row>
      <xdr:rowOff>205740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88A00C3-74B8-416B-B97F-B2F487A60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15240</xdr:rowOff>
    </xdr:from>
    <xdr:to>
      <xdr:col>7</xdr:col>
      <xdr:colOff>304800</xdr:colOff>
      <xdr:row>66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4644A9F-66BF-4F24-889D-B40245916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69</xdr:row>
      <xdr:rowOff>220980</xdr:rowOff>
    </xdr:from>
    <xdr:to>
      <xdr:col>7</xdr:col>
      <xdr:colOff>304800</xdr:colOff>
      <xdr:row>81</xdr:row>
      <xdr:rowOff>220980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7EDA996-1623-4DA3-AFC5-BD08979C5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85</xdr:row>
      <xdr:rowOff>213360</xdr:rowOff>
    </xdr:from>
    <xdr:to>
      <xdr:col>7</xdr:col>
      <xdr:colOff>304800</xdr:colOff>
      <xdr:row>97</xdr:row>
      <xdr:rowOff>213360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33DF630-5B73-4E3C-9D52-1FA98ABE6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12</xdr:row>
      <xdr:rowOff>220980</xdr:rowOff>
    </xdr:from>
    <xdr:to>
      <xdr:col>7</xdr:col>
      <xdr:colOff>312420</xdr:colOff>
      <xdr:row>24</xdr:row>
      <xdr:rowOff>220980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7BF0FF1-BBA5-4535-886B-0BFEB3EFA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22860</xdr:rowOff>
    </xdr:from>
    <xdr:to>
      <xdr:col>7</xdr:col>
      <xdr:colOff>304800</xdr:colOff>
      <xdr:row>25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74C045-3BCA-481A-A7C8-9EBA6D0B9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Normal="100" workbookViewId="0">
      <selection activeCell="D1" sqref="D1"/>
    </sheetView>
  </sheetViews>
  <sheetFormatPr defaultRowHeight="18" x14ac:dyDescent="0.35"/>
  <cols>
    <col min="1" max="16384" width="8.88671875" style="1"/>
  </cols>
  <sheetData>
    <row r="1" spans="1:8" x14ac:dyDescent="0.35">
      <c r="A1" s="2" t="s">
        <v>0</v>
      </c>
      <c r="B1" s="2">
        <v>2</v>
      </c>
    </row>
    <row r="2" spans="1:8" x14ac:dyDescent="0.35">
      <c r="A2" s="2" t="s">
        <v>1</v>
      </c>
      <c r="B2" s="2">
        <v>3</v>
      </c>
    </row>
    <row r="4" spans="1:8" x14ac:dyDescent="0.35">
      <c r="A4" s="3" t="s">
        <v>2</v>
      </c>
      <c r="B4" s="3">
        <v>-3</v>
      </c>
      <c r="C4" s="3">
        <v>-2</v>
      </c>
      <c r="D4" s="3">
        <v>-1</v>
      </c>
      <c r="E4" s="3">
        <v>0</v>
      </c>
      <c r="F4" s="3">
        <v>1</v>
      </c>
      <c r="G4" s="3">
        <v>2</v>
      </c>
      <c r="H4" s="3">
        <v>3</v>
      </c>
    </row>
    <row r="5" spans="1:8" x14ac:dyDescent="0.35">
      <c r="A5" s="3" t="s">
        <v>3</v>
      </c>
      <c r="B5" s="3">
        <f>$B$1*B4+$B$2</f>
        <v>-3</v>
      </c>
      <c r="C5" s="3">
        <f t="shared" ref="C5:H5" si="0">$B$1*C4+$B$2</f>
        <v>-1</v>
      </c>
      <c r="D5" s="3">
        <f t="shared" si="0"/>
        <v>1</v>
      </c>
      <c r="E5" s="3">
        <f t="shared" si="0"/>
        <v>3</v>
      </c>
      <c r="F5" s="3">
        <f t="shared" si="0"/>
        <v>5</v>
      </c>
      <c r="G5" s="3">
        <f t="shared" si="0"/>
        <v>7</v>
      </c>
      <c r="H5" s="3">
        <f t="shared" si="0"/>
        <v>9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ИВТ2.1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EA9C-3E94-4FEF-805A-D5904295CC41}">
  <dimension ref="A1:O85"/>
  <sheetViews>
    <sheetView topLeftCell="A65" zoomScaleNormal="100" workbookViewId="0">
      <selection activeCell="K88" sqref="K88"/>
    </sheetView>
  </sheetViews>
  <sheetFormatPr defaultRowHeight="18" x14ac:dyDescent="0.35"/>
  <cols>
    <col min="1" max="16384" width="8.88671875" style="1"/>
  </cols>
  <sheetData>
    <row r="1" spans="1:8" x14ac:dyDescent="0.35">
      <c r="A1" s="3" t="s">
        <v>2</v>
      </c>
      <c r="B1" s="3">
        <v>-3</v>
      </c>
      <c r="C1" s="3">
        <v>-2</v>
      </c>
      <c r="D1" s="3">
        <v>-1</v>
      </c>
      <c r="E1" s="3">
        <v>0</v>
      </c>
      <c r="F1" s="3">
        <v>1</v>
      </c>
      <c r="G1" s="3">
        <v>2</v>
      </c>
      <c r="H1" s="3">
        <v>3</v>
      </c>
    </row>
    <row r="2" spans="1:8" x14ac:dyDescent="0.35">
      <c r="A2" s="3" t="s">
        <v>3</v>
      </c>
      <c r="B2" s="3">
        <f>2^B1+3</f>
        <v>3.125</v>
      </c>
      <c r="C2" s="3">
        <f t="shared" ref="C2:H2" si="0">2^C1+3</f>
        <v>3.25</v>
      </c>
      <c r="D2" s="3">
        <f t="shared" si="0"/>
        <v>3.5</v>
      </c>
      <c r="E2" s="3">
        <f t="shared" si="0"/>
        <v>4</v>
      </c>
      <c r="F2" s="3">
        <f t="shared" si="0"/>
        <v>5</v>
      </c>
      <c r="G2" s="3">
        <f t="shared" si="0"/>
        <v>7</v>
      </c>
      <c r="H2" s="3">
        <f t="shared" si="0"/>
        <v>11</v>
      </c>
    </row>
    <row r="20" spans="1:8" x14ac:dyDescent="0.35">
      <c r="A20" s="3" t="s">
        <v>2</v>
      </c>
      <c r="B20" s="3">
        <v>1</v>
      </c>
      <c r="C20" s="3">
        <v>4</v>
      </c>
      <c r="D20" s="3">
        <v>9</v>
      </c>
      <c r="E20" s="3">
        <v>16</v>
      </c>
      <c r="F20" s="3">
        <v>25</v>
      </c>
      <c r="G20" s="3">
        <v>36</v>
      </c>
      <c r="H20" s="3">
        <v>49</v>
      </c>
    </row>
    <row r="21" spans="1:8" x14ac:dyDescent="0.35">
      <c r="A21" s="3" t="s">
        <v>3</v>
      </c>
      <c r="B21" s="3">
        <f>B20^0.5</f>
        <v>1</v>
      </c>
      <c r="C21" s="3">
        <f>C20^0.5</f>
        <v>2</v>
      </c>
      <c r="D21" s="3">
        <f t="shared" ref="D21:H21" si="1">D20^0.5</f>
        <v>3</v>
      </c>
      <c r="E21" s="3">
        <f t="shared" si="1"/>
        <v>4</v>
      </c>
      <c r="F21" s="3">
        <f t="shared" si="1"/>
        <v>5</v>
      </c>
      <c r="G21" s="3">
        <f t="shared" si="1"/>
        <v>6</v>
      </c>
      <c r="H21" s="3">
        <f t="shared" si="1"/>
        <v>7</v>
      </c>
    </row>
    <row r="36" spans="1:10" x14ac:dyDescent="0.35">
      <c r="A36" s="3" t="s">
        <v>2</v>
      </c>
      <c r="B36" s="3">
        <v>-4</v>
      </c>
      <c r="C36" s="3">
        <v>-3</v>
      </c>
      <c r="D36" s="3">
        <v>-2</v>
      </c>
      <c r="E36" s="3">
        <v>-1</v>
      </c>
      <c r="F36" s="3">
        <v>0</v>
      </c>
      <c r="G36" s="3">
        <v>1</v>
      </c>
      <c r="H36" s="3">
        <v>2</v>
      </c>
      <c r="I36" s="3">
        <v>3</v>
      </c>
      <c r="J36" s="3">
        <v>4</v>
      </c>
    </row>
    <row r="37" spans="1:10" x14ac:dyDescent="0.35">
      <c r="A37" s="3" t="s">
        <v>3</v>
      </c>
      <c r="B37" s="3">
        <f>7-ABS(B36)</f>
        <v>3</v>
      </c>
      <c r="C37" s="3">
        <f t="shared" ref="C37:J37" si="2">7-ABS(C36)</f>
        <v>4</v>
      </c>
      <c r="D37" s="3">
        <f t="shared" si="2"/>
        <v>5</v>
      </c>
      <c r="E37" s="3">
        <f t="shared" si="2"/>
        <v>6</v>
      </c>
      <c r="F37" s="3">
        <f t="shared" si="2"/>
        <v>7</v>
      </c>
      <c r="G37" s="3">
        <f t="shared" si="2"/>
        <v>6</v>
      </c>
      <c r="H37" s="3">
        <f t="shared" si="2"/>
        <v>5</v>
      </c>
      <c r="I37" s="3">
        <f t="shared" si="2"/>
        <v>4</v>
      </c>
      <c r="J37" s="3">
        <f t="shared" si="2"/>
        <v>3</v>
      </c>
    </row>
    <row r="52" spans="1:15" x14ac:dyDescent="0.35">
      <c r="A52" s="3" t="s">
        <v>2</v>
      </c>
      <c r="B52" s="3">
        <v>-5</v>
      </c>
      <c r="C52" s="3">
        <v>-4</v>
      </c>
      <c r="D52" s="3">
        <v>-2.5</v>
      </c>
      <c r="E52" s="3">
        <v>-2</v>
      </c>
      <c r="F52" s="3">
        <v>-1</v>
      </c>
      <c r="G52" s="3">
        <v>-0.5</v>
      </c>
      <c r="H52" s="3">
        <v>-0.25</v>
      </c>
      <c r="I52" s="3">
        <v>0.25</v>
      </c>
      <c r="J52" s="3">
        <v>0.5</v>
      </c>
      <c r="K52" s="3">
        <v>1</v>
      </c>
      <c r="L52" s="3">
        <v>2</v>
      </c>
      <c r="M52" s="3">
        <v>2.5</v>
      </c>
      <c r="N52" s="3">
        <v>4</v>
      </c>
      <c r="O52" s="3">
        <v>5</v>
      </c>
    </row>
    <row r="53" spans="1:15" x14ac:dyDescent="0.35">
      <c r="A53" s="3" t="s">
        <v>3</v>
      </c>
      <c r="B53" s="3">
        <f>1/B52</f>
        <v>-0.2</v>
      </c>
      <c r="C53" s="3">
        <f t="shared" ref="C53:H53" si="3">1/C52</f>
        <v>-0.25</v>
      </c>
      <c r="D53" s="3">
        <f t="shared" si="3"/>
        <v>-0.4</v>
      </c>
      <c r="E53" s="3">
        <f t="shared" si="3"/>
        <v>-0.5</v>
      </c>
      <c r="F53" s="3">
        <f t="shared" si="3"/>
        <v>-1</v>
      </c>
      <c r="G53" s="3">
        <f t="shared" si="3"/>
        <v>-2</v>
      </c>
      <c r="H53" s="3">
        <f t="shared" si="3"/>
        <v>-4</v>
      </c>
      <c r="I53" s="3">
        <f t="shared" ref="I53" si="4">1/I52</f>
        <v>4</v>
      </c>
      <c r="J53" s="3">
        <f t="shared" ref="J53" si="5">1/J52</f>
        <v>2</v>
      </c>
      <c r="K53" s="3">
        <f t="shared" ref="K53" si="6">1/K52</f>
        <v>1</v>
      </c>
      <c r="L53" s="3">
        <f t="shared" ref="L53" si="7">1/L52</f>
        <v>0.5</v>
      </c>
      <c r="M53" s="3">
        <f t="shared" ref="M53:N53" si="8">1/M52</f>
        <v>0.4</v>
      </c>
      <c r="N53" s="3">
        <f t="shared" si="8"/>
        <v>0.25</v>
      </c>
      <c r="O53" s="3">
        <f t="shared" ref="O53" si="9">1/O52</f>
        <v>0.2</v>
      </c>
    </row>
    <row r="68" spans="1:8" x14ac:dyDescent="0.35">
      <c r="A68" s="3" t="s">
        <v>2</v>
      </c>
      <c r="B68" s="3">
        <v>0.25</v>
      </c>
      <c r="C68" s="3">
        <v>0.5</v>
      </c>
      <c r="D68" s="3">
        <v>1</v>
      </c>
      <c r="E68" s="3">
        <v>2</v>
      </c>
      <c r="F68" s="3">
        <v>3</v>
      </c>
      <c r="G68" s="3">
        <v>4</v>
      </c>
      <c r="H68" s="3">
        <v>5</v>
      </c>
    </row>
    <row r="69" spans="1:8" x14ac:dyDescent="0.35">
      <c r="A69" s="3" t="s">
        <v>3</v>
      </c>
      <c r="B69" s="3">
        <f>LN(B68)</f>
        <v>-1.3862943611198906</v>
      </c>
      <c r="C69" s="3">
        <f t="shared" ref="C69:H69" si="10">LN(C68)</f>
        <v>-0.69314718055994529</v>
      </c>
      <c r="D69" s="3">
        <f t="shared" si="10"/>
        <v>0</v>
      </c>
      <c r="E69" s="3">
        <f t="shared" si="10"/>
        <v>0.69314718055994529</v>
      </c>
      <c r="F69" s="3">
        <f t="shared" si="10"/>
        <v>1.0986122886681098</v>
      </c>
      <c r="G69" s="3">
        <f t="shared" si="10"/>
        <v>1.3862943611198906</v>
      </c>
      <c r="H69" s="3">
        <f t="shared" si="10"/>
        <v>1.6094379124341003</v>
      </c>
    </row>
    <row r="84" spans="1:8" x14ac:dyDescent="0.35">
      <c r="A84" s="4" t="s">
        <v>2</v>
      </c>
      <c r="B84" s="4">
        <v>1</v>
      </c>
      <c r="C84" s="4">
        <v>2</v>
      </c>
      <c r="D84" s="4">
        <v>3</v>
      </c>
      <c r="E84" s="4">
        <v>4</v>
      </c>
      <c r="F84" s="4">
        <v>5</v>
      </c>
      <c r="G84" s="4">
        <v>6</v>
      </c>
      <c r="H84" s="4">
        <v>7</v>
      </c>
    </row>
    <row r="85" spans="1:8" x14ac:dyDescent="0.35">
      <c r="A85" s="4" t="s">
        <v>3</v>
      </c>
      <c r="B85" s="4">
        <f>LN(5)</f>
        <v>1.6094379124341003</v>
      </c>
      <c r="C85" s="4">
        <f t="shared" ref="C85:H85" si="11">LN(5)</f>
        <v>1.6094379124341003</v>
      </c>
      <c r="D85" s="4">
        <f t="shared" si="11"/>
        <v>1.6094379124341003</v>
      </c>
      <c r="E85" s="4">
        <f t="shared" si="11"/>
        <v>1.6094379124341003</v>
      </c>
      <c r="F85" s="4">
        <f t="shared" si="11"/>
        <v>1.6094379124341003</v>
      </c>
      <c r="G85" s="4">
        <f t="shared" si="11"/>
        <v>1.6094379124341003</v>
      </c>
      <c r="H85" s="4">
        <f t="shared" si="11"/>
        <v>1.6094379124341003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ИВТ2.1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0E02-A10C-43BD-85DB-A9E98FB73A2E}">
  <dimension ref="A1:L12"/>
  <sheetViews>
    <sheetView zoomScaleNormal="100" workbookViewId="0">
      <selection activeCell="I16" sqref="I16"/>
    </sheetView>
  </sheetViews>
  <sheetFormatPr defaultRowHeight="18" x14ac:dyDescent="0.35"/>
  <cols>
    <col min="1" max="16384" width="8.88671875" style="1"/>
  </cols>
  <sheetData>
    <row r="1" spans="1:12" x14ac:dyDescent="0.35">
      <c r="A1" s="3"/>
      <c r="B1" s="3">
        <v>-7.5</v>
      </c>
      <c r="C1" s="3">
        <v>-6</v>
      </c>
      <c r="D1" s="3">
        <v>-4.5</v>
      </c>
      <c r="E1" s="3">
        <v>-3</v>
      </c>
      <c r="F1" s="3">
        <v>-1.5</v>
      </c>
      <c r="G1" s="3">
        <v>0</v>
      </c>
      <c r="H1" s="3">
        <v>1.5</v>
      </c>
      <c r="I1" s="3">
        <v>3</v>
      </c>
      <c r="J1" s="3">
        <v>4.5</v>
      </c>
      <c r="K1" s="3">
        <v>6</v>
      </c>
      <c r="L1" s="3">
        <v>7.5</v>
      </c>
    </row>
    <row r="2" spans="1:12" x14ac:dyDescent="0.35">
      <c r="A2" s="3">
        <v>-5</v>
      </c>
      <c r="B2" s="3">
        <f>(B$1)^2-($A2)^2</f>
        <v>31.25</v>
      </c>
      <c r="C2" s="3">
        <f t="shared" ref="C2:L12" si="0">(C$1)^2-($A2)^2</f>
        <v>11</v>
      </c>
      <c r="D2" s="3">
        <f t="shared" si="0"/>
        <v>-4.75</v>
      </c>
      <c r="E2" s="3">
        <f t="shared" si="0"/>
        <v>-16</v>
      </c>
      <c r="F2" s="3">
        <f t="shared" si="0"/>
        <v>-22.75</v>
      </c>
      <c r="G2" s="3">
        <f t="shared" si="0"/>
        <v>-25</v>
      </c>
      <c r="H2" s="3">
        <f t="shared" si="0"/>
        <v>-22.75</v>
      </c>
      <c r="I2" s="3">
        <f t="shared" si="0"/>
        <v>-16</v>
      </c>
      <c r="J2" s="3">
        <f t="shared" si="0"/>
        <v>-4.75</v>
      </c>
      <c r="K2" s="3">
        <f t="shared" si="0"/>
        <v>11</v>
      </c>
      <c r="L2" s="3">
        <f t="shared" si="0"/>
        <v>31.25</v>
      </c>
    </row>
    <row r="3" spans="1:12" x14ac:dyDescent="0.35">
      <c r="A3" s="3">
        <v>-4</v>
      </c>
      <c r="B3" s="3">
        <f t="shared" ref="B3:B12" si="1">(B$1)^2-($A3)^2</f>
        <v>40.25</v>
      </c>
      <c r="C3" s="3">
        <f t="shared" si="0"/>
        <v>20</v>
      </c>
      <c r="D3" s="3">
        <f t="shared" si="0"/>
        <v>4.25</v>
      </c>
      <c r="E3" s="3">
        <f t="shared" si="0"/>
        <v>-7</v>
      </c>
      <c r="F3" s="3">
        <f t="shared" si="0"/>
        <v>-13.75</v>
      </c>
      <c r="G3" s="3">
        <f t="shared" si="0"/>
        <v>-16</v>
      </c>
      <c r="H3" s="3">
        <f t="shared" si="0"/>
        <v>-13.75</v>
      </c>
      <c r="I3" s="3">
        <f t="shared" si="0"/>
        <v>-7</v>
      </c>
      <c r="J3" s="3">
        <f t="shared" si="0"/>
        <v>4.25</v>
      </c>
      <c r="K3" s="3">
        <f t="shared" si="0"/>
        <v>20</v>
      </c>
      <c r="L3" s="3">
        <f t="shared" si="0"/>
        <v>40.25</v>
      </c>
    </row>
    <row r="4" spans="1:12" x14ac:dyDescent="0.35">
      <c r="A4" s="3">
        <v>-3</v>
      </c>
      <c r="B4" s="3">
        <f t="shared" si="1"/>
        <v>47.25</v>
      </c>
      <c r="C4" s="3">
        <f t="shared" si="0"/>
        <v>27</v>
      </c>
      <c r="D4" s="3">
        <f t="shared" si="0"/>
        <v>11.25</v>
      </c>
      <c r="E4" s="3">
        <f t="shared" si="0"/>
        <v>0</v>
      </c>
      <c r="F4" s="3">
        <f t="shared" si="0"/>
        <v>-6.75</v>
      </c>
      <c r="G4" s="3">
        <f t="shared" si="0"/>
        <v>-9</v>
      </c>
      <c r="H4" s="3">
        <f t="shared" si="0"/>
        <v>-6.75</v>
      </c>
      <c r="I4" s="3">
        <f t="shared" si="0"/>
        <v>0</v>
      </c>
      <c r="J4" s="3">
        <f t="shared" si="0"/>
        <v>11.25</v>
      </c>
      <c r="K4" s="3">
        <f t="shared" si="0"/>
        <v>27</v>
      </c>
      <c r="L4" s="3">
        <f t="shared" si="0"/>
        <v>47.25</v>
      </c>
    </row>
    <row r="5" spans="1:12" x14ac:dyDescent="0.35">
      <c r="A5" s="3">
        <v>-2</v>
      </c>
      <c r="B5" s="3">
        <f t="shared" si="1"/>
        <v>52.25</v>
      </c>
      <c r="C5" s="3">
        <f t="shared" si="0"/>
        <v>32</v>
      </c>
      <c r="D5" s="3">
        <f t="shared" si="0"/>
        <v>16.25</v>
      </c>
      <c r="E5" s="3">
        <f t="shared" si="0"/>
        <v>5</v>
      </c>
      <c r="F5" s="3">
        <f t="shared" si="0"/>
        <v>-1.75</v>
      </c>
      <c r="G5" s="3">
        <f t="shared" si="0"/>
        <v>-4</v>
      </c>
      <c r="H5" s="3">
        <f t="shared" si="0"/>
        <v>-1.75</v>
      </c>
      <c r="I5" s="3">
        <f t="shared" si="0"/>
        <v>5</v>
      </c>
      <c r="J5" s="3">
        <f t="shared" si="0"/>
        <v>16.25</v>
      </c>
      <c r="K5" s="3">
        <f t="shared" si="0"/>
        <v>32</v>
      </c>
      <c r="L5" s="3">
        <f t="shared" si="0"/>
        <v>52.25</v>
      </c>
    </row>
    <row r="6" spans="1:12" x14ac:dyDescent="0.35">
      <c r="A6" s="3">
        <v>-1</v>
      </c>
      <c r="B6" s="3">
        <f t="shared" si="1"/>
        <v>55.25</v>
      </c>
      <c r="C6" s="3">
        <f t="shared" si="0"/>
        <v>35</v>
      </c>
      <c r="D6" s="3">
        <f t="shared" si="0"/>
        <v>19.25</v>
      </c>
      <c r="E6" s="3">
        <f t="shared" si="0"/>
        <v>8</v>
      </c>
      <c r="F6" s="3">
        <f t="shared" si="0"/>
        <v>1.25</v>
      </c>
      <c r="G6" s="3">
        <f t="shared" si="0"/>
        <v>-1</v>
      </c>
      <c r="H6" s="3">
        <f t="shared" si="0"/>
        <v>1.25</v>
      </c>
      <c r="I6" s="3">
        <f t="shared" si="0"/>
        <v>8</v>
      </c>
      <c r="J6" s="3">
        <f t="shared" si="0"/>
        <v>19.25</v>
      </c>
      <c r="K6" s="3">
        <f t="shared" si="0"/>
        <v>35</v>
      </c>
      <c r="L6" s="3">
        <f t="shared" si="0"/>
        <v>55.25</v>
      </c>
    </row>
    <row r="7" spans="1:12" x14ac:dyDescent="0.35">
      <c r="A7" s="3">
        <v>0</v>
      </c>
      <c r="B7" s="3">
        <f t="shared" si="1"/>
        <v>56.25</v>
      </c>
      <c r="C7" s="3">
        <f t="shared" si="0"/>
        <v>36</v>
      </c>
      <c r="D7" s="3">
        <f t="shared" si="0"/>
        <v>20.25</v>
      </c>
      <c r="E7" s="3">
        <f t="shared" si="0"/>
        <v>9</v>
      </c>
      <c r="F7" s="3">
        <f t="shared" si="0"/>
        <v>2.25</v>
      </c>
      <c r="G7" s="3">
        <f t="shared" si="0"/>
        <v>0</v>
      </c>
      <c r="H7" s="3">
        <f t="shared" si="0"/>
        <v>2.25</v>
      </c>
      <c r="I7" s="3">
        <f t="shared" si="0"/>
        <v>9</v>
      </c>
      <c r="J7" s="3">
        <f t="shared" si="0"/>
        <v>20.25</v>
      </c>
      <c r="K7" s="3">
        <f t="shared" si="0"/>
        <v>36</v>
      </c>
      <c r="L7" s="3">
        <f t="shared" si="0"/>
        <v>56.25</v>
      </c>
    </row>
    <row r="8" spans="1:12" x14ac:dyDescent="0.35">
      <c r="A8" s="3">
        <v>1</v>
      </c>
      <c r="B8" s="3">
        <f t="shared" si="1"/>
        <v>55.25</v>
      </c>
      <c r="C8" s="3">
        <f t="shared" si="0"/>
        <v>35</v>
      </c>
      <c r="D8" s="3">
        <f t="shared" si="0"/>
        <v>19.25</v>
      </c>
      <c r="E8" s="3">
        <f t="shared" si="0"/>
        <v>8</v>
      </c>
      <c r="F8" s="3">
        <f t="shared" si="0"/>
        <v>1.25</v>
      </c>
      <c r="G8" s="3">
        <f t="shared" si="0"/>
        <v>-1</v>
      </c>
      <c r="H8" s="3">
        <f t="shared" si="0"/>
        <v>1.25</v>
      </c>
      <c r="I8" s="3">
        <f t="shared" si="0"/>
        <v>8</v>
      </c>
      <c r="J8" s="3">
        <f t="shared" si="0"/>
        <v>19.25</v>
      </c>
      <c r="K8" s="3">
        <f t="shared" si="0"/>
        <v>35</v>
      </c>
      <c r="L8" s="3">
        <f t="shared" si="0"/>
        <v>55.25</v>
      </c>
    </row>
    <row r="9" spans="1:12" x14ac:dyDescent="0.35">
      <c r="A9" s="3">
        <v>2</v>
      </c>
      <c r="B9" s="3">
        <f t="shared" si="1"/>
        <v>52.25</v>
      </c>
      <c r="C9" s="3">
        <f t="shared" si="0"/>
        <v>32</v>
      </c>
      <c r="D9" s="3">
        <f t="shared" si="0"/>
        <v>16.25</v>
      </c>
      <c r="E9" s="3">
        <f t="shared" si="0"/>
        <v>5</v>
      </c>
      <c r="F9" s="3">
        <f t="shared" si="0"/>
        <v>-1.75</v>
      </c>
      <c r="G9" s="3">
        <f t="shared" si="0"/>
        <v>-4</v>
      </c>
      <c r="H9" s="3">
        <f t="shared" si="0"/>
        <v>-1.75</v>
      </c>
      <c r="I9" s="3">
        <f t="shared" si="0"/>
        <v>5</v>
      </c>
      <c r="J9" s="3">
        <f t="shared" si="0"/>
        <v>16.25</v>
      </c>
      <c r="K9" s="3">
        <f t="shared" si="0"/>
        <v>32</v>
      </c>
      <c r="L9" s="3">
        <f t="shared" si="0"/>
        <v>52.25</v>
      </c>
    </row>
    <row r="10" spans="1:12" x14ac:dyDescent="0.35">
      <c r="A10" s="3">
        <v>3</v>
      </c>
      <c r="B10" s="3">
        <f t="shared" si="1"/>
        <v>47.25</v>
      </c>
      <c r="C10" s="3">
        <f t="shared" si="0"/>
        <v>27</v>
      </c>
      <c r="D10" s="3">
        <f t="shared" si="0"/>
        <v>11.25</v>
      </c>
      <c r="E10" s="3">
        <f t="shared" si="0"/>
        <v>0</v>
      </c>
      <c r="F10" s="3">
        <f t="shared" si="0"/>
        <v>-6.75</v>
      </c>
      <c r="G10" s="3">
        <f t="shared" si="0"/>
        <v>-9</v>
      </c>
      <c r="H10" s="3">
        <f t="shared" si="0"/>
        <v>-6.75</v>
      </c>
      <c r="I10" s="3">
        <f t="shared" si="0"/>
        <v>0</v>
      </c>
      <c r="J10" s="3">
        <f t="shared" si="0"/>
        <v>11.25</v>
      </c>
      <c r="K10" s="3">
        <f t="shared" si="0"/>
        <v>27</v>
      </c>
      <c r="L10" s="3">
        <f t="shared" si="0"/>
        <v>47.25</v>
      </c>
    </row>
    <row r="11" spans="1:12" x14ac:dyDescent="0.35">
      <c r="A11" s="3">
        <v>4</v>
      </c>
      <c r="B11" s="3">
        <f t="shared" si="1"/>
        <v>40.25</v>
      </c>
      <c r="C11" s="3">
        <f t="shared" si="0"/>
        <v>20</v>
      </c>
      <c r="D11" s="3">
        <f t="shared" si="0"/>
        <v>4.25</v>
      </c>
      <c r="E11" s="3">
        <f t="shared" si="0"/>
        <v>-7</v>
      </c>
      <c r="F11" s="3">
        <f t="shared" si="0"/>
        <v>-13.75</v>
      </c>
      <c r="G11" s="3">
        <f t="shared" si="0"/>
        <v>-16</v>
      </c>
      <c r="H11" s="3">
        <f t="shared" si="0"/>
        <v>-13.75</v>
      </c>
      <c r="I11" s="3">
        <f t="shared" si="0"/>
        <v>-7</v>
      </c>
      <c r="J11" s="3">
        <f t="shared" si="0"/>
        <v>4.25</v>
      </c>
      <c r="K11" s="3">
        <f t="shared" si="0"/>
        <v>20</v>
      </c>
      <c r="L11" s="3">
        <f t="shared" si="0"/>
        <v>40.25</v>
      </c>
    </row>
    <row r="12" spans="1:12" x14ac:dyDescent="0.35">
      <c r="A12" s="3">
        <v>5</v>
      </c>
      <c r="B12" s="3">
        <f t="shared" si="1"/>
        <v>31.25</v>
      </c>
      <c r="C12" s="3">
        <f t="shared" si="0"/>
        <v>11</v>
      </c>
      <c r="D12" s="3">
        <f t="shared" si="0"/>
        <v>-4.75</v>
      </c>
      <c r="E12" s="3">
        <f t="shared" si="0"/>
        <v>-16</v>
      </c>
      <c r="F12" s="3">
        <f t="shared" si="0"/>
        <v>-22.75</v>
      </c>
      <c r="G12" s="3">
        <f t="shared" si="0"/>
        <v>-25</v>
      </c>
      <c r="H12" s="3">
        <f t="shared" si="0"/>
        <v>-22.75</v>
      </c>
      <c r="I12" s="3">
        <f t="shared" si="0"/>
        <v>-16</v>
      </c>
      <c r="J12" s="3">
        <f t="shared" si="0"/>
        <v>-4.75</v>
      </c>
      <c r="K12" s="3">
        <f t="shared" si="0"/>
        <v>11</v>
      </c>
      <c r="L12" s="3">
        <f t="shared" si="0"/>
        <v>31.25</v>
      </c>
    </row>
  </sheetData>
  <pageMargins left="0.7" right="0.7" top="0.75" bottom="0.75" header="0.3" footer="0.3"/>
  <pageSetup paperSize="9" orientation="portrait" r:id="rId1"/>
  <headerFooter>
    <oddHeader xml:space="preserve">&amp;LГневнов Артем Евгеньевич, ИВТ2.1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C1BA-B242-4AA0-AA6D-0E0DEC299B88}">
  <dimension ref="A1:O12"/>
  <sheetViews>
    <sheetView tabSelected="1" zoomScaleNormal="100" workbookViewId="0">
      <selection activeCell="M19" sqref="M19"/>
    </sheetView>
  </sheetViews>
  <sheetFormatPr defaultRowHeight="18" x14ac:dyDescent="0.35"/>
  <cols>
    <col min="1" max="16384" width="8.88671875" style="1"/>
  </cols>
  <sheetData>
    <row r="1" spans="1:15" x14ac:dyDescent="0.35">
      <c r="A1" s="3"/>
      <c r="B1" s="3">
        <v>-7.5</v>
      </c>
      <c r="C1" s="3">
        <v>-6</v>
      </c>
      <c r="D1" s="3">
        <v>-4.5</v>
      </c>
      <c r="E1" s="3">
        <v>-3</v>
      </c>
      <c r="F1" s="3">
        <v>-1.5</v>
      </c>
      <c r="G1" s="3">
        <v>0</v>
      </c>
      <c r="H1" s="3">
        <v>1.5</v>
      </c>
      <c r="I1" s="3">
        <v>3</v>
      </c>
      <c r="J1" s="3">
        <v>4.5</v>
      </c>
      <c r="K1" s="3">
        <v>6</v>
      </c>
      <c r="L1" s="3">
        <v>7.5</v>
      </c>
      <c r="N1" s="3" t="s">
        <v>4</v>
      </c>
      <c r="O1" s="3">
        <v>2</v>
      </c>
    </row>
    <row r="2" spans="1:15" x14ac:dyDescent="0.35">
      <c r="A2" s="3">
        <v>-5</v>
      </c>
      <c r="B2" s="3">
        <f>((B$1)^2)/4 - (($A2)^2)/9</f>
        <v>11.284722222222221</v>
      </c>
      <c r="C2" s="3">
        <f>((C$1)^2)/4 - (($A2)^2)/9</f>
        <v>6.2222222222222223</v>
      </c>
      <c r="D2" s="3">
        <f t="shared" ref="D2:L12" si="0">((D$1)^2)/4 - (($A2)^2)/9</f>
        <v>2.2847222222222223</v>
      </c>
      <c r="E2" s="3">
        <f t="shared" si="0"/>
        <v>-0.52777777777777768</v>
      </c>
      <c r="F2" s="3">
        <f t="shared" si="0"/>
        <v>-2.2152777777777777</v>
      </c>
      <c r="G2" s="3">
        <f t="shared" si="0"/>
        <v>-2.7777777777777777</v>
      </c>
      <c r="H2" s="3">
        <f t="shared" si="0"/>
        <v>-2.2152777777777777</v>
      </c>
      <c r="I2" s="3">
        <f t="shared" si="0"/>
        <v>-0.52777777777777768</v>
      </c>
      <c r="J2" s="3">
        <f t="shared" si="0"/>
        <v>2.2847222222222223</v>
      </c>
      <c r="K2" s="3">
        <f t="shared" si="0"/>
        <v>6.2222222222222223</v>
      </c>
      <c r="L2" s="3">
        <f t="shared" si="0"/>
        <v>11.284722222222221</v>
      </c>
      <c r="N2" s="3" t="s">
        <v>5</v>
      </c>
      <c r="O2" s="3">
        <v>3</v>
      </c>
    </row>
    <row r="3" spans="1:15" x14ac:dyDescent="0.35">
      <c r="A3" s="3">
        <v>-4</v>
      </c>
      <c r="B3" s="3">
        <f t="shared" ref="B3:C12" si="1">((B$1)^2)/4 - (($A3)^2)/9</f>
        <v>12.284722222222221</v>
      </c>
      <c r="C3" s="3">
        <f t="shared" si="1"/>
        <v>7.2222222222222223</v>
      </c>
      <c r="D3" s="3">
        <f t="shared" si="0"/>
        <v>3.2847222222222223</v>
      </c>
      <c r="E3" s="3">
        <f t="shared" si="0"/>
        <v>0.47222222222222232</v>
      </c>
      <c r="F3" s="3">
        <f t="shared" si="0"/>
        <v>-1.2152777777777777</v>
      </c>
      <c r="G3" s="3">
        <f t="shared" si="0"/>
        <v>-1.7777777777777777</v>
      </c>
      <c r="H3" s="3">
        <f t="shared" si="0"/>
        <v>-1.2152777777777777</v>
      </c>
      <c r="I3" s="3">
        <f t="shared" si="0"/>
        <v>0.47222222222222232</v>
      </c>
      <c r="J3" s="3">
        <f t="shared" si="0"/>
        <v>3.2847222222222223</v>
      </c>
      <c r="K3" s="3">
        <f t="shared" si="0"/>
        <v>7.2222222222222223</v>
      </c>
      <c r="L3" s="3">
        <f t="shared" si="0"/>
        <v>12.284722222222221</v>
      </c>
    </row>
    <row r="4" spans="1:15" x14ac:dyDescent="0.35">
      <c r="A4" s="3">
        <v>-3</v>
      </c>
      <c r="B4" s="3">
        <f t="shared" si="1"/>
        <v>13.0625</v>
      </c>
      <c r="C4" s="3">
        <f t="shared" si="1"/>
        <v>8</v>
      </c>
      <c r="D4" s="3">
        <f t="shared" si="0"/>
        <v>4.0625</v>
      </c>
      <c r="E4" s="3">
        <f t="shared" si="0"/>
        <v>1.25</v>
      </c>
      <c r="F4" s="3">
        <f t="shared" si="0"/>
        <v>-0.4375</v>
      </c>
      <c r="G4" s="3">
        <f t="shared" si="0"/>
        <v>-1</v>
      </c>
      <c r="H4" s="3">
        <f t="shared" si="0"/>
        <v>-0.4375</v>
      </c>
      <c r="I4" s="3">
        <f t="shared" si="0"/>
        <v>1.25</v>
      </c>
      <c r="J4" s="3">
        <f t="shared" si="0"/>
        <v>4.0625</v>
      </c>
      <c r="K4" s="3">
        <f t="shared" si="0"/>
        <v>8</v>
      </c>
      <c r="L4" s="3">
        <f t="shared" si="0"/>
        <v>13.0625</v>
      </c>
    </row>
    <row r="5" spans="1:15" x14ac:dyDescent="0.35">
      <c r="A5" s="3">
        <v>-2</v>
      </c>
      <c r="B5" s="3">
        <f t="shared" si="1"/>
        <v>13.618055555555555</v>
      </c>
      <c r="C5" s="3">
        <f t="shared" si="1"/>
        <v>8.5555555555555554</v>
      </c>
      <c r="D5" s="3">
        <f t="shared" si="0"/>
        <v>4.6180555555555554</v>
      </c>
      <c r="E5" s="3">
        <f t="shared" si="0"/>
        <v>1.8055555555555556</v>
      </c>
      <c r="F5" s="3">
        <f t="shared" si="0"/>
        <v>0.11805555555555558</v>
      </c>
      <c r="G5" s="3">
        <f t="shared" si="0"/>
        <v>-0.44444444444444442</v>
      </c>
      <c r="H5" s="3">
        <f t="shared" si="0"/>
        <v>0.11805555555555558</v>
      </c>
      <c r="I5" s="3">
        <f t="shared" si="0"/>
        <v>1.8055555555555556</v>
      </c>
      <c r="J5" s="3">
        <f t="shared" si="0"/>
        <v>4.6180555555555554</v>
      </c>
      <c r="K5" s="3">
        <f t="shared" si="0"/>
        <v>8.5555555555555554</v>
      </c>
      <c r="L5" s="3">
        <f t="shared" si="0"/>
        <v>13.618055555555555</v>
      </c>
    </row>
    <row r="6" spans="1:15" x14ac:dyDescent="0.35">
      <c r="A6" s="3">
        <v>-1</v>
      </c>
      <c r="B6" s="3">
        <f t="shared" si="1"/>
        <v>13.951388888888889</v>
      </c>
      <c r="C6" s="3">
        <f t="shared" si="1"/>
        <v>8.8888888888888893</v>
      </c>
      <c r="D6" s="3">
        <f t="shared" si="0"/>
        <v>4.9513888888888893</v>
      </c>
      <c r="E6" s="3">
        <f t="shared" si="0"/>
        <v>2.1388888888888888</v>
      </c>
      <c r="F6" s="3">
        <f t="shared" si="0"/>
        <v>0.4513888888888889</v>
      </c>
      <c r="G6" s="3">
        <f t="shared" si="0"/>
        <v>-0.1111111111111111</v>
      </c>
      <c r="H6" s="3">
        <f t="shared" si="0"/>
        <v>0.4513888888888889</v>
      </c>
      <c r="I6" s="3">
        <f t="shared" si="0"/>
        <v>2.1388888888888888</v>
      </c>
      <c r="J6" s="3">
        <f t="shared" si="0"/>
        <v>4.9513888888888893</v>
      </c>
      <c r="K6" s="3">
        <f t="shared" si="0"/>
        <v>8.8888888888888893</v>
      </c>
      <c r="L6" s="3">
        <f t="shared" si="0"/>
        <v>13.951388888888889</v>
      </c>
    </row>
    <row r="7" spans="1:15" x14ac:dyDescent="0.35">
      <c r="A7" s="3">
        <v>0</v>
      </c>
      <c r="B7" s="3">
        <f t="shared" si="1"/>
        <v>14.0625</v>
      </c>
      <c r="C7" s="3">
        <f t="shared" si="1"/>
        <v>9</v>
      </c>
      <c r="D7" s="3">
        <f t="shared" si="0"/>
        <v>5.0625</v>
      </c>
      <c r="E7" s="3">
        <f t="shared" si="0"/>
        <v>2.25</v>
      </c>
      <c r="F7" s="3">
        <f t="shared" si="0"/>
        <v>0.5625</v>
      </c>
      <c r="G7" s="3">
        <f t="shared" si="0"/>
        <v>0</v>
      </c>
      <c r="H7" s="3">
        <f t="shared" si="0"/>
        <v>0.5625</v>
      </c>
      <c r="I7" s="3">
        <f t="shared" si="0"/>
        <v>2.25</v>
      </c>
      <c r="J7" s="3">
        <f t="shared" si="0"/>
        <v>5.0625</v>
      </c>
      <c r="K7" s="3">
        <f t="shared" si="0"/>
        <v>9</v>
      </c>
      <c r="L7" s="3">
        <f t="shared" si="0"/>
        <v>14.0625</v>
      </c>
    </row>
    <row r="8" spans="1:15" x14ac:dyDescent="0.35">
      <c r="A8" s="3">
        <v>1</v>
      </c>
      <c r="B8" s="3">
        <f t="shared" si="1"/>
        <v>13.951388888888889</v>
      </c>
      <c r="C8" s="3">
        <f t="shared" si="1"/>
        <v>8.8888888888888893</v>
      </c>
      <c r="D8" s="3">
        <f t="shared" si="0"/>
        <v>4.9513888888888893</v>
      </c>
      <c r="E8" s="3">
        <f t="shared" si="0"/>
        <v>2.1388888888888888</v>
      </c>
      <c r="F8" s="3">
        <f t="shared" si="0"/>
        <v>0.4513888888888889</v>
      </c>
      <c r="G8" s="3">
        <f t="shared" si="0"/>
        <v>-0.1111111111111111</v>
      </c>
      <c r="H8" s="3">
        <f t="shared" si="0"/>
        <v>0.4513888888888889</v>
      </c>
      <c r="I8" s="3">
        <f t="shared" si="0"/>
        <v>2.1388888888888888</v>
      </c>
      <c r="J8" s="3">
        <f t="shared" si="0"/>
        <v>4.9513888888888893</v>
      </c>
      <c r="K8" s="3">
        <f t="shared" si="0"/>
        <v>8.8888888888888893</v>
      </c>
      <c r="L8" s="3">
        <f t="shared" si="0"/>
        <v>13.951388888888889</v>
      </c>
    </row>
    <row r="9" spans="1:15" x14ac:dyDescent="0.35">
      <c r="A9" s="3">
        <v>2</v>
      </c>
      <c r="B9" s="3">
        <f t="shared" si="1"/>
        <v>13.618055555555555</v>
      </c>
      <c r="C9" s="3">
        <f t="shared" si="1"/>
        <v>8.5555555555555554</v>
      </c>
      <c r="D9" s="3">
        <f t="shared" si="0"/>
        <v>4.6180555555555554</v>
      </c>
      <c r="E9" s="3">
        <f t="shared" si="0"/>
        <v>1.8055555555555556</v>
      </c>
      <c r="F9" s="3">
        <f t="shared" si="0"/>
        <v>0.11805555555555558</v>
      </c>
      <c r="G9" s="3">
        <f t="shared" si="0"/>
        <v>-0.44444444444444442</v>
      </c>
      <c r="H9" s="3">
        <f t="shared" si="0"/>
        <v>0.11805555555555558</v>
      </c>
      <c r="I9" s="3">
        <f t="shared" si="0"/>
        <v>1.8055555555555556</v>
      </c>
      <c r="J9" s="3">
        <f t="shared" si="0"/>
        <v>4.6180555555555554</v>
      </c>
      <c r="K9" s="3">
        <f t="shared" si="0"/>
        <v>8.5555555555555554</v>
      </c>
      <c r="L9" s="3">
        <f t="shared" si="0"/>
        <v>13.618055555555555</v>
      </c>
    </row>
    <row r="10" spans="1:15" x14ac:dyDescent="0.35">
      <c r="A10" s="3">
        <v>3</v>
      </c>
      <c r="B10" s="3">
        <f t="shared" si="1"/>
        <v>13.0625</v>
      </c>
      <c r="C10" s="3">
        <f t="shared" si="1"/>
        <v>8</v>
      </c>
      <c r="D10" s="3">
        <f t="shared" si="0"/>
        <v>4.0625</v>
      </c>
      <c r="E10" s="3">
        <f t="shared" si="0"/>
        <v>1.25</v>
      </c>
      <c r="F10" s="3">
        <f t="shared" si="0"/>
        <v>-0.4375</v>
      </c>
      <c r="G10" s="3">
        <f t="shared" si="0"/>
        <v>-1</v>
      </c>
      <c r="H10" s="3">
        <f t="shared" si="0"/>
        <v>-0.4375</v>
      </c>
      <c r="I10" s="3">
        <f t="shared" si="0"/>
        <v>1.25</v>
      </c>
      <c r="J10" s="3">
        <f t="shared" si="0"/>
        <v>4.0625</v>
      </c>
      <c r="K10" s="3">
        <f t="shared" si="0"/>
        <v>8</v>
      </c>
      <c r="L10" s="3">
        <f t="shared" si="0"/>
        <v>13.0625</v>
      </c>
    </row>
    <row r="11" spans="1:15" x14ac:dyDescent="0.35">
      <c r="A11" s="3">
        <v>4</v>
      </c>
      <c r="B11" s="3">
        <f t="shared" si="1"/>
        <v>12.284722222222221</v>
      </c>
      <c r="C11" s="3">
        <f t="shared" si="1"/>
        <v>7.2222222222222223</v>
      </c>
      <c r="D11" s="3">
        <f t="shared" si="0"/>
        <v>3.2847222222222223</v>
      </c>
      <c r="E11" s="3">
        <f t="shared" si="0"/>
        <v>0.47222222222222232</v>
      </c>
      <c r="F11" s="3">
        <f t="shared" si="0"/>
        <v>-1.2152777777777777</v>
      </c>
      <c r="G11" s="3">
        <f t="shared" si="0"/>
        <v>-1.7777777777777777</v>
      </c>
      <c r="H11" s="3">
        <f t="shared" si="0"/>
        <v>-1.2152777777777777</v>
      </c>
      <c r="I11" s="3">
        <f t="shared" si="0"/>
        <v>0.47222222222222232</v>
      </c>
      <c r="J11" s="3">
        <f t="shared" si="0"/>
        <v>3.2847222222222223</v>
      </c>
      <c r="K11" s="3">
        <f t="shared" si="0"/>
        <v>7.2222222222222223</v>
      </c>
      <c r="L11" s="3">
        <f t="shared" si="0"/>
        <v>12.284722222222221</v>
      </c>
    </row>
    <row r="12" spans="1:15" x14ac:dyDescent="0.35">
      <c r="A12" s="3">
        <v>5</v>
      </c>
      <c r="B12" s="3">
        <f t="shared" si="1"/>
        <v>11.284722222222221</v>
      </c>
      <c r="C12" s="3">
        <f t="shared" si="1"/>
        <v>6.2222222222222223</v>
      </c>
      <c r="D12" s="3">
        <f t="shared" si="0"/>
        <v>2.2847222222222223</v>
      </c>
      <c r="E12" s="3">
        <f t="shared" si="0"/>
        <v>-0.52777777777777768</v>
      </c>
      <c r="F12" s="3">
        <f t="shared" si="0"/>
        <v>-2.2152777777777777</v>
      </c>
      <c r="G12" s="3">
        <f t="shared" si="0"/>
        <v>-2.7777777777777777</v>
      </c>
      <c r="H12" s="3">
        <f t="shared" si="0"/>
        <v>-2.2152777777777777</v>
      </c>
      <c r="I12" s="3">
        <f t="shared" si="0"/>
        <v>-0.52777777777777768</v>
      </c>
      <c r="J12" s="3">
        <f t="shared" si="0"/>
        <v>2.2847222222222223</v>
      </c>
      <c r="K12" s="3">
        <f t="shared" si="0"/>
        <v>6.2222222222222223</v>
      </c>
      <c r="L12" s="3">
        <f t="shared" si="0"/>
        <v>11.284722222222221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ИВТ2.1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cp:lastPrinted>2022-10-14T10:45:07Z</cp:lastPrinted>
  <dcterms:created xsi:type="dcterms:W3CDTF">2015-06-05T18:19:34Z</dcterms:created>
  <dcterms:modified xsi:type="dcterms:W3CDTF">2022-10-14T10:45:41Z</dcterms:modified>
</cp:coreProperties>
</file>