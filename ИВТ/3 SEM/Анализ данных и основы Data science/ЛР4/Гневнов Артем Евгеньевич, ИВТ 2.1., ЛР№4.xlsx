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АД/Норма распр/"/>
    </mc:Choice>
  </mc:AlternateContent>
  <xr:revisionPtr revIDLastSave="1" documentId="11_AD4DF75460589B3ACB72843C47DC75685BDEDD96" xr6:coauthVersionLast="47" xr6:coauthVersionMax="47" xr10:uidLastSave="{A67E9948-D77E-4101-8D91-A92ACACFA6F6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O11" i="1"/>
  <c r="P17" i="1"/>
  <c r="J18" i="1"/>
  <c r="O6" i="1"/>
  <c r="I5" i="1"/>
  <c r="L5" i="1"/>
  <c r="F5" i="1"/>
  <c r="O18" i="1"/>
  <c r="E18" i="1"/>
  <c r="O17" i="1"/>
  <c r="E17" i="1"/>
  <c r="O16" i="1"/>
  <c r="E16" i="1"/>
  <c r="O15" i="1"/>
  <c r="E15" i="1"/>
  <c r="O14" i="1"/>
  <c r="E14" i="1"/>
  <c r="O13" i="1"/>
  <c r="E13" i="1"/>
  <c r="O12" i="1"/>
  <c r="E12" i="1"/>
  <c r="E11" i="1"/>
  <c r="O10" i="1"/>
  <c r="E10" i="1"/>
  <c r="O9" i="1"/>
  <c r="E9" i="1"/>
  <c r="O8" i="1"/>
  <c r="E8" i="1"/>
  <c r="O7" i="1"/>
  <c r="E7" i="1"/>
  <c r="E6" i="1"/>
  <c r="O5" i="1"/>
  <c r="E5" i="1"/>
  <c r="G17" i="1" l="1"/>
  <c r="H17" i="1" s="1"/>
  <c r="G13" i="1"/>
  <c r="H13" i="1" s="1"/>
  <c r="G7" i="1"/>
  <c r="H7" i="1" s="1"/>
  <c r="G9" i="1"/>
  <c r="H9" i="1" s="1"/>
  <c r="G10" i="1"/>
  <c r="H10" i="1" s="1"/>
  <c r="G6" i="1"/>
  <c r="H6" i="1" s="1"/>
  <c r="G15" i="1"/>
  <c r="H15" i="1" s="1"/>
  <c r="G16" i="1"/>
  <c r="H16" i="1" s="1"/>
  <c r="G12" i="1"/>
  <c r="H12" i="1" s="1"/>
  <c r="G8" i="1"/>
  <c r="H8" i="1" s="1"/>
  <c r="G14" i="1"/>
  <c r="H14" i="1" s="1"/>
  <c r="G18" i="1"/>
  <c r="H18" i="1" s="1"/>
  <c r="G5" i="1"/>
  <c r="H5" i="1" s="1"/>
  <c r="G11" i="1"/>
  <c r="H11" i="1" s="1"/>
  <c r="J11" i="1" l="1"/>
  <c r="J8" i="1"/>
  <c r="J10" i="1"/>
  <c r="J16" i="1"/>
  <c r="J6" i="1"/>
  <c r="J5" i="1"/>
  <c r="J17" i="1"/>
  <c r="J15" i="1"/>
  <c r="J12" i="1"/>
  <c r="J9" i="1"/>
  <c r="J13" i="1"/>
  <c r="J7" i="1"/>
  <c r="J14" i="1"/>
  <c r="K12" i="1" l="1"/>
  <c r="N12" i="1" s="1"/>
  <c r="K13" i="1"/>
  <c r="N13" i="1" s="1"/>
  <c r="K9" i="1"/>
  <c r="N9" i="1" s="1"/>
  <c r="K15" i="1"/>
  <c r="N15" i="1" s="1"/>
  <c r="K17" i="1"/>
  <c r="N17" i="1" s="1"/>
  <c r="K5" i="1"/>
  <c r="K6" i="1"/>
  <c r="N6" i="1" s="1"/>
  <c r="K16" i="1"/>
  <c r="N16" i="1" s="1"/>
  <c r="K10" i="1"/>
  <c r="N10" i="1" s="1"/>
  <c r="K8" i="1"/>
  <c r="N8" i="1" s="1"/>
  <c r="K14" i="1"/>
  <c r="N14" i="1" s="1"/>
  <c r="K11" i="1"/>
  <c r="N11" i="1" s="1"/>
  <c r="K7" i="1"/>
  <c r="N7" i="1" s="1"/>
  <c r="K18" i="1"/>
  <c r="N18" i="1" s="1"/>
  <c r="P7" i="1" l="1"/>
  <c r="Q7" i="1" s="1"/>
  <c r="P8" i="1"/>
  <c r="Q8" i="1" s="1"/>
  <c r="P9" i="1"/>
  <c r="Q9" i="1" s="1"/>
  <c r="P11" i="1"/>
  <c r="Q11" i="1" s="1"/>
  <c r="N19" i="1"/>
  <c r="P16" i="1"/>
  <c r="Q16" i="1" s="1"/>
  <c r="P5" i="1"/>
  <c r="Q5" i="1" s="1"/>
  <c r="P18" i="1"/>
  <c r="Q18" i="1" s="1"/>
  <c r="P14" i="1"/>
  <c r="Q14" i="1" s="1"/>
  <c r="P13" i="1"/>
  <c r="Q13" i="1" s="1"/>
  <c r="P15" i="1"/>
  <c r="Q15" i="1" s="1"/>
  <c r="P10" i="1"/>
  <c r="Q10" i="1" s="1"/>
  <c r="P6" i="1"/>
  <c r="Q6" i="1" s="1"/>
  <c r="Q17" i="1"/>
  <c r="P12" i="1"/>
  <c r="Q12" i="1" s="1"/>
  <c r="R5" i="1" l="1"/>
  <c r="S5" i="1" s="1"/>
</calcChain>
</file>

<file path=xl/sharedStrings.xml><?xml version="1.0" encoding="utf-8"?>
<sst xmlns="http://schemas.openxmlformats.org/spreadsheetml/2006/main" count="54" uniqueCount="40">
  <si>
    <t>Сумма затрат предприятий на проивзодство, тыс. руб.</t>
  </si>
  <si>
    <r>
      <t>Количество предприятий, f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</si>
  <si>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Середина интервала, x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</si>
  <si>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*f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</si>
  <si>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x</t>
    </r>
    <r>
      <rPr>
        <vertAlign val="superscript"/>
        <sz val="11"/>
        <color theme="1"/>
        <rFont val="Calibri"/>
        <family val="2"/>
        <charset val="204"/>
        <scheme val="minor"/>
      </rPr>
      <t>-</t>
    </r>
  </si>
  <si>
    <r>
      <t>(x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Calibri"/>
        <family val="2"/>
        <charset val="204"/>
      </rPr>
      <t>-x</t>
    </r>
    <r>
      <rPr>
        <vertAlign val="superscript"/>
        <sz val="11"/>
        <color theme="1"/>
        <rFont val="Calibri"/>
        <family val="2"/>
        <charset val="204"/>
      </rPr>
      <t>-</t>
    </r>
    <r>
      <rPr>
        <sz val="11"/>
        <color theme="1"/>
        <rFont val="Calibri"/>
        <family val="2"/>
        <charset val="204"/>
      </rPr>
      <t>)</t>
    </r>
    <r>
      <rPr>
        <vertAlign val="superscript"/>
        <sz val="11"/>
        <color theme="1"/>
        <rFont val="Calibri"/>
        <family val="2"/>
        <charset val="204"/>
      </rPr>
      <t>2</t>
    </r>
  </si>
  <si>
    <r>
      <t>(x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Calibri"/>
        <family val="2"/>
        <charset val="204"/>
      </rPr>
      <t>-x</t>
    </r>
    <r>
      <rPr>
        <vertAlign val="superscript"/>
        <sz val="11"/>
        <color theme="1"/>
        <rFont val="Calibri"/>
        <family val="2"/>
        <charset val="204"/>
      </rPr>
      <t>-</t>
    </r>
    <r>
      <rPr>
        <sz val="11"/>
        <color theme="1"/>
        <rFont val="Calibri"/>
        <family val="2"/>
        <charset val="204"/>
      </rPr>
      <t>)</t>
    </r>
    <r>
      <rPr>
        <vertAlign val="superscript"/>
        <sz val="11"/>
        <color theme="1"/>
        <rFont val="Calibri"/>
        <family val="2"/>
        <charset val="204"/>
      </rPr>
      <t>2</t>
    </r>
    <r>
      <rPr>
        <sz val="11"/>
        <color theme="1"/>
        <rFont val="Calibri"/>
        <family val="2"/>
        <charset val="204"/>
      </rPr>
      <t>*f</t>
    </r>
    <r>
      <rPr>
        <vertAlign val="subscript"/>
        <sz val="11"/>
        <color theme="1"/>
        <rFont val="Calibri"/>
        <family val="2"/>
        <charset val="204"/>
      </rPr>
      <t>i</t>
    </r>
  </si>
  <si>
    <t>σ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</si>
  <si>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</si>
  <si>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rPr>
        <sz val="11"/>
        <color theme="1"/>
        <rFont val="Calibri"/>
        <family val="2"/>
        <charset val="204"/>
      </rPr>
      <t>ϕ</t>
    </r>
    <r>
      <rPr>
        <sz val="11"/>
        <color theme="1"/>
        <rFont val="Calibri"/>
        <family val="2"/>
      </rPr>
      <t>(t)</t>
    </r>
  </si>
  <si>
    <t>N</t>
  </si>
  <si>
    <t>d</t>
  </si>
  <si>
    <r>
      <t>f</t>
    </r>
    <r>
      <rPr>
        <vertAlign val="subscript"/>
        <sz val="11"/>
        <color theme="1"/>
        <rFont val="Calibri"/>
        <family val="2"/>
        <charset val="204"/>
      </rPr>
      <t>m</t>
    </r>
  </si>
  <si>
    <t>Fi</t>
  </si>
  <si>
    <t>Fm</t>
  </si>
  <si>
    <t>Di</t>
  </si>
  <si>
    <r>
      <t>D</t>
    </r>
    <r>
      <rPr>
        <vertAlign val="subscript"/>
        <sz val="11"/>
        <color theme="1"/>
        <rFont val="Calibri"/>
        <family val="2"/>
        <charset val="204"/>
      </rPr>
      <t>max</t>
    </r>
  </si>
  <si>
    <t>λ</t>
  </si>
  <si>
    <t>А</t>
  </si>
  <si>
    <t xml:space="preserve"> 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</si>
  <si>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</si>
  <si>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</si>
  <si>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</si>
  <si>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</si>
  <si>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</si>
  <si>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</si>
  <si>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</si>
  <si>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</si>
  <si>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</si>
  <si>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120-130</t>
  </si>
  <si>
    <t>130-140</t>
  </si>
  <si>
    <t>140-150</t>
  </si>
  <si>
    <t>150-160</t>
  </si>
  <si>
    <t>160-170</t>
  </si>
  <si>
    <t>ИТОГ</t>
  </si>
  <si>
    <t xml:space="preserve"> -</t>
  </si>
  <si>
    <t>№2. Нормальное распределение по притериям  Колмогорова</t>
  </si>
  <si>
    <t>№1. Теоретические частоты для нормального распределения.</t>
  </si>
  <si>
    <t xml:space="preserve">
Лабораторная работа. Тема № 5 "Нормальное распределение"</t>
  </si>
  <si>
    <t>Вывод: распределение
исследуемых данных достаточно близок к нормальному закону.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</si>
</sst>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4"/>
  <sheetViews>
    <sheetView tabSelected="1" zoomScaleNormal="100" workbookViewId="0">
      <selection activeCell="L24" sqref="L24"/>
    </sheetView>
  </sheetViews>
  <sheetFormatPr defaultRowHeight="14.4" x14ac:dyDescent="0.3"/>
  <cols>
    <col min="1" max="1" width="8.88671875" customWidth="1"/>
  </cols>
  <sheetData>
    <row r="2" spans="2:19" ht="16.8" customHeight="1" x14ac:dyDescent="0.3">
      <c r="B2" s="2" t="s">
        <v>38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2:19" ht="100.8" x14ac:dyDescent="0.3">
      <c r="B3" s="3" t="s">
        <v>0</v>
      </c>
      <c r="C3" s="3" t="s">
        <v>1</v>
      </c>
      <c r="D3" s="3" t="s">
        <v>2</v>
      </c>
      <c r="E3" s="4" t="s">
        <v>3</v>
      </c>
      <c r="F3" s="4" t="s">
        <v>4</v>
      </c>
      <c r="G3" s="5" t="s">
        <v>5</v>
      </c>
      <c r="H3" s="5" t="s">
        <v>6</v>
      </c>
      <c r="I3" s="5" t="s">
        <v>7</v>
      </c>
      <c r="J3" s="4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8" t="s">
        <v>13</v>
      </c>
      <c r="P3" s="8" t="s">
        <v>14</v>
      </c>
      <c r="Q3" s="8" t="s">
        <v>15</v>
      </c>
      <c r="R3" s="8" t="s">
        <v>16</v>
      </c>
      <c r="S3" s="8" t="s">
        <v>17</v>
      </c>
    </row>
    <row r="4" spans="2:19" x14ac:dyDescent="0.3">
      <c r="B4" s="11" t="s">
        <v>18</v>
      </c>
      <c r="C4" s="11">
        <v>1</v>
      </c>
      <c r="D4" s="11">
        <v>2</v>
      </c>
      <c r="E4" s="11"/>
      <c r="F4" s="11"/>
      <c r="G4" s="11"/>
      <c r="H4" s="11"/>
      <c r="I4" s="11"/>
      <c r="J4" s="11">
        <v>3</v>
      </c>
      <c r="K4" s="11">
        <v>4</v>
      </c>
      <c r="L4" s="11"/>
      <c r="M4" s="11"/>
      <c r="N4" s="11">
        <v>5</v>
      </c>
      <c r="O4" s="11">
        <v>6</v>
      </c>
      <c r="P4" s="11">
        <v>7</v>
      </c>
      <c r="Q4" s="11">
        <v>8</v>
      </c>
      <c r="R4" s="11" t="s">
        <v>19</v>
      </c>
      <c r="S4" s="11">
        <v>9</v>
      </c>
    </row>
    <row r="5" spans="2:19" x14ac:dyDescent="0.3">
      <c r="B5" s="11" t="s">
        <v>20</v>
      </c>
      <c r="C5" s="11">
        <v>2</v>
      </c>
      <c r="D5" s="11">
        <v>35</v>
      </c>
      <c r="E5" s="11">
        <f>C5*D5</f>
        <v>70</v>
      </c>
      <c r="F5" s="12">
        <f>(SUM(E5:E18))/SUM(C5:C18)</f>
        <v>97.222222222222229</v>
      </c>
      <c r="G5" s="11">
        <f>POWER(D5-$F$5,2)</f>
        <v>3871.6049382716055</v>
      </c>
      <c r="H5" s="11">
        <f>G5*C5</f>
        <v>7743.2098765432111</v>
      </c>
      <c r="I5" s="12">
        <f>SQRT((SUM(H5:H18))/(SUM(C5:C18)))</f>
        <v>29.6377303741092</v>
      </c>
      <c r="J5" s="13">
        <f>(D5-$F$5)/$I$5</f>
        <v>-2.0994260166621275</v>
      </c>
      <c r="K5" s="14">
        <f>(1/SQRT(2*PI()))*(POWER(2.7182,(-J5*J5)/2))</f>
        <v>4.4039558547659105E-2</v>
      </c>
      <c r="L5" s="11">
        <f>SUM(C5:C18)</f>
        <v>108</v>
      </c>
      <c r="M5" s="11">
        <v>10</v>
      </c>
      <c r="N5" s="15">
        <f>K5*(($L$5*$M$5)/$I$5)</f>
        <v>1.6048031556769093</v>
      </c>
      <c r="O5" s="11">
        <f>C5</f>
        <v>2</v>
      </c>
      <c r="P5" s="15">
        <f>SUM(N5)</f>
        <v>1.6048031556769093</v>
      </c>
      <c r="Q5" s="15">
        <f>O5-P5</f>
        <v>0.39519684432309066</v>
      </c>
      <c r="R5" s="15">
        <f>MAX(Q5:Q18)</f>
        <v>3.1719765707012897</v>
      </c>
      <c r="S5" s="11">
        <f>R5/SQRT(L5)</f>
        <v>0.30522358782626258</v>
      </c>
    </row>
    <row r="6" spans="2:19" x14ac:dyDescent="0.3">
      <c r="B6" s="11" t="s">
        <v>21</v>
      </c>
      <c r="C6" s="11">
        <v>4</v>
      </c>
      <c r="D6" s="11">
        <v>45</v>
      </c>
      <c r="E6" s="11">
        <f t="shared" ref="E6:E18" si="0">C6*D6</f>
        <v>180</v>
      </c>
      <c r="F6" s="11"/>
      <c r="G6" s="11">
        <f>POWER(D6-$F$5,2)</f>
        <v>2727.1604938271612</v>
      </c>
      <c r="H6" s="11">
        <f t="shared" ref="H6:H18" si="1">G6*C6</f>
        <v>10908.641975308645</v>
      </c>
      <c r="I6" s="11"/>
      <c r="J6" s="13">
        <f>(D6-$F$5)/$I$5</f>
        <v>-1.7620182639842858</v>
      </c>
      <c r="K6" s="14">
        <f t="shared" ref="K6:K18" si="2">(1/SQRT(2*PI()))*(POWER(2.7182,(-J6*J6)/2))</f>
        <v>8.4479533312294186E-2</v>
      </c>
      <c r="L6" s="11"/>
      <c r="M6" s="11"/>
      <c r="N6" s="15">
        <f>K6*(($L$5*$M$5)/$I$5)</f>
        <v>3.078437344074799</v>
      </c>
      <c r="O6" s="11">
        <f>SUM(C5:C6)</f>
        <v>6</v>
      </c>
      <c r="P6" s="15">
        <f>SUM(N5:N6)</f>
        <v>4.6832404997517081</v>
      </c>
      <c r="Q6" s="15">
        <f t="shared" ref="Q6:Q18" si="3">O6-P6</f>
        <v>1.3167595002482919</v>
      </c>
      <c r="R6" s="11"/>
      <c r="S6" s="11"/>
    </row>
    <row r="7" spans="2:19" x14ac:dyDescent="0.3">
      <c r="B7" s="11" t="s">
        <v>22</v>
      </c>
      <c r="C7" s="11">
        <v>6</v>
      </c>
      <c r="D7" s="11">
        <v>55</v>
      </c>
      <c r="E7" s="11">
        <f t="shared" si="0"/>
        <v>330</v>
      </c>
      <c r="F7" s="11"/>
      <c r="G7" s="11">
        <f>POWER(D7-$F$5,2)</f>
        <v>1782.7160493827166</v>
      </c>
      <c r="H7" s="11">
        <f t="shared" si="1"/>
        <v>10696.296296296299</v>
      </c>
      <c r="I7" s="11"/>
      <c r="J7" s="13">
        <f>(D7-$F$5)/$I$5</f>
        <v>-1.4246105113064438</v>
      </c>
      <c r="K7" s="14">
        <f t="shared" si="2"/>
        <v>0.14461712589155057</v>
      </c>
      <c r="L7" s="11"/>
      <c r="M7" s="11"/>
      <c r="N7" s="15">
        <f>K7*(($L$5*$M$5)/$I$5)</f>
        <v>5.2698534601460354</v>
      </c>
      <c r="O7" s="11">
        <f>SUM(C5:C7)</f>
        <v>12</v>
      </c>
      <c r="P7" s="15">
        <f>SUM(N5:N7)</f>
        <v>9.9530939598977426</v>
      </c>
      <c r="Q7" s="15">
        <f t="shared" si="3"/>
        <v>2.0469060401022574</v>
      </c>
      <c r="R7" s="11"/>
      <c r="S7" s="11"/>
    </row>
    <row r="8" spans="2:19" x14ac:dyDescent="0.3">
      <c r="B8" s="11" t="s">
        <v>23</v>
      </c>
      <c r="C8" s="11">
        <v>8</v>
      </c>
      <c r="D8" s="11">
        <v>65</v>
      </c>
      <c r="E8" s="11">
        <f t="shared" si="0"/>
        <v>520</v>
      </c>
      <c r="F8" s="11"/>
      <c r="G8" s="11">
        <f>POWER(D8-$F$5,2)</f>
        <v>1038.271604938272</v>
      </c>
      <c r="H8" s="11">
        <f t="shared" si="1"/>
        <v>8306.1728395061764</v>
      </c>
      <c r="I8" s="11"/>
      <c r="J8" s="13">
        <f>(D8-$F$5)/$I$5</f>
        <v>-1.0872027586286019</v>
      </c>
      <c r="K8" s="14">
        <f t="shared" si="2"/>
        <v>0.22092640077543677</v>
      </c>
      <c r="L8" s="11"/>
      <c r="M8" s="11"/>
      <c r="N8" s="15">
        <f>K8*(($L$5*$M$5)/$I$5)</f>
        <v>8.0505662824271891</v>
      </c>
      <c r="O8" s="11">
        <f>SUM(C5:C8)</f>
        <v>20</v>
      </c>
      <c r="P8" s="15">
        <f>SUM(N5:N8)</f>
        <v>18.003660242324933</v>
      </c>
      <c r="Q8" s="15">
        <f t="shared" si="3"/>
        <v>1.9963397576750666</v>
      </c>
      <c r="R8" s="11"/>
      <c r="S8" s="11"/>
    </row>
    <row r="9" spans="2:19" x14ac:dyDescent="0.3">
      <c r="B9" s="11" t="s">
        <v>24</v>
      </c>
      <c r="C9" s="11">
        <v>11</v>
      </c>
      <c r="D9" s="11">
        <v>75</v>
      </c>
      <c r="E9" s="11">
        <f t="shared" si="0"/>
        <v>825</v>
      </c>
      <c r="F9" s="11"/>
      <c r="G9" s="11">
        <f>POWER(D9-$F$5,2)</f>
        <v>493.82716049382742</v>
      </c>
      <c r="H9" s="11">
        <f t="shared" si="1"/>
        <v>5432.0987654321016</v>
      </c>
      <c r="I9" s="11"/>
      <c r="J9" s="13">
        <f>(D9-$F$5)/$I$5</f>
        <v>-0.74979500595075999</v>
      </c>
      <c r="K9" s="14">
        <f t="shared" si="2"/>
        <v>0.30118627654069885</v>
      </c>
      <c r="L9" s="11"/>
      <c r="M9" s="11"/>
      <c r="N9" s="15">
        <f>K9*(($L$5*$M$5)/$I$5)</f>
        <v>10.975239148140455</v>
      </c>
      <c r="O9" s="11">
        <f>SUM(C5:C9)</f>
        <v>31</v>
      </c>
      <c r="P9" s="15">
        <f>SUM(N5:N9)</f>
        <v>28.978899390465386</v>
      </c>
      <c r="Q9" s="15">
        <f t="shared" si="3"/>
        <v>2.0211006095346136</v>
      </c>
      <c r="R9" s="11"/>
      <c r="S9" s="11"/>
    </row>
    <row r="10" spans="2:19" x14ac:dyDescent="0.3">
      <c r="B10" s="11" t="s">
        <v>25</v>
      </c>
      <c r="C10" s="11">
        <v>14</v>
      </c>
      <c r="D10" s="11">
        <v>85</v>
      </c>
      <c r="E10" s="11">
        <f t="shared" si="0"/>
        <v>1190</v>
      </c>
      <c r="F10" s="11"/>
      <c r="G10" s="11">
        <f>POWER(D10-$F$5,2)</f>
        <v>149.38271604938288</v>
      </c>
      <c r="H10" s="11">
        <f t="shared" si="1"/>
        <v>2091.3580246913602</v>
      </c>
      <c r="I10" s="11"/>
      <c r="J10" s="13">
        <f>(D10-$F$5)/$I$5</f>
        <v>-0.41238725327291809</v>
      </c>
      <c r="K10" s="14">
        <f t="shared" si="2"/>
        <v>0.36642273560282324</v>
      </c>
      <c r="L10" s="11"/>
      <c r="M10" s="11"/>
      <c r="N10" s="15">
        <f>K10*(($L$5*$M$5)/$I$5)</f>
        <v>13.352458148980089</v>
      </c>
      <c r="O10" s="11">
        <f>SUM(C5:C10)</f>
        <v>45</v>
      </c>
      <c r="P10" s="15">
        <f>SUM(N5:N10)</f>
        <v>42.331357539445477</v>
      </c>
      <c r="Q10" s="15">
        <f t="shared" si="3"/>
        <v>2.6686424605545227</v>
      </c>
      <c r="R10" s="11"/>
      <c r="S10" s="11"/>
    </row>
    <row r="11" spans="2:19" x14ac:dyDescent="0.3">
      <c r="B11" s="11" t="s">
        <v>26</v>
      </c>
      <c r="C11" s="11">
        <v>15</v>
      </c>
      <c r="D11" s="11">
        <v>95</v>
      </c>
      <c r="E11" s="11">
        <f t="shared" si="0"/>
        <v>1425</v>
      </c>
      <c r="F11" s="11"/>
      <c r="G11" s="11">
        <f>POWER(D11-$F$5,2)</f>
        <v>4.9382716049382998</v>
      </c>
      <c r="H11" s="11">
        <f t="shared" si="1"/>
        <v>74.074074074074503</v>
      </c>
      <c r="I11" s="11"/>
      <c r="J11" s="13">
        <f>(D11-$F$5)/$I$5</f>
        <v>-7.4979500595076187E-2</v>
      </c>
      <c r="K11" s="14">
        <f t="shared" si="2"/>
        <v>0.39782247682131094</v>
      </c>
      <c r="L11" s="11"/>
      <c r="M11" s="11"/>
      <c r="N11" s="15">
        <f>K11*(($L$5*$M$5)/$I$5)</f>
        <v>14.496665889853229</v>
      </c>
      <c r="O11" s="11">
        <f>SUM(C5:C11)</f>
        <v>60</v>
      </c>
      <c r="P11" s="15">
        <f>SUM(N5:N11)</f>
        <v>56.82802342929871</v>
      </c>
      <c r="Q11" s="15">
        <f t="shared" si="3"/>
        <v>3.1719765707012897</v>
      </c>
      <c r="R11" s="11"/>
      <c r="S11" s="11"/>
    </row>
    <row r="12" spans="2:19" x14ac:dyDescent="0.3">
      <c r="B12" s="11" t="s">
        <v>27</v>
      </c>
      <c r="C12" s="11">
        <v>13</v>
      </c>
      <c r="D12" s="11">
        <v>105</v>
      </c>
      <c r="E12" s="11">
        <f t="shared" si="0"/>
        <v>1365</v>
      </c>
      <c r="F12" s="11"/>
      <c r="G12" s="11">
        <f>POWER(D12-$F$5,2)</f>
        <v>60.49382716049373</v>
      </c>
      <c r="H12" s="11">
        <f t="shared" si="1"/>
        <v>786.4197530864185</v>
      </c>
      <c r="I12" s="11"/>
      <c r="J12" s="13">
        <f>(D12-$F$5)/$I$5</f>
        <v>0.26242825208276571</v>
      </c>
      <c r="K12" s="14">
        <f t="shared" si="2"/>
        <v>0.38543920975503654</v>
      </c>
      <c r="L12" s="11"/>
      <c r="M12" s="11"/>
      <c r="N12" s="15">
        <f>K12*(($L$5*$M$5)/$I$5)</f>
        <v>14.045419176195981</v>
      </c>
      <c r="O12" s="11">
        <f>SUM(C5:C12)</f>
        <v>73</v>
      </c>
      <c r="P12" s="15">
        <f>SUM(N5:N12)</f>
        <v>70.873442605494688</v>
      </c>
      <c r="Q12" s="15">
        <f t="shared" si="3"/>
        <v>2.126557394505312</v>
      </c>
      <c r="R12" s="11"/>
      <c r="S12" s="11"/>
    </row>
    <row r="13" spans="2:19" x14ac:dyDescent="0.3">
      <c r="B13" s="11" t="s">
        <v>28</v>
      </c>
      <c r="C13" s="11">
        <v>11</v>
      </c>
      <c r="D13" s="11">
        <v>115</v>
      </c>
      <c r="E13" s="11">
        <f t="shared" si="0"/>
        <v>1265</v>
      </c>
      <c r="F13" s="11"/>
      <c r="G13" s="11">
        <f>POWER(D13-$F$5,2)</f>
        <v>316.04938271604914</v>
      </c>
      <c r="H13" s="11">
        <f t="shared" si="1"/>
        <v>3476.5432098765405</v>
      </c>
      <c r="I13" s="11"/>
      <c r="J13" s="13">
        <f>(D13-$F$5)/$I$5</f>
        <v>0.59983600476060761</v>
      </c>
      <c r="K13" s="14">
        <f t="shared" si="2"/>
        <v>0.33325919318673936</v>
      </c>
      <c r="L13" s="11"/>
      <c r="M13" s="11"/>
      <c r="N13" s="15">
        <f>K13*(($L$5*$M$5)/$I$5)</f>
        <v>12.143977426695796</v>
      </c>
      <c r="O13" s="11">
        <f>SUM(C5:C13)</f>
        <v>84</v>
      </c>
      <c r="P13" s="15">
        <f>SUM(N5:N13)</f>
        <v>83.017420032190486</v>
      </c>
      <c r="Q13" s="15">
        <f t="shared" si="3"/>
        <v>0.98257996780951373</v>
      </c>
      <c r="R13" s="11"/>
      <c r="S13" s="11"/>
    </row>
    <row r="14" spans="2:19" x14ac:dyDescent="0.3">
      <c r="B14" s="11" t="s">
        <v>29</v>
      </c>
      <c r="C14" s="11">
        <v>8</v>
      </c>
      <c r="D14" s="11">
        <v>125</v>
      </c>
      <c r="E14" s="11">
        <f t="shared" si="0"/>
        <v>1000</v>
      </c>
      <c r="F14" s="11"/>
      <c r="G14" s="11">
        <f>POWER(D14-$F$5,2)</f>
        <v>771.60493827160462</v>
      </c>
      <c r="H14" s="11">
        <f t="shared" si="1"/>
        <v>6172.839506172837</v>
      </c>
      <c r="I14" s="11"/>
      <c r="J14" s="13">
        <f>(D14-$F$5)/$I$5</f>
        <v>0.93724375743844957</v>
      </c>
      <c r="K14" s="14">
        <f t="shared" si="2"/>
        <v>0.25713906234634726</v>
      </c>
      <c r="L14" s="11"/>
      <c r="M14" s="11"/>
      <c r="N14" s="15">
        <f>K14*(($L$5*$M$5)/$I$5)</f>
        <v>9.3701570204125986</v>
      </c>
      <c r="O14" s="11">
        <f>SUM(C5:C14)</f>
        <v>92</v>
      </c>
      <c r="P14" s="15">
        <f>SUM(N5:N14)</f>
        <v>92.387577052603092</v>
      </c>
      <c r="Q14" s="15">
        <f t="shared" si="3"/>
        <v>-0.38757705260309194</v>
      </c>
      <c r="R14" s="11"/>
      <c r="S14" s="11"/>
    </row>
    <row r="15" spans="2:19" x14ac:dyDescent="0.3">
      <c r="B15" s="11" t="s">
        <v>30</v>
      </c>
      <c r="C15" s="11">
        <v>6</v>
      </c>
      <c r="D15" s="11">
        <v>135</v>
      </c>
      <c r="E15" s="11">
        <f t="shared" si="0"/>
        <v>810</v>
      </c>
      <c r="F15" s="11"/>
      <c r="G15" s="11">
        <f>POWER(D15-$F$5,2)</f>
        <v>1427.1604938271601</v>
      </c>
      <c r="H15" s="11">
        <f t="shared" si="1"/>
        <v>8562.9629629629599</v>
      </c>
      <c r="I15" s="11"/>
      <c r="J15" s="13">
        <f>(D15-$F$5)/$I$5</f>
        <v>1.2746515101162914</v>
      </c>
      <c r="K15" s="14">
        <f t="shared" si="2"/>
        <v>0.17705722134293087</v>
      </c>
      <c r="L15" s="11"/>
      <c r="M15" s="11"/>
      <c r="N15" s="15">
        <f>K15*(($L$5*$M$5)/$I$5)</f>
        <v>6.4519717480597656</v>
      </c>
      <c r="O15" s="11">
        <f>SUM(C5:C15)</f>
        <v>98</v>
      </c>
      <c r="P15" s="15">
        <f>SUM(N5:N15)</f>
        <v>98.839548800662854</v>
      </c>
      <c r="Q15" s="15">
        <f>ABS(O15-P15)</f>
        <v>0.83954880066285398</v>
      </c>
      <c r="R15" s="11"/>
      <c r="S15" s="11"/>
    </row>
    <row r="16" spans="2:19" x14ac:dyDescent="0.3">
      <c r="B16" s="11" t="s">
        <v>31</v>
      </c>
      <c r="C16" s="11">
        <v>5</v>
      </c>
      <c r="D16" s="11">
        <v>145</v>
      </c>
      <c r="E16" s="11">
        <f t="shared" si="0"/>
        <v>725</v>
      </c>
      <c r="F16" s="11"/>
      <c r="G16" s="11">
        <f>POWER(D16-$F$5,2)</f>
        <v>2282.7160493827155</v>
      </c>
      <c r="H16" s="11">
        <f t="shared" si="1"/>
        <v>11413.580246913578</v>
      </c>
      <c r="I16" s="11"/>
      <c r="J16" s="13">
        <f>(D16-$F$5)/$I$5</f>
        <v>1.6120592627941335</v>
      </c>
      <c r="K16" s="14">
        <f t="shared" si="2"/>
        <v>0.10879749691453949</v>
      </c>
      <c r="L16" s="11"/>
      <c r="M16" s="11"/>
      <c r="N16" s="15">
        <f>K16*(($L$5*$M$5)/$I$5)</f>
        <v>3.9645848445381948</v>
      </c>
      <c r="O16" s="11">
        <f>SUM(C5:C16)</f>
        <v>103</v>
      </c>
      <c r="P16" s="15">
        <f>SUM(N5:N16)</f>
        <v>102.80413364520105</v>
      </c>
      <c r="Q16" s="15">
        <f t="shared" si="3"/>
        <v>0.19586635479895165</v>
      </c>
      <c r="R16" s="11"/>
      <c r="S16" s="11"/>
    </row>
    <row r="17" spans="2:19" x14ac:dyDescent="0.3">
      <c r="B17" s="11" t="s">
        <v>32</v>
      </c>
      <c r="C17" s="11">
        <v>3</v>
      </c>
      <c r="D17" s="11">
        <v>155</v>
      </c>
      <c r="E17" s="11">
        <f t="shared" si="0"/>
        <v>465</v>
      </c>
      <c r="F17" s="11"/>
      <c r="G17" s="11">
        <f>POWER(D17-$F$5,2)</f>
        <v>3338.2716049382707</v>
      </c>
      <c r="H17" s="11">
        <f t="shared" si="1"/>
        <v>10014.814814814812</v>
      </c>
      <c r="I17" s="11"/>
      <c r="J17" s="13">
        <f>(D17-$F$5)/$I$5</f>
        <v>1.9494670154719753</v>
      </c>
      <c r="K17" s="14">
        <f t="shared" si="2"/>
        <v>5.9660080386321514E-2</v>
      </c>
      <c r="L17" s="11"/>
      <c r="M17" s="11"/>
      <c r="N17" s="15">
        <f>K17*(($L$5*$M$5)/$I$5)</f>
        <v>2.1740155539546389</v>
      </c>
      <c r="O17" s="11">
        <f>SUM(C5:C17)</f>
        <v>106</v>
      </c>
      <c r="P17" s="15">
        <f>SUM(N5:N17)</f>
        <v>104.97814919915568</v>
      </c>
      <c r="Q17" s="15">
        <f t="shared" si="3"/>
        <v>1.0218508008443195</v>
      </c>
      <c r="R17" s="11"/>
      <c r="S17" s="11"/>
    </row>
    <row r="18" spans="2:19" x14ac:dyDescent="0.3">
      <c r="B18" s="11" t="s">
        <v>33</v>
      </c>
      <c r="C18" s="11">
        <v>2</v>
      </c>
      <c r="D18" s="11">
        <v>165</v>
      </c>
      <c r="E18" s="11">
        <f t="shared" si="0"/>
        <v>330</v>
      </c>
      <c r="F18" s="11"/>
      <c r="G18" s="11">
        <f>POWER(D18-$F$5,2)</f>
        <v>4593.8271604938263</v>
      </c>
      <c r="H18" s="11">
        <f t="shared" si="1"/>
        <v>9187.6543209876527</v>
      </c>
      <c r="I18" s="11"/>
      <c r="J18" s="13">
        <f>(D18-$F$5)/$I$5</f>
        <v>2.2868747681498172</v>
      </c>
      <c r="K18" s="14">
        <f t="shared" si="2"/>
        <v>2.9194997049103454E-2</v>
      </c>
      <c r="L18" s="11"/>
      <c r="M18" s="11"/>
      <c r="N18" s="15">
        <f>K18*(($L$5*$M$5)/$I$5)</f>
        <v>1.0638667811276161</v>
      </c>
      <c r="O18" s="11">
        <f>SUM(C5:C18)</f>
        <v>108</v>
      </c>
      <c r="P18" s="15">
        <f>SUM(N5:N18)</f>
        <v>106.0420159802833</v>
      </c>
      <c r="Q18" s="15">
        <f t="shared" si="3"/>
        <v>1.9579840197167044</v>
      </c>
      <c r="R18" s="11"/>
      <c r="S18" s="11"/>
    </row>
    <row r="19" spans="2:19" x14ac:dyDescent="0.3">
      <c r="B19" s="11" t="s">
        <v>34</v>
      </c>
      <c r="C19" s="11">
        <v>108</v>
      </c>
      <c r="D19" s="11" t="s">
        <v>35</v>
      </c>
      <c r="E19" s="11" t="s">
        <v>35</v>
      </c>
      <c r="F19" s="11" t="s">
        <v>35</v>
      </c>
      <c r="G19" s="11" t="s">
        <v>35</v>
      </c>
      <c r="H19" s="11" t="s">
        <v>35</v>
      </c>
      <c r="I19" s="11" t="s">
        <v>35</v>
      </c>
      <c r="J19" s="11" t="s">
        <v>35</v>
      </c>
      <c r="K19" s="11" t="s">
        <v>35</v>
      </c>
      <c r="L19" s="11" t="s">
        <v>35</v>
      </c>
      <c r="M19" s="11" t="s">
        <v>35</v>
      </c>
      <c r="N19" s="15">
        <f>SUM(N5:N18)</f>
        <v>106.0420159802833</v>
      </c>
      <c r="O19" s="11" t="s">
        <v>35</v>
      </c>
      <c r="P19" s="11" t="s">
        <v>35</v>
      </c>
      <c r="Q19" s="11" t="s">
        <v>35</v>
      </c>
      <c r="R19" s="11" t="s">
        <v>35</v>
      </c>
      <c r="S19" s="11" t="s">
        <v>35</v>
      </c>
    </row>
    <row r="20" spans="2:19" ht="14.4" customHeight="1" x14ac:dyDescent="0.3">
      <c r="B20" s="6" t="s">
        <v>37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9" t="s">
        <v>36</v>
      </c>
      <c r="P20" s="9"/>
      <c r="Q20" s="9"/>
      <c r="R20" s="9"/>
      <c r="S20" s="9"/>
    </row>
    <row r="21" spans="2:19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10"/>
      <c r="P21" s="10"/>
      <c r="Q21" s="10"/>
      <c r="R21" s="10"/>
      <c r="S21" s="10"/>
    </row>
    <row r="23" spans="2:19" ht="18.600000000000001" customHeight="1" x14ac:dyDescent="0.3">
      <c r="B23" s="1" t="s">
        <v>39</v>
      </c>
      <c r="C23" s="1"/>
      <c r="D23" s="1"/>
      <c r="E23" s="1"/>
      <c r="F23" s="1"/>
      <c r="G23" s="1"/>
      <c r="H23" s="1"/>
    </row>
    <row r="24" spans="2:19" x14ac:dyDescent="0.3">
      <c r="B24" s="1"/>
      <c r="C24" s="1"/>
      <c r="D24" s="1"/>
      <c r="E24" s="1"/>
      <c r="F24" s="1"/>
      <c r="G24" s="1"/>
      <c r="H24" s="1"/>
    </row>
  </sheetData>
  <mergeCells count="4">
    <mergeCell ref="B2:S2"/>
    <mergeCell ref="O20:S21"/>
    <mergeCell ref="B20:N21"/>
    <mergeCell ref="B23:H24"/>
  </mergeCells>
  <pageMargins left="0.7" right="0.7" top="0.75" bottom="0.75" header="0.3" footer="0.3"/>
  <pageSetup paperSize="9" orientation="portrait" r:id="rId1"/>
  <headerFooter>
    <oddHeader>&amp;CГневнов Артем Евгеньевич. ИВТ 2.1.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 Gnevnov</cp:lastModifiedBy>
  <dcterms:created xsi:type="dcterms:W3CDTF">2015-06-05T18:19:34Z</dcterms:created>
  <dcterms:modified xsi:type="dcterms:W3CDTF">2023-12-24T14:44:19Z</dcterms:modified>
</cp:coreProperties>
</file>