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0d4a8a008de216/Рабочий стол/учеба/РГПУ/АД/ЛР6/"/>
    </mc:Choice>
  </mc:AlternateContent>
  <xr:revisionPtr revIDLastSave="0" documentId="13_ncr:1_{3ED0072F-1AD9-4FE7-81F7-E033F6BCC31D}" xr6:coauthVersionLast="47" xr6:coauthVersionMax="47" xr10:uidLastSave="{00000000-0000-0000-0000-000000000000}"/>
  <bookViews>
    <workbookView xWindow="-108" yWindow="-108" windowWidth="23256" windowHeight="13176" xr2:uid="{C179E256-7F82-4FC5-9CAA-7FC5E9220CB5}"/>
  </bookViews>
  <sheets>
    <sheet name="задача 1" sheetId="1" r:id="rId1"/>
    <sheet name="задача 2" sheetId="2" r:id="rId2"/>
    <sheet name="задача 3" sheetId="3" r:id="rId3"/>
    <sheet name="задача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C5" i="4"/>
  <c r="I4" i="4"/>
  <c r="J4" i="4"/>
  <c r="K4" i="4"/>
  <c r="H4" i="4"/>
  <c r="D4" i="4"/>
  <c r="E4" i="4"/>
  <c r="C4" i="4"/>
  <c r="E1" i="3"/>
  <c r="E1" i="2"/>
  <c r="H1" i="2" s="1"/>
  <c r="F2" i="1"/>
  <c r="I2" i="1" s="1"/>
  <c r="D6" i="4" l="1"/>
  <c r="C9" i="4" s="1"/>
  <c r="J6" i="4"/>
  <c r="I9" i="4" s="1"/>
  <c r="E9" i="4"/>
  <c r="D9" i="4"/>
  <c r="E10" i="4" l="1"/>
  <c r="H9" i="4"/>
  <c r="K9" i="4"/>
  <c r="J9" i="4"/>
  <c r="K10" i="4" l="1"/>
  <c r="Q1" i="4" s="1"/>
</calcChain>
</file>

<file path=xl/sharedStrings.xml><?xml version="1.0" encoding="utf-8"?>
<sst xmlns="http://schemas.openxmlformats.org/spreadsheetml/2006/main" count="21" uniqueCount="17">
  <si>
    <t>n =</t>
  </si>
  <si>
    <t>a =</t>
  </si>
  <si>
    <t>|t| =</t>
  </si>
  <si>
    <t xml:space="preserve">|t| &lt; </t>
  </si>
  <si>
    <t>|-1| &lt; 1,96</t>
  </si>
  <si>
    <t>Гипотеза принимается</t>
  </si>
  <si>
    <t>|-1,29| &lt; 2,26</t>
  </si>
  <si>
    <t xml:space="preserve">t &gt; </t>
  </si>
  <si>
    <t>Расходы сырья</t>
  </si>
  <si>
    <t>Число изделий</t>
  </si>
  <si>
    <t>По старой технологии</t>
  </si>
  <si>
    <t>По новой технологии</t>
  </si>
  <si>
    <t xml:space="preserve">|t| &gt; </t>
  </si>
  <si>
    <t xml:space="preserve">Гипотеза принимается </t>
  </si>
  <si>
    <t>40 &gt; 15</t>
  </si>
  <si>
    <t>Гипотеза о требуемой точности отклоняется</t>
  </si>
  <si>
    <t>Гипотеза отвергнута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</si>
</sst>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3" borderId="2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64" fontId="0" fillId="4" borderId="1" xfId="0" applyNumberFormat="1" applyFill="1" applyBorder="1" applyAlignment="1">
      <alignment horizontal="left"/>
    </xf>
    <xf numFmtId="0" fontId="0" fillId="4" borderId="1" xfId="0" applyFill="1" applyBorder="1"/>
    <xf numFmtId="0" fontId="0" fillId="4" borderId="2" xfId="0" applyFill="1" applyBorder="1"/>
    <xf numFmtId="0" fontId="0" fillId="4" borderId="1" xfId="0" applyFill="1" applyBorder="1" applyAlignment="1">
      <alignment vertical="center"/>
    </xf>
    <xf numFmtId="165" fontId="0" fillId="4" borderId="1" xfId="0" applyNumberFormat="1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525780</xdr:colOff>
      <xdr:row>12</xdr:row>
      <xdr:rowOff>3810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6BAA0-B4E4-4141-8B0D-EB75D3F3E170}"/>
            </a:ext>
          </a:extLst>
        </xdr:cNvPr>
        <xdr:cNvSpPr txBox="1"/>
      </xdr:nvSpPr>
      <xdr:spPr>
        <a:xfrm>
          <a:off x="2964180" y="21983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15240</xdr:colOff>
      <xdr:row>3</xdr:row>
      <xdr:rowOff>11430</xdr:rowOff>
    </xdr:from>
    <xdr:ext cx="25583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ABE180B-B406-452B-94ED-914459D15854}"/>
                </a:ext>
              </a:extLst>
            </xdr:cNvPr>
            <xdr:cNvSpPr txBox="1"/>
          </xdr:nvSpPr>
          <xdr:spPr>
            <a:xfrm>
              <a:off x="15240" y="194310"/>
              <a:ext cx="2558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ABE180B-B406-452B-94ED-914459D15854}"/>
                </a:ext>
              </a:extLst>
            </xdr:cNvPr>
            <xdr:cNvSpPr txBox="1"/>
          </xdr:nvSpPr>
          <xdr:spPr>
            <a:xfrm>
              <a:off x="15240" y="194310"/>
              <a:ext cx="2558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𝑥 ̅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38100</xdr:colOff>
      <xdr:row>5</xdr:row>
      <xdr:rowOff>3810</xdr:rowOff>
    </xdr:from>
    <xdr:ext cx="226472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7D098C3-49A5-49DD-91FB-84B9459D5BF2}"/>
                </a:ext>
              </a:extLst>
            </xdr:cNvPr>
            <xdr:cNvSpPr txBox="1"/>
          </xdr:nvSpPr>
          <xdr:spPr>
            <a:xfrm>
              <a:off x="38100" y="369570"/>
              <a:ext cx="22647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ru-RU" sz="1100" i="1">
                          <a:latin typeface="Cambria Math" panose="02040503050406030204" pitchFamily="18" charset="0"/>
                        </a:rPr>
                        <m:t>𝜎</m:t>
                      </m:r>
                    </m:e>
                    <m:sup>
                      <m:r>
                        <a:rPr lang="ru-RU" sz="1100" i="0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n-US" sz="1100"/>
                <a:t>=</a:t>
              </a:r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7D098C3-49A5-49DD-91FB-84B9459D5BF2}"/>
                </a:ext>
              </a:extLst>
            </xdr:cNvPr>
            <xdr:cNvSpPr txBox="1"/>
          </xdr:nvSpPr>
          <xdr:spPr>
            <a:xfrm>
              <a:off x="38100" y="369570"/>
              <a:ext cx="22647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𝜎^2</a:t>
              </a:r>
              <a:r>
                <a:rPr lang="en-US" sz="1100"/>
                <a:t>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22860</xdr:colOff>
      <xdr:row>2</xdr:row>
      <xdr:rowOff>3810</xdr:rowOff>
    </xdr:from>
    <xdr:ext cx="25436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9EE6DA0-2561-43BA-9A54-910EC8ED9A6A}"/>
                </a:ext>
              </a:extLst>
            </xdr:cNvPr>
            <xdr:cNvSpPr txBox="1"/>
          </xdr:nvSpPr>
          <xdr:spPr>
            <a:xfrm>
              <a:off x="624840" y="575310"/>
              <a:ext cx="2543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</a:rPr>
                      <m:t>𝛾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9EE6DA0-2561-43BA-9A54-910EC8ED9A6A}"/>
                </a:ext>
              </a:extLst>
            </xdr:cNvPr>
            <xdr:cNvSpPr txBox="1"/>
          </xdr:nvSpPr>
          <xdr:spPr>
            <a:xfrm>
              <a:off x="624840" y="575310"/>
              <a:ext cx="2543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𝛾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30480</xdr:colOff>
      <xdr:row>1</xdr:row>
      <xdr:rowOff>19050</xdr:rowOff>
    </xdr:from>
    <xdr:ext cx="897425" cy="34201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92D20D3-EF57-4FF0-8AC5-DFAC36127901}"/>
                </a:ext>
              </a:extLst>
            </xdr:cNvPr>
            <xdr:cNvSpPr txBox="1"/>
          </xdr:nvSpPr>
          <xdr:spPr>
            <a:xfrm>
              <a:off x="30480" y="1116330"/>
              <a:ext cx="897425" cy="3420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ad>
                          <m:radPr>
                            <m:degHide m:val="on"/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</m:rad>
                      </m:num>
                      <m:den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𝜎</m:t>
                        </m:r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92D20D3-EF57-4FF0-8AC5-DFAC36127901}"/>
                </a:ext>
              </a:extLst>
            </xdr:cNvPr>
            <xdr:cNvSpPr txBox="1"/>
          </xdr:nvSpPr>
          <xdr:spPr>
            <a:xfrm>
              <a:off x="30480" y="1116330"/>
              <a:ext cx="897425" cy="34201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𝑡=((𝑥 ̅−𝑎) √𝑛)/𝜎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30480</xdr:colOff>
      <xdr:row>2</xdr:row>
      <xdr:rowOff>171450</xdr:rowOff>
    </xdr:from>
    <xdr:ext cx="348750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C7DA11E-FBE7-430C-803B-281C122F00EB}"/>
                </a:ext>
              </a:extLst>
            </xdr:cNvPr>
            <xdr:cNvSpPr txBox="1"/>
          </xdr:nvSpPr>
          <xdr:spPr>
            <a:xfrm>
              <a:off x="30480" y="1695450"/>
              <a:ext cx="348750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кр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C7DA11E-FBE7-430C-803B-281C122F00EB}"/>
                </a:ext>
              </a:extLst>
            </xdr:cNvPr>
            <xdr:cNvSpPr txBox="1"/>
          </xdr:nvSpPr>
          <xdr:spPr>
            <a:xfrm>
              <a:off x="30480" y="1695450"/>
              <a:ext cx="348750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𝑡_</a:t>
              </a:r>
              <a:r>
                <a:rPr lang="ru-RU" sz="1100" b="0" i="0">
                  <a:latin typeface="Cambria Math" panose="02040503050406030204" pitchFamily="18" charset="0"/>
                </a:rPr>
                <a:t>кр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350520</xdr:colOff>
      <xdr:row>5</xdr:row>
      <xdr:rowOff>11430</xdr:rowOff>
    </xdr:from>
    <xdr:ext cx="204158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3D63162-7433-4014-8A81-DC0BF396F55C}"/>
                </a:ext>
              </a:extLst>
            </xdr:cNvPr>
            <xdr:cNvSpPr txBox="1"/>
          </xdr:nvSpPr>
          <xdr:spPr>
            <a:xfrm>
              <a:off x="2903220" y="1131570"/>
              <a:ext cx="204158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кр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3D63162-7433-4014-8A81-DC0BF396F55C}"/>
                </a:ext>
              </a:extLst>
            </xdr:cNvPr>
            <xdr:cNvSpPr txBox="1"/>
          </xdr:nvSpPr>
          <xdr:spPr>
            <a:xfrm>
              <a:off x="2903220" y="1131570"/>
              <a:ext cx="204158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кр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213360</xdr:colOff>
      <xdr:row>2</xdr:row>
      <xdr:rowOff>179070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8C97218-27AC-4530-8E3C-865607FD6355}"/>
            </a:ext>
          </a:extLst>
        </xdr:cNvPr>
        <xdr:cNvSpPr txBox="1"/>
      </xdr:nvSpPr>
      <xdr:spPr>
        <a:xfrm>
          <a:off x="4328160" y="11163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213360</xdr:rowOff>
    </xdr:from>
    <xdr:ext cx="32047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A8279CD-6D33-48BF-9B5E-CA8B8713F403}"/>
                </a:ext>
              </a:extLst>
            </xdr:cNvPr>
            <xdr:cNvSpPr txBox="1"/>
          </xdr:nvSpPr>
          <xdr:spPr>
            <a:xfrm>
              <a:off x="0" y="213360"/>
              <a:ext cx="32047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𝑎</m:t>
                        </m:r>
                      </m:e>
                      <m:sub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A8279CD-6D33-48BF-9B5E-CA8B8713F403}"/>
                </a:ext>
              </a:extLst>
            </xdr:cNvPr>
            <xdr:cNvSpPr txBox="1"/>
          </xdr:nvSpPr>
          <xdr:spPr>
            <a:xfrm>
              <a:off x="0" y="213360"/>
              <a:ext cx="32047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𝑎_0</a:t>
              </a:r>
              <a:r>
                <a:rPr lang="ru-RU" sz="1100" b="0" i="0">
                  <a:latin typeface="Cambria Math" panose="02040503050406030204" pitchFamily="18" charset="0"/>
                </a:rPr>
                <a:t>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</xdr:row>
      <xdr:rowOff>26670</xdr:rowOff>
    </xdr:from>
    <xdr:ext cx="25583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DCDD81E-41D1-4ACB-A915-B17C2C19F9D6}"/>
                </a:ext>
              </a:extLst>
            </xdr:cNvPr>
            <xdr:cNvSpPr txBox="1"/>
          </xdr:nvSpPr>
          <xdr:spPr>
            <a:xfrm>
              <a:off x="0" y="407670"/>
              <a:ext cx="2558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</m:acc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DCDD81E-41D1-4ACB-A915-B17C2C19F9D6}"/>
                </a:ext>
              </a:extLst>
            </xdr:cNvPr>
            <xdr:cNvSpPr txBox="1"/>
          </xdr:nvSpPr>
          <xdr:spPr>
            <a:xfrm>
              <a:off x="0" y="407670"/>
              <a:ext cx="25583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</xdr:row>
      <xdr:rowOff>19050</xdr:rowOff>
    </xdr:from>
    <xdr:ext cx="253851" cy="1762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7CA9ED3-14CD-41E0-972E-486F7C7471D5}"/>
                </a:ext>
              </a:extLst>
            </xdr:cNvPr>
            <xdr:cNvSpPr txBox="1"/>
          </xdr:nvSpPr>
          <xdr:spPr>
            <a:xfrm>
              <a:off x="0" y="765810"/>
              <a:ext cx="253851" cy="176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</m:e>
                    </m:acc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7CA9ED3-14CD-41E0-972E-486F7C7471D5}"/>
                </a:ext>
              </a:extLst>
            </xdr:cNvPr>
            <xdr:cNvSpPr txBox="1"/>
          </xdr:nvSpPr>
          <xdr:spPr>
            <a:xfrm>
              <a:off x="0" y="765810"/>
              <a:ext cx="253851" cy="1762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</xdr:row>
      <xdr:rowOff>179070</xdr:rowOff>
    </xdr:from>
    <xdr:ext cx="25436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A02B778-6F4F-4D04-8050-ABF552B954D1}"/>
                </a:ext>
              </a:extLst>
            </xdr:cNvPr>
            <xdr:cNvSpPr txBox="1"/>
          </xdr:nvSpPr>
          <xdr:spPr>
            <a:xfrm>
              <a:off x="0" y="925830"/>
              <a:ext cx="2543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</a:rPr>
                      <m:t>𝛾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A02B778-6F4F-4D04-8050-ABF552B954D1}"/>
                </a:ext>
              </a:extLst>
            </xdr:cNvPr>
            <xdr:cNvSpPr txBox="1"/>
          </xdr:nvSpPr>
          <xdr:spPr>
            <a:xfrm>
              <a:off x="0" y="925830"/>
              <a:ext cx="25436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𝛾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45720</xdr:colOff>
      <xdr:row>0</xdr:row>
      <xdr:rowOff>3810</xdr:rowOff>
    </xdr:from>
    <xdr:ext cx="959365" cy="3476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509A0D6-3C94-487F-9F9F-44C65AF4A928}"/>
                </a:ext>
              </a:extLst>
            </xdr:cNvPr>
            <xdr:cNvSpPr txBox="1"/>
          </xdr:nvSpPr>
          <xdr:spPr>
            <a:xfrm>
              <a:off x="45720" y="1283970"/>
              <a:ext cx="959365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acc>
                              <m:accPr>
                                <m:chr m:val="̅"/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𝑎</m:t>
                                </m:r>
                              </m:e>
                              <m:sub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0</m:t>
                                </m:r>
                              </m:sub>
                            </m:sSub>
                          </m:e>
                        </m:d>
                        <m:rad>
                          <m:radPr>
                            <m:degHide m:val="on"/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</m:rad>
                      </m:num>
                      <m:den>
                        <m:acc>
                          <m:accPr>
                            <m:chr m:val="̅"/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</m:acc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509A0D6-3C94-487F-9F9F-44C65AF4A928}"/>
                </a:ext>
              </a:extLst>
            </xdr:cNvPr>
            <xdr:cNvSpPr txBox="1"/>
          </xdr:nvSpPr>
          <xdr:spPr>
            <a:xfrm>
              <a:off x="45720" y="1283970"/>
              <a:ext cx="959365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𝑡=((𝑥 ̅−𝑎_0 ) √𝑛)/</a:t>
              </a:r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ru-RU" sz="1100" b="0" i="0">
                  <a:latin typeface="Cambria Math" panose="02040503050406030204" pitchFamily="18" charset="0"/>
                </a:rPr>
                <a:t> ̅</a:t>
              </a:r>
              <a:r>
                <a:rPr lang="en-US" sz="1100" b="0" i="0">
                  <a:latin typeface="Cambria Math" panose="02040503050406030204" pitchFamily="18" charset="0"/>
                </a:rPr>
                <a:t>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640080</xdr:colOff>
      <xdr:row>1</xdr:row>
      <xdr:rowOff>361950</xdr:rowOff>
    </xdr:from>
    <xdr:ext cx="428194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DCE961C-FB61-4F41-B007-A35336BAB142}"/>
                </a:ext>
              </a:extLst>
            </xdr:cNvPr>
            <xdr:cNvSpPr txBox="1"/>
          </xdr:nvSpPr>
          <xdr:spPr>
            <a:xfrm>
              <a:off x="640080" y="1642110"/>
              <a:ext cx="428194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кр 9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DCE961C-FB61-4F41-B007-A35336BAB142}"/>
                </a:ext>
              </a:extLst>
            </xdr:cNvPr>
            <xdr:cNvSpPr txBox="1"/>
          </xdr:nvSpPr>
          <xdr:spPr>
            <a:xfrm>
              <a:off x="640080" y="1642110"/>
              <a:ext cx="428194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кр 9)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350520</xdr:colOff>
      <xdr:row>3</xdr:row>
      <xdr:rowOff>179070</xdr:rowOff>
    </xdr:from>
    <xdr:ext cx="283604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D463071-E108-48EB-B68B-2CEFF72A6A10}"/>
                </a:ext>
              </a:extLst>
            </xdr:cNvPr>
            <xdr:cNvSpPr txBox="1"/>
          </xdr:nvSpPr>
          <xdr:spPr>
            <a:xfrm>
              <a:off x="350520" y="2198370"/>
              <a:ext cx="283604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кр 9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D463071-E108-48EB-B68B-2CEFF72A6A10}"/>
                </a:ext>
              </a:extLst>
            </xdr:cNvPr>
            <xdr:cNvSpPr txBox="1"/>
          </xdr:nvSpPr>
          <xdr:spPr>
            <a:xfrm>
              <a:off x="350520" y="2198370"/>
              <a:ext cx="283604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кр 9)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4</xdr:row>
      <xdr:rowOff>3810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00E7096-1B15-49D0-B3D8-6925C2D3041F}"/>
            </a:ext>
          </a:extLst>
        </xdr:cNvPr>
        <xdr:cNvSpPr txBox="1"/>
      </xdr:nvSpPr>
      <xdr:spPr>
        <a:xfrm>
          <a:off x="2522220" y="22059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>
            <a:effectLst/>
          </a:endParaRPr>
        </a:p>
      </xdr:txBody>
    </xdr:sp>
    <xdr:clientData/>
  </xdr:oneCellAnchor>
  <xdr:oneCellAnchor>
    <xdr:from>
      <xdr:col>9</xdr:col>
      <xdr:colOff>236220</xdr:colOff>
      <xdr:row>4</xdr:row>
      <xdr:rowOff>11430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0F0EBEF-E28F-44B4-B7A2-AA5DEE9F3B8B}"/>
            </a:ext>
          </a:extLst>
        </xdr:cNvPr>
        <xdr:cNvSpPr txBox="1"/>
      </xdr:nvSpPr>
      <xdr:spPr>
        <a:xfrm>
          <a:off x="4975860" y="221361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</xdr:colOff>
      <xdr:row>0</xdr:row>
      <xdr:rowOff>3810</xdr:rowOff>
    </xdr:from>
    <xdr:ext cx="255776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621EFFE-79DC-4474-BC38-602648B35FFF}"/>
                </a:ext>
              </a:extLst>
            </xdr:cNvPr>
            <xdr:cNvSpPr txBox="1"/>
          </xdr:nvSpPr>
          <xdr:spPr>
            <a:xfrm>
              <a:off x="91440" y="3810"/>
              <a:ext cx="255776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𝜎</m:t>
                        </m:r>
                      </m:e>
                      <m:sup>
                        <m:r>
                          <a:rPr lang="ru-RU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621EFFE-79DC-4474-BC38-602648B35FFF}"/>
                </a:ext>
              </a:extLst>
            </xdr:cNvPr>
            <xdr:cNvSpPr txBox="1"/>
          </xdr:nvSpPr>
          <xdr:spPr>
            <a:xfrm>
              <a:off x="91440" y="3810"/>
              <a:ext cx="255776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𝜎^2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"=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53340</xdr:colOff>
      <xdr:row>1</xdr:row>
      <xdr:rowOff>163830</xdr:rowOff>
    </xdr:from>
    <xdr:ext cx="348750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A4C4D0A-2E9D-4FE4-AE79-78B6BC60EEDD}"/>
                </a:ext>
              </a:extLst>
            </xdr:cNvPr>
            <xdr:cNvSpPr txBox="1"/>
          </xdr:nvSpPr>
          <xdr:spPr>
            <a:xfrm>
              <a:off x="53340" y="346710"/>
              <a:ext cx="348750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кр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A4C4D0A-2E9D-4FE4-AE79-78B6BC60EEDD}"/>
                </a:ext>
              </a:extLst>
            </xdr:cNvPr>
            <xdr:cNvSpPr txBox="1"/>
          </xdr:nvSpPr>
          <xdr:spPr>
            <a:xfrm>
              <a:off x="53340" y="346710"/>
              <a:ext cx="348750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кр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22860</xdr:colOff>
      <xdr:row>0</xdr:row>
      <xdr:rowOff>19050</xdr:rowOff>
    </xdr:from>
    <xdr:ext cx="868699" cy="3947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84D306A-9F68-4E27-84EE-128FE785AAA0}"/>
                </a:ext>
              </a:extLst>
            </xdr:cNvPr>
            <xdr:cNvSpPr txBox="1"/>
          </xdr:nvSpPr>
          <xdr:spPr>
            <a:xfrm>
              <a:off x="22860" y="750570"/>
              <a:ext cx="868699" cy="3947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−1</m:t>
                            </m:r>
                          </m:e>
                        </m:d>
                        <m:acc>
                          <m:accPr>
                            <m:chr m:val="̅"/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p>
                              <m:sSupPr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𝑆</m:t>
                                </m:r>
                              </m:e>
                              <m:sup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acc>
                      </m:num>
                      <m:den>
                        <m:sSubSup>
                          <m:sSubSup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0</m:t>
                            </m:r>
                          </m:sub>
                          <m:sup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84D306A-9F68-4E27-84EE-128FE785AAA0}"/>
                </a:ext>
              </a:extLst>
            </xdr:cNvPr>
            <xdr:cNvSpPr txBox="1"/>
          </xdr:nvSpPr>
          <xdr:spPr>
            <a:xfrm>
              <a:off x="22860" y="750570"/>
              <a:ext cx="868699" cy="3947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𝑡=((𝑛−1) (</a:t>
              </a:r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ru-RU" sz="1100" i="0">
                  <a:latin typeface="Cambria Math" panose="02040503050406030204" pitchFamily="18" charset="0"/>
                </a:rPr>
                <a:t>2 ) ̅)/(𝜎_0^2 )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182880</xdr:colOff>
      <xdr:row>10</xdr:row>
      <xdr:rowOff>156210</xdr:rowOff>
    </xdr:from>
    <xdr:ext cx="678180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7F34DE-4FDC-4418-A842-A4EBD36E84B9}"/>
            </a:ext>
          </a:extLst>
        </xdr:cNvPr>
        <xdr:cNvSpPr txBox="1"/>
      </xdr:nvSpPr>
      <xdr:spPr>
        <a:xfrm>
          <a:off x="2964180" y="2198370"/>
          <a:ext cx="678180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30480</xdr:colOff>
      <xdr:row>3</xdr:row>
      <xdr:rowOff>3810</xdr:rowOff>
    </xdr:from>
    <xdr:ext cx="323743" cy="1886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1CD9836-5CFC-46C1-8956-F315E72349CC}"/>
                </a:ext>
              </a:extLst>
            </xdr:cNvPr>
            <xdr:cNvSpPr txBox="1"/>
          </xdr:nvSpPr>
          <xdr:spPr>
            <a:xfrm>
              <a:off x="30480" y="552450"/>
              <a:ext cx="323743" cy="188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p>
                          <m:sSup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p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acc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1CD9836-5CFC-46C1-8956-F315E72349CC}"/>
                </a:ext>
              </a:extLst>
            </xdr:cNvPr>
            <xdr:cNvSpPr txBox="1"/>
          </xdr:nvSpPr>
          <xdr:spPr>
            <a:xfrm>
              <a:off x="30480" y="552450"/>
              <a:ext cx="323743" cy="1886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𝑆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ru-RU" sz="1100" i="0">
                  <a:latin typeface="Cambria Math" panose="02040503050406030204" pitchFamily="18" charset="0"/>
                </a:rPr>
                <a:t>2 ) ̅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236220</xdr:colOff>
      <xdr:row>1</xdr:row>
      <xdr:rowOff>179070</xdr:rowOff>
    </xdr:from>
    <xdr:ext cx="204158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C451710-0692-4E02-899A-97DB2E9A59F3}"/>
                </a:ext>
              </a:extLst>
            </xdr:cNvPr>
            <xdr:cNvSpPr txBox="1"/>
          </xdr:nvSpPr>
          <xdr:spPr>
            <a:xfrm>
              <a:off x="236220" y="1489710"/>
              <a:ext cx="204158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кр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C451710-0692-4E02-899A-97DB2E9A59F3}"/>
                </a:ext>
              </a:extLst>
            </xdr:cNvPr>
            <xdr:cNvSpPr txBox="1"/>
          </xdr:nvSpPr>
          <xdr:spPr>
            <a:xfrm>
              <a:off x="236220" y="1489710"/>
              <a:ext cx="204158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𝑡_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кр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5</xdr:col>
      <xdr:colOff>0</xdr:colOff>
      <xdr:row>2</xdr:row>
      <xdr:rowOff>3810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83B5622-B310-4133-9C93-B3FAFDDDE04E}"/>
            </a:ext>
          </a:extLst>
        </xdr:cNvPr>
        <xdr:cNvSpPr txBox="1"/>
      </xdr:nvSpPr>
      <xdr:spPr>
        <a:xfrm>
          <a:off x="3939540" y="6057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1</xdr:row>
      <xdr:rowOff>95250</xdr:rowOff>
    </xdr:from>
    <xdr:ext cx="15106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40731EA-102D-4D9D-BAC9-7328F3ED2516}"/>
                </a:ext>
              </a:extLst>
            </xdr:cNvPr>
            <xdr:cNvSpPr txBox="1"/>
          </xdr:nvSpPr>
          <xdr:spPr>
            <a:xfrm>
              <a:off x="685800" y="278130"/>
              <a:ext cx="1510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40731EA-102D-4D9D-BAC9-7328F3ED2516}"/>
                </a:ext>
              </a:extLst>
            </xdr:cNvPr>
            <xdr:cNvSpPr txBox="1"/>
          </xdr:nvSpPr>
          <xdr:spPr>
            <a:xfrm>
              <a:off x="685800" y="278130"/>
              <a:ext cx="1510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𝑥_𝑖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76200</xdr:colOff>
      <xdr:row>2</xdr:row>
      <xdr:rowOff>72390</xdr:rowOff>
    </xdr:from>
    <xdr:ext cx="15824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7057C4B-8985-4037-BFAD-764E2E22072F}"/>
                </a:ext>
              </a:extLst>
            </xdr:cNvPr>
            <xdr:cNvSpPr txBox="1"/>
          </xdr:nvSpPr>
          <xdr:spPr>
            <a:xfrm>
              <a:off x="685800" y="621030"/>
              <a:ext cx="15824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7057C4B-8985-4037-BFAD-764E2E22072F}"/>
                </a:ext>
              </a:extLst>
            </xdr:cNvPr>
            <xdr:cNvSpPr txBox="1"/>
          </xdr:nvSpPr>
          <xdr:spPr>
            <a:xfrm>
              <a:off x="685800" y="621030"/>
              <a:ext cx="15824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𝑛_𝑖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68580</xdr:colOff>
      <xdr:row>1</xdr:row>
      <xdr:rowOff>87630</xdr:rowOff>
    </xdr:from>
    <xdr:ext cx="156133" cy="183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E30E392-CB44-4146-BCE6-E3E882F6B324}"/>
                </a:ext>
              </a:extLst>
            </xdr:cNvPr>
            <xdr:cNvSpPr txBox="1"/>
          </xdr:nvSpPr>
          <xdr:spPr>
            <a:xfrm>
              <a:off x="2202180" y="270510"/>
              <a:ext cx="156133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E30E392-CB44-4146-BCE6-E3E882F6B324}"/>
                </a:ext>
              </a:extLst>
            </xdr:cNvPr>
            <xdr:cNvSpPr txBox="1"/>
          </xdr:nvSpPr>
          <xdr:spPr>
            <a:xfrm>
              <a:off x="2202180" y="270510"/>
              <a:ext cx="156133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𝑦_</a:t>
              </a:r>
              <a:r>
                <a:rPr lang="en-US" sz="1100" b="0" i="0">
                  <a:latin typeface="Cambria Math" panose="02040503050406030204" pitchFamily="18" charset="0"/>
                </a:rPr>
                <a:t>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53340</xdr:colOff>
      <xdr:row>2</xdr:row>
      <xdr:rowOff>110490</xdr:rowOff>
    </xdr:from>
    <xdr:ext cx="157992" cy="183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5877C5A-8571-4B8F-A1E4-F1C454245C53}"/>
                </a:ext>
              </a:extLst>
            </xdr:cNvPr>
            <xdr:cNvSpPr txBox="1"/>
          </xdr:nvSpPr>
          <xdr:spPr>
            <a:xfrm>
              <a:off x="2186940" y="659130"/>
              <a:ext cx="157992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5877C5A-8571-4B8F-A1E4-F1C454245C53}"/>
                </a:ext>
              </a:extLst>
            </xdr:cNvPr>
            <xdr:cNvSpPr txBox="1"/>
          </xdr:nvSpPr>
          <xdr:spPr>
            <a:xfrm>
              <a:off x="2186940" y="659130"/>
              <a:ext cx="157992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𝑛_𝑗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83820</xdr:colOff>
      <xdr:row>5</xdr:row>
      <xdr:rowOff>41910</xdr:rowOff>
    </xdr:from>
    <xdr:ext cx="925061" cy="47596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52A5B2F-1DCB-4D39-8734-911770F87F2F}"/>
                </a:ext>
              </a:extLst>
            </xdr:cNvPr>
            <xdr:cNvSpPr txBox="1"/>
          </xdr:nvSpPr>
          <xdr:spPr>
            <a:xfrm>
              <a:off x="83820" y="1322070"/>
              <a:ext cx="925061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ru-RU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b>
                        </m:sSub>
                      </m:den>
                    </m:f>
                    <m:nary>
                      <m:naryPr>
                        <m:chr m:val="∑"/>
                        <m:limLoc m:val="undOvr"/>
                        <m:grow m:val="on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/>
                            <m:aln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i</m:t>
                        </m:r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  <m:e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sSub>
                          <m:sSub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52A5B2F-1DCB-4D39-8734-911770F87F2F}"/>
                </a:ext>
              </a:extLst>
            </xdr:cNvPr>
            <xdr:cNvSpPr txBox="1"/>
          </xdr:nvSpPr>
          <xdr:spPr>
            <a:xfrm>
              <a:off x="83820" y="1322070"/>
              <a:ext cx="925061" cy="4759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𝑥 ̅=1/𝑛_𝑥  ∑129_(</a:t>
              </a:r>
              <a:r>
                <a:rPr lang="en-US" sz="1100" b="0" i="0">
                  <a:latin typeface="Cambria Math" panose="02040503050406030204" pitchFamily="18" charset="0"/>
                </a:rPr>
                <a:t>i</a:t>
              </a:r>
              <a:r>
                <a:rPr lang="ru-RU" sz="1100" i="0">
                  <a:latin typeface="Cambria Math" panose="02040503050406030204" pitchFamily="18" charset="0"/>
                </a:rPr>
                <a:t>=1)^3▒〖𝑥_𝑖 𝑛_𝑖 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53340</xdr:colOff>
      <xdr:row>2</xdr:row>
      <xdr:rowOff>354330</xdr:rowOff>
    </xdr:from>
    <xdr:ext cx="31213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F445679-BA1C-46AC-9EA2-1FDEABFC8FB5}"/>
                </a:ext>
              </a:extLst>
            </xdr:cNvPr>
            <xdr:cNvSpPr txBox="1"/>
          </xdr:nvSpPr>
          <xdr:spPr>
            <a:xfrm>
              <a:off x="662940" y="902970"/>
              <a:ext cx="3121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</m:sSub>
                </m:oMath>
              </a14:m>
              <a:r>
                <a:rPr lang="en-US" sz="1100"/>
                <a:t>*</a:t>
              </a:r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𝑛</m:t>
                      </m:r>
                    </m:e>
                    <m:sub>
                      <m: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</m:sSub>
                </m:oMath>
              </a14:m>
              <a:endParaRPr lang="ru-R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F445679-BA1C-46AC-9EA2-1FDEABFC8FB5}"/>
                </a:ext>
              </a:extLst>
            </xdr:cNvPr>
            <xdr:cNvSpPr txBox="1"/>
          </xdr:nvSpPr>
          <xdr:spPr>
            <a:xfrm>
              <a:off x="662940" y="902970"/>
              <a:ext cx="3121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𝑥_𝑖</a:t>
              </a:r>
              <a:r>
                <a:rPr lang="en-US" sz="1100"/>
                <a:t>*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𝑛_𝑖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7</xdr:row>
      <xdr:rowOff>110490</xdr:rowOff>
    </xdr:from>
    <xdr:ext cx="31868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55A908B-9466-4779-8EFE-3265789F0DEE}"/>
            </a:ext>
          </a:extLst>
        </xdr:cNvPr>
        <xdr:cNvSpPr txBox="1"/>
      </xdr:nvSpPr>
      <xdr:spPr>
        <a:xfrm>
          <a:off x="1005840" y="1756410"/>
          <a:ext cx="3186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 </a:t>
          </a:r>
          <a:endParaRPr lang="ru-RU" sz="1100"/>
        </a:p>
      </xdr:txBody>
    </xdr:sp>
    <xdr:clientData/>
  </xdr:oneCellAnchor>
  <xdr:oneCellAnchor>
    <xdr:from>
      <xdr:col>6</xdr:col>
      <xdr:colOff>7620</xdr:colOff>
      <xdr:row>2</xdr:row>
      <xdr:rowOff>354330</xdr:rowOff>
    </xdr:from>
    <xdr:ext cx="352532" cy="1831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71B4FAE-500D-44B0-92A9-A19ADC13EDC5}"/>
                </a:ext>
              </a:extLst>
            </xdr:cNvPr>
            <xdr:cNvSpPr txBox="1"/>
          </xdr:nvSpPr>
          <xdr:spPr>
            <a:xfrm>
              <a:off x="2209800" y="902970"/>
              <a:ext cx="352532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</m:sub>
                    </m:sSub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∗</m:t>
                    </m:r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971B4FAE-500D-44B0-92A9-A19ADC13EDC5}"/>
                </a:ext>
              </a:extLst>
            </xdr:cNvPr>
            <xdr:cNvSpPr txBox="1"/>
          </xdr:nvSpPr>
          <xdr:spPr>
            <a:xfrm>
              <a:off x="2209800" y="902970"/>
              <a:ext cx="352532" cy="1831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𝑛_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22860</xdr:colOff>
      <xdr:row>3</xdr:row>
      <xdr:rowOff>171450</xdr:rowOff>
    </xdr:from>
    <xdr:ext cx="32682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940B998-FD67-45BB-A765-B31E4289EE9D}"/>
                </a:ext>
              </a:extLst>
            </xdr:cNvPr>
            <xdr:cNvSpPr txBox="1"/>
          </xdr:nvSpPr>
          <xdr:spPr>
            <a:xfrm>
              <a:off x="632460" y="1085850"/>
              <a:ext cx="3268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940B998-FD67-45BB-A765-B31E4289EE9D}"/>
                </a:ext>
              </a:extLst>
            </xdr:cNvPr>
            <xdr:cNvSpPr txBox="1"/>
          </xdr:nvSpPr>
          <xdr:spPr>
            <a:xfrm>
              <a:off x="632460" y="1085850"/>
              <a:ext cx="32682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22860</xdr:colOff>
      <xdr:row>3</xdr:row>
      <xdr:rowOff>179070</xdr:rowOff>
    </xdr:from>
    <xdr:ext cx="330924" cy="1829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F65FFA9-060F-491B-B274-6650AEDA1E11}"/>
                </a:ext>
              </a:extLst>
            </xdr:cNvPr>
            <xdr:cNvSpPr txBox="1"/>
          </xdr:nvSpPr>
          <xdr:spPr>
            <a:xfrm>
              <a:off x="2225040" y="1093470"/>
              <a:ext cx="330924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F65FFA9-060F-491B-B274-6650AEDA1E11}"/>
                </a:ext>
              </a:extLst>
            </xdr:cNvPr>
            <xdr:cNvSpPr txBox="1"/>
          </xdr:nvSpPr>
          <xdr:spPr>
            <a:xfrm>
              <a:off x="2225040" y="1093470"/>
              <a:ext cx="330924" cy="1829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0</xdr:colOff>
      <xdr:row>7</xdr:row>
      <xdr:rowOff>110490</xdr:rowOff>
    </xdr:from>
    <xdr:ext cx="31868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FD38265-F18A-4C08-B5D7-6836699A5BD3}"/>
            </a:ext>
          </a:extLst>
        </xdr:cNvPr>
        <xdr:cNvSpPr txBox="1"/>
      </xdr:nvSpPr>
      <xdr:spPr>
        <a:xfrm>
          <a:off x="1005840" y="1756410"/>
          <a:ext cx="3186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 </a:t>
          </a:r>
          <a:endParaRPr lang="ru-RU" sz="1100"/>
        </a:p>
      </xdr:txBody>
    </xdr:sp>
    <xdr:clientData/>
  </xdr:oneCellAnchor>
  <xdr:oneCellAnchor>
    <xdr:from>
      <xdr:col>5</xdr:col>
      <xdr:colOff>0</xdr:colOff>
      <xdr:row>7</xdr:row>
      <xdr:rowOff>110490</xdr:rowOff>
    </xdr:from>
    <xdr:ext cx="31868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B603A2B-DA8E-494E-9204-F62DDFA740BE}"/>
            </a:ext>
          </a:extLst>
        </xdr:cNvPr>
        <xdr:cNvSpPr txBox="1"/>
      </xdr:nvSpPr>
      <xdr:spPr>
        <a:xfrm>
          <a:off x="1005840" y="1756410"/>
          <a:ext cx="3186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 </a:t>
          </a:r>
          <a:endParaRPr lang="ru-RU" sz="1100"/>
        </a:p>
      </xdr:txBody>
    </xdr:sp>
    <xdr:clientData/>
  </xdr:oneCellAnchor>
  <xdr:oneCellAnchor>
    <xdr:from>
      <xdr:col>0</xdr:col>
      <xdr:colOff>601980</xdr:colOff>
      <xdr:row>8</xdr:row>
      <xdr:rowOff>3810</xdr:rowOff>
    </xdr:from>
    <xdr:ext cx="58105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E3C111C-6644-4B6B-A559-A5AF57A7D677}"/>
                </a:ext>
              </a:extLst>
            </xdr:cNvPr>
            <xdr:cNvSpPr txBox="1"/>
          </xdr:nvSpPr>
          <xdr:spPr>
            <a:xfrm>
              <a:off x="601980" y="1832610"/>
              <a:ext cx="58105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ru-RU" sz="1100" i="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ru-RU" sz="110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d>
                      </m:e>
                      <m:sup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E3C111C-6644-4B6B-A559-A5AF57A7D677}"/>
                </a:ext>
              </a:extLst>
            </xdr:cNvPr>
            <xdr:cNvSpPr txBox="1"/>
          </xdr:nvSpPr>
          <xdr:spPr>
            <a:xfrm>
              <a:off x="601980" y="1832610"/>
              <a:ext cx="58105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(𝑥_𝑖−𝑥 ̅ )^2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198120</xdr:colOff>
      <xdr:row>9</xdr:row>
      <xdr:rowOff>118110</xdr:rowOff>
    </xdr:from>
    <xdr:ext cx="1661160" cy="2707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BE1EA4B-8ED8-4235-8A2E-5AFDF0BE18B4}"/>
                </a:ext>
              </a:extLst>
            </xdr:cNvPr>
            <xdr:cNvSpPr txBox="1"/>
          </xdr:nvSpPr>
          <xdr:spPr>
            <a:xfrm>
              <a:off x="198120" y="2396490"/>
              <a:ext cx="1661160" cy="270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Sup>
                        <m:sSubSupPr>
                          <m:ctrlP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SupPr>
                        <m:e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𝑆</m:t>
                          </m:r>
                        </m:e>
                        <m:sub>
                          <m: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sub>
                        <m:sup>
                          <m:r>
                            <a:rPr lang="ru-RU" sz="110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bSup>
                    </m:e>
                  </m:acc>
                </m:oMath>
              </a14:m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= </a:t>
              </a:r>
              <a14:m>
                <m:oMath xmlns:m="http://schemas.openxmlformats.org/officeDocument/2006/math">
                  <m:r>
                    <a:rPr lang="ru-RU" sz="110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ru-RU" sz="110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num>
                    <m:den>
                      <m:sSub>
                        <m:sSubPr>
                          <m:ctrlP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𝑛</m:t>
                          </m:r>
                        </m:e>
                        <m:sub>
                          <m:r>
                            <a:rPr lang="en-US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𝑥</m:t>
                          </m:r>
                        </m:sub>
                      </m:s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−1</m:t>
                      </m:r>
                    </m:den>
                  </m:f>
                  <m:nary>
                    <m:naryPr>
                      <m:chr m:val="∑"/>
                      <m:limLoc m:val="undOvr"/>
                      <m:grow m:val="on"/>
                      <m:ctrlP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ru-RU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ru-RU" sz="110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=1</m:t>
                      </m:r>
                    </m:sub>
                    <m:sup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p>
                    <m:e>
                      <m:sSup>
                        <m:sSupPr>
                          <m:ctrlPr>
                            <a:rPr lang="ru-RU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ru-RU" sz="1100" i="1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dPr>
                            <m:e>
                              <m:sSub>
                                <m:sSubPr>
                                  <m:ctrlPr>
                                    <a:rPr lang="ru-RU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sSubPr>
                                <m:e>
                                  <m:r>
                                    <a:rPr lang="ru-RU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𝑥</m:t>
                                  </m:r>
                                </m:e>
                                <m:sub>
                                  <m:r>
                                    <a:rPr lang="ru-RU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𝑖</m:t>
                                  </m:r>
                                </m:sub>
                              </m:sSub>
                              <m:r>
                                <a:rPr lang="ru-RU" sz="1100" i="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</m:t>
                              </m:r>
                              <m:acc>
                                <m:accPr>
                                  <m:chr m:val="̅"/>
                                  <m:ctrlPr>
                                    <a:rPr lang="ru-RU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</m:ctrlPr>
                                </m:accPr>
                                <m:e>
                                  <m:r>
                                    <a:rPr lang="ru-RU" sz="1100" i="1">
                                      <a:solidFill>
                                        <a:schemeClr val="tx1"/>
                                      </a:solidFill>
                                      <a:effectLst/>
                                      <a:latin typeface="Cambria Math" panose="02040503050406030204" pitchFamily="18" charset="0"/>
                                      <a:ea typeface="+mn-ea"/>
                                      <a:cs typeface="+mn-cs"/>
                                    </a:rPr>
                                    <m:t>𝑥</m:t>
                                  </m:r>
                                </m:e>
                              </m:acc>
                            </m:e>
                          </m:d>
                        </m:e>
                        <m:sup>
                          <m:r>
                            <a:rPr lang="ru-RU" sz="110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e>
                  </m:nary>
                </m:oMath>
              </a14:m>
              <a:endParaRPr lang="ru-RU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BE1EA4B-8ED8-4235-8A2E-5AFDF0BE18B4}"/>
                </a:ext>
              </a:extLst>
            </xdr:cNvPr>
            <xdr:cNvSpPr txBox="1"/>
          </xdr:nvSpPr>
          <xdr:spPr>
            <a:xfrm>
              <a:off x="198120" y="2396490"/>
              <a:ext cx="1661160" cy="2707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𝑥^2 ) ̅</a:t>
              </a:r>
              <a:r>
                <a:rPr lang="ru-RU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=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=1/(𝑛_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𝑥−1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∑129_(𝑖=1)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^3▒(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𝑥_𝑖−𝑥 ̅ )^2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53340</xdr:colOff>
      <xdr:row>5</xdr:row>
      <xdr:rowOff>26670</xdr:rowOff>
    </xdr:from>
    <xdr:ext cx="935962" cy="4964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19F3D73-5559-4F97-80FE-7472982B2BBE}"/>
                </a:ext>
              </a:extLst>
            </xdr:cNvPr>
            <xdr:cNvSpPr txBox="1"/>
          </xdr:nvSpPr>
          <xdr:spPr>
            <a:xfrm>
              <a:off x="2499360" y="1306830"/>
              <a:ext cx="935962" cy="4964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</m:e>
                    </m:acc>
                    <m:r>
                      <a:rPr lang="ru-RU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ru-RU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</m:den>
                    </m:f>
                    <m:nary>
                      <m:naryPr>
                        <m:chr m:val="∑"/>
                        <m:limLoc m:val="undOvr"/>
                        <m:grow m:val="on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sty m:val="p"/>
                            <m:brk/>
                            <m:aln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j</m:t>
                        </m:r>
                        <m:r>
                          <a:rPr lang="ru-RU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p>
                      <m:e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19F3D73-5559-4F97-80FE-7472982B2BBE}"/>
                </a:ext>
              </a:extLst>
            </xdr:cNvPr>
            <xdr:cNvSpPr txBox="1"/>
          </xdr:nvSpPr>
          <xdr:spPr>
            <a:xfrm>
              <a:off x="2499360" y="1306830"/>
              <a:ext cx="935962" cy="4964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̅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=1/𝑛_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∑129_(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j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^4▒〖𝑦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𝑗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𝑗 〗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8</xdr:row>
      <xdr:rowOff>3810</xdr:rowOff>
    </xdr:from>
    <xdr:ext cx="595163" cy="232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188AD81-5B81-4458-8BC2-1EEE7785AB0B}"/>
                </a:ext>
              </a:extLst>
            </xdr:cNvPr>
            <xdr:cNvSpPr txBox="1"/>
          </xdr:nvSpPr>
          <xdr:spPr>
            <a:xfrm>
              <a:off x="2446020" y="1832610"/>
              <a:ext cx="595163" cy="232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ru-RU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𝑦</m:t>
                                </m:r>
                              </m:e>
                            </m:acc>
                          </m:e>
                        </m:d>
                      </m:e>
                      <m:sup>
                        <m:r>
                          <a:rPr lang="ru-RU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188AD81-5B81-4458-8BC2-1EEE7785AB0B}"/>
                </a:ext>
              </a:extLst>
            </xdr:cNvPr>
            <xdr:cNvSpPr txBox="1"/>
          </xdr:nvSpPr>
          <xdr:spPr>
            <a:xfrm>
              <a:off x="2446020" y="1832610"/>
              <a:ext cx="595163" cy="232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𝑗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45720</xdr:colOff>
      <xdr:row>9</xdr:row>
      <xdr:rowOff>26670</xdr:rowOff>
    </xdr:from>
    <xdr:ext cx="1668918" cy="494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8B62627-E844-4491-A4F5-AC32B7781CA8}"/>
                </a:ext>
              </a:extLst>
            </xdr:cNvPr>
            <xdr:cNvSpPr txBox="1"/>
          </xdr:nvSpPr>
          <xdr:spPr>
            <a:xfrm>
              <a:off x="2606040" y="2305050"/>
              <a:ext cx="1668918" cy="494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Sup>
                          <m:sSub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  <m:sup>
                            <m:r>
                              <a:rPr lang="ru-RU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bSup>
                      </m:e>
                    </m:acc>
                    <m:r>
                      <m:rPr>
                        <m:nor/>
                      </m:rP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= </m:t>
                    </m:r>
                    <m:r>
                      <a:rPr lang="ru-RU" sz="110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ru-RU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den>
                    </m:f>
                    <m:nary>
                      <m:naryPr>
                        <m:chr m:val="∑"/>
                        <m:limLoc m:val="undOvr"/>
                        <m:grow m:val="on"/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r>
                          <a:rPr lang="ru-RU" sz="110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=1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</m:t>
                        </m:r>
                      </m:sup>
                      <m:e>
                        <m:sSup>
                          <m:sSupPr>
                            <m:ctrlP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ru-RU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𝑦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𝑗</m:t>
                                    </m:r>
                                  </m:sub>
                                </m:sSub>
                                <m:r>
                                  <a:rPr lang="ru-RU" sz="1100" i="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acc>
                                  <m:accPr>
                                    <m:chr m:val="̅"/>
                                    <m:ctrlPr>
                                      <a:rPr lang="ru-RU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𝑦</m:t>
                                    </m:r>
                                  </m:e>
                                </m:acc>
                              </m:e>
                            </m:d>
                          </m:e>
                          <m:sup>
                            <m:r>
                              <a:rPr lang="ru-RU" sz="110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F8B62627-E844-4491-A4F5-AC32B7781CA8}"/>
                </a:ext>
              </a:extLst>
            </xdr:cNvPr>
            <xdr:cNvSpPr txBox="1"/>
          </xdr:nvSpPr>
          <xdr:spPr>
            <a:xfrm>
              <a:off x="2606040" y="2305050"/>
              <a:ext cx="1668918" cy="494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𝑦^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2 ) ̅" = "=1/(𝑛_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𝑦−1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∑129_(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𝑗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=1)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^4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𝑗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 ̅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121920</xdr:colOff>
      <xdr:row>0</xdr:row>
      <xdr:rowOff>34290</xdr:rowOff>
    </xdr:from>
    <xdr:ext cx="1788310" cy="6789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9858251-B5CB-4327-BB42-64E772E8E844}"/>
                </a:ext>
              </a:extLst>
            </xdr:cNvPr>
            <xdr:cNvSpPr txBox="1"/>
          </xdr:nvSpPr>
          <xdr:spPr>
            <a:xfrm>
              <a:off x="121920" y="3013710"/>
              <a:ext cx="1788310" cy="678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ru-RU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  <m:r>
                          <a:rPr lang="ru-RU" sz="1100" i="0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ru-RU" sz="110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num>
                      <m:den>
                        <m:rad>
                          <m:radPr>
                            <m:degHide m:val="on"/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sub>
                                </m:sSub>
                                <m:sSubSup>
                                  <m:sSubSupPr>
                                    <m:ctrlP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acc>
                                      <m:accPr>
                                        <m:chr m:val="̅"/>
                                        <m:ctrlP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𝑠</m:t>
                                        </m:r>
                                      </m:e>
                                    </m:acc>
                                  </m:e>
                                  <m:sub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sub>
                                  <m:sup>
                                    <m:r>
                                      <a:rPr lang="ru-RU" sz="1100" i="0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sub>
                                </m:sSub>
                                <m:sSubSup>
                                  <m:sSubSupPr>
                                    <m:ctrlP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acc>
                                      <m:accPr>
                                        <m:chr m:val="̅"/>
                                        <m:ctrlP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𝑠</m:t>
                                        </m:r>
                                      </m:e>
                                    </m:acc>
                                  </m:e>
                                  <m:sub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sub>
                                  <m:sup>
                                    <m:r>
                                      <a:rPr lang="ru-RU" sz="1100" i="0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num>
                              <m:den>
                                <m:sSub>
                                  <m:sSubPr>
                                    <m:ctrlP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sub>
                                </m:sSub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𝑛</m:t>
                                    </m:r>
                                  </m:e>
                                  <m:sub>
                                    <m: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</m:sub>
                                </m:sSub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−2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ru-R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ru-RU" sz="1100" i="0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sub>
                                    </m:sSub>
                                  </m:den>
                                </m:f>
                                <m:r>
                                  <a:rPr lang="ru-RU" sz="1100" i="0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f>
                                  <m:fPr>
                                    <m:ctrlPr>
                                      <a:rPr lang="ru-R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ru-RU" sz="1100" i="0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ru-RU" sz="110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</m:rad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9858251-B5CB-4327-BB42-64E772E8E844}"/>
                </a:ext>
              </a:extLst>
            </xdr:cNvPr>
            <xdr:cNvSpPr txBox="1"/>
          </xdr:nvSpPr>
          <xdr:spPr>
            <a:xfrm>
              <a:off x="121920" y="3013710"/>
              <a:ext cx="1788310" cy="678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latin typeface="Cambria Math" panose="02040503050406030204" pitchFamily="18" charset="0"/>
                </a:rPr>
                <a:t>𝑡=(𝑥 ̅−𝑦 ̅)/√((𝑛_𝑥 𝑠 ̅_𝑥^2+𝑛_𝑦 𝑠 ̅_𝑦^2)/(𝑛_𝑥+𝑛_𝑦−2) (1/𝑛_𝑥 +1/𝑛_𝑦 ) 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38100</xdr:colOff>
      <xdr:row>4</xdr:row>
      <xdr:rowOff>171450</xdr:rowOff>
    </xdr:from>
    <xdr:ext cx="488980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94C92A5-A2EC-4184-A27F-8DB233EF8579}"/>
                </a:ext>
              </a:extLst>
            </xdr:cNvPr>
            <xdr:cNvSpPr txBox="1"/>
          </xdr:nvSpPr>
          <xdr:spPr>
            <a:xfrm>
              <a:off x="38100" y="3882390"/>
              <a:ext cx="488980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20,  кр</m:t>
                        </m:r>
                      </m:sub>
                    </m:sSub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94C92A5-A2EC-4184-A27F-8DB233EF8579}"/>
                </a:ext>
              </a:extLst>
            </xdr:cNvPr>
            <xdr:cNvSpPr txBox="1"/>
          </xdr:nvSpPr>
          <xdr:spPr>
            <a:xfrm>
              <a:off x="38100" y="3882390"/>
              <a:ext cx="488980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20,  кр)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320040</xdr:colOff>
      <xdr:row>7</xdr:row>
      <xdr:rowOff>3810</xdr:rowOff>
    </xdr:from>
    <xdr:ext cx="344390" cy="1847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538E233-F2EB-450A-88D2-AB5AB33F3101}"/>
                </a:ext>
              </a:extLst>
            </xdr:cNvPr>
            <xdr:cNvSpPr txBox="1"/>
          </xdr:nvSpPr>
          <xdr:spPr>
            <a:xfrm>
              <a:off x="6728460" y="1649730"/>
              <a:ext cx="344390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e>
                      <m:sub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20,  кр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538E233-F2EB-450A-88D2-AB5AB33F3101}"/>
                </a:ext>
              </a:extLst>
            </xdr:cNvPr>
            <xdr:cNvSpPr txBox="1"/>
          </xdr:nvSpPr>
          <xdr:spPr>
            <a:xfrm>
              <a:off x="6728460" y="1649730"/>
              <a:ext cx="344390" cy="1847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𝑡_(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20,  кр)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14</xdr:col>
      <xdr:colOff>0</xdr:colOff>
      <xdr:row>7</xdr:row>
      <xdr:rowOff>3810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A8B79CA-7D4C-4FDF-9DA7-768ADFC1A4F8}"/>
            </a:ext>
          </a:extLst>
        </xdr:cNvPr>
        <xdr:cNvSpPr txBox="1"/>
      </xdr:nvSpPr>
      <xdr:spPr>
        <a:xfrm>
          <a:off x="9646920" y="1283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693E-0355-47D1-82BA-EF4E7E9ABA9C}">
  <dimension ref="B2:J7"/>
  <sheetViews>
    <sheetView tabSelected="1" zoomScaleNormal="100" workbookViewId="0">
      <selection activeCell="E18" sqref="E18"/>
    </sheetView>
  </sheetViews>
  <sheetFormatPr defaultRowHeight="14.4" x14ac:dyDescent="0.3"/>
  <cols>
    <col min="1" max="1" width="8.77734375" style="1" customWidth="1"/>
    <col min="2" max="2" width="10.6640625" style="1" customWidth="1"/>
    <col min="3" max="4" width="8.88671875" style="1"/>
    <col min="5" max="5" width="13.88671875" style="1" customWidth="1"/>
    <col min="6" max="6" width="9.21875" style="1" customWidth="1"/>
    <col min="7" max="16384" width="8.88671875" style="1"/>
  </cols>
  <sheetData>
    <row r="2" spans="2:10" ht="30.6" customHeight="1" x14ac:dyDescent="0.3">
      <c r="B2" s="6" t="s">
        <v>1</v>
      </c>
      <c r="C2" s="7">
        <v>49</v>
      </c>
      <c r="E2" s="6"/>
      <c r="F2" s="7">
        <f>((C4-C2)*SQRT(C5))/SQRT(C6)</f>
        <v>-1</v>
      </c>
      <c r="H2" s="6" t="s">
        <v>2</v>
      </c>
      <c r="I2" s="7">
        <f>ABS(F2)</f>
        <v>1</v>
      </c>
    </row>
    <row r="3" spans="2:10" x14ac:dyDescent="0.3">
      <c r="B3" s="6"/>
      <c r="C3" s="7">
        <v>0.95</v>
      </c>
    </row>
    <row r="4" spans="2:10" x14ac:dyDescent="0.3">
      <c r="B4" s="6"/>
      <c r="C4" s="7">
        <v>48</v>
      </c>
      <c r="E4" s="6"/>
      <c r="F4" s="7">
        <v>1.96</v>
      </c>
      <c r="H4" s="13" t="s">
        <v>5</v>
      </c>
      <c r="I4" s="13"/>
      <c r="J4" s="13"/>
    </row>
    <row r="5" spans="2:10" x14ac:dyDescent="0.3">
      <c r="B5" s="6" t="s">
        <v>0</v>
      </c>
      <c r="C5" s="7">
        <v>9</v>
      </c>
    </row>
    <row r="6" spans="2:10" x14ac:dyDescent="0.3">
      <c r="B6" s="6"/>
      <c r="C6" s="7">
        <v>9</v>
      </c>
      <c r="E6" s="6" t="s">
        <v>3</v>
      </c>
      <c r="F6" s="7" t="s">
        <v>4</v>
      </c>
    </row>
    <row r="7" spans="2:10" ht="12.6" customHeight="1" x14ac:dyDescent="0.3"/>
  </sheetData>
  <mergeCells count="1">
    <mergeCell ref="H4:J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8025-82FB-4958-83B9-D8590592897A}">
  <dimension ref="A1:K8"/>
  <sheetViews>
    <sheetView workbookViewId="0">
      <selection activeCell="G5" sqref="G5:K5"/>
    </sheetView>
  </sheetViews>
  <sheetFormatPr defaultRowHeight="14.4" x14ac:dyDescent="0.3"/>
  <cols>
    <col min="1" max="1" width="15.5546875" style="1" customWidth="1"/>
    <col min="2" max="2" width="9.109375" style="1" bestFit="1" customWidth="1"/>
    <col min="3" max="3" width="8.88671875" style="1"/>
    <col min="4" max="4" width="17.6640625" style="1" customWidth="1"/>
    <col min="5" max="16384" width="8.88671875" style="1"/>
  </cols>
  <sheetData>
    <row r="1" spans="1:11" ht="30" customHeight="1" x14ac:dyDescent="0.3">
      <c r="A1" s="6"/>
      <c r="B1" s="7">
        <v>187.5</v>
      </c>
      <c r="D1" s="6"/>
      <c r="E1" s="8">
        <f>((B2-B1)*SQRT(B3))/B4</f>
        <v>-1.1293848786315641</v>
      </c>
      <c r="G1" s="6" t="s">
        <v>2</v>
      </c>
      <c r="H1" s="8">
        <f>ABS(E1)</f>
        <v>1.1293848786315641</v>
      </c>
    </row>
    <row r="2" spans="1:11" x14ac:dyDescent="0.3">
      <c r="A2" s="6"/>
      <c r="B2" s="7">
        <v>175</v>
      </c>
    </row>
    <row r="3" spans="1:11" x14ac:dyDescent="0.3">
      <c r="A3" s="6" t="s">
        <v>0</v>
      </c>
      <c r="B3" s="7">
        <v>10</v>
      </c>
      <c r="D3" s="6"/>
      <c r="E3" s="7">
        <v>2.2599999999999998</v>
      </c>
    </row>
    <row r="4" spans="1:11" x14ac:dyDescent="0.3">
      <c r="A4" s="6"/>
      <c r="B4" s="7">
        <v>35</v>
      </c>
    </row>
    <row r="5" spans="1:11" x14ac:dyDescent="0.3">
      <c r="A5" s="6"/>
      <c r="B5" s="7">
        <v>0.95</v>
      </c>
      <c r="D5" s="6" t="s">
        <v>3</v>
      </c>
      <c r="E5" s="14" t="s">
        <v>6</v>
      </c>
      <c r="F5" s="14"/>
      <c r="G5" s="13" t="s">
        <v>13</v>
      </c>
      <c r="H5" s="13"/>
      <c r="I5" s="13"/>
      <c r="J5" s="13"/>
      <c r="K5" s="13"/>
    </row>
    <row r="8" spans="1:11" ht="29.4" customHeight="1" x14ac:dyDescent="0.3"/>
  </sheetData>
  <mergeCells count="2">
    <mergeCell ref="E5:F5"/>
    <mergeCell ref="G5:K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394A-FE69-48F5-BCE4-2A6CEE00521B}">
  <dimension ref="A1:K6"/>
  <sheetViews>
    <sheetView workbookViewId="0">
      <selection activeCell="B4" sqref="B4"/>
    </sheetView>
  </sheetViews>
  <sheetFormatPr defaultRowHeight="14.4" x14ac:dyDescent="0.3"/>
  <cols>
    <col min="1" max="1" width="13.88671875" customWidth="1"/>
    <col min="4" max="4" width="13.88671875" customWidth="1"/>
  </cols>
  <sheetData>
    <row r="1" spans="1:11" ht="33" customHeight="1" x14ac:dyDescent="0.3">
      <c r="A1" s="4"/>
      <c r="B1" s="9">
        <v>0.15</v>
      </c>
      <c r="D1" s="4"/>
      <c r="E1" s="9">
        <f>((B2-1)*B4)/B1</f>
        <v>40</v>
      </c>
    </row>
    <row r="2" spans="1:11" x14ac:dyDescent="0.3">
      <c r="A2" s="4" t="s">
        <v>0</v>
      </c>
      <c r="B2" s="9">
        <v>25</v>
      </c>
    </row>
    <row r="3" spans="1:11" x14ac:dyDescent="0.3">
      <c r="A3" s="4"/>
      <c r="B3" s="9">
        <v>15</v>
      </c>
      <c r="D3" s="4" t="s">
        <v>7</v>
      </c>
      <c r="E3" s="9" t="s">
        <v>14</v>
      </c>
      <c r="F3" s="15" t="s">
        <v>15</v>
      </c>
      <c r="G3" s="15"/>
      <c r="H3" s="15"/>
      <c r="I3" s="15"/>
      <c r="J3" s="15"/>
      <c r="K3" s="15"/>
    </row>
    <row r="4" spans="1:11" x14ac:dyDescent="0.3">
      <c r="A4" s="4"/>
      <c r="B4" s="9">
        <v>0.25</v>
      </c>
    </row>
    <row r="5" spans="1:11" ht="13.2" customHeight="1" x14ac:dyDescent="0.3"/>
    <row r="6" spans="1:11" ht="32.4" customHeight="1" x14ac:dyDescent="0.3"/>
  </sheetData>
  <mergeCells count="1">
    <mergeCell ref="F3:K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D4AB-553F-4CE4-A382-9A68A40E95F9}">
  <dimension ref="A1:Q11"/>
  <sheetViews>
    <sheetView workbookViewId="0">
      <selection activeCell="P22" sqref="P22"/>
    </sheetView>
  </sheetViews>
  <sheetFormatPr defaultRowHeight="14.4" x14ac:dyDescent="0.3"/>
  <cols>
    <col min="2" max="2" width="8.33203125" customWidth="1"/>
    <col min="3" max="3" width="7.33203125" customWidth="1"/>
    <col min="4" max="4" width="5.5546875" customWidth="1"/>
    <col min="5" max="5" width="7.21875" customWidth="1"/>
    <col min="6" max="6" width="8.6640625" customWidth="1"/>
    <col min="7" max="7" width="9.88671875" customWidth="1"/>
    <col min="8" max="8" width="5.109375" customWidth="1"/>
    <col min="9" max="9" width="7.6640625" customWidth="1"/>
    <col min="10" max="10" width="7" customWidth="1"/>
  </cols>
  <sheetData>
    <row r="1" spans="1:17" x14ac:dyDescent="0.3">
      <c r="A1" s="19" t="s">
        <v>10</v>
      </c>
      <c r="B1" s="20"/>
      <c r="C1" s="20"/>
      <c r="D1" s="20"/>
      <c r="E1" s="20"/>
      <c r="G1" s="18" t="s">
        <v>11</v>
      </c>
      <c r="H1" s="18"/>
      <c r="I1" s="18"/>
      <c r="J1" s="18"/>
      <c r="K1" s="18"/>
      <c r="M1" s="15"/>
      <c r="N1" s="15"/>
      <c r="O1" s="15"/>
      <c r="P1" s="15"/>
      <c r="Q1" s="21">
        <f>(D6-J6)/SQRT(((C5*E10+H5*K10)/(C5+H5-2))*((1/C5)+(1/H5)))</f>
        <v>4.5026996004537212</v>
      </c>
    </row>
    <row r="2" spans="1:17" ht="28.8" x14ac:dyDescent="0.3">
      <c r="A2" s="2" t="s">
        <v>8</v>
      </c>
      <c r="B2" s="3"/>
      <c r="C2" s="9">
        <v>304</v>
      </c>
      <c r="D2" s="9">
        <v>307</v>
      </c>
      <c r="E2" s="9">
        <v>308</v>
      </c>
      <c r="G2" s="4"/>
      <c r="H2" s="9">
        <v>303</v>
      </c>
      <c r="I2" s="9">
        <v>304</v>
      </c>
      <c r="J2" s="9">
        <v>306</v>
      </c>
      <c r="K2" s="9">
        <v>308</v>
      </c>
      <c r="M2" s="15"/>
      <c r="N2" s="15"/>
      <c r="O2" s="15"/>
      <c r="P2" s="15"/>
      <c r="Q2" s="21"/>
    </row>
    <row r="3" spans="1:17" ht="28.8" x14ac:dyDescent="0.3">
      <c r="A3" s="2" t="s">
        <v>9</v>
      </c>
      <c r="B3" s="4"/>
      <c r="C3" s="9">
        <v>1</v>
      </c>
      <c r="D3" s="9">
        <v>4</v>
      </c>
      <c r="E3" s="9">
        <v>4</v>
      </c>
      <c r="G3" s="4"/>
      <c r="H3" s="9">
        <v>2</v>
      </c>
      <c r="I3" s="9">
        <v>6</v>
      </c>
      <c r="J3" s="9">
        <v>4</v>
      </c>
      <c r="K3" s="9">
        <v>1</v>
      </c>
      <c r="M3" s="15"/>
      <c r="N3" s="15"/>
      <c r="O3" s="15"/>
      <c r="P3" s="15"/>
      <c r="Q3" s="21"/>
    </row>
    <row r="4" spans="1:17" x14ac:dyDescent="0.3">
      <c r="B4" s="4"/>
      <c r="C4" s="9">
        <f>C2*C3</f>
        <v>304</v>
      </c>
      <c r="D4" s="9">
        <f t="shared" ref="D4:E4" si="0">D2*D3</f>
        <v>1228</v>
      </c>
      <c r="E4" s="9">
        <f t="shared" si="0"/>
        <v>1232</v>
      </c>
      <c r="G4" s="4"/>
      <c r="H4" s="9">
        <f>H2*H3</f>
        <v>606</v>
      </c>
      <c r="I4" s="9">
        <f t="shared" ref="I4:K4" si="1">I2*I3</f>
        <v>1824</v>
      </c>
      <c r="J4" s="9">
        <f t="shared" si="1"/>
        <v>1224</v>
      </c>
      <c r="K4" s="9">
        <f t="shared" si="1"/>
        <v>308</v>
      </c>
      <c r="M4" s="15"/>
      <c r="N4" s="15"/>
      <c r="O4" s="15"/>
      <c r="P4" s="15"/>
      <c r="Q4" s="21"/>
    </row>
    <row r="5" spans="1:17" x14ac:dyDescent="0.3">
      <c r="B5" s="5"/>
      <c r="C5" s="10">
        <f>SUM(C3:E3)</f>
        <v>9</v>
      </c>
      <c r="G5" s="5"/>
      <c r="H5" s="10">
        <f>SUM(H3:K3)</f>
        <v>13</v>
      </c>
    </row>
    <row r="6" spans="1:17" x14ac:dyDescent="0.3">
      <c r="B6" s="15"/>
      <c r="C6" s="15"/>
      <c r="D6" s="21">
        <f>(1/C5)*SUM(C4:E4)</f>
        <v>307.11111111111109</v>
      </c>
      <c r="G6" s="15"/>
      <c r="H6" s="15"/>
      <c r="I6" s="15"/>
      <c r="J6" s="17">
        <f>SUM(H4:K4)/H5</f>
        <v>304.76923076923077</v>
      </c>
      <c r="M6" s="4"/>
      <c r="N6" s="9">
        <v>1.72</v>
      </c>
    </row>
    <row r="7" spans="1:17" x14ac:dyDescent="0.3">
      <c r="B7" s="15"/>
      <c r="C7" s="15"/>
      <c r="D7" s="21"/>
      <c r="G7" s="15"/>
      <c r="H7" s="15"/>
      <c r="I7" s="15"/>
      <c r="J7" s="17"/>
    </row>
    <row r="8" spans="1:17" x14ac:dyDescent="0.3">
      <c r="B8" s="15"/>
      <c r="C8" s="16"/>
      <c r="D8" s="22"/>
      <c r="G8" s="16"/>
      <c r="H8" s="16"/>
      <c r="I8" s="16"/>
      <c r="J8" s="17"/>
      <c r="M8" s="13" t="s">
        <v>12</v>
      </c>
      <c r="N8" s="13"/>
      <c r="O8" s="15" t="s">
        <v>16</v>
      </c>
      <c r="P8" s="15"/>
    </row>
    <row r="9" spans="1:17" ht="18.600000000000001" customHeight="1" x14ac:dyDescent="0.3">
      <c r="B9" s="4"/>
      <c r="C9" s="9">
        <f>(C2-$D$6)^2</f>
        <v>9.6790123456788546</v>
      </c>
      <c r="D9" s="9">
        <f>(D2-$D$6)^2</f>
        <v>1.2345679012340065E-2</v>
      </c>
      <c r="E9" s="9">
        <f>(E2-$D$6)^2</f>
        <v>0.79012345679016838</v>
      </c>
      <c r="G9" s="4"/>
      <c r="H9" s="12">
        <f>(H2-$J$6)^2</f>
        <v>3.1301775147929147</v>
      </c>
      <c r="I9" s="12">
        <f>(I2-$J$6)^2</f>
        <v>0.59171597633136763</v>
      </c>
      <c r="J9" s="12">
        <f>(J2-$J$6)^2</f>
        <v>1.5147928994082733</v>
      </c>
      <c r="K9" s="12">
        <f>(K2-$J$6)^2</f>
        <v>10.43786982248518</v>
      </c>
    </row>
    <row r="10" spans="1:17" ht="42" customHeight="1" x14ac:dyDescent="0.3">
      <c r="A10" s="15"/>
      <c r="B10" s="15"/>
      <c r="C10" s="15"/>
      <c r="D10" s="15"/>
      <c r="E10" s="11">
        <f>SUM(C9:E9)/(C5-1)</f>
        <v>1.3101851851851702</v>
      </c>
      <c r="G10" s="15"/>
      <c r="H10" s="15"/>
      <c r="I10" s="15"/>
      <c r="J10" s="15"/>
      <c r="K10" s="11">
        <f>SUM(H9:K9)/(H5-1)</f>
        <v>1.3062130177514779</v>
      </c>
    </row>
    <row r="11" spans="1:17" ht="12" customHeight="1" x14ac:dyDescent="0.3"/>
  </sheetData>
  <mergeCells count="12">
    <mergeCell ref="M1:P4"/>
    <mergeCell ref="Q1:Q4"/>
    <mergeCell ref="D6:D8"/>
    <mergeCell ref="B6:C8"/>
    <mergeCell ref="A10:D10"/>
    <mergeCell ref="M8:N8"/>
    <mergeCell ref="O8:P8"/>
    <mergeCell ref="G6:I8"/>
    <mergeCell ref="J6:J8"/>
    <mergeCell ref="G10:J10"/>
    <mergeCell ref="G1:K1"/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задача 1</vt:lpstr>
      <vt:lpstr>задача 2</vt:lpstr>
      <vt:lpstr>задача 3</vt:lpstr>
      <vt:lpstr>задача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Artyom Gnevnov</cp:lastModifiedBy>
  <dcterms:created xsi:type="dcterms:W3CDTF">2024-03-11T06:56:42Z</dcterms:created>
  <dcterms:modified xsi:type="dcterms:W3CDTF">2024-03-27T06:36:09Z</dcterms:modified>
</cp:coreProperties>
</file>