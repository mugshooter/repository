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2f0d4a8a008de216/Рабочий стол/учеба/РГПУ/ИТ и С бизнес-аналитики/ЛР 7/"/>
    </mc:Choice>
  </mc:AlternateContent>
  <xr:revisionPtr revIDLastSave="1" documentId="11_AD4DF75460589B3ACB72843C47DC75685BDEDD96" xr6:coauthVersionLast="47" xr6:coauthVersionMax="47" xr10:uidLastSave="{81B8A9E9-B166-47C7-BA06-A6E255F586A9}"/>
  <bookViews>
    <workbookView xWindow="-108" yWindow="-108" windowWidth="23256" windowHeight="131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6" i="1" l="1"/>
  <c r="C31" i="1"/>
  <c r="C30" i="1"/>
  <c r="C29" i="1"/>
  <c r="C28" i="1"/>
  <c r="C16" i="1"/>
</calcChain>
</file>

<file path=xl/sharedStrings.xml><?xml version="1.0" encoding="utf-8"?>
<sst xmlns="http://schemas.openxmlformats.org/spreadsheetml/2006/main" count="45" uniqueCount="41">
  <si>
    <t>Наименование сценария</t>
  </si>
  <si>
    <t>Параметры сценария</t>
  </si>
  <si>
    <t>1. AS IS</t>
  </si>
  <si>
    <t>Количество поступающих заказов в день, шт</t>
  </si>
  <si>
    <t>Средняя маржа по заказу, руб</t>
  </si>
  <si>
    <t>Стоимость доставки</t>
  </si>
  <si>
    <t>Зарплата Менеджера, руб в час</t>
  </si>
  <si>
    <t>Зарплата Кладовщика, руб в месяц</t>
  </si>
  <si>
    <t>Транспортные расходы Курьера, руб. за доставку</t>
  </si>
  <si>
    <t>Количество Менеджеров, чел.</t>
  </si>
  <si>
    <t>Количество Курьеров, чел.</t>
  </si>
  <si>
    <t>Доходы (Продуктивность)</t>
  </si>
  <si>
    <t>Затраты( Себестоимость)</t>
  </si>
  <si>
    <t>Постоянные издержки</t>
  </si>
  <si>
    <t>Переменные издержки</t>
  </si>
  <si>
    <t>Эффективность</t>
  </si>
  <si>
    <t>Выводы</t>
  </si>
  <si>
    <t>Количество полученных заказов, шт. в месяц</t>
  </si>
  <si>
    <t>Количество успешно выполненных заказов, шт. в месяц</t>
  </si>
  <si>
    <t>Количество отказов покупателей от заказа при получении, шт в месяц</t>
  </si>
  <si>
    <t>Маржинальная прибыль, руб. в месяц</t>
  </si>
  <si>
    <t>Аренда склада, руб. месяц</t>
  </si>
  <si>
    <t>Реклама, руб. месяц</t>
  </si>
  <si>
    <t>Иные постоянные издержки, руб. в месяц</t>
  </si>
  <si>
    <t>Зарплата Менеджера, руб в месяц</t>
  </si>
  <si>
    <t>Зарплата Курьера, руб за доставку</t>
  </si>
  <si>
    <t>Зарплата Курьеров, руб в месяц</t>
  </si>
  <si>
    <t>Транспортные расходы Курьера, руб. за месяц</t>
  </si>
  <si>
    <t>Чистая прибыль, руб. месяц</t>
  </si>
  <si>
    <t>Чистая прибыль с 1-го заказа, руб.</t>
  </si>
  <si>
    <t>Чистая прибыль с 1-го заказа, % от маржи</t>
  </si>
  <si>
    <t>Себестоимость обработки 1-го заказа, руб.</t>
  </si>
  <si>
    <t>Средняя длительность обрамотки заказа, мин.</t>
  </si>
  <si>
    <t>Максимальное среднее время ожидания ресурса, мин.                                 Какой ресурс                                                                                                                        На какой ресурс</t>
  </si>
  <si>
    <t>Средняя загрузка Менеджера, % от рабочего времени</t>
  </si>
  <si>
    <t>Средняя загрузка Курьера, % от рабочего времени</t>
  </si>
  <si>
    <t>Доля заказов от заказов при получении, % от общего количества заказов</t>
  </si>
  <si>
    <t xml:space="preserve">30 000 </t>
  </si>
  <si>
    <t xml:space="preserve">70 000 </t>
  </si>
  <si>
    <t xml:space="preserve">10 000 </t>
  </si>
  <si>
    <t xml:space="preserve">20 000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</si>
</sst>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0" xfId="0" applyFont="1" applyFill="1"/>
    <xf numFmtId="0" fontId="2" fillId="2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3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4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1" fillId="7" borderId="0" xfId="0" applyFont="1" applyFill="1" applyAlignment="1">
      <alignment horizontal="left"/>
    </xf>
    <xf numFmtId="0" fontId="1" fillId="8" borderId="0" xfId="0" applyFont="1" applyFill="1" applyAlignment="1">
      <alignment horizontal="left"/>
    </xf>
    <xf numFmtId="0" fontId="1" fillId="9" borderId="0" xfId="0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669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H7" sqref="H7"/>
    </sheetView>
  </sheetViews>
  <sheetFormatPr defaultRowHeight="14.4" x14ac:dyDescent="0.3"/>
  <cols>
    <col min="1" max="1" width="2.77734375" customWidth="1"/>
    <col min="2" max="2" width="65.77734375" bestFit="1" customWidth="1"/>
    <col min="3" max="3" width="8.77734375" bestFit="1" customWidth="1"/>
  </cols>
  <sheetData>
    <row r="1" spans="1:3" ht="18" x14ac:dyDescent="0.35">
      <c r="A1" s="2"/>
      <c r="B1" s="2" t="s">
        <v>0</v>
      </c>
      <c r="C1" s="2" t="s">
        <v>2</v>
      </c>
    </row>
    <row r="2" spans="1:3" x14ac:dyDescent="0.3">
      <c r="A2" s="1"/>
      <c r="B2" s="1" t="s">
        <v>1</v>
      </c>
      <c r="C2" s="1"/>
    </row>
    <row r="3" spans="1:3" x14ac:dyDescent="0.3">
      <c r="B3" t="s">
        <v>3</v>
      </c>
      <c r="C3" s="11">
        <v>10</v>
      </c>
    </row>
    <row r="4" spans="1:3" x14ac:dyDescent="0.3">
      <c r="B4" t="s">
        <v>4</v>
      </c>
      <c r="C4" s="11">
        <v>1000</v>
      </c>
    </row>
    <row r="5" spans="1:3" x14ac:dyDescent="0.3">
      <c r="B5" t="s">
        <v>5</v>
      </c>
      <c r="C5" s="11">
        <v>0</v>
      </c>
    </row>
    <row r="6" spans="1:3" x14ac:dyDescent="0.3">
      <c r="B6" t="s">
        <v>6</v>
      </c>
      <c r="C6" s="11">
        <v>300</v>
      </c>
    </row>
    <row r="7" spans="1:3" x14ac:dyDescent="0.3">
      <c r="B7" t="s">
        <v>7</v>
      </c>
      <c r="C7" s="11" t="s">
        <v>37</v>
      </c>
    </row>
    <row r="8" spans="1:3" x14ac:dyDescent="0.3">
      <c r="B8" t="s">
        <v>25</v>
      </c>
      <c r="C8" s="11">
        <v>200</v>
      </c>
    </row>
    <row r="9" spans="1:3" x14ac:dyDescent="0.3">
      <c r="B9" t="s">
        <v>8</v>
      </c>
      <c r="C9" s="11">
        <v>50</v>
      </c>
    </row>
    <row r="10" spans="1:3" x14ac:dyDescent="0.3">
      <c r="B10" t="s">
        <v>9</v>
      </c>
      <c r="C10" s="11">
        <v>1</v>
      </c>
    </row>
    <row r="11" spans="1:3" x14ac:dyDescent="0.3">
      <c r="B11" t="s">
        <v>10</v>
      </c>
      <c r="C11" s="11">
        <v>1</v>
      </c>
    </row>
    <row r="12" spans="1:3" x14ac:dyDescent="0.3">
      <c r="A12" s="3"/>
      <c r="B12" s="3" t="s">
        <v>11</v>
      </c>
      <c r="C12" s="12">
        <v>0</v>
      </c>
    </row>
    <row r="13" spans="1:3" x14ac:dyDescent="0.3">
      <c r="B13" t="s">
        <v>17</v>
      </c>
      <c r="C13" s="11">
        <v>300</v>
      </c>
    </row>
    <row r="14" spans="1:3" x14ac:dyDescent="0.3">
      <c r="B14" t="s">
        <v>18</v>
      </c>
      <c r="C14" s="11"/>
    </row>
    <row r="15" spans="1:3" x14ac:dyDescent="0.3">
      <c r="B15" t="s">
        <v>19</v>
      </c>
      <c r="C15" s="11"/>
    </row>
    <row r="16" spans="1:3" x14ac:dyDescent="0.3">
      <c r="B16" t="s">
        <v>20</v>
      </c>
      <c r="C16" s="11">
        <f>C4*(C14+C5)</f>
        <v>0</v>
      </c>
    </row>
    <row r="17" spans="1:3" x14ac:dyDescent="0.3">
      <c r="A17" s="4"/>
      <c r="B17" s="4" t="s">
        <v>12</v>
      </c>
      <c r="C17" s="13" t="s">
        <v>38</v>
      </c>
    </row>
    <row r="18" spans="1:3" x14ac:dyDescent="0.3">
      <c r="A18" s="5"/>
      <c r="B18" s="5" t="s">
        <v>13</v>
      </c>
      <c r="C18" s="14" t="s">
        <v>38</v>
      </c>
    </row>
    <row r="19" spans="1:3" x14ac:dyDescent="0.3">
      <c r="B19" t="s">
        <v>7</v>
      </c>
      <c r="C19" s="11" t="s">
        <v>37</v>
      </c>
    </row>
    <row r="20" spans="1:3" x14ac:dyDescent="0.3">
      <c r="B20" t="s">
        <v>21</v>
      </c>
      <c r="C20" s="11" t="s">
        <v>39</v>
      </c>
    </row>
    <row r="21" spans="1:3" x14ac:dyDescent="0.3">
      <c r="B21" t="s">
        <v>22</v>
      </c>
      <c r="C21" s="11" t="s">
        <v>39</v>
      </c>
    </row>
    <row r="22" spans="1:3" x14ac:dyDescent="0.3">
      <c r="B22" t="s">
        <v>23</v>
      </c>
      <c r="C22" s="11" t="s">
        <v>40</v>
      </c>
    </row>
    <row r="23" spans="1:3" x14ac:dyDescent="0.3">
      <c r="A23" s="6"/>
      <c r="B23" s="7" t="s">
        <v>14</v>
      </c>
      <c r="C23" s="15">
        <v>0</v>
      </c>
    </row>
    <row r="24" spans="1:3" x14ac:dyDescent="0.3">
      <c r="B24" t="s">
        <v>24</v>
      </c>
      <c r="C24" s="11"/>
    </row>
    <row r="25" spans="1:3" x14ac:dyDescent="0.3">
      <c r="B25" t="s">
        <v>26</v>
      </c>
      <c r="C25" s="11"/>
    </row>
    <row r="26" spans="1:3" x14ac:dyDescent="0.3">
      <c r="B26" t="s">
        <v>27</v>
      </c>
      <c r="C26" s="11"/>
    </row>
    <row r="27" spans="1:3" x14ac:dyDescent="0.3">
      <c r="A27" s="8"/>
      <c r="B27" s="8" t="s">
        <v>15</v>
      </c>
      <c r="C27" s="16"/>
    </row>
    <row r="28" spans="1:3" x14ac:dyDescent="0.3">
      <c r="B28" t="s">
        <v>28</v>
      </c>
      <c r="C28" s="11" t="e">
        <f>C12-C17</f>
        <v>#VALUE!</v>
      </c>
    </row>
    <row r="29" spans="1:3" x14ac:dyDescent="0.3">
      <c r="B29" t="s">
        <v>29</v>
      </c>
      <c r="C29" s="11" t="e">
        <f>C28/C13</f>
        <v>#VALUE!</v>
      </c>
    </row>
    <row r="30" spans="1:3" x14ac:dyDescent="0.3">
      <c r="B30" t="s">
        <v>30</v>
      </c>
      <c r="C30" s="11" t="e">
        <f>C29/C4</f>
        <v>#VALUE!</v>
      </c>
    </row>
    <row r="31" spans="1:3" x14ac:dyDescent="0.3">
      <c r="B31" t="s">
        <v>31</v>
      </c>
      <c r="C31" s="11" t="e">
        <f>C17/C13</f>
        <v>#VALUE!</v>
      </c>
    </row>
    <row r="32" spans="1:3" x14ac:dyDescent="0.3">
      <c r="B32" t="s">
        <v>32</v>
      </c>
      <c r="C32" s="11"/>
    </row>
    <row r="33" spans="1:3" ht="43.2" x14ac:dyDescent="0.3">
      <c r="B33" s="10" t="s">
        <v>33</v>
      </c>
      <c r="C33" s="11"/>
    </row>
    <row r="34" spans="1:3" x14ac:dyDescent="0.3">
      <c r="B34" t="s">
        <v>34</v>
      </c>
      <c r="C34" s="11"/>
    </row>
    <row r="35" spans="1:3" x14ac:dyDescent="0.3">
      <c r="B35" t="s">
        <v>35</v>
      </c>
      <c r="C35" s="11"/>
    </row>
    <row r="36" spans="1:3" x14ac:dyDescent="0.3">
      <c r="B36" t="s">
        <v>36</v>
      </c>
      <c r="C36" s="11">
        <f>C15/C13</f>
        <v>0</v>
      </c>
    </row>
    <row r="37" spans="1:3" x14ac:dyDescent="0.3">
      <c r="A37" s="9"/>
      <c r="B37" s="9" t="s">
        <v>16</v>
      </c>
      <c r="C37" s="1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Artyom Gnevnov</dc:creator>
  <cp:lastModifiedBy>Artyom Gnevnov</cp:lastModifiedBy>
  <dcterms:created xsi:type="dcterms:W3CDTF">2015-06-05T18:19:34Z</dcterms:created>
  <dcterms:modified xsi:type="dcterms:W3CDTF">2025-05-20T13:09:01Z</dcterms:modified>
</cp:coreProperties>
</file>